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Data" sheetId="2" state="visible" r:id="rId4"/>
    <sheet name="Growth_Table" sheetId="3" state="visible" r:id="rId5"/>
    <sheet name="Quarterly_YoY" sheetId="4" state="visible" r:id="rId6"/>
    <sheet name="Small_Base_Check" sheetId="5" state="visible" r:id="rId7"/>
    <sheet name="Charts" sheetId="6" state="visible" r:id="rId8"/>
    <sheet name="SQL_vs_Excel" sheetId="7" state="visible" r:id="rId9"/>
    <sheet name="Insights" sheetId="8" state="visible" r:id="rId10"/>
  </sheets>
  <definedNames>
    <definedName function="false" hidden="true" localSheetId="1" name="_xlnm._FilterDatabase" vbProcedure="false">Data!$A$1:$J$9995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<sst xmlns="http://schemas.openxmlformats.org/spreadsheetml/2006/main" count="40199" uniqueCount="5168">
  <si>
    <t xml:space="preserve">Regional Growth Analysis</t>
  </si>
  <si>
    <t xml:space="preserve">Veda Technology | Data Analytics Track | Prepared by Sneha</t>
  </si>
  <si>
    <t xml:space="preserve">Objective</t>
  </si>
  <si>
    <t xml:space="preserve">Compare how fast each region (Central, East, South, West) grew from 2014 to 2017 and check whether the growth numbers can be trusted (period-over-period comparison, small-base effect).</t>
  </si>
  <si>
    <t xml:space="preserve">Dataset</t>
  </si>
  <si>
    <t xml:space="preserve">Superstore (superstore.csv) - 9,994 order lines, orders from 3 Jan 2014 to 30 Dec 2017, 4 regions.</t>
  </si>
  <si>
    <t xml:space="preserve">Period rule</t>
  </si>
  <si>
    <t xml:space="preserve">Calendar years (Jan-Dec) and calendar quarters. Same period length every time; quarters are compared with the SAME quarter of the previous year.</t>
  </si>
  <si>
    <t xml:space="preserve">Growth formula</t>
  </si>
  <si>
    <t xml:space="preserve">YoY % = (this period / previous period) - 1.   CAGR = (2017 / 2014)^(1/3) - 1.</t>
  </si>
  <si>
    <t xml:space="preserve">Small-base flag</t>
  </si>
  <si>
    <t xml:space="preserve">A growth % is flagged SMALL BASE when the previous-year value is below the threshold (cell Small_Base_Check!B3, default 50%) of that region's own 4-year average.</t>
  </si>
  <si>
    <t xml:space="preserve">How the work was done</t>
  </si>
  <si>
    <t xml:space="preserve">SQL (SQLite) was used to build the clean year/quarter view and run the growth queries - file regional_growth_analysis.sql. Excel rebuilds the same tables with live SUMIFS formulas on the Data sheet, and the SQL_vs_Excel sheet checks that both agree.</t>
  </si>
  <si>
    <t xml:space="preserve">Sheets</t>
  </si>
  <si>
    <t xml:space="preserve">Data | Growth_Table | Quarterly_YoY | Small_Base_Check | Charts | SQL_vs_Excel | Insights</t>
  </si>
  <si>
    <t xml:space="preserve">Colour code</t>
  </si>
  <si>
    <t xml:space="preserve">Blue text = number typed in or pasted from SQL output. Black = formula. Yellow cell = assumption you can change.</t>
  </si>
  <si>
    <t xml:space="preserve">Order ID</t>
  </si>
  <si>
    <t xml:space="preserve">Order Date</t>
  </si>
  <si>
    <t xml:space="preserve">Region</t>
  </si>
  <si>
    <t xml:space="preserve">State</t>
  </si>
  <si>
    <t xml:space="preserve">Category</t>
  </si>
  <si>
    <t xml:space="preserve">Sales</t>
  </si>
  <si>
    <t xml:space="preserve">Profit</t>
  </si>
  <si>
    <t xml:space="preserve">Discount</t>
  </si>
  <si>
    <t xml:space="preserve">Year</t>
  </si>
  <si>
    <t xml:space="preserve">Quarter</t>
  </si>
  <si>
    <t xml:space="preserve">CA-2016-152156</t>
  </si>
  <si>
    <t xml:space="preserve">South</t>
  </si>
  <si>
    <t xml:space="preserve">Kentucky</t>
  </si>
  <si>
    <t xml:space="preserve">Furniture</t>
  </si>
  <si>
    <t xml:space="preserve">CA-2016-138688</t>
  </si>
  <si>
    <t xml:space="preserve">West</t>
  </si>
  <si>
    <t xml:space="preserve">California</t>
  </si>
  <si>
    <t xml:space="preserve">Office Supplies</t>
  </si>
  <si>
    <t xml:space="preserve">US-2015-108966</t>
  </si>
  <si>
    <t xml:space="preserve">Florida</t>
  </si>
  <si>
    <t xml:space="preserve">CA-2014-115812</t>
  </si>
  <si>
    <t xml:space="preserve">Technology</t>
  </si>
  <si>
    <t xml:space="preserve">CA-2017-114412</t>
  </si>
  <si>
    <t xml:space="preserve">North Carolina</t>
  </si>
  <si>
    <t xml:space="preserve">CA-2016-161389</t>
  </si>
  <si>
    <t xml:space="preserve">Washington</t>
  </si>
  <si>
    <t xml:space="preserve">US-2015-118983</t>
  </si>
  <si>
    <t xml:space="preserve">Central</t>
  </si>
  <si>
    <t xml:space="preserve">Texas</t>
  </si>
  <si>
    <t xml:space="preserve">CA-2014-105893</t>
  </si>
  <si>
    <t xml:space="preserve">Wisconsin</t>
  </si>
  <si>
    <t xml:space="preserve">CA-2014-167164</t>
  </si>
  <si>
    <t xml:space="preserve">Utah</t>
  </si>
  <si>
    <t xml:space="preserve">CA-2014-143336</t>
  </si>
  <si>
    <t xml:space="preserve">CA-2016-137330</t>
  </si>
  <si>
    <t xml:space="preserve">Nebraska</t>
  </si>
  <si>
    <t xml:space="preserve">US-2017-156909</t>
  </si>
  <si>
    <t xml:space="preserve">East</t>
  </si>
  <si>
    <t xml:space="preserve">Pennsylvania</t>
  </si>
  <si>
    <t xml:space="preserve">CA-2015-106320</t>
  </si>
  <si>
    <t xml:space="preserve">CA-2016-121755</t>
  </si>
  <si>
    <t xml:space="preserve">US-2015-150630</t>
  </si>
  <si>
    <t xml:space="preserve">CA-2017-107727</t>
  </si>
  <si>
    <t xml:space="preserve">CA-2016-117590</t>
  </si>
  <si>
    <t xml:space="preserve">CA-2015-117415</t>
  </si>
  <si>
    <t xml:space="preserve">CA-2017-120999</t>
  </si>
  <si>
    <t xml:space="preserve">Illinois</t>
  </si>
  <si>
    <t xml:space="preserve">CA-2016-101343</t>
  </si>
  <si>
    <t xml:space="preserve">CA-2017-139619</t>
  </si>
  <si>
    <t xml:space="preserve">CA-2016-118255</t>
  </si>
  <si>
    <t xml:space="preserve">Minnesota</t>
  </si>
  <si>
    <t xml:space="preserve">CA-2014-146703</t>
  </si>
  <si>
    <t xml:space="preserve">Michigan</t>
  </si>
  <si>
    <t xml:space="preserve">CA-2016-169194</t>
  </si>
  <si>
    <t xml:space="preserve">Delaware</t>
  </si>
  <si>
    <t xml:space="preserve">CA-2015-115742</t>
  </si>
  <si>
    <t xml:space="preserve">Indiana</t>
  </si>
  <si>
    <t xml:space="preserve">CA-2016-105816</t>
  </si>
  <si>
    <t xml:space="preserve">New York</t>
  </si>
  <si>
    <t xml:space="preserve">CA-2016-111682</t>
  </si>
  <si>
    <t xml:space="preserve">CA-2015-135545</t>
  </si>
  <si>
    <t xml:space="preserve">US-2015-164175</t>
  </si>
  <si>
    <t xml:space="preserve">CA-2014-106376</t>
  </si>
  <si>
    <t xml:space="preserve">Arizona</t>
  </si>
  <si>
    <t xml:space="preserve">CA-2016-119823</t>
  </si>
  <si>
    <t xml:space="preserve">Virginia</t>
  </si>
  <si>
    <t xml:space="preserve">CA-2016-106075</t>
  </si>
  <si>
    <t xml:space="preserve">CA-2017-114440</t>
  </si>
  <si>
    <t xml:space="preserve">US-2015-134026</t>
  </si>
  <si>
    <t xml:space="preserve">Tennessee</t>
  </si>
  <si>
    <t xml:space="preserve">US-2017-118038</t>
  </si>
  <si>
    <t xml:space="preserve">US-2014-147606</t>
  </si>
  <si>
    <t xml:space="preserve">CA-2016-127208</t>
  </si>
  <si>
    <t xml:space="preserve">Alabama</t>
  </si>
  <si>
    <t xml:space="preserve">CA-2014-139451</t>
  </si>
  <si>
    <t xml:space="preserve">CA-2015-149734</t>
  </si>
  <si>
    <t xml:space="preserve">US-2017-119662</t>
  </si>
  <si>
    <t xml:space="preserve">CA-2017-140088</t>
  </si>
  <si>
    <t xml:space="preserve">South Carolina</t>
  </si>
  <si>
    <t xml:space="preserve">CA-2017-155558</t>
  </si>
  <si>
    <t xml:space="preserve">CA-2016-159695</t>
  </si>
  <si>
    <t xml:space="preserve">CA-2016-109806</t>
  </si>
  <si>
    <t xml:space="preserve">CA-2015-149587</t>
  </si>
  <si>
    <t xml:space="preserve">US-2017-109484</t>
  </si>
  <si>
    <t xml:space="preserve">Oregon</t>
  </si>
  <si>
    <t xml:space="preserve">CA-2017-161018</t>
  </si>
  <si>
    <t xml:space="preserve">CA-2017-157833</t>
  </si>
  <si>
    <t xml:space="preserve">CA-2016-149223</t>
  </si>
  <si>
    <t xml:space="preserve">CA-2016-158568</t>
  </si>
  <si>
    <t xml:space="preserve">CA-2016-129903</t>
  </si>
  <si>
    <t xml:space="preserve">US-2015-156867</t>
  </si>
  <si>
    <t xml:space="preserve">Colorado</t>
  </si>
  <si>
    <t xml:space="preserve">CA-2017-119004</t>
  </si>
  <si>
    <t xml:space="preserve">CA-2015-129476</t>
  </si>
  <si>
    <t xml:space="preserve">CA-2017-146780</t>
  </si>
  <si>
    <t xml:space="preserve">CA-2016-128867</t>
  </si>
  <si>
    <t xml:space="preserve">Iowa</t>
  </si>
  <si>
    <t xml:space="preserve">CA-2014-115259</t>
  </si>
  <si>
    <t xml:space="preserve">Ohio</t>
  </si>
  <si>
    <t xml:space="preserve">CA-2015-110457</t>
  </si>
  <si>
    <t xml:space="preserve">US-2015-136476</t>
  </si>
  <si>
    <t xml:space="preserve">CA-2016-103730</t>
  </si>
  <si>
    <t xml:space="preserve">US-2014-152030</t>
  </si>
  <si>
    <t xml:space="preserve">US-2014-134614</t>
  </si>
  <si>
    <t xml:space="preserve">US-2017-107272</t>
  </si>
  <si>
    <t xml:space="preserve">US-2016-125969</t>
  </si>
  <si>
    <t xml:space="preserve">US-2017-164147</t>
  </si>
  <si>
    <t xml:space="preserve">CA-2016-145583</t>
  </si>
  <si>
    <t xml:space="preserve">CA-2016-110366</t>
  </si>
  <si>
    <t xml:space="preserve">CA-2017-106180</t>
  </si>
  <si>
    <t xml:space="preserve">CA-2017-155376</t>
  </si>
  <si>
    <t xml:space="preserve">Missouri</t>
  </si>
  <si>
    <t xml:space="preserve">CA-2015-110744</t>
  </si>
  <si>
    <t xml:space="preserve">CA-2014-110072</t>
  </si>
  <si>
    <t xml:space="preserve">CA-2016-114489</t>
  </si>
  <si>
    <t xml:space="preserve">CA-2016-158834</t>
  </si>
  <si>
    <t xml:space="preserve">CA-2015-124919</t>
  </si>
  <si>
    <t xml:space="preserve">CA-2015-118948</t>
  </si>
  <si>
    <t xml:space="preserve">CA-2014-104269</t>
  </si>
  <si>
    <t xml:space="preserve">CA-2016-114104</t>
  </si>
  <si>
    <t xml:space="preserve">Oklahoma</t>
  </si>
  <si>
    <t xml:space="preserve">CA-2016-162733</t>
  </si>
  <si>
    <t xml:space="preserve">CA-2015-119697</t>
  </si>
  <si>
    <t xml:space="preserve">CA-2016-154508</t>
  </si>
  <si>
    <t xml:space="preserve">New Mexico</t>
  </si>
  <si>
    <t xml:space="preserve">CA-2016-113817</t>
  </si>
  <si>
    <t xml:space="preserve">CA-2014-139892</t>
  </si>
  <si>
    <t xml:space="preserve">CA-2014-118962</t>
  </si>
  <si>
    <t xml:space="preserve">US-2014-100853</t>
  </si>
  <si>
    <t xml:space="preserve">US-2017-152366</t>
  </si>
  <si>
    <t xml:space="preserve">US-2015-101511</t>
  </si>
  <si>
    <t xml:space="preserve">CA-2015-137225</t>
  </si>
  <si>
    <t xml:space="preserve">CA-2014-166191</t>
  </si>
  <si>
    <t xml:space="preserve">CA-2014-158274</t>
  </si>
  <si>
    <t xml:space="preserve">Louisiana</t>
  </si>
  <si>
    <t xml:space="preserve">CA-2016-105018</t>
  </si>
  <si>
    <t xml:space="preserve">Connecticut</t>
  </si>
  <si>
    <t xml:space="preserve">CA-2014-123260</t>
  </si>
  <si>
    <t xml:space="preserve">CA-2016-157000</t>
  </si>
  <si>
    <t xml:space="preserve">CA-2015-102281</t>
  </si>
  <si>
    <t xml:space="preserve">CA-2015-131457</t>
  </si>
  <si>
    <t xml:space="preserve">CA-2014-140004</t>
  </si>
  <si>
    <t xml:space="preserve">CA-2017-107720</t>
  </si>
  <si>
    <t xml:space="preserve">New Jersey</t>
  </si>
  <si>
    <t xml:space="preserve">US-2017-124303</t>
  </si>
  <si>
    <t xml:space="preserve">CA-2017-105074</t>
  </si>
  <si>
    <t xml:space="preserve">CA-2014-133690</t>
  </si>
  <si>
    <t xml:space="preserve">US-2017-116701</t>
  </si>
  <si>
    <t xml:space="preserve">CA-2017-126382</t>
  </si>
  <si>
    <t xml:space="preserve">CA-2017-108329</t>
  </si>
  <si>
    <t xml:space="preserve">CA-2017-135860</t>
  </si>
  <si>
    <t xml:space="preserve">CA-2015-101007</t>
  </si>
  <si>
    <t xml:space="preserve">CA-2015-146262</t>
  </si>
  <si>
    <t xml:space="preserve">CA-2016-130162</t>
  </si>
  <si>
    <t xml:space="preserve">CA-2015-169397</t>
  </si>
  <si>
    <t xml:space="preserve">CA-2015-163055</t>
  </si>
  <si>
    <t xml:space="preserve">US-2015-145436</t>
  </si>
  <si>
    <t xml:space="preserve">US-2014-156216</t>
  </si>
  <si>
    <t xml:space="preserve">US-2017-100930</t>
  </si>
  <si>
    <t xml:space="preserve">CA-2017-160514</t>
  </si>
  <si>
    <t xml:space="preserve">CA-2016-157749</t>
  </si>
  <si>
    <t xml:space="preserve">CA-2014-131926</t>
  </si>
  <si>
    <t xml:space="preserve">CA-2016-154739</t>
  </si>
  <si>
    <t xml:space="preserve">CA-2016-145625</t>
  </si>
  <si>
    <t xml:space="preserve">CA-2016-146941</t>
  </si>
  <si>
    <t xml:space="preserve">US-2015-159982</t>
  </si>
  <si>
    <t xml:space="preserve">CA-2017-163139</t>
  </si>
  <si>
    <t xml:space="preserve">US-2017-155299</t>
  </si>
  <si>
    <t xml:space="preserve">US-2014-106992</t>
  </si>
  <si>
    <t xml:space="preserve">CA-2016-125318</t>
  </si>
  <si>
    <t xml:space="preserve">CA-2015-155040</t>
  </si>
  <si>
    <t xml:space="preserve">CA-2017-136826</t>
  </si>
  <si>
    <t xml:space="preserve">CA-2016-111010</t>
  </si>
  <si>
    <t xml:space="preserve">US-2017-145366</t>
  </si>
  <si>
    <t xml:space="preserve">CA-2017-163979</t>
  </si>
  <si>
    <t xml:space="preserve">CA-2015-155334</t>
  </si>
  <si>
    <t xml:space="preserve">CA-2017-118136</t>
  </si>
  <si>
    <t xml:space="preserve">CA-2017-132976</t>
  </si>
  <si>
    <t xml:space="preserve">US-2015-161991</t>
  </si>
  <si>
    <t xml:space="preserve">CA-2015-130890</t>
  </si>
  <si>
    <t xml:space="preserve">CA-2015-130883</t>
  </si>
  <si>
    <t xml:space="preserve">CA-2016-112697</t>
  </si>
  <si>
    <t xml:space="preserve">CA-2016-110772</t>
  </si>
  <si>
    <t xml:space="preserve">CA-2014-111451</t>
  </si>
  <si>
    <t xml:space="preserve">CA-2016-142545</t>
  </si>
  <si>
    <t xml:space="preserve">US-2017-152380</t>
  </si>
  <si>
    <t xml:space="preserve">CA-2015-144253</t>
  </si>
  <si>
    <t xml:space="preserve">CA-2014-130960</t>
  </si>
  <si>
    <t xml:space="preserve">CA-2014-111003</t>
  </si>
  <si>
    <t xml:space="preserve">CA-2017-126774</t>
  </si>
  <si>
    <t xml:space="preserve">CA-2016-142902</t>
  </si>
  <si>
    <t xml:space="preserve">CA-2014-120887</t>
  </si>
  <si>
    <t xml:space="preserve">CA-2014-167850</t>
  </si>
  <si>
    <t xml:space="preserve">CA-2014-164259</t>
  </si>
  <si>
    <t xml:space="preserve">CA-2014-164973</t>
  </si>
  <si>
    <t xml:space="preserve">CA-2014-156601</t>
  </si>
  <si>
    <t xml:space="preserve">CA-2016-162138</t>
  </si>
  <si>
    <t xml:space="preserve">CA-2017-153339</t>
  </si>
  <si>
    <t xml:space="preserve">US-2016-141544</t>
  </si>
  <si>
    <t xml:space="preserve">US-2016-150147</t>
  </si>
  <si>
    <t xml:space="preserve">CA-2015-137946</t>
  </si>
  <si>
    <t xml:space="preserve">CA-2014-129924</t>
  </si>
  <si>
    <t xml:space="preserve">CA-2015-128167</t>
  </si>
  <si>
    <t xml:space="preserve">CA-2014-122336</t>
  </si>
  <si>
    <t xml:space="preserve">US-2015-120712</t>
  </si>
  <si>
    <t xml:space="preserve">CA-2017-169901</t>
  </si>
  <si>
    <t xml:space="preserve">CA-2017-134306</t>
  </si>
  <si>
    <t xml:space="preserve">Massachusetts</t>
  </si>
  <si>
    <t xml:space="preserve">CA-2016-129714</t>
  </si>
  <si>
    <t xml:space="preserve">CA-2016-138520</t>
  </si>
  <si>
    <t xml:space="preserve">CA-2016-130001</t>
  </si>
  <si>
    <t xml:space="preserve">CA-2017-155698</t>
  </si>
  <si>
    <t xml:space="preserve">Georgia</t>
  </si>
  <si>
    <t xml:space="preserve">CA-2017-144904</t>
  </si>
  <si>
    <t xml:space="preserve">CA-2014-123344</t>
  </si>
  <si>
    <t xml:space="preserve">CA-2016-155516</t>
  </si>
  <si>
    <t xml:space="preserve">CA-2017-104745</t>
  </si>
  <si>
    <t xml:space="preserve">US-2014-119137</t>
  </si>
  <si>
    <t xml:space="preserve">US-2016-134656</t>
  </si>
  <si>
    <t xml:space="preserve">US-2017-134481</t>
  </si>
  <si>
    <t xml:space="preserve">CA-2015-130792</t>
  </si>
  <si>
    <t xml:space="preserve">CA-2016-134775</t>
  </si>
  <si>
    <t xml:space="preserve">CA-2015-125395</t>
  </si>
  <si>
    <t xml:space="preserve">US-2015-168935</t>
  </si>
  <si>
    <t xml:space="preserve">CA-2015-122756</t>
  </si>
  <si>
    <t xml:space="preserve">CA-2014-115973</t>
  </si>
  <si>
    <t xml:space="preserve">CA-2017-101798</t>
  </si>
  <si>
    <t xml:space="preserve">US-2014-135972</t>
  </si>
  <si>
    <t xml:space="preserve">US-2014-134971</t>
  </si>
  <si>
    <t xml:space="preserve">CA-2017-102946</t>
  </si>
  <si>
    <t xml:space="preserve">Nevada</t>
  </si>
  <si>
    <t xml:space="preserve">CA-2017-165603</t>
  </si>
  <si>
    <t xml:space="preserve">Rhode Island</t>
  </si>
  <si>
    <t xml:space="preserve">CA-2015-122259</t>
  </si>
  <si>
    <t xml:space="preserve">CA-2016-108987</t>
  </si>
  <si>
    <t xml:space="preserve">CA-2014-113166</t>
  </si>
  <si>
    <t xml:space="preserve">CA-2014-155208</t>
  </si>
  <si>
    <t xml:space="preserve">CA-2017-117933</t>
  </si>
  <si>
    <t xml:space="preserve">CA-2017-117457</t>
  </si>
  <si>
    <t xml:space="preserve">CA-2017-142636</t>
  </si>
  <si>
    <t xml:space="preserve">CA-2017-122105</t>
  </si>
  <si>
    <t xml:space="preserve">CA-2016-148796</t>
  </si>
  <si>
    <t xml:space="preserve">CA-2017-154816</t>
  </si>
  <si>
    <t xml:space="preserve">CA-2017-110478</t>
  </si>
  <si>
    <t xml:space="preserve">CA-2014-142048</t>
  </si>
  <si>
    <t xml:space="preserve">CA-2017-125388</t>
  </si>
  <si>
    <t xml:space="preserve">CA-2017-155705</t>
  </si>
  <si>
    <t xml:space="preserve">Mississippi</t>
  </si>
  <si>
    <t xml:space="preserve">CA-2017-149160</t>
  </si>
  <si>
    <t xml:space="preserve">CA-2014-101476</t>
  </si>
  <si>
    <t xml:space="preserve">CA-2017-152275</t>
  </si>
  <si>
    <t xml:space="preserve">US-2016-123750</t>
  </si>
  <si>
    <t xml:space="preserve">CA-2016-127369</t>
  </si>
  <si>
    <t xml:space="preserve">US-2014-150574</t>
  </si>
  <si>
    <t xml:space="preserve">CA-2016-147375</t>
  </si>
  <si>
    <t xml:space="preserve">CA-2017-130043</t>
  </si>
  <si>
    <t xml:space="preserve">CA-2017-157252</t>
  </si>
  <si>
    <t xml:space="preserve">CA-2016-115756</t>
  </si>
  <si>
    <t xml:space="preserve">CA-2017-154214</t>
  </si>
  <si>
    <t xml:space="preserve">CA-2016-166674</t>
  </si>
  <si>
    <t xml:space="preserve">CA-2017-147277</t>
  </si>
  <si>
    <t xml:space="preserve">CA-2016-100153</t>
  </si>
  <si>
    <t xml:space="preserve">US-2014-110674</t>
  </si>
  <si>
    <t xml:space="preserve">US-2016-157945</t>
  </si>
  <si>
    <t xml:space="preserve">CA-2015-109638</t>
  </si>
  <si>
    <t xml:space="preserve">CA-2016-109869</t>
  </si>
  <si>
    <t xml:space="preserve">US-2015-101399</t>
  </si>
  <si>
    <t xml:space="preserve">CA-2017-154907</t>
  </si>
  <si>
    <t xml:space="preserve">US-2016-100419</t>
  </si>
  <si>
    <t xml:space="preserve">CA-2015-154144</t>
  </si>
  <si>
    <t xml:space="preserve">CA-2014-144666</t>
  </si>
  <si>
    <t xml:space="preserve">CA-2016-103891</t>
  </si>
  <si>
    <t xml:space="preserve">CA-2016-152632</t>
  </si>
  <si>
    <t xml:space="preserve">CA-2016-100790</t>
  </si>
  <si>
    <t xml:space="preserve">CA-2014-134677</t>
  </si>
  <si>
    <t xml:space="preserve">CA-2014-127691</t>
  </si>
  <si>
    <t xml:space="preserve">CA-2017-140963</t>
  </si>
  <si>
    <t xml:space="preserve">CA-2014-154627</t>
  </si>
  <si>
    <t xml:space="preserve">CA-2014-133753</t>
  </si>
  <si>
    <t xml:space="preserve">CA-2014-113362</t>
  </si>
  <si>
    <t xml:space="preserve">CA-2016-169166</t>
  </si>
  <si>
    <t xml:space="preserve">US-2016-120929</t>
  </si>
  <si>
    <t xml:space="preserve">CA-2015-134782</t>
  </si>
  <si>
    <t xml:space="preserve">Arkansas</t>
  </si>
  <si>
    <t xml:space="preserve">CA-2016-126158</t>
  </si>
  <si>
    <t xml:space="preserve">US-2016-105578</t>
  </si>
  <si>
    <t xml:space="preserve">CA-2017-134978</t>
  </si>
  <si>
    <t xml:space="preserve">CA-2015-145352</t>
  </si>
  <si>
    <t xml:space="preserve">CA-2017-135307</t>
  </si>
  <si>
    <t xml:space="preserve">CA-2016-106341</t>
  </si>
  <si>
    <t xml:space="preserve">CA-2017-163405</t>
  </si>
  <si>
    <t xml:space="preserve">CA-2017-127432</t>
  </si>
  <si>
    <t xml:space="preserve">Montana</t>
  </si>
  <si>
    <t xml:space="preserve">CA-2015-157812</t>
  </si>
  <si>
    <t xml:space="preserve">CA-2017-145142</t>
  </si>
  <si>
    <t xml:space="preserve">US-2016-139486</t>
  </si>
  <si>
    <t xml:space="preserve">CA-2015-158792</t>
  </si>
  <si>
    <t xml:space="preserve">CA-2017-113558</t>
  </si>
  <si>
    <t xml:space="preserve">US-2015-138303</t>
  </si>
  <si>
    <t xml:space="preserve">CA-2015-102848</t>
  </si>
  <si>
    <t xml:space="preserve">US-2017-129441</t>
  </si>
  <si>
    <t xml:space="preserve">CA-2016-168753</t>
  </si>
  <si>
    <t xml:space="preserve">CA-2016-126613</t>
  </si>
  <si>
    <t xml:space="preserve">US-2017-122637</t>
  </si>
  <si>
    <t xml:space="preserve">CA-2015-147851</t>
  </si>
  <si>
    <t xml:space="preserve">CA-2015-134894</t>
  </si>
  <si>
    <t xml:space="preserve">CA-2014-140795</t>
  </si>
  <si>
    <t xml:space="preserve">CA-2016-136924</t>
  </si>
  <si>
    <t xml:space="preserve">US-2015-120161</t>
  </si>
  <si>
    <t xml:space="preserve">CA-2014-103849</t>
  </si>
  <si>
    <t xml:space="preserve">CA-2017-162929</t>
  </si>
  <si>
    <t xml:space="preserve">CA-2015-113173</t>
  </si>
  <si>
    <t xml:space="preserve">CA-2016-136406</t>
  </si>
  <si>
    <t xml:space="preserve">CA-2017-112774</t>
  </si>
  <si>
    <t xml:space="preserve">CA-2017-101945</t>
  </si>
  <si>
    <t xml:space="preserve">CA-2017-100650</t>
  </si>
  <si>
    <t xml:space="preserve">CA-2014-155852</t>
  </si>
  <si>
    <t xml:space="preserve">CA-2016-113243</t>
  </si>
  <si>
    <t xml:space="preserve">CA-2017-118731</t>
  </si>
  <si>
    <t xml:space="preserve">CA-2014-145576</t>
  </si>
  <si>
    <t xml:space="preserve">CA-2015-130736</t>
  </si>
  <si>
    <t xml:space="preserve">CA-2017-137099</t>
  </si>
  <si>
    <t xml:space="preserve">CA-2017-156951</t>
  </si>
  <si>
    <t xml:space="preserve">CA-2017-164826</t>
  </si>
  <si>
    <t xml:space="preserve">CA-2016-127250</t>
  </si>
  <si>
    <t xml:space="preserve">CA-2015-149713</t>
  </si>
  <si>
    <t xml:space="preserve">CA-2017-118640</t>
  </si>
  <si>
    <t xml:space="preserve">CA-2015-132906</t>
  </si>
  <si>
    <t xml:space="preserve">CA-2017-145233</t>
  </si>
  <si>
    <t xml:space="preserve">CA-2015-128139</t>
  </si>
  <si>
    <t xml:space="preserve">US-2016-156986</t>
  </si>
  <si>
    <t xml:space="preserve">CA-2014-135405</t>
  </si>
  <si>
    <t xml:space="preserve">CA-2014-131450</t>
  </si>
  <si>
    <t xml:space="preserve">CA-2016-120180</t>
  </si>
  <si>
    <t xml:space="preserve">US-2016-100720</t>
  </si>
  <si>
    <t xml:space="preserve">CA-2014-149958</t>
  </si>
  <si>
    <t xml:space="preserve">US-2014-105767</t>
  </si>
  <si>
    <t xml:space="preserve">CA-2016-161816</t>
  </si>
  <si>
    <t xml:space="preserve">CA-2016-121223</t>
  </si>
  <si>
    <t xml:space="preserve">CA-2017-138611</t>
  </si>
  <si>
    <t xml:space="preserve">CA-2017-117947</t>
  </si>
  <si>
    <t xml:space="preserve">US-2014-111171</t>
  </si>
  <si>
    <t xml:space="preserve">CA-2015-138009</t>
  </si>
  <si>
    <t xml:space="preserve">CA-2017-163020</t>
  </si>
  <si>
    <t xml:space="preserve">CA-2017-153787</t>
  </si>
  <si>
    <t xml:space="preserve">CA-2017-133431</t>
  </si>
  <si>
    <t xml:space="preserve">US-2016-135720</t>
  </si>
  <si>
    <t xml:space="preserve">CA-2017-144694</t>
  </si>
  <si>
    <t xml:space="preserve">CA-2015-168004</t>
  </si>
  <si>
    <t xml:space="preserve">US-2016-123470</t>
  </si>
  <si>
    <t xml:space="preserve">CA-2016-115917</t>
  </si>
  <si>
    <t xml:space="preserve">CA-2016-147067</t>
  </si>
  <si>
    <t xml:space="preserve">CA-2017-167913</t>
  </si>
  <si>
    <t xml:space="preserve">CA-2017-106103</t>
  </si>
  <si>
    <t xml:space="preserve">US-2017-127719</t>
  </si>
  <si>
    <t xml:space="preserve">CA-2017-126221</t>
  </si>
  <si>
    <t xml:space="preserve">CA-2016-103947</t>
  </si>
  <si>
    <t xml:space="preserve">CA-2016-160745</t>
  </si>
  <si>
    <t xml:space="preserve">CA-2016-132661</t>
  </si>
  <si>
    <t xml:space="preserve">CA-2017-140844</t>
  </si>
  <si>
    <t xml:space="preserve">CA-2016-137239</t>
  </si>
  <si>
    <t xml:space="preserve">US-2016-156097</t>
  </si>
  <si>
    <t xml:space="preserve">CA-2015-146563</t>
  </si>
  <si>
    <t xml:space="preserve">CA-2016-123666</t>
  </si>
  <si>
    <t xml:space="preserve">CA-2016-143308</t>
  </si>
  <si>
    <t xml:space="preserve">CA-2017-132682</t>
  </si>
  <si>
    <t xml:space="preserve">CA-2014-156314</t>
  </si>
  <si>
    <t xml:space="preserve">US-2017-106663</t>
  </si>
  <si>
    <t xml:space="preserve">CA-2017-111178</t>
  </si>
  <si>
    <t xml:space="preserve">CA-2017-130351</t>
  </si>
  <si>
    <t xml:space="preserve">US-2017-119438</t>
  </si>
  <si>
    <t xml:space="preserve">CA-2016-164511</t>
  </si>
  <si>
    <t xml:space="preserve">US-2017-168116</t>
  </si>
  <si>
    <t xml:space="preserve">CA-2014-157784</t>
  </si>
  <si>
    <t xml:space="preserve">CA-2017-161480</t>
  </si>
  <si>
    <t xml:space="preserve">US-2014-117135</t>
  </si>
  <si>
    <t xml:space="preserve">CA-2015-131534</t>
  </si>
  <si>
    <t xml:space="preserve">CA-2015-119291</t>
  </si>
  <si>
    <t xml:space="preserve">CA-2017-114552</t>
  </si>
  <si>
    <t xml:space="preserve">CA-2016-163755</t>
  </si>
  <si>
    <t xml:space="preserve">CA-2015-142027</t>
  </si>
  <si>
    <t xml:space="preserve">CA-2014-138527</t>
  </si>
  <si>
    <t xml:space="preserve">CA-2014-112158</t>
  </si>
  <si>
    <t xml:space="preserve">CA-2014-113887</t>
  </si>
  <si>
    <t xml:space="preserve">CA-2017-146136</t>
  </si>
  <si>
    <t xml:space="preserve">US-2017-100048</t>
  </si>
  <si>
    <t xml:space="preserve">CA-2014-153150</t>
  </si>
  <si>
    <t xml:space="preserve">CA-2014-130092</t>
  </si>
  <si>
    <t xml:space="preserve">CA-2017-108910</t>
  </si>
  <si>
    <t xml:space="preserve">CA-2014-104472</t>
  </si>
  <si>
    <t xml:space="preserve">CA-2016-112942</t>
  </si>
  <si>
    <t xml:space="preserve">CA-2016-142335</t>
  </si>
  <si>
    <t xml:space="preserve">CA-2014-117429</t>
  </si>
  <si>
    <t xml:space="preserve">CA-2016-114713</t>
  </si>
  <si>
    <t xml:space="preserve">CA-2017-144113</t>
  </si>
  <si>
    <t xml:space="preserve">US-2016-150861</t>
  </si>
  <si>
    <t xml:space="preserve">CA-2017-131954</t>
  </si>
  <si>
    <t xml:space="preserve">CA-2014-132500</t>
  </si>
  <si>
    <t xml:space="preserve">CA-2014-112326</t>
  </si>
  <si>
    <t xml:space="preserve">US-2016-146710</t>
  </si>
  <si>
    <t xml:space="preserve">CA-2014-124429</t>
  </si>
  <si>
    <t xml:space="preserve">CA-2016-150889</t>
  </si>
  <si>
    <t xml:space="preserve">CA-2017-126074</t>
  </si>
  <si>
    <t xml:space="preserve">CA-2016-110499</t>
  </si>
  <si>
    <t xml:space="preserve">CA-2015-135272</t>
  </si>
  <si>
    <t xml:space="preserve">CA-2016-140928</t>
  </si>
  <si>
    <t xml:space="preserve">CA-2014-106803</t>
  </si>
  <si>
    <t xml:space="preserve">CA-2017-117240</t>
  </si>
  <si>
    <t xml:space="preserve">CA-2017-133333</t>
  </si>
  <si>
    <t xml:space="preserve">CA-2015-112319</t>
  </si>
  <si>
    <t xml:space="preserve">CA-2017-126046</t>
  </si>
  <si>
    <t xml:space="preserve">CA-2015-114923</t>
  </si>
  <si>
    <t xml:space="preserve">CA-2014-162775</t>
  </si>
  <si>
    <t xml:space="preserve">CA-2014-106810</t>
  </si>
  <si>
    <t xml:space="preserve">CA-2016-157245</t>
  </si>
  <si>
    <t xml:space="preserve">CA-2017-104220</t>
  </si>
  <si>
    <t xml:space="preserve">CA-2014-165974</t>
  </si>
  <si>
    <t xml:space="preserve">CA-2015-144267</t>
  </si>
  <si>
    <t xml:space="preserve">US-2015-157014</t>
  </si>
  <si>
    <t xml:space="preserve">CA-2015-154921</t>
  </si>
  <si>
    <t xml:space="preserve">CA-2017-129567</t>
  </si>
  <si>
    <t xml:space="preserve">CA-2015-154620</t>
  </si>
  <si>
    <t xml:space="preserve">CA-2015-115938</t>
  </si>
  <si>
    <t xml:space="preserve">CA-2016-105256</t>
  </si>
  <si>
    <t xml:space="preserve">CA-2014-156433</t>
  </si>
  <si>
    <t xml:space="preserve">CA-2017-151428</t>
  </si>
  <si>
    <t xml:space="preserve">CA-2015-124653</t>
  </si>
  <si>
    <t xml:space="preserve">CA-2015-101910</t>
  </si>
  <si>
    <t xml:space="preserve">CA-2017-105809</t>
  </si>
  <si>
    <t xml:space="preserve">CA-2016-136133</t>
  </si>
  <si>
    <t xml:space="preserve">CA-2016-115504</t>
  </si>
  <si>
    <t xml:space="preserve">CA-2017-135783</t>
  </si>
  <si>
    <t xml:space="preserve">CA-2014-134313</t>
  </si>
  <si>
    <t xml:space="preserve">CA-2015-140921</t>
  </si>
  <si>
    <t xml:space="preserve">CA-2014-151995</t>
  </si>
  <si>
    <t xml:space="preserve">CA-2017-143686</t>
  </si>
  <si>
    <t xml:space="preserve">CA-2015-106565</t>
  </si>
  <si>
    <t xml:space="preserve">CA-2016-149370</t>
  </si>
  <si>
    <t xml:space="preserve">CA-2014-140858</t>
  </si>
  <si>
    <t xml:space="preserve">CA-2017-101434</t>
  </si>
  <si>
    <t xml:space="preserve">US-2014-102071</t>
  </si>
  <si>
    <t xml:space="preserve">CA-2017-126956</t>
  </si>
  <si>
    <t xml:space="preserve">CA-2017-129462</t>
  </si>
  <si>
    <t xml:space="preserve">CA-2016-165316</t>
  </si>
  <si>
    <t xml:space="preserve">US-2014-115987</t>
  </si>
  <si>
    <t xml:space="preserve">US-2017-156083</t>
  </si>
  <si>
    <t xml:space="preserve">US-2016-137547</t>
  </si>
  <si>
    <t xml:space="preserve">CA-2015-100454</t>
  </si>
  <si>
    <t xml:space="preserve">CA-2016-161669</t>
  </si>
  <si>
    <t xml:space="preserve">CA-2015-114300</t>
  </si>
  <si>
    <t xml:space="preserve">CA-2017-107503</t>
  </si>
  <si>
    <t xml:space="preserve">CA-2014-107755</t>
  </si>
  <si>
    <t xml:space="preserve">CA-2016-152534</t>
  </si>
  <si>
    <t xml:space="preserve">CA-2016-113747</t>
  </si>
  <si>
    <t xml:space="preserve">CA-2016-123274</t>
  </si>
  <si>
    <t xml:space="preserve">CA-2014-125612</t>
  </si>
  <si>
    <t xml:space="preserve">CA-2017-161984</t>
  </si>
  <si>
    <t xml:space="preserve">CA-2014-133851</t>
  </si>
  <si>
    <t xml:space="preserve">CA-2016-134474</t>
  </si>
  <si>
    <t xml:space="preserve">CA-2014-149020</t>
  </si>
  <si>
    <t xml:space="preserve">CA-2016-134362</t>
  </si>
  <si>
    <t xml:space="preserve">CA-2014-136742</t>
  </si>
  <si>
    <t xml:space="preserve">CA-2016-158099</t>
  </si>
  <si>
    <t xml:space="preserve">CA-2015-131128</t>
  </si>
  <si>
    <t xml:space="preserve">New Hampshire</t>
  </si>
  <si>
    <t xml:space="preserve">CA-2014-148488</t>
  </si>
  <si>
    <t xml:space="preserve">CA-2017-114636</t>
  </si>
  <si>
    <t xml:space="preserve">CA-2016-116736</t>
  </si>
  <si>
    <t xml:space="preserve">US-2014-158638</t>
  </si>
  <si>
    <t xml:space="preserve">CA-2017-111689</t>
  </si>
  <si>
    <t xml:space="preserve">CA-2015-129098</t>
  </si>
  <si>
    <t xml:space="preserve">US-2017-123463</t>
  </si>
  <si>
    <t xml:space="preserve">CA-2016-165148</t>
  </si>
  <si>
    <t xml:space="preserve">CA-2014-134061</t>
  </si>
  <si>
    <t xml:space="preserve">CA-2015-143602</t>
  </si>
  <si>
    <t xml:space="preserve">CA-2017-115364</t>
  </si>
  <si>
    <t xml:space="preserve">CA-2017-150707</t>
  </si>
  <si>
    <t xml:space="preserve">Maryland</t>
  </si>
  <si>
    <t xml:space="preserve">CA-2014-104976</t>
  </si>
  <si>
    <t xml:space="preserve">CA-2017-132934</t>
  </si>
  <si>
    <t xml:space="preserve">CA-2017-133256</t>
  </si>
  <si>
    <t xml:space="preserve">CA-2016-105494</t>
  </si>
  <si>
    <t xml:space="preserve">CA-2016-140634</t>
  </si>
  <si>
    <t xml:space="preserve">CA-2014-144407</t>
  </si>
  <si>
    <t xml:space="preserve">CA-2017-160983</t>
  </si>
  <si>
    <t xml:space="preserve">US-2016-114622</t>
  </si>
  <si>
    <t xml:space="preserve">CA-2017-150959</t>
  </si>
  <si>
    <t xml:space="preserve">CA-2017-132353</t>
  </si>
  <si>
    <t xml:space="preserve">CA-2016-130477</t>
  </si>
  <si>
    <t xml:space="preserve">CA-2017-143259</t>
  </si>
  <si>
    <t xml:space="preserve">CA-2017-137596</t>
  </si>
  <si>
    <t xml:space="preserve">CA-2015-133627</t>
  </si>
  <si>
    <t xml:space="preserve">CA-2017-102519</t>
  </si>
  <si>
    <t xml:space="preserve">US-2014-141215</t>
  </si>
  <si>
    <t xml:space="preserve">CA-2016-165218</t>
  </si>
  <si>
    <t xml:space="preserve">CA-2014-138296</t>
  </si>
  <si>
    <t xml:space="preserve">CA-2015-111164</t>
  </si>
  <si>
    <t xml:space="preserve">CA-2016-149797</t>
  </si>
  <si>
    <t xml:space="preserve">CA-2014-132962</t>
  </si>
  <si>
    <t xml:space="preserve">CA-2015-115091</t>
  </si>
  <si>
    <t xml:space="preserve">CA-2017-144932</t>
  </si>
  <si>
    <t xml:space="preserve">CA-2017-114216</t>
  </si>
  <si>
    <t xml:space="preserve">CA-2016-140081</t>
  </si>
  <si>
    <t xml:space="preserve">US-2017-111745</t>
  </si>
  <si>
    <t xml:space="preserve">CA-2015-148250</t>
  </si>
  <si>
    <t xml:space="preserve">CA-2016-105760</t>
  </si>
  <si>
    <t xml:space="preserve">CA-2016-142958</t>
  </si>
  <si>
    <t xml:space="preserve">CA-2015-120880</t>
  </si>
  <si>
    <t xml:space="preserve">US-2015-140200</t>
  </si>
  <si>
    <t xml:space="preserve">US-2017-110576</t>
  </si>
  <si>
    <t xml:space="preserve">CA-2017-131156</t>
  </si>
  <si>
    <t xml:space="preserve">CA-2017-136539</t>
  </si>
  <si>
    <t xml:space="preserve">CA-2017-119305</t>
  </si>
  <si>
    <t xml:space="preserve">CA-2017-102414</t>
  </si>
  <si>
    <t xml:space="preserve">CA-2015-112571</t>
  </si>
  <si>
    <t xml:space="preserve">CA-2017-152142</t>
  </si>
  <si>
    <t xml:space="preserve">CA-2015-160059</t>
  </si>
  <si>
    <t xml:space="preserve">CA-2016-120859</t>
  </si>
  <si>
    <t xml:space="preserve">CA-2014-127488</t>
  </si>
  <si>
    <t xml:space="preserve">CA-2017-135279</t>
  </si>
  <si>
    <t xml:space="preserve">CA-2014-115791</t>
  </si>
  <si>
    <t xml:space="preserve">US-2017-103247</t>
  </si>
  <si>
    <t xml:space="preserve">US-2017-100209</t>
  </si>
  <si>
    <t xml:space="preserve">CA-2017-159366</t>
  </si>
  <si>
    <t xml:space="preserve">CA-2016-145499</t>
  </si>
  <si>
    <t xml:space="preserve">CA-2015-157035</t>
  </si>
  <si>
    <t xml:space="preserve">CA-2016-144939</t>
  </si>
  <si>
    <t xml:space="preserve">CA-2014-163419</t>
  </si>
  <si>
    <t xml:space="preserve">CA-2017-100314</t>
  </si>
  <si>
    <t xml:space="preserve">CA-2015-146829</t>
  </si>
  <si>
    <t xml:space="preserve">CA-2017-167899</t>
  </si>
  <si>
    <t xml:space="preserve">CA-2015-153549</t>
  </si>
  <si>
    <t xml:space="preserve">CA-2016-110023</t>
  </si>
  <si>
    <t xml:space="preserve">CA-2016-105585</t>
  </si>
  <si>
    <t xml:space="preserve">CA-2014-117639</t>
  </si>
  <si>
    <t xml:space="preserve">CA-2015-162537</t>
  </si>
  <si>
    <t xml:space="preserve">CA-2016-155488</t>
  </si>
  <si>
    <t xml:space="preserve">CA-2015-124891</t>
  </si>
  <si>
    <t xml:space="preserve">CA-2015-126445</t>
  </si>
  <si>
    <t xml:space="preserve">CA-2015-111199</t>
  </si>
  <si>
    <t xml:space="preserve">CA-2015-105312</t>
  </si>
  <si>
    <t xml:space="preserve">US-2017-106705</t>
  </si>
  <si>
    <t xml:space="preserve">CA-2017-135034</t>
  </si>
  <si>
    <t xml:space="preserve">CA-2014-158540</t>
  </si>
  <si>
    <t xml:space="preserve">CA-2017-118437</t>
  </si>
  <si>
    <t xml:space="preserve">US-2015-126214</t>
  </si>
  <si>
    <t xml:space="preserve">CA-2015-133025</t>
  </si>
  <si>
    <t xml:space="preserve">CA-2015-108665</t>
  </si>
  <si>
    <t xml:space="preserve">CA-2015-124450</t>
  </si>
  <si>
    <t xml:space="preserve">District of Columbia</t>
  </si>
  <si>
    <t xml:space="preserve">CA-2015-167269</t>
  </si>
  <si>
    <t xml:space="preserve">CA-2017-106964</t>
  </si>
  <si>
    <t xml:space="preserve">CA-2016-126529</t>
  </si>
  <si>
    <t xml:space="preserve">CA-2014-163552</t>
  </si>
  <si>
    <t xml:space="preserve">CA-2016-109820</t>
  </si>
  <si>
    <t xml:space="preserve">CA-2016-113061</t>
  </si>
  <si>
    <t xml:space="preserve">CA-2015-127418</t>
  </si>
  <si>
    <t xml:space="preserve">CA-2017-121818</t>
  </si>
  <si>
    <t xml:space="preserve">CA-2016-127670</t>
  </si>
  <si>
    <t xml:space="preserve">CA-2016-102981</t>
  </si>
  <si>
    <t xml:space="preserve">CA-2017-115651</t>
  </si>
  <si>
    <t xml:space="preserve">CA-2017-152702</t>
  </si>
  <si>
    <t xml:space="preserve">CA-2016-169103</t>
  </si>
  <si>
    <t xml:space="preserve">CA-2014-139192</t>
  </si>
  <si>
    <t xml:space="preserve">US-2015-153500</t>
  </si>
  <si>
    <t xml:space="preserve">CA-2015-110667</t>
  </si>
  <si>
    <t xml:space="preserve">CA-2017-167150</t>
  </si>
  <si>
    <t xml:space="preserve">CA-2016-105284</t>
  </si>
  <si>
    <t xml:space="preserve">US-2015-125374</t>
  </si>
  <si>
    <t xml:space="preserve">CA-2015-161263</t>
  </si>
  <si>
    <t xml:space="preserve">CA-2016-157686</t>
  </si>
  <si>
    <t xml:space="preserve">US-2017-139955</t>
  </si>
  <si>
    <t xml:space="preserve">US-2015-150161</t>
  </si>
  <si>
    <t xml:space="preserve">CA-2015-144652</t>
  </si>
  <si>
    <t xml:space="preserve">CA-2016-152814</t>
  </si>
  <si>
    <t xml:space="preserve">CA-2017-106943</t>
  </si>
  <si>
    <t xml:space="preserve">CA-2016-134348</t>
  </si>
  <si>
    <t xml:space="preserve">CA-2016-161781</t>
  </si>
  <si>
    <t xml:space="preserve">CA-2017-132521</t>
  </si>
  <si>
    <t xml:space="preserve">CA-2015-110016</t>
  </si>
  <si>
    <t xml:space="preserve">US-2016-143819</t>
  </si>
  <si>
    <t xml:space="preserve">CA-2016-167584</t>
  </si>
  <si>
    <t xml:space="preserve">CA-2016-166163</t>
  </si>
  <si>
    <t xml:space="preserve">CA-2017-158407</t>
  </si>
  <si>
    <t xml:space="preserve">CA-2015-143490</t>
  </si>
  <si>
    <t xml:space="preserve">CA-2015-165085</t>
  </si>
  <si>
    <t xml:space="preserve">CA-2017-160423</t>
  </si>
  <si>
    <t xml:space="preserve">CA-2014-159338</t>
  </si>
  <si>
    <t xml:space="preserve">CA-2016-107216</t>
  </si>
  <si>
    <t xml:space="preserve">US-2017-145863</t>
  </si>
  <si>
    <t xml:space="preserve">CA-2016-112340</t>
  </si>
  <si>
    <t xml:space="preserve">US-2016-110156</t>
  </si>
  <si>
    <t xml:space="preserve">CA-2017-140585</t>
  </si>
  <si>
    <t xml:space="preserve">CA-2016-144855</t>
  </si>
  <si>
    <t xml:space="preserve">CA-2015-142755</t>
  </si>
  <si>
    <t xml:space="preserve">US-2014-147627</t>
  </si>
  <si>
    <t xml:space="preserve">CA-2015-105970</t>
  </si>
  <si>
    <t xml:space="preserve">CA-2016-112102</t>
  </si>
  <si>
    <t xml:space="preserve">US-2016-114776</t>
  </si>
  <si>
    <t xml:space="preserve">US-2016-134908</t>
  </si>
  <si>
    <t xml:space="preserve">US-2016-148803</t>
  </si>
  <si>
    <t xml:space="preserve">CA-2016-152170</t>
  </si>
  <si>
    <t xml:space="preserve">CA-2014-146969</t>
  </si>
  <si>
    <t xml:space="preserve">CA-2015-112452</t>
  </si>
  <si>
    <t xml:space="preserve">CA-2015-113971</t>
  </si>
  <si>
    <t xml:space="preserve">CA-2017-160395</t>
  </si>
  <si>
    <t xml:space="preserve">CA-2014-136567</t>
  </si>
  <si>
    <t xml:space="preserve">CA-2016-149314</t>
  </si>
  <si>
    <t xml:space="preserve">CA-2017-147039</t>
  </si>
  <si>
    <t xml:space="preserve">CA-2014-126522</t>
  </si>
  <si>
    <t xml:space="preserve">CA-2014-127964</t>
  </si>
  <si>
    <t xml:space="preserve">CA-2014-117709</t>
  </si>
  <si>
    <t xml:space="preserve">CA-2015-125416</t>
  </si>
  <si>
    <t xml:space="preserve">CA-2017-145226</t>
  </si>
  <si>
    <t xml:space="preserve">US-2014-100279</t>
  </si>
  <si>
    <t xml:space="preserve">CA-2014-158064</t>
  </si>
  <si>
    <t xml:space="preserve">US-2015-104430</t>
  </si>
  <si>
    <t xml:space="preserve">CA-2015-132080</t>
  </si>
  <si>
    <t xml:space="preserve">CA-2016-161207</t>
  </si>
  <si>
    <t xml:space="preserve">CA-2014-120243</t>
  </si>
  <si>
    <t xml:space="preserve">CA-2016-113621</t>
  </si>
  <si>
    <t xml:space="preserve">CA-2016-168081</t>
  </si>
  <si>
    <t xml:space="preserve">CA-2014-128146</t>
  </si>
  <si>
    <t xml:space="preserve">CA-2017-138779</t>
  </si>
  <si>
    <t xml:space="preserve">CA-2014-127131</t>
  </si>
  <si>
    <t xml:space="preserve">CA-2017-117212</t>
  </si>
  <si>
    <t xml:space="preserve">US-2015-130519</t>
  </si>
  <si>
    <t xml:space="preserve">CA-2016-130946</t>
  </si>
  <si>
    <t xml:space="preserve">CA-2016-114727</t>
  </si>
  <si>
    <t xml:space="preserve">CA-2017-133235</t>
  </si>
  <si>
    <t xml:space="preserve">CA-2016-137050</t>
  </si>
  <si>
    <t xml:space="preserve">US-2017-118087</t>
  </si>
  <si>
    <t xml:space="preserve">CA-2014-110184</t>
  </si>
  <si>
    <t xml:space="preserve">CA-2016-126004</t>
  </si>
  <si>
    <t xml:space="preserve">CA-2017-100013</t>
  </si>
  <si>
    <t xml:space="preserve">CA-2015-132570</t>
  </si>
  <si>
    <t xml:space="preserve">CA-2016-153682</t>
  </si>
  <si>
    <t xml:space="preserve">CA-2016-144344</t>
  </si>
  <si>
    <t xml:space="preserve">CA-2014-127012</t>
  </si>
  <si>
    <t xml:space="preserve">CA-2016-128727</t>
  </si>
  <si>
    <t xml:space="preserve">US-2016-162859</t>
  </si>
  <si>
    <t xml:space="preserve">CA-2017-133641</t>
  </si>
  <si>
    <t xml:space="preserve">CA-2014-168494</t>
  </si>
  <si>
    <t xml:space="preserve">CA-2017-115602</t>
  </si>
  <si>
    <t xml:space="preserve">CA-2015-154956</t>
  </si>
  <si>
    <t xml:space="preserve">CA-2017-144638</t>
  </si>
  <si>
    <t xml:space="preserve">US-2016-168620</t>
  </si>
  <si>
    <t xml:space="preserve">CA-2017-117079</t>
  </si>
  <si>
    <t xml:space="preserve">US-2016-144393</t>
  </si>
  <si>
    <t xml:space="preserve">CA-2017-105053</t>
  </si>
  <si>
    <t xml:space="preserve">CA-2016-155992</t>
  </si>
  <si>
    <t xml:space="preserve">CA-2017-110380</t>
  </si>
  <si>
    <t xml:space="preserve">US-2014-167738</t>
  </si>
  <si>
    <t xml:space="preserve">CA-2017-121412</t>
  </si>
  <si>
    <t xml:space="preserve">CA-2017-100426</t>
  </si>
  <si>
    <t xml:space="preserve">US-2016-103646</t>
  </si>
  <si>
    <t xml:space="preserve">CA-2016-119186</t>
  </si>
  <si>
    <t xml:space="preserve">CA-2016-148698</t>
  </si>
  <si>
    <t xml:space="preserve">CA-2014-163293</t>
  </si>
  <si>
    <t xml:space="preserve">CA-2016-160815</t>
  </si>
  <si>
    <t xml:space="preserve">CA-2017-122154</t>
  </si>
  <si>
    <t xml:space="preserve">US-2015-149692</t>
  </si>
  <si>
    <t xml:space="preserve">CA-2016-119445</t>
  </si>
  <si>
    <t xml:space="preserve">CA-2015-124268</t>
  </si>
  <si>
    <t xml:space="preserve">CA-2016-154711</t>
  </si>
  <si>
    <t xml:space="preserve">CA-2016-163384</t>
  </si>
  <si>
    <t xml:space="preserve">CA-2015-101707</t>
  </si>
  <si>
    <t xml:space="preserve">CA-2015-138898</t>
  </si>
  <si>
    <t xml:space="preserve">CA-2017-115427</t>
  </si>
  <si>
    <t xml:space="preserve">CA-2016-134425</t>
  </si>
  <si>
    <t xml:space="preserve">CA-2015-121391</t>
  </si>
  <si>
    <t xml:space="preserve">CA-2016-137043</t>
  </si>
  <si>
    <t xml:space="preserve">CA-2015-115847</t>
  </si>
  <si>
    <t xml:space="preserve">US-2017-126179</t>
  </si>
  <si>
    <t xml:space="preserve">CA-2016-101966</t>
  </si>
  <si>
    <t xml:space="preserve">CA-2016-141397</t>
  </si>
  <si>
    <t xml:space="preserve">CA-2016-141082</t>
  </si>
  <si>
    <t xml:space="preserve">US-2016-134488</t>
  </si>
  <si>
    <t xml:space="preserve">CA-2016-145919</t>
  </si>
  <si>
    <t xml:space="preserve">CA-2017-157651</t>
  </si>
  <si>
    <t xml:space="preserve">CA-2014-160773</t>
  </si>
  <si>
    <t xml:space="preserve">CA-2017-167703</t>
  </si>
  <si>
    <t xml:space="preserve">CA-2017-121804</t>
  </si>
  <si>
    <t xml:space="preserve">CA-2017-162635</t>
  </si>
  <si>
    <t xml:space="preserve">CA-2014-107153</t>
  </si>
  <si>
    <t xml:space="preserve">US-2014-117058</t>
  </si>
  <si>
    <t xml:space="preserve">CA-2015-120439</t>
  </si>
  <si>
    <t xml:space="preserve">CA-2016-128258</t>
  </si>
  <si>
    <t xml:space="preserve">CA-2017-106033</t>
  </si>
  <si>
    <t xml:space="preserve">CA-2016-142762</t>
  </si>
  <si>
    <t xml:space="preserve">CA-2017-127705</t>
  </si>
  <si>
    <t xml:space="preserve">CA-2014-122567</t>
  </si>
  <si>
    <t xml:space="preserve">CA-2014-121664</t>
  </si>
  <si>
    <t xml:space="preserve">CA-2016-122133</t>
  </si>
  <si>
    <t xml:space="preserve">US-2017-123281</t>
  </si>
  <si>
    <t xml:space="preserve">CA-2017-100524</t>
  </si>
  <si>
    <t xml:space="preserve">CA-2017-113481</t>
  </si>
  <si>
    <t xml:space="preserve">CA-2015-131758</t>
  </si>
  <si>
    <t xml:space="preserve">CA-2014-118339</t>
  </si>
  <si>
    <t xml:space="preserve">CA-2014-153976</t>
  </si>
  <si>
    <t xml:space="preserve">CA-2016-162901</t>
  </si>
  <si>
    <t xml:space="preserve">CA-2017-162978</t>
  </si>
  <si>
    <t xml:space="preserve">US-2014-160444</t>
  </si>
  <si>
    <t xml:space="preserve">CA-2016-145247</t>
  </si>
  <si>
    <t xml:space="preserve">CA-2017-160045</t>
  </si>
  <si>
    <t xml:space="preserve">US-2014-151925</t>
  </si>
  <si>
    <t xml:space="preserve">CA-2017-125199</t>
  </si>
  <si>
    <t xml:space="preserve">US-2017-155425</t>
  </si>
  <si>
    <t xml:space="preserve">CA-2017-133249</t>
  </si>
  <si>
    <t xml:space="preserve">US-2015-103471</t>
  </si>
  <si>
    <t xml:space="preserve">CA-2017-136672</t>
  </si>
  <si>
    <t xml:space="preserve">US-2014-157021</t>
  </si>
  <si>
    <t xml:space="preserve">CA-2015-120362</t>
  </si>
  <si>
    <t xml:space="preserve">CA-2014-126361</t>
  </si>
  <si>
    <t xml:space="preserve">US-2016-100566</t>
  </si>
  <si>
    <t xml:space="preserve">US-2016-108504</t>
  </si>
  <si>
    <t xml:space="preserve">CA-2017-124828</t>
  </si>
  <si>
    <t xml:space="preserve">US-2017-117247</t>
  </si>
  <si>
    <t xml:space="preserve">CA-2016-124485</t>
  </si>
  <si>
    <t xml:space="preserve">CA-2016-159212</t>
  </si>
  <si>
    <t xml:space="preserve">US-2016-161396</t>
  </si>
  <si>
    <t xml:space="preserve">US-2014-118486</t>
  </si>
  <si>
    <t xml:space="preserve">CA-2016-130407</t>
  </si>
  <si>
    <t xml:space="preserve">US-2016-122245</t>
  </si>
  <si>
    <t xml:space="preserve">CA-2017-105144</t>
  </si>
  <si>
    <t xml:space="preserve">CA-2016-136329</t>
  </si>
  <si>
    <t xml:space="preserve">CA-2014-146640</t>
  </si>
  <si>
    <t xml:space="preserve">CA-2017-115994</t>
  </si>
  <si>
    <t xml:space="preserve">CA-2015-126697</t>
  </si>
  <si>
    <t xml:space="preserve">CA-2015-124800</t>
  </si>
  <si>
    <t xml:space="preserve">US-2015-164448</t>
  </si>
  <si>
    <t xml:space="preserve">CA-2017-122700</t>
  </si>
  <si>
    <t xml:space="preserve">CA-2014-120768</t>
  </si>
  <si>
    <t xml:space="preserve">US-2016-153129</t>
  </si>
  <si>
    <t xml:space="preserve">CA-2017-106852</t>
  </si>
  <si>
    <t xml:space="preserve">CA-2015-139731</t>
  </si>
  <si>
    <t xml:space="preserve">CA-2017-122735</t>
  </si>
  <si>
    <t xml:space="preserve">CA-2017-128160</t>
  </si>
  <si>
    <t xml:space="preserve">CA-2017-117695</t>
  </si>
  <si>
    <t xml:space="preserve">CA-2015-166135</t>
  </si>
  <si>
    <t xml:space="preserve">CA-2016-133725</t>
  </si>
  <si>
    <t xml:space="preserve">CA-2017-102337</t>
  </si>
  <si>
    <t xml:space="preserve">US-2014-112564</t>
  </si>
  <si>
    <t xml:space="preserve">CA-2015-145821</t>
  </si>
  <si>
    <t xml:space="preserve">US-2015-160150</t>
  </si>
  <si>
    <t xml:space="preserve">CA-2016-133711</t>
  </si>
  <si>
    <t xml:space="preserve">CA-2017-148474</t>
  </si>
  <si>
    <t xml:space="preserve">CA-2015-111297</t>
  </si>
  <si>
    <t xml:space="preserve">CA-2016-123722</t>
  </si>
  <si>
    <t xml:space="preserve">CA-2014-155271</t>
  </si>
  <si>
    <t xml:space="preserve">CA-2015-119907</t>
  </si>
  <si>
    <t xml:space="preserve">US-2016-128902</t>
  </si>
  <si>
    <t xml:space="preserve">CA-2016-152289</t>
  </si>
  <si>
    <t xml:space="preserve">US-2016-104794</t>
  </si>
  <si>
    <t xml:space="preserve">CA-2014-151708</t>
  </si>
  <si>
    <t xml:space="preserve">CA-2015-100769</t>
  </si>
  <si>
    <t xml:space="preserve">CA-2017-139199</t>
  </si>
  <si>
    <t xml:space="preserve">US-2015-161466</t>
  </si>
  <si>
    <t xml:space="preserve">CA-2017-164959</t>
  </si>
  <si>
    <t xml:space="preserve">US-2015-105676</t>
  </si>
  <si>
    <t xml:space="preserve">CA-2016-113138</t>
  </si>
  <si>
    <t xml:space="preserve">US-2017-104955</t>
  </si>
  <si>
    <t xml:space="preserve">CA-2016-121958</t>
  </si>
  <si>
    <t xml:space="preserve">CA-2017-121468</t>
  </si>
  <si>
    <t xml:space="preserve">US-2016-108455</t>
  </si>
  <si>
    <t xml:space="preserve">CA-2017-101210</t>
  </si>
  <si>
    <t xml:space="preserve">US-2016-108098</t>
  </si>
  <si>
    <t xml:space="preserve">CA-2014-119032</t>
  </si>
  <si>
    <t xml:space="preserve">CA-2015-140410</t>
  </si>
  <si>
    <t xml:space="preserve">CA-2014-136280</t>
  </si>
  <si>
    <t xml:space="preserve">CA-2017-151911</t>
  </si>
  <si>
    <t xml:space="preserve">CA-2017-166436</t>
  </si>
  <si>
    <t xml:space="preserve">CA-2017-139661</t>
  </si>
  <si>
    <t xml:space="preserve">CA-2014-123925</t>
  </si>
  <si>
    <t xml:space="preserve">CA-2017-152485</t>
  </si>
  <si>
    <t xml:space="preserve">CA-2016-141586</t>
  </si>
  <si>
    <t xml:space="preserve">CA-2017-130386</t>
  </si>
  <si>
    <t xml:space="preserve">CA-2016-100468</t>
  </si>
  <si>
    <t xml:space="preserve">CA-2015-153388</t>
  </si>
  <si>
    <t xml:space="preserve">CA-2017-154935</t>
  </si>
  <si>
    <t xml:space="preserve">CA-2016-134208</t>
  </si>
  <si>
    <t xml:space="preserve">CA-2017-108294</t>
  </si>
  <si>
    <t xml:space="preserve">CA-2017-103611</t>
  </si>
  <si>
    <t xml:space="preserve">CA-2017-100384</t>
  </si>
  <si>
    <t xml:space="preserve">CA-2017-112809</t>
  </si>
  <si>
    <t xml:space="preserve">US-2017-160759</t>
  </si>
  <si>
    <t xml:space="preserve">CA-2017-148446</t>
  </si>
  <si>
    <t xml:space="preserve">CA-2014-111059</t>
  </si>
  <si>
    <t xml:space="preserve">CA-2017-116204</t>
  </si>
  <si>
    <t xml:space="preserve">CA-2017-109946</t>
  </si>
  <si>
    <t xml:space="preserve">CA-2015-144806</t>
  </si>
  <si>
    <t xml:space="preserve">CA-2016-122392</t>
  </si>
  <si>
    <t xml:space="preserve">CA-2015-148432</t>
  </si>
  <si>
    <t xml:space="preserve">CA-2015-103793</t>
  </si>
  <si>
    <t xml:space="preserve">CA-2017-159884</t>
  </si>
  <si>
    <t xml:space="preserve">CA-2016-139885</t>
  </si>
  <si>
    <t xml:space="preserve">CA-2017-124086</t>
  </si>
  <si>
    <t xml:space="preserve">CA-2016-112389</t>
  </si>
  <si>
    <t xml:space="preserve">CA-2017-121888</t>
  </si>
  <si>
    <t xml:space="preserve">CA-2014-166884</t>
  </si>
  <si>
    <t xml:space="preserve">CA-2014-107181</t>
  </si>
  <si>
    <t xml:space="preserve">CA-2014-150245</t>
  </si>
  <si>
    <t xml:space="preserve">CA-2015-111395</t>
  </si>
  <si>
    <t xml:space="preserve">CA-2014-134278</t>
  </si>
  <si>
    <t xml:space="preserve">US-2017-124926</t>
  </si>
  <si>
    <t xml:space="preserve">CA-2016-159345</t>
  </si>
  <si>
    <t xml:space="preserve">CA-2014-130274</t>
  </si>
  <si>
    <t xml:space="preserve">CA-2017-158386</t>
  </si>
  <si>
    <t xml:space="preserve">CA-2015-111507</t>
  </si>
  <si>
    <t xml:space="preserve">CA-2017-120761</t>
  </si>
  <si>
    <t xml:space="preserve">CA-2016-109176</t>
  </si>
  <si>
    <t xml:space="preserve">CA-2015-112116</t>
  </si>
  <si>
    <t xml:space="preserve">CA-2016-126809</t>
  </si>
  <si>
    <t xml:space="preserve">CA-2014-105172</t>
  </si>
  <si>
    <t xml:space="preserve">CA-2017-107293</t>
  </si>
  <si>
    <t xml:space="preserve">US-2017-102890</t>
  </si>
  <si>
    <t xml:space="preserve">CA-2015-158554</t>
  </si>
  <si>
    <t xml:space="preserve">CA-2014-116239</t>
  </si>
  <si>
    <t xml:space="preserve">CA-2015-132101</t>
  </si>
  <si>
    <t xml:space="preserve">CA-2015-129112</t>
  </si>
  <si>
    <t xml:space="preserve">US-2017-152002</t>
  </si>
  <si>
    <t xml:space="preserve">CA-2017-165029</t>
  </si>
  <si>
    <t xml:space="preserve">US-2014-157385</t>
  </si>
  <si>
    <t xml:space="preserve">CA-2014-101602</t>
  </si>
  <si>
    <t xml:space="preserve">CA-2016-109057</t>
  </si>
  <si>
    <t xml:space="preserve">CA-2016-154403</t>
  </si>
  <si>
    <t xml:space="preserve">CA-2016-102456</t>
  </si>
  <si>
    <t xml:space="preserve">CA-2015-131338</t>
  </si>
  <si>
    <t xml:space="preserve">CA-2016-109911</t>
  </si>
  <si>
    <t xml:space="preserve">US-2016-132423</t>
  </si>
  <si>
    <t xml:space="preserve">CA-2015-122826</t>
  </si>
  <si>
    <t xml:space="preserve">CA-2014-117317</t>
  </si>
  <si>
    <t xml:space="preserve">CA-2015-118423</t>
  </si>
  <si>
    <t xml:space="preserve">CA-2017-149181</t>
  </si>
  <si>
    <t xml:space="preserve">CA-2017-132234</t>
  </si>
  <si>
    <t xml:space="preserve">CA-2017-158876</t>
  </si>
  <si>
    <t xml:space="preserve">CA-2016-164672</t>
  </si>
  <si>
    <t xml:space="preserve">US-2016-132857</t>
  </si>
  <si>
    <t xml:space="preserve">CA-2017-116645</t>
  </si>
  <si>
    <t xml:space="preserve">US-2016-115819</t>
  </si>
  <si>
    <t xml:space="preserve">CA-2014-156349</t>
  </si>
  <si>
    <t xml:space="preserve">CA-2017-138380</t>
  </si>
  <si>
    <t xml:space="preserve">US-2016-113509</t>
  </si>
  <si>
    <t xml:space="preserve">CA-2015-130022</t>
  </si>
  <si>
    <t xml:space="preserve">US-2016-118780</t>
  </si>
  <si>
    <t xml:space="preserve">CA-2017-108560</t>
  </si>
  <si>
    <t xml:space="preserve">CA-2015-157084</t>
  </si>
  <si>
    <t xml:space="preserve">CA-2015-164539</t>
  </si>
  <si>
    <t xml:space="preserve">CA-2015-143119</t>
  </si>
  <si>
    <t xml:space="preserve">CA-2017-101049</t>
  </si>
  <si>
    <t xml:space="preserve">CA-2016-106530</t>
  </si>
  <si>
    <t xml:space="preserve">CA-2014-168984</t>
  </si>
  <si>
    <t xml:space="preserve">CA-2016-157266</t>
  </si>
  <si>
    <t xml:space="preserve">US-2014-134712</t>
  </si>
  <si>
    <t xml:space="preserve">CA-2015-111829</t>
  </si>
  <si>
    <t xml:space="preserve">CA-2015-105221</t>
  </si>
  <si>
    <t xml:space="preserve">CA-2015-120341</t>
  </si>
  <si>
    <t xml:space="preserve">CA-2014-135699</t>
  </si>
  <si>
    <t xml:space="preserve">US-2017-132444</t>
  </si>
  <si>
    <t xml:space="preserve">CA-2014-127159</t>
  </si>
  <si>
    <t xml:space="preserve">CA-2017-161809</t>
  </si>
  <si>
    <t xml:space="preserve">CA-2017-127285</t>
  </si>
  <si>
    <t xml:space="preserve">CA-2017-144526</t>
  </si>
  <si>
    <t xml:space="preserve">CA-2016-128531</t>
  </si>
  <si>
    <t xml:space="preserve">US-2015-157154</t>
  </si>
  <si>
    <t xml:space="preserve">CA-2017-159457</t>
  </si>
  <si>
    <t xml:space="preserve">CA-2016-107615</t>
  </si>
  <si>
    <t xml:space="preserve">CA-2017-111647</t>
  </si>
  <si>
    <t xml:space="preserve">CA-2015-150560</t>
  </si>
  <si>
    <t xml:space="preserve">CA-2015-143077</t>
  </si>
  <si>
    <t xml:space="preserve">CA-2016-122728</t>
  </si>
  <si>
    <t xml:space="preserve">CA-2014-122882</t>
  </si>
  <si>
    <t xml:space="preserve">US-2016-101497</t>
  </si>
  <si>
    <t xml:space="preserve">CA-2016-147585</t>
  </si>
  <si>
    <t xml:space="preserve">CA-2017-149489</t>
  </si>
  <si>
    <t xml:space="preserve">CA-2017-143798</t>
  </si>
  <si>
    <t xml:space="preserve">CA-2014-142839</t>
  </si>
  <si>
    <t xml:space="preserve">CA-2017-129833</t>
  </si>
  <si>
    <t xml:space="preserve">US-2016-154361</t>
  </si>
  <si>
    <t xml:space="preserve">US-2016-158708</t>
  </si>
  <si>
    <t xml:space="preserve">CA-2015-156335</t>
  </si>
  <si>
    <t xml:space="preserve">CA-2015-148376</t>
  </si>
  <si>
    <t xml:space="preserve">CA-2014-135657</t>
  </si>
  <si>
    <t xml:space="preserve">CA-2015-114069</t>
  </si>
  <si>
    <t xml:space="preserve">CA-2014-139857</t>
  </si>
  <si>
    <t xml:space="preserve">CA-2016-106306</t>
  </si>
  <si>
    <t xml:space="preserve">CA-2015-100545</t>
  </si>
  <si>
    <t xml:space="preserve">CA-2017-123491</t>
  </si>
  <si>
    <t xml:space="preserve">CA-2015-145401</t>
  </si>
  <si>
    <t xml:space="preserve">US-2017-124968</t>
  </si>
  <si>
    <t xml:space="preserve">CA-2017-104003</t>
  </si>
  <si>
    <t xml:space="preserve">CA-2016-154788</t>
  </si>
  <si>
    <t xml:space="preserve">CA-2016-169943</t>
  </si>
  <si>
    <t xml:space="preserve">US-2015-123218</t>
  </si>
  <si>
    <t xml:space="preserve">CA-2015-127453</t>
  </si>
  <si>
    <t xml:space="preserve">US-2017-164056</t>
  </si>
  <si>
    <t xml:space="preserve">CA-2016-106894</t>
  </si>
  <si>
    <t xml:space="preserve">CA-2014-125136</t>
  </si>
  <si>
    <t xml:space="preserve">US-2016-131149</t>
  </si>
  <si>
    <t xml:space="preserve">CA-2017-101483</t>
  </si>
  <si>
    <t xml:space="preserve">CA-2015-130204</t>
  </si>
  <si>
    <t xml:space="preserve">CA-2014-110527</t>
  </si>
  <si>
    <t xml:space="preserve">CA-2017-152807</t>
  </si>
  <si>
    <t xml:space="preserve">CA-2014-133270</t>
  </si>
  <si>
    <t xml:space="preserve">CA-2016-155670</t>
  </si>
  <si>
    <t xml:space="preserve">US-2014-157406</t>
  </si>
  <si>
    <t xml:space="preserve">CA-2015-139094</t>
  </si>
  <si>
    <t xml:space="preserve">CA-2017-168837</t>
  </si>
  <si>
    <t xml:space="preserve">CA-2017-116715</t>
  </si>
  <si>
    <t xml:space="preserve">CA-2015-135622</t>
  </si>
  <si>
    <t xml:space="preserve">US-2015-107349</t>
  </si>
  <si>
    <t xml:space="preserve">CA-2014-139017</t>
  </si>
  <si>
    <t xml:space="preserve">CA-2014-141817</t>
  </si>
  <si>
    <t xml:space="preserve">CA-2015-130785</t>
  </si>
  <si>
    <t xml:space="preserve">CA-2016-110254</t>
  </si>
  <si>
    <t xml:space="preserve">US-2014-158057</t>
  </si>
  <si>
    <t xml:space="preserve">CA-2017-146024</t>
  </si>
  <si>
    <t xml:space="preserve">CA-2016-129686</t>
  </si>
  <si>
    <t xml:space="preserve">CA-2014-118976</t>
  </si>
  <si>
    <t xml:space="preserve">CA-2015-105347</t>
  </si>
  <si>
    <t xml:space="preserve">CA-2016-124667</t>
  </si>
  <si>
    <t xml:space="preserve">CA-2015-111094</t>
  </si>
  <si>
    <t xml:space="preserve">CA-2017-166317</t>
  </si>
  <si>
    <t xml:space="preserve">CA-2015-154326</t>
  </si>
  <si>
    <t xml:space="preserve">CA-2014-102008</t>
  </si>
  <si>
    <t xml:space="preserve">CA-2014-120474</t>
  </si>
  <si>
    <t xml:space="preserve">CA-2014-104773</t>
  </si>
  <si>
    <t xml:space="preserve">CA-2016-140774</t>
  </si>
  <si>
    <t xml:space="preserve">Kansas</t>
  </si>
  <si>
    <t xml:space="preserve">US-2017-139465</t>
  </si>
  <si>
    <t xml:space="preserve">CA-2016-100965</t>
  </si>
  <si>
    <t xml:space="preserve">CA-2016-121034</t>
  </si>
  <si>
    <t xml:space="preserve">CA-2016-149461</t>
  </si>
  <si>
    <t xml:space="preserve">CA-2017-158379</t>
  </si>
  <si>
    <t xml:space="preserve">US-2016-116729</t>
  </si>
  <si>
    <t xml:space="preserve">CA-2016-164938</t>
  </si>
  <si>
    <t xml:space="preserve">CA-2016-165484</t>
  </si>
  <si>
    <t xml:space="preserve">CA-2014-132612</t>
  </si>
  <si>
    <t xml:space="preserve">US-2017-161193</t>
  </si>
  <si>
    <t xml:space="preserve">CA-2015-131597</t>
  </si>
  <si>
    <t xml:space="preserve">CA-2015-164833</t>
  </si>
  <si>
    <t xml:space="preserve">CA-2015-125423</t>
  </si>
  <si>
    <t xml:space="preserve">US-2014-130379</t>
  </si>
  <si>
    <t xml:space="preserve">CA-2016-168956</t>
  </si>
  <si>
    <t xml:space="preserve">CA-2016-167507</t>
  </si>
  <si>
    <t xml:space="preserve">CA-2016-109344</t>
  </si>
  <si>
    <t xml:space="preserve">US-2015-140851</t>
  </si>
  <si>
    <t xml:space="preserve">CA-2014-103373</t>
  </si>
  <si>
    <t xml:space="preserve">CA-2017-145884</t>
  </si>
  <si>
    <t xml:space="preserve">CA-2015-131422</t>
  </si>
  <si>
    <t xml:space="preserve">CA-2017-162691</t>
  </si>
  <si>
    <t xml:space="preserve">CA-2014-141278</t>
  </si>
  <si>
    <t xml:space="preserve">CA-2017-122693</t>
  </si>
  <si>
    <t xml:space="preserve">CA-2014-117345</t>
  </si>
  <si>
    <t xml:space="preserve">CA-2016-157763</t>
  </si>
  <si>
    <t xml:space="preserve">CA-2015-135391</t>
  </si>
  <si>
    <t xml:space="preserve">US-2017-113852</t>
  </si>
  <si>
    <t xml:space="preserve">US-2017-158512</t>
  </si>
  <si>
    <t xml:space="preserve">CA-2017-128370</t>
  </si>
  <si>
    <t xml:space="preserve">CA-2015-160472</t>
  </si>
  <si>
    <t xml:space="preserve">CA-2014-114643</t>
  </si>
  <si>
    <t xml:space="preserve">US-2017-158218</t>
  </si>
  <si>
    <t xml:space="preserve">CA-2015-121608</t>
  </si>
  <si>
    <t xml:space="preserve">US-2017-121251</t>
  </si>
  <si>
    <t xml:space="preserve">CA-2014-151078</t>
  </si>
  <si>
    <t xml:space="preserve">US-2016-100839</t>
  </si>
  <si>
    <t xml:space="preserve">US-2017-116659</t>
  </si>
  <si>
    <t xml:space="preserve">CA-2017-118857</t>
  </si>
  <si>
    <t xml:space="preserve">CA-2015-127110</t>
  </si>
  <si>
    <t xml:space="preserve">CA-2016-148201</t>
  </si>
  <si>
    <t xml:space="preserve">CA-2014-116932</t>
  </si>
  <si>
    <t xml:space="preserve">CA-2017-142888</t>
  </si>
  <si>
    <t xml:space="preserve">CA-2014-147914</t>
  </si>
  <si>
    <t xml:space="preserve">US-2016-112977</t>
  </si>
  <si>
    <t xml:space="preserve">CA-2017-112039</t>
  </si>
  <si>
    <t xml:space="preserve">CA-2017-118885</t>
  </si>
  <si>
    <t xml:space="preserve">US-2017-166611</t>
  </si>
  <si>
    <t xml:space="preserve">CA-2015-109512</t>
  </si>
  <si>
    <t xml:space="preserve">CA-2016-118570</t>
  </si>
  <si>
    <t xml:space="preserve">CA-2017-154718</t>
  </si>
  <si>
    <t xml:space="preserve">CA-2016-147578</t>
  </si>
  <si>
    <t xml:space="preserve">CA-2014-140165</t>
  </si>
  <si>
    <t xml:space="preserve">CA-2014-142587</t>
  </si>
  <si>
    <t xml:space="preserve">CA-2014-157623</t>
  </si>
  <si>
    <t xml:space="preserve">CA-2017-145310</t>
  </si>
  <si>
    <t xml:space="preserve">CA-2016-100083</t>
  </si>
  <si>
    <t xml:space="preserve">US-2017-108063</t>
  </si>
  <si>
    <t xml:space="preserve">CA-2015-109197</t>
  </si>
  <si>
    <t xml:space="preserve">CA-2017-141789</t>
  </si>
  <si>
    <t xml:space="preserve">CA-2014-169775</t>
  </si>
  <si>
    <t xml:space="preserve">CA-2016-140543</t>
  </si>
  <si>
    <t xml:space="preserve">CA-2016-151141</t>
  </si>
  <si>
    <t xml:space="preserve">CA-2017-167094</t>
  </si>
  <si>
    <t xml:space="preserve">CA-2017-154410</t>
  </si>
  <si>
    <t xml:space="preserve">US-2016-150567</t>
  </si>
  <si>
    <t xml:space="preserve">CA-2015-157959</t>
  </si>
  <si>
    <t xml:space="preserve">CA-2017-105886</t>
  </si>
  <si>
    <t xml:space="preserve">CA-2016-105963</t>
  </si>
  <si>
    <t xml:space="preserve">CA-2017-121503</t>
  </si>
  <si>
    <t xml:space="preserve">CA-2014-103366</t>
  </si>
  <si>
    <t xml:space="preserve">CA-2017-124597</t>
  </si>
  <si>
    <t xml:space="preserve">CA-2015-105634</t>
  </si>
  <si>
    <t xml:space="preserve">CA-2015-123673</t>
  </si>
  <si>
    <t xml:space="preserve">US-2017-111423</t>
  </si>
  <si>
    <t xml:space="preserve">CA-2015-125178</t>
  </si>
  <si>
    <t xml:space="preserve">CA-2016-156685</t>
  </si>
  <si>
    <t xml:space="preserve">CA-2017-126865</t>
  </si>
  <si>
    <t xml:space="preserve">CA-2017-102834</t>
  </si>
  <si>
    <t xml:space="preserve">US-2016-139710</t>
  </si>
  <si>
    <t xml:space="preserve">CA-2017-121538</t>
  </si>
  <si>
    <t xml:space="preserve">US-2017-101539</t>
  </si>
  <si>
    <t xml:space="preserve">CA-2016-152121</t>
  </si>
  <si>
    <t xml:space="preserve">CA-2017-161200</t>
  </si>
  <si>
    <t xml:space="preserve">CA-2017-101245</t>
  </si>
  <si>
    <t xml:space="preserve">CA-2015-141768</t>
  </si>
  <si>
    <t xml:space="preserve">CA-2016-112109</t>
  </si>
  <si>
    <t xml:space="preserve">CA-2017-144064</t>
  </si>
  <si>
    <t xml:space="preserve">CA-2016-108581</t>
  </si>
  <si>
    <t xml:space="preserve">CA-2017-157987</t>
  </si>
  <si>
    <t xml:space="preserve">CA-2017-110905</t>
  </si>
  <si>
    <t xml:space="preserve">CA-2017-165841</t>
  </si>
  <si>
    <t xml:space="preserve">CA-2017-117485</t>
  </si>
  <si>
    <t xml:space="preserve">CA-2017-140242</t>
  </si>
  <si>
    <t xml:space="preserve">CA-2014-148950</t>
  </si>
  <si>
    <t xml:space="preserve">CA-2014-110408</t>
  </si>
  <si>
    <t xml:space="preserve">CA-2015-109939</t>
  </si>
  <si>
    <t xml:space="preserve">CA-2016-112669</t>
  </si>
  <si>
    <t xml:space="preserve">CA-2015-119592</t>
  </si>
  <si>
    <t xml:space="preserve">CA-2014-122749</t>
  </si>
  <si>
    <t xml:space="preserve">CA-2014-164721</t>
  </si>
  <si>
    <t xml:space="preserve">CA-2016-147417</t>
  </si>
  <si>
    <t xml:space="preserve">CA-2015-127509</t>
  </si>
  <si>
    <t xml:space="preserve">CA-2017-111374</t>
  </si>
  <si>
    <t xml:space="preserve">CA-2017-133648</t>
  </si>
  <si>
    <t xml:space="preserve">US-2017-147221</t>
  </si>
  <si>
    <t xml:space="preserve">CA-2014-131905</t>
  </si>
  <si>
    <t xml:space="preserve">CA-2017-166128</t>
  </si>
  <si>
    <t xml:space="preserve">CA-2017-163510</t>
  </si>
  <si>
    <t xml:space="preserve">US-2017-143028</t>
  </si>
  <si>
    <t xml:space="preserve">CA-2014-111150</t>
  </si>
  <si>
    <t xml:space="preserve">CA-2017-165386</t>
  </si>
  <si>
    <t xml:space="preserve">CA-2014-116407</t>
  </si>
  <si>
    <t xml:space="preserve">CA-2015-155761</t>
  </si>
  <si>
    <t xml:space="preserve">CA-2016-145905</t>
  </si>
  <si>
    <t xml:space="preserve">CA-2015-113110</t>
  </si>
  <si>
    <t xml:space="preserve">CA-2016-168354</t>
  </si>
  <si>
    <t xml:space="preserve">US-2017-111241</t>
  </si>
  <si>
    <t xml:space="preserve">CA-2015-114237</t>
  </si>
  <si>
    <t xml:space="preserve">CA-2016-113516</t>
  </si>
  <si>
    <t xml:space="preserve">CA-2015-117961</t>
  </si>
  <si>
    <t xml:space="preserve">CA-2016-128923</t>
  </si>
  <si>
    <t xml:space="preserve">CA-2017-162481</t>
  </si>
  <si>
    <t xml:space="preserve">CA-2015-119214</t>
  </si>
  <si>
    <t xml:space="preserve">CA-2015-122287</t>
  </si>
  <si>
    <t xml:space="preserve">CA-2015-104493</t>
  </si>
  <si>
    <t xml:space="preserve">US-2017-158946</t>
  </si>
  <si>
    <t xml:space="preserve">CA-2014-129168</t>
  </si>
  <si>
    <t xml:space="preserve">CA-2016-131835</t>
  </si>
  <si>
    <t xml:space="preserve">CA-2015-142237</t>
  </si>
  <si>
    <t xml:space="preserve">CA-2016-136434</t>
  </si>
  <si>
    <t xml:space="preserve">CA-2017-120376</t>
  </si>
  <si>
    <t xml:space="preserve">CA-2014-106439</t>
  </si>
  <si>
    <t xml:space="preserve">CA-2015-133452</t>
  </si>
  <si>
    <t xml:space="preserve">CA-2016-146521</t>
  </si>
  <si>
    <t xml:space="preserve">US-2017-110996</t>
  </si>
  <si>
    <t xml:space="preserve">CA-2016-129693</t>
  </si>
  <si>
    <t xml:space="preserve">CA-2017-122504</t>
  </si>
  <si>
    <t xml:space="preserve">CA-2014-131051</t>
  </si>
  <si>
    <t xml:space="preserve">CA-2017-140676</t>
  </si>
  <si>
    <t xml:space="preserve">CA-2015-120103</t>
  </si>
  <si>
    <t xml:space="preserve">CA-2017-104647</t>
  </si>
  <si>
    <t xml:space="preserve">CA-2014-110352</t>
  </si>
  <si>
    <t xml:space="preserve">CA-2016-140501</t>
  </si>
  <si>
    <t xml:space="preserve">CA-2015-139290</t>
  </si>
  <si>
    <t xml:space="preserve">CA-2017-166142</t>
  </si>
  <si>
    <t xml:space="preserve">CA-2014-145926</t>
  </si>
  <si>
    <t xml:space="preserve">CA-2015-149678</t>
  </si>
  <si>
    <t xml:space="preserve">US-2015-164357</t>
  </si>
  <si>
    <t xml:space="preserve">US-2016-146570</t>
  </si>
  <si>
    <t xml:space="preserve">CA-2017-124401</t>
  </si>
  <si>
    <t xml:space="preserve">US-2014-140116</t>
  </si>
  <si>
    <t xml:space="preserve">CA-2014-123295</t>
  </si>
  <si>
    <t xml:space="preserve">CA-2017-167101</t>
  </si>
  <si>
    <t xml:space="preserve">US-2014-167633</t>
  </si>
  <si>
    <t xml:space="preserve">US-2014-152723</t>
  </si>
  <si>
    <t xml:space="preserve">CA-2015-164882</t>
  </si>
  <si>
    <t xml:space="preserve">CA-2015-159786</t>
  </si>
  <si>
    <t xml:space="preserve">CA-2016-130267</t>
  </si>
  <si>
    <t xml:space="preserve">CA-2017-155460</t>
  </si>
  <si>
    <t xml:space="preserve">US-2017-168690</t>
  </si>
  <si>
    <t xml:space="preserve">CA-2017-158246</t>
  </si>
  <si>
    <t xml:space="preserve">CA-2017-167381</t>
  </si>
  <si>
    <t xml:space="preserve">CA-2017-144862</t>
  </si>
  <si>
    <t xml:space="preserve">CA-2014-126032</t>
  </si>
  <si>
    <t xml:space="preserve">CA-2015-134859</t>
  </si>
  <si>
    <t xml:space="preserve">US-2014-114188</t>
  </si>
  <si>
    <t xml:space="preserve">CA-2015-156524</t>
  </si>
  <si>
    <t xml:space="preserve">CA-2015-122210</t>
  </si>
  <si>
    <t xml:space="preserve">CA-2015-156377</t>
  </si>
  <si>
    <t xml:space="preserve">US-2017-157896</t>
  </si>
  <si>
    <t xml:space="preserve">CA-2014-159520</t>
  </si>
  <si>
    <t xml:space="preserve">CA-2016-155481</t>
  </si>
  <si>
    <t xml:space="preserve">US-2016-152051</t>
  </si>
  <si>
    <t xml:space="preserve">CA-2014-141607</t>
  </si>
  <si>
    <t xml:space="preserve">CA-2017-102771</t>
  </si>
  <si>
    <t xml:space="preserve">US-2017-139969</t>
  </si>
  <si>
    <t xml:space="preserve">CA-2014-167360</t>
  </si>
  <si>
    <t xml:space="preserve">CA-2015-123505</t>
  </si>
  <si>
    <t xml:space="preserve">CA-2016-117282</t>
  </si>
  <si>
    <t xml:space="preserve">US-2016-120460</t>
  </si>
  <si>
    <t xml:space="preserve">CA-2016-111115</t>
  </si>
  <si>
    <t xml:space="preserve">CA-2014-124646</t>
  </si>
  <si>
    <t xml:space="preserve">CA-2017-148166</t>
  </si>
  <si>
    <t xml:space="preserve">CA-2016-159737</t>
  </si>
  <si>
    <t xml:space="preserve">CA-2016-141019</t>
  </si>
  <si>
    <t xml:space="preserve">CA-2016-101938</t>
  </si>
  <si>
    <t xml:space="preserve">CA-2017-166296</t>
  </si>
  <si>
    <t xml:space="preserve">CA-2016-154018</t>
  </si>
  <si>
    <t xml:space="preserve">CA-2017-117870</t>
  </si>
  <si>
    <t xml:space="preserve">US-2017-137491</t>
  </si>
  <si>
    <t xml:space="preserve">CA-2014-152296</t>
  </si>
  <si>
    <t xml:space="preserve">CA-2016-112025</t>
  </si>
  <si>
    <t xml:space="preserve">CA-2015-132507</t>
  </si>
  <si>
    <t xml:space="preserve">CA-2016-125738</t>
  </si>
  <si>
    <t xml:space="preserve">CA-2016-128818</t>
  </si>
  <si>
    <t xml:space="preserve">CA-2017-124576</t>
  </si>
  <si>
    <t xml:space="preserve">CA-2016-101378</t>
  </si>
  <si>
    <t xml:space="preserve">CA-2017-143063</t>
  </si>
  <si>
    <t xml:space="preserve">CA-2016-118913</t>
  </si>
  <si>
    <t xml:space="preserve">CA-2016-128412</t>
  </si>
  <si>
    <t xml:space="preserve">CA-2016-136483</t>
  </si>
  <si>
    <t xml:space="preserve">CA-2014-163013</t>
  </si>
  <si>
    <t xml:space="preserve">CA-2015-135363</t>
  </si>
  <si>
    <t xml:space="preserve">US-2014-165659</t>
  </si>
  <si>
    <t xml:space="preserve">CA-2015-138002</t>
  </si>
  <si>
    <t xml:space="preserve">CA-2015-128860</t>
  </si>
  <si>
    <t xml:space="preserve">CA-2016-164350</t>
  </si>
  <si>
    <t xml:space="preserve">US-2014-103905</t>
  </si>
  <si>
    <t xml:space="preserve">CA-2015-129854</t>
  </si>
  <si>
    <t xml:space="preserve">CA-2014-125556</t>
  </si>
  <si>
    <t xml:space="preserve">CA-2016-162313</t>
  </si>
  <si>
    <t xml:space="preserve">CA-2017-107874</t>
  </si>
  <si>
    <t xml:space="preserve">CA-2017-129378</t>
  </si>
  <si>
    <t xml:space="preserve">CA-2014-151953</t>
  </si>
  <si>
    <t xml:space="preserve">CA-2017-130841</t>
  </si>
  <si>
    <t xml:space="preserve">CA-2015-131884</t>
  </si>
  <si>
    <t xml:space="preserve">CA-2017-121909</t>
  </si>
  <si>
    <t xml:space="preserve">CA-2016-106383</t>
  </si>
  <si>
    <t xml:space="preserve">CA-2017-130771</t>
  </si>
  <si>
    <t xml:space="preserve">CA-2016-139157</t>
  </si>
  <si>
    <t xml:space="preserve">CA-2014-128055</t>
  </si>
  <si>
    <t xml:space="preserve">CA-2017-157091</t>
  </si>
  <si>
    <t xml:space="preserve">CA-2017-132122</t>
  </si>
  <si>
    <t xml:space="preserve">CA-2015-123232</t>
  </si>
  <si>
    <t xml:space="preserve">CA-2017-104066</t>
  </si>
  <si>
    <t xml:space="preserve">Vermont</t>
  </si>
  <si>
    <t xml:space="preserve">CA-2015-145849</t>
  </si>
  <si>
    <t xml:space="preserve">CA-2016-122322</t>
  </si>
  <si>
    <t xml:space="preserve">CA-2017-166849</t>
  </si>
  <si>
    <t xml:space="preserve">CA-2016-146633</t>
  </si>
  <si>
    <t xml:space="preserve">US-2016-126893</t>
  </si>
  <si>
    <t xml:space="preserve">CA-2017-103380</t>
  </si>
  <si>
    <t xml:space="preserve">CA-2015-116092</t>
  </si>
  <si>
    <t xml:space="preserve">CA-2016-117849</t>
  </si>
  <si>
    <t xml:space="preserve">CA-2015-169201</t>
  </si>
  <si>
    <t xml:space="preserve">CA-2016-164091</t>
  </si>
  <si>
    <t xml:space="preserve">Maine</t>
  </si>
  <si>
    <t xml:space="preserve">CA-2017-105214</t>
  </si>
  <si>
    <t xml:space="preserve">CA-2015-117611</t>
  </si>
  <si>
    <t xml:space="preserve">US-2015-137960</t>
  </si>
  <si>
    <t xml:space="preserve">CA-2017-122994</t>
  </si>
  <si>
    <t xml:space="preserve">CA-2016-131065</t>
  </si>
  <si>
    <t xml:space="preserve">CA-2017-149146</t>
  </si>
  <si>
    <t xml:space="preserve">CA-2017-137470</t>
  </si>
  <si>
    <t xml:space="preserve">CA-2017-105480</t>
  </si>
  <si>
    <t xml:space="preserve">CA-2017-164917</t>
  </si>
  <si>
    <t xml:space="preserve">CA-2015-102036</t>
  </si>
  <si>
    <t xml:space="preserve">CA-2015-142944</t>
  </si>
  <si>
    <t xml:space="preserve">CA-2014-157882</t>
  </si>
  <si>
    <t xml:space="preserve">CA-2014-104283</t>
  </si>
  <si>
    <t xml:space="preserve">CA-2017-142622</t>
  </si>
  <si>
    <t xml:space="preserve">CA-2016-132143</t>
  </si>
  <si>
    <t xml:space="preserve">CA-2015-153108</t>
  </si>
  <si>
    <t xml:space="preserve">CA-2016-112676</t>
  </si>
  <si>
    <t xml:space="preserve">CA-2017-165687</t>
  </si>
  <si>
    <t xml:space="preserve">US-2017-112928</t>
  </si>
  <si>
    <t xml:space="preserve">CA-2017-143343</t>
  </si>
  <si>
    <t xml:space="preserve">CA-2017-115154</t>
  </si>
  <si>
    <t xml:space="preserve">CA-2015-149342</t>
  </si>
  <si>
    <t xml:space="preserve">CA-2015-130995</t>
  </si>
  <si>
    <t xml:space="preserve">CA-2017-127929</t>
  </si>
  <si>
    <t xml:space="preserve">CA-2015-113145</t>
  </si>
  <si>
    <t xml:space="preserve">CA-2014-162362</t>
  </si>
  <si>
    <t xml:space="preserve">CA-2016-106558</t>
  </si>
  <si>
    <t xml:space="preserve">CA-2017-157931</t>
  </si>
  <si>
    <t xml:space="preserve">CA-2016-115574</t>
  </si>
  <si>
    <t xml:space="preserve">CA-2015-160794</t>
  </si>
  <si>
    <t xml:space="preserve">CA-2017-116225</t>
  </si>
  <si>
    <t xml:space="preserve">US-2017-120418</t>
  </si>
  <si>
    <t xml:space="preserve">CA-2017-122035</t>
  </si>
  <si>
    <t xml:space="preserve">South Dakota</t>
  </si>
  <si>
    <t xml:space="preserve">CA-2015-117828</t>
  </si>
  <si>
    <t xml:space="preserve">CA-2017-165491</t>
  </si>
  <si>
    <t xml:space="preserve">CA-2015-109470</t>
  </si>
  <si>
    <t xml:space="preserve">CA-2015-105102</t>
  </si>
  <si>
    <t xml:space="preserve">CA-2017-138422</t>
  </si>
  <si>
    <t xml:space="preserve">US-2015-147739</t>
  </si>
  <si>
    <t xml:space="preserve">CA-2016-155187</t>
  </si>
  <si>
    <t xml:space="preserve">CA-2017-169285</t>
  </si>
  <si>
    <t xml:space="preserve">CA-2014-140886</t>
  </si>
  <si>
    <t xml:space="preserve">CA-2017-152695</t>
  </si>
  <si>
    <t xml:space="preserve">CA-2014-110639</t>
  </si>
  <si>
    <t xml:space="preserve">CA-2014-121727</t>
  </si>
  <si>
    <t xml:space="preserve">CA-2016-137736</t>
  </si>
  <si>
    <t xml:space="preserve">US-2014-143231</t>
  </si>
  <si>
    <t xml:space="preserve">US-2014-155894</t>
  </si>
  <si>
    <t xml:space="preserve">CA-2016-119025</t>
  </si>
  <si>
    <t xml:space="preserve">CA-2016-159373</t>
  </si>
  <si>
    <t xml:space="preserve">CA-2017-109701</t>
  </si>
  <si>
    <t xml:space="preserve">CA-2015-111514</t>
  </si>
  <si>
    <t xml:space="preserve">US-2014-148838</t>
  </si>
  <si>
    <t xml:space="preserve">CA-2017-136497</t>
  </si>
  <si>
    <t xml:space="preserve">US-2016-108637</t>
  </si>
  <si>
    <t xml:space="preserve">CA-2014-102295</t>
  </si>
  <si>
    <t xml:space="preserve">CA-2017-123659</t>
  </si>
  <si>
    <t xml:space="preserve">US-2016-129469</t>
  </si>
  <si>
    <t xml:space="preserve">CA-2017-155152</t>
  </si>
  <si>
    <t xml:space="preserve">CA-2016-159940</t>
  </si>
  <si>
    <t xml:space="preserve">CA-2017-119669</t>
  </si>
  <si>
    <t xml:space="preserve">US-2014-164616</t>
  </si>
  <si>
    <t xml:space="preserve">CA-2015-148628</t>
  </si>
  <si>
    <t xml:space="preserve">CA-2016-118052</t>
  </si>
  <si>
    <t xml:space="preserve">US-2017-117534</t>
  </si>
  <si>
    <t xml:space="preserve">CA-2015-145065</t>
  </si>
  <si>
    <t xml:space="preserve">US-2015-127040</t>
  </si>
  <si>
    <t xml:space="preserve">CA-2016-128111</t>
  </si>
  <si>
    <t xml:space="preserve">CA-2015-137897</t>
  </si>
  <si>
    <t xml:space="preserve">CA-2017-169264</t>
  </si>
  <si>
    <t xml:space="preserve">CA-2017-147361</t>
  </si>
  <si>
    <t xml:space="preserve">CA-2017-145877</t>
  </si>
  <si>
    <t xml:space="preserve">US-2016-110170</t>
  </si>
  <si>
    <t xml:space="preserve">CA-2017-108574</t>
  </si>
  <si>
    <t xml:space="preserve">CA-2017-144589</t>
  </si>
  <si>
    <t xml:space="preserve">CA-2017-155985</t>
  </si>
  <si>
    <t xml:space="preserve">CA-2014-162684</t>
  </si>
  <si>
    <t xml:space="preserve">CA-2015-142041</t>
  </si>
  <si>
    <t xml:space="preserve">CA-2014-151295</t>
  </si>
  <si>
    <t xml:space="preserve">CA-2016-156300</t>
  </si>
  <si>
    <t xml:space="preserve">CA-2015-146087</t>
  </si>
  <si>
    <t xml:space="preserve">CA-2017-168655</t>
  </si>
  <si>
    <t xml:space="preserve">CA-2016-107202</t>
  </si>
  <si>
    <t xml:space="preserve">CA-2017-159597</t>
  </si>
  <si>
    <t xml:space="preserve">CA-2016-155551</t>
  </si>
  <si>
    <t xml:space="preserve">US-2017-147669</t>
  </si>
  <si>
    <t xml:space="preserve">CA-2016-169922</t>
  </si>
  <si>
    <t xml:space="preserve">CA-2017-100748</t>
  </si>
  <si>
    <t xml:space="preserve">CA-2017-129805</t>
  </si>
  <si>
    <t xml:space="preserve">CA-2014-148586</t>
  </si>
  <si>
    <t xml:space="preserve">US-2017-112613</t>
  </si>
  <si>
    <t xml:space="preserve">CA-2015-154746</t>
  </si>
  <si>
    <t xml:space="preserve">CA-2017-140053</t>
  </si>
  <si>
    <t xml:space="preserve">CA-2014-164210</t>
  </si>
  <si>
    <t xml:space="preserve">CA-2017-139948</t>
  </si>
  <si>
    <t xml:space="preserve">CA-2016-146934</t>
  </si>
  <si>
    <t xml:space="preserve">CA-2015-100573</t>
  </si>
  <si>
    <t xml:space="preserve">CA-2016-119165</t>
  </si>
  <si>
    <t xml:space="preserve">CA-2015-128027</t>
  </si>
  <si>
    <t xml:space="preserve">CA-2016-140207</t>
  </si>
  <si>
    <t xml:space="preserve">CA-2017-140949</t>
  </si>
  <si>
    <t xml:space="preserve">CA-2017-138548</t>
  </si>
  <si>
    <t xml:space="preserve">CA-2015-142419</t>
  </si>
  <si>
    <t xml:space="preserve">CA-2017-148691</t>
  </si>
  <si>
    <t xml:space="preserve">CA-2017-128755</t>
  </si>
  <si>
    <t xml:space="preserve">US-2016-135923</t>
  </si>
  <si>
    <t xml:space="preserve">CA-2016-114972</t>
  </si>
  <si>
    <t xml:space="preserve">CA-2017-102750</t>
  </si>
  <si>
    <t xml:space="preserve">CA-2014-145212</t>
  </si>
  <si>
    <t xml:space="preserve">CA-2017-141992</t>
  </si>
  <si>
    <t xml:space="preserve">CA-2017-147956</t>
  </si>
  <si>
    <t xml:space="preserve">CA-2017-126067</t>
  </si>
  <si>
    <t xml:space="preserve">CA-2015-104514</t>
  </si>
  <si>
    <t xml:space="preserve">CA-2015-141040</t>
  </si>
  <si>
    <t xml:space="preserve">CA-2014-113579</t>
  </si>
  <si>
    <t xml:space="preserve">CA-2014-144624</t>
  </si>
  <si>
    <t xml:space="preserve">CA-2016-146206</t>
  </si>
  <si>
    <t xml:space="preserve">CA-2014-136644</t>
  </si>
  <si>
    <t xml:space="preserve">CA-2015-122371</t>
  </si>
  <si>
    <t xml:space="preserve">CA-2016-126935</t>
  </si>
  <si>
    <t xml:space="preserve">US-2017-133781</t>
  </si>
  <si>
    <t xml:space="preserve">CA-2017-131618</t>
  </si>
  <si>
    <t xml:space="preserve">CA-2016-149482</t>
  </si>
  <si>
    <t xml:space="preserve">CA-2014-143917</t>
  </si>
  <si>
    <t xml:space="preserve">CA-2015-120397</t>
  </si>
  <si>
    <t xml:space="preserve">CA-2017-163902</t>
  </si>
  <si>
    <t xml:space="preserve">CA-2016-136812</t>
  </si>
  <si>
    <t xml:space="preserve">CA-2015-102722</t>
  </si>
  <si>
    <t xml:space="preserve">CA-2017-155089</t>
  </si>
  <si>
    <t xml:space="preserve">CA-2016-124506</t>
  </si>
  <si>
    <t xml:space="preserve">CA-2014-106572</t>
  </si>
  <si>
    <t xml:space="preserve">CA-2014-128888</t>
  </si>
  <si>
    <t xml:space="preserve">CA-2017-123134</t>
  </si>
  <si>
    <t xml:space="preserve">CA-2016-124352</t>
  </si>
  <si>
    <t xml:space="preserve">CA-2015-124541</t>
  </si>
  <si>
    <t xml:space="preserve">CA-2014-108707</t>
  </si>
  <si>
    <t xml:space="preserve">CA-2014-111500</t>
  </si>
  <si>
    <t xml:space="preserve">US-2017-117723</t>
  </si>
  <si>
    <t xml:space="preserve">CA-2015-143238</t>
  </si>
  <si>
    <t xml:space="preserve">CA-2015-168746</t>
  </si>
  <si>
    <t xml:space="preserve">CA-2015-113404</t>
  </si>
  <si>
    <t xml:space="preserve">CA-2016-144792</t>
  </si>
  <si>
    <t xml:space="preserve">CA-2014-164385</t>
  </si>
  <si>
    <t xml:space="preserve">US-2016-114174</t>
  </si>
  <si>
    <t xml:space="preserve">CA-2017-108070</t>
  </si>
  <si>
    <t xml:space="preserve">US-2015-128090</t>
  </si>
  <si>
    <t xml:space="preserve">CA-2017-101042</t>
  </si>
  <si>
    <t xml:space="preserve">CA-2016-155439</t>
  </si>
  <si>
    <t xml:space="preserve">CA-2016-118626</t>
  </si>
  <si>
    <t xml:space="preserve">CA-2015-111458</t>
  </si>
  <si>
    <t xml:space="preserve">US-2016-126844</t>
  </si>
  <si>
    <t xml:space="preserve">US-2015-112508</t>
  </si>
  <si>
    <t xml:space="preserve">CA-2015-147788</t>
  </si>
  <si>
    <t xml:space="preserve">CA-2015-144288</t>
  </si>
  <si>
    <t xml:space="preserve">CA-2015-110632</t>
  </si>
  <si>
    <t xml:space="preserve">CA-2017-109589</t>
  </si>
  <si>
    <t xml:space="preserve">CA-2017-123967</t>
  </si>
  <si>
    <t xml:space="preserve">CA-2017-148929</t>
  </si>
  <si>
    <t xml:space="preserve">CA-2017-134404</t>
  </si>
  <si>
    <t xml:space="preserve">CA-2017-109778</t>
  </si>
  <si>
    <t xml:space="preserve">CA-2016-155845</t>
  </si>
  <si>
    <t xml:space="preserve">CA-2017-145128</t>
  </si>
  <si>
    <t xml:space="preserve">CA-2014-129091</t>
  </si>
  <si>
    <t xml:space="preserve">US-2014-155502</t>
  </si>
  <si>
    <t xml:space="preserve">CA-2015-121041</t>
  </si>
  <si>
    <t xml:space="preserve">CA-2017-131695</t>
  </si>
  <si>
    <t xml:space="preserve">CA-2016-137729</t>
  </si>
  <si>
    <t xml:space="preserve">US-2016-115455</t>
  </si>
  <si>
    <t xml:space="preserve">CA-2017-128300</t>
  </si>
  <si>
    <t xml:space="preserve">CA-2017-149048</t>
  </si>
  <si>
    <t xml:space="preserve">CA-2017-108553</t>
  </si>
  <si>
    <t xml:space="preserve">CA-2016-165848</t>
  </si>
  <si>
    <t xml:space="preserve">CA-2014-112718</t>
  </si>
  <si>
    <t xml:space="preserve">CA-2016-154053</t>
  </si>
  <si>
    <t xml:space="preserve">CA-2014-127446</t>
  </si>
  <si>
    <t xml:space="preserve">CA-2016-137204</t>
  </si>
  <si>
    <t xml:space="preserve">CA-2014-147298</t>
  </si>
  <si>
    <t xml:space="preserve">CA-2017-147942</t>
  </si>
  <si>
    <t xml:space="preserve">CA-2017-115931</t>
  </si>
  <si>
    <t xml:space="preserve">CA-2014-164861</t>
  </si>
  <si>
    <t xml:space="preserve">CA-2017-127180</t>
  </si>
  <si>
    <t xml:space="preserve">US-2017-165344</t>
  </si>
  <si>
    <t xml:space="preserve">CA-2015-168186</t>
  </si>
  <si>
    <t xml:space="preserve">US-2017-110604</t>
  </si>
  <si>
    <t xml:space="preserve">CA-2015-116750</t>
  </si>
  <si>
    <t xml:space="preserve">CA-2015-162369</t>
  </si>
  <si>
    <t xml:space="preserve">CA-2017-108441</t>
  </si>
  <si>
    <t xml:space="preserve">CA-2015-169740</t>
  </si>
  <si>
    <t xml:space="preserve">CA-2016-124051</t>
  </si>
  <si>
    <t xml:space="preserve">CA-2016-149111</t>
  </si>
  <si>
    <t xml:space="preserve">CA-2014-131002</t>
  </si>
  <si>
    <t xml:space="preserve">US-2016-146794</t>
  </si>
  <si>
    <t xml:space="preserve">CA-2017-112515</t>
  </si>
  <si>
    <t xml:space="preserve">CA-2016-150343</t>
  </si>
  <si>
    <t xml:space="preserve">CA-2015-135538</t>
  </si>
  <si>
    <t xml:space="preserve">CA-2017-123372</t>
  </si>
  <si>
    <t xml:space="preserve">CA-2017-159604</t>
  </si>
  <si>
    <t xml:space="preserve">CA-2016-164784</t>
  </si>
  <si>
    <t xml:space="preserve">CA-2016-111794</t>
  </si>
  <si>
    <t xml:space="preserve">US-2015-139759</t>
  </si>
  <si>
    <t xml:space="preserve">CA-2014-126403</t>
  </si>
  <si>
    <t xml:space="preserve">CA-2017-136875</t>
  </si>
  <si>
    <t xml:space="preserve">CA-2017-132185</t>
  </si>
  <si>
    <t xml:space="preserve">US-2014-160780</t>
  </si>
  <si>
    <t xml:space="preserve">CA-2017-127026</t>
  </si>
  <si>
    <t xml:space="preserve">CA-2017-137085</t>
  </si>
  <si>
    <t xml:space="preserve">CA-2016-133123</t>
  </si>
  <si>
    <t xml:space="preserve">US-2016-128195</t>
  </si>
  <si>
    <t xml:space="preserve">CA-2015-153220</t>
  </si>
  <si>
    <t xml:space="preserve">CA-2014-123064</t>
  </si>
  <si>
    <t xml:space="preserve">CA-2017-156412</t>
  </si>
  <si>
    <t xml:space="preserve">US-2016-144211</t>
  </si>
  <si>
    <t xml:space="preserve">CA-2016-138079</t>
  </si>
  <si>
    <t xml:space="preserve">CA-2014-143182</t>
  </si>
  <si>
    <t xml:space="preserve">CA-2016-161662</t>
  </si>
  <si>
    <t xml:space="preserve">CA-2014-145317</t>
  </si>
  <si>
    <t xml:space="preserve">CA-2014-143413</t>
  </si>
  <si>
    <t xml:space="preserve">CA-2017-156818</t>
  </si>
  <si>
    <t xml:space="preserve">CA-2017-155873</t>
  </si>
  <si>
    <t xml:space="preserve">CA-2015-121797</t>
  </si>
  <si>
    <t xml:space="preserve">US-2015-120572</t>
  </si>
  <si>
    <t xml:space="preserve">CA-2017-132430</t>
  </si>
  <si>
    <t xml:space="preserve">CA-2017-146031</t>
  </si>
  <si>
    <t xml:space="preserve">CA-2014-110100</t>
  </si>
  <si>
    <t xml:space="preserve">CA-2015-103723</t>
  </si>
  <si>
    <t xml:space="preserve">CA-2014-127187</t>
  </si>
  <si>
    <t xml:space="preserve">CA-2017-128475</t>
  </si>
  <si>
    <t xml:space="preserve">CA-2014-100006</t>
  </si>
  <si>
    <t xml:space="preserve">CA-2017-144827</t>
  </si>
  <si>
    <t xml:space="preserve">CA-2014-110030</t>
  </si>
  <si>
    <t xml:space="preserve">CA-2014-121286</t>
  </si>
  <si>
    <t xml:space="preserve">CA-2016-164735</t>
  </si>
  <si>
    <t xml:space="preserve">CA-2014-153479</t>
  </si>
  <si>
    <t xml:space="preserve">CA-2017-149888</t>
  </si>
  <si>
    <t xml:space="preserve">CA-2017-119193</t>
  </si>
  <si>
    <t xml:space="preserve">CA-2017-104801</t>
  </si>
  <si>
    <t xml:space="preserve">CA-2014-107594</t>
  </si>
  <si>
    <t xml:space="preserve">CA-2015-129770</t>
  </si>
  <si>
    <t xml:space="preserve">CA-2015-115798</t>
  </si>
  <si>
    <t xml:space="preserve">CA-2017-122707</t>
  </si>
  <si>
    <t xml:space="preserve">CA-2016-165015</t>
  </si>
  <si>
    <t xml:space="preserve">CA-2014-149244</t>
  </si>
  <si>
    <t xml:space="preserve">CA-2015-140144</t>
  </si>
  <si>
    <t xml:space="preserve">CA-2017-163321</t>
  </si>
  <si>
    <t xml:space="preserve">CA-2014-155887</t>
  </si>
  <si>
    <t xml:space="preserve">US-2015-165449</t>
  </si>
  <si>
    <t xml:space="preserve">CA-2015-110247</t>
  </si>
  <si>
    <t xml:space="preserve">US-2014-141257</t>
  </si>
  <si>
    <t xml:space="preserve">CA-2014-154669</t>
  </si>
  <si>
    <t xml:space="preserve">CA-2014-158029</t>
  </si>
  <si>
    <t xml:space="preserve">CA-2015-155306</t>
  </si>
  <si>
    <t xml:space="preserve">CA-2016-127775</t>
  </si>
  <si>
    <t xml:space="preserve">CA-2016-146171</t>
  </si>
  <si>
    <t xml:space="preserve">CA-2014-129574</t>
  </si>
  <si>
    <t xml:space="preserve">CA-2017-126536</t>
  </si>
  <si>
    <t xml:space="preserve">CA-2017-165757</t>
  </si>
  <si>
    <t xml:space="preserve">CA-2017-167752</t>
  </si>
  <si>
    <t xml:space="preserve">US-2015-122140</t>
  </si>
  <si>
    <t xml:space="preserve">CA-2016-163986</t>
  </si>
  <si>
    <t xml:space="preserve">CA-2017-158967</t>
  </si>
  <si>
    <t xml:space="preserve">CA-2016-131576</t>
  </si>
  <si>
    <t xml:space="preserve">CA-2017-143455</t>
  </si>
  <si>
    <t xml:space="preserve">CA-2016-144729</t>
  </si>
  <si>
    <t xml:space="preserve">CA-2015-127019</t>
  </si>
  <si>
    <t xml:space="preserve">CA-2015-138534</t>
  </si>
  <si>
    <t xml:space="preserve">CA-2017-108322</t>
  </si>
  <si>
    <t xml:space="preserve">CA-2017-167668</t>
  </si>
  <si>
    <t xml:space="preserve">CA-2017-146724</t>
  </si>
  <si>
    <t xml:space="preserve">CA-2016-139878</t>
  </si>
  <si>
    <t xml:space="preserve">US-2016-106677</t>
  </si>
  <si>
    <t xml:space="preserve">CA-2016-116974</t>
  </si>
  <si>
    <t xml:space="preserve">CA-2015-149972</t>
  </si>
  <si>
    <t xml:space="preserve">US-2014-117744</t>
  </si>
  <si>
    <t xml:space="preserve">CA-2014-125514</t>
  </si>
  <si>
    <t xml:space="preserve">CA-2014-154599</t>
  </si>
  <si>
    <t xml:space="preserve">CA-2017-158743</t>
  </si>
  <si>
    <t xml:space="preserve">CA-2016-153318</t>
  </si>
  <si>
    <t xml:space="preserve">US-2015-110163</t>
  </si>
  <si>
    <t xml:space="preserve">CA-2017-143329</t>
  </si>
  <si>
    <t xml:space="preserve">CA-2015-159380</t>
  </si>
  <si>
    <t xml:space="preserve">CA-2015-122623</t>
  </si>
  <si>
    <t xml:space="preserve">CA-2015-148635</t>
  </si>
  <si>
    <t xml:space="preserve">CA-2015-135685</t>
  </si>
  <si>
    <t xml:space="preserve">CA-2015-104626</t>
  </si>
  <si>
    <t xml:space="preserve">CA-2016-160500</t>
  </si>
  <si>
    <t xml:space="preserve">CA-2017-100202</t>
  </si>
  <si>
    <t xml:space="preserve">CA-2017-131016</t>
  </si>
  <si>
    <t xml:space="preserve">US-2014-112914</t>
  </si>
  <si>
    <t xml:space="preserve">CA-2016-124149</t>
  </si>
  <si>
    <t xml:space="preserve">CA-2014-148915</t>
  </si>
  <si>
    <t xml:space="preserve">CA-2017-134649</t>
  </si>
  <si>
    <t xml:space="preserve">CA-2017-110842</t>
  </si>
  <si>
    <t xml:space="preserve">CA-2016-147368</t>
  </si>
  <si>
    <t xml:space="preserve">US-2015-104185</t>
  </si>
  <si>
    <t xml:space="preserve">US-2014-125521</t>
  </si>
  <si>
    <t xml:space="preserve">US-2017-135062</t>
  </si>
  <si>
    <t xml:space="preserve">CA-2017-135650</t>
  </si>
  <si>
    <t xml:space="preserve">CA-2017-112865</t>
  </si>
  <si>
    <t xml:space="preserve">US-2016-162852</t>
  </si>
  <si>
    <t xml:space="preserve">CA-2017-138163</t>
  </si>
  <si>
    <t xml:space="preserve">CA-2017-152093</t>
  </si>
  <si>
    <t xml:space="preserve">CA-2017-157854</t>
  </si>
  <si>
    <t xml:space="preserve">CA-2016-123617</t>
  </si>
  <si>
    <t xml:space="preserve">US-2016-128293</t>
  </si>
  <si>
    <t xml:space="preserve">CA-2017-107342</t>
  </si>
  <si>
    <t xml:space="preserve">CA-2016-136371</t>
  </si>
  <si>
    <t xml:space="preserve">CA-2017-137344</t>
  </si>
  <si>
    <t xml:space="preserve">CA-2017-169810</t>
  </si>
  <si>
    <t xml:space="preserve">CA-2016-128594</t>
  </si>
  <si>
    <t xml:space="preserve">CA-2016-154690</t>
  </si>
  <si>
    <t xml:space="preserve">CA-2017-138975</t>
  </si>
  <si>
    <t xml:space="preserve">CA-2017-106537</t>
  </si>
  <si>
    <t xml:space="preserve">US-2017-103828</t>
  </si>
  <si>
    <t xml:space="preserve">CA-2016-115588</t>
  </si>
  <si>
    <t xml:space="preserve">CA-2017-143861</t>
  </si>
  <si>
    <t xml:space="preserve">CA-2014-148040</t>
  </si>
  <si>
    <t xml:space="preserve">CA-2017-135167</t>
  </si>
  <si>
    <t xml:space="preserve">CA-2017-137022</t>
  </si>
  <si>
    <t xml:space="preserve">US-2017-102638</t>
  </si>
  <si>
    <t xml:space="preserve">US-2016-167339</t>
  </si>
  <si>
    <t xml:space="preserve">CA-2016-152072</t>
  </si>
  <si>
    <t xml:space="preserve">CA-2016-102932</t>
  </si>
  <si>
    <t xml:space="preserve">CA-2014-165540</t>
  </si>
  <si>
    <t xml:space="preserve">CA-2016-130799</t>
  </si>
  <si>
    <t xml:space="preserve">CA-2016-164483</t>
  </si>
  <si>
    <t xml:space="preserve">US-2016-159856</t>
  </si>
  <si>
    <t xml:space="preserve">CA-2017-102099</t>
  </si>
  <si>
    <t xml:space="preserve">CA-2017-164049</t>
  </si>
  <si>
    <t xml:space="preserve">CA-2014-142727</t>
  </si>
  <si>
    <t xml:space="preserve">CA-2017-139913</t>
  </si>
  <si>
    <t xml:space="preserve">CA-2014-169033</t>
  </si>
  <si>
    <t xml:space="preserve">US-2016-164630</t>
  </si>
  <si>
    <t xml:space="preserve">US-2015-114839</t>
  </si>
  <si>
    <t xml:space="preserve">CA-2015-166464</t>
  </si>
  <si>
    <t xml:space="preserve">CA-2017-124898</t>
  </si>
  <si>
    <t xml:space="preserve">CA-2016-164035</t>
  </si>
  <si>
    <t xml:space="preserve">CA-2016-153577</t>
  </si>
  <si>
    <t xml:space="preserve">CA-2014-127586</t>
  </si>
  <si>
    <t xml:space="preserve">CA-2017-121615</t>
  </si>
  <si>
    <t xml:space="preserve">CA-2017-166415</t>
  </si>
  <si>
    <t xml:space="preserve">CA-2015-118444</t>
  </si>
  <si>
    <t xml:space="preserve">CA-2014-113929</t>
  </si>
  <si>
    <t xml:space="preserve">CA-2015-134747</t>
  </si>
  <si>
    <t xml:space="preserve">CA-2017-155047</t>
  </si>
  <si>
    <t xml:space="preserve">CA-2016-160129</t>
  </si>
  <si>
    <t xml:space="preserve">CA-2017-164329</t>
  </si>
  <si>
    <t xml:space="preserve">US-2015-141453</t>
  </si>
  <si>
    <t xml:space="preserve">CA-2014-156993</t>
  </si>
  <si>
    <t xml:space="preserve">CA-2014-157721</t>
  </si>
  <si>
    <t xml:space="preserve">CA-2017-128629</t>
  </si>
  <si>
    <t xml:space="preserve">CA-2017-158106</t>
  </si>
  <si>
    <t xml:space="preserve">US-2017-120390</t>
  </si>
  <si>
    <t xml:space="preserve">CA-2017-143434</t>
  </si>
  <si>
    <t xml:space="preserve">CA-2015-168564</t>
  </si>
  <si>
    <t xml:space="preserve">US-2016-169040</t>
  </si>
  <si>
    <t xml:space="preserve">CA-2017-155880</t>
  </si>
  <si>
    <t xml:space="preserve">CA-2017-126242</t>
  </si>
  <si>
    <t xml:space="preserve">CA-2016-166443</t>
  </si>
  <si>
    <t xml:space="preserve">CA-2017-169859</t>
  </si>
  <si>
    <t xml:space="preserve">CA-2017-134915</t>
  </si>
  <si>
    <t xml:space="preserve">CA-2016-153353</t>
  </si>
  <si>
    <t xml:space="preserve">CA-2017-123638</t>
  </si>
  <si>
    <t xml:space="preserve">CA-2017-168900</t>
  </si>
  <si>
    <t xml:space="preserve">CA-2015-158456</t>
  </si>
  <si>
    <t xml:space="preserve">CA-2017-143665</t>
  </si>
  <si>
    <t xml:space="preserve">CA-2017-137428</t>
  </si>
  <si>
    <t xml:space="preserve">CA-2014-162866</t>
  </si>
  <si>
    <t xml:space="preserve">CA-2017-167941</t>
  </si>
  <si>
    <t xml:space="preserve">CA-2017-111808</t>
  </si>
  <si>
    <t xml:space="preserve">CA-2015-137512</t>
  </si>
  <si>
    <t xml:space="preserve">CA-2017-139773</t>
  </si>
  <si>
    <t xml:space="preserve">CA-2017-134607</t>
  </si>
  <si>
    <t xml:space="preserve">CA-2014-109232</t>
  </si>
  <si>
    <t xml:space="preserve">CA-2015-139850</t>
  </si>
  <si>
    <t xml:space="preserve">CA-2014-131310</t>
  </si>
  <si>
    <t xml:space="preserve">US-2014-112872</t>
  </si>
  <si>
    <t xml:space="preserve">CA-2016-139269</t>
  </si>
  <si>
    <t xml:space="preserve">CA-2016-139010</t>
  </si>
  <si>
    <t xml:space="preserve">CA-2016-134376</t>
  </si>
  <si>
    <t xml:space="preserve">CA-2017-147291</t>
  </si>
  <si>
    <t xml:space="preserve">CA-2016-112893</t>
  </si>
  <si>
    <t xml:space="preserve">US-2014-150532</t>
  </si>
  <si>
    <t xml:space="preserve">CA-2014-138317</t>
  </si>
  <si>
    <t xml:space="preserve">CA-2015-130610</t>
  </si>
  <si>
    <t xml:space="preserve">CA-2017-104381</t>
  </si>
  <si>
    <t xml:space="preserve">CA-2016-131499</t>
  </si>
  <si>
    <t xml:space="preserve">CA-2014-148761</t>
  </si>
  <si>
    <t xml:space="preserve">CA-2017-116519</t>
  </si>
  <si>
    <t xml:space="preserve">CA-2014-130729</t>
  </si>
  <si>
    <t xml:space="preserve">CA-2016-124772</t>
  </si>
  <si>
    <t xml:space="preserve">CA-2016-115525</t>
  </si>
  <si>
    <t xml:space="preserve">CA-2017-134845</t>
  </si>
  <si>
    <t xml:space="preserve">US-2015-138919</t>
  </si>
  <si>
    <t xml:space="preserve">US-2016-160528</t>
  </si>
  <si>
    <t xml:space="preserve">CA-2015-123568</t>
  </si>
  <si>
    <t xml:space="preserve">CA-2017-124674</t>
  </si>
  <si>
    <t xml:space="preserve">CA-2015-164441</t>
  </si>
  <si>
    <t xml:space="preserve">CA-2017-169054</t>
  </si>
  <si>
    <t xml:space="preserve">CA-2014-106719</t>
  </si>
  <si>
    <t xml:space="preserve">CA-2017-116855</t>
  </si>
  <si>
    <t xml:space="preserve">US-2016-164189</t>
  </si>
  <si>
    <t xml:space="preserve">CA-2015-168480</t>
  </si>
  <si>
    <t xml:space="preserve">US-2016-114293</t>
  </si>
  <si>
    <t xml:space="preserve">CA-2017-134173</t>
  </si>
  <si>
    <t xml:space="preserve">US-2015-123960</t>
  </si>
  <si>
    <t xml:space="preserve">CA-2017-101749</t>
  </si>
  <si>
    <t xml:space="preserve">US-2016-147991</t>
  </si>
  <si>
    <t xml:space="preserve">CA-2017-149559</t>
  </si>
  <si>
    <t xml:space="preserve">CA-2015-135174</t>
  </si>
  <si>
    <t xml:space="preserve">CA-2017-125290</t>
  </si>
  <si>
    <t xml:space="preserve">CA-2014-137351</t>
  </si>
  <si>
    <t xml:space="preserve">CA-2017-121419</t>
  </si>
  <si>
    <t xml:space="preserve">US-2017-148054</t>
  </si>
  <si>
    <t xml:space="preserve">Idaho</t>
  </si>
  <si>
    <t xml:space="preserve">CA-2016-128517</t>
  </si>
  <si>
    <t xml:space="preserve">US-2015-100377</t>
  </si>
  <si>
    <t xml:space="preserve">CA-2017-131492</t>
  </si>
  <si>
    <t xml:space="preserve">CA-2016-144554</t>
  </si>
  <si>
    <t xml:space="preserve">CA-2017-127621</t>
  </si>
  <si>
    <t xml:space="preserve">CA-2015-145184</t>
  </si>
  <si>
    <t xml:space="preserve">CA-2017-106859</t>
  </si>
  <si>
    <t xml:space="preserve">US-2017-120089</t>
  </si>
  <si>
    <t xml:space="preserve">CA-2014-119375</t>
  </si>
  <si>
    <t xml:space="preserve">CA-2016-125206</t>
  </si>
  <si>
    <t xml:space="preserve">CA-2015-126137</t>
  </si>
  <si>
    <t xml:space="preserve">CA-2014-143903</t>
  </si>
  <si>
    <t xml:space="preserve">CA-2014-104780</t>
  </si>
  <si>
    <t xml:space="preserve">CA-2017-101182</t>
  </si>
  <si>
    <t xml:space="preserve">US-2017-132297</t>
  </si>
  <si>
    <t xml:space="preserve">CA-2014-100328</t>
  </si>
  <si>
    <t xml:space="preserve">CA-2017-118773</t>
  </si>
  <si>
    <t xml:space="preserve">US-2017-159205</t>
  </si>
  <si>
    <t xml:space="preserve">CA-2016-112123</t>
  </si>
  <si>
    <t xml:space="preserve">CA-2015-114468</t>
  </si>
  <si>
    <t xml:space="preserve">CA-2017-135692</t>
  </si>
  <si>
    <t xml:space="preserve">CA-2017-131233</t>
  </si>
  <si>
    <t xml:space="preserve">CA-2017-119578</t>
  </si>
  <si>
    <t xml:space="preserve">CA-2016-124562</t>
  </si>
  <si>
    <t xml:space="preserve">US-2017-140074</t>
  </si>
  <si>
    <t xml:space="preserve">CA-2016-103037</t>
  </si>
  <si>
    <t xml:space="preserve">CA-2017-127460</t>
  </si>
  <si>
    <t xml:space="preserve">CA-2016-121671</t>
  </si>
  <si>
    <t xml:space="preserve">CA-2016-150350</t>
  </si>
  <si>
    <t xml:space="preserve">CA-2015-121720</t>
  </si>
  <si>
    <t xml:space="preserve">CA-2017-149895</t>
  </si>
  <si>
    <t xml:space="preserve">CA-2017-147564</t>
  </si>
  <si>
    <t xml:space="preserve">CA-2014-136399</t>
  </si>
  <si>
    <t xml:space="preserve">CA-2014-107916</t>
  </si>
  <si>
    <t xml:space="preserve">CA-2017-164168</t>
  </si>
  <si>
    <t xml:space="preserve">CA-2015-112557</t>
  </si>
  <si>
    <t xml:space="preserve">US-2014-122959</t>
  </si>
  <si>
    <t xml:space="preserve">CA-2017-162572</t>
  </si>
  <si>
    <t xml:space="preserve">US-2016-148110</t>
  </si>
  <si>
    <t xml:space="preserve">CA-2017-131828</t>
  </si>
  <si>
    <t xml:space="preserve">CA-2014-109218</t>
  </si>
  <si>
    <t xml:space="preserve">CA-2016-120558</t>
  </si>
  <si>
    <t xml:space="preserve">US-2014-109036</t>
  </si>
  <si>
    <t xml:space="preserve">CA-2015-147830</t>
  </si>
  <si>
    <t xml:space="preserve">CA-2017-150497</t>
  </si>
  <si>
    <t xml:space="preserve">CA-2014-128986</t>
  </si>
  <si>
    <t xml:space="preserve">CA-2015-139584</t>
  </si>
  <si>
    <t xml:space="preserve">US-2016-162677</t>
  </si>
  <si>
    <t xml:space="preserve">US-2014-150924</t>
  </si>
  <si>
    <t xml:space="preserve">CA-2014-153969</t>
  </si>
  <si>
    <t xml:space="preserve">CA-2016-146682</t>
  </si>
  <si>
    <t xml:space="preserve">CA-2016-138695</t>
  </si>
  <si>
    <t xml:space="preserve">CA-2017-107461</t>
  </si>
  <si>
    <t xml:space="preserve">US-2016-133879</t>
  </si>
  <si>
    <t xml:space="preserve">CA-2017-157483</t>
  </si>
  <si>
    <t xml:space="preserve">US-2017-132059</t>
  </si>
  <si>
    <t xml:space="preserve">CA-2017-122280</t>
  </si>
  <si>
    <t xml:space="preserve">CA-2017-105235</t>
  </si>
  <si>
    <t xml:space="preserve">CA-2017-152912</t>
  </si>
  <si>
    <t xml:space="preserve">CA-2014-123498</t>
  </si>
  <si>
    <t xml:space="preserve">CA-2017-159352</t>
  </si>
  <si>
    <t xml:space="preserve">US-2017-146416</t>
  </si>
  <si>
    <t xml:space="preserve">US-2015-163783</t>
  </si>
  <si>
    <t xml:space="preserve">CA-2017-123981</t>
  </si>
  <si>
    <t xml:space="preserve">CA-2017-158953</t>
  </si>
  <si>
    <t xml:space="preserve">CA-2014-165428</t>
  </si>
  <si>
    <t xml:space="preserve">CA-2016-169026</t>
  </si>
  <si>
    <t xml:space="preserve">CA-2017-109750</t>
  </si>
  <si>
    <t xml:space="preserve">CA-2015-149384</t>
  </si>
  <si>
    <t xml:space="preserve">CA-2014-131527</t>
  </si>
  <si>
    <t xml:space="preserve">CA-2017-164000</t>
  </si>
  <si>
    <t xml:space="preserve">CA-2014-164224</t>
  </si>
  <si>
    <t xml:space="preserve">CA-2014-158372</t>
  </si>
  <si>
    <t xml:space="preserve">CA-2016-108882</t>
  </si>
  <si>
    <t xml:space="preserve">US-2017-108245</t>
  </si>
  <si>
    <t xml:space="preserve">CA-2014-142314</t>
  </si>
  <si>
    <t xml:space="preserve">CA-2016-132409</t>
  </si>
  <si>
    <t xml:space="preserve">CA-2017-150189</t>
  </si>
  <si>
    <t xml:space="preserve">CA-2014-114433</t>
  </si>
  <si>
    <t xml:space="preserve">CA-2017-104640</t>
  </si>
  <si>
    <t xml:space="preserve">US-2015-137008</t>
  </si>
  <si>
    <t xml:space="preserve">CA-2014-108189</t>
  </si>
  <si>
    <t xml:space="preserve">CA-2014-154641</t>
  </si>
  <si>
    <t xml:space="preserve">CA-2017-131625</t>
  </si>
  <si>
    <t xml:space="preserve">US-2017-156356</t>
  </si>
  <si>
    <t xml:space="preserve">CA-2016-138933</t>
  </si>
  <si>
    <t xml:space="preserve">CA-2016-140746</t>
  </si>
  <si>
    <t xml:space="preserve">CA-2016-146836</t>
  </si>
  <si>
    <t xml:space="preserve">US-2016-127971</t>
  </si>
  <si>
    <t xml:space="preserve">US-2016-140809</t>
  </si>
  <si>
    <t xml:space="preserve">CA-2017-114524</t>
  </si>
  <si>
    <t xml:space="preserve">CA-2017-113355</t>
  </si>
  <si>
    <t xml:space="preserve">US-2017-140907</t>
  </si>
  <si>
    <t xml:space="preserve">CA-2016-159730</t>
  </si>
  <si>
    <t xml:space="preserve">CA-2016-157868</t>
  </si>
  <si>
    <t xml:space="preserve">CA-2017-119389</t>
  </si>
  <si>
    <t xml:space="preserve">CA-2017-110373</t>
  </si>
  <si>
    <t xml:space="preserve">CA-2016-155474</t>
  </si>
  <si>
    <t xml:space="preserve">CA-2015-155453</t>
  </si>
  <si>
    <t xml:space="preserve">US-2016-161844</t>
  </si>
  <si>
    <t xml:space="preserve">US-2016-162103</t>
  </si>
  <si>
    <t xml:space="preserve">CA-2014-151554</t>
  </si>
  <si>
    <t xml:space="preserve">CA-2014-140662</t>
  </si>
  <si>
    <t xml:space="preserve">CA-2016-122518</t>
  </si>
  <si>
    <t xml:space="preserve">US-2014-126571</t>
  </si>
  <si>
    <t xml:space="preserve">CA-2014-143840</t>
  </si>
  <si>
    <t xml:space="preserve">CA-2014-115980</t>
  </si>
  <si>
    <t xml:space="preserve">CA-2015-155145</t>
  </si>
  <si>
    <t xml:space="preserve">CA-2015-146038</t>
  </si>
  <si>
    <t xml:space="preserve">CA-2017-133865</t>
  </si>
  <si>
    <t xml:space="preserve">CA-2017-116358</t>
  </si>
  <si>
    <t xml:space="preserve">CA-2014-102988</t>
  </si>
  <si>
    <t xml:space="preserve">US-2014-117170</t>
  </si>
  <si>
    <t xml:space="preserve">CA-2014-159478</t>
  </si>
  <si>
    <t xml:space="preserve">CA-2014-103702</t>
  </si>
  <si>
    <t xml:space="preserve">CA-2017-150525</t>
  </si>
  <si>
    <t xml:space="preserve">CA-2015-157770</t>
  </si>
  <si>
    <t xml:space="preserve">CA-2016-167290</t>
  </si>
  <si>
    <t xml:space="preserve">CA-2014-106264</t>
  </si>
  <si>
    <t xml:space="preserve">CA-2014-138023</t>
  </si>
  <si>
    <t xml:space="preserve">CA-2017-113418</t>
  </si>
  <si>
    <t xml:space="preserve">US-2015-110569</t>
  </si>
  <si>
    <t xml:space="preserve">CA-2017-136308</t>
  </si>
  <si>
    <t xml:space="preserve">US-2014-159926</t>
  </si>
  <si>
    <t xml:space="preserve">CA-2014-104738</t>
  </si>
  <si>
    <t xml:space="preserve">CA-2015-144386</t>
  </si>
  <si>
    <t xml:space="preserve">CA-2016-111416</t>
  </si>
  <si>
    <t xml:space="preserve">CA-2016-162747</t>
  </si>
  <si>
    <t xml:space="preserve">US-2014-133130</t>
  </si>
  <si>
    <t xml:space="preserve">CA-2017-169978</t>
  </si>
  <si>
    <t xml:space="preserve">CA-2017-161739</t>
  </si>
  <si>
    <t xml:space="preserve">CA-2015-165057</t>
  </si>
  <si>
    <t xml:space="preserve">CA-2014-134551</t>
  </si>
  <si>
    <t xml:space="preserve">CA-2015-120810</t>
  </si>
  <si>
    <t xml:space="preserve">CA-2014-165309</t>
  </si>
  <si>
    <t xml:space="preserve">CA-2017-122595</t>
  </si>
  <si>
    <t xml:space="preserve">US-2017-109253</t>
  </si>
  <si>
    <t xml:space="preserve">CA-2016-145982</t>
  </si>
  <si>
    <t xml:space="preserve">CA-2015-112014</t>
  </si>
  <si>
    <t xml:space="preserve">CA-2017-154732</t>
  </si>
  <si>
    <t xml:space="preserve">US-2016-157308</t>
  </si>
  <si>
    <t xml:space="preserve">CA-2016-147536</t>
  </si>
  <si>
    <t xml:space="preserve">US-2014-134733</t>
  </si>
  <si>
    <t xml:space="preserve">US-2014-150434</t>
  </si>
  <si>
    <t xml:space="preserve">CA-2017-100335</t>
  </si>
  <si>
    <t xml:space="preserve">CA-2016-139234</t>
  </si>
  <si>
    <t xml:space="preserve">US-2015-142020</t>
  </si>
  <si>
    <t xml:space="preserve">CA-2015-139962</t>
  </si>
  <si>
    <t xml:space="preserve">CA-2016-130050</t>
  </si>
  <si>
    <t xml:space="preserve">CA-2014-115161</t>
  </si>
  <si>
    <t xml:space="preserve">CA-2014-165379</t>
  </si>
  <si>
    <t xml:space="preserve">CA-2015-115511</t>
  </si>
  <si>
    <t xml:space="preserve">CA-2016-134887</t>
  </si>
  <si>
    <t xml:space="preserve">CA-2017-123778</t>
  </si>
  <si>
    <t xml:space="preserve">CA-2015-161718</t>
  </si>
  <si>
    <t xml:space="preserve">CA-2016-100671</t>
  </si>
  <si>
    <t xml:space="preserve">CA-2017-142867</t>
  </si>
  <si>
    <t xml:space="preserve">CA-2017-103156</t>
  </si>
  <si>
    <t xml:space="preserve">US-2017-162208</t>
  </si>
  <si>
    <t xml:space="preserve">CA-2015-130659</t>
  </si>
  <si>
    <t xml:space="preserve">CA-2017-148404</t>
  </si>
  <si>
    <t xml:space="preserve">CA-2017-101077</t>
  </si>
  <si>
    <t xml:space="preserve">CA-2014-166471</t>
  </si>
  <si>
    <t xml:space="preserve">CA-2014-105340</t>
  </si>
  <si>
    <t xml:space="preserve">US-2017-131583</t>
  </si>
  <si>
    <t xml:space="preserve">US-2017-148362</t>
  </si>
  <si>
    <t xml:space="preserve">CA-2014-102274</t>
  </si>
  <si>
    <t xml:space="preserve">CA-2015-129700</t>
  </si>
  <si>
    <t xml:space="preserve">CA-2017-168739</t>
  </si>
  <si>
    <t xml:space="preserve">CA-2015-152527</t>
  </si>
  <si>
    <t xml:space="preserve">US-2014-150119</t>
  </si>
  <si>
    <t xml:space="preserve">US-2017-150847</t>
  </si>
  <si>
    <t xml:space="preserve">CA-2016-100244</t>
  </si>
  <si>
    <t xml:space="preserve">CA-2016-116540</t>
  </si>
  <si>
    <t xml:space="preserve">CA-2015-151841</t>
  </si>
  <si>
    <t xml:space="preserve">CA-2015-150791</t>
  </si>
  <si>
    <t xml:space="preserve">CA-2016-134803</t>
  </si>
  <si>
    <t xml:space="preserve">CA-2015-153381</t>
  </si>
  <si>
    <t xml:space="preserve">US-2017-111024</t>
  </si>
  <si>
    <t xml:space="preserve">CA-2017-148264</t>
  </si>
  <si>
    <t xml:space="preserve">CA-2017-131212</t>
  </si>
  <si>
    <t xml:space="preserve">US-2015-100531</t>
  </si>
  <si>
    <t xml:space="preserve">CA-2017-152583</t>
  </si>
  <si>
    <t xml:space="preserve">CA-2015-144099</t>
  </si>
  <si>
    <t xml:space="preserve">CA-2014-158337</t>
  </si>
  <si>
    <t xml:space="preserve">CA-2017-168858</t>
  </si>
  <si>
    <t xml:space="preserve">CA-2016-116344</t>
  </si>
  <si>
    <t xml:space="preserve">CA-2015-131779</t>
  </si>
  <si>
    <t xml:space="preserve">CA-2016-158869</t>
  </si>
  <si>
    <t xml:space="preserve">CA-2017-102554</t>
  </si>
  <si>
    <t xml:space="preserve">CA-2016-162614</t>
  </si>
  <si>
    <t xml:space="preserve">CA-2014-168592</t>
  </si>
  <si>
    <t xml:space="preserve">CA-2014-157609</t>
  </si>
  <si>
    <t xml:space="preserve">CA-2015-153325</t>
  </si>
  <si>
    <t xml:space="preserve">CA-2015-153626</t>
  </si>
  <si>
    <t xml:space="preserve">CA-2016-166485</t>
  </si>
  <si>
    <t xml:space="preserve">CA-2017-136448</t>
  </si>
  <si>
    <t xml:space="preserve">CA-2017-114258</t>
  </si>
  <si>
    <t xml:space="preserve">CA-2015-152611</t>
  </si>
  <si>
    <t xml:space="preserve">CA-2016-165470</t>
  </si>
  <si>
    <t xml:space="preserve">CA-2017-128699</t>
  </si>
  <si>
    <t xml:space="preserve">US-2015-147242</t>
  </si>
  <si>
    <t xml:space="preserve">CA-2016-146143</t>
  </si>
  <si>
    <t xml:space="preserve">CA-2015-100888</t>
  </si>
  <si>
    <t xml:space="preserve">US-2016-150035</t>
  </si>
  <si>
    <t xml:space="preserve">CA-2017-122644</t>
  </si>
  <si>
    <t xml:space="preserve">CA-2017-111815</t>
  </si>
  <si>
    <t xml:space="preserve">CA-2016-144911</t>
  </si>
  <si>
    <t xml:space="preserve">CA-2014-143385</t>
  </si>
  <si>
    <t xml:space="preserve">CA-2016-131289</t>
  </si>
  <si>
    <t xml:space="preserve">CA-2014-124023</t>
  </si>
  <si>
    <t xml:space="preserve">CA-2014-124688</t>
  </si>
  <si>
    <t xml:space="preserve">CA-2016-151169</t>
  </si>
  <si>
    <t xml:space="preserve">US-2016-134761</t>
  </si>
  <si>
    <t xml:space="preserve">CA-2017-120705</t>
  </si>
  <si>
    <t xml:space="preserve">CA-2015-157322</t>
  </si>
  <si>
    <t xml:space="preserve">CA-2017-142034</t>
  </si>
  <si>
    <t xml:space="preserve">CA-2016-107328</t>
  </si>
  <si>
    <t xml:space="preserve">CA-2016-108616</t>
  </si>
  <si>
    <t xml:space="preserve">CA-2017-125115</t>
  </si>
  <si>
    <t xml:space="preserve">CA-2016-150945</t>
  </si>
  <si>
    <t xml:space="preserve">CA-2014-166863</t>
  </si>
  <si>
    <t xml:space="preserve">CA-2017-140326</t>
  </si>
  <si>
    <t xml:space="preserve">CA-2016-168536</t>
  </si>
  <si>
    <t xml:space="preserve">US-2016-113649</t>
  </si>
  <si>
    <t xml:space="preserve">CA-2015-124975</t>
  </si>
  <si>
    <t xml:space="preserve">CA-2015-168767</t>
  </si>
  <si>
    <t xml:space="preserve">CA-2016-114482</t>
  </si>
  <si>
    <t xml:space="preserve">CA-2016-137673</t>
  </si>
  <si>
    <t xml:space="preserve">CA-2016-132731</t>
  </si>
  <si>
    <t xml:space="preserve">CA-2017-148922</t>
  </si>
  <si>
    <t xml:space="preserve">CA-2016-130680</t>
  </si>
  <si>
    <t xml:space="preserve">CA-2015-141145</t>
  </si>
  <si>
    <t xml:space="preserve">US-2016-152835</t>
  </si>
  <si>
    <t xml:space="preserve">CA-2016-155565</t>
  </si>
  <si>
    <t xml:space="preserve">CA-2014-110849</t>
  </si>
  <si>
    <t xml:space="preserve">CA-2016-145842</t>
  </si>
  <si>
    <t xml:space="preserve">CA-2014-158771</t>
  </si>
  <si>
    <t xml:space="preserve">CA-2016-157511</t>
  </si>
  <si>
    <t xml:space="preserve">CA-2017-121216</t>
  </si>
  <si>
    <t xml:space="preserve">CA-2017-155292</t>
  </si>
  <si>
    <t xml:space="preserve">CA-2016-152555</t>
  </si>
  <si>
    <t xml:space="preserve">CA-2017-107832</t>
  </si>
  <si>
    <t xml:space="preserve">CA-2014-120838</t>
  </si>
  <si>
    <t xml:space="preserve">CA-2017-118542</t>
  </si>
  <si>
    <t xml:space="preserve">CA-2017-152737</t>
  </si>
  <si>
    <t xml:space="preserve">CA-2017-109757</t>
  </si>
  <si>
    <t xml:space="preserve">CA-2016-130029</t>
  </si>
  <si>
    <t xml:space="preserve">CA-2017-103877</t>
  </si>
  <si>
    <t xml:space="preserve">CA-2016-137176</t>
  </si>
  <si>
    <t xml:space="preserve">CA-2017-168109</t>
  </si>
  <si>
    <t xml:space="preserve">US-2017-126081</t>
  </si>
  <si>
    <t xml:space="preserve">CA-2017-117023</t>
  </si>
  <si>
    <t xml:space="preserve">CA-2015-143532</t>
  </si>
  <si>
    <t xml:space="preserve">CA-2016-103163</t>
  </si>
  <si>
    <t xml:space="preserve">CA-2016-104157</t>
  </si>
  <si>
    <t xml:space="preserve">CA-2017-117807</t>
  </si>
  <si>
    <t xml:space="preserve">CA-2015-121650</t>
  </si>
  <si>
    <t xml:space="preserve">CA-2017-161823</t>
  </si>
  <si>
    <t xml:space="preserve">CA-2017-121839</t>
  </si>
  <si>
    <t xml:space="preserve">CA-2017-158729</t>
  </si>
  <si>
    <t xml:space="preserve">CA-2017-146535</t>
  </si>
  <si>
    <t xml:space="preserve">CA-2014-154186</t>
  </si>
  <si>
    <t xml:space="preserve">CA-2016-108434</t>
  </si>
  <si>
    <t xml:space="preserve">CA-2016-164154</t>
  </si>
  <si>
    <t xml:space="preserve">CA-2017-148012</t>
  </si>
  <si>
    <t xml:space="preserve">CA-2014-102869</t>
  </si>
  <si>
    <t xml:space="preserve">CA-2017-138310</t>
  </si>
  <si>
    <t xml:space="preserve">CA-2014-159835</t>
  </si>
  <si>
    <t xml:space="preserve">CA-2017-112956</t>
  </si>
  <si>
    <t xml:space="preserve">CA-2016-119683</t>
  </si>
  <si>
    <t xml:space="preserve">CA-2014-163559</t>
  </si>
  <si>
    <t xml:space="preserve">CA-2014-140228</t>
  </si>
  <si>
    <t xml:space="preserve">US-2016-131674</t>
  </si>
  <si>
    <t xml:space="preserve">CA-2015-110093</t>
  </si>
  <si>
    <t xml:space="preserve">CA-2017-112529</t>
  </si>
  <si>
    <t xml:space="preserve">CA-2016-154536</t>
  </si>
  <si>
    <t xml:space="preserve">CA-2017-141929</t>
  </si>
  <si>
    <t xml:space="preserve">CA-2016-109743</t>
  </si>
  <si>
    <t xml:space="preserve">CA-2014-159184</t>
  </si>
  <si>
    <t xml:space="preserve">CA-2017-113530</t>
  </si>
  <si>
    <t xml:space="preserve">CA-2014-169726</t>
  </si>
  <si>
    <t xml:space="preserve">CA-2017-155957</t>
  </si>
  <si>
    <t xml:space="preserve">CA-2017-132178</t>
  </si>
  <si>
    <t xml:space="preserve">CA-2016-145177</t>
  </si>
  <si>
    <t xml:space="preserve">CA-2014-156594</t>
  </si>
  <si>
    <t xml:space="preserve">CA-2014-146528</t>
  </si>
  <si>
    <t xml:space="preserve">CA-2015-168459</t>
  </si>
  <si>
    <t xml:space="preserve">CA-2017-109960</t>
  </si>
  <si>
    <t xml:space="preserve">CA-2017-133004</t>
  </si>
  <si>
    <t xml:space="preserve">CA-2017-168102</t>
  </si>
  <si>
    <t xml:space="preserve">CA-2017-158036</t>
  </si>
  <si>
    <t xml:space="preserve">CA-2015-128083</t>
  </si>
  <si>
    <t xml:space="preserve">CA-2016-161676</t>
  </si>
  <si>
    <t xml:space="preserve">CA-2016-155005</t>
  </si>
  <si>
    <t xml:space="preserve">US-2017-129777</t>
  </si>
  <si>
    <t xml:space="preserve">CA-2014-129364</t>
  </si>
  <si>
    <t xml:space="preserve">CA-2016-104969</t>
  </si>
  <si>
    <t xml:space="preserve">CA-2017-154109</t>
  </si>
  <si>
    <t xml:space="preserve">CA-2015-156440</t>
  </si>
  <si>
    <t xml:space="preserve">CA-2015-132626</t>
  </si>
  <si>
    <t xml:space="preserve">CA-2016-102792</t>
  </si>
  <si>
    <t xml:space="preserve">CA-2016-108567</t>
  </si>
  <si>
    <t xml:space="preserve">CA-2017-140760</t>
  </si>
  <si>
    <t xml:space="preserve">US-2015-131359</t>
  </si>
  <si>
    <t xml:space="preserve">CA-2016-142097</t>
  </si>
  <si>
    <t xml:space="preserve">CA-2015-151680</t>
  </si>
  <si>
    <t xml:space="preserve">CA-2014-140039</t>
  </si>
  <si>
    <t xml:space="preserve">CA-2017-160416</t>
  </si>
  <si>
    <t xml:space="preserve">CA-2017-169411</t>
  </si>
  <si>
    <t xml:space="preserve">CA-2016-126543</t>
  </si>
  <si>
    <t xml:space="preserve">CA-2015-104941</t>
  </si>
  <si>
    <t xml:space="preserve">CA-2017-160087</t>
  </si>
  <si>
    <t xml:space="preserve">CA-2014-120544</t>
  </si>
  <si>
    <t xml:space="preserve">CA-2017-113670</t>
  </si>
  <si>
    <t xml:space="preserve">CA-2017-166198</t>
  </si>
  <si>
    <t xml:space="preserve">CA-2014-135608</t>
  </si>
  <si>
    <t xml:space="preserve">CA-2017-144568</t>
  </si>
  <si>
    <t xml:space="preserve">CA-2016-142370</t>
  </si>
  <si>
    <t xml:space="preserve">CA-2016-105900</t>
  </si>
  <si>
    <t xml:space="preserve">CA-2016-151155</t>
  </si>
  <si>
    <t xml:space="preserve">CA-2017-144036</t>
  </si>
  <si>
    <t xml:space="preserve">US-2014-169789</t>
  </si>
  <si>
    <t xml:space="preserve">CA-2017-127264</t>
  </si>
  <si>
    <t xml:space="preserve">CA-2016-151512</t>
  </si>
  <si>
    <t xml:space="preserve">CA-2016-165169</t>
  </si>
  <si>
    <t xml:space="preserve">CA-2015-109575</t>
  </si>
  <si>
    <t xml:space="preserve">CA-2017-168193</t>
  </si>
  <si>
    <t xml:space="preserve">CA-2016-115476</t>
  </si>
  <si>
    <t xml:space="preserve">CA-2016-133340</t>
  </si>
  <si>
    <t xml:space="preserve">CA-2016-137848</t>
  </si>
  <si>
    <t xml:space="preserve">CA-2014-113047</t>
  </si>
  <si>
    <t xml:space="preserve">CA-2016-149979</t>
  </si>
  <si>
    <t xml:space="preserve">CA-2017-161956</t>
  </si>
  <si>
    <t xml:space="preserve">CA-2016-116799</t>
  </si>
  <si>
    <t xml:space="preserve">CA-2016-111283</t>
  </si>
  <si>
    <t xml:space="preserve">CA-2015-167745</t>
  </si>
  <si>
    <t xml:space="preserve">CA-2017-104577</t>
  </si>
  <si>
    <t xml:space="preserve">CA-2016-156251</t>
  </si>
  <si>
    <t xml:space="preserve">CA-2017-125878</t>
  </si>
  <si>
    <t xml:space="preserve">CA-2016-163153</t>
  </si>
  <si>
    <t xml:space="preserve">CA-2015-103205</t>
  </si>
  <si>
    <t xml:space="preserve">CA-2014-153913</t>
  </si>
  <si>
    <t xml:space="preserve">CA-2016-155530</t>
  </si>
  <si>
    <t xml:space="preserve">US-2016-101196</t>
  </si>
  <si>
    <t xml:space="preserve">CA-2014-115357</t>
  </si>
  <si>
    <t xml:space="preserve">US-2014-102715</t>
  </si>
  <si>
    <t xml:space="preserve">CA-2015-107937</t>
  </si>
  <si>
    <t xml:space="preserve">US-2017-148768</t>
  </si>
  <si>
    <t xml:space="preserve">CA-2017-118521</t>
  </si>
  <si>
    <t xml:space="preserve">CA-2014-149643</t>
  </si>
  <si>
    <t xml:space="preserve">CA-2015-135314</t>
  </si>
  <si>
    <t xml:space="preserve">CA-2017-165204</t>
  </si>
  <si>
    <t xml:space="preserve">CA-2017-125752</t>
  </si>
  <si>
    <t xml:space="preserve">CA-2017-112487</t>
  </si>
  <si>
    <t xml:space="preserve">CA-2016-144218</t>
  </si>
  <si>
    <t xml:space="preserve">CA-2016-169971</t>
  </si>
  <si>
    <t xml:space="preserve">US-2016-133508</t>
  </si>
  <si>
    <t xml:space="preserve">CA-2014-107139</t>
  </si>
  <si>
    <t xml:space="preserve">CA-2015-111325</t>
  </si>
  <si>
    <t xml:space="preserve">CA-2015-163762</t>
  </si>
  <si>
    <t xml:space="preserve">US-2014-117163</t>
  </si>
  <si>
    <t xml:space="preserve">CA-2017-121314</t>
  </si>
  <si>
    <t xml:space="preserve">CA-2017-147760</t>
  </si>
  <si>
    <t xml:space="preserve">CA-2016-156503</t>
  </si>
  <si>
    <t xml:space="preserve">CA-2015-113628</t>
  </si>
  <si>
    <t xml:space="preserve">CA-2017-147753</t>
  </si>
  <si>
    <t xml:space="preserve">CA-2015-103961</t>
  </si>
  <si>
    <t xml:space="preserve">CA-2016-152471</t>
  </si>
  <si>
    <t xml:space="preserve">CA-2015-102582</t>
  </si>
  <si>
    <t xml:space="preserve">CA-2017-141873</t>
  </si>
  <si>
    <t xml:space="preserve">CA-2015-140984</t>
  </si>
  <si>
    <t xml:space="preserve">CA-2014-132801</t>
  </si>
  <si>
    <t xml:space="preserve">CA-2017-141733</t>
  </si>
  <si>
    <t xml:space="preserve">US-2015-111927</t>
  </si>
  <si>
    <t xml:space="preserve">CA-2014-105984</t>
  </si>
  <si>
    <t xml:space="preserve">CA-2014-100363</t>
  </si>
  <si>
    <t xml:space="preserve">CA-2014-126760</t>
  </si>
  <si>
    <t xml:space="preserve">US-2014-109162</t>
  </si>
  <si>
    <t xml:space="preserve">CA-2014-101931</t>
  </si>
  <si>
    <t xml:space="preserve">CA-2017-129000</t>
  </si>
  <si>
    <t xml:space="preserve">CA-2017-161053</t>
  </si>
  <si>
    <t xml:space="preserve">CA-2015-142377</t>
  </si>
  <si>
    <t xml:space="preserve">CA-2015-127593</t>
  </si>
  <si>
    <t xml:space="preserve">CA-2017-130526</t>
  </si>
  <si>
    <t xml:space="preserve">US-2017-131849</t>
  </si>
  <si>
    <t xml:space="preserve">US-2017-105389</t>
  </si>
  <si>
    <t xml:space="preserve">CA-2014-140816</t>
  </si>
  <si>
    <t xml:space="preserve">CA-2017-154039</t>
  </si>
  <si>
    <t xml:space="preserve">CA-2014-135755</t>
  </si>
  <si>
    <t xml:space="preserve">CA-2017-123246</t>
  </si>
  <si>
    <t xml:space="preserve">CA-2015-157133</t>
  </si>
  <si>
    <t xml:space="preserve">CA-2014-124709</t>
  </si>
  <si>
    <t xml:space="preserve">CA-2017-146360</t>
  </si>
  <si>
    <t xml:space="preserve">CA-2015-132486</t>
  </si>
  <si>
    <t xml:space="preserve">CA-2016-136231</t>
  </si>
  <si>
    <t xml:space="preserve">CA-2016-140641</t>
  </si>
  <si>
    <t xml:space="preserve">CA-2014-151001</t>
  </si>
  <si>
    <t xml:space="preserve">CA-2015-129896</t>
  </si>
  <si>
    <t xml:space="preserve">CA-2014-152849</t>
  </si>
  <si>
    <t xml:space="preserve">US-2017-127341</t>
  </si>
  <si>
    <t xml:space="preserve">CA-2016-167759</t>
  </si>
  <si>
    <t xml:space="preserve">CA-2014-100895</t>
  </si>
  <si>
    <t xml:space="preserve">US-2016-163881</t>
  </si>
  <si>
    <t xml:space="preserve">US-2016-144547</t>
  </si>
  <si>
    <t xml:space="preserve">US-2014-112200</t>
  </si>
  <si>
    <t xml:space="preserve">CA-2017-110212</t>
  </si>
  <si>
    <t xml:space="preserve">CA-2017-134285</t>
  </si>
  <si>
    <t xml:space="preserve">CA-2017-102267</t>
  </si>
  <si>
    <t xml:space="preserve">CA-2017-157980</t>
  </si>
  <si>
    <t xml:space="preserve">CA-2015-121097</t>
  </si>
  <si>
    <t xml:space="preserve">CA-2015-151043</t>
  </si>
  <si>
    <t xml:space="preserve">US-2015-119312</t>
  </si>
  <si>
    <t xml:space="preserve">CA-2015-167010</t>
  </si>
  <si>
    <t xml:space="preserve">CA-2017-126788</t>
  </si>
  <si>
    <t xml:space="preserve">CA-2017-148068</t>
  </si>
  <si>
    <t xml:space="preserve">US-2017-142573</t>
  </si>
  <si>
    <t xml:space="preserve">US-2015-148817</t>
  </si>
  <si>
    <t xml:space="preserve">CA-2016-110044</t>
  </si>
  <si>
    <t xml:space="preserve">CA-2017-146920</t>
  </si>
  <si>
    <t xml:space="preserve">CA-2014-103940</t>
  </si>
  <si>
    <t xml:space="preserve">CA-2016-162082</t>
  </si>
  <si>
    <t xml:space="preserve">CA-2016-132094</t>
  </si>
  <si>
    <t xml:space="preserve">CA-2017-123001</t>
  </si>
  <si>
    <t xml:space="preserve">CA-2015-118955</t>
  </si>
  <si>
    <t xml:space="preserve">US-2016-143448</t>
  </si>
  <si>
    <t xml:space="preserve">CA-2017-117863</t>
  </si>
  <si>
    <t xml:space="preserve">CA-2017-160458</t>
  </si>
  <si>
    <t xml:space="preserve">US-2016-142685</t>
  </si>
  <si>
    <t xml:space="preserve">CA-2016-133144</t>
  </si>
  <si>
    <t xml:space="preserve">CA-2017-167871</t>
  </si>
  <si>
    <t xml:space="preserve">CA-2016-119963</t>
  </si>
  <si>
    <t xml:space="preserve">CA-2014-121167</t>
  </si>
  <si>
    <t xml:space="preserve">US-2016-151862</t>
  </si>
  <si>
    <t xml:space="preserve">CA-2017-152961</t>
  </si>
  <si>
    <t xml:space="preserve">CA-2014-133228</t>
  </si>
  <si>
    <t xml:space="preserve">CA-2016-114951</t>
  </si>
  <si>
    <t xml:space="preserve">CA-2016-156573</t>
  </si>
  <si>
    <t xml:space="preserve">CA-2015-113901</t>
  </si>
  <si>
    <t xml:space="preserve">CA-2017-134838</t>
  </si>
  <si>
    <t xml:space="preserve">CA-2016-120257</t>
  </si>
  <si>
    <t xml:space="preserve">CA-2014-164910</t>
  </si>
  <si>
    <t xml:space="preserve">CA-2016-149902</t>
  </si>
  <si>
    <t xml:space="preserve">CA-2016-146010</t>
  </si>
  <si>
    <t xml:space="preserve">US-2015-163685</t>
  </si>
  <si>
    <t xml:space="preserve">CA-2014-135090</t>
  </si>
  <si>
    <t xml:space="preserve">CA-2015-132374</t>
  </si>
  <si>
    <t xml:space="preserve">CA-2016-167556</t>
  </si>
  <si>
    <t xml:space="preserve">US-2016-116400</t>
  </si>
  <si>
    <t xml:space="preserve">CA-2017-101308</t>
  </si>
  <si>
    <t xml:space="preserve">CA-2014-114517</t>
  </si>
  <si>
    <t xml:space="preserve">CA-2017-119564</t>
  </si>
  <si>
    <t xml:space="preserve">CA-2016-135265</t>
  </si>
  <si>
    <t xml:space="preserve">CA-2016-108735</t>
  </si>
  <si>
    <t xml:space="preserve">CA-2017-112333</t>
  </si>
  <si>
    <t xml:space="preserve">US-2016-159415</t>
  </si>
  <si>
    <t xml:space="preserve">CA-2014-122588</t>
  </si>
  <si>
    <t xml:space="preserve">CA-2014-137589</t>
  </si>
  <si>
    <t xml:space="preserve">CA-2015-161998</t>
  </si>
  <si>
    <t xml:space="preserve">CA-2015-105627</t>
  </si>
  <si>
    <t xml:space="preserve">US-2015-149629</t>
  </si>
  <si>
    <t xml:space="preserve">CA-2014-116834</t>
  </si>
  <si>
    <t xml:space="preserve">CA-2016-145730</t>
  </si>
  <si>
    <t xml:space="preserve">US-2015-168732</t>
  </si>
  <si>
    <t xml:space="preserve">CA-2015-107468</t>
  </si>
  <si>
    <t xml:space="preserve">CA-2017-144463</t>
  </si>
  <si>
    <t xml:space="preserve">CA-2017-100811</t>
  </si>
  <si>
    <t xml:space="preserve">CA-2015-153612</t>
  </si>
  <si>
    <t xml:space="preserve">CA-2015-165624</t>
  </si>
  <si>
    <t xml:space="preserve">CA-2014-154963</t>
  </si>
  <si>
    <t xml:space="preserve">CA-2017-130764</t>
  </si>
  <si>
    <t xml:space="preserve">CA-2017-139311</t>
  </si>
  <si>
    <t xml:space="preserve">CA-2017-124296</t>
  </si>
  <si>
    <t xml:space="preserve">CA-2016-169957</t>
  </si>
  <si>
    <t xml:space="preserve">US-2016-108777</t>
  </si>
  <si>
    <t xml:space="preserve">CA-2015-148859</t>
  </si>
  <si>
    <t xml:space="preserve">CA-2014-110786</t>
  </si>
  <si>
    <t xml:space="preserve">CA-2015-137750</t>
  </si>
  <si>
    <t xml:space="preserve">CA-2015-136378</t>
  </si>
  <si>
    <t xml:space="preserve">CA-2017-100356</t>
  </si>
  <si>
    <t xml:space="preserve">US-2015-166520</t>
  </si>
  <si>
    <t xml:space="preserve">CA-2017-136350</t>
  </si>
  <si>
    <t xml:space="preserve">CA-2014-122931</t>
  </si>
  <si>
    <t xml:space="preserve">CA-2014-163034</t>
  </si>
  <si>
    <t xml:space="preserve">CA-2015-124058</t>
  </si>
  <si>
    <t xml:space="preserve">CA-2016-129196</t>
  </si>
  <si>
    <t xml:space="preserve">US-2015-138716</t>
  </si>
  <si>
    <t xml:space="preserve">US-2016-122182</t>
  </si>
  <si>
    <t xml:space="preserve">US-2014-130358</t>
  </si>
  <si>
    <t xml:space="preserve">CA-2014-102673</t>
  </si>
  <si>
    <t xml:space="preserve">CA-2016-145303</t>
  </si>
  <si>
    <t xml:space="preserve">CA-2015-156104</t>
  </si>
  <si>
    <t xml:space="preserve">US-2015-164308</t>
  </si>
  <si>
    <t xml:space="preserve">CA-2017-108112</t>
  </si>
  <si>
    <t xml:space="preserve">CA-2015-100685</t>
  </si>
  <si>
    <t xml:space="preserve">CA-2015-165414</t>
  </si>
  <si>
    <t xml:space="preserve">CA-2016-140417</t>
  </si>
  <si>
    <t xml:space="preserve">US-2017-151316</t>
  </si>
  <si>
    <t xml:space="preserve">CA-2017-163692</t>
  </si>
  <si>
    <t xml:space="preserve">CA-2016-111913</t>
  </si>
  <si>
    <t xml:space="preserve">US-2014-156559</t>
  </si>
  <si>
    <t xml:space="preserve">CA-2016-161473</t>
  </si>
  <si>
    <t xml:space="preserve">CA-2017-166576</t>
  </si>
  <si>
    <t xml:space="preserve">CA-2015-102491</t>
  </si>
  <si>
    <t xml:space="preserve">CA-2014-116904</t>
  </si>
  <si>
    <t xml:space="preserve">US-2017-102288</t>
  </si>
  <si>
    <t xml:space="preserve">CA-2017-137456</t>
  </si>
  <si>
    <t xml:space="preserve">US-2017-155999</t>
  </si>
  <si>
    <t xml:space="preserve">US-2016-148334</t>
  </si>
  <si>
    <t xml:space="preserve">CA-2015-105599</t>
  </si>
  <si>
    <t xml:space="preserve">CA-2015-153717</t>
  </si>
  <si>
    <t xml:space="preserve">CA-2015-116687</t>
  </si>
  <si>
    <t xml:space="preserve">CA-2016-163573</t>
  </si>
  <si>
    <t xml:space="preserve">CA-2015-153416</t>
  </si>
  <si>
    <t xml:space="preserve">CA-2017-117394</t>
  </si>
  <si>
    <t xml:space="preserve">CA-2017-133823</t>
  </si>
  <si>
    <t xml:space="preserve">CA-2014-127523</t>
  </si>
  <si>
    <t xml:space="preserve">CA-2017-123239</t>
  </si>
  <si>
    <t xml:space="preserve">CA-2017-156769</t>
  </si>
  <si>
    <t xml:space="preserve">CA-2014-127299</t>
  </si>
  <si>
    <t xml:space="preserve">CA-2015-121272</t>
  </si>
  <si>
    <t xml:space="preserve">CA-2014-115336</t>
  </si>
  <si>
    <t xml:space="preserve">CA-2015-111703</t>
  </si>
  <si>
    <t xml:space="preserve">CA-2014-128839</t>
  </si>
  <si>
    <t xml:space="preserve">CA-2017-105914</t>
  </si>
  <si>
    <t xml:space="preserve">CA-2017-110926</t>
  </si>
  <si>
    <t xml:space="preserve">CA-2016-117226</t>
  </si>
  <si>
    <t xml:space="preserve">CA-2017-127313</t>
  </si>
  <si>
    <t xml:space="preserve">CA-2016-136287</t>
  </si>
  <si>
    <t xml:space="preserve">US-2014-107699</t>
  </si>
  <si>
    <t xml:space="preserve">CA-2017-112725</t>
  </si>
  <si>
    <t xml:space="preserve">CA-2015-136196</t>
  </si>
  <si>
    <t xml:space="preserve">CA-2017-106068</t>
  </si>
  <si>
    <t xml:space="preserve">CA-2017-100160</t>
  </si>
  <si>
    <t xml:space="preserve">CA-2016-139689</t>
  </si>
  <si>
    <t xml:space="preserve">CA-2015-101091</t>
  </si>
  <si>
    <t xml:space="preserve">CA-2014-126907</t>
  </si>
  <si>
    <t xml:space="preserve">US-2016-164588</t>
  </si>
  <si>
    <t xml:space="preserve">CA-2017-115546</t>
  </si>
  <si>
    <t xml:space="preserve">CA-2015-163587</t>
  </si>
  <si>
    <t xml:space="preserve">US-2017-106131</t>
  </si>
  <si>
    <t xml:space="preserve">CA-2015-160213</t>
  </si>
  <si>
    <t xml:space="preserve">CA-2014-157924</t>
  </si>
  <si>
    <t xml:space="preserve">CA-2015-100216</t>
  </si>
  <si>
    <t xml:space="preserve">CA-2017-100601</t>
  </si>
  <si>
    <t xml:space="preserve">CA-2016-152163</t>
  </si>
  <si>
    <t xml:space="preserve">CA-2015-154340</t>
  </si>
  <si>
    <t xml:space="preserve">CA-2014-128846</t>
  </si>
  <si>
    <t xml:space="preserve">CA-2016-148593</t>
  </si>
  <si>
    <t xml:space="preserve">US-2017-119039</t>
  </si>
  <si>
    <t xml:space="preserve">CA-2017-128426</t>
  </si>
  <si>
    <t xml:space="preserve">US-2017-136868</t>
  </si>
  <si>
    <t xml:space="preserve">CA-2016-143749</t>
  </si>
  <si>
    <t xml:space="preserve">CA-2016-111493</t>
  </si>
  <si>
    <t xml:space="preserve">CA-2017-112536</t>
  </si>
  <si>
    <t xml:space="preserve">CA-2016-157714</t>
  </si>
  <si>
    <t xml:space="preserve">CA-2017-166709</t>
  </si>
  <si>
    <t xml:space="preserve">CA-2015-129392</t>
  </si>
  <si>
    <t xml:space="preserve">CA-2015-150875</t>
  </si>
  <si>
    <t xml:space="preserve">CA-2015-154200</t>
  </si>
  <si>
    <t xml:space="preserve">CA-2016-124233</t>
  </si>
  <si>
    <t xml:space="preserve">US-2015-134271</t>
  </si>
  <si>
    <t xml:space="preserve">US-2016-161683</t>
  </si>
  <si>
    <t xml:space="preserve">CA-2015-143105</t>
  </si>
  <si>
    <t xml:space="preserve">CA-2014-145387</t>
  </si>
  <si>
    <t xml:space="preserve">CA-2017-109715</t>
  </si>
  <si>
    <t xml:space="preserve">CA-2014-166457</t>
  </si>
  <si>
    <t xml:space="preserve">CA-2016-164637</t>
  </si>
  <si>
    <t xml:space="preserve">CA-2014-103590</t>
  </si>
  <si>
    <t xml:space="preserve">CA-2015-111234</t>
  </si>
  <si>
    <t xml:space="preserve">CA-2017-149881</t>
  </si>
  <si>
    <t xml:space="preserve">CA-2017-134565</t>
  </si>
  <si>
    <t xml:space="preserve">CA-2016-108644</t>
  </si>
  <si>
    <t xml:space="preserve">US-2014-102631</t>
  </si>
  <si>
    <t xml:space="preserve">CA-2017-120327</t>
  </si>
  <si>
    <t xml:space="preserve">CA-2015-154970</t>
  </si>
  <si>
    <t xml:space="preserve">CA-2016-113803</t>
  </si>
  <si>
    <t xml:space="preserve">CA-2017-100223</t>
  </si>
  <si>
    <t xml:space="preserve">CA-2014-168823</t>
  </si>
  <si>
    <t xml:space="preserve">CA-2016-162404</t>
  </si>
  <si>
    <t xml:space="preserve">CA-2017-104024</t>
  </si>
  <si>
    <t xml:space="preserve">CA-2017-147144</t>
  </si>
  <si>
    <t xml:space="preserve">CA-2017-158673</t>
  </si>
  <si>
    <t xml:space="preserve">CA-2014-133704</t>
  </si>
  <si>
    <t xml:space="preserve">CA-2016-159142</t>
  </si>
  <si>
    <t xml:space="preserve">CA-2014-138436</t>
  </si>
  <si>
    <t xml:space="preserve">CA-2017-117702</t>
  </si>
  <si>
    <t xml:space="preserve">CA-2016-157336</t>
  </si>
  <si>
    <t xml:space="preserve">CA-2014-168130</t>
  </si>
  <si>
    <t xml:space="preserve">CA-2015-155068</t>
  </si>
  <si>
    <t xml:space="preserve">CA-2017-163160</t>
  </si>
  <si>
    <t xml:space="preserve">CA-2015-101924</t>
  </si>
  <si>
    <t xml:space="preserve">CA-2016-124793</t>
  </si>
  <si>
    <t xml:space="preserve">CA-2017-118367</t>
  </si>
  <si>
    <t xml:space="preserve">CA-2017-164819</t>
  </si>
  <si>
    <t xml:space="preserve">CA-2017-158344</t>
  </si>
  <si>
    <t xml:space="preserve">CA-2017-123351</t>
  </si>
  <si>
    <t xml:space="preserve">CA-2017-110429</t>
  </si>
  <si>
    <t xml:space="preserve">US-2016-131611</t>
  </si>
  <si>
    <t xml:space="preserve">US-2017-124821</t>
  </si>
  <si>
    <t xml:space="preserve">CA-2015-166975</t>
  </si>
  <si>
    <t xml:space="preserve">CA-2016-123806</t>
  </si>
  <si>
    <t xml:space="preserve">US-2017-158505</t>
  </si>
  <si>
    <t xml:space="preserve">CA-2015-142692</t>
  </si>
  <si>
    <t xml:space="preserve">CA-2015-123456</t>
  </si>
  <si>
    <t xml:space="preserve">CA-2017-151358</t>
  </si>
  <si>
    <t xml:space="preserve">US-2016-107440</t>
  </si>
  <si>
    <t xml:space="preserve">CA-2014-166989</t>
  </si>
  <si>
    <t xml:space="preserve">CA-2014-103100</t>
  </si>
  <si>
    <t xml:space="preserve">CA-2015-105690</t>
  </si>
  <si>
    <t xml:space="preserve">CA-2017-127516</t>
  </si>
  <si>
    <t xml:space="preserve">US-2015-117184</t>
  </si>
  <si>
    <t xml:space="preserve">CA-2017-102407</t>
  </si>
  <si>
    <t xml:space="preserve">CA-2017-130967</t>
  </si>
  <si>
    <t xml:space="preserve">CA-2017-101581</t>
  </si>
  <si>
    <t xml:space="preserve">CA-2017-169124</t>
  </si>
  <si>
    <t xml:space="preserve">CA-2017-117261</t>
  </si>
  <si>
    <t xml:space="preserve">CA-2017-129021</t>
  </si>
  <si>
    <t xml:space="preserve">CA-2014-123253</t>
  </si>
  <si>
    <t xml:space="preserve">CA-2016-121601</t>
  </si>
  <si>
    <t xml:space="preserve">CA-2014-162278</t>
  </si>
  <si>
    <t xml:space="preserve">CA-2016-161095</t>
  </si>
  <si>
    <t xml:space="preserve">CA-2014-125829</t>
  </si>
  <si>
    <t xml:space="preserve">CA-2014-123127</t>
  </si>
  <si>
    <t xml:space="preserve">CA-2015-115945</t>
  </si>
  <si>
    <t xml:space="preserve">CA-2015-136735</t>
  </si>
  <si>
    <t xml:space="preserve">US-2017-136189</t>
  </si>
  <si>
    <t xml:space="preserve">CA-2014-152345</t>
  </si>
  <si>
    <t xml:space="preserve">US-2015-147662</t>
  </si>
  <si>
    <t xml:space="preserve">CA-2016-153346</t>
  </si>
  <si>
    <t xml:space="preserve">CA-2017-118360</t>
  </si>
  <si>
    <t xml:space="preserve">CA-2017-149853</t>
  </si>
  <si>
    <t xml:space="preserve">CA-2017-107909</t>
  </si>
  <si>
    <t xml:space="preserve">CA-2015-112375</t>
  </si>
  <si>
    <t xml:space="preserve">CA-2015-154795</t>
  </si>
  <si>
    <t xml:space="preserve">CA-2015-125234</t>
  </si>
  <si>
    <t xml:space="preserve">CA-2017-133501</t>
  </si>
  <si>
    <t xml:space="preserve">US-2014-129609</t>
  </si>
  <si>
    <t xml:space="preserve">CA-2017-130309</t>
  </si>
  <si>
    <t xml:space="preserve">CA-2017-105410</t>
  </si>
  <si>
    <t xml:space="preserve">CA-2016-120355</t>
  </si>
  <si>
    <t xml:space="preserve">CA-2017-169894</t>
  </si>
  <si>
    <t xml:space="preserve">US-2017-100482</t>
  </si>
  <si>
    <t xml:space="preserve">CA-2017-107748</t>
  </si>
  <si>
    <t xml:space="preserve">CA-2017-153654</t>
  </si>
  <si>
    <t xml:space="preserve">CA-2015-155600</t>
  </si>
  <si>
    <t xml:space="preserve">CA-2017-162565</t>
  </si>
  <si>
    <t xml:space="preserve">CA-2016-127642</t>
  </si>
  <si>
    <t xml:space="preserve">US-2017-163195</t>
  </si>
  <si>
    <t xml:space="preserve">CA-2017-111332</t>
  </si>
  <si>
    <t xml:space="preserve">North Dakota</t>
  </si>
  <si>
    <t xml:space="preserve">CA-2017-117044</t>
  </si>
  <si>
    <t xml:space="preserve">US-2016-165078</t>
  </si>
  <si>
    <t xml:space="preserve">US-2017-169320</t>
  </si>
  <si>
    <t xml:space="preserve">CA-2016-158575</t>
  </si>
  <si>
    <t xml:space="preserve">CA-2014-166954</t>
  </si>
  <si>
    <t xml:space="preserve">CA-2015-140830</t>
  </si>
  <si>
    <t xml:space="preserve">CA-2015-152891</t>
  </si>
  <si>
    <t xml:space="preserve">US-2015-122784</t>
  </si>
  <si>
    <t xml:space="preserve">CA-2016-156811</t>
  </si>
  <si>
    <t xml:space="preserve">CA-2017-111556</t>
  </si>
  <si>
    <t xml:space="preserve">CA-2016-108868</t>
  </si>
  <si>
    <t xml:space="preserve">CA-2014-142965</t>
  </si>
  <si>
    <t xml:space="preserve">CA-2016-148740</t>
  </si>
  <si>
    <t xml:space="preserve">US-2014-138758</t>
  </si>
  <si>
    <t xml:space="preserve">CA-2016-131737</t>
  </si>
  <si>
    <t xml:space="preserve">CA-2016-114538</t>
  </si>
  <si>
    <t xml:space="preserve">CA-2014-127936</t>
  </si>
  <si>
    <t xml:space="preserve">CA-2015-164336</t>
  </si>
  <si>
    <t xml:space="preserve">CA-2016-100041</t>
  </si>
  <si>
    <t xml:space="preserve">US-2014-154879</t>
  </si>
  <si>
    <t xml:space="preserve">CA-2014-130624</t>
  </si>
  <si>
    <t xml:space="preserve">CA-2017-132339</t>
  </si>
  <si>
    <t xml:space="preserve">CA-2014-153983</t>
  </si>
  <si>
    <t xml:space="preserve">CA-2017-112900</t>
  </si>
  <si>
    <t xml:space="preserve">CA-2014-160157</t>
  </si>
  <si>
    <t xml:space="preserve">CA-2014-139633</t>
  </si>
  <si>
    <t xml:space="preserve">CA-2015-163090</t>
  </si>
  <si>
    <t xml:space="preserve">CA-2014-117016</t>
  </si>
  <si>
    <t xml:space="preserve">CA-2017-159464</t>
  </si>
  <si>
    <t xml:space="preserve">US-2017-103226</t>
  </si>
  <si>
    <t xml:space="preserve">CA-2017-119452</t>
  </si>
  <si>
    <t xml:space="preserve">CA-2017-147725</t>
  </si>
  <si>
    <t xml:space="preserve">CA-2016-168893</t>
  </si>
  <si>
    <t xml:space="preserve">CA-2016-163398</t>
  </si>
  <si>
    <t xml:space="preserve">CA-2016-162726</t>
  </si>
  <si>
    <t xml:space="preserve">US-2016-111290</t>
  </si>
  <si>
    <t xml:space="preserve">US-2014-147704</t>
  </si>
  <si>
    <t xml:space="preserve">CA-2015-121965</t>
  </si>
  <si>
    <t xml:space="preserve">CA-2016-147137</t>
  </si>
  <si>
    <t xml:space="preserve">US-2015-146745</t>
  </si>
  <si>
    <t xml:space="preserve">CA-2017-115175</t>
  </si>
  <si>
    <t xml:space="preserve">CA-2017-105851</t>
  </si>
  <si>
    <t xml:space="preserve">US-2017-125717</t>
  </si>
  <si>
    <t xml:space="preserve">CA-2015-163895</t>
  </si>
  <si>
    <t xml:space="preserve">CA-2017-168641</t>
  </si>
  <si>
    <t xml:space="preserve">CA-2017-156895</t>
  </si>
  <si>
    <t xml:space="preserve">CA-2017-121300</t>
  </si>
  <si>
    <t xml:space="preserve">CA-2017-130211</t>
  </si>
  <si>
    <t xml:space="preserve">CA-2014-147235</t>
  </si>
  <si>
    <t xml:space="preserve">CA-2016-109365</t>
  </si>
  <si>
    <t xml:space="preserve">CA-2015-162621</t>
  </si>
  <si>
    <t xml:space="preserve">CA-2017-105921</t>
  </si>
  <si>
    <t xml:space="preserve">CA-2014-150798</t>
  </si>
  <si>
    <t xml:space="preserve">CA-2017-112753</t>
  </si>
  <si>
    <t xml:space="preserve">CA-2017-155075</t>
  </si>
  <si>
    <t xml:space="preserve">CA-2014-103401</t>
  </si>
  <si>
    <t xml:space="preserve">CA-2016-124814</t>
  </si>
  <si>
    <t xml:space="preserve">CA-2014-116757</t>
  </si>
  <si>
    <t xml:space="preserve">US-2014-138247</t>
  </si>
  <si>
    <t xml:space="preserve">CA-2017-167003</t>
  </si>
  <si>
    <t xml:space="preserve">CA-2016-119935</t>
  </si>
  <si>
    <t xml:space="preserve">CA-2016-118969</t>
  </si>
  <si>
    <t xml:space="preserve">CA-2016-145240</t>
  </si>
  <si>
    <t xml:space="preserve">CA-2016-120873</t>
  </si>
  <si>
    <t xml:space="preserve">US-2017-111920</t>
  </si>
  <si>
    <t xml:space="preserve">US-2016-128678</t>
  </si>
  <si>
    <t xml:space="preserve">CA-2016-101385</t>
  </si>
  <si>
    <t xml:space="preserve">CA-2017-107167</t>
  </si>
  <si>
    <t xml:space="preserve">CA-2014-109491</t>
  </si>
  <si>
    <t xml:space="preserve">CA-2017-105445</t>
  </si>
  <si>
    <t xml:space="preserve">CA-2014-107454</t>
  </si>
  <si>
    <t xml:space="preserve">US-2017-105046</t>
  </si>
  <si>
    <t xml:space="preserve">CA-2017-152856</t>
  </si>
  <si>
    <t xml:space="preserve">CA-2016-134691</t>
  </si>
  <si>
    <t xml:space="preserve">CA-2016-118759</t>
  </si>
  <si>
    <t xml:space="preserve">CA-2014-140403</t>
  </si>
  <si>
    <t xml:space="preserve">CA-2015-163104</t>
  </si>
  <si>
    <t xml:space="preserve">CA-2017-138464</t>
  </si>
  <si>
    <t xml:space="preserve">CA-2015-104129</t>
  </si>
  <si>
    <t xml:space="preserve">US-2017-132206</t>
  </si>
  <si>
    <t xml:space="preserve">CA-2017-113474</t>
  </si>
  <si>
    <t xml:space="preserve">CA-2015-126557</t>
  </si>
  <si>
    <t xml:space="preserve">US-2017-107636</t>
  </si>
  <si>
    <t xml:space="preserve">US-2014-165862</t>
  </si>
  <si>
    <t xml:space="preserve">US-2014-106334</t>
  </si>
  <si>
    <t xml:space="preserve">CA-2016-101448</t>
  </si>
  <si>
    <t xml:space="preserve">CA-2015-130218</t>
  </si>
  <si>
    <t xml:space="preserve">US-2017-117331</t>
  </si>
  <si>
    <t xml:space="preserve">CA-2014-127383</t>
  </si>
  <si>
    <t xml:space="preserve">CA-2014-110219</t>
  </si>
  <si>
    <t xml:space="preserve">CA-2015-118871</t>
  </si>
  <si>
    <t xml:space="preserve">CA-2017-129490</t>
  </si>
  <si>
    <t xml:space="preserve">CA-2014-101175</t>
  </si>
  <si>
    <t xml:space="preserve">US-2017-149510</t>
  </si>
  <si>
    <t xml:space="preserve">CA-2015-111990</t>
  </si>
  <si>
    <t xml:space="preserve">CA-2014-169460</t>
  </si>
  <si>
    <t xml:space="preserve">US-2015-152128</t>
  </si>
  <si>
    <t xml:space="preserve">CA-2017-126662</t>
  </si>
  <si>
    <t xml:space="preserve">CA-2016-139395</t>
  </si>
  <si>
    <t xml:space="preserve">US-2014-121734</t>
  </si>
  <si>
    <t xml:space="preserve">CA-2015-110947</t>
  </si>
  <si>
    <t xml:space="preserve">US-2014-150126</t>
  </si>
  <si>
    <t xml:space="preserve">CA-2015-164427</t>
  </si>
  <si>
    <t xml:space="preserve">CA-2016-120250</t>
  </si>
  <si>
    <t xml:space="preserve">CA-2016-121993</t>
  </si>
  <si>
    <t xml:space="preserve">US-2016-100405</t>
  </si>
  <si>
    <t xml:space="preserve">US-2017-163790</t>
  </si>
  <si>
    <t xml:space="preserve">CA-2016-129868</t>
  </si>
  <si>
    <t xml:space="preserve">CA-2016-140564</t>
  </si>
  <si>
    <t xml:space="preserve">US-2017-169502</t>
  </si>
  <si>
    <t xml:space="preserve">CA-2015-146948</t>
  </si>
  <si>
    <t xml:space="preserve">US-2015-113327</t>
  </si>
  <si>
    <t xml:space="preserve">CA-2015-135020</t>
  </si>
  <si>
    <t xml:space="preserve">US-2017-141852</t>
  </si>
  <si>
    <t xml:space="preserve">CA-2016-109407</t>
  </si>
  <si>
    <t xml:space="preserve">US-2017-165953</t>
  </si>
  <si>
    <t xml:space="preserve">CA-2016-144540</t>
  </si>
  <si>
    <t xml:space="preserve">CA-2015-159863</t>
  </si>
  <si>
    <t xml:space="preserve">CA-2015-117800</t>
  </si>
  <si>
    <t xml:space="preserve">CA-2017-145219</t>
  </si>
  <si>
    <t xml:space="preserve">CA-2015-161214</t>
  </si>
  <si>
    <t xml:space="preserve">CA-2017-147228</t>
  </si>
  <si>
    <t xml:space="preserve">CA-2016-101336</t>
  </si>
  <si>
    <t xml:space="preserve">US-2015-126235</t>
  </si>
  <si>
    <t xml:space="preserve">CA-2017-168396</t>
  </si>
  <si>
    <t xml:space="preserve">CA-2015-130456</t>
  </si>
  <si>
    <t xml:space="preserve">CA-2017-116288</t>
  </si>
  <si>
    <t xml:space="preserve">CA-2017-168228</t>
  </si>
  <si>
    <t xml:space="preserve">CA-2016-102162</t>
  </si>
  <si>
    <t xml:space="preserve">CA-2017-130141</t>
  </si>
  <si>
    <t xml:space="preserve">CA-2015-147501</t>
  </si>
  <si>
    <t xml:space="preserve">CA-2016-143910</t>
  </si>
  <si>
    <t xml:space="preserve">CA-2014-146885</t>
  </si>
  <si>
    <t xml:space="preserve">CA-2016-139556</t>
  </si>
  <si>
    <t xml:space="preserve">CA-2017-129357</t>
  </si>
  <si>
    <t xml:space="preserve">CA-2017-150987</t>
  </si>
  <si>
    <t xml:space="preserve">CA-2017-132647</t>
  </si>
  <si>
    <t xml:space="preserve">CA-2017-159107</t>
  </si>
  <si>
    <t xml:space="preserve">CA-2014-160738</t>
  </si>
  <si>
    <t xml:space="preserve">CA-2015-112130</t>
  </si>
  <si>
    <t xml:space="preserve">CA-2016-111409</t>
  </si>
  <si>
    <t xml:space="preserve">CA-2016-116232</t>
  </si>
  <si>
    <t xml:space="preserve">CA-2016-116547</t>
  </si>
  <si>
    <t xml:space="preserve">US-2017-133200</t>
  </si>
  <si>
    <t xml:space="preserve">CA-2016-133550</t>
  </si>
  <si>
    <t xml:space="preserve">CA-2017-139416</t>
  </si>
  <si>
    <t xml:space="preserve">CA-2014-114510</t>
  </si>
  <si>
    <t xml:space="preserve">CA-2016-169215</t>
  </si>
  <si>
    <t xml:space="preserve">CA-2016-127698</t>
  </si>
  <si>
    <t xml:space="preserve">CA-2016-159912</t>
  </si>
  <si>
    <t xml:space="preserve">CA-2016-101987</t>
  </si>
  <si>
    <t xml:space="preserve">US-2017-154851</t>
  </si>
  <si>
    <t xml:space="preserve">CA-2014-138681</t>
  </si>
  <si>
    <t xml:space="preserve">US-2015-138121</t>
  </si>
  <si>
    <t xml:space="preserve">CA-2017-140298</t>
  </si>
  <si>
    <t xml:space="preserve">CA-2016-166240</t>
  </si>
  <si>
    <t xml:space="preserve">CA-2016-158435</t>
  </si>
  <si>
    <t xml:space="preserve">CA-2017-138149</t>
  </si>
  <si>
    <t xml:space="preserve">CA-2014-112403</t>
  </si>
  <si>
    <t xml:space="preserve">CA-2014-108273</t>
  </si>
  <si>
    <t xml:space="preserve">CA-2017-121643</t>
  </si>
  <si>
    <t xml:space="preserve">US-2015-122910</t>
  </si>
  <si>
    <t xml:space="preserve">CA-2017-143126</t>
  </si>
  <si>
    <t xml:space="preserve">CA-2015-129042</t>
  </si>
  <si>
    <t xml:space="preserve">CA-2015-109736</t>
  </si>
  <si>
    <t xml:space="preserve">CA-2015-142601</t>
  </si>
  <si>
    <t xml:space="preserve">CA-2014-106229</t>
  </si>
  <si>
    <t xml:space="preserve">US-2017-135230</t>
  </si>
  <si>
    <t xml:space="preserve">CA-2016-159653</t>
  </si>
  <si>
    <t xml:space="preserve">CA-2016-131968</t>
  </si>
  <si>
    <t xml:space="preserve">CA-2014-119151</t>
  </si>
  <si>
    <t xml:space="preserve">CA-2014-123323</t>
  </si>
  <si>
    <t xml:space="preserve">CA-2016-124681</t>
  </si>
  <si>
    <t xml:space="preserve">US-2015-103996</t>
  </si>
  <si>
    <t xml:space="preserve">CA-2016-120530</t>
  </si>
  <si>
    <t xml:space="preserve">CA-2015-155054</t>
  </si>
  <si>
    <t xml:space="preserve">CA-2015-105725</t>
  </si>
  <si>
    <t xml:space="preserve">CA-2017-164364</t>
  </si>
  <si>
    <t xml:space="preserve">CA-2017-168123</t>
  </si>
  <si>
    <t xml:space="preserve">CA-2016-120005</t>
  </si>
  <si>
    <t xml:space="preserve">CA-2016-123526</t>
  </si>
  <si>
    <t xml:space="preserve">CA-2016-127649</t>
  </si>
  <si>
    <t xml:space="preserve">CA-2016-159989</t>
  </si>
  <si>
    <t xml:space="preserve">CA-2017-103499</t>
  </si>
  <si>
    <t xml:space="preserve">US-2015-167220</t>
  </si>
  <si>
    <t xml:space="preserve">CA-2017-126354</t>
  </si>
  <si>
    <t xml:space="preserve">CA-2017-169817</t>
  </si>
  <si>
    <t xml:space="preserve">US-2017-144582</t>
  </si>
  <si>
    <t xml:space="preserve">CA-2014-121573</t>
  </si>
  <si>
    <t xml:space="preserve">CA-2016-117660</t>
  </si>
  <si>
    <t xml:space="preserve">CA-2014-112851</t>
  </si>
  <si>
    <t xml:space="preserve">CA-2017-123701</t>
  </si>
  <si>
    <t xml:space="preserve">CA-2015-118227</t>
  </si>
  <si>
    <t xml:space="preserve">CA-2015-123155</t>
  </si>
  <si>
    <t xml:space="preserve">CA-2017-158883</t>
  </si>
  <si>
    <t xml:space="preserve">US-2016-114888</t>
  </si>
  <si>
    <t xml:space="preserve">US-2014-167262</t>
  </si>
  <si>
    <t xml:space="preserve">CA-2017-119746</t>
  </si>
  <si>
    <t xml:space="preserve">CA-2017-108091</t>
  </si>
  <si>
    <t xml:space="preserve">CA-2016-101630</t>
  </si>
  <si>
    <t xml:space="preserve">CA-2017-132346</t>
  </si>
  <si>
    <t xml:space="preserve">CA-2014-150301</t>
  </si>
  <si>
    <t xml:space="preserve">CA-2014-159310</t>
  </si>
  <si>
    <t xml:space="preserve">US-2017-147984</t>
  </si>
  <si>
    <t xml:space="preserve">CA-2015-104346</t>
  </si>
  <si>
    <t xml:space="preserve">US-2015-141684</t>
  </si>
  <si>
    <t xml:space="preserve">CA-2015-144722</t>
  </si>
  <si>
    <t xml:space="preserve">CA-2015-120516</t>
  </si>
  <si>
    <t xml:space="preserve">US-2016-148901</t>
  </si>
  <si>
    <t xml:space="preserve">CA-2017-136364</t>
  </si>
  <si>
    <t xml:space="preserve">CA-2015-137708</t>
  </si>
  <si>
    <t xml:space="preserve">CA-2014-149055</t>
  </si>
  <si>
    <t xml:space="preserve">CA-2015-151589</t>
  </si>
  <si>
    <t xml:space="preserve">CA-2016-121370</t>
  </si>
  <si>
    <t xml:space="preserve">CA-2016-111696</t>
  </si>
  <si>
    <t xml:space="preserve">CA-2014-139598</t>
  </si>
  <si>
    <t xml:space="preserve">CA-2017-117436</t>
  </si>
  <si>
    <t xml:space="preserve">CA-2015-140025</t>
  </si>
  <si>
    <t xml:space="preserve">CA-2016-134222</t>
  </si>
  <si>
    <t xml:space="preserve">CA-2016-140018</t>
  </si>
  <si>
    <t xml:space="preserve">US-2017-136707</t>
  </si>
  <si>
    <t xml:space="preserve">CA-2014-152562</t>
  </si>
  <si>
    <t xml:space="preserve">CA-2016-152408</t>
  </si>
  <si>
    <t xml:space="preserve">CA-2014-120278</t>
  </si>
  <si>
    <t xml:space="preserve">CA-2017-167661</t>
  </si>
  <si>
    <t xml:space="preserve">CA-2017-106831</t>
  </si>
  <si>
    <t xml:space="preserve">CA-2017-154123</t>
  </si>
  <si>
    <t xml:space="preserve">CA-2016-136049</t>
  </si>
  <si>
    <t xml:space="preserve">CA-2017-118402</t>
  </si>
  <si>
    <t xml:space="preserve">US-2016-139388</t>
  </si>
  <si>
    <t xml:space="preserve">US-2014-128685</t>
  </si>
  <si>
    <t xml:space="preserve">CA-2015-124044</t>
  </si>
  <si>
    <t xml:space="preserve">CA-2014-164469</t>
  </si>
  <si>
    <t xml:space="preserve">CA-2014-107818</t>
  </si>
  <si>
    <t xml:space="preserve">CA-2014-113320</t>
  </si>
  <si>
    <t xml:space="preserve">CA-2015-137526</t>
  </si>
  <si>
    <t xml:space="preserve">CA-2017-136063</t>
  </si>
  <si>
    <t xml:space="preserve">CA-2016-101546</t>
  </si>
  <si>
    <t xml:space="preserve">CA-2014-138940</t>
  </si>
  <si>
    <t xml:space="preserve">CA-2016-125164</t>
  </si>
  <si>
    <t xml:space="preserve">CA-2017-163531</t>
  </si>
  <si>
    <t xml:space="preserve">CA-2017-122490</t>
  </si>
  <si>
    <t xml:space="preserve">CA-2017-131366</t>
  </si>
  <si>
    <t xml:space="preserve">CA-2017-164042</t>
  </si>
  <si>
    <t xml:space="preserve">CA-2014-132864</t>
  </si>
  <si>
    <t xml:space="preserve">US-2014-155817</t>
  </si>
  <si>
    <t xml:space="preserve">US-2016-131891</t>
  </si>
  <si>
    <t xml:space="preserve">CA-2017-143567</t>
  </si>
  <si>
    <t xml:space="preserve">CA-2017-104080</t>
  </si>
  <si>
    <t xml:space="preserve">CA-2014-151379</t>
  </si>
  <si>
    <t xml:space="preserve">CA-2016-163167</t>
  </si>
  <si>
    <t xml:space="preserve">CA-2016-135776</t>
  </si>
  <si>
    <t xml:space="preserve">US-2014-122021</t>
  </si>
  <si>
    <t xml:space="preserve">CA-2016-130484</t>
  </si>
  <si>
    <t xml:space="preserve">CA-2017-120936</t>
  </si>
  <si>
    <t xml:space="preserve">CA-2017-110884</t>
  </si>
  <si>
    <t xml:space="preserve">US-2014-161613</t>
  </si>
  <si>
    <t xml:space="preserve">US-2014-146353</t>
  </si>
  <si>
    <t xml:space="preserve">CA-2014-133809</t>
  </si>
  <si>
    <t xml:space="preserve">CA-2017-127306</t>
  </si>
  <si>
    <t xml:space="preserve">CA-2015-161830</t>
  </si>
  <si>
    <t xml:space="preserve">CA-2017-163125</t>
  </si>
  <si>
    <t xml:space="preserve">CA-2016-160304</t>
  </si>
  <si>
    <t xml:space="preserve">CA-2017-101728</t>
  </si>
  <si>
    <t xml:space="preserve">CA-2017-114055</t>
  </si>
  <si>
    <t xml:space="preserve">CA-2017-126438</t>
  </si>
  <si>
    <t xml:space="preserve">CA-2017-117653</t>
  </si>
  <si>
    <t xml:space="preserve">CA-2017-143245</t>
  </si>
  <si>
    <t xml:space="preserve">US-2014-138828</t>
  </si>
  <si>
    <t xml:space="preserve">CA-2017-143651</t>
  </si>
  <si>
    <t xml:space="preserve">CA-2015-106978</t>
  </si>
  <si>
    <t xml:space="preserve">CA-2015-155124</t>
  </si>
  <si>
    <t xml:space="preserve">CA-2017-150931</t>
  </si>
  <si>
    <t xml:space="preserve">CA-2014-157147</t>
  </si>
  <si>
    <t xml:space="preserve">CA-2015-156482</t>
  </si>
  <si>
    <t xml:space="preserve">CA-2017-106782</t>
  </si>
  <si>
    <t xml:space="preserve">CA-2016-151372</t>
  </si>
  <si>
    <t xml:space="preserve">CA-2014-102085</t>
  </si>
  <si>
    <t xml:space="preserve">CA-2017-107125</t>
  </si>
  <si>
    <t xml:space="preserve">CA-2016-125815</t>
  </si>
  <si>
    <t xml:space="preserve">CA-2015-144190</t>
  </si>
  <si>
    <t xml:space="preserve">CA-2017-117926</t>
  </si>
  <si>
    <t xml:space="preserve">CA-2015-153906</t>
  </si>
  <si>
    <t xml:space="preserve">CA-2014-160262</t>
  </si>
  <si>
    <t xml:space="preserve">CA-2015-127607</t>
  </si>
  <si>
    <t xml:space="preserve">CA-2016-166226</t>
  </si>
  <si>
    <t xml:space="preserve">CA-2014-156587</t>
  </si>
  <si>
    <t xml:space="preserve">CA-2016-141180</t>
  </si>
  <si>
    <t xml:space="preserve">CA-2015-109708</t>
  </si>
  <si>
    <t xml:space="preserve">CA-2015-122406</t>
  </si>
  <si>
    <t xml:space="preserve">US-2016-153815</t>
  </si>
  <si>
    <t xml:space="preserve">CA-2016-164896</t>
  </si>
  <si>
    <t xml:space="preserve">CA-2015-142202</t>
  </si>
  <si>
    <t xml:space="preserve">CA-2015-165050</t>
  </si>
  <si>
    <t xml:space="preserve">US-2016-131114</t>
  </si>
  <si>
    <t xml:space="preserve">CA-2014-160066</t>
  </si>
  <si>
    <t xml:space="preserve">CA-2016-109925</t>
  </si>
  <si>
    <t xml:space="preserve">CA-2015-160696</t>
  </si>
  <si>
    <t xml:space="preserve">CA-2014-125171</t>
  </si>
  <si>
    <t xml:space="preserve">CA-2016-149279</t>
  </si>
  <si>
    <t xml:space="preserve">CA-2017-107321</t>
  </si>
  <si>
    <t xml:space="preserve">US-2017-122714</t>
  </si>
  <si>
    <t xml:space="preserve">CA-2015-153038</t>
  </si>
  <si>
    <t xml:space="preserve">CA-2014-132227</t>
  </si>
  <si>
    <t xml:space="preserve">CA-2017-155824</t>
  </si>
  <si>
    <t xml:space="preserve">CA-2016-129238</t>
  </si>
  <si>
    <t xml:space="preserve">CA-2017-159688</t>
  </si>
  <si>
    <t xml:space="preserve">CA-2016-136126</t>
  </si>
  <si>
    <t xml:space="preserve">CA-2016-155033</t>
  </si>
  <si>
    <t xml:space="preserve">CA-2014-156006</t>
  </si>
  <si>
    <t xml:space="preserve">CA-2015-158659</t>
  </si>
  <si>
    <t xml:space="preserve">CA-2015-169796</t>
  </si>
  <si>
    <t xml:space="preserve">CA-2015-102876</t>
  </si>
  <si>
    <t xml:space="preserve">US-2017-139647</t>
  </si>
  <si>
    <t xml:space="preserve">US-2017-160465</t>
  </si>
  <si>
    <t xml:space="preserve">CA-2014-153850</t>
  </si>
  <si>
    <t xml:space="preserve">CA-2014-127558</t>
  </si>
  <si>
    <t xml:space="preserve">CA-2017-136511</t>
  </si>
  <si>
    <t xml:space="preserve">CA-2016-133795</t>
  </si>
  <si>
    <t xml:space="preserve">US-2017-130953</t>
  </si>
  <si>
    <t xml:space="preserve">CA-2014-151792</t>
  </si>
  <si>
    <t xml:space="preserve">CA-2017-139304</t>
  </si>
  <si>
    <t xml:space="preserve">CA-2016-155166</t>
  </si>
  <si>
    <t xml:space="preserve">CA-2015-103954</t>
  </si>
  <si>
    <t xml:space="preserve">CA-2014-169803</t>
  </si>
  <si>
    <t xml:space="preserve">CA-2017-141719</t>
  </si>
  <si>
    <t xml:space="preserve">CA-2015-136469</t>
  </si>
  <si>
    <t xml:space="preserve">CA-2016-158694</t>
  </si>
  <si>
    <t xml:space="preserve">US-2014-104759</t>
  </si>
  <si>
    <t xml:space="preserve">CA-2015-150511</t>
  </si>
  <si>
    <t xml:space="preserve">CA-2015-134922</t>
  </si>
  <si>
    <t xml:space="preserve">US-2017-120607</t>
  </si>
  <si>
    <t xml:space="preserve">CA-2015-141243</t>
  </si>
  <si>
    <t xml:space="preserve">CA-2015-162166</t>
  </si>
  <si>
    <t xml:space="preserve">CA-2016-120796</t>
  </si>
  <si>
    <t xml:space="preserve">CA-2016-109722</t>
  </si>
  <si>
    <t xml:space="preserve">CA-2015-136798</t>
  </si>
  <si>
    <t xml:space="preserve">CA-2017-122196</t>
  </si>
  <si>
    <t xml:space="preserve">CA-2017-142090</t>
  </si>
  <si>
    <t xml:space="preserve">CA-2017-160934</t>
  </si>
  <si>
    <t xml:space="preserve">CA-2014-124478</t>
  </si>
  <si>
    <t xml:space="preserve">CA-2015-145485</t>
  </si>
  <si>
    <t xml:space="preserve">CA-2017-151071</t>
  </si>
  <si>
    <t xml:space="preserve">CA-2014-134572</t>
  </si>
  <si>
    <t xml:space="preserve">CA-2017-143217</t>
  </si>
  <si>
    <t xml:space="preserve">US-2017-133312</t>
  </si>
  <si>
    <t xml:space="preserve">US-2015-137533</t>
  </si>
  <si>
    <t xml:space="preserve">CA-2016-155138</t>
  </si>
  <si>
    <t xml:space="preserve">CA-2016-108350</t>
  </si>
  <si>
    <t xml:space="preserve">CA-2015-144302</t>
  </si>
  <si>
    <t xml:space="preserve">CA-2015-109001</t>
  </si>
  <si>
    <t xml:space="preserve">CA-2017-132738</t>
  </si>
  <si>
    <t xml:space="preserve">CA-2017-156720</t>
  </si>
  <si>
    <t xml:space="preserve">CA-2015-119102</t>
  </si>
  <si>
    <t xml:space="preserve">US-2014-140452</t>
  </si>
  <si>
    <t xml:space="preserve">CA-2015-141936</t>
  </si>
  <si>
    <t xml:space="preserve">CA-2014-158442</t>
  </si>
  <si>
    <t xml:space="preserve">CA-2015-167374</t>
  </si>
  <si>
    <t xml:space="preserve">CA-2014-116568</t>
  </si>
  <si>
    <t xml:space="preserve">CA-2015-147102</t>
  </si>
  <si>
    <t xml:space="preserve">CA-2017-132213</t>
  </si>
  <si>
    <t xml:space="preserve">CA-2014-138450</t>
  </si>
  <si>
    <t xml:space="preserve">CA-2015-153073</t>
  </si>
  <si>
    <t xml:space="preserve">CA-2016-147970</t>
  </si>
  <si>
    <t xml:space="preserve">CA-2016-150658</t>
  </si>
  <si>
    <t xml:space="preserve">CA-2017-125640</t>
  </si>
  <si>
    <t xml:space="preserve">CA-2017-154137</t>
  </si>
  <si>
    <t xml:space="preserve">CA-2015-127173</t>
  </si>
  <si>
    <t xml:space="preserve">CA-2014-149538</t>
  </si>
  <si>
    <t xml:space="preserve">CA-2014-160766</t>
  </si>
  <si>
    <t xml:space="preserve">CA-2017-146626</t>
  </si>
  <si>
    <t xml:space="preserve">CA-2015-123330</t>
  </si>
  <si>
    <t xml:space="preserve">CA-2017-155607</t>
  </si>
  <si>
    <t xml:space="preserve">CA-2016-151323</t>
  </si>
  <si>
    <t xml:space="preserve">CA-2015-146696</t>
  </si>
  <si>
    <t xml:space="preserve">CA-2016-128972</t>
  </si>
  <si>
    <t xml:space="preserve">CA-2017-128335</t>
  </si>
  <si>
    <t xml:space="preserve">CA-2015-154886</t>
  </si>
  <si>
    <t xml:space="preserve">CA-2016-111213</t>
  </si>
  <si>
    <t xml:space="preserve">CA-2017-161333</t>
  </si>
  <si>
    <t xml:space="preserve">CA-2017-128734</t>
  </si>
  <si>
    <t xml:space="preserve">CA-2014-141796</t>
  </si>
  <si>
    <t xml:space="preserve">CA-2017-125101</t>
  </si>
  <si>
    <t xml:space="preserve">CA-2017-169929</t>
  </si>
  <si>
    <t xml:space="preserve">US-2014-121566</t>
  </si>
  <si>
    <t xml:space="preserve">US-2015-124219</t>
  </si>
  <si>
    <t xml:space="preserve">CA-2017-163006</t>
  </si>
  <si>
    <t xml:space="preserve">CA-2015-156146</t>
  </si>
  <si>
    <t xml:space="preserve">CA-2014-111192</t>
  </si>
  <si>
    <t xml:space="preserve">CA-2016-115378</t>
  </si>
  <si>
    <t xml:space="preserve">CA-2015-161627</t>
  </si>
  <si>
    <t xml:space="preserve">CA-2014-121006</t>
  </si>
  <si>
    <t xml:space="preserve">CA-2016-122903</t>
  </si>
  <si>
    <t xml:space="preserve">CA-2015-107741</t>
  </si>
  <si>
    <t xml:space="preserve">CA-2017-106432</t>
  </si>
  <si>
    <t xml:space="preserve">CA-2016-148908</t>
  </si>
  <si>
    <t xml:space="preserve">CA-2016-123015</t>
  </si>
  <si>
    <t xml:space="preserve">US-2015-120502</t>
  </si>
  <si>
    <t xml:space="preserve">CA-2017-108749</t>
  </si>
  <si>
    <t xml:space="preserve">CA-2017-163335</t>
  </si>
  <si>
    <t xml:space="preserve">CA-2015-134719</t>
  </si>
  <si>
    <t xml:space="preserve">US-2015-154389</t>
  </si>
  <si>
    <t xml:space="preserve">CA-2015-115567</t>
  </si>
  <si>
    <t xml:space="preserve">US-2017-136679</t>
  </si>
  <si>
    <t xml:space="preserve">US-2017-141943</t>
  </si>
  <si>
    <t xml:space="preserve">CA-2014-101560</t>
  </si>
  <si>
    <t xml:space="preserve">CA-2014-159709</t>
  </si>
  <si>
    <t xml:space="preserve">CA-2016-103982</t>
  </si>
  <si>
    <t xml:space="preserve">CA-2015-142454</t>
  </si>
  <si>
    <t xml:space="preserve">CA-2015-102015</t>
  </si>
  <si>
    <t xml:space="preserve">CA-2015-156755</t>
  </si>
  <si>
    <t xml:space="preserve">CA-2015-130876</t>
  </si>
  <si>
    <t xml:space="preserve">CA-2016-145898</t>
  </si>
  <si>
    <t xml:space="preserve">US-2017-159562</t>
  </si>
  <si>
    <t xml:space="preserve">CA-2017-134635</t>
  </si>
  <si>
    <t xml:space="preserve">CA-2017-167080</t>
  </si>
  <si>
    <t xml:space="preserve">CA-2017-145653</t>
  </si>
  <si>
    <t xml:space="preserve">CA-2014-140487</t>
  </si>
  <si>
    <t xml:space="preserve">CA-2017-117401</t>
  </si>
  <si>
    <t xml:space="preserve">US-2017-109582</t>
  </si>
  <si>
    <t xml:space="preserve">CA-2016-119865</t>
  </si>
  <si>
    <t xml:space="preserve">US-2014-147648</t>
  </si>
  <si>
    <t xml:space="preserve">CA-2017-124436</t>
  </si>
  <si>
    <t xml:space="preserve">CA-2014-115084</t>
  </si>
  <si>
    <t xml:space="preserve">CA-2017-131037</t>
  </si>
  <si>
    <t xml:space="preserve">CA-2016-111143</t>
  </si>
  <si>
    <t xml:space="preserve">CA-2014-166744</t>
  </si>
  <si>
    <t xml:space="preserve">CA-2016-116561</t>
  </si>
  <si>
    <t xml:space="preserve">CA-2016-110730</t>
  </si>
  <si>
    <t xml:space="preserve">CA-2017-146367</t>
  </si>
  <si>
    <t xml:space="preserve">CA-2016-149454</t>
  </si>
  <si>
    <t xml:space="preserve">CA-2016-156265</t>
  </si>
  <si>
    <t xml:space="preserve">US-2015-168914</t>
  </si>
  <si>
    <t xml:space="preserve">US-2017-110989</t>
  </si>
  <si>
    <t xml:space="preserve">CA-2015-106215</t>
  </si>
  <si>
    <t xml:space="preserve">US-2016-169369</t>
  </si>
  <si>
    <t xml:space="preserve">CA-2015-132318</t>
  </si>
  <si>
    <t xml:space="preserve">US-2014-131982</t>
  </si>
  <si>
    <t xml:space="preserve">CA-2015-125185</t>
  </si>
  <si>
    <t xml:space="preserve">CA-2016-130078</t>
  </si>
  <si>
    <t xml:space="preserve">US-2017-114034</t>
  </si>
  <si>
    <t xml:space="preserve">US-2017-115595</t>
  </si>
  <si>
    <t xml:space="preserve">CA-2017-158722</t>
  </si>
  <si>
    <t xml:space="preserve">CA-2014-105165</t>
  </si>
  <si>
    <t xml:space="preserve">CA-2017-147452</t>
  </si>
  <si>
    <t xml:space="preserve">US-2017-114657</t>
  </si>
  <si>
    <t xml:space="preserve">CA-2017-144484</t>
  </si>
  <si>
    <t xml:space="preserve">CA-2017-125913</t>
  </si>
  <si>
    <t xml:space="preserve">US-2016-158309</t>
  </si>
  <si>
    <t xml:space="preserve">CA-2015-162887</t>
  </si>
  <si>
    <t xml:space="preserve">CA-2017-147333</t>
  </si>
  <si>
    <t xml:space="preserve">CA-2014-113859</t>
  </si>
  <si>
    <t xml:space="preserve">CA-2014-159681</t>
  </si>
  <si>
    <t xml:space="preserve">US-2017-104094</t>
  </si>
  <si>
    <t xml:space="preserve">CA-2017-152709</t>
  </si>
  <si>
    <t xml:space="preserve">CA-2015-105158</t>
  </si>
  <si>
    <t xml:space="preserve">CA-2014-133424</t>
  </si>
  <si>
    <t xml:space="preserve">CA-2017-105991</t>
  </si>
  <si>
    <t xml:space="preserve">US-2017-136784</t>
  </si>
  <si>
    <t xml:space="preserve">CA-2014-146283</t>
  </si>
  <si>
    <t xml:space="preserve">CA-2017-151218</t>
  </si>
  <si>
    <t xml:space="preserve">CA-2015-111073</t>
  </si>
  <si>
    <t xml:space="preserve">CA-2017-144883</t>
  </si>
  <si>
    <t xml:space="preserve">CA-2017-142174</t>
  </si>
  <si>
    <t xml:space="preserve">CA-2017-108791</t>
  </si>
  <si>
    <t xml:space="preserve">CA-2016-106656</t>
  </si>
  <si>
    <t xml:space="preserve">CA-2016-113831</t>
  </si>
  <si>
    <t xml:space="preserve">US-2014-139500</t>
  </si>
  <si>
    <t xml:space="preserve">US-2014-166310</t>
  </si>
  <si>
    <t xml:space="preserve">US-2016-168410</t>
  </si>
  <si>
    <t xml:space="preserve">CA-2017-131254</t>
  </si>
  <si>
    <t xml:space="preserve">CA-2016-123414</t>
  </si>
  <si>
    <t xml:space="preserve">CA-2017-137876</t>
  </si>
  <si>
    <t xml:space="preserve">CA-2016-154060</t>
  </si>
  <si>
    <t xml:space="preserve">US-2017-162558</t>
  </si>
  <si>
    <t xml:space="preserve">CA-2017-134439</t>
  </si>
  <si>
    <t xml:space="preserve">CA-2015-119508</t>
  </si>
  <si>
    <t xml:space="preserve">CA-2015-152681</t>
  </si>
  <si>
    <t xml:space="preserve">CA-2014-130813</t>
  </si>
  <si>
    <t xml:space="preserve">CA-2015-120320</t>
  </si>
  <si>
    <t xml:space="preserve">CA-2016-111941</t>
  </si>
  <si>
    <t xml:space="preserve">CA-2016-123120</t>
  </si>
  <si>
    <t xml:space="preserve">CA-2014-103331</t>
  </si>
  <si>
    <t xml:space="preserve">CA-2015-169278</t>
  </si>
  <si>
    <t xml:space="preserve">CA-2017-111577</t>
  </si>
  <si>
    <t xml:space="preserve">CA-2015-146486</t>
  </si>
  <si>
    <t xml:space="preserve">US-2014-168501</t>
  </si>
  <si>
    <t xml:space="preserve">CA-2015-112053</t>
  </si>
  <si>
    <t xml:space="preserve">CA-2017-108539</t>
  </si>
  <si>
    <t xml:space="preserve">CA-2015-149811</t>
  </si>
  <si>
    <t xml:space="preserve">US-2017-103814</t>
  </si>
  <si>
    <t xml:space="preserve">CA-2016-123932</t>
  </si>
  <si>
    <t xml:space="preserve">US-2016-101616</t>
  </si>
  <si>
    <t xml:space="preserve">CA-2014-113768</t>
  </si>
  <si>
    <t xml:space="preserve">CA-2016-138037</t>
  </si>
  <si>
    <t xml:space="preserve">CA-2014-150490</t>
  </si>
  <si>
    <t xml:space="preserve">US-2017-126060</t>
  </si>
  <si>
    <t xml:space="preserve">CA-2017-100951</t>
  </si>
  <si>
    <t xml:space="preserve">CA-2016-122017</t>
  </si>
  <si>
    <t xml:space="preserve">CA-2014-123477</t>
  </si>
  <si>
    <t xml:space="preserve">CA-2016-107790</t>
  </si>
  <si>
    <t xml:space="preserve">CA-2017-158071</t>
  </si>
  <si>
    <t xml:space="preserve">CA-2017-147403</t>
  </si>
  <si>
    <t xml:space="preserve">US-2017-136721</t>
  </si>
  <si>
    <t xml:space="preserve">CA-2015-118738</t>
  </si>
  <si>
    <t xml:space="preserve">CA-2017-134152</t>
  </si>
  <si>
    <t xml:space="preserve">CA-2014-125542</t>
  </si>
  <si>
    <t xml:space="preserve">CA-2016-136021</t>
  </si>
  <si>
    <t xml:space="preserve">CA-2016-149195</t>
  </si>
  <si>
    <t xml:space="preserve">CA-2017-161410</t>
  </si>
  <si>
    <t xml:space="preserve">CA-2017-152786</t>
  </si>
  <si>
    <t xml:space="preserve">CA-2017-164707</t>
  </si>
  <si>
    <t xml:space="preserve">CA-2017-163874</t>
  </si>
  <si>
    <t xml:space="preserve">US-2014-123183</t>
  </si>
  <si>
    <t xml:space="preserve">CA-2014-104829</t>
  </si>
  <si>
    <t xml:space="preserve">US-2016-147340</t>
  </si>
  <si>
    <t xml:space="preserve">CA-2016-145492</t>
  </si>
  <si>
    <t xml:space="preserve">CA-2016-163202</t>
  </si>
  <si>
    <t xml:space="preserve">CA-2016-117681</t>
  </si>
  <si>
    <t xml:space="preserve">CA-2017-132262</t>
  </si>
  <si>
    <t xml:space="preserve">CA-2017-123043</t>
  </si>
  <si>
    <t xml:space="preserve">US-2016-143280</t>
  </si>
  <si>
    <t xml:space="preserve">CA-2017-108854</t>
  </si>
  <si>
    <t xml:space="preserve">CA-2017-166856</t>
  </si>
  <si>
    <t xml:space="preserve">CA-2016-153157</t>
  </si>
  <si>
    <t xml:space="preserve">US-2017-125647</t>
  </si>
  <si>
    <t xml:space="preserve">CA-2014-132542</t>
  </si>
  <si>
    <t xml:space="preserve">CA-2015-110877</t>
  </si>
  <si>
    <t xml:space="preserve">US-2016-151827</t>
  </si>
  <si>
    <t xml:space="preserve">US-2016-163258</t>
  </si>
  <si>
    <t xml:space="preserve">CA-2017-103009</t>
  </si>
  <si>
    <t xml:space="preserve">US-2017-120649</t>
  </si>
  <si>
    <t xml:space="preserve">CA-2016-153598</t>
  </si>
  <si>
    <t xml:space="preserve">US-2016-108497</t>
  </si>
  <si>
    <t xml:space="preserve">CA-2016-113096</t>
  </si>
  <si>
    <t xml:space="preserve">CA-2014-136861</t>
  </si>
  <si>
    <t xml:space="preserve">CA-2017-117422</t>
  </si>
  <si>
    <t xml:space="preserve">CA-2017-129707</t>
  </si>
  <si>
    <t xml:space="preserve">CA-2015-160171</t>
  </si>
  <si>
    <t xml:space="preserve">CA-2014-103317</t>
  </si>
  <si>
    <t xml:space="preserve">CA-2016-167115</t>
  </si>
  <si>
    <t xml:space="preserve">US-2017-153633</t>
  </si>
  <si>
    <t xml:space="preserve">CA-2017-155929</t>
  </si>
  <si>
    <t xml:space="preserve">CA-2015-148712</t>
  </si>
  <si>
    <t xml:space="preserve">CA-2016-128307</t>
  </si>
  <si>
    <t xml:space="preserve">US-2016-127425</t>
  </si>
  <si>
    <t xml:space="preserve">US-2014-119081</t>
  </si>
  <si>
    <t xml:space="preserve">CA-2016-140613</t>
  </si>
  <si>
    <t xml:space="preserve">US-2017-108700</t>
  </si>
  <si>
    <t xml:space="preserve">CA-2017-160962</t>
  </si>
  <si>
    <t xml:space="preserve">CA-2017-130631</t>
  </si>
  <si>
    <t xml:space="preserve">CA-2017-116680</t>
  </si>
  <si>
    <t xml:space="preserve">US-2014-107405</t>
  </si>
  <si>
    <t xml:space="preserve">CA-2017-101574</t>
  </si>
  <si>
    <t xml:space="preserve">CA-2014-146591</t>
  </si>
  <si>
    <t xml:space="preserve">CA-2014-107706</t>
  </si>
  <si>
    <t xml:space="preserve">CA-2016-122448</t>
  </si>
  <si>
    <t xml:space="preserve">CA-2014-132451</t>
  </si>
  <si>
    <t xml:space="preserve">CA-2016-158547</t>
  </si>
  <si>
    <t xml:space="preserve">CA-2017-116946</t>
  </si>
  <si>
    <t xml:space="preserve">CA-2017-121741</t>
  </si>
  <si>
    <t xml:space="preserve">CA-2017-169691</t>
  </si>
  <si>
    <t xml:space="preserve">CA-2016-121356</t>
  </si>
  <si>
    <t xml:space="preserve">CA-2014-101770</t>
  </si>
  <si>
    <t xml:space="preserve">CA-2017-105487</t>
  </si>
  <si>
    <t xml:space="preserve">CA-2017-148999</t>
  </si>
  <si>
    <t xml:space="preserve">CA-2014-107573</t>
  </si>
  <si>
    <t xml:space="preserve">CA-2015-156608</t>
  </si>
  <si>
    <t xml:space="preserve">CA-2017-134495</t>
  </si>
  <si>
    <t xml:space="preserve">CA-2017-164098</t>
  </si>
  <si>
    <t xml:space="preserve">CA-2014-105249</t>
  </si>
  <si>
    <t xml:space="preserve">CA-2015-113523</t>
  </si>
  <si>
    <t xml:space="preserve">CA-2017-117821</t>
  </si>
  <si>
    <t xml:space="preserve">CA-2017-164378</t>
  </si>
  <si>
    <t xml:space="preserve">CA-2017-127782</t>
  </si>
  <si>
    <t xml:space="preserve">US-2016-162026</t>
  </si>
  <si>
    <t xml:space="preserve">CA-2016-150000</t>
  </si>
  <si>
    <t xml:space="preserve">CA-2015-168529</t>
  </si>
  <si>
    <t xml:space="preserve">US-2017-152569</t>
  </si>
  <si>
    <t xml:space="preserve">US-2014-137680</t>
  </si>
  <si>
    <t xml:space="preserve">CA-2015-103177</t>
  </si>
  <si>
    <t xml:space="preserve">US-2016-138408</t>
  </si>
  <si>
    <t xml:space="preserve">CA-2017-117667</t>
  </si>
  <si>
    <t xml:space="preserve">CA-2016-110982</t>
  </si>
  <si>
    <t xml:space="preserve">CA-2016-147123</t>
  </si>
  <si>
    <t xml:space="preserve">CA-2017-154501</t>
  </si>
  <si>
    <t xml:space="preserve">CA-2017-166933</t>
  </si>
  <si>
    <t xml:space="preserve">CA-2015-142055</t>
  </si>
  <si>
    <t xml:space="preserve">CA-2015-137106</t>
  </si>
  <si>
    <t xml:space="preserve">CA-2017-136609</t>
  </si>
  <si>
    <t xml:space="preserve">CA-2017-160885</t>
  </si>
  <si>
    <t xml:space="preserve">US-2016-167472</t>
  </si>
  <si>
    <t xml:space="preserve">CA-2015-120551</t>
  </si>
  <si>
    <t xml:space="preserve">US-2017-150595</t>
  </si>
  <si>
    <t xml:space="preserve">CA-2016-134936</t>
  </si>
  <si>
    <t xml:space="preserve">CA-2017-102967</t>
  </si>
  <si>
    <t xml:space="preserve">CA-2017-151008</t>
  </si>
  <si>
    <t xml:space="preserve">CA-2014-159800</t>
  </si>
  <si>
    <t xml:space="preserve">US-2014-159618</t>
  </si>
  <si>
    <t xml:space="preserve">CA-2017-116113</t>
  </si>
  <si>
    <t xml:space="preserve">CA-2015-125066</t>
  </si>
  <si>
    <t xml:space="preserve">US-2015-114741</t>
  </si>
  <si>
    <t xml:space="preserve">CA-2017-133263</t>
  </si>
  <si>
    <t xml:space="preserve">CA-2017-157966</t>
  </si>
  <si>
    <t xml:space="preserve">CA-2014-151162</t>
  </si>
  <si>
    <t xml:space="preserve">CA-2016-136686</t>
  </si>
  <si>
    <t xml:space="preserve">CA-2017-137498</t>
  </si>
  <si>
    <t xml:space="preserve">CA-2017-163818</t>
  </si>
  <si>
    <t xml:space="preserve">CA-2016-161158</t>
  </si>
  <si>
    <t xml:space="preserve">CA-2014-116673</t>
  </si>
  <si>
    <t xml:space="preserve">CA-2017-105333</t>
  </si>
  <si>
    <t xml:space="preserve">CA-2015-149993</t>
  </si>
  <si>
    <t xml:space="preserve">CA-2014-168158</t>
  </si>
  <si>
    <t xml:space="preserve">CA-2016-115224</t>
  </si>
  <si>
    <t xml:space="preserve">CA-2014-164742</t>
  </si>
  <si>
    <t xml:space="preserve">US-2017-108014</t>
  </si>
  <si>
    <t xml:space="preserve">CA-2017-160325</t>
  </si>
  <si>
    <t xml:space="preserve">CA-2015-159779</t>
  </si>
  <si>
    <t xml:space="preserve">CA-2017-151176</t>
  </si>
  <si>
    <t xml:space="preserve">CA-2014-108903</t>
  </si>
  <si>
    <t xml:space="preserve">CA-2016-117919</t>
  </si>
  <si>
    <t xml:space="preserve">CA-2015-142475</t>
  </si>
  <si>
    <t xml:space="preserve">CA-2016-134516</t>
  </si>
  <si>
    <t xml:space="preserve">CA-2017-105193</t>
  </si>
  <si>
    <t xml:space="preserve">CA-2015-168634</t>
  </si>
  <si>
    <t xml:space="preserve">CA-2017-117198</t>
  </si>
  <si>
    <t xml:space="preserve">CA-2015-145828</t>
  </si>
  <si>
    <t xml:space="preserve">CA-2017-121027</t>
  </si>
  <si>
    <t xml:space="preserve">CA-2016-147431</t>
  </si>
  <si>
    <t xml:space="preserve">CA-2016-158001</t>
  </si>
  <si>
    <t xml:space="preserve">CA-2017-125745</t>
  </si>
  <si>
    <t xml:space="preserve">CA-2015-101154</t>
  </si>
  <si>
    <t xml:space="preserve">US-2016-124163</t>
  </si>
  <si>
    <t xml:space="preserve">CA-2016-121748</t>
  </si>
  <si>
    <t xml:space="preserve">CA-2014-126683</t>
  </si>
  <si>
    <t xml:space="preserve">CA-2017-148810</t>
  </si>
  <si>
    <t xml:space="preserve">US-2016-146066</t>
  </si>
  <si>
    <t xml:space="preserve">CA-2014-127614</t>
  </si>
  <si>
    <t xml:space="preserve">CA-2016-101742</t>
  </si>
  <si>
    <t xml:space="preserve">CA-2015-134943</t>
  </si>
  <si>
    <t xml:space="preserve">CA-2017-123022</t>
  </si>
  <si>
    <t xml:space="preserve">CA-2017-113208</t>
  </si>
  <si>
    <t xml:space="preserve">CA-2014-154893</t>
  </si>
  <si>
    <t xml:space="preserve">CA-2014-147900</t>
  </si>
  <si>
    <t xml:space="preserve">CA-2017-106355</t>
  </si>
  <si>
    <t xml:space="preserve">CA-2016-127985</t>
  </si>
  <si>
    <t xml:space="preserve">CA-2015-166604</t>
  </si>
  <si>
    <t xml:space="preserve">CA-2017-120719</t>
  </si>
  <si>
    <t xml:space="preserve">CA-2017-127117</t>
  </si>
  <si>
    <t xml:space="preserve">CA-2015-104241</t>
  </si>
  <si>
    <t xml:space="preserve">CA-2017-168179</t>
  </si>
  <si>
    <t xml:space="preserve">CA-2017-142342</t>
  </si>
  <si>
    <t xml:space="preserve">CA-2017-109099</t>
  </si>
  <si>
    <t xml:space="preserve">US-2014-134187</t>
  </si>
  <si>
    <t xml:space="preserve">CA-2016-145261</t>
  </si>
  <si>
    <t xml:space="preserve">CA-2016-108875</t>
  </si>
  <si>
    <t xml:space="preserve">CA-2016-141957</t>
  </si>
  <si>
    <t xml:space="preserve">CA-2016-142405</t>
  </si>
  <si>
    <t xml:space="preserve">CA-2015-141012</t>
  </si>
  <si>
    <t xml:space="preserve">CA-2017-127922</t>
  </si>
  <si>
    <t xml:space="preserve">CA-2016-146318</t>
  </si>
  <si>
    <t xml:space="preserve">CA-2014-135993</t>
  </si>
  <si>
    <t xml:space="preserve">CA-2014-126802</t>
  </si>
  <si>
    <t xml:space="preserve">CA-2016-143924</t>
  </si>
  <si>
    <t xml:space="preserve">CA-2016-141551</t>
  </si>
  <si>
    <t xml:space="preserve">CA-2014-164315</t>
  </si>
  <si>
    <t xml:space="preserve">CA-2015-131072</t>
  </si>
  <si>
    <t xml:space="preserve">CA-2014-131541</t>
  </si>
  <si>
    <t xml:space="preserve">CA-2015-119550</t>
  </si>
  <si>
    <t xml:space="preserve">US-2015-138093</t>
  </si>
  <si>
    <t xml:space="preserve">CA-2016-126165</t>
  </si>
  <si>
    <t xml:space="preserve">CA-2017-126123</t>
  </si>
  <si>
    <t xml:space="preserve">CA-2016-143441</t>
  </si>
  <si>
    <t xml:space="preserve">CA-2017-148320</t>
  </si>
  <si>
    <t xml:space="preserve">CA-2016-125661</t>
  </si>
  <si>
    <t xml:space="preserve">US-2014-123519</t>
  </si>
  <si>
    <t xml:space="preserve">CA-2014-155593</t>
  </si>
  <si>
    <t xml:space="preserve">CA-2017-136000</t>
  </si>
  <si>
    <t xml:space="preserve">US-2015-160857</t>
  </si>
  <si>
    <t xml:space="preserve">CA-2017-115805</t>
  </si>
  <si>
    <t xml:space="preserve">US-2014-143707</t>
  </si>
  <si>
    <t xml:space="preserve">CA-2017-116939</t>
  </si>
  <si>
    <t xml:space="preserve">CA-2015-124107</t>
  </si>
  <si>
    <t xml:space="preserve">CA-2017-126550</t>
  </si>
  <si>
    <t xml:space="preserve">CA-2015-138674</t>
  </si>
  <si>
    <t xml:space="preserve">CA-2016-165820</t>
  </si>
  <si>
    <t xml:space="preserve">CA-2014-103191</t>
  </si>
  <si>
    <t xml:space="preserve">CA-2015-103933</t>
  </si>
  <si>
    <t xml:space="preserve">CA-2015-110548</t>
  </si>
  <si>
    <t xml:space="preserve">CA-2017-117324</t>
  </si>
  <si>
    <t xml:space="preserve">CA-2017-143574</t>
  </si>
  <si>
    <t xml:space="preserve">CA-2014-111773</t>
  </si>
  <si>
    <t xml:space="preserve">CA-2014-148614</t>
  </si>
  <si>
    <t xml:space="preserve">CA-2017-156139</t>
  </si>
  <si>
    <t xml:space="preserve">US-2017-147886</t>
  </si>
  <si>
    <t xml:space="preserve">CA-2016-113733</t>
  </si>
  <si>
    <t xml:space="preserve">CA-2017-104913</t>
  </si>
  <si>
    <t xml:space="preserve">CA-2014-145800</t>
  </si>
  <si>
    <t xml:space="preserve">CA-2016-125850</t>
  </si>
  <si>
    <t xml:space="preserve">CA-2016-118514</t>
  </si>
  <si>
    <t xml:space="preserve">CA-2015-150749</t>
  </si>
  <si>
    <t xml:space="preserve">CA-2014-163748</t>
  </si>
  <si>
    <t xml:space="preserve">CA-2015-119634</t>
  </si>
  <si>
    <t xml:space="preserve">CA-2015-149300</t>
  </si>
  <si>
    <t xml:space="preserve">US-2016-111528</t>
  </si>
  <si>
    <t xml:space="preserve">CA-2017-158169</t>
  </si>
  <si>
    <t xml:space="preserve">CA-2015-162047</t>
  </si>
  <si>
    <t xml:space="preserve">CA-2015-117772</t>
  </si>
  <si>
    <t xml:space="preserve">US-2014-126340</t>
  </si>
  <si>
    <t xml:space="preserve">CA-2016-149685</t>
  </si>
  <si>
    <t xml:space="preserve">CA-2017-126396</t>
  </si>
  <si>
    <t xml:space="preserve">CA-2015-154900</t>
  </si>
  <si>
    <t xml:space="preserve">CA-2015-103835</t>
  </si>
  <si>
    <t xml:space="preserve">CA-2015-158939</t>
  </si>
  <si>
    <t xml:space="preserve">CA-2016-117408</t>
  </si>
  <si>
    <t xml:space="preserve">CA-2016-142398</t>
  </si>
  <si>
    <t xml:space="preserve">CA-2016-105277</t>
  </si>
  <si>
    <t xml:space="preserve">CA-2016-112060</t>
  </si>
  <si>
    <t xml:space="preserve">CA-2014-105270</t>
  </si>
  <si>
    <t xml:space="preserve">US-2015-159513</t>
  </si>
  <si>
    <t xml:space="preserve">CA-2015-155586</t>
  </si>
  <si>
    <t xml:space="preserve">CA-2017-141117</t>
  </si>
  <si>
    <t xml:space="preserve">CA-2017-115070</t>
  </si>
  <si>
    <t xml:space="preserve">CA-2017-140186</t>
  </si>
  <si>
    <t xml:space="preserve">CA-2014-124856</t>
  </si>
  <si>
    <t xml:space="preserve">CA-2014-166716</t>
  </si>
  <si>
    <t xml:space="preserve">CA-2014-123225</t>
  </si>
  <si>
    <t xml:space="preserve">CA-2015-163440</t>
  </si>
  <si>
    <t xml:space="preserve">US-2017-106796</t>
  </si>
  <si>
    <t xml:space="preserve">CA-2017-113873</t>
  </si>
  <si>
    <t xml:space="preserve">CA-2016-149783</t>
  </si>
  <si>
    <t xml:space="preserve">CA-2016-125017</t>
  </si>
  <si>
    <t xml:space="preserve">US-2015-163279</t>
  </si>
  <si>
    <t xml:space="preserve">CA-2015-150196</t>
  </si>
  <si>
    <t xml:space="preserve">US-2015-106495</t>
  </si>
  <si>
    <t xml:space="preserve">CA-2014-124730</t>
  </si>
  <si>
    <t xml:space="preserve">CA-2017-117632</t>
  </si>
  <si>
    <t xml:space="preserve">CA-2014-115056</t>
  </si>
  <si>
    <t xml:space="preserve">CA-2017-161067</t>
  </si>
  <si>
    <t xml:space="preserve">CA-2016-122063</t>
  </si>
  <si>
    <t xml:space="preserve">CA-2015-111206</t>
  </si>
  <si>
    <t xml:space="preserve">CA-2016-142895</t>
  </si>
  <si>
    <t xml:space="preserve">CA-2015-101868</t>
  </si>
  <si>
    <t xml:space="preserve">CA-2017-133207</t>
  </si>
  <si>
    <t xml:space="preserve">CA-2015-132948</t>
  </si>
  <si>
    <t xml:space="preserve">CA-2015-134992</t>
  </si>
  <si>
    <t xml:space="preserve">CA-2015-126725</t>
  </si>
  <si>
    <t xml:space="preserve">CA-2015-121783</t>
  </si>
  <si>
    <t xml:space="preserve">US-2014-138835</t>
  </si>
  <si>
    <t xml:space="preserve">CA-2015-112214</t>
  </si>
  <si>
    <t xml:space="preserve">US-2017-153255</t>
  </si>
  <si>
    <t xml:space="preserve">CA-2015-108119</t>
  </si>
  <si>
    <t xml:space="preserve">CA-2015-157434</t>
  </si>
  <si>
    <t xml:space="preserve">CA-2016-101525</t>
  </si>
  <si>
    <t xml:space="preserve">US-2014-117968</t>
  </si>
  <si>
    <t xml:space="preserve">CA-2016-158211</t>
  </si>
  <si>
    <t xml:space="preserve">CA-2016-152247</t>
  </si>
  <si>
    <t xml:space="preserve">Wyoming</t>
  </si>
  <si>
    <t xml:space="preserve">CA-2016-128223</t>
  </si>
  <si>
    <t xml:space="preserve">CA-2016-154235</t>
  </si>
  <si>
    <t xml:space="preserve">CA-2017-129910</t>
  </si>
  <si>
    <t xml:space="preserve">CA-2017-133095</t>
  </si>
  <si>
    <t xml:space="preserve">CA-2015-130554</t>
  </si>
  <si>
    <t xml:space="preserve">CA-2014-152443</t>
  </si>
  <si>
    <t xml:space="preserve">CA-2016-133319</t>
  </si>
  <si>
    <t xml:space="preserve">CA-2016-133935</t>
  </si>
  <si>
    <t xml:space="preserve">CA-2016-136301</t>
  </si>
  <si>
    <t xml:space="preserve">US-2014-109456</t>
  </si>
  <si>
    <t xml:space="preserve">CA-2017-151596</t>
  </si>
  <si>
    <t xml:space="preserve">CA-2015-147879</t>
  </si>
  <si>
    <t xml:space="preserve">CA-2016-166625</t>
  </si>
  <si>
    <t xml:space="preserve">CA-2016-146157</t>
  </si>
  <si>
    <t xml:space="preserve">CA-2017-159954</t>
  </si>
  <si>
    <t xml:space="preserve">CA-2017-100825</t>
  </si>
  <si>
    <t xml:space="preserve">CA-2014-168305</t>
  </si>
  <si>
    <t xml:space="preserve">CA-2016-167682</t>
  </si>
  <si>
    <t xml:space="preserve">CA-2017-108000</t>
  </si>
  <si>
    <t xml:space="preserve">CA-2015-146465</t>
  </si>
  <si>
    <t xml:space="preserve">CA-2016-159639</t>
  </si>
  <si>
    <t xml:space="preserve">US-2017-153948</t>
  </si>
  <si>
    <t xml:space="preserve">US-2016-113985</t>
  </si>
  <si>
    <t xml:space="preserve">CA-2016-155383</t>
  </si>
  <si>
    <t xml:space="preserve">CA-2014-120432</t>
  </si>
  <si>
    <t xml:space="preserve">US-2015-126977</t>
  </si>
  <si>
    <t xml:space="preserve">CA-2016-130288</t>
  </si>
  <si>
    <t xml:space="preserve">CA-2017-146458</t>
  </si>
  <si>
    <t xml:space="preserve">CA-2017-150420</t>
  </si>
  <si>
    <t xml:space="preserve">US-2014-118997</t>
  </si>
  <si>
    <t xml:space="preserve">CA-2014-114314</t>
  </si>
  <si>
    <t xml:space="preserve">US-2017-169551</t>
  </si>
  <si>
    <t xml:space="preserve">CA-2016-103107</t>
  </si>
  <si>
    <t xml:space="preserve">CA-2017-122077</t>
  </si>
  <si>
    <t xml:space="preserve">CA-2017-112431</t>
  </si>
  <si>
    <t xml:space="preserve">CA-2016-151092</t>
  </si>
  <si>
    <t xml:space="preserve">CA-2014-104178</t>
  </si>
  <si>
    <t xml:space="preserve">CA-2015-115924</t>
  </si>
  <si>
    <t xml:space="preserve">CA-2017-161046</t>
  </si>
  <si>
    <t xml:space="preserve">US-2017-141698</t>
  </si>
  <si>
    <t xml:space="preserve">US-2014-105151</t>
  </si>
  <si>
    <t xml:space="preserve">CA-2014-155796</t>
  </si>
  <si>
    <t xml:space="preserve">CA-2016-127138</t>
  </si>
  <si>
    <t xml:space="preserve">CA-2017-150602</t>
  </si>
  <si>
    <t xml:space="preserve">CA-2014-140732</t>
  </si>
  <si>
    <t xml:space="preserve">CA-2017-119011</t>
  </si>
  <si>
    <t xml:space="preserve">CA-2016-166912</t>
  </si>
  <si>
    <t xml:space="preserve">CA-2014-141726</t>
  </si>
  <si>
    <t xml:space="preserve">CA-2017-115105</t>
  </si>
  <si>
    <t xml:space="preserve">CA-2015-143980</t>
  </si>
  <si>
    <t xml:space="preserve">CA-2016-135636</t>
  </si>
  <si>
    <t xml:space="preserve">CA-2017-102155</t>
  </si>
  <si>
    <t xml:space="preserve">CA-2017-116953</t>
  </si>
  <si>
    <t xml:space="preserve">CA-2014-117765</t>
  </si>
  <si>
    <t xml:space="preserve">CA-2016-114895</t>
  </si>
  <si>
    <t xml:space="preserve">CA-2017-112984</t>
  </si>
  <si>
    <t xml:space="preserve">CA-2016-163776</t>
  </si>
  <si>
    <t xml:space="preserve">US-2017-163300</t>
  </si>
  <si>
    <t xml:space="preserve">CA-2016-162187</t>
  </si>
  <si>
    <t xml:space="preserve">US-2014-112991</t>
  </si>
  <si>
    <t xml:space="preserve">CA-2014-124079</t>
  </si>
  <si>
    <t xml:space="preserve">US-2017-146878</t>
  </si>
  <si>
    <t xml:space="preserve">CA-2017-107244</t>
  </si>
  <si>
    <t xml:space="preserve">CA-2015-100657</t>
  </si>
  <si>
    <t xml:space="preserve">CA-2017-129581</t>
  </si>
  <si>
    <t xml:space="preserve">CA-2017-129028</t>
  </si>
  <si>
    <t xml:space="preserve">CA-2015-135580</t>
  </si>
  <si>
    <t xml:space="preserve">CA-2016-159016</t>
  </si>
  <si>
    <t xml:space="preserve">CA-2014-102652</t>
  </si>
  <si>
    <t xml:space="preserve">CA-2014-152422</t>
  </si>
  <si>
    <t xml:space="preserve">US-2016-156692</t>
  </si>
  <si>
    <t xml:space="preserve">CA-2014-130869</t>
  </si>
  <si>
    <t xml:space="preserve">US-2017-128832</t>
  </si>
  <si>
    <t xml:space="preserve">CA-2017-139717</t>
  </si>
  <si>
    <t xml:space="preserve">CA-2017-136007</t>
  </si>
  <si>
    <t xml:space="preserve">CA-2016-157364</t>
  </si>
  <si>
    <t xml:space="preserve">US-2016-112970</t>
  </si>
  <si>
    <t xml:space="preserve">US-2017-152492</t>
  </si>
  <si>
    <t xml:space="preserve">CA-2016-101168</t>
  </si>
  <si>
    <t xml:space="preserve">CA-2017-104010</t>
  </si>
  <si>
    <t xml:space="preserve">CA-2015-130253</t>
  </si>
  <si>
    <t xml:space="preserve">US-2015-155369</t>
  </si>
  <si>
    <t xml:space="preserve">CA-2016-131205</t>
  </si>
  <si>
    <t xml:space="preserve">CA-2017-122364</t>
  </si>
  <si>
    <t xml:space="preserve">CA-2016-117912</t>
  </si>
  <si>
    <t xml:space="preserve">CA-2017-145702</t>
  </si>
  <si>
    <t xml:space="preserve">CA-2015-113215</t>
  </si>
  <si>
    <t xml:space="preserve">CA-2016-154662</t>
  </si>
  <si>
    <t xml:space="preserve">CA-2015-105571</t>
  </si>
  <si>
    <t xml:space="preserve">CA-2016-152765</t>
  </si>
  <si>
    <t xml:space="preserve">CA-2015-153878</t>
  </si>
  <si>
    <t xml:space="preserve">CA-2016-124016</t>
  </si>
  <si>
    <t xml:space="preserve">CA-2016-113551</t>
  </si>
  <si>
    <t xml:space="preserve">CA-2014-107524</t>
  </si>
  <si>
    <t xml:space="preserve">CA-2014-138072</t>
  </si>
  <si>
    <t xml:space="preserve">CA-2015-134201</t>
  </si>
  <si>
    <t xml:space="preserve">CA-2015-111780</t>
  </si>
  <si>
    <t xml:space="preserve">CA-2015-119942</t>
  </si>
  <si>
    <t xml:space="preserve">CA-2015-151547</t>
  </si>
  <si>
    <t xml:space="preserve">CA-2017-166695</t>
  </si>
  <si>
    <t xml:space="preserve">CA-2017-167542</t>
  </si>
  <si>
    <t xml:space="preserve">CA-2015-120901</t>
  </si>
  <si>
    <t xml:space="preserve">CA-2017-121398</t>
  </si>
  <si>
    <t xml:space="preserve">CA-2016-151561</t>
  </si>
  <si>
    <t xml:space="preserve">CA-2017-154676</t>
  </si>
  <si>
    <t xml:space="preserve">US-2014-165589</t>
  </si>
  <si>
    <t xml:space="preserve">US-2016-132577</t>
  </si>
  <si>
    <t xml:space="preserve">CA-2015-114048</t>
  </si>
  <si>
    <t xml:space="preserve">CA-2015-137281</t>
  </si>
  <si>
    <t xml:space="preserve">US-2017-162068</t>
  </si>
  <si>
    <t xml:space="preserve">CA-2017-100111</t>
  </si>
  <si>
    <t xml:space="preserve">US-2017-132381</t>
  </si>
  <si>
    <t xml:space="preserve">CA-2015-147011</t>
  </si>
  <si>
    <t xml:space="preserve">CA-2014-120852</t>
  </si>
  <si>
    <t xml:space="preserve">CA-2016-150007</t>
  </si>
  <si>
    <t xml:space="preserve">CA-2016-124590</t>
  </si>
  <si>
    <t xml:space="preserve">CA-2016-133802</t>
  </si>
  <si>
    <t xml:space="preserve">US-2016-113677</t>
  </si>
  <si>
    <t xml:space="preserve">CA-2017-143378</t>
  </si>
  <si>
    <t xml:space="preserve">CA-2017-152660</t>
  </si>
  <si>
    <t xml:space="preserve">CA-2015-142139</t>
  </si>
  <si>
    <t xml:space="preserve">CA-2017-145772</t>
  </si>
  <si>
    <t xml:space="preserve">CA-2016-124100</t>
  </si>
  <si>
    <t xml:space="preserve">US-2014-158400</t>
  </si>
  <si>
    <t xml:space="preserve">CA-2017-162033</t>
  </si>
  <si>
    <t xml:space="preserve">CA-2014-163447</t>
  </si>
  <si>
    <t xml:space="preserve">CA-2017-145737</t>
  </si>
  <si>
    <t xml:space="preserve">CA-2016-148096</t>
  </si>
  <si>
    <t xml:space="preserve">CA-2016-146766</t>
  </si>
  <si>
    <t xml:space="preserve">CA-2015-105613</t>
  </si>
  <si>
    <t xml:space="preserve">US-2016-142251</t>
  </si>
  <si>
    <t xml:space="preserve">CA-2014-131247</t>
  </si>
  <si>
    <t xml:space="preserve">US-2015-113593</t>
  </si>
  <si>
    <t xml:space="preserve">CA-2017-121083</t>
  </si>
  <si>
    <t xml:space="preserve">CA-2017-151190</t>
  </si>
  <si>
    <t xml:space="preserve">CA-2014-133543</t>
  </si>
  <si>
    <t xml:space="preserve">CA-2017-105130</t>
  </si>
  <si>
    <t xml:space="preserve">CA-2016-161928</t>
  </si>
  <si>
    <t xml:space="preserve">CA-2017-101322</t>
  </si>
  <si>
    <t xml:space="preserve">US-2016-106600</t>
  </si>
  <si>
    <t xml:space="preserve">CA-2014-111871</t>
  </si>
  <si>
    <t xml:space="preserve">CA-2017-139437</t>
  </si>
  <si>
    <t xml:space="preserve">CA-2017-151484</t>
  </si>
  <si>
    <t xml:space="preserve">CA-2016-104150</t>
  </si>
  <si>
    <t xml:space="preserve">CA-2016-161025</t>
  </si>
  <si>
    <t xml:space="preserve">CA-2014-103989</t>
  </si>
  <si>
    <t xml:space="preserve">CA-2015-142433</t>
  </si>
  <si>
    <t xml:space="preserve">CA-2015-132815</t>
  </si>
  <si>
    <t xml:space="preserve">CA-2014-101266</t>
  </si>
  <si>
    <t xml:space="preserve">CA-2016-141523</t>
  </si>
  <si>
    <t xml:space="preserve">US-2014-106299</t>
  </si>
  <si>
    <t xml:space="preserve">CA-2015-158421</t>
  </si>
  <si>
    <t xml:space="preserve">CA-2016-143609</t>
  </si>
  <si>
    <t xml:space="preserve">CA-2015-138331</t>
  </si>
  <si>
    <t xml:space="preserve">CA-2015-138954</t>
  </si>
  <si>
    <t xml:space="preserve">CA-2017-157903</t>
  </si>
  <si>
    <t xml:space="preserve">CA-2016-157259</t>
  </si>
  <si>
    <t xml:space="preserve">CA-2017-107986</t>
  </si>
  <si>
    <t xml:space="preserve">CA-2017-104927</t>
  </si>
  <si>
    <t xml:space="preserve">CA-2017-113453</t>
  </si>
  <si>
    <t xml:space="preserve">CA-2015-149909</t>
  </si>
  <si>
    <t xml:space="preserve">CA-2015-146675</t>
  </si>
  <si>
    <t xml:space="preserve">CA-2016-118332</t>
  </si>
  <si>
    <t xml:space="preserve">CA-2016-133669</t>
  </si>
  <si>
    <t xml:space="preserve">CA-2017-145660</t>
  </si>
  <si>
    <t xml:space="preserve">CA-2016-133697</t>
  </si>
  <si>
    <t xml:space="preserve">CA-2017-148138</t>
  </si>
  <si>
    <t xml:space="preserve">CA-2017-119809</t>
  </si>
  <si>
    <t xml:space="preserve">CA-2017-149944</t>
  </si>
  <si>
    <t xml:space="preserve">CA-2014-128538</t>
  </si>
  <si>
    <t xml:space="preserve">CA-2015-161711</t>
  </si>
  <si>
    <t xml:space="preserve">US-2015-129553</t>
  </si>
  <si>
    <t xml:space="preserve">CA-2016-160220</t>
  </si>
  <si>
    <t xml:space="preserve">US-2017-157224</t>
  </si>
  <si>
    <t xml:space="preserve">CA-2017-140627</t>
  </si>
  <si>
    <t xml:space="preserve">CA-2015-133445</t>
  </si>
  <si>
    <t xml:space="preserve">CA-2014-148782</t>
  </si>
  <si>
    <t xml:space="preserve">CA-2016-148208</t>
  </si>
  <si>
    <t xml:space="preserve">CA-2017-127656</t>
  </si>
  <si>
    <t xml:space="preserve">US-2017-142188</t>
  </si>
  <si>
    <t xml:space="preserve">CA-2016-144400</t>
  </si>
  <si>
    <t xml:space="preserve">US-2016-155180</t>
  </si>
  <si>
    <t xml:space="preserve">CA-2015-134075</t>
  </si>
  <si>
    <t xml:space="preserve">US-2016-131912</t>
  </si>
  <si>
    <t xml:space="preserve">CA-2017-141572</t>
  </si>
  <si>
    <t xml:space="preserve">CA-2014-134621</t>
  </si>
  <si>
    <t xml:space="preserve">CA-2016-165561</t>
  </si>
  <si>
    <t xml:space="preserve">CA-2015-112305</t>
  </si>
  <si>
    <t xml:space="preserve">CA-2017-121580</t>
  </si>
  <si>
    <t xml:space="preserve">CA-2014-101147</t>
  </si>
  <si>
    <t xml:space="preserve">CA-2014-165806</t>
  </si>
  <si>
    <t xml:space="preserve">CA-2015-151624</t>
  </si>
  <si>
    <t xml:space="preserve">CA-2017-139444</t>
  </si>
  <si>
    <t xml:space="preserve">CA-2015-133977</t>
  </si>
  <si>
    <t xml:space="preserve">CA-2017-141425</t>
  </si>
  <si>
    <t xml:space="preserve">CA-2015-133536</t>
  </si>
  <si>
    <t xml:space="preserve">CA-2015-150441</t>
  </si>
  <si>
    <t xml:space="preserve">CA-2015-162607</t>
  </si>
  <si>
    <t xml:space="preserve">CA-2017-103506</t>
  </si>
  <si>
    <t xml:space="preserve">CA-2016-132479</t>
  </si>
  <si>
    <t xml:space="preserve">CA-2017-160724</t>
  </si>
  <si>
    <t xml:space="preserve">US-2016-115952</t>
  </si>
  <si>
    <t xml:space="preserve">CA-2014-146731</t>
  </si>
  <si>
    <t xml:space="preserve">CA-2015-115392</t>
  </si>
  <si>
    <t xml:space="preserve">CA-2017-102379</t>
  </si>
  <si>
    <t xml:space="preserve">CA-2017-149706</t>
  </si>
  <si>
    <t xml:space="preserve">US-2016-139087</t>
  </si>
  <si>
    <t xml:space="preserve">CA-2017-152226</t>
  </si>
  <si>
    <t xml:space="preserve">CA-2015-116484</t>
  </si>
  <si>
    <t xml:space="preserve">CA-2016-100944</t>
  </si>
  <si>
    <t xml:space="preserve">CA-2016-125080</t>
  </si>
  <si>
    <t xml:space="preserve">CA-2016-121020</t>
  </si>
  <si>
    <t xml:space="preserve">CA-2014-100090</t>
  </si>
  <si>
    <t xml:space="preserve">US-2015-139675</t>
  </si>
  <si>
    <t xml:space="preserve">CA-2017-143756</t>
  </si>
  <si>
    <t xml:space="preserve">CA-2015-151253</t>
  </si>
  <si>
    <t xml:space="preserve">CA-2014-141152</t>
  </si>
  <si>
    <t xml:space="preserve">CA-2014-141313</t>
  </si>
  <si>
    <t xml:space="preserve">CA-2014-169852</t>
  </si>
  <si>
    <t xml:space="preserve">CA-2017-107314</t>
  </si>
  <si>
    <t xml:space="preserve">US-2014-161305</t>
  </si>
  <si>
    <t xml:space="preserve">CA-2017-166919</t>
  </si>
  <si>
    <t xml:space="preserve">CA-2017-162712</t>
  </si>
  <si>
    <t xml:space="preserve">CA-2017-107552</t>
  </si>
  <si>
    <t xml:space="preserve">CA-2016-163328</t>
  </si>
  <si>
    <t xml:space="preserve">CA-2014-112837</t>
  </si>
  <si>
    <t xml:space="preserve">CA-2017-120019</t>
  </si>
  <si>
    <t xml:space="preserve">CA-2014-100762</t>
  </si>
  <si>
    <t xml:space="preserve">CA-2017-161459</t>
  </si>
  <si>
    <t xml:space="preserve">CA-2017-160017</t>
  </si>
  <si>
    <t xml:space="preserve">CA-2014-123316</t>
  </si>
  <si>
    <t xml:space="preserve">CA-2014-141299</t>
  </si>
  <si>
    <t xml:space="preserve">CA-2014-104402</t>
  </si>
  <si>
    <t xml:space="preserve">CA-2015-110289</t>
  </si>
  <si>
    <t xml:space="preserve">CA-2014-167927</t>
  </si>
  <si>
    <t xml:space="preserve">CA-2014-133305</t>
  </si>
  <si>
    <t xml:space="preserve">CA-2016-165995</t>
  </si>
  <si>
    <t xml:space="preserve">CA-2017-143112</t>
  </si>
  <si>
    <t xml:space="preserve">US-2017-105830</t>
  </si>
  <si>
    <t xml:space="preserve">CA-2015-146255</t>
  </si>
  <si>
    <t xml:space="preserve">CA-2017-104822</t>
  </si>
  <si>
    <t xml:space="preserve">CA-2015-104486</t>
  </si>
  <si>
    <t xml:space="preserve">CA-2017-161557</t>
  </si>
  <si>
    <t xml:space="preserve">CA-2017-161130</t>
  </si>
  <si>
    <t xml:space="preserve">US-2015-161347</t>
  </si>
  <si>
    <t xml:space="preserve">US-2015-109015</t>
  </si>
  <si>
    <t xml:space="preserve">CA-2014-110611</t>
  </si>
  <si>
    <t xml:space="preserve">CA-2017-139080</t>
  </si>
  <si>
    <t xml:space="preserve">CA-2015-115693</t>
  </si>
  <si>
    <t xml:space="preserve">US-2014-107993</t>
  </si>
  <si>
    <t xml:space="preserve">CA-2017-110443</t>
  </si>
  <si>
    <t xml:space="preserve">CA-2017-144848</t>
  </si>
  <si>
    <t xml:space="preserve">US-2017-147998</t>
  </si>
  <si>
    <t xml:space="preserve">CA-2016-103919</t>
  </si>
  <si>
    <t xml:space="preserve">CA-2016-113425</t>
  </si>
  <si>
    <t xml:space="preserve">CA-2017-143035</t>
  </si>
  <si>
    <t xml:space="preserve">CA-2014-107811</t>
  </si>
  <si>
    <t xml:space="preserve">CA-2016-163216</t>
  </si>
  <si>
    <t xml:space="preserve">US-2016-116442</t>
  </si>
  <si>
    <t xml:space="preserve">CA-2017-150623</t>
  </si>
  <si>
    <t xml:space="preserve">US-2014-163797</t>
  </si>
  <si>
    <t xml:space="preserve">CA-2016-127236</t>
  </si>
  <si>
    <t xml:space="preserve">US-2017-104661</t>
  </si>
  <si>
    <t xml:space="preserve">CA-2014-134103</t>
  </si>
  <si>
    <t xml:space="preserve">CA-2015-147529</t>
  </si>
  <si>
    <t xml:space="preserve">CA-2016-129126</t>
  </si>
  <si>
    <t xml:space="preserve">CA-2017-131632</t>
  </si>
  <si>
    <t xml:space="preserve">CA-2017-151981</t>
  </si>
  <si>
    <t xml:space="preserve">CA-2017-125472</t>
  </si>
  <si>
    <t xml:space="preserve">CA-2015-156328</t>
  </si>
  <si>
    <t xml:space="preserve">CA-2017-154074</t>
  </si>
  <si>
    <t xml:space="preserve">CA-2017-161774</t>
  </si>
  <si>
    <t xml:space="preserve">CA-2017-151211</t>
  </si>
  <si>
    <t xml:space="preserve">CA-2017-142671</t>
  </si>
  <si>
    <t xml:space="preserve">CA-2017-144750</t>
  </si>
  <si>
    <t xml:space="preserve">CA-2016-111976</t>
  </si>
  <si>
    <t xml:space="preserve">CA-2016-140130</t>
  </si>
  <si>
    <t xml:space="preserve">CA-2014-159121</t>
  </si>
  <si>
    <t xml:space="preserve">CA-2015-149650</t>
  </si>
  <si>
    <t xml:space="preserve">CA-2017-115777</t>
  </si>
  <si>
    <t xml:space="preserve">CA-2016-143714</t>
  </si>
  <si>
    <t xml:space="preserve">CA-2014-165764</t>
  </si>
  <si>
    <t xml:space="preserve">CA-2015-121405</t>
  </si>
  <si>
    <t xml:space="preserve">US-2017-116897</t>
  </si>
  <si>
    <t xml:space="preserve">US-2017-113992</t>
  </si>
  <si>
    <t xml:space="preserve">CA-2014-166891</t>
  </si>
  <si>
    <t xml:space="preserve">CA-2016-101161</t>
  </si>
  <si>
    <t xml:space="preserve">CA-2015-151785</t>
  </si>
  <si>
    <t xml:space="preserve">US-2017-119816</t>
  </si>
  <si>
    <t xml:space="preserve">CA-2015-156510</t>
  </si>
  <si>
    <t xml:space="preserve">US-2015-110261</t>
  </si>
  <si>
    <t xml:space="preserve">CA-2015-125710</t>
  </si>
  <si>
    <t xml:space="preserve">CA-2017-161102</t>
  </si>
  <si>
    <t xml:space="preserve">CA-2014-110065</t>
  </si>
  <si>
    <t xml:space="preserve">US-2017-133361</t>
  </si>
  <si>
    <t xml:space="preserve">US-2016-155404</t>
  </si>
  <si>
    <t xml:space="preserve">CA-2015-114503</t>
  </si>
  <si>
    <t xml:space="preserve">CA-2017-153080</t>
  </si>
  <si>
    <t xml:space="preserve">CA-2016-163804</t>
  </si>
  <si>
    <t xml:space="preserve">CA-2015-108532</t>
  </si>
  <si>
    <t xml:space="preserve">CA-2014-151897</t>
  </si>
  <si>
    <t xml:space="preserve">CA-2016-113292</t>
  </si>
  <si>
    <t xml:space="preserve">CA-2014-149524</t>
  </si>
  <si>
    <t xml:space="preserve">CA-2017-140872</t>
  </si>
  <si>
    <t xml:space="preserve">CA-2017-113908</t>
  </si>
  <si>
    <t xml:space="preserve">CA-2015-120621</t>
  </si>
  <si>
    <t xml:space="preserve">US-2017-148866</t>
  </si>
  <si>
    <t xml:space="preserve">CA-2014-149594</t>
  </si>
  <si>
    <t xml:space="preserve">CA-2016-113845</t>
  </si>
  <si>
    <t xml:space="preserve">CA-2017-111262</t>
  </si>
  <si>
    <t xml:space="preserve">CA-2015-103135</t>
  </si>
  <si>
    <t xml:space="preserve">CA-2014-129147</t>
  </si>
  <si>
    <t xml:space="preserve">CA-2017-128265</t>
  </si>
  <si>
    <t xml:space="preserve">CA-2016-152331</t>
  </si>
  <si>
    <t xml:space="preserve">US-2016-128909</t>
  </si>
  <si>
    <t xml:space="preserve">CA-2017-102197</t>
  </si>
  <si>
    <t xml:space="preserve">CA-2017-167640</t>
  </si>
  <si>
    <t xml:space="preserve">US-2017-116652</t>
  </si>
  <si>
    <t xml:space="preserve">CA-2017-138289</t>
  </si>
  <si>
    <t xml:space="preserve">CA-2016-129308</t>
  </si>
  <si>
    <t xml:space="preserve">CA-2016-157791</t>
  </si>
  <si>
    <t xml:space="preserve">CA-2014-146864</t>
  </si>
  <si>
    <t xml:space="preserve">CA-2014-103744</t>
  </si>
  <si>
    <t xml:space="preserve">US-2017-107384</t>
  </si>
  <si>
    <t xml:space="preserve">CA-2014-128209</t>
  </si>
  <si>
    <t xml:space="preserve">CA-2014-169684</t>
  </si>
  <si>
    <t xml:space="preserve">CA-2015-109862</t>
  </si>
  <si>
    <t xml:space="preserve">US-2017-107888</t>
  </si>
  <si>
    <t xml:space="preserve">US-2017-154872</t>
  </si>
  <si>
    <t xml:space="preserve">CA-2014-113880</t>
  </si>
  <si>
    <t xml:space="preserve">US-2015-164966</t>
  </si>
  <si>
    <t xml:space="preserve">CA-2015-126739</t>
  </si>
  <si>
    <t xml:space="preserve">CA-2017-161578</t>
  </si>
  <si>
    <t xml:space="preserve">CA-2014-137092</t>
  </si>
  <si>
    <t xml:space="preserve">CA-2015-166947</t>
  </si>
  <si>
    <t xml:space="preserve">CA-2016-160941</t>
  </si>
  <si>
    <t xml:space="preserve">CA-2017-144680</t>
  </si>
  <si>
    <t xml:space="preserve">CA-2014-166086</t>
  </si>
  <si>
    <t xml:space="preserve">CA-2017-131282</t>
  </si>
  <si>
    <t xml:space="preserve">CA-2014-100678</t>
  </si>
  <si>
    <t xml:space="preserve">CA-2016-161543</t>
  </si>
  <si>
    <t xml:space="preserve">CA-2016-160535</t>
  </si>
  <si>
    <t xml:space="preserve">CA-2017-123085</t>
  </si>
  <si>
    <t xml:space="preserve">CA-2015-153752</t>
  </si>
  <si>
    <t xml:space="preserve">CA-2014-103660</t>
  </si>
  <si>
    <t xml:space="preserve">CA-2016-169887</t>
  </si>
  <si>
    <t xml:space="preserve">CA-2016-148516</t>
  </si>
  <si>
    <t xml:space="preserve">CA-2017-104731</t>
  </si>
  <si>
    <t xml:space="preserve">CA-2014-164749</t>
  </si>
  <si>
    <t xml:space="preserve">CA-2015-103716</t>
  </si>
  <si>
    <t xml:space="preserve">CA-2016-126795</t>
  </si>
  <si>
    <t xml:space="preserve">CA-2015-146290</t>
  </si>
  <si>
    <t xml:space="preserve">CA-2017-157112</t>
  </si>
  <si>
    <t xml:space="preserve">CA-2014-169257</t>
  </si>
  <si>
    <t xml:space="preserve">CA-2014-154095</t>
  </si>
  <si>
    <t xml:space="preserve">CA-2017-146346</t>
  </si>
  <si>
    <t xml:space="preserve">CA-2016-148852</t>
  </si>
  <si>
    <t xml:space="preserve">US-2015-118906</t>
  </si>
  <si>
    <t xml:space="preserve">CA-2016-168921</t>
  </si>
  <si>
    <t xml:space="preserve">CA-2015-107678</t>
  </si>
  <si>
    <t xml:space="preserve">CA-2016-123512</t>
  </si>
  <si>
    <t xml:space="preserve">US-2017-167402</t>
  </si>
  <si>
    <t xml:space="preserve">CA-2014-130449</t>
  </si>
  <si>
    <t xml:space="preserve">CA-2015-141250</t>
  </si>
  <si>
    <t xml:space="preserve">CA-2014-145541</t>
  </si>
  <si>
    <t xml:space="preserve">CA-2014-138513</t>
  </si>
  <si>
    <t xml:space="preserve">CA-2015-135489</t>
  </si>
  <si>
    <t xml:space="preserve">CA-2015-125696</t>
  </si>
  <si>
    <t xml:space="preserve">CA-2016-105081</t>
  </si>
  <si>
    <t xml:space="preserve">US-2016-146857</t>
  </si>
  <si>
    <t xml:space="preserve">CA-2016-166275</t>
  </si>
  <si>
    <t xml:space="preserve">CA-2017-144498</t>
  </si>
  <si>
    <t xml:space="preserve">CA-2017-103352</t>
  </si>
  <si>
    <t xml:space="preserve">CA-2014-108609</t>
  </si>
  <si>
    <t xml:space="preserve">CA-2017-128328</t>
  </si>
  <si>
    <t xml:space="preserve">US-2015-156496</t>
  </si>
  <si>
    <t xml:space="preserve">US-2016-127334</t>
  </si>
  <si>
    <t xml:space="preserve">US-2017-124779</t>
  </si>
  <si>
    <t xml:space="preserve">CA-2017-135937</t>
  </si>
  <si>
    <t xml:space="preserve">CA-2015-129322</t>
  </si>
  <si>
    <t xml:space="preserve">CA-2017-162173</t>
  </si>
  <si>
    <t xml:space="preserve">CA-2016-115483</t>
  </si>
  <si>
    <t xml:space="preserve">CA-2017-122175</t>
  </si>
  <si>
    <t xml:space="preserve">CA-2017-161088</t>
  </si>
  <si>
    <t xml:space="preserve">CA-2014-154837</t>
  </si>
  <si>
    <t xml:space="preserve">CA-2015-153794</t>
  </si>
  <si>
    <t xml:space="preserve">CA-2015-135510</t>
  </si>
  <si>
    <t xml:space="preserve">CA-2015-109337</t>
  </si>
  <si>
    <t xml:space="preserve">CA-2014-150329</t>
  </si>
  <si>
    <t xml:space="preserve">CA-2017-145037</t>
  </si>
  <si>
    <t xml:space="preserve">CA-2017-154466</t>
  </si>
  <si>
    <t xml:space="preserve">CA-2014-109134</t>
  </si>
  <si>
    <t xml:space="preserve">US-2015-129637</t>
  </si>
  <si>
    <t xml:space="preserve">CA-2015-165162</t>
  </si>
  <si>
    <t xml:space="preserve">CA-2017-140494</t>
  </si>
  <si>
    <t xml:space="preserve">CA-2017-104108</t>
  </si>
  <si>
    <t xml:space="preserve">US-2017-165869</t>
  </si>
  <si>
    <t xml:space="preserve">CA-2017-160899</t>
  </si>
  <si>
    <t xml:space="preserve">CA-2017-144225</t>
  </si>
  <si>
    <t xml:space="preserve">US-2016-163538</t>
  </si>
  <si>
    <t xml:space="preserve">US-2016-155103</t>
  </si>
  <si>
    <t xml:space="preserve">CA-2017-145429</t>
  </si>
  <si>
    <t xml:space="preserve">CA-2015-153535</t>
  </si>
  <si>
    <t xml:space="preserve">CA-2015-139164</t>
  </si>
  <si>
    <t xml:space="preserve">CA-2016-112277</t>
  </si>
  <si>
    <t xml:space="preserve">CA-2014-167724</t>
  </si>
  <si>
    <t xml:space="preserve">CA-2015-123141</t>
  </si>
  <si>
    <t xml:space="preserve">CA-2016-149503</t>
  </si>
  <si>
    <t xml:space="preserve">CA-2017-163069</t>
  </si>
  <si>
    <t xml:space="preserve">CA-2017-107629</t>
  </si>
  <si>
    <t xml:space="preserve">CA-2016-134789</t>
  </si>
  <si>
    <t xml:space="preserve">CA-2016-130442</t>
  </si>
  <si>
    <t xml:space="preserve">CA-2017-102974</t>
  </si>
  <si>
    <t xml:space="preserve">US-2017-166394</t>
  </si>
  <si>
    <t xml:space="preserve">CA-2016-128811</t>
  </si>
  <si>
    <t xml:space="preserve">CA-2017-145443</t>
  </si>
  <si>
    <t xml:space="preserve">CA-2016-165827</t>
  </si>
  <si>
    <t xml:space="preserve">CA-2015-156734</t>
  </si>
  <si>
    <t xml:space="preserve">CA-2014-120096</t>
  </si>
  <si>
    <t xml:space="preserve">CA-2015-141754</t>
  </si>
  <si>
    <t xml:space="preserve">CA-2016-123358</t>
  </si>
  <si>
    <t xml:space="preserve">CA-2014-144029</t>
  </si>
  <si>
    <t xml:space="preserve">US-2017-101784</t>
  </si>
  <si>
    <t xml:space="preserve">CA-2015-156923</t>
  </si>
  <si>
    <t xml:space="preserve">CA-2017-111269</t>
  </si>
  <si>
    <t xml:space="preserve">CA-2017-159156</t>
  </si>
  <si>
    <t xml:space="preserve">CA-2017-100230</t>
  </si>
  <si>
    <t xml:space="preserve">CA-2016-154767</t>
  </si>
  <si>
    <t xml:space="preserve">CA-2017-124205</t>
  </si>
  <si>
    <t xml:space="preserve">CA-2017-165715</t>
  </si>
  <si>
    <t xml:space="preserve">CA-2017-100636</t>
  </si>
  <si>
    <t xml:space="preserve">CA-2016-162943</t>
  </si>
  <si>
    <t xml:space="preserve">CA-2016-144764</t>
  </si>
  <si>
    <t xml:space="preserve">CA-2017-100615</t>
  </si>
  <si>
    <t xml:space="preserve">CA-2014-109302</t>
  </si>
  <si>
    <t xml:space="preserve">CA-2017-139787</t>
  </si>
  <si>
    <t xml:space="preserve">CA-2017-139402</t>
  </si>
  <si>
    <t xml:space="preserve">CA-2016-119018</t>
  </si>
  <si>
    <t xml:space="preserve">CA-2015-105361</t>
  </si>
  <si>
    <t xml:space="preserve">US-2016-152373</t>
  </si>
  <si>
    <t xml:space="preserve">US-2017-166037</t>
  </si>
  <si>
    <t xml:space="preserve">US-2016-147711</t>
  </si>
  <si>
    <t xml:space="preserve">CA-2017-121293</t>
  </si>
  <si>
    <t xml:space="preserve">CA-2015-118843</t>
  </si>
  <si>
    <t xml:space="preserve">CA-2015-161445</t>
  </si>
  <si>
    <t xml:space="preserve">CA-2016-124527</t>
  </si>
  <si>
    <t xml:space="preserve">CA-2016-162348</t>
  </si>
  <si>
    <t xml:space="preserve">CA-2014-141005</t>
  </si>
  <si>
    <t xml:space="preserve">CA-2015-145394</t>
  </si>
  <si>
    <t xml:space="preserve">CA-2015-168809</t>
  </si>
  <si>
    <t xml:space="preserve">CA-2016-109827</t>
  </si>
  <si>
    <t xml:space="preserve">CA-2014-152233</t>
  </si>
  <si>
    <t xml:space="preserve">CA-2014-125682</t>
  </si>
  <si>
    <t xml:space="preserve">CA-2017-162880</t>
  </si>
  <si>
    <t xml:space="preserve">CA-2015-128125</t>
  </si>
  <si>
    <t xml:space="preserve">CA-2017-156237</t>
  </si>
  <si>
    <t xml:space="preserve">CA-2014-144414</t>
  </si>
  <si>
    <t xml:space="preserve">CA-2017-163860</t>
  </si>
  <si>
    <t xml:space="preserve">US-2017-115609</t>
  </si>
  <si>
    <t xml:space="preserve">CA-2015-154291</t>
  </si>
  <si>
    <t xml:space="preserve">CA-2016-118689</t>
  </si>
  <si>
    <t xml:space="preserve">CA-2016-140438</t>
  </si>
  <si>
    <t xml:space="preserve">US-2017-123204</t>
  </si>
  <si>
    <t xml:space="preserve">CA-2015-112522</t>
  </si>
  <si>
    <t xml:space="preserve">CA-2016-153101</t>
  </si>
  <si>
    <t xml:space="preserve">CA-2016-142615</t>
  </si>
  <si>
    <t xml:space="preserve">CA-2017-142643</t>
  </si>
  <si>
    <t xml:space="preserve">CA-2015-116260</t>
  </si>
  <si>
    <t xml:space="preserve">CA-2017-107517</t>
  </si>
  <si>
    <t xml:space="preserve">CA-2015-166338</t>
  </si>
  <si>
    <t xml:space="preserve">CA-2016-123946</t>
  </si>
  <si>
    <t xml:space="preserve">CA-2014-147543</t>
  </si>
  <si>
    <t xml:space="preserve">US-2016-159093</t>
  </si>
  <si>
    <t xml:space="preserve">CA-2016-162110</t>
  </si>
  <si>
    <t xml:space="preserve">US-2016-163461</t>
  </si>
  <si>
    <t xml:space="preserve">CA-2014-101462</t>
  </si>
  <si>
    <t xml:space="preserve">US-2016-100461</t>
  </si>
  <si>
    <t xml:space="preserve">US-2017-162670</t>
  </si>
  <si>
    <t xml:space="preserve">CA-2017-128965</t>
  </si>
  <si>
    <t xml:space="preserve">CA-2017-138618</t>
  </si>
  <si>
    <t xml:space="preserve">US-2016-126452</t>
  </si>
  <si>
    <t xml:space="preserve">CA-2016-145009</t>
  </si>
  <si>
    <t xml:space="preserve">CA-2015-162544</t>
  </si>
  <si>
    <t xml:space="preserve">CA-2014-124394</t>
  </si>
  <si>
    <t xml:space="preserve">US-2016-121013</t>
  </si>
  <si>
    <t xml:space="preserve">US-2015-123918</t>
  </si>
  <si>
    <t xml:space="preserve">CA-2015-137113</t>
  </si>
  <si>
    <t xml:space="preserve">CA-2015-120677</t>
  </si>
  <si>
    <t xml:space="preserve">CA-2017-123036</t>
  </si>
  <si>
    <t xml:space="preserve">CA-2017-120222</t>
  </si>
  <si>
    <t xml:space="preserve">CA-2017-164756</t>
  </si>
  <si>
    <t xml:space="preserve">CA-2017-122028</t>
  </si>
  <si>
    <t xml:space="preserve">US-2015-165512</t>
  </si>
  <si>
    <t xml:space="preserve">CA-2015-140557</t>
  </si>
  <si>
    <t xml:space="preserve">US-2017-135013</t>
  </si>
  <si>
    <t xml:space="preserve">CA-2017-111220</t>
  </si>
  <si>
    <t xml:space="preserve">US-2017-149006</t>
  </si>
  <si>
    <t xml:space="preserve">CA-2017-149468</t>
  </si>
  <si>
    <t xml:space="preserve">CA-2016-140249</t>
  </si>
  <si>
    <t xml:space="preserve">US-2017-135503</t>
  </si>
  <si>
    <t xml:space="preserve">CA-2014-126277</t>
  </si>
  <si>
    <t xml:space="preserve">US-2017-115301</t>
  </si>
  <si>
    <t xml:space="preserve">CA-2017-168942</t>
  </si>
  <si>
    <t xml:space="preserve">US-2017-128398</t>
  </si>
  <si>
    <t xml:space="preserve">CA-2015-104115</t>
  </si>
  <si>
    <t xml:space="preserve">CA-2014-142510</t>
  </si>
  <si>
    <t xml:space="preserve">CA-2014-124247</t>
  </si>
  <si>
    <t xml:space="preserve">CA-2016-105473</t>
  </si>
  <si>
    <t xml:space="preserve">CA-2015-102806</t>
  </si>
  <si>
    <t xml:space="preserve">CA-2017-121706</t>
  </si>
  <si>
    <t xml:space="preserve">CA-2017-109211</t>
  </si>
  <si>
    <t xml:space="preserve">CA-2015-134257</t>
  </si>
  <si>
    <t xml:space="preserve">CA-2015-137925</t>
  </si>
  <si>
    <t xml:space="preserve">CA-2016-140046</t>
  </si>
  <si>
    <t xml:space="preserve">CA-2016-140382</t>
  </si>
  <si>
    <t xml:space="preserve">CA-2014-164182</t>
  </si>
  <si>
    <t xml:space="preserve">CA-2017-137365</t>
  </si>
  <si>
    <t xml:space="preserve">CA-2016-129847</t>
  </si>
  <si>
    <t xml:space="preserve">CA-2014-126963</t>
  </si>
  <si>
    <t xml:space="preserve">CA-2016-125094</t>
  </si>
  <si>
    <t xml:space="preserve">CA-2017-107132</t>
  </si>
  <si>
    <t xml:space="preserve">CA-2015-139248</t>
  </si>
  <si>
    <t xml:space="preserve">CA-2014-148369</t>
  </si>
  <si>
    <t xml:space="preserve">CA-2016-106243</t>
  </si>
  <si>
    <t xml:space="preserve">CA-2015-126466</t>
  </si>
  <si>
    <t xml:space="preserve">CA-2015-130365</t>
  </si>
  <si>
    <t xml:space="preserve">CA-2017-143021</t>
  </si>
  <si>
    <t xml:space="preserve">CA-2015-161767</t>
  </si>
  <si>
    <t xml:space="preserve">CA-2015-129917</t>
  </si>
  <si>
    <t xml:space="preserve">CA-2015-115420</t>
  </si>
  <si>
    <t xml:space="preserve">CA-2016-157588</t>
  </si>
  <si>
    <t xml:space="preserve">CA-2015-167255</t>
  </si>
  <si>
    <t xml:space="preserve">CA-2017-162096</t>
  </si>
  <si>
    <t xml:space="preserve">CA-2016-157161</t>
  </si>
  <si>
    <t xml:space="preserve">CA-2015-110765</t>
  </si>
  <si>
    <t xml:space="preserve">CA-2016-163937</t>
  </si>
  <si>
    <t xml:space="preserve">CA-2017-153822</t>
  </si>
  <si>
    <t xml:space="preserve">CA-2017-146185</t>
  </si>
  <si>
    <t xml:space="preserve">CA-2015-112144</t>
  </si>
  <si>
    <t xml:space="preserve">US-2016-119298</t>
  </si>
  <si>
    <t xml:space="preserve">CA-2017-155159</t>
  </si>
  <si>
    <t xml:space="preserve">CA-2017-149076</t>
  </si>
  <si>
    <t xml:space="preserve">CA-2014-146990</t>
  </si>
  <si>
    <t xml:space="preserve">CA-2016-116526</t>
  </si>
  <si>
    <t xml:space="preserve">CA-2017-158561</t>
  </si>
  <si>
    <t xml:space="preserve">CA-2017-165099</t>
  </si>
  <si>
    <t xml:space="preserve">CA-2015-109386</t>
  </si>
  <si>
    <t xml:space="preserve">CA-2015-166800</t>
  </si>
  <si>
    <t xml:space="preserve">CA-2017-117443</t>
  </si>
  <si>
    <t xml:space="preserve">US-2016-134369</t>
  </si>
  <si>
    <t xml:space="preserve">CA-2017-123687</t>
  </si>
  <si>
    <t xml:space="preserve">CA-2015-104871</t>
  </si>
  <si>
    <t xml:space="preserve">CA-2014-133158</t>
  </si>
  <si>
    <t xml:space="preserve">CA-2014-126333</t>
  </si>
  <si>
    <t xml:space="preserve">CA-2015-141740</t>
  </si>
  <si>
    <t xml:space="preserve">CA-2014-119466</t>
  </si>
  <si>
    <t xml:space="preserve">CA-2015-154823</t>
  </si>
  <si>
    <t xml:space="preserve">US-2014-135881</t>
  </si>
  <si>
    <t xml:space="preserve">CA-2017-141201</t>
  </si>
  <si>
    <t xml:space="preserve">CA-2014-114790</t>
  </si>
  <si>
    <t xml:space="preserve">US-2016-154256</t>
  </si>
  <si>
    <t xml:space="preserve">CA-2014-124737</t>
  </si>
  <si>
    <t xml:space="preserve">US-2017-101840</t>
  </si>
  <si>
    <t xml:space="preserve">CA-2017-131653</t>
  </si>
  <si>
    <t xml:space="preserve">US-2016-157840</t>
  </si>
  <si>
    <t xml:space="preserve">CA-2016-145548</t>
  </si>
  <si>
    <t xml:space="preserve">CA-2017-119494</t>
  </si>
  <si>
    <t xml:space="preserve">CA-2014-124618</t>
  </si>
  <si>
    <t xml:space="preserve">CA-2017-161970</t>
  </si>
  <si>
    <t xml:space="preserve">CA-2017-103443</t>
  </si>
  <si>
    <t xml:space="preserve">US-2017-165358</t>
  </si>
  <si>
    <t xml:space="preserve">CA-2016-160136</t>
  </si>
  <si>
    <t xml:space="preserve">CA-2014-150581</t>
  </si>
  <si>
    <t xml:space="preserve">CA-2016-119515</t>
  </si>
  <si>
    <t xml:space="preserve">CA-2014-141355</t>
  </si>
  <si>
    <t xml:space="preserve">CA-2016-165330</t>
  </si>
  <si>
    <t xml:space="preserve">CA-2015-132633</t>
  </si>
  <si>
    <t xml:space="preserve">CA-2016-157742</t>
  </si>
  <si>
    <t xml:space="preserve">CA-2017-127712</t>
  </si>
  <si>
    <t xml:space="preserve">CA-2017-169474</t>
  </si>
  <si>
    <t xml:space="preserve">CA-2014-106726</t>
  </si>
  <si>
    <t xml:space="preserve">CA-2016-147473</t>
  </si>
  <si>
    <t xml:space="preserve">CA-2016-114209</t>
  </si>
  <si>
    <t xml:space="preserve">CA-2014-141901</t>
  </si>
  <si>
    <t xml:space="preserve">CA-2016-164490</t>
  </si>
  <si>
    <t xml:space="preserve">CA-2016-112256</t>
  </si>
  <si>
    <t xml:space="preserve">CA-2016-167416</t>
  </si>
  <si>
    <t xml:space="preserve">CA-2016-106950</t>
  </si>
  <si>
    <t xml:space="preserve">CA-2017-118724</t>
  </si>
  <si>
    <t xml:space="preserve">CA-2017-112004</t>
  </si>
  <si>
    <t xml:space="preserve">US-2017-143175</t>
  </si>
  <si>
    <t xml:space="preserve">CA-2015-105844</t>
  </si>
  <si>
    <t xml:space="preserve">CA-2017-118864</t>
  </si>
  <si>
    <t xml:space="preserve">CA-2015-119480</t>
  </si>
  <si>
    <t xml:space="preserve">US-2015-153374</t>
  </si>
  <si>
    <t xml:space="preserve">CA-2016-101980</t>
  </si>
  <si>
    <t xml:space="preserve">CA-2017-144596</t>
  </si>
  <si>
    <t xml:space="preserve">CA-2015-124933</t>
  </si>
  <si>
    <t xml:space="preserve">CA-2014-159625</t>
  </si>
  <si>
    <t xml:space="preserve">CA-2016-144337</t>
  </si>
  <si>
    <t xml:space="preserve">CA-2014-117478</t>
  </si>
  <si>
    <t xml:space="preserve">CA-2017-147410</t>
  </si>
  <si>
    <t xml:space="preserve">CA-2017-128944</t>
  </si>
  <si>
    <t xml:space="preserve">CA-2016-109666</t>
  </si>
  <si>
    <t xml:space="preserve">US-2016-102239</t>
  </si>
  <si>
    <t xml:space="preserve">CA-2014-143168</t>
  </si>
  <si>
    <t xml:space="preserve">CA-2017-104906</t>
  </si>
  <si>
    <t xml:space="preserve">CA-2017-118122</t>
  </si>
  <si>
    <t xml:space="preserve">US-2014-147774</t>
  </si>
  <si>
    <t xml:space="preserve">CA-2017-166926</t>
  </si>
  <si>
    <t xml:space="preserve">CA-2015-128013</t>
  </si>
  <si>
    <t xml:space="preserve">CA-2016-123176</t>
  </si>
  <si>
    <t xml:space="preserve">US-2016-117541</t>
  </si>
  <si>
    <t xml:space="preserve">CA-2016-166282</t>
  </si>
  <si>
    <t xml:space="preserve">CA-2017-141439</t>
  </si>
  <si>
    <t xml:space="preserve">CA-2015-163965</t>
  </si>
  <si>
    <t xml:space="preserve">CA-2017-128783</t>
  </si>
  <si>
    <t xml:space="preserve">CA-2014-122217</t>
  </si>
  <si>
    <t xml:space="preserve">US-2017-141558</t>
  </si>
  <si>
    <t xml:space="preserve">CA-2016-139941</t>
  </si>
  <si>
    <t xml:space="preserve">CA-2015-166583</t>
  </si>
  <si>
    <t xml:space="preserve">CA-2017-100412</t>
  </si>
  <si>
    <t xml:space="preserve">CA-2017-142909</t>
  </si>
  <si>
    <t xml:space="preserve">CA-2014-137911</t>
  </si>
  <si>
    <t xml:space="preserve">CA-2015-106208</t>
  </si>
  <si>
    <t xml:space="preserve">US-2015-136749</t>
  </si>
  <si>
    <t xml:space="preserve">CA-2017-126718</t>
  </si>
  <si>
    <t xml:space="preserve">CA-2016-131380</t>
  </si>
  <si>
    <t xml:space="preserve">CA-2015-145835</t>
  </si>
  <si>
    <t xml:space="preserve">CA-2014-138709</t>
  </si>
  <si>
    <t xml:space="preserve">CA-2014-122070</t>
  </si>
  <si>
    <t xml:space="preserve">CA-2016-158610</t>
  </si>
  <si>
    <t xml:space="preserve">CA-2014-117464</t>
  </si>
  <si>
    <t xml:space="preserve">US-2017-168613</t>
  </si>
  <si>
    <t xml:space="preserve">CA-2017-125381</t>
  </si>
  <si>
    <t xml:space="preserve">US-2017-141677</t>
  </si>
  <si>
    <t xml:space="preserve">CA-2017-133067</t>
  </si>
  <si>
    <t xml:space="preserve">US-2016-144351</t>
  </si>
  <si>
    <t xml:space="preserve">CA-2014-106054</t>
  </si>
  <si>
    <t xml:space="preserve">CA-2016-138667</t>
  </si>
  <si>
    <t xml:space="preserve">CA-2017-150609</t>
  </si>
  <si>
    <t xml:space="preserve">CA-2017-128853</t>
  </si>
  <si>
    <t xml:space="preserve">CA-2017-133102</t>
  </si>
  <si>
    <t xml:space="preserve">CA-2016-164399</t>
  </si>
  <si>
    <t xml:space="preserve">CA-2016-116918</t>
  </si>
  <si>
    <t xml:space="preserve">CA-2016-110492</t>
  </si>
  <si>
    <t xml:space="preserve">CA-2016-147683</t>
  </si>
  <si>
    <t xml:space="preserve">CA-2014-116785</t>
  </si>
  <si>
    <t xml:space="preserve">US-2015-156797</t>
  </si>
  <si>
    <t xml:space="preserve">CA-2016-104276</t>
  </si>
  <si>
    <t xml:space="preserve">CA-2016-120369</t>
  </si>
  <si>
    <t xml:space="preserve">CA-2014-118276</t>
  </si>
  <si>
    <t xml:space="preserve">CA-2015-136658</t>
  </si>
  <si>
    <t xml:space="preserve">CA-2017-137414</t>
  </si>
  <si>
    <t xml:space="preserve">CA-2016-143476</t>
  </si>
  <si>
    <t xml:space="preserve">US-2016-119046</t>
  </si>
  <si>
    <t xml:space="preserve">CA-2017-154949</t>
  </si>
  <si>
    <t xml:space="preserve">CA-2015-103072</t>
  </si>
  <si>
    <t xml:space="preserve">CA-2015-150770</t>
  </si>
  <si>
    <t xml:space="preserve">CA-2017-154760</t>
  </si>
  <si>
    <t xml:space="preserve">US-2017-104437</t>
  </si>
  <si>
    <t xml:space="preserve">CA-2017-113075</t>
  </si>
  <si>
    <t xml:space="preserve">CA-2016-109953</t>
  </si>
  <si>
    <t xml:space="preserve">CA-2017-127397</t>
  </si>
  <si>
    <t xml:space="preserve">CA-2014-157546</t>
  </si>
  <si>
    <t xml:space="preserve">CA-2017-153843</t>
  </si>
  <si>
    <t xml:space="preserve">CA-2016-137337</t>
  </si>
  <si>
    <t xml:space="preserve">CA-2014-138737</t>
  </si>
  <si>
    <t xml:space="preserve">CA-2016-164924</t>
  </si>
  <si>
    <t xml:space="preserve">CA-2016-101651</t>
  </si>
  <si>
    <t xml:space="preserve">CA-2017-136651</t>
  </si>
  <si>
    <t xml:space="preserve">CA-2017-118892</t>
  </si>
  <si>
    <t xml:space="preserve">US-2017-151127</t>
  </si>
  <si>
    <t xml:space="preserve">CA-2017-145807</t>
  </si>
  <si>
    <t xml:space="preserve">US-2014-127978</t>
  </si>
  <si>
    <t xml:space="preserve">CA-2015-158491</t>
  </si>
  <si>
    <t xml:space="preserve">CA-2016-116764</t>
  </si>
  <si>
    <t xml:space="preserve">CA-2016-152457</t>
  </si>
  <si>
    <t xml:space="preserve">CA-2016-152730</t>
  </si>
  <si>
    <t xml:space="preserve">CA-2017-137001</t>
  </si>
  <si>
    <t xml:space="preserve">CA-2017-156363</t>
  </si>
  <si>
    <t xml:space="preserve">CA-2017-122056</t>
  </si>
  <si>
    <t xml:space="preserve">US-2014-143721</t>
  </si>
  <si>
    <t xml:space="preserve">CA-2017-122987</t>
  </si>
  <si>
    <t xml:space="preserve">CA-2016-133368</t>
  </si>
  <si>
    <t xml:space="preserve">CA-2016-123337</t>
  </si>
  <si>
    <t xml:space="preserve">US-2016-150357</t>
  </si>
  <si>
    <t xml:space="preserve">CA-2015-144519</t>
  </si>
  <si>
    <t xml:space="preserve">CA-2014-120670</t>
  </si>
  <si>
    <t xml:space="preserve">CA-2016-157217</t>
  </si>
  <si>
    <t xml:space="preserve">CA-2016-108224</t>
  </si>
  <si>
    <t xml:space="preserve">CA-2015-162782</t>
  </si>
  <si>
    <t xml:space="preserve">CA-2017-159282</t>
  </si>
  <si>
    <t xml:space="preserve">CA-2017-155936</t>
  </si>
  <si>
    <t xml:space="preserve">CA-2017-169439</t>
  </si>
  <si>
    <t xml:space="preserve">CA-2017-151183</t>
  </si>
  <si>
    <t xml:space="preserve">CA-2016-149965</t>
  </si>
  <si>
    <t xml:space="preserve">CA-2014-158281</t>
  </si>
  <si>
    <t xml:space="preserve">CA-2016-153661</t>
  </si>
  <si>
    <t xml:space="preserve">CA-2017-109183</t>
  </si>
  <si>
    <t xml:space="preserve">CA-2016-113656</t>
  </si>
  <si>
    <t xml:space="preserve">CA-2015-148964</t>
  </si>
  <si>
    <t xml:space="preserve">CA-2014-111899</t>
  </si>
  <si>
    <t xml:space="preserve">CA-2015-101126</t>
  </si>
  <si>
    <t xml:space="preserve">CA-2014-163468</t>
  </si>
  <si>
    <t xml:space="preserve">US-2017-117450</t>
  </si>
  <si>
    <t xml:space="preserve">CA-2014-137274</t>
  </si>
  <si>
    <t xml:space="preserve">CA-2016-144092</t>
  </si>
  <si>
    <t xml:space="preserve">CA-2017-112172</t>
  </si>
  <si>
    <t xml:space="preserve">CA-2015-121699</t>
  </si>
  <si>
    <t xml:space="preserve">CA-2015-162761</t>
  </si>
  <si>
    <t xml:space="preserve">CA-2016-121377</t>
  </si>
  <si>
    <t xml:space="preserve">CA-2017-115322</t>
  </si>
  <si>
    <t xml:space="preserve">CA-2016-132066</t>
  </si>
  <si>
    <t xml:space="preserve">CA-2017-158120</t>
  </si>
  <si>
    <t xml:space="preserve">CA-2017-100097</t>
  </si>
  <si>
    <t xml:space="preserve">CA-2017-167626</t>
  </si>
  <si>
    <t xml:space="preserve">US-2017-126053</t>
  </si>
  <si>
    <t xml:space="preserve">US-2017-128447</t>
  </si>
  <si>
    <t xml:space="preserve">US-2014-131275</t>
  </si>
  <si>
    <t xml:space="preserve">CA-2016-149349</t>
  </si>
  <si>
    <t xml:space="preserve">CA-2017-115119</t>
  </si>
  <si>
    <t xml:space="preserve">CA-2015-125563</t>
  </si>
  <si>
    <t xml:space="preserve">CA-2015-113152</t>
  </si>
  <si>
    <t xml:space="preserve">CA-2017-165155</t>
  </si>
  <si>
    <t xml:space="preserve">CA-2014-163412</t>
  </si>
  <si>
    <t xml:space="preserve">CA-2015-159590</t>
  </si>
  <si>
    <t xml:space="preserve">CA-2014-116190</t>
  </si>
  <si>
    <t xml:space="preserve">CA-2014-168473</t>
  </si>
  <si>
    <t xml:space="preserve">CA-2017-168389</t>
  </si>
  <si>
    <t xml:space="preserve">CA-2014-130421</t>
  </si>
  <si>
    <t xml:space="preserve">CA-2017-142125</t>
  </si>
  <si>
    <t xml:space="preserve">CA-2017-141138</t>
  </si>
  <si>
    <t xml:space="preserve">CA-2017-152135</t>
  </si>
  <si>
    <t xml:space="preserve">CA-2016-151974</t>
  </si>
  <si>
    <t xml:space="preserve">CA-2017-154102</t>
  </si>
  <si>
    <t xml:space="preserve">CA-2015-139780</t>
  </si>
  <si>
    <t xml:space="preserve">CA-2016-114748</t>
  </si>
  <si>
    <t xml:space="preserve">US-2014-115189</t>
  </si>
  <si>
    <t xml:space="preserve">CA-2016-163594</t>
  </si>
  <si>
    <t xml:space="preserve">CA-2016-127243</t>
  </si>
  <si>
    <t xml:space="preserve">CA-2017-161851</t>
  </si>
  <si>
    <t xml:space="preserve">CA-2015-110345</t>
  </si>
  <si>
    <t xml:space="preserve">CA-2014-107769</t>
  </si>
  <si>
    <t xml:space="preserve">US-2017-123862</t>
  </si>
  <si>
    <t xml:space="preserve">CA-2017-100580</t>
  </si>
  <si>
    <t xml:space="preserve">US-2017-145597</t>
  </si>
  <si>
    <t xml:space="preserve">CA-2014-132787</t>
  </si>
  <si>
    <t xml:space="preserve">CA-2015-136224</t>
  </si>
  <si>
    <t xml:space="preserve">CA-2016-105732</t>
  </si>
  <si>
    <t xml:space="preserve">CA-2017-108035</t>
  </si>
  <si>
    <t xml:space="preserve">CA-2017-160031</t>
  </si>
  <si>
    <t xml:space="preserve">CA-2017-147844</t>
  </si>
  <si>
    <t xml:space="preserve">CA-2016-110975</t>
  </si>
  <si>
    <t xml:space="preserve">CA-2014-141649</t>
  </si>
  <si>
    <t xml:space="preserve">CA-2014-124807</t>
  </si>
  <si>
    <t xml:space="preserve">CA-2016-110009</t>
  </si>
  <si>
    <t xml:space="preserve">CA-2017-168172</t>
  </si>
  <si>
    <t xml:space="preserve">CA-2015-100146</t>
  </si>
  <si>
    <t xml:space="preserve">CA-2017-152079</t>
  </si>
  <si>
    <t xml:space="preserve">CA-2016-129728</t>
  </si>
  <si>
    <t xml:space="preserve">CA-2014-121769</t>
  </si>
  <si>
    <t xml:space="preserve">CA-2014-103058</t>
  </si>
  <si>
    <t xml:space="preserve">CA-2017-121125</t>
  </si>
  <si>
    <t xml:space="preserve">US-2016-114013</t>
  </si>
  <si>
    <t xml:space="preserve">CA-2017-135069</t>
  </si>
  <si>
    <t xml:space="preserve">CA-2016-101693</t>
  </si>
  <si>
    <t xml:space="preserve">US-2014-164763</t>
  </si>
  <si>
    <t xml:space="preserve">CA-2014-161249</t>
  </si>
  <si>
    <t xml:space="preserve">CA-2015-148180</t>
  </si>
  <si>
    <t xml:space="preserve">CA-2014-165568</t>
  </si>
  <si>
    <t xml:space="preserve">CA-2015-145457</t>
  </si>
  <si>
    <t xml:space="preserve">US-2017-163657</t>
  </si>
  <si>
    <t xml:space="preserve">CA-2015-120446</t>
  </si>
  <si>
    <t xml:space="preserve">CA-2014-109932</t>
  </si>
  <si>
    <t xml:space="preserve">CA-2017-127474</t>
  </si>
  <si>
    <t xml:space="preserve">CA-2017-115448</t>
  </si>
  <si>
    <t xml:space="preserve">CA-2017-105669</t>
  </si>
  <si>
    <t xml:space="preserve">CA-2017-134796</t>
  </si>
  <si>
    <t xml:space="preserve">CA-2016-137743</t>
  </si>
  <si>
    <t xml:space="preserve">CA-2015-137974</t>
  </si>
  <si>
    <t xml:space="preserve">US-2015-136987</t>
  </si>
  <si>
    <t xml:space="preserve">CA-2015-138485</t>
  </si>
  <si>
    <t xml:space="preserve">CA-2016-103709</t>
  </si>
  <si>
    <t xml:space="preserve">CA-2016-138282</t>
  </si>
  <si>
    <t xml:space="preserve">CA-2017-148985</t>
  </si>
  <si>
    <t xml:space="preserve">CA-2014-138100</t>
  </si>
  <si>
    <t xml:space="preserve">CA-2015-100734</t>
  </si>
  <si>
    <t xml:space="preserve">CA-2016-139997</t>
  </si>
  <si>
    <t xml:space="preserve">CA-2016-109652</t>
  </si>
  <si>
    <t xml:space="preserve">CA-2014-167199</t>
  </si>
  <si>
    <t xml:space="preserve">CA-2016-124583</t>
  </si>
  <si>
    <t xml:space="preserve">CA-2014-113964</t>
  </si>
  <si>
    <t xml:space="preserve">CA-2014-129938</t>
  </si>
  <si>
    <t xml:space="preserve">CA-2017-135111</t>
  </si>
  <si>
    <t xml:space="preserve">US-2015-134558</t>
  </si>
  <si>
    <t xml:space="preserve">CA-2017-157196</t>
  </si>
  <si>
    <t xml:space="preserve">CA-2015-108672</t>
  </si>
  <si>
    <t xml:space="preserve">US-2017-118598</t>
  </si>
  <si>
    <t xml:space="preserve">US-2017-160836</t>
  </si>
  <si>
    <t xml:space="preserve">CA-2017-121048</t>
  </si>
  <si>
    <t xml:space="preserve">US-2017-120147</t>
  </si>
  <si>
    <t xml:space="preserve">CA-2016-158043</t>
  </si>
  <si>
    <t xml:space="preserve">US-2017-106579</t>
  </si>
  <si>
    <t xml:space="preserve">CA-2014-115889</t>
  </si>
  <si>
    <t xml:space="preserve">US-2017-161935</t>
  </si>
  <si>
    <t xml:space="preserve">US-2017-167920</t>
  </si>
  <si>
    <t xml:space="preserve">CA-2016-162383</t>
  </si>
  <si>
    <t xml:space="preserve">CA-2014-125731</t>
  </si>
  <si>
    <t xml:space="preserve">US-2017-106145</t>
  </si>
  <si>
    <t xml:space="preserve">CA-2016-107146</t>
  </si>
  <si>
    <t xml:space="preserve">US-2017-134642</t>
  </si>
  <si>
    <t xml:space="preserve">US-2017-160143</t>
  </si>
  <si>
    <t xml:space="preserve">CA-2017-103415</t>
  </si>
  <si>
    <t xml:space="preserve">CA-2016-106460</t>
  </si>
  <si>
    <t xml:space="preserve">US-2017-112347</t>
  </si>
  <si>
    <t xml:space="preserve">CA-2014-103492</t>
  </si>
  <si>
    <t xml:space="preserve">CA-2016-136595</t>
  </si>
  <si>
    <t xml:space="preserve">CA-2014-140396</t>
  </si>
  <si>
    <t xml:space="preserve">CA-2014-114181</t>
  </si>
  <si>
    <t xml:space="preserve">CA-2017-159506</t>
  </si>
  <si>
    <t xml:space="preserve">US-2014-137155</t>
  </si>
  <si>
    <t xml:space="preserve">CA-2016-105746</t>
  </si>
  <si>
    <t xml:space="preserve">US-2016-104815</t>
  </si>
  <si>
    <t xml:space="preserve">CA-2017-157672</t>
  </si>
  <si>
    <t xml:space="preserve">US-2016-166660</t>
  </si>
  <si>
    <t xml:space="preserve">CA-2017-140802</t>
  </si>
  <si>
    <t xml:space="preserve">CA-2014-133830</t>
  </si>
  <si>
    <t xml:space="preserve">CA-2014-100916</t>
  </si>
  <si>
    <t xml:space="preserve">CA-2015-129532</t>
  </si>
  <si>
    <t xml:space="preserve">CA-2014-134726</t>
  </si>
  <si>
    <t xml:space="preserve">CA-2016-138597</t>
  </si>
  <si>
    <t xml:space="preserve">CA-2015-123113</t>
  </si>
  <si>
    <t xml:space="preserve">CA-2015-169656</t>
  </si>
  <si>
    <t xml:space="preserve">CA-2015-142734</t>
  </si>
  <si>
    <t xml:space="preserve">CA-2014-163223</t>
  </si>
  <si>
    <t xml:space="preserve">CA-2017-122945</t>
  </si>
  <si>
    <t xml:space="preserve">CA-2015-139738</t>
  </si>
  <si>
    <t xml:space="preserve">CA-2016-158778</t>
  </si>
  <si>
    <t xml:space="preserve">CA-2017-119655</t>
  </si>
  <si>
    <t xml:space="preserve">CA-2015-164567</t>
  </si>
  <si>
    <t xml:space="preserve">CA-2014-131947</t>
  </si>
  <si>
    <t xml:space="preserve">CA-2016-152520</t>
  </si>
  <si>
    <t xml:space="preserve">CA-2016-101791</t>
  </si>
  <si>
    <t xml:space="preserve">CA-2017-121195</t>
  </si>
  <si>
    <t xml:space="preserve">CA-2017-163209</t>
  </si>
  <si>
    <t xml:space="preserve">CA-2014-133354</t>
  </si>
  <si>
    <t xml:space="preserve">US-2015-130491</t>
  </si>
  <si>
    <t xml:space="preserve">CA-2015-113740</t>
  </si>
  <si>
    <t xml:space="preserve">CA-2014-148425</t>
  </si>
  <si>
    <t xml:space="preserve">CA-2016-144309</t>
  </si>
  <si>
    <t xml:space="preserve">CA-2017-151225</t>
  </si>
  <si>
    <t xml:space="preserve">US-2014-144078</t>
  </si>
  <si>
    <t xml:space="preserve">CA-2014-124464</t>
  </si>
  <si>
    <t xml:space="preserve">CA-2015-136805</t>
  </si>
  <si>
    <t xml:space="preserve">US-2015-159499</t>
  </si>
  <si>
    <t xml:space="preserve">CA-2014-162089</t>
  </si>
  <si>
    <t xml:space="preserve">US-2017-158526</t>
  </si>
  <si>
    <t xml:space="preserve">CA-2017-104885</t>
  </si>
  <si>
    <t xml:space="preserve">US-2016-157490</t>
  </si>
  <si>
    <t xml:space="preserve">CA-2015-161452</t>
  </si>
  <si>
    <t xml:space="preserve">US-2014-115196</t>
  </si>
  <si>
    <t xml:space="preserve">CA-2016-138968</t>
  </si>
  <si>
    <t xml:space="preserve">CA-2015-101889</t>
  </si>
  <si>
    <t xml:space="preserve">CA-2017-110821</t>
  </si>
  <si>
    <t xml:space="preserve">CA-2015-121552</t>
  </si>
  <si>
    <t xml:space="preserve">CA-2015-107685</t>
  </si>
  <si>
    <t xml:space="preserve">US-2014-120740</t>
  </si>
  <si>
    <t xml:space="preserve">CA-2017-155740</t>
  </si>
  <si>
    <t xml:space="preserve">CA-2017-146493</t>
  </si>
  <si>
    <t xml:space="preserve">CA-2014-105417</t>
  </si>
  <si>
    <t xml:space="preserve">US-2017-141509</t>
  </si>
  <si>
    <t xml:space="preserve">CA-2017-139493</t>
  </si>
  <si>
    <t xml:space="preserve">CA-2014-151967</t>
  </si>
  <si>
    <t xml:space="preserve">US-2016-140158</t>
  </si>
  <si>
    <t xml:space="preserve">CA-2015-130974</t>
  </si>
  <si>
    <t xml:space="preserve">CA-2017-133487</t>
  </si>
  <si>
    <t xml:space="preserve">CA-2014-142951</t>
  </si>
  <si>
    <t xml:space="preserve">CA-2014-133592</t>
  </si>
  <si>
    <t xml:space="preserve">CA-2015-120782</t>
  </si>
  <si>
    <t xml:space="preserve">CA-2015-116876</t>
  </si>
  <si>
    <t xml:space="preserve">CA-2016-169838</t>
  </si>
  <si>
    <t xml:space="preserve">US-2017-128951</t>
  </si>
  <si>
    <t xml:space="preserve">CA-2014-102330</t>
  </si>
  <si>
    <t xml:space="preserve">CA-2016-118899</t>
  </si>
  <si>
    <t xml:space="preserve">CA-2017-107958</t>
  </si>
  <si>
    <t xml:space="preserve">CA-2017-151799</t>
  </si>
  <si>
    <t xml:space="preserve">CA-2016-114601</t>
  </si>
  <si>
    <t xml:space="preserve">CA-2017-100237</t>
  </si>
  <si>
    <t xml:space="preserve">CA-2014-139542</t>
  </si>
  <si>
    <t xml:space="preserve">US-2015-142811</t>
  </si>
  <si>
    <t xml:space="preserve">CA-2017-139353</t>
  </si>
  <si>
    <t xml:space="preserve">CA-2014-150203</t>
  </si>
  <si>
    <t xml:space="preserve">US-2017-101518</t>
  </si>
  <si>
    <t xml:space="preserve">CA-2015-149636</t>
  </si>
  <si>
    <t xml:space="preserve">US-2017-146213</t>
  </si>
  <si>
    <t xml:space="preserve">CA-2015-108588</t>
  </si>
  <si>
    <t xml:space="preserve">US-2017-138086</t>
  </si>
  <si>
    <t xml:space="preserve">CA-2015-139374</t>
  </si>
  <si>
    <t xml:space="preserve">CA-2016-113978</t>
  </si>
  <si>
    <t xml:space="preserve">US-2015-150231</t>
  </si>
  <si>
    <t xml:space="preserve">CA-2016-106915</t>
  </si>
  <si>
    <t xml:space="preserve">US-2016-109260</t>
  </si>
  <si>
    <t xml:space="preserve">CA-2017-104850</t>
  </si>
  <si>
    <t xml:space="preserve">CA-2017-140508</t>
  </si>
  <si>
    <t xml:space="preserve">CA-2017-143294</t>
  </si>
  <si>
    <t xml:space="preserve">CA-2016-165673</t>
  </si>
  <si>
    <t xml:space="preserve">CA-2017-134418</t>
  </si>
  <si>
    <t xml:space="preserve">US-2016-106313</t>
  </si>
  <si>
    <t xml:space="preserve">CA-2014-105872</t>
  </si>
  <si>
    <t xml:space="preserve">CA-2017-108287</t>
  </si>
  <si>
    <t xml:space="preserve">CA-2017-141103</t>
  </si>
  <si>
    <t xml:space="preserve">CA-2014-154781</t>
  </si>
  <si>
    <t xml:space="preserve">CA-2015-147816</t>
  </si>
  <si>
    <t xml:space="preserve">CA-2017-105326</t>
  </si>
  <si>
    <t xml:space="preserve">CA-2016-133613</t>
  </si>
  <si>
    <t xml:space="preserve">CA-2015-109113</t>
  </si>
  <si>
    <t xml:space="preserve">CA-2015-156153</t>
  </si>
  <si>
    <t xml:space="preserve">CA-2015-133242</t>
  </si>
  <si>
    <t xml:space="preserve">CA-2015-158323</t>
  </si>
  <si>
    <t xml:space="preserve">CA-2015-161795</t>
  </si>
  <si>
    <t xml:space="preserve">CA-2017-100902</t>
  </si>
  <si>
    <t xml:space="preserve">CA-2017-112844</t>
  </si>
  <si>
    <t xml:space="preserve">CA-2016-158925</t>
  </si>
  <si>
    <t xml:space="preserve">CA-2014-155390</t>
  </si>
  <si>
    <t xml:space="preserve">CA-2017-123071</t>
  </si>
  <si>
    <t xml:space="preserve">CA-2017-156391</t>
  </si>
  <si>
    <t xml:space="preserve">CA-2015-103093</t>
  </si>
  <si>
    <t xml:space="preserve">US-2017-118941</t>
  </si>
  <si>
    <t xml:space="preserve">CA-2015-169299</t>
  </si>
  <si>
    <t xml:space="preserve">CA-2017-154088</t>
  </si>
  <si>
    <t xml:space="preserve">CA-2016-155978</t>
  </si>
  <si>
    <t xml:space="preserve">CA-2016-108196</t>
  </si>
  <si>
    <t xml:space="preserve">CA-2016-152800</t>
  </si>
  <si>
    <t xml:space="preserve">CA-2014-166961</t>
  </si>
  <si>
    <t xml:space="preserve">CA-2016-139381</t>
  </si>
  <si>
    <t xml:space="preserve">CA-2015-132136</t>
  </si>
  <si>
    <t xml:space="preserve">CA-2016-162236</t>
  </si>
  <si>
    <t xml:space="preserve">US-2014-111353</t>
  </si>
  <si>
    <t xml:space="preserve">US-2016-117037</t>
  </si>
  <si>
    <t xml:space="preserve">CA-2017-160801</t>
  </si>
  <si>
    <t xml:space="preserve">CA-2016-108364</t>
  </si>
  <si>
    <t xml:space="preserve">CA-2017-169362</t>
  </si>
  <si>
    <t xml:space="preserve">CA-2015-127481</t>
  </si>
  <si>
    <t xml:space="preserve">CA-2015-112711</t>
  </si>
  <si>
    <t xml:space="preserve">US-2015-145121</t>
  </si>
  <si>
    <t xml:space="preserve">CA-2017-166184</t>
  </si>
  <si>
    <t xml:space="preserve">CA-2017-157413</t>
  </si>
  <si>
    <t xml:space="preserve">CA-2014-143637</t>
  </si>
  <si>
    <t xml:space="preserve">CA-2015-102260</t>
  </si>
  <si>
    <t xml:space="preserve">US-2016-137295</t>
  </si>
  <si>
    <t xml:space="preserve">CA-2016-134334</t>
  </si>
  <si>
    <t xml:space="preserve">US-2017-109316</t>
  </si>
  <si>
    <t xml:space="preserve">CA-2016-138478</t>
  </si>
  <si>
    <t xml:space="preserve">CA-2017-150469</t>
  </si>
  <si>
    <t xml:space="preserve">CA-2017-152436</t>
  </si>
  <si>
    <t xml:space="preserve">CA-2016-169334</t>
  </si>
  <si>
    <t xml:space="preserve">US-2014-115413</t>
  </si>
  <si>
    <t xml:space="preserve">CA-2014-125150</t>
  </si>
  <si>
    <t xml:space="preserve">CA-2015-127327</t>
  </si>
  <si>
    <t xml:space="preserve">CA-2017-117114</t>
  </si>
  <si>
    <t xml:space="preserve">CA-2015-137302</t>
  </si>
  <si>
    <t xml:space="preserve">CA-2016-112382</t>
  </si>
  <si>
    <t xml:space="preserve">CA-2015-128958</t>
  </si>
  <si>
    <t xml:space="preserve">CA-2015-106257</t>
  </si>
  <si>
    <t xml:space="preserve">CA-2015-149083</t>
  </si>
  <si>
    <t xml:space="preserve">US-2014-137869</t>
  </si>
  <si>
    <t xml:space="preserve">CA-2016-116603</t>
  </si>
  <si>
    <t xml:space="preserve">CA-2014-158470</t>
  </si>
  <si>
    <t xml:space="preserve">US-2017-123834</t>
  </si>
  <si>
    <t xml:space="preserve">CA-2015-125976</t>
  </si>
  <si>
    <t xml:space="preserve">CA-2016-128706</t>
  </si>
  <si>
    <t xml:space="preserve">CA-2016-104311</t>
  </si>
  <si>
    <t xml:space="preserve">CA-2014-169649</t>
  </si>
  <si>
    <t xml:space="preserve">CA-2015-144890</t>
  </si>
  <si>
    <t xml:space="preserve">CA-2017-135587</t>
  </si>
  <si>
    <t xml:space="preserve">CA-2014-103429</t>
  </si>
  <si>
    <t xml:space="preserve">CA-2017-152261</t>
  </si>
  <si>
    <t xml:space="preserve">CA-2015-142993</t>
  </si>
  <si>
    <t xml:space="preserve">CA-2015-143364</t>
  </si>
  <si>
    <t xml:space="preserve">CA-2014-100972</t>
  </si>
  <si>
    <t xml:space="preserve">CA-2016-136994</t>
  </si>
  <si>
    <t xml:space="preserve">US-2017-166233</t>
  </si>
  <si>
    <t xml:space="preserve">CA-2017-122112</t>
  </si>
  <si>
    <t xml:space="preserve">CA-2016-101672</t>
  </si>
  <si>
    <t xml:space="preserve">CA-2017-168403</t>
  </si>
  <si>
    <t xml:space="preserve">CA-2015-148705</t>
  </si>
  <si>
    <t xml:space="preserve">CA-2016-160241</t>
  </si>
  <si>
    <t xml:space="preserve">CA-2016-155747</t>
  </si>
  <si>
    <t xml:space="preserve">CA-2017-118017</t>
  </si>
  <si>
    <t xml:space="preserve">CA-2016-113117</t>
  </si>
  <si>
    <t xml:space="preserve">CA-2016-148684</t>
  </si>
  <si>
    <t xml:space="preserve">CA-2017-125367</t>
  </si>
  <si>
    <t xml:space="preserve">CA-2017-124744</t>
  </si>
  <si>
    <t xml:space="preserve">West Virginia</t>
  </si>
  <si>
    <t xml:space="preserve">CA-2017-128363</t>
  </si>
  <si>
    <t xml:space="preserve">CA-2015-126669</t>
  </si>
  <si>
    <t xml:space="preserve">US-2015-118766</t>
  </si>
  <si>
    <t xml:space="preserve">CA-2016-112585</t>
  </si>
  <si>
    <t xml:space="preserve">CA-2016-149762</t>
  </si>
  <si>
    <t xml:space="preserve">CA-2016-167605</t>
  </si>
  <si>
    <t xml:space="preserve">US-2017-105697</t>
  </si>
  <si>
    <t xml:space="preserve">CA-2017-165323</t>
  </si>
  <si>
    <t xml:space="preserve">CA-2015-110891</t>
  </si>
  <si>
    <t xml:space="preserve">CA-2017-100783</t>
  </si>
  <si>
    <t xml:space="preserve">CA-2015-152513</t>
  </si>
  <si>
    <t xml:space="preserve">CA-2017-139822</t>
  </si>
  <si>
    <t xml:space="preserve">CA-2017-107713</t>
  </si>
  <si>
    <t xml:space="preserve">CA-2017-134096</t>
  </si>
  <si>
    <t xml:space="preserve">CA-2016-125843</t>
  </si>
  <si>
    <t xml:space="preserve">CA-2017-120404</t>
  </si>
  <si>
    <t xml:space="preserve">CA-2017-167549</t>
  </si>
  <si>
    <t xml:space="preserve">CA-2016-120082</t>
  </si>
  <si>
    <t xml:space="preserve">US-2016-168095</t>
  </si>
  <si>
    <t xml:space="preserve">CA-2017-166093</t>
  </si>
  <si>
    <t xml:space="preserve">CA-2016-146325</t>
  </si>
  <si>
    <t xml:space="preserve">CA-2017-134194</t>
  </si>
  <si>
    <t xml:space="preserve">CA-2014-131009</t>
  </si>
  <si>
    <t xml:space="preserve">CA-2015-145814</t>
  </si>
  <si>
    <t xml:space="preserve">CA-2014-138359</t>
  </si>
  <si>
    <t xml:space="preserve">CA-2017-131807</t>
  </si>
  <si>
    <t xml:space="preserve">CA-2017-104864</t>
  </si>
  <si>
    <t xml:space="preserve">CA-2015-138219</t>
  </si>
  <si>
    <t xml:space="preserve">CA-2016-157707</t>
  </si>
  <si>
    <t xml:space="preserve">US-2015-126753</t>
  </si>
  <si>
    <t xml:space="preserve">CA-2014-166051</t>
  </si>
  <si>
    <t xml:space="preserve">CA-2015-113040</t>
  </si>
  <si>
    <t xml:space="preserve">CA-2014-103800</t>
  </si>
  <si>
    <t xml:space="preserve">CA-2014-113383</t>
  </si>
  <si>
    <t xml:space="preserve">CA-2017-152499</t>
  </si>
  <si>
    <t xml:space="preserve">CA-2016-151498</t>
  </si>
  <si>
    <t xml:space="preserve">CA-2016-137939</t>
  </si>
  <si>
    <t xml:space="preserve">US-2016-117793</t>
  </si>
  <si>
    <t xml:space="preserve">CA-2016-133872</t>
  </si>
  <si>
    <t xml:space="preserve">US-2015-165743</t>
  </si>
  <si>
    <t xml:space="preserve">US-2017-105998</t>
  </si>
  <si>
    <t xml:space="preserve">US-2014-148194</t>
  </si>
  <si>
    <t xml:space="preserve">US-2015-151407</t>
  </si>
  <si>
    <t xml:space="preserve">CA-2015-110870</t>
  </si>
  <si>
    <t xml:space="preserve">CA-2014-143210</t>
  </si>
  <si>
    <t xml:space="preserve">CA-2016-139808</t>
  </si>
  <si>
    <t xml:space="preserve">CA-2015-110863</t>
  </si>
  <si>
    <t xml:space="preserve">CA-2014-127859</t>
  </si>
  <si>
    <t xml:space="preserve">US-2015-136427</t>
  </si>
  <si>
    <t xml:space="preserve">CA-2017-120168</t>
  </si>
  <si>
    <t xml:space="preserve">US-2014-131870</t>
  </si>
  <si>
    <t xml:space="preserve">CA-2017-114804</t>
  </si>
  <si>
    <t xml:space="preserve">CA-2017-167227</t>
  </si>
  <si>
    <t xml:space="preserve">CA-2014-129189</t>
  </si>
  <si>
    <t xml:space="preserve">CA-2015-132465</t>
  </si>
  <si>
    <t xml:space="preserve">CA-2016-166373</t>
  </si>
  <si>
    <t xml:space="preserve">CA-2016-158806</t>
  </si>
  <si>
    <t xml:space="preserve">CA-2015-119690</t>
  </si>
  <si>
    <t xml:space="preserve">CA-2015-153738</t>
  </si>
  <si>
    <t xml:space="preserve">CA-2017-169012</t>
  </si>
  <si>
    <t xml:space="preserve">CA-2017-109393</t>
  </si>
  <si>
    <t xml:space="preserve">CA-2017-121489</t>
  </si>
  <si>
    <t xml:space="preserve">US-2017-133081</t>
  </si>
  <si>
    <t xml:space="preserve">CA-2017-165008</t>
  </si>
  <si>
    <t xml:space="preserve">CA-2016-145611</t>
  </si>
  <si>
    <t xml:space="preserve">CA-2016-113600</t>
  </si>
  <si>
    <t xml:space="preserve">CA-2017-130834</t>
  </si>
  <si>
    <t xml:space="preserve">CA-2016-168543</t>
  </si>
  <si>
    <t xml:space="preserve">CA-2014-144974</t>
  </si>
  <si>
    <t xml:space="preserve">CA-2014-109904</t>
  </si>
  <si>
    <t xml:space="preserve">CA-2017-152205</t>
  </si>
  <si>
    <t xml:space="preserve">CA-2015-121188</t>
  </si>
  <si>
    <t xml:space="preserve">CA-2015-156013</t>
  </si>
  <si>
    <t xml:space="preserve">CA-2016-132997</t>
  </si>
  <si>
    <t xml:space="preserve">US-2015-160563</t>
  </si>
  <si>
    <t xml:space="preserve">CA-2017-151750</t>
  </si>
  <si>
    <t xml:space="preserve">CA-2015-106187</t>
  </si>
  <si>
    <t xml:space="preserve">US-2016-164945</t>
  </si>
  <si>
    <t xml:space="preserve">CA-2015-150714</t>
  </si>
  <si>
    <t xml:space="preserve">CA-2016-105753</t>
  </si>
  <si>
    <t xml:space="preserve">CA-2017-120894</t>
  </si>
  <si>
    <t xml:space="preserve">CA-2016-106621</t>
  </si>
  <si>
    <t xml:space="preserve">CA-2015-107020</t>
  </si>
  <si>
    <t xml:space="preserve">US-2015-117492</t>
  </si>
  <si>
    <t xml:space="preserve">CA-2014-101392</t>
  </si>
  <si>
    <t xml:space="preserve">CA-2015-127502</t>
  </si>
  <si>
    <t xml:space="preserve">CA-2017-143658</t>
  </si>
  <si>
    <t xml:space="preserve">CA-2017-133046</t>
  </si>
  <si>
    <t xml:space="preserve">CA-2017-122798</t>
  </si>
  <si>
    <t xml:space="preserve">CA-2016-169663</t>
  </si>
  <si>
    <t xml:space="preserve">CA-2015-149846</t>
  </si>
  <si>
    <t xml:space="preserve">CA-2017-159149</t>
  </si>
  <si>
    <t xml:space="preserve">US-2017-167570</t>
  </si>
  <si>
    <t xml:space="preserve">CA-2017-160122</t>
  </si>
  <si>
    <t xml:space="preserve">CA-2016-130393</t>
  </si>
  <si>
    <t xml:space="preserve">CA-2017-144820</t>
  </si>
  <si>
    <t xml:space="preserve">CA-2017-101014</t>
  </si>
  <si>
    <t xml:space="preserve">CA-2017-105543</t>
  </si>
  <si>
    <t xml:space="preserve">US-2017-113201</t>
  </si>
  <si>
    <t xml:space="preserve">US-2017-106551</t>
  </si>
  <si>
    <t xml:space="preserve">CA-2016-116722</t>
  </si>
  <si>
    <t xml:space="preserve">CA-2014-138128</t>
  </si>
  <si>
    <t xml:space="preserve">US-2017-150070</t>
  </si>
  <si>
    <t xml:space="preserve">CA-2015-137064</t>
  </si>
  <si>
    <t xml:space="preserve">CA-2017-157350</t>
  </si>
  <si>
    <t xml:space="preserve">CA-2014-127866</t>
  </si>
  <si>
    <t xml:space="preserve">CA-2015-131352</t>
  </si>
  <si>
    <t xml:space="preserve">CA-2015-121776</t>
  </si>
  <si>
    <t xml:space="preserve">CA-2016-118073</t>
  </si>
  <si>
    <t xml:space="preserve">CA-2014-103219</t>
  </si>
  <si>
    <t xml:space="preserve">CA-2016-102561</t>
  </si>
  <si>
    <t xml:space="preserve">CA-2016-100993</t>
  </si>
  <si>
    <t xml:space="preserve">US-2014-112949</t>
  </si>
  <si>
    <t xml:space="preserve">US-2017-146822</t>
  </si>
  <si>
    <t xml:space="preserve">US-2016-131058</t>
  </si>
  <si>
    <t xml:space="preserve">CA-2014-167997</t>
  </si>
  <si>
    <t xml:space="preserve">CA-2017-140151</t>
  </si>
  <si>
    <t xml:space="preserve">US-2017-143770</t>
  </si>
  <si>
    <t xml:space="preserve">CA-2016-131296</t>
  </si>
  <si>
    <t xml:space="preserve">CA-2016-103464</t>
  </si>
  <si>
    <t xml:space="preserve">CA-2017-136238</t>
  </si>
  <si>
    <t xml:space="preserve">CA-2016-120803</t>
  </si>
  <si>
    <t xml:space="preserve">CA-2016-134138</t>
  </si>
  <si>
    <t xml:space="preserve">CA-2015-120915</t>
  </si>
  <si>
    <t xml:space="preserve">CA-2015-168207</t>
  </si>
  <si>
    <t xml:space="preserve">CA-2016-144148</t>
  </si>
  <si>
    <t xml:space="preserve">CA-2017-107174</t>
  </si>
  <si>
    <t xml:space="preserve">CA-2016-146150</t>
  </si>
  <si>
    <t xml:space="preserve">CA-2014-114125</t>
  </si>
  <si>
    <t xml:space="preserve">CA-2016-114944</t>
  </si>
  <si>
    <t xml:space="preserve">CA-2016-135965</t>
  </si>
  <si>
    <t xml:space="preserve">CA-2017-149699</t>
  </si>
  <si>
    <t xml:space="preserve">CA-2016-166429</t>
  </si>
  <si>
    <t xml:space="preserve">CA-2015-112767</t>
  </si>
  <si>
    <t xml:space="preserve">CA-2015-119879</t>
  </si>
  <si>
    <t xml:space="preserve">CA-2017-155642</t>
  </si>
  <si>
    <t xml:space="preserve">US-2017-101721</t>
  </si>
  <si>
    <t xml:space="preserve">CA-2015-136728</t>
  </si>
  <si>
    <t xml:space="preserve">CA-2016-127194</t>
  </si>
  <si>
    <t xml:space="preserve">CA-2015-140375</t>
  </si>
  <si>
    <t xml:space="preserve">US-2017-155866</t>
  </si>
  <si>
    <t xml:space="preserve">CA-2015-141327</t>
  </si>
  <si>
    <t xml:space="preserve">CA-2015-136700</t>
  </si>
  <si>
    <t xml:space="preserve">CA-2017-102736</t>
  </si>
  <si>
    <t xml:space="preserve">CA-2017-125269</t>
  </si>
  <si>
    <t xml:space="preserve">CA-2015-114811</t>
  </si>
  <si>
    <t xml:space="preserve">CA-2015-122266</t>
  </si>
  <si>
    <t xml:space="preserve">CA-2015-141565</t>
  </si>
  <si>
    <t xml:space="preserve">CA-2017-128769</t>
  </si>
  <si>
    <t xml:space="preserve">CA-2016-116337</t>
  </si>
  <si>
    <t xml:space="preserve">CA-2015-120845</t>
  </si>
  <si>
    <t xml:space="preserve">CA-2014-120775</t>
  </si>
  <si>
    <t xml:space="preserve">CA-2014-152905</t>
  </si>
  <si>
    <t xml:space="preserve">CA-2016-104633</t>
  </si>
  <si>
    <t xml:space="preserve">CA-2017-104136</t>
  </si>
  <si>
    <t xml:space="preserve">CA-2016-123050</t>
  </si>
  <si>
    <t xml:space="preserve">CA-2016-162355</t>
  </si>
  <si>
    <t xml:space="preserve">CA-2014-158225</t>
  </si>
  <si>
    <t xml:space="preserve">CA-2017-102204</t>
  </si>
  <si>
    <t xml:space="preserve">CA-2017-103065</t>
  </si>
  <si>
    <t xml:space="preserve">CA-2014-109855</t>
  </si>
  <si>
    <t xml:space="preserve">CA-2014-109897</t>
  </si>
  <si>
    <t xml:space="preserve">US-2014-143581</t>
  </si>
  <si>
    <t xml:space="preserve">CA-2015-129217</t>
  </si>
  <si>
    <t xml:space="preserve">CA-2016-133816</t>
  </si>
  <si>
    <t xml:space="preserve">CA-2015-140221</t>
  </si>
  <si>
    <t xml:space="preserve">CA-2017-152310</t>
  </si>
  <si>
    <t xml:space="preserve">CA-2016-118101</t>
  </si>
  <si>
    <t xml:space="preserve">CA-2016-100307</t>
  </si>
  <si>
    <t xml:space="preserve">CA-2015-138457</t>
  </si>
  <si>
    <t xml:space="preserve">CA-2014-131800</t>
  </si>
  <si>
    <t xml:space="preserve">CA-2014-118304</t>
  </si>
  <si>
    <t xml:space="preserve">CA-2017-121790</t>
  </si>
  <si>
    <t xml:space="preserve">CA-2016-169670</t>
  </si>
  <si>
    <t xml:space="preserve">CA-2016-139549</t>
  </si>
  <si>
    <t xml:space="preserve">CA-2015-104059</t>
  </si>
  <si>
    <t xml:space="preserve">CA-2017-164112</t>
  </si>
  <si>
    <t xml:space="preserve">CA-2015-143882</t>
  </si>
  <si>
    <t xml:space="preserve">US-2016-139262</t>
  </si>
  <si>
    <t xml:space="preserve">CA-2017-146192</t>
  </si>
  <si>
    <t xml:space="preserve">CA-2017-134810</t>
  </si>
  <si>
    <t xml:space="preserve">CA-2015-154284</t>
  </si>
  <si>
    <t xml:space="preserve">CA-2014-156244</t>
  </si>
  <si>
    <t xml:space="preserve">CA-2015-106362</t>
  </si>
  <si>
    <t xml:space="preserve">US-2017-168802</t>
  </si>
  <si>
    <t xml:space="preserve">US-2017-146906</t>
  </si>
  <si>
    <t xml:space="preserve">CA-2016-166380</t>
  </si>
  <si>
    <t xml:space="preserve">US-2015-158911</t>
  </si>
  <si>
    <t xml:space="preserve">US-2014-103338</t>
  </si>
  <si>
    <t xml:space="preserve">CA-2015-109169</t>
  </si>
  <si>
    <t xml:space="preserve">US-2017-167318</t>
  </si>
  <si>
    <t xml:space="preserve">US-2014-120313</t>
  </si>
  <si>
    <t xml:space="preserve">CA-2017-135419</t>
  </si>
  <si>
    <t xml:space="preserve">CA-2016-128671</t>
  </si>
  <si>
    <t xml:space="preserve">CA-2016-149335</t>
  </si>
  <si>
    <t xml:space="preserve">CA-2014-168312</t>
  </si>
  <si>
    <t xml:space="preserve">US-2017-105935</t>
  </si>
  <si>
    <t xml:space="preserve">CA-2014-161508</t>
  </si>
  <si>
    <t xml:space="preserve">CA-2017-130904</t>
  </si>
  <si>
    <t xml:space="preserve">CA-2017-133620</t>
  </si>
  <si>
    <t xml:space="preserve">CA-2015-142937</t>
  </si>
  <si>
    <t xml:space="preserve">US-2016-149790</t>
  </si>
  <si>
    <t xml:space="preserve">CA-2016-130778</t>
  </si>
  <si>
    <t xml:space="preserve">CA-2017-144456</t>
  </si>
  <si>
    <t xml:space="preserve">CA-2017-103478</t>
  </si>
  <si>
    <t xml:space="preserve">CA-2017-118577</t>
  </si>
  <si>
    <t xml:space="preserve">CA-2017-113572</t>
  </si>
  <si>
    <t xml:space="preserve">CA-2016-153269</t>
  </si>
  <si>
    <t xml:space="preserve">CA-2017-161655</t>
  </si>
  <si>
    <t xml:space="preserve">CA-2016-101469</t>
  </si>
  <si>
    <t xml:space="preserve">CA-2014-153087</t>
  </si>
  <si>
    <t xml:space="preserve">CA-2017-135076</t>
  </si>
  <si>
    <t xml:space="preserve">CA-2014-161634</t>
  </si>
  <si>
    <t xml:space="preserve">CA-2017-141481</t>
  </si>
  <si>
    <t xml:space="preserve">CA-2016-132549</t>
  </si>
  <si>
    <t xml:space="preserve">US-2014-155544</t>
  </si>
  <si>
    <t xml:space="preserve">US-2015-115238</t>
  </si>
  <si>
    <t xml:space="preserve">CA-2017-132199</t>
  </si>
  <si>
    <t xml:space="preserve">CA-2016-163174</t>
  </si>
  <si>
    <t xml:space="preserve">CA-2014-110555</t>
  </si>
  <si>
    <t xml:space="preserve">CA-2017-147207</t>
  </si>
  <si>
    <t xml:space="preserve">CA-2017-137631</t>
  </si>
  <si>
    <t xml:space="preserve">CA-2017-157273</t>
  </si>
  <si>
    <t xml:space="preserve">CA-2014-109918</t>
  </si>
  <si>
    <t xml:space="preserve">CA-2016-118745</t>
  </si>
  <si>
    <t xml:space="preserve">CA-2016-163972</t>
  </si>
  <si>
    <t xml:space="preserve">CA-2014-165393</t>
  </si>
  <si>
    <t xml:space="preserve">CA-2016-113726</t>
  </si>
  <si>
    <t xml:space="preserve">CA-2016-152940</t>
  </si>
  <si>
    <t xml:space="preserve">CA-2015-158701</t>
  </si>
  <si>
    <t xml:space="preserve">CA-2017-156272</t>
  </si>
  <si>
    <t xml:space="preserve">CA-2015-162964</t>
  </si>
  <si>
    <t xml:space="preserve">CA-2014-103527</t>
  </si>
  <si>
    <t xml:space="preserve">CA-2016-134544</t>
  </si>
  <si>
    <t xml:space="preserve">CA-2016-163048</t>
  </si>
  <si>
    <t xml:space="preserve">CA-2016-145135</t>
  </si>
  <si>
    <t xml:space="preserve">CA-2017-137582</t>
  </si>
  <si>
    <t xml:space="preserve">CA-2015-149601</t>
  </si>
  <si>
    <t xml:space="preserve">CA-2014-139423</t>
  </si>
  <si>
    <t xml:space="preserve">CA-2016-102596</t>
  </si>
  <si>
    <t xml:space="preserve">CA-2017-153227</t>
  </si>
  <si>
    <t xml:space="preserve">CA-2017-110625</t>
  </si>
  <si>
    <t xml:space="preserve">CA-2016-142594</t>
  </si>
  <si>
    <t xml:space="preserve">CA-2014-152254</t>
  </si>
  <si>
    <t xml:space="preserve">US-2014-120236</t>
  </si>
  <si>
    <t xml:space="preserve">CA-2017-120061</t>
  </si>
  <si>
    <t xml:space="preserve">CA-2015-133837</t>
  </si>
  <si>
    <t xml:space="preserve">CA-2015-110814</t>
  </si>
  <si>
    <t xml:space="preserve">CA-2016-154067</t>
  </si>
  <si>
    <t xml:space="preserve">CA-2017-140480</t>
  </si>
  <si>
    <t xml:space="preserve">CA-2015-134082</t>
  </si>
  <si>
    <t xml:space="preserve">CA-2016-130820</t>
  </si>
  <si>
    <t xml:space="preserve">CA-2016-159765</t>
  </si>
  <si>
    <t xml:space="preserve">CA-2017-132290</t>
  </si>
  <si>
    <t xml:space="preserve">CA-2016-147109</t>
  </si>
  <si>
    <t xml:space="preserve">CA-2017-107265</t>
  </si>
  <si>
    <t xml:space="preserve">CA-2017-118199</t>
  </si>
  <si>
    <t xml:space="preserve">CA-2017-150091</t>
  </si>
  <si>
    <t xml:space="preserve">CA-2016-137652</t>
  </si>
  <si>
    <t xml:space="preserve">CA-2015-128356</t>
  </si>
  <si>
    <t xml:space="preserve">CA-2017-167017</t>
  </si>
  <si>
    <t xml:space="preserve">US-2017-132220</t>
  </si>
  <si>
    <t xml:space="preserve">CA-2016-118129</t>
  </si>
  <si>
    <t xml:space="preserve">US-2014-113124</t>
  </si>
  <si>
    <t xml:space="preserve">CA-2017-155621</t>
  </si>
  <si>
    <t xml:space="preserve">US-2014-127635</t>
  </si>
  <si>
    <t xml:space="preserve">CA-2015-151470</t>
  </si>
  <si>
    <t xml:space="preserve">CA-2015-112823</t>
  </si>
  <si>
    <t xml:space="preserve">CA-2014-108861</t>
  </si>
  <si>
    <t xml:space="preserve">CA-2017-114370</t>
  </si>
  <si>
    <t xml:space="preserve">CA-2016-158302</t>
  </si>
  <si>
    <t xml:space="preserve">CA-2017-145779</t>
  </si>
  <si>
    <t xml:space="preserve">US-2016-155173</t>
  </si>
  <si>
    <t xml:space="preserve">CA-2017-125451</t>
  </si>
  <si>
    <t xml:space="preserve">CA-2014-131387</t>
  </si>
  <si>
    <t xml:space="preserve">CA-2016-125087</t>
  </si>
  <si>
    <t xml:space="preserve">CA-2016-154081</t>
  </si>
  <si>
    <t xml:space="preserve">US-2017-118556</t>
  </si>
  <si>
    <t xml:space="preserve">CA-2014-126200</t>
  </si>
  <si>
    <t xml:space="preserve">CA-2014-146500</t>
  </si>
  <si>
    <t xml:space="preserve">CA-2015-169537</t>
  </si>
  <si>
    <t xml:space="preserve">CA-2014-100881</t>
  </si>
  <si>
    <t xml:space="preserve">CA-2015-144043</t>
  </si>
  <si>
    <t xml:space="preserve">CA-2015-116512</t>
  </si>
  <si>
    <t xml:space="preserve">CA-2015-101000</t>
  </si>
  <si>
    <t xml:space="preserve">CA-2016-168557</t>
  </si>
  <si>
    <t xml:space="preserve">US-2016-164196</t>
  </si>
  <si>
    <t xml:space="preserve">US-2017-132031</t>
  </si>
  <si>
    <t xml:space="preserve">CA-2015-169733</t>
  </si>
  <si>
    <t xml:space="preserve">CA-2017-169404</t>
  </si>
  <si>
    <t xml:space="preserve">CA-2017-134880</t>
  </si>
  <si>
    <t xml:space="preserve">CA-2015-145758</t>
  </si>
  <si>
    <t xml:space="preserve">CA-2017-158736</t>
  </si>
  <si>
    <t xml:space="preserve">US-2016-119270</t>
  </si>
  <si>
    <t xml:space="preserve">CA-2014-109890</t>
  </si>
  <si>
    <t xml:space="preserve">CA-2016-138583</t>
  </si>
  <si>
    <t xml:space="preserve">US-2017-118535</t>
  </si>
  <si>
    <t xml:space="preserve">CA-2016-126284</t>
  </si>
  <si>
    <t xml:space="preserve">CA-2017-142391</t>
  </si>
  <si>
    <t xml:space="preserve">CA-2017-124716</t>
  </si>
  <si>
    <t xml:space="preserve">CA-2016-158841</t>
  </si>
  <si>
    <t xml:space="preserve">CA-2017-106824</t>
  </si>
  <si>
    <t xml:space="preserve">CA-2015-109190</t>
  </si>
  <si>
    <t xml:space="preserve">CA-2016-143154</t>
  </si>
  <si>
    <t xml:space="preserve">CA-2014-169061</t>
  </si>
  <si>
    <t xml:space="preserve">CA-2015-102316</t>
  </si>
  <si>
    <t xml:space="preserve">CA-2014-164903</t>
  </si>
  <si>
    <t xml:space="preserve">CA-2016-109400</t>
  </si>
  <si>
    <t xml:space="preserve">CA-2016-130400</t>
  </si>
  <si>
    <t xml:space="preserve">CA-2015-135853</t>
  </si>
  <si>
    <t xml:space="preserve">CA-2016-103359</t>
  </si>
  <si>
    <t xml:space="preserve">CA-2016-144645</t>
  </si>
  <si>
    <t xml:space="preserve">CA-2017-141614</t>
  </si>
  <si>
    <t xml:space="preserve">CA-2015-122168</t>
  </si>
  <si>
    <t xml:space="preserve">CA-2016-132899</t>
  </si>
  <si>
    <t xml:space="preserve">CA-2017-149720</t>
  </si>
  <si>
    <t xml:space="preserve">CA-2017-118003</t>
  </si>
  <si>
    <t xml:space="preserve">CA-2016-141887</t>
  </si>
  <si>
    <t xml:space="preserve">US-2016-160206</t>
  </si>
  <si>
    <t xml:space="preserve">CA-2017-133074</t>
  </si>
  <si>
    <t xml:space="preserve">CA-2017-161172</t>
  </si>
  <si>
    <t xml:space="preserve">CA-2017-137624</t>
  </si>
  <si>
    <t xml:space="preserve">CA-2016-156748</t>
  </si>
  <si>
    <t xml:space="preserve">CA-2015-169677</t>
  </si>
  <si>
    <t xml:space="preserve">US-2014-163146</t>
  </si>
  <si>
    <t xml:space="preserve">CA-2015-157343</t>
  </si>
  <si>
    <t xml:space="preserve">CA-2017-147354</t>
  </si>
  <si>
    <t xml:space="preserve">CA-2015-157287</t>
  </si>
  <si>
    <t xml:space="preserve">CA-2014-137575</t>
  </si>
  <si>
    <t xml:space="preserve">CA-2016-119074</t>
  </si>
  <si>
    <t xml:space="preserve">CA-2015-149566</t>
  </si>
  <si>
    <t xml:space="preserve">CA-2015-126186</t>
  </si>
  <si>
    <t xml:space="preserve">CA-2015-121132</t>
  </si>
  <si>
    <t xml:space="preserve">CA-2014-140473</t>
  </si>
  <si>
    <t xml:space="preserve">US-2017-102904</t>
  </si>
  <si>
    <t xml:space="preserve">CA-2016-102092</t>
  </si>
  <si>
    <t xml:space="preserve">CA-2015-117884</t>
  </si>
  <si>
    <t xml:space="preserve">CA-2016-132829</t>
  </si>
  <si>
    <t xml:space="preserve">CA-2016-123540</t>
  </si>
  <si>
    <t xml:space="preserve">US-2017-108315</t>
  </si>
  <si>
    <t xml:space="preserve">CA-2016-134110</t>
  </si>
  <si>
    <t xml:space="preserve">US-2016-136581</t>
  </si>
  <si>
    <t xml:space="preserve">CA-2016-162390</t>
  </si>
  <si>
    <t xml:space="preserve">CA-2016-162222</t>
  </si>
  <si>
    <t xml:space="preserve">CA-2014-121629</t>
  </si>
  <si>
    <t xml:space="preserve">CA-2015-164623</t>
  </si>
  <si>
    <t xml:space="preserve">CA-2014-159849</t>
  </si>
  <si>
    <t xml:space="preserve">CA-2017-101273</t>
  </si>
  <si>
    <t xml:space="preserve">CA-2017-106747</t>
  </si>
  <si>
    <t xml:space="preserve">CA-2017-146164</t>
  </si>
  <si>
    <t xml:space="preserve">CA-2016-111605</t>
  </si>
  <si>
    <t xml:space="preserve">CA-2014-130673</t>
  </si>
  <si>
    <t xml:space="preserve">CA-2014-104808</t>
  </si>
  <si>
    <t xml:space="preserve">US-2017-132927</t>
  </si>
  <si>
    <t xml:space="preserve">CA-2017-162015</t>
  </si>
  <si>
    <t xml:space="preserve">CA-2015-138492</t>
  </si>
  <si>
    <t xml:space="preserve">CA-2017-145338</t>
  </si>
  <si>
    <t xml:space="preserve">CA-2017-126676</t>
  </si>
  <si>
    <t xml:space="preserve">CA-2017-101700</t>
  </si>
  <si>
    <t xml:space="preserve">CA-2017-159667</t>
  </si>
  <si>
    <t xml:space="preserve">CA-2014-111934</t>
  </si>
  <si>
    <t xml:space="preserve">US-2016-117387</t>
  </si>
  <si>
    <t xml:space="preserve">CA-2014-141110</t>
  </si>
  <si>
    <t xml:space="preserve">US-2014-133949</t>
  </si>
  <si>
    <t xml:space="preserve">US-2016-116365</t>
  </si>
  <si>
    <t xml:space="preserve">CA-2017-162936</t>
  </si>
  <si>
    <t xml:space="preserve">CA-2014-151946</t>
  </si>
  <si>
    <t xml:space="preserve">CA-2017-123624</t>
  </si>
  <si>
    <t xml:space="preserve">CA-2016-146437</t>
  </si>
  <si>
    <t xml:space="preserve">CA-2016-138233</t>
  </si>
  <si>
    <t xml:space="preserve">CA-2016-165918</t>
  </si>
  <si>
    <t xml:space="preserve">CA-2017-117513</t>
  </si>
  <si>
    <t xml:space="preserve">CA-2017-132437</t>
  </si>
  <si>
    <t xml:space="preserve">US-2017-119319</t>
  </si>
  <si>
    <t xml:space="preserve">CA-2017-104318</t>
  </si>
  <si>
    <t xml:space="preserve">US-2016-114230</t>
  </si>
  <si>
    <t xml:space="preserve">CA-2015-136147</t>
  </si>
  <si>
    <t xml:space="preserve">CA-2015-156118</t>
  </si>
  <si>
    <t xml:space="preserve">CA-2015-164084</t>
  </si>
  <si>
    <t xml:space="preserve">CA-2016-107783</t>
  </si>
  <si>
    <t xml:space="preserve">CA-2017-159793</t>
  </si>
  <si>
    <t xml:space="preserve">CA-2014-160094</t>
  </si>
  <si>
    <t xml:space="preserve">CA-2017-151281</t>
  </si>
  <si>
    <t xml:space="preserve">CA-2017-118346</t>
  </si>
  <si>
    <t xml:space="preserve">CA-2014-129819</t>
  </si>
  <si>
    <t xml:space="preserve">US-2017-148551</t>
  </si>
  <si>
    <t xml:space="preserve">CA-2017-147767</t>
  </si>
  <si>
    <t xml:space="preserve">CA-2015-108259</t>
  </si>
  <si>
    <t xml:space="preserve">CA-2016-113341</t>
  </si>
  <si>
    <t xml:space="preserve">US-2015-131842</t>
  </si>
  <si>
    <t xml:space="preserve">CA-2016-164574</t>
  </si>
  <si>
    <t xml:space="preserve">CA-2014-142769</t>
  </si>
  <si>
    <t xml:space="preserve">CA-2016-168361</t>
  </si>
  <si>
    <t xml:space="preserve">CA-2016-153185</t>
  </si>
  <si>
    <t xml:space="preserve">CA-2017-124765</t>
  </si>
  <si>
    <t xml:space="preserve">CA-2015-131856</t>
  </si>
  <si>
    <t xml:space="preserve">CA-2017-126634</t>
  </si>
  <si>
    <t xml:space="preserve">CA-2016-118500</t>
  </si>
  <si>
    <t xml:space="preserve">CA-2016-163951</t>
  </si>
  <si>
    <t xml:space="preserve">CA-2016-149916</t>
  </si>
  <si>
    <t xml:space="preserve">CA-2015-158918</t>
  </si>
  <si>
    <t xml:space="preserve">US-2014-159611</t>
  </si>
  <si>
    <t xml:space="preserve">CA-2017-163265</t>
  </si>
  <si>
    <t xml:space="preserve">CA-2017-141705</t>
  </si>
  <si>
    <t xml:space="preserve">CA-2016-112739</t>
  </si>
  <si>
    <t xml:space="preserve">CA-2016-143805</t>
  </si>
  <si>
    <t xml:space="preserve">CA-2014-133634</t>
  </si>
  <si>
    <t xml:space="preserve">CA-2017-101665</t>
  </si>
  <si>
    <t xml:space="preserve">CA-2016-155446</t>
  </si>
  <si>
    <t xml:space="preserve">CA-2017-137323</t>
  </si>
  <si>
    <t xml:space="preserve">CA-2016-144015</t>
  </si>
  <si>
    <t xml:space="preserve">CA-2014-101427</t>
  </si>
  <si>
    <t xml:space="preserve">CA-2016-136770</t>
  </si>
  <si>
    <t xml:space="preserve">CA-2016-118311</t>
  </si>
  <si>
    <t xml:space="preserve">US-2014-112795</t>
  </si>
  <si>
    <t xml:space="preserve">CA-2017-127096</t>
  </si>
  <si>
    <t xml:space="preserve">CA-2017-119284</t>
  </si>
  <si>
    <t xml:space="preserve">CA-2015-133494</t>
  </si>
  <si>
    <t xml:space="preserve">CA-2016-111318</t>
  </si>
  <si>
    <t xml:space="preserve">US-2014-132745</t>
  </si>
  <si>
    <t xml:space="preserve">CA-2014-146815</t>
  </si>
  <si>
    <t xml:space="preserve">CA-2014-119144</t>
  </si>
  <si>
    <t xml:space="preserve">CA-2014-105648</t>
  </si>
  <si>
    <t xml:space="preserve">US-2015-145422</t>
  </si>
  <si>
    <t xml:space="preserve">CA-2017-136623</t>
  </si>
  <si>
    <t xml:space="preserve">CA-2017-121678</t>
  </si>
  <si>
    <t xml:space="preserve">CA-2016-120824</t>
  </si>
  <si>
    <t xml:space="preserve">US-2016-135209</t>
  </si>
  <si>
    <t xml:space="preserve">CA-2017-148145</t>
  </si>
  <si>
    <t xml:space="preserve">CA-2015-103870</t>
  </si>
  <si>
    <t xml:space="preserve">CA-2015-111017</t>
  </si>
  <si>
    <t xml:space="preserve">CA-2017-116988</t>
  </si>
  <si>
    <t xml:space="preserve">US-2014-169390</t>
  </si>
  <si>
    <t xml:space="preserve">CA-2016-168774</t>
  </si>
  <si>
    <t xml:space="preserve">CA-2017-161592</t>
  </si>
  <si>
    <t xml:space="preserve">US-2017-131961</t>
  </si>
  <si>
    <t xml:space="preserve">CA-2016-102498</t>
  </si>
  <si>
    <t xml:space="preserve">CA-2015-113222</t>
  </si>
  <si>
    <t xml:space="preserve">US-2015-144771</t>
  </si>
  <si>
    <t xml:space="preserve">CA-2015-162376</t>
  </si>
  <si>
    <t xml:space="preserve">CA-2017-128076</t>
  </si>
  <si>
    <t xml:space="preserve">US-2015-163825</t>
  </si>
  <si>
    <t xml:space="preserve">CA-2016-105662</t>
  </si>
  <si>
    <t xml:space="preserve">CA-2017-152198</t>
  </si>
  <si>
    <t xml:space="preserve">CA-2016-114307</t>
  </si>
  <si>
    <t xml:space="preserve">CA-2016-159891</t>
  </si>
  <si>
    <t xml:space="preserve">CA-2016-112578</t>
  </si>
  <si>
    <t xml:space="preserve">CA-2015-107083</t>
  </si>
  <si>
    <t xml:space="preserve">CA-2015-151722</t>
  </si>
  <si>
    <t xml:space="preserve">CA-2016-151148</t>
  </si>
  <si>
    <t xml:space="preserve">CA-2017-115882</t>
  </si>
  <si>
    <t xml:space="preserve">CA-2015-132276</t>
  </si>
  <si>
    <t xml:space="preserve">CA-2016-163636</t>
  </si>
  <si>
    <t xml:space="preserve">CA-2016-102813</t>
  </si>
  <si>
    <t xml:space="preserve">CA-2017-135377</t>
  </si>
  <si>
    <t xml:space="preserve">CA-2015-165813</t>
  </si>
  <si>
    <t xml:space="preserve">CA-2015-133585</t>
  </si>
  <si>
    <t xml:space="preserve">CA-2016-116911</t>
  </si>
  <si>
    <t xml:space="preserve">US-2017-129224</t>
  </si>
  <si>
    <t xml:space="preserve">CA-2017-145765</t>
  </si>
  <si>
    <t xml:space="preserve">CA-2017-126914</t>
  </si>
  <si>
    <t xml:space="preserve">CA-2015-169572</t>
  </si>
  <si>
    <t xml:space="preserve">CA-2017-162075</t>
  </si>
  <si>
    <t xml:space="preserve">CA-2014-162992</t>
  </si>
  <si>
    <t xml:space="preserve">CA-2016-106397</t>
  </si>
  <si>
    <t xml:space="preserve">US-2016-150140</t>
  </si>
  <si>
    <t xml:space="preserve">CA-2014-116666</t>
  </si>
  <si>
    <t xml:space="preserve">CA-2017-148992</t>
  </si>
  <si>
    <t xml:space="preserve">CA-2016-140935</t>
  </si>
  <si>
    <t xml:space="preserve">CA-2014-157644</t>
  </si>
  <si>
    <t xml:space="preserve">US-2017-100398</t>
  </si>
  <si>
    <t xml:space="preserve">CA-2016-113082</t>
  </si>
  <si>
    <t xml:space="preserve">US-2017-110646</t>
  </si>
  <si>
    <t xml:space="preserve">CA-2017-120614</t>
  </si>
  <si>
    <t xml:space="preserve">US-2016-140172</t>
  </si>
  <si>
    <t xml:space="preserve">CA-2015-127754</t>
  </si>
  <si>
    <t xml:space="preserve">CA-2015-144274</t>
  </si>
  <si>
    <t xml:space="preserve">CA-2015-142930</t>
  </si>
  <si>
    <t xml:space="preserve">CA-2017-100622</t>
  </si>
  <si>
    <t xml:space="preserve">CA-2017-117156</t>
  </si>
  <si>
    <t xml:space="preserve">CA-2015-115399</t>
  </si>
  <si>
    <t xml:space="preserve">US-2014-157847</t>
  </si>
  <si>
    <t xml:space="preserve">CA-2015-115168</t>
  </si>
  <si>
    <t xml:space="preserve">CA-2014-109680</t>
  </si>
  <si>
    <t xml:space="preserve">CA-2016-167983</t>
  </si>
  <si>
    <t xml:space="preserve">CA-2015-145324</t>
  </si>
  <si>
    <t xml:space="preserve">CA-2015-153423</t>
  </si>
  <si>
    <t xml:space="preserve">US-2017-132675</t>
  </si>
  <si>
    <t xml:space="preserve">CA-2014-153808</t>
  </si>
  <si>
    <t xml:space="preserve">US-2016-112396</t>
  </si>
  <si>
    <t xml:space="preserve">CA-2014-141173</t>
  </si>
  <si>
    <t xml:space="preserve">CA-2017-156664</t>
  </si>
  <si>
    <t xml:space="preserve">CA-2015-140718</t>
  </si>
  <si>
    <t xml:space="preserve">CA-2014-119977</t>
  </si>
  <si>
    <t xml:space="preserve">US-2015-115343</t>
  </si>
  <si>
    <t xml:space="preserve">CA-2017-163671</t>
  </si>
  <si>
    <t xml:space="preserve">CA-2017-135909</t>
  </si>
  <si>
    <t xml:space="preserve">US-2017-114356</t>
  </si>
  <si>
    <t xml:space="preserve">CA-2015-125934</t>
  </si>
  <si>
    <t xml:space="preserve">CA-2015-158148</t>
  </si>
  <si>
    <t xml:space="preserve">CA-2014-120411</t>
  </si>
  <si>
    <t xml:space="preserve">CA-2016-158260</t>
  </si>
  <si>
    <t xml:space="preserve">CA-2017-101805</t>
  </si>
  <si>
    <t xml:space="preserve">US-2014-105137</t>
  </si>
  <si>
    <t xml:space="preserve">CA-2017-142489</t>
  </si>
  <si>
    <t xml:space="preserve">US-2016-141264</t>
  </si>
  <si>
    <t xml:space="preserve">CA-2017-126928</t>
  </si>
  <si>
    <t xml:space="preserve">US-2015-107944</t>
  </si>
  <si>
    <t xml:space="preserve">CA-2016-135594</t>
  </si>
  <si>
    <t xml:space="preserve">US-2017-115252</t>
  </si>
  <si>
    <t xml:space="preserve">CA-2014-107398</t>
  </si>
  <si>
    <t xml:space="preserve">CA-2014-169642</t>
  </si>
  <si>
    <t xml:space="preserve">CA-2017-103968</t>
  </si>
  <si>
    <t xml:space="preserve">CA-2016-147256</t>
  </si>
  <si>
    <t xml:space="preserve">CA-2016-162159</t>
  </si>
  <si>
    <t xml:space="preserve">CA-2015-111038</t>
  </si>
  <si>
    <t xml:space="preserve">CA-2014-124723</t>
  </si>
  <si>
    <t xml:space="preserve">CA-2016-167241</t>
  </si>
  <si>
    <t xml:space="preserve">CA-2015-163237</t>
  </si>
  <si>
    <t xml:space="preserve">CA-2016-150483</t>
  </si>
  <si>
    <t xml:space="preserve">US-2016-126431</t>
  </si>
  <si>
    <t xml:space="preserve">CA-2016-139934</t>
  </si>
  <si>
    <t xml:space="preserve">CA-2015-109603</t>
  </si>
  <si>
    <t xml:space="preserve">CA-2017-160661</t>
  </si>
  <si>
    <t xml:space="preserve">CA-2017-102610</t>
  </si>
  <si>
    <t xml:space="preserve">US-2016-144057</t>
  </si>
  <si>
    <t xml:space="preserve">CA-2014-160276</t>
  </si>
  <si>
    <t xml:space="preserve">CA-2014-132983</t>
  </si>
  <si>
    <t xml:space="preserve">CA-2016-145709</t>
  </si>
  <si>
    <t xml:space="preserve">CA-2017-133928</t>
  </si>
  <si>
    <t xml:space="preserve">CA-2016-168032</t>
  </si>
  <si>
    <t xml:space="preserve">CA-2015-143616</t>
  </si>
  <si>
    <t xml:space="preserve">US-2015-168704</t>
  </si>
  <si>
    <t xml:space="preserve">CA-2017-143252</t>
  </si>
  <si>
    <t xml:space="preserve">CA-2016-102134</t>
  </si>
  <si>
    <t xml:space="preserve">CA-2017-130036</t>
  </si>
  <si>
    <t xml:space="preserve">CA-2015-134117</t>
  </si>
  <si>
    <t xml:space="preserve">CA-2014-130918</t>
  </si>
  <si>
    <t xml:space="preserve">CA-2016-159023</t>
  </si>
  <si>
    <t xml:space="preserve">CA-2017-111717</t>
  </si>
  <si>
    <t xml:space="preserve">CA-2014-154592</t>
  </si>
  <si>
    <t xml:space="preserve">CA-2014-128622</t>
  </si>
  <si>
    <t xml:space="preserve">CA-2017-148355</t>
  </si>
  <si>
    <t xml:space="preserve">CA-2014-132913</t>
  </si>
  <si>
    <t xml:space="preserve">CA-2017-150910</t>
  </si>
  <si>
    <t xml:space="preserve">CA-2014-156790</t>
  </si>
  <si>
    <t xml:space="preserve">CA-2014-126480</t>
  </si>
  <si>
    <t xml:space="preserve">CA-2017-105620</t>
  </si>
  <si>
    <t xml:space="preserve">CA-2017-150266</t>
  </si>
  <si>
    <t xml:space="preserve">CA-2016-157280</t>
  </si>
  <si>
    <t xml:space="preserve">CA-2017-106691</t>
  </si>
  <si>
    <t xml:space="preserve">CA-2016-134180</t>
  </si>
  <si>
    <t xml:space="preserve">CA-2014-166730</t>
  </si>
  <si>
    <t xml:space="preserve">CA-2017-157469</t>
  </si>
  <si>
    <t xml:space="preserve">CA-2017-122308</t>
  </si>
  <si>
    <t xml:space="preserve">US-2014-149034</t>
  </si>
  <si>
    <t xml:space="preserve">CA-2017-159226</t>
  </si>
  <si>
    <t xml:space="preserve">CA-2017-156622</t>
  </si>
  <si>
    <t xml:space="preserve">CA-2014-119529</t>
  </si>
  <si>
    <t xml:space="preserve">CA-2015-150413</t>
  </si>
  <si>
    <t xml:space="preserve">CA-2014-108182</t>
  </si>
  <si>
    <t xml:space="preserve">CA-2016-110898</t>
  </si>
  <si>
    <t xml:space="preserve">CA-2015-123092</t>
  </si>
  <si>
    <t xml:space="preserve">US-2015-128587</t>
  </si>
  <si>
    <t xml:space="preserve">US-2017-139577</t>
  </si>
  <si>
    <t xml:space="preserve">CA-2017-159100</t>
  </si>
  <si>
    <t xml:space="preserve">CA-2014-109043</t>
  </si>
  <si>
    <t xml:space="preserve">US-2017-116491</t>
  </si>
  <si>
    <t xml:space="preserve">CA-2017-122763</t>
  </si>
  <si>
    <t xml:space="preserve">CA-2017-137785</t>
  </si>
  <si>
    <t xml:space="preserve">CA-2014-133389</t>
  </si>
  <si>
    <t xml:space="preserve">CA-2014-103807</t>
  </si>
  <si>
    <t xml:space="preserve">CA-2015-102855</t>
  </si>
  <si>
    <t xml:space="preserve">CA-2017-107825</t>
  </si>
  <si>
    <t xml:space="preserve">CA-2017-106047</t>
  </si>
  <si>
    <t xml:space="preserve">CA-2017-127803</t>
  </si>
  <si>
    <t xml:space="preserve">CA-2015-137071</t>
  </si>
  <si>
    <t xml:space="preserve">CA-2016-121447</t>
  </si>
  <si>
    <t xml:space="preserve">CA-2017-143084</t>
  </si>
  <si>
    <t xml:space="preserve">CA-2016-131639</t>
  </si>
  <si>
    <t xml:space="preserve">CA-2016-161361</t>
  </si>
  <si>
    <t xml:space="preserve">CA-2014-100706</t>
  </si>
  <si>
    <t xml:space="preserve">CA-2015-129525</t>
  </si>
  <si>
    <t xml:space="preserve">US-2016-141880</t>
  </si>
  <si>
    <t xml:space="preserve">CA-2015-165799</t>
  </si>
  <si>
    <t xml:space="preserve">CA-2016-102127</t>
  </si>
  <si>
    <t xml:space="preserve">US-2016-152415</t>
  </si>
  <si>
    <t xml:space="preserve">CA-2014-138198</t>
  </si>
  <si>
    <t xml:space="preserve">CA-2017-128041</t>
  </si>
  <si>
    <t xml:space="preserve">CA-2017-105823</t>
  </si>
  <si>
    <t xml:space="preserve">CA-2014-152268</t>
  </si>
  <si>
    <t xml:space="preserve">CA-2015-148873</t>
  </si>
  <si>
    <t xml:space="preserve">CA-2015-166492</t>
  </si>
  <si>
    <t xml:space="preserve">CA-2017-157420</t>
  </si>
  <si>
    <t xml:space="preserve">CA-2016-117121</t>
  </si>
  <si>
    <t xml:space="preserve">CA-2014-138177</t>
  </si>
  <si>
    <t xml:space="preserve">CA-2014-114335</t>
  </si>
  <si>
    <t xml:space="preserve">CA-2015-168760</t>
  </si>
  <si>
    <t xml:space="preserve">CA-2016-168830</t>
  </si>
  <si>
    <t xml:space="preserve">CA-2017-137463</t>
  </si>
  <si>
    <t xml:space="preserve">CA-2014-124513</t>
  </si>
  <si>
    <t xml:space="preserve">CA-2015-165554</t>
  </si>
  <si>
    <t xml:space="preserve">CA-2014-141838</t>
  </si>
  <si>
    <t xml:space="preserve">CA-2017-117009</t>
  </si>
  <si>
    <t xml:space="preserve">CA-2015-128993</t>
  </si>
  <si>
    <t xml:space="preserve">CA-2015-160227</t>
  </si>
  <si>
    <t xml:space="preserve">CA-2015-149097</t>
  </si>
  <si>
    <t xml:space="preserve">CA-2016-132304</t>
  </si>
  <si>
    <t xml:space="preserve">CA-2015-136420</t>
  </si>
  <si>
    <t xml:space="preserve">CA-2016-101623</t>
  </si>
  <si>
    <t xml:space="preserve">US-2014-151015</t>
  </si>
  <si>
    <t xml:space="preserve">CA-2017-152968</t>
  </si>
  <si>
    <t xml:space="preserve">CA-2016-150077</t>
  </si>
  <si>
    <t xml:space="preserve">CA-2016-106278</t>
  </si>
  <si>
    <t xml:space="preserve">CA-2017-147550</t>
  </si>
  <si>
    <t xml:space="preserve">CA-2015-136105</t>
  </si>
  <si>
    <t xml:space="preserve">CA-2016-142524</t>
  </si>
  <si>
    <t xml:space="preserve">CA-2014-136336</t>
  </si>
  <si>
    <t xml:space="preserve">US-2015-136259</t>
  </si>
  <si>
    <t xml:space="preserve">US-2014-124625</t>
  </si>
  <si>
    <t xml:space="preserve">CA-2016-108105</t>
  </si>
  <si>
    <t xml:space="preserve">CA-2017-166898</t>
  </si>
  <si>
    <t xml:space="preserve">CA-2017-169005</t>
  </si>
  <si>
    <t xml:space="preserve">CA-2015-104038</t>
  </si>
  <si>
    <t xml:space="preserve">CA-2016-126102</t>
  </si>
  <si>
    <t xml:space="preserve">CA-2016-143406</t>
  </si>
  <si>
    <t xml:space="preserve">CA-2015-150308</t>
  </si>
  <si>
    <t xml:space="preserve">CA-2016-131093</t>
  </si>
  <si>
    <t xml:space="preserve">US-2017-148831</t>
  </si>
  <si>
    <t xml:space="preserve">CA-2015-162950</t>
  </si>
  <si>
    <t xml:space="preserve">US-2015-132836</t>
  </si>
  <si>
    <t xml:space="preserve">US-2014-158365</t>
  </si>
  <si>
    <t xml:space="preserve">CA-2017-152933</t>
  </si>
  <si>
    <t xml:space="preserve">CA-2015-163181</t>
  </si>
  <si>
    <t xml:space="preserve">CA-2015-132941</t>
  </si>
  <si>
    <t xml:space="preserve">CA-2014-132010</t>
  </si>
  <si>
    <t xml:space="preserve">CA-2016-135461</t>
  </si>
  <si>
    <t xml:space="preserve">CA-2017-153045</t>
  </si>
  <si>
    <t xml:space="preserve">US-2016-155971</t>
  </si>
  <si>
    <t xml:space="preserve">CA-2017-122007</t>
  </si>
  <si>
    <t xml:space="preserve">CA-2017-162250</t>
  </si>
  <si>
    <t xml:space="preserve">US-2016-158288</t>
  </si>
  <si>
    <t xml:space="preserve">CA-2016-128916</t>
  </si>
  <si>
    <t xml:space="preserve">CA-2015-157028</t>
  </si>
  <si>
    <t xml:space="preserve">CA-2017-112473</t>
  </si>
  <si>
    <t xml:space="preserve">US-2017-147655</t>
  </si>
  <si>
    <t xml:space="preserve">CA-2016-130911</t>
  </si>
  <si>
    <t xml:space="preserve">CA-2017-100055</t>
  </si>
  <si>
    <t xml:space="preserve">CA-2015-157805</t>
  </si>
  <si>
    <t xml:space="preserve">CA-2016-124254</t>
  </si>
  <si>
    <t xml:space="preserve">CA-2014-123400</t>
  </si>
  <si>
    <t xml:space="preserve">CA-2014-106971</t>
  </si>
  <si>
    <t xml:space="preserve">CA-2017-123029</t>
  </si>
  <si>
    <t xml:space="preserve">CA-2016-139409</t>
  </si>
  <si>
    <t xml:space="preserve">US-2017-166688</t>
  </si>
  <si>
    <t xml:space="preserve">CA-2015-126970</t>
  </si>
  <si>
    <t xml:space="preserve">US-2016-165505</t>
  </si>
  <si>
    <t xml:space="preserve">US-2014-157070</t>
  </si>
  <si>
    <t xml:space="preserve">US-2015-106873</t>
  </si>
  <si>
    <t xml:space="preserve">CA-2016-132990</t>
  </si>
  <si>
    <t xml:space="preserve">CA-2014-102645</t>
  </si>
  <si>
    <t xml:space="preserve">CA-2014-134215</t>
  </si>
  <si>
    <t xml:space="preserve">CA-2016-118934</t>
  </si>
  <si>
    <t xml:space="preserve">CA-2016-160108</t>
  </si>
  <si>
    <t xml:space="preserve">CA-2015-164007</t>
  </si>
  <si>
    <t xml:space="preserve">CA-2016-100300</t>
  </si>
  <si>
    <t xml:space="preserve">CA-2016-140571</t>
  </si>
  <si>
    <t xml:space="preserve">US-2016-155768</t>
  </si>
  <si>
    <t xml:space="preserve">CA-2017-119424</t>
  </si>
  <si>
    <t xml:space="preserve">CA-2016-118178</t>
  </si>
  <si>
    <t xml:space="preserve">CA-2016-166618</t>
  </si>
  <si>
    <t xml:space="preserve">CA-2017-156776</t>
  </si>
  <si>
    <t xml:space="preserve">US-2015-130512</t>
  </si>
  <si>
    <t xml:space="preserve">CA-2015-141810</t>
  </si>
  <si>
    <t xml:space="preserve">CA-2014-146843</t>
  </si>
  <si>
    <t xml:space="preserve">CA-2014-103310</t>
  </si>
  <si>
    <t xml:space="preserve">CA-2016-152688</t>
  </si>
  <si>
    <t xml:space="preserve">CA-2016-153836</t>
  </si>
  <si>
    <t xml:space="preserve">CA-2016-104689</t>
  </si>
  <si>
    <t xml:space="preserve">CA-2016-146423</t>
  </si>
  <si>
    <t xml:space="preserve">CA-2017-140781</t>
  </si>
  <si>
    <t xml:space="preserve">CA-2017-141747</t>
  </si>
  <si>
    <t xml:space="preserve">CA-2017-142776</t>
  </si>
  <si>
    <t xml:space="preserve">CA-2015-167479</t>
  </si>
  <si>
    <t xml:space="preserve">CA-2014-144071</t>
  </si>
  <si>
    <t xml:space="preserve">US-2017-120908</t>
  </si>
  <si>
    <t xml:space="preserve">CA-2016-152646</t>
  </si>
  <si>
    <t xml:space="preserve">CA-2017-103765</t>
  </si>
  <si>
    <t xml:space="preserve">US-2017-118157</t>
  </si>
  <si>
    <t xml:space="preserve">US-2015-164238</t>
  </si>
  <si>
    <t xml:space="preserve">CA-2017-103212</t>
  </si>
  <si>
    <t xml:space="preserve">CA-2017-121160</t>
  </si>
  <si>
    <t xml:space="preserve">CA-2017-140515</t>
  </si>
  <si>
    <t xml:space="preserve">CA-2014-153619</t>
  </si>
  <si>
    <t xml:space="preserve">CA-2017-133718</t>
  </si>
  <si>
    <t xml:space="preserve">CA-2014-148383</t>
  </si>
  <si>
    <t xml:space="preserve">CA-2016-126732</t>
  </si>
  <si>
    <t xml:space="preserve">CA-2017-138156</t>
  </si>
  <si>
    <t xml:space="preserve">CA-2017-110310</t>
  </si>
  <si>
    <t xml:space="preserve">CA-2014-113271</t>
  </si>
  <si>
    <t xml:space="preserve">CA-2017-130106</t>
  </si>
  <si>
    <t xml:space="preserve">CA-2016-127761</t>
  </si>
  <si>
    <t xml:space="preserve">CA-2016-105354</t>
  </si>
  <si>
    <t xml:space="preserve">CA-2017-155712</t>
  </si>
  <si>
    <t xml:space="preserve">CA-2017-102309</t>
  </si>
  <si>
    <t xml:space="preserve">CA-2014-168368</t>
  </si>
  <si>
    <t xml:space="preserve">CA-2017-167976</t>
  </si>
  <si>
    <t xml:space="preserve">CA-2017-111388</t>
  </si>
  <si>
    <t xml:space="preserve">CA-2015-124499</t>
  </si>
  <si>
    <t xml:space="preserve">US-2017-128118</t>
  </si>
  <si>
    <t xml:space="preserve">CA-2014-125759</t>
  </si>
  <si>
    <t xml:space="preserve">CA-2015-151869</t>
  </si>
  <si>
    <t xml:space="preserve">US-2017-102183</t>
  </si>
  <si>
    <t xml:space="preserve">CA-2016-100510</t>
  </si>
  <si>
    <t xml:space="preserve">CA-2017-146983</t>
  </si>
  <si>
    <t xml:space="preserve">US-2014-134054</t>
  </si>
  <si>
    <t xml:space="preserve">CA-2016-113236</t>
  </si>
  <si>
    <t xml:space="preserve">CA-2017-122539</t>
  </si>
  <si>
    <t xml:space="preserve">CA-2016-166772</t>
  </si>
  <si>
    <t xml:space="preserve">US-2017-152898</t>
  </si>
  <si>
    <t xml:space="preserve">CA-2016-160486</t>
  </si>
  <si>
    <t xml:space="preserve">CA-2017-102218</t>
  </si>
  <si>
    <t xml:space="preserve">CA-2014-161032</t>
  </si>
  <si>
    <t xml:space="preserve">CA-2015-102778</t>
  </si>
  <si>
    <t xml:space="preserve">CA-2017-154011</t>
  </si>
  <si>
    <t xml:space="preserve">US-2017-165456</t>
  </si>
  <si>
    <t xml:space="preserve">CA-2014-111857</t>
  </si>
  <si>
    <t xml:space="preserve">CA-2014-163650</t>
  </si>
  <si>
    <t xml:space="preserve">CA-2017-124114</t>
  </si>
  <si>
    <t xml:space="preserve">US-2017-116505</t>
  </si>
  <si>
    <t xml:space="preserve">CA-2017-161340</t>
  </si>
  <si>
    <t xml:space="preserve">US-2015-163433</t>
  </si>
  <si>
    <t xml:space="preserve">CA-2015-137603</t>
  </si>
  <si>
    <t xml:space="preserve">CA-2014-128237</t>
  </si>
  <si>
    <t xml:space="preserve">US-2016-102141</t>
  </si>
  <si>
    <t xml:space="preserve">CA-2017-148642</t>
  </si>
  <si>
    <t xml:space="preserve">CA-2015-111948</t>
  </si>
  <si>
    <t xml:space="preserve">CA-2016-161907</t>
  </si>
  <si>
    <t xml:space="preserve">CA-2017-124940</t>
  </si>
  <si>
    <t xml:space="preserve">US-2017-108343</t>
  </si>
  <si>
    <t xml:space="preserve">US-2016-111563</t>
  </si>
  <si>
    <t xml:space="preserve">CA-2017-121853</t>
  </si>
  <si>
    <t xml:space="preserve">US-2017-130687</t>
  </si>
  <si>
    <t xml:space="preserve">CA-2015-164497</t>
  </si>
  <si>
    <t xml:space="preserve">US-2015-153283</t>
  </si>
  <si>
    <t xml:space="preserve">CA-2016-108056</t>
  </si>
  <si>
    <t xml:space="preserve">CA-2017-127726</t>
  </si>
  <si>
    <t xml:space="preserve">CA-2017-110198</t>
  </si>
  <si>
    <t xml:space="preserve">CA-2017-130715</t>
  </si>
  <si>
    <t xml:space="preserve">CA-2014-155264</t>
  </si>
  <si>
    <t xml:space="preserve">CA-2016-119123</t>
  </si>
  <si>
    <t xml:space="preserve">CA-2017-109085</t>
  </si>
  <si>
    <t xml:space="preserve">CA-2016-114860</t>
  </si>
  <si>
    <t xml:space="preserve">CA-2016-159009</t>
  </si>
  <si>
    <t xml:space="preserve">CA-2017-148411</t>
  </si>
  <si>
    <t xml:space="preserve">CA-2015-110324</t>
  </si>
  <si>
    <t xml:space="preserve">CA-2016-168046</t>
  </si>
  <si>
    <t xml:space="preserve">CA-2017-111591</t>
  </si>
  <si>
    <t xml:space="preserve">US-2014-166828</t>
  </si>
  <si>
    <t xml:space="preserve">CA-2014-108147</t>
  </si>
  <si>
    <t xml:space="preserve">CA-2016-154998</t>
  </si>
  <si>
    <t xml:space="preserve">CA-2017-113460</t>
  </si>
  <si>
    <t xml:space="preserve">CA-2015-111339</t>
  </si>
  <si>
    <t xml:space="preserve">CA-2017-102820</t>
  </si>
  <si>
    <t xml:space="preserve">CA-2016-149671</t>
  </si>
  <si>
    <t xml:space="preserve">CA-2015-126347</t>
  </si>
  <si>
    <t xml:space="preserve">CA-2017-108756</t>
  </si>
  <si>
    <t xml:space="preserve">CA-2017-155362</t>
  </si>
  <si>
    <t xml:space="preserve">CA-2016-117625</t>
  </si>
  <si>
    <t xml:space="preserve">CA-2014-154158</t>
  </si>
  <si>
    <t xml:space="preserve">CA-2017-100433</t>
  </si>
  <si>
    <t xml:space="preserve">CA-2017-163097</t>
  </si>
  <si>
    <t xml:space="preserve">US-2017-127292</t>
  </si>
  <si>
    <t xml:space="preserve">CA-2015-163734</t>
  </si>
  <si>
    <t xml:space="preserve">CA-2017-162474</t>
  </si>
  <si>
    <t xml:space="preserve">CA-2015-130848</t>
  </si>
  <si>
    <t xml:space="preserve">CA-2014-125997</t>
  </si>
  <si>
    <t xml:space="preserve">CA-2016-103128</t>
  </si>
  <si>
    <t xml:space="preserve">CA-2015-167696</t>
  </si>
  <si>
    <t xml:space="preserve">CA-2014-159814</t>
  </si>
  <si>
    <t xml:space="preserve">CA-2016-105459</t>
  </si>
  <si>
    <t xml:space="preserve">CA-2017-141663</t>
  </si>
  <si>
    <t xml:space="preserve">CA-2014-152618</t>
  </si>
  <si>
    <t xml:space="preserve">CA-2017-162789</t>
  </si>
  <si>
    <t xml:space="preserve">US-2017-110149</t>
  </si>
  <si>
    <t xml:space="preserve">CA-2016-108959</t>
  </si>
  <si>
    <t xml:space="preserve">CA-2015-164777</t>
  </si>
  <si>
    <t xml:space="preserve">CA-2016-132017</t>
  </si>
  <si>
    <t xml:space="preserve">CA-2015-127824</t>
  </si>
  <si>
    <t xml:space="preserve">CA-2014-148285</t>
  </si>
  <si>
    <t xml:space="preserve">CA-2017-152926</t>
  </si>
  <si>
    <t xml:space="preserve">CA-2014-145254</t>
  </si>
  <si>
    <t xml:space="preserve">CA-2014-116246</t>
  </si>
  <si>
    <t xml:space="preserve">CA-2016-160479</t>
  </si>
  <si>
    <t xml:space="preserve">CA-2014-167486</t>
  </si>
  <si>
    <t xml:space="preserve">CA-2014-152100</t>
  </si>
  <si>
    <t xml:space="preserve">CA-2015-166219</t>
  </si>
  <si>
    <t xml:space="preserve">CA-2015-111864</t>
  </si>
  <si>
    <t xml:space="preserve">CA-2015-119627</t>
  </si>
  <si>
    <t xml:space="preserve">CA-2015-160787</t>
  </si>
  <si>
    <t xml:space="preserve">CA-2017-107853</t>
  </si>
  <si>
    <t xml:space="preserve">CA-2017-126144</t>
  </si>
  <si>
    <t xml:space="preserve">US-2014-154655</t>
  </si>
  <si>
    <t xml:space="preserve">CA-2014-100391</t>
  </si>
  <si>
    <t xml:space="preserve">CA-2014-165477</t>
  </si>
  <si>
    <t xml:space="preserve">CA-2017-165904</t>
  </si>
  <si>
    <t xml:space="preserve">CA-2015-104052</t>
  </si>
  <si>
    <t xml:space="preserve">CA-2015-168277</t>
  </si>
  <si>
    <t xml:space="preserve">CA-2016-158617</t>
  </si>
  <si>
    <t xml:space="preserve">CA-2017-136882</t>
  </si>
  <si>
    <t xml:space="preserve">US-2016-148957</t>
  </si>
  <si>
    <t xml:space="preserve">CA-2014-140032</t>
  </si>
  <si>
    <t xml:space="preserve">CA-2017-145506</t>
  </si>
  <si>
    <t xml:space="preserve">CA-2015-129546</t>
  </si>
  <si>
    <t xml:space="preserve">CA-2016-140977</t>
  </si>
  <si>
    <t xml:space="preserve">CA-2017-151855</t>
  </si>
  <si>
    <t xml:space="preserve">CA-2014-138240</t>
  </si>
  <si>
    <t xml:space="preserve">CA-2014-101833</t>
  </si>
  <si>
    <t xml:space="preserve">CA-2014-100867</t>
  </si>
  <si>
    <t xml:space="preserve">US-2017-109610</t>
  </si>
  <si>
    <t xml:space="preserve">CA-2014-156545</t>
  </si>
  <si>
    <t xml:space="preserve">CA-2014-109127</t>
  </si>
  <si>
    <t xml:space="preserve">CA-2016-126858</t>
  </si>
  <si>
    <t xml:space="preserve">CA-2017-102925</t>
  </si>
  <si>
    <t xml:space="preserve">CA-2015-100818</t>
  </si>
  <si>
    <t xml:space="preserve">CA-2014-126193</t>
  </si>
  <si>
    <t xml:space="preserve">CA-2017-150504</t>
  </si>
  <si>
    <t xml:space="preserve">CA-2015-158351</t>
  </si>
  <si>
    <t xml:space="preserve">CA-2014-122679</t>
  </si>
  <si>
    <t xml:space="preserve">CA-2016-164770</t>
  </si>
  <si>
    <t xml:space="preserve">CA-2017-130505</t>
  </si>
  <si>
    <t xml:space="preserve">US-2017-125213</t>
  </si>
  <si>
    <t xml:space="preserve">CA-2015-156566</t>
  </si>
  <si>
    <t xml:space="preserve">US-2016-102232</t>
  </si>
  <si>
    <t xml:space="preserve">CA-2017-111738</t>
  </si>
  <si>
    <t xml:space="preserve">CA-2017-163188</t>
  </si>
  <si>
    <t xml:space="preserve">CA-2016-105207</t>
  </si>
  <si>
    <t xml:space="preserve">US-2016-123610</t>
  </si>
  <si>
    <t xml:space="preserve">CA-2017-118213</t>
  </si>
  <si>
    <t xml:space="preserve">CA-2016-149237</t>
  </si>
  <si>
    <t xml:space="preserve">US-2015-158589</t>
  </si>
  <si>
    <t xml:space="preserve">CA-2016-101329</t>
  </si>
  <si>
    <t xml:space="preserve">CA-2016-113607</t>
  </si>
  <si>
    <t xml:space="preserve">CA-2014-149104</t>
  </si>
  <si>
    <t xml:space="preserve">CA-2016-105263</t>
  </si>
  <si>
    <t xml:space="preserve">CA-2014-130575</t>
  </si>
  <si>
    <t xml:space="preserve">CA-2017-142461</t>
  </si>
  <si>
    <t xml:space="preserve">CA-2016-125220</t>
  </si>
  <si>
    <t xml:space="preserve">CA-2014-100293</t>
  </si>
  <si>
    <t xml:space="preserve">CA-2014-154165</t>
  </si>
  <si>
    <t xml:space="preserve">CA-2015-123939</t>
  </si>
  <si>
    <t xml:space="preserve">US-2017-104451</t>
  </si>
  <si>
    <t xml:space="preserve">CA-2016-101189</t>
  </si>
  <si>
    <t xml:space="preserve">CA-2014-169446</t>
  </si>
  <si>
    <t xml:space="preserve">CA-2017-156958</t>
  </si>
  <si>
    <t xml:space="preserve">CA-2017-101637</t>
  </si>
  <si>
    <t xml:space="preserve">CA-2017-111759</t>
  </si>
  <si>
    <t xml:space="preserve">CA-2017-102729</t>
  </si>
  <si>
    <t xml:space="preserve">CA-2016-116596</t>
  </si>
  <si>
    <t xml:space="preserve">CA-2017-124191</t>
  </si>
  <si>
    <t xml:space="preserve">CA-2016-148747</t>
  </si>
  <si>
    <t xml:space="preserve">US-2017-169488</t>
  </si>
  <si>
    <t xml:space="preserve">CA-2015-135727</t>
  </si>
  <si>
    <t xml:space="preserve">CA-2015-135251</t>
  </si>
  <si>
    <t xml:space="preserve">CA-2014-166590</t>
  </si>
  <si>
    <t xml:space="preserve">CA-2016-131744</t>
  </si>
  <si>
    <t xml:space="preserve">CA-2015-160864</t>
  </si>
  <si>
    <t xml:space="preserve">CA-2015-147690</t>
  </si>
  <si>
    <t xml:space="preserve">CA-2015-163923</t>
  </si>
  <si>
    <t xml:space="preserve">CA-2016-125724</t>
  </si>
  <si>
    <t xml:space="preserve">CA-2015-111612</t>
  </si>
  <si>
    <t xml:space="preserve">CA-2015-156853</t>
  </si>
  <si>
    <t xml:space="preserve">CA-2014-103086</t>
  </si>
  <si>
    <t xml:space="preserve">CA-2016-129280</t>
  </si>
  <si>
    <t xml:space="preserve">CA-2015-161242</t>
  </si>
  <si>
    <t xml:space="preserve">CA-2014-130428</t>
  </si>
  <si>
    <t xml:space="preserve">CA-2017-104388</t>
  </si>
  <si>
    <t xml:space="preserve">CA-2015-113131</t>
  </si>
  <si>
    <t xml:space="preserve">CA-2015-148495</t>
  </si>
  <si>
    <t xml:space="preserve">CA-2015-143147</t>
  </si>
  <si>
    <t xml:space="preserve">CA-2017-152975</t>
  </si>
  <si>
    <t xml:space="preserve">CA-2016-107475</t>
  </si>
  <si>
    <t xml:space="preserve">CA-2017-116127</t>
  </si>
  <si>
    <t xml:space="preserve">CA-2017-132584</t>
  </si>
  <si>
    <t xml:space="preserve">CA-2016-160598</t>
  </si>
  <si>
    <t xml:space="preserve">CA-2016-108630</t>
  </si>
  <si>
    <t xml:space="preserve">US-2017-129203</t>
  </si>
  <si>
    <t xml:space="preserve">CA-2017-110940</t>
  </si>
  <si>
    <t xml:space="preserve">CA-2014-119172</t>
  </si>
  <si>
    <t xml:space="preserve">US-2016-105452</t>
  </si>
  <si>
    <t xml:space="preserve">CA-2017-108931</t>
  </si>
  <si>
    <t xml:space="preserve">CA-2017-104619</t>
  </si>
  <si>
    <t xml:space="preserve">CA-2015-149517</t>
  </si>
  <si>
    <t xml:space="preserve">CA-2015-116841</t>
  </si>
  <si>
    <t xml:space="preserve">CA-2017-107797</t>
  </si>
  <si>
    <t xml:space="preserve">CA-2016-117604</t>
  </si>
  <si>
    <t xml:space="preserve">CA-2014-130155</t>
  </si>
  <si>
    <t xml:space="preserve">CA-2016-129861</t>
  </si>
  <si>
    <t xml:space="preserve">CA-2015-138625</t>
  </si>
  <si>
    <t xml:space="preserve">US-2017-122672</t>
  </si>
  <si>
    <t xml:space="preserve">CA-2017-117128</t>
  </si>
  <si>
    <t xml:space="preserve">CA-2016-130638</t>
  </si>
  <si>
    <t xml:space="preserve">CA-2017-144365</t>
  </si>
  <si>
    <t xml:space="preserve">CA-2016-110086</t>
  </si>
  <si>
    <t xml:space="preserve">CA-2014-128524</t>
  </si>
  <si>
    <t xml:space="preserve">CA-2016-140256</t>
  </si>
  <si>
    <t xml:space="preserve">CA-2017-160633</t>
  </si>
  <si>
    <t xml:space="preserve">CA-2014-115133</t>
  </si>
  <si>
    <t xml:space="preserve">CA-2017-137449</t>
  </si>
  <si>
    <t xml:space="preserve">CA-2017-103520</t>
  </si>
  <si>
    <t xml:space="preserve">CA-2014-139283</t>
  </si>
  <si>
    <t xml:space="preserve">CA-2014-118192</t>
  </si>
  <si>
    <t xml:space="preserve">CA-2016-168844</t>
  </si>
  <si>
    <t xml:space="preserve">CA-2017-154809</t>
  </si>
  <si>
    <t xml:space="preserve">CA-2014-151330</t>
  </si>
  <si>
    <t xml:space="preserve">CA-2014-124702</t>
  </si>
  <si>
    <t xml:space="preserve">US-2017-125808</t>
  </si>
  <si>
    <t xml:space="preserve">CA-2015-116638</t>
  </si>
  <si>
    <t xml:space="preserve">CA-2014-104563</t>
  </si>
  <si>
    <t xml:space="preserve">US-2017-107979</t>
  </si>
  <si>
    <t xml:space="preserve">CA-2014-150518</t>
  </si>
  <si>
    <t xml:space="preserve">CA-2016-107104</t>
  </si>
  <si>
    <t xml:space="preserve">CA-2017-161893</t>
  </si>
  <si>
    <t xml:space="preserve">CA-2014-156160</t>
  </si>
  <si>
    <t xml:space="preserve">CA-2014-100860</t>
  </si>
  <si>
    <t xml:space="preserve">CA-2016-160717</t>
  </si>
  <si>
    <t xml:space="preserve">CA-2017-132619</t>
  </si>
  <si>
    <t xml:space="preserve">US-2015-120957</t>
  </si>
  <si>
    <t xml:space="preserve">CA-2017-157448</t>
  </si>
  <si>
    <t xml:space="preserve">CA-2016-126270</t>
  </si>
  <si>
    <t xml:space="preserve">CA-2017-145275</t>
  </si>
  <si>
    <t xml:space="preserve">CA-2015-133396</t>
  </si>
  <si>
    <t xml:space="preserve">US-2017-140312</t>
  </si>
  <si>
    <t xml:space="preserve">CA-2016-114867</t>
  </si>
  <si>
    <t xml:space="preserve">US-2014-164644</t>
  </si>
  <si>
    <t xml:space="preserve">CA-2016-137393</t>
  </si>
  <si>
    <t xml:space="preserve">US-2014-120175</t>
  </si>
  <si>
    <t xml:space="preserve">CA-2016-144785</t>
  </si>
  <si>
    <t xml:space="preserve">CA-2015-130113</t>
  </si>
  <si>
    <t xml:space="preserve">CA-2017-122770</t>
  </si>
  <si>
    <t xml:space="preserve">CA-2017-118668</t>
  </si>
  <si>
    <t xml:space="preserve">CA-2017-116498</t>
  </si>
  <si>
    <t xml:space="preserve">US-2017-130603</t>
  </si>
  <si>
    <t xml:space="preserve">US-2017-135986</t>
  </si>
  <si>
    <t xml:space="preserve">CA-2017-140536</t>
  </si>
  <si>
    <t xml:space="preserve">CA-2015-130183</t>
  </si>
  <si>
    <t xml:space="preserve">CA-2015-107902</t>
  </si>
  <si>
    <t xml:space="preserve">CA-2017-130148</t>
  </si>
  <si>
    <t xml:space="preserve">US-2016-151260</t>
  </si>
  <si>
    <t xml:space="preserve">CA-2014-144281</t>
  </si>
  <si>
    <t xml:space="preserve">CA-2016-122511</t>
  </si>
  <si>
    <t xml:space="preserve">CA-2017-154116</t>
  </si>
  <si>
    <t xml:space="preserve">CA-2016-105291</t>
  </si>
  <si>
    <t xml:space="preserve">CA-2017-147032</t>
  </si>
  <si>
    <t xml:space="preserve">CA-2017-125990</t>
  </si>
  <si>
    <t xml:space="preserve">CA-2016-161746</t>
  </si>
  <si>
    <t xml:space="preserve">CA-2014-114251</t>
  </si>
  <si>
    <t xml:space="preserve">CA-2016-116379</t>
  </si>
  <si>
    <t xml:space="preserve">US-2016-144477</t>
  </si>
  <si>
    <t xml:space="preserve">CA-2016-108210</t>
  </si>
  <si>
    <t xml:space="preserve">CA-2017-166835</t>
  </si>
  <si>
    <t xml:space="preserve">CA-2016-119641</t>
  </si>
  <si>
    <t xml:space="preserve">CA-2016-105781</t>
  </si>
  <si>
    <t xml:space="preserve">CA-2014-101364</t>
  </si>
  <si>
    <t xml:space="preserve">CA-2015-117898</t>
  </si>
  <si>
    <t xml:space="preserve">CA-2017-142293</t>
  </si>
  <si>
    <t xml:space="preserve">CA-2017-167395</t>
  </si>
  <si>
    <t xml:space="preserve">CA-2014-111962</t>
  </si>
  <si>
    <t xml:space="preserve">CA-2017-124261</t>
  </si>
  <si>
    <t xml:space="preserve">CA-2014-114321</t>
  </si>
  <si>
    <t xml:space="preserve">CA-2014-128062</t>
  </si>
  <si>
    <t xml:space="preserve">US-2015-100069</t>
  </si>
  <si>
    <t xml:space="preserve">CA-2017-129294</t>
  </si>
  <si>
    <t xml:space="preserve">CA-2015-117086</t>
  </si>
  <si>
    <t xml:space="preserve">CA-2017-131303</t>
  </si>
  <si>
    <t xml:space="preserve">CA-2016-137127</t>
  </si>
  <si>
    <t xml:space="preserve">CA-2017-141782</t>
  </si>
  <si>
    <t xml:space="preserve">CA-2017-137505</t>
  </si>
  <si>
    <t xml:space="preserve">US-2014-140914</t>
  </si>
  <si>
    <t xml:space="preserve">CA-2016-158358</t>
  </si>
  <si>
    <t xml:space="preserve">CA-2016-113390</t>
  </si>
  <si>
    <t xml:space="preserve">US-2016-158680</t>
  </si>
  <si>
    <t xml:space="preserve">CA-2017-113705</t>
  </si>
  <si>
    <t xml:space="preserve">CA-2016-146913</t>
  </si>
  <si>
    <t xml:space="preserve">CA-2017-159135</t>
  </si>
  <si>
    <t xml:space="preserve">CA-2014-121762</t>
  </si>
  <si>
    <t xml:space="preserve">CA-2014-123855</t>
  </si>
  <si>
    <t xml:space="preserve">CA-2017-101959</t>
  </si>
  <si>
    <t xml:space="preserve">CA-2017-102659</t>
  </si>
  <si>
    <t xml:space="preserve">CA-2017-142328</t>
  </si>
  <si>
    <t xml:space="preserve">CA-2016-123533</t>
  </si>
  <si>
    <t xml:space="preserve">CA-2016-104983</t>
  </si>
  <si>
    <t xml:space="preserve">CA-2016-160234</t>
  </si>
  <si>
    <t xml:space="preserve">CA-2014-169019</t>
  </si>
  <si>
    <t xml:space="preserve">CA-2016-153178</t>
  </si>
  <si>
    <t xml:space="preserve">CA-2015-149748</t>
  </si>
  <si>
    <t xml:space="preserve">CA-2015-155635</t>
  </si>
  <si>
    <t xml:space="preserve">US-2014-114377</t>
  </si>
  <si>
    <t xml:space="preserve">CA-2017-144491</t>
  </si>
  <si>
    <t xml:space="preserve">CA-2014-127166</t>
  </si>
  <si>
    <t xml:space="preserve">CA-2016-125920</t>
  </si>
  <si>
    <t xml:space="preserve">CA-2015-128608</t>
  </si>
  <si>
    <t xml:space="preserve">CA-2017-137918</t>
  </si>
  <si>
    <t xml:space="preserve">CA-2015-122973</t>
  </si>
  <si>
    <t xml:space="preserve">CA-2016-136322</t>
  </si>
  <si>
    <t xml:space="preserve">CA-2017-107209</t>
  </si>
  <si>
    <t xml:space="preserve">CA-2017-145093</t>
  </si>
  <si>
    <t xml:space="preserve">US-2014-139640</t>
  </si>
  <si>
    <t xml:space="preserve">CA-2016-117583</t>
  </si>
  <si>
    <t xml:space="preserve">CA-2015-162201</t>
  </si>
  <si>
    <t xml:space="preserve">US-2014-164406</t>
  </si>
  <si>
    <t xml:space="preserve">CA-2017-169999</t>
  </si>
  <si>
    <t xml:space="preserve">US-2017-152842</t>
  </si>
  <si>
    <t xml:space="preserve">CA-2014-113257</t>
  </si>
  <si>
    <t xml:space="preserve">CA-2014-133963</t>
  </si>
  <si>
    <t xml:space="preserve">CA-2017-130302</t>
  </si>
  <si>
    <t xml:space="preserve">CA-2016-126627</t>
  </si>
  <si>
    <t xml:space="preserve">US-2016-125402</t>
  </si>
  <si>
    <t xml:space="preserve">CA-2014-163867</t>
  </si>
  <si>
    <t xml:space="preserve">CA-2017-169327</t>
  </si>
  <si>
    <t xml:space="preserve">CA-2014-142979</t>
  </si>
  <si>
    <t xml:space="preserve">CA-2016-158155</t>
  </si>
  <si>
    <t xml:space="preserve">CA-2017-138870</t>
  </si>
  <si>
    <t xml:space="preserve">CA-2014-120950</t>
  </si>
  <si>
    <t xml:space="preserve">CA-2015-164301</t>
  </si>
  <si>
    <t xml:space="preserve">CA-2017-113278</t>
  </si>
  <si>
    <t xml:space="preserve">US-2015-116981</t>
  </si>
  <si>
    <t xml:space="preserve">CA-2014-114195</t>
  </si>
  <si>
    <t xml:space="preserve">CA-2017-146269</t>
  </si>
  <si>
    <t xml:space="preserve">CA-2016-100587</t>
  </si>
  <si>
    <t xml:space="preserve">CA-2016-166653</t>
  </si>
  <si>
    <t xml:space="preserve">CA-2015-130855</t>
  </si>
  <si>
    <t xml:space="preserve">US-2017-166324</t>
  </si>
  <si>
    <t xml:space="preserve">CA-2016-122581</t>
  </si>
  <si>
    <t xml:space="preserve">CA-2015-104297</t>
  </si>
  <si>
    <t xml:space="preserve">CA-2014-153927</t>
  </si>
  <si>
    <t xml:space="preserve">CA-2014-112291</t>
  </si>
  <si>
    <t xml:space="preserve">CA-2014-146997</t>
  </si>
  <si>
    <t xml:space="preserve">CA-2017-169607</t>
  </si>
  <si>
    <t xml:space="preserve">CA-2015-127544</t>
  </si>
  <si>
    <t xml:space="preserve">CA-2017-166499</t>
  </si>
  <si>
    <t xml:space="preserve">US-2016-115441</t>
  </si>
  <si>
    <t xml:space="preserve">CA-2014-115049</t>
  </si>
  <si>
    <t xml:space="preserve">CA-2014-156342</t>
  </si>
  <si>
    <t xml:space="preserve">CA-2016-112830</t>
  </si>
  <si>
    <t xml:space="preserve">US-2014-117380</t>
  </si>
  <si>
    <t xml:space="preserve">CA-2017-117646</t>
  </si>
  <si>
    <t xml:space="preserve">CA-2014-122609</t>
  </si>
  <si>
    <t xml:space="preserve">US-2015-129007</t>
  </si>
  <si>
    <t xml:space="preserve">US-2014-157231</t>
  </si>
  <si>
    <t xml:space="preserve">CA-2015-132388</t>
  </si>
  <si>
    <t xml:space="preserve">CA-2017-160927</t>
  </si>
  <si>
    <t xml:space="preserve">CA-2015-105508</t>
  </si>
  <si>
    <t xml:space="preserve">CA-2016-149272</t>
  </si>
  <si>
    <t xml:space="preserve">CA-2014-111360</t>
  </si>
  <si>
    <t xml:space="preserve">US-2017-162124</t>
  </si>
  <si>
    <t xml:space="preserve">CA-2015-159534</t>
  </si>
  <si>
    <t xml:space="preserve">CA-2016-129630</t>
  </si>
  <si>
    <t xml:space="preserve">CA-2015-104948</t>
  </si>
  <si>
    <t xml:space="preserve">CA-2014-166555</t>
  </si>
  <si>
    <t xml:space="preserve">CA-2016-114405</t>
  </si>
  <si>
    <t xml:space="preserve">CA-2017-132955</t>
  </si>
  <si>
    <t xml:space="preserve">CA-2016-164889</t>
  </si>
  <si>
    <t xml:space="preserve">CA-2016-169824</t>
  </si>
  <si>
    <t xml:space="preserve">CA-2017-164028</t>
  </si>
  <si>
    <t xml:space="preserve">CA-2014-143371</t>
  </si>
  <si>
    <t xml:space="preserve">CA-2015-145415</t>
  </si>
  <si>
    <t xml:space="preserve">CA-2014-111157</t>
  </si>
  <si>
    <t xml:space="preserve">CA-2017-121559</t>
  </si>
  <si>
    <t xml:space="preserve">CA-2015-141593</t>
  </si>
  <si>
    <t xml:space="preserve">US-2014-143287</t>
  </si>
  <si>
    <t xml:space="preserve">CA-2017-137421</t>
  </si>
  <si>
    <t xml:space="preserve">CA-2017-141446</t>
  </si>
  <si>
    <t xml:space="preserve">CA-2015-168088</t>
  </si>
  <si>
    <t xml:space="preserve">CA-2015-143700</t>
  </si>
  <si>
    <t xml:space="preserve">CA-2016-146374</t>
  </si>
  <si>
    <t xml:space="preserve">CA-2017-153871</t>
  </si>
  <si>
    <t xml:space="preserve">CA-2015-103772</t>
  </si>
  <si>
    <t xml:space="preserve">CA-2016-130225</t>
  </si>
  <si>
    <t xml:space="preserve">US-2016-103674</t>
  </si>
  <si>
    <t xml:space="preserve">US-2015-151435</t>
  </si>
  <si>
    <t xml:space="preserve">CA-2017-163566</t>
  </si>
  <si>
    <t xml:space="preserve">US-2016-157728</t>
  </si>
  <si>
    <t xml:space="preserve">CA-2015-100251</t>
  </si>
  <si>
    <t xml:space="preserve">CA-2016-125794</t>
  </si>
  <si>
    <t xml:space="preserve">CA-2017-163629</t>
  </si>
  <si>
    <t xml:space="preserve">CA-2014-110422</t>
  </si>
  <si>
    <t xml:space="preserve">CA-2017-121258</t>
  </si>
  <si>
    <t xml:space="preserve">CA-2017-119914</t>
  </si>
  <si>
    <t xml:space="preserve">Regional Growth Table</t>
  </si>
  <si>
    <t xml:space="preserve">All figures are live SUMIFS on the Data sheet. Years are calendar years.</t>
  </si>
  <si>
    <t xml:space="preserve">1. Sales by region (USD)</t>
  </si>
  <si>
    <t xml:space="preserve">CAGR 2014-17</t>
  </si>
  <si>
    <t xml:space="preserve">Gain 2014-17</t>
  </si>
  <si>
    <t xml:space="preserve">Share of company gain</t>
  </si>
  <si>
    <t xml:space="preserve">Total</t>
  </si>
  <si>
    <t xml:space="preserve">2. Sales growth, year over year (%)</t>
  </si>
  <si>
    <t xml:space="preserve">n/a</t>
  </si>
  <si>
    <t xml:space="preserve">3. Profit by region (USD)</t>
  </si>
  <si>
    <t xml:space="preserve">Total 2014-17</t>
  </si>
  <si>
    <t xml:space="preserve">4. Profit growth, year over year (%)  - read together with the Small_Base_Check sheet</t>
  </si>
  <si>
    <t xml:space="preserve">5. Profit margin (profit / sales)</t>
  </si>
  <si>
    <t xml:space="preserve">Quarterly Sales and Same-Quarter Growth</t>
  </si>
  <si>
    <t xml:space="preserve">Right block compares each quarter with the same quarter one year earlier, so the Q4 festive spike does not look like growth.</t>
  </si>
  <si>
    <t xml:space="preserve">2014-Q1</t>
  </si>
  <si>
    <t xml:space="preserve">2014-Q2</t>
  </si>
  <si>
    <t xml:space="preserve">2014-Q3</t>
  </si>
  <si>
    <t xml:space="preserve">2014-Q4</t>
  </si>
  <si>
    <t xml:space="preserve">2015-Q1</t>
  </si>
  <si>
    <t xml:space="preserve">2015-Q2</t>
  </si>
  <si>
    <t xml:space="preserve">2015-Q3</t>
  </si>
  <si>
    <t xml:space="preserve">2015-Q4</t>
  </si>
  <si>
    <t xml:space="preserve">2016-Q1</t>
  </si>
  <si>
    <t xml:space="preserve">2016-Q2</t>
  </si>
  <si>
    <t xml:space="preserve">2016-Q3</t>
  </si>
  <si>
    <t xml:space="preserve">2016-Q4</t>
  </si>
  <si>
    <t xml:space="preserve">2017-Q1</t>
  </si>
  <si>
    <t xml:space="preserve">2017-Q2</t>
  </si>
  <si>
    <t xml:space="preserve">2017-Q3</t>
  </si>
  <si>
    <t xml:space="preserve">2017-Q4</t>
  </si>
  <si>
    <t xml:space="preserve">Sequential check (why Q-on-Q misleads):</t>
  </si>
  <si>
    <t xml:space="preserve">Central Q3-2016 to Q4-2016</t>
  </si>
  <si>
    <t xml:space="preserve">looks like doubling - but mostly seasonality</t>
  </si>
  <si>
    <t xml:space="preserve">Central Q4-2016 vs Q4-2015 (same quarter)</t>
  </si>
  <si>
    <t xml:space="preserve">the real year-on-year growth</t>
  </si>
  <si>
    <t xml:space="preserve">Small-Base Effect Check (profit growth)</t>
  </si>
  <si>
    <t xml:space="preserve">Big percentages on a tiny base are not big wins. Compare the % with the dollar change.</t>
  </si>
  <si>
    <t xml:space="preserve">Flag threshold (base below this share of region 4-yr average):</t>
  </si>
  <si>
    <t xml:space="preserve">Base (previous-yr profit)</t>
  </si>
  <si>
    <t xml:space="preserve">Change ($)</t>
  </si>
  <si>
    <t xml:space="preserve">Growth (%)</t>
  </si>
  <si>
    <t xml:space="preserve">Region 4-yr avg profit</t>
  </si>
  <si>
    <t xml:space="preserve">Base / avg</t>
  </si>
  <si>
    <t xml:space="preserve">Flag</t>
  </si>
  <si>
    <t xml:space="preserve">Read it like this: Central 2015 shows the biggest % by far, but its dollar gain is smaller than several "boring" region-years - the base (2014 profit) was almost zero.</t>
  </si>
  <si>
    <t xml:space="preserve">Charts</t>
  </si>
  <si>
    <t xml:space="preserve">Cross-check: SQL output vs Excel formulas</t>
  </si>
  <si>
    <t xml:space="preserve">Blue = pasted from the SQL query Q1 result (regional_growth_analysis.sql). Black = pulled from Growth_Table. Diff should be zero.</t>
  </si>
  <si>
    <t xml:space="preserve">SQL Sales</t>
  </si>
  <si>
    <t xml:space="preserve">Excel Sales</t>
  </si>
  <si>
    <t xml:space="preserve">Diff</t>
  </si>
  <si>
    <t xml:space="preserve">SQL Profit</t>
  </si>
  <si>
    <t xml:space="preserve">Excel Profit</t>
  </si>
  <si>
    <t xml:space="preserve">Status</t>
  </si>
  <si>
    <t xml:space="preserve">Rows matching</t>
  </si>
  <si>
    <t xml:space="preserve">Five Insights</t>
  </si>
  <si>
    <t xml:space="preserve">Insight</t>
  </si>
  <si>
    <t xml:space="preserve">What the data shows</t>
  </si>
  <si>
    <t xml:space="preserve">So what / action</t>
  </si>
  <si>
    <t xml:space="preserve">1. West and East carry the growth</t>
  </si>
  <si>
    <t xml:space="preserve">West (CAGR 19.1%) and East (18.3%) together added about 75% of the company's $249k sales gain between 2014 and 2017. East grew in every single year (+21.5%, +15.6%, +17.9%); West dipped 5.4% in 2015 and then jumped 34% and 33%.</t>
  </si>
  <si>
    <t xml:space="preserve">Plan growth targets and stock around these two; East is the more predictable one.</t>
  </si>
  <si>
    <t xml:space="preserve">2. South's swings are partly one big order</t>
  </si>
  <si>
    <t xml:space="preserve">One Cisco TelePresence order of $22,638 (March 2014) was 21.8% of South's 2014 sales. Without it the 2014 base is about $81.2k and the 2015 drop is -12.1%, not -31.3%. Even after two +31% years, South's CAGR is only 5.8%, the lowest of all regions.</t>
  </si>
  <si>
    <t xml:space="preserve">Check for one-off orders before quoting a growth rate; consider reporting with and without outliers.</t>
  </si>
  <si>
    <t xml:space="preserve">3. Central's +2,072% profit growth is a small-base effect</t>
  </si>
  <si>
    <t xml:space="preserve">Central earned just $540 in 2014 (0.5% margin). Going to $11,717 in 2015 is +2,072%, but the dollar gain ($11.2k) is smaller than East's 2017 gain of $13.1k, which was only +65%.</t>
  </si>
  <si>
    <t xml:space="preserve">Always show absolute change next to the percentage; flag any base below the region's normal level.</t>
  </si>
  <si>
    <t xml:space="preserve">4. Central is growing sales but losing the profit</t>
  </si>
  <si>
    <t xml:space="preserve">Central 2017 sales were flat (-0.2%) while profit fell 62% to $7.6k and margin dropped from 13.5% to 5.1%. Central gives the highest average discount (22-27% vs 10-16% in West/East), and Texas and Illinois together lost about $15.6k in 2017. Without those two states Central would have made roughly $23k.</t>
  </si>
  <si>
    <t xml:space="preserve">Review discount policy and the product mix sold in Texas and Illinois.</t>
  </si>
  <si>
    <t xml:space="preserve">5. Compare the same quarter, not the previous quarter</t>
  </si>
  <si>
    <t xml:space="preserve">Every region peaks in Q4. Central went from $33.4k in Q3-2016 to $68.1k in Q4-2016 (+104%) - but versus Q4-2015 the real growth was +59.7%. Sequential growth mixes seasonality with growth.</t>
  </si>
  <si>
    <t xml:space="preserve">Use same-quarter-last-year (or full-year) comparisons for fair period-over-period analysis.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</si>
</sst>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\$#,##0;&quot;($&quot;#,##0\);\-"/>
    <numFmt numFmtId="167" formatCode="0.0%;\(0.0%\);\-"/>
    <numFmt numFmtId="168" formatCode="0%"/>
    <numFmt numFmtId="169" formatCode="0"/>
    <numFmt numFmtId="170" formatCode="\$#,##0"/>
    <numFmt numFmtId="171" formatCode="\$#,##0.00"/>
    <numFmt numFmtId="172" formatCode="0.00;\-0.00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ED7D3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Sales by Region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Growth_Table!A5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7f7f7f"/>
            </a:solidFill>
            <a:ln w="2808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Growth_Table!$B$4:$E$4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Growth_Table!$B$5:$E$5</c:f>
              <c:numCache>
                <c:formatCode>\$#,##0;"($"#,##0\);\-</c:formatCode>
                <c:ptCount val="4"/>
                <c:pt idx="0">
                  <c:v>103838.1646</c:v>
                </c:pt>
                <c:pt idx="1">
                  <c:v>102874.222</c:v>
                </c:pt>
                <c:pt idx="2">
                  <c:v>147429.376</c:v>
                </c:pt>
                <c:pt idx="3">
                  <c:v>147098.1282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Growth_Table!A6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rgbClr val="2e75b6"/>
            </a:solidFill>
            <a:ln w="280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Growth_Table!$B$4:$E$4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Growth_Table!$B$6:$E$6</c:f>
              <c:numCache>
                <c:formatCode>\$#,##0;"($"#,##0\);\-</c:formatCode>
                <c:ptCount val="4"/>
                <c:pt idx="0">
                  <c:v>128680.457</c:v>
                </c:pt>
                <c:pt idx="1">
                  <c:v>156332.057</c:v>
                </c:pt>
                <c:pt idx="2">
                  <c:v>180685.822</c:v>
                </c:pt>
                <c:pt idx="3">
                  <c:v>213082.904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Growth_Table!A7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d7d31"/>
            </a:solidFill>
            <a:ln w="2808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Growth_Table!$B$4:$E$4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Growth_Table!$B$7:$E$7</c:f>
              <c:numCache>
                <c:formatCode>\$#,##0;"($"#,##0\);\-</c:formatCode>
                <c:ptCount val="4"/>
                <c:pt idx="0">
                  <c:v>103845.8435</c:v>
                </c:pt>
                <c:pt idx="1">
                  <c:v>71359.9805</c:v>
                </c:pt>
                <c:pt idx="2">
                  <c:v>93610.2235</c:v>
                </c:pt>
                <c:pt idx="3">
                  <c:v>122905.8575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Growth_Table!A8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rgbClr val="548235"/>
            </a:solidFill>
            <a:ln w="2808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Growth_Table!$B$4:$E$4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Growth_Table!$B$8:$E$8</c:f>
              <c:numCache>
                <c:formatCode>\$#,##0;"($"#,##0\);\-</c:formatCode>
                <c:ptCount val="4"/>
                <c:pt idx="0">
                  <c:v>147883.033</c:v>
                </c:pt>
                <c:pt idx="1">
                  <c:v>139966.2495</c:v>
                </c:pt>
                <c:pt idx="2">
                  <c:v>187480.1765</c:v>
                </c:pt>
                <c:pt idx="3">
                  <c:v>250128.3655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705818"/>
        <c:axId val="14630624"/>
      </c:lineChart>
      <c:catAx>
        <c:axId val="67058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630624"/>
        <c:crosses val="autoZero"/>
        <c:auto val="1"/>
        <c:lblAlgn val="ctr"/>
        <c:lblOffset val="100"/>
        <c:noMultiLvlLbl val="0"/>
      </c:catAx>
      <c:valAx>
        <c:axId val="146306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058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Growth, Year over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"Central"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7f7f7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Growth_Table!$C$12:$E$12</c:f>
              <c:multiLvlStrCache>
                <c:ptCount val="1"/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</c:multiLvlStrCache>
            </c:multiLvlStrRef>
          </c:cat>
          <c:val>
            <c:numRef>
              <c:f>Growth_Table!$C$13:$E$13</c:f>
              <c:numCache>
                <c:formatCode>0.0%;\(0.0%\);\-</c:formatCode>
                <c:ptCount val="3"/>
                <c:pt idx="0">
                  <c:v>-0.00928312440530188</c:v>
                </c:pt>
                <c:pt idx="1">
                  <c:v>0.433103192751241</c:v>
                </c:pt>
                <c:pt idx="2">
                  <c:v>-0.00224682359097816</c:v>
                </c:pt>
              </c:numCache>
            </c:numRef>
          </c:val>
        </c:ser>
        <c:ser>
          <c:idx val="1"/>
          <c:order val="1"/>
          <c:tx>
            <c:strRef>
              <c:f>"East"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Growth_Table!$C$12:$E$12</c:f>
              <c:multiLvlStrCache>
                <c:ptCount val="1"/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</c:multiLvlStrCache>
            </c:multiLvlStrRef>
          </c:cat>
          <c:val>
            <c:numRef>
              <c:f>Growth_Table!$C$14:$E$14</c:f>
              <c:numCache>
                <c:formatCode>0.0%;\(0.0%\);\-</c:formatCode>
                <c:ptCount val="3"/>
                <c:pt idx="0">
                  <c:v>0.214885777099781</c:v>
                </c:pt>
                <c:pt idx="1">
                  <c:v>0.15578228462765</c:v>
                </c:pt>
                <c:pt idx="2">
                  <c:v>0.179300631568093</c:v>
                </c:pt>
              </c:numCache>
            </c:numRef>
          </c:val>
        </c:ser>
        <c:ser>
          <c:idx val="2"/>
          <c:order val="2"/>
          <c:tx>
            <c:strRef>
              <c:f>"South"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Growth_Table!$C$12:$E$12</c:f>
              <c:multiLvlStrCache>
                <c:ptCount val="1"/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</c:multiLvlStrCache>
            </c:multiLvlStrRef>
          </c:cat>
          <c:val>
            <c:numRef>
              <c:f>Growth_Table!$C$15:$E$15</c:f>
              <c:numCache>
                <c:formatCode>0.0%;\(0.0%\);\-</c:formatCode>
                <c:ptCount val="3"/>
                <c:pt idx="0">
                  <c:v>-0.312827763780454</c:v>
                </c:pt>
                <c:pt idx="1">
                  <c:v>0.311802817827283</c:v>
                </c:pt>
                <c:pt idx="2">
                  <c:v>0.312953360270526</c:v>
                </c:pt>
              </c:numCache>
            </c:numRef>
          </c:val>
        </c:ser>
        <c:ser>
          <c:idx val="3"/>
          <c:order val="3"/>
          <c:tx>
            <c:strRef>
              <c:f>"West"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rgbClr val="54823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Growth_Table!$C$12:$E$12</c:f>
              <c:multiLvlStrCache>
                <c:ptCount val="1"/>
                <c:lvl>
                  <c:pt idx="0">
                    <c:v>2017</c:v>
                  </c:pt>
                </c:lvl>
                <c:lvl>
                  <c:pt idx="0">
                    <c:v>2016</c:v>
                  </c:pt>
                </c:lvl>
                <c:lvl>
                  <c:pt idx="0">
                    <c:v>2015</c:v>
                  </c:pt>
                </c:lvl>
              </c:multiLvlStrCache>
            </c:multiLvlStrRef>
          </c:cat>
          <c:val>
            <c:numRef>
              <c:f>Growth_Table!$C$16:$E$16</c:f>
              <c:numCache>
                <c:formatCode>0.0%;\(0.0%\);\-</c:formatCode>
                <c:ptCount val="3"/>
                <c:pt idx="0">
                  <c:v>-0.0535340893366718</c:v>
                </c:pt>
                <c:pt idx="1">
                  <c:v>0.339467029871369</c:v>
                </c:pt>
                <c:pt idx="2">
                  <c:v>0.334159003738723</c:v>
                </c:pt>
              </c:numCache>
            </c:numRef>
          </c:val>
        </c:ser>
        <c:gapWidth val="150"/>
        <c:overlap val="0"/>
        <c:axId val="21116225"/>
        <c:axId val="51711692"/>
      </c:barChart>
      <c:catAx>
        <c:axId val="2111622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11692"/>
        <c:crosses val="autoZero"/>
        <c:auto val="1"/>
        <c:lblAlgn val="ctr"/>
        <c:lblOffset val="100"/>
        <c:noMultiLvlLbl val="0"/>
      </c:catAx>
      <c:valAx>
        <c:axId val="517116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YoY growth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1162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Quarterly Sales by Region (shows the Q4 seasonal peak)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Quarterly_YoY!B3</c:f>
              <c:strCache>
                <c:ptCount val="1"/>
                <c:pt idx="0">
                  <c:v>Central</c:v>
                </c:pt>
              </c:strCache>
            </c:strRef>
          </c:tx>
          <c:spPr>
            <a:solidFill>
              <a:srgbClr val="7f7f7f"/>
            </a:solidFill>
            <a:ln w="2844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Quarterly_YoY!$A$4:$A$19</c:f>
              <c:strCache>
                <c:ptCount val="16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</c:strCache>
            </c:strRef>
          </c:cat>
          <c:val>
            <c:numRef>
              <c:f>Quarterly_YoY!$B$4:$B$19</c:f>
              <c:numCache>
                <c:formatCode>\$#,##0;"($"#,##0\);\-</c:formatCode>
                <c:ptCount val="16"/>
                <c:pt idx="0">
                  <c:v>8600.682</c:v>
                </c:pt>
                <c:pt idx="1">
                  <c:v>17407.1446</c:v>
                </c:pt>
                <c:pt idx="2">
                  <c:v>44171.4468</c:v>
                </c:pt>
                <c:pt idx="3">
                  <c:v>33658.8912</c:v>
                </c:pt>
                <c:pt idx="4">
                  <c:v>11768.3656</c:v>
                </c:pt>
                <c:pt idx="5">
                  <c:v>23979.145</c:v>
                </c:pt>
                <c:pt idx="6">
                  <c:v>24485.5382</c:v>
                </c:pt>
                <c:pt idx="7">
                  <c:v>42641.1732</c:v>
                </c:pt>
                <c:pt idx="8">
                  <c:v>20211.697</c:v>
                </c:pt>
                <c:pt idx="9">
                  <c:v>25759.465</c:v>
                </c:pt>
                <c:pt idx="10">
                  <c:v>33380.2242</c:v>
                </c:pt>
                <c:pt idx="11">
                  <c:v>68077.9898</c:v>
                </c:pt>
                <c:pt idx="12">
                  <c:v>40530.0572</c:v>
                </c:pt>
                <c:pt idx="13">
                  <c:v>27938.739</c:v>
                </c:pt>
                <c:pt idx="14">
                  <c:v>32468.947</c:v>
                </c:pt>
                <c:pt idx="15">
                  <c:v>46160.385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Quarterly_YoY!C3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rgbClr val="2e75b6"/>
            </a:solidFill>
            <a:ln w="284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Quarterly_YoY!$A$4:$A$19</c:f>
              <c:strCache>
                <c:ptCount val="16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</c:strCache>
            </c:strRef>
          </c:cat>
          <c:val>
            <c:numRef>
              <c:f>Quarterly_YoY!$C$4:$C$19</c:f>
              <c:numCache>
                <c:formatCode>\$#,##0;"($"#,##0\);\-</c:formatCode>
                <c:ptCount val="16"/>
                <c:pt idx="0">
                  <c:v>6579.338</c:v>
                </c:pt>
                <c:pt idx="1">
                  <c:v>21064.165</c:v>
                </c:pt>
                <c:pt idx="2">
                  <c:v>33443.383</c:v>
                </c:pt>
                <c:pt idx="3">
                  <c:v>67593.571</c:v>
                </c:pt>
                <c:pt idx="4">
                  <c:v>17145.868</c:v>
                </c:pt>
                <c:pt idx="5">
                  <c:v>22703.208</c:v>
                </c:pt>
                <c:pt idx="6">
                  <c:v>50777.423</c:v>
                </c:pt>
                <c:pt idx="7">
                  <c:v>65705.558</c:v>
                </c:pt>
                <c:pt idx="8">
                  <c:v>24774.765</c:v>
                </c:pt>
                <c:pt idx="9">
                  <c:v>52166.657</c:v>
                </c:pt>
                <c:pt idx="10">
                  <c:v>38051.646</c:v>
                </c:pt>
                <c:pt idx="11">
                  <c:v>65692.754</c:v>
                </c:pt>
                <c:pt idx="12">
                  <c:v>18051.762</c:v>
                </c:pt>
                <c:pt idx="13">
                  <c:v>31511.5</c:v>
                </c:pt>
                <c:pt idx="14">
                  <c:v>65496.387</c:v>
                </c:pt>
                <c:pt idx="15">
                  <c:v>98023.255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Quarterly_YoY!D3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Quarterly_YoY!$A$4:$A$19</c:f>
              <c:strCache>
                <c:ptCount val="16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</c:strCache>
            </c:strRef>
          </c:cat>
          <c:val>
            <c:numRef>
              <c:f>Quarterly_YoY!$D$4:$D$19</c:f>
              <c:numCache>
                <c:formatCode>\$#,##0;"($"#,##0\);\-</c:formatCode>
                <c:ptCount val="16"/>
                <c:pt idx="0">
                  <c:v>44262.199</c:v>
                </c:pt>
                <c:pt idx="1">
                  <c:v>22524.103</c:v>
                </c:pt>
                <c:pt idx="2">
                  <c:v>16061.0615</c:v>
                </c:pt>
                <c:pt idx="3">
                  <c:v>20998.48</c:v>
                </c:pt>
                <c:pt idx="4">
                  <c:v>16444.443</c:v>
                </c:pt>
                <c:pt idx="5">
                  <c:v>16254.2045</c:v>
                </c:pt>
                <c:pt idx="6">
                  <c:v>21459.505</c:v>
                </c:pt>
                <c:pt idx="7">
                  <c:v>17201.828</c:v>
                </c:pt>
                <c:pt idx="8">
                  <c:v>23933.704</c:v>
                </c:pt>
                <c:pt idx="9">
                  <c:v>18381.828</c:v>
                </c:pt>
                <c:pt idx="10">
                  <c:v>21635.8805</c:v>
                </c:pt>
                <c:pt idx="11">
                  <c:v>29658.811</c:v>
                </c:pt>
                <c:pt idx="12">
                  <c:v>13642.182</c:v>
                </c:pt>
                <c:pt idx="13">
                  <c:v>29325.4145</c:v>
                </c:pt>
                <c:pt idx="14">
                  <c:v>23874.152</c:v>
                </c:pt>
                <c:pt idx="15">
                  <c:v>56064.109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Quarterly_YoY!E3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rgbClr val="548235"/>
            </a:solidFill>
            <a:ln w="2844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Quarterly_YoY!$A$4:$A$19</c:f>
              <c:strCache>
                <c:ptCount val="16"/>
                <c:pt idx="0">
                  <c:v>2014-Q1</c:v>
                </c:pt>
                <c:pt idx="1">
                  <c:v>2014-Q2</c:v>
                </c:pt>
                <c:pt idx="2">
                  <c:v>2014-Q3</c:v>
                </c:pt>
                <c:pt idx="3">
                  <c:v>2014-Q4</c:v>
                </c:pt>
                <c:pt idx="4">
                  <c:v>2015-Q1</c:v>
                </c:pt>
                <c:pt idx="5">
                  <c:v>2015-Q2</c:v>
                </c:pt>
                <c:pt idx="6">
                  <c:v>2015-Q3</c:v>
                </c:pt>
                <c:pt idx="7">
                  <c:v>2015-Q4</c:v>
                </c:pt>
                <c:pt idx="8">
                  <c:v>2016-Q1</c:v>
                </c:pt>
                <c:pt idx="9">
                  <c:v>2016-Q2</c:v>
                </c:pt>
                <c:pt idx="10">
                  <c:v>2016-Q3</c:v>
                </c:pt>
                <c:pt idx="11">
                  <c:v>2016-Q4</c:v>
                </c:pt>
                <c:pt idx="12">
                  <c:v>2017-Q1</c:v>
                </c:pt>
                <c:pt idx="13">
                  <c:v>2017-Q2</c:v>
                </c:pt>
                <c:pt idx="14">
                  <c:v>2017-Q3</c:v>
                </c:pt>
                <c:pt idx="15">
                  <c:v>2017-Q4</c:v>
                </c:pt>
              </c:strCache>
            </c:strRef>
          </c:cat>
          <c:val>
            <c:numRef>
              <c:f>Quarterly_YoY!$E$4:$E$19</c:f>
              <c:numCache>
                <c:formatCode>\$#,##0;"($"#,##0\);\-</c:formatCode>
                <c:ptCount val="16"/>
                <c:pt idx="0">
                  <c:v>15005.577</c:v>
                </c:pt>
                <c:pt idx="1">
                  <c:v>25543.347</c:v>
                </c:pt>
                <c:pt idx="2">
                  <c:v>49957.321</c:v>
                </c:pt>
                <c:pt idx="3">
                  <c:v>57376.788</c:v>
                </c:pt>
                <c:pt idx="4">
                  <c:v>23493.062</c:v>
                </c:pt>
                <c:pt idx="5">
                  <c:v>26187.6295</c:v>
                </c:pt>
                <c:pt idx="6">
                  <c:v>33537.109</c:v>
                </c:pt>
                <c:pt idx="7">
                  <c:v>56748.449</c:v>
                </c:pt>
                <c:pt idx="8">
                  <c:v>24317.015</c:v>
                </c:pt>
                <c:pt idx="9">
                  <c:v>39774.351</c:v>
                </c:pt>
                <c:pt idx="10">
                  <c:v>50719.6115</c:v>
                </c:pt>
                <c:pt idx="11">
                  <c:v>72669.199</c:v>
                </c:pt>
                <c:pt idx="12">
                  <c:v>50920.859</c:v>
                </c:pt>
                <c:pt idx="13">
                  <c:v>44988.7185</c:v>
                </c:pt>
                <c:pt idx="14">
                  <c:v>74412.47</c:v>
                </c:pt>
                <c:pt idx="15">
                  <c:v>79806.318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8885537"/>
        <c:axId val="3122579"/>
      </c:lineChart>
      <c:catAx>
        <c:axId val="288855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22579"/>
        <c:crosses val="autoZero"/>
        <c:auto val="1"/>
        <c:lblAlgn val="ctr"/>
        <c:lblOffset val="100"/>
        <c:noMultiLvlLbl val="0"/>
      </c:catAx>
      <c:valAx>
        <c:axId val="31225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855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Growth Looks Big on a Small Base (Central 2015)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Small_Base_Check!E5</c:f>
              <c:strCache>
                <c:ptCount val="1"/>
                <c:pt idx="0">
                  <c:v>Change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Small_Base_Check!$A$6:$B$17</c:f>
              <c:multiLvlStrCache>
                <c:ptCount val="12"/>
                <c:lvl>
                  <c:pt idx="0">
                    <c:v>2015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2015</c:v>
                  </c:pt>
                  <c:pt idx="4">
                    <c:v>2016</c:v>
                  </c:pt>
                  <c:pt idx="5">
                    <c:v>2017</c:v>
                  </c:pt>
                  <c:pt idx="6">
                    <c:v>2015</c:v>
                  </c:pt>
                  <c:pt idx="7">
                    <c:v>2016</c:v>
                  </c:pt>
                  <c:pt idx="8">
                    <c:v>2017</c:v>
                  </c:pt>
                  <c:pt idx="9">
                    <c:v>2015</c:v>
                  </c:pt>
                  <c:pt idx="10">
                    <c:v>2016</c:v>
                  </c:pt>
                  <c:pt idx="11">
                    <c:v>2017</c:v>
                  </c:pt>
                </c:lvl>
                <c:lvl>
                  <c:pt idx="0">
                    <c:v>Central</c:v>
                  </c:pt>
                  <c:pt idx="1">
                    <c:v>Central</c:v>
                  </c:pt>
                  <c:pt idx="2">
                    <c:v>Central</c:v>
                  </c:pt>
                  <c:pt idx="3">
                    <c:v>East</c:v>
                  </c:pt>
                  <c:pt idx="4">
                    <c:v>East</c:v>
                  </c:pt>
                  <c:pt idx="5">
                    <c:v>East</c:v>
                  </c:pt>
                  <c:pt idx="6">
                    <c:v>South</c:v>
                  </c:pt>
                  <c:pt idx="7">
                    <c:v>South</c:v>
                  </c:pt>
                  <c:pt idx="8">
                    <c:v>South</c:v>
                  </c:pt>
                  <c:pt idx="9">
                    <c:v>West</c:v>
                  </c:pt>
                  <c:pt idx="10">
                    <c:v>West</c:v>
                  </c:pt>
                  <c:pt idx="11">
                    <c:v>West</c:v>
                  </c:pt>
                </c:lvl>
              </c:multiLvlStrCache>
            </c:multiLvlStrRef>
          </c:cat>
          <c:val>
            <c:numRef>
              <c:f>Small_Base_Check!$E$6:$E$17</c:f>
              <c:numCache>
                <c:formatCode>\$#,##0;"($"#,##0\);\-</c:formatCode>
                <c:ptCount val="12"/>
                <c:pt idx="0">
                  <c:v>11177.2486</c:v>
                </c:pt>
                <c:pt idx="1">
                  <c:v>8182.3609</c:v>
                </c:pt>
                <c:pt idx="2">
                  <c:v>-12348.3187</c:v>
                </c:pt>
                <c:pt idx="3">
                  <c:v>4031.4035</c:v>
                </c:pt>
                <c:pt idx="4">
                  <c:v>-949.4169</c:v>
                </c:pt>
                <c:pt idx="5">
                  <c:v>13088.9653</c:v>
                </c:pt>
                <c:pt idx="6">
                  <c:v>-3560.526</c:v>
                </c:pt>
                <c:pt idx="7">
                  <c:v>9384.2144</c:v>
                </c:pt>
                <c:pt idx="8">
                  <c:v>-8853.9005</c:v>
                </c:pt>
                <c:pt idx="9">
                  <c:v>426.503499999999</c:v>
                </c:pt>
                <c:pt idx="10">
                  <c:v>3559.4122</c:v>
                </c:pt>
                <c:pt idx="11">
                  <c:v>19757.3492</c:v>
                </c:pt>
              </c:numCache>
            </c:numRef>
          </c:val>
        </c:ser>
        <c:gapWidth val="150"/>
        <c:overlap val="0"/>
        <c:axId val="56139954"/>
        <c:axId val="65490041"/>
      </c:barChart>
      <c:catAx>
        <c:axId val="5613995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90041"/>
        <c:crosses val="autoZero"/>
        <c:auto val="1"/>
        <c:lblAlgn val="ctr"/>
        <c:lblOffset val="100"/>
        <c:noMultiLvlLbl val="0"/>
      </c:catAx>
      <c:valAx>
        <c:axId val="654900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Profit change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399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10</xdr:col>
      <xdr:colOff>4680</xdr:colOff>
      <xdr:row>17</xdr:row>
      <xdr:rowOff>172080</xdr:rowOff>
    </xdr:to>
    <xdr:graphicFrame>
      <xdr:nvGraphicFramePr>
        <xdr:cNvPr id="0" name="Chart 1"/>
        <xdr:cNvGraphicFramePr/>
      </xdr:nvGraphicFramePr>
      <xdr:xfrm>
        <a:off x="0" y="380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</xdr:row>
      <xdr:rowOff>160560</xdr:rowOff>
    </xdr:from>
    <xdr:to>
      <xdr:col>21</xdr:col>
      <xdr:colOff>4680</xdr:colOff>
      <xdr:row>17</xdr:row>
      <xdr:rowOff>172080</xdr:rowOff>
    </xdr:to>
    <xdr:graphicFrame>
      <xdr:nvGraphicFramePr>
        <xdr:cNvPr id="1" name="Chart 2"/>
        <xdr:cNvGraphicFramePr/>
      </xdr:nvGraphicFramePr>
      <xdr:xfrm>
        <a:off x="6726600" y="380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19</xdr:row>
      <xdr:rowOff>160560</xdr:rowOff>
    </xdr:from>
    <xdr:to>
      <xdr:col>10</xdr:col>
      <xdr:colOff>4680</xdr:colOff>
      <xdr:row>35</xdr:row>
      <xdr:rowOff>172080</xdr:rowOff>
    </xdr:to>
    <xdr:graphicFrame>
      <xdr:nvGraphicFramePr>
        <xdr:cNvPr id="2" name="Chart 3"/>
        <xdr:cNvGraphicFramePr/>
      </xdr:nvGraphicFramePr>
      <xdr:xfrm>
        <a:off x="0" y="3809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19</xdr:row>
      <xdr:rowOff>160560</xdr:rowOff>
    </xdr:from>
    <xdr:to>
      <xdr:col>21</xdr:col>
      <xdr:colOff>4680</xdr:colOff>
      <xdr:row>35</xdr:row>
      <xdr:rowOff>172080</xdr:rowOff>
    </xdr:to>
    <xdr:graphicFrame>
      <xdr:nvGraphicFramePr>
        <xdr:cNvPr id="3" name="Chart 4"/>
        <xdr:cNvGraphicFramePr/>
      </xdr:nvGraphicFramePr>
      <xdr:xfrm>
        <a:off x="6726600" y="38098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8" hidden="false" customHeight="true" outlineLevel="0" collapsed="false">
      <c r="A4" s="3" t="s">
        <v>2</v>
      </c>
      <c r="B4" s="4" t="s">
        <v>3</v>
      </c>
    </row>
    <row r="5" customFormat="false" ht="48" hidden="false" customHeight="true" outlineLevel="0" collapsed="false">
      <c r="A5" s="3" t="s">
        <v>4</v>
      </c>
      <c r="B5" s="4" t="s">
        <v>5</v>
      </c>
    </row>
    <row r="6" customFormat="false" ht="48" hidden="false" customHeight="true" outlineLevel="0" collapsed="false">
      <c r="A6" s="3" t="s">
        <v>6</v>
      </c>
      <c r="B6" s="4" t="s">
        <v>7</v>
      </c>
    </row>
    <row r="7" customFormat="false" ht="48" hidden="false" customHeight="true" outlineLevel="0" collapsed="false">
      <c r="A7" s="3" t="s">
        <v>8</v>
      </c>
      <c r="B7" s="4" t="s">
        <v>9</v>
      </c>
    </row>
    <row r="8" customFormat="false" ht="48" hidden="false" customHeight="true" outlineLevel="0" collapsed="false">
      <c r="A8" s="3" t="s">
        <v>10</v>
      </c>
      <c r="B8" s="4" t="s">
        <v>11</v>
      </c>
    </row>
    <row r="9" customFormat="false" ht="48" hidden="false" customHeight="true" outlineLevel="0" collapsed="false">
      <c r="A9" s="3" t="s">
        <v>12</v>
      </c>
      <c r="B9" s="4" t="s">
        <v>13</v>
      </c>
    </row>
    <row r="10" customFormat="false" ht="48" hidden="false" customHeight="true" outlineLevel="0" collapsed="false">
      <c r="A10" s="3" t="s">
        <v>14</v>
      </c>
      <c r="B10" s="4" t="s">
        <v>15</v>
      </c>
    </row>
    <row r="11" customFormat="false" ht="48" hidden="false" customHeight="true" outlineLevel="0" collapsed="false">
      <c r="A11" s="3" t="s">
        <v>16</v>
      </c>
      <c r="B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8"/>
    <col collapsed="false" customWidth="true" hidden="false" outlineLevel="0" max="10" min="10" style="0" width="10"/>
  </cols>
  <sheetData>
    <row r="1" customFormat="false" ht="15" hidden="false" customHeight="fals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</row>
    <row r="2" customFormat="false" ht="15" hidden="false" customHeight="false" outlineLevel="0" collapsed="false">
      <c r="A2" s="0" t="s">
        <v>28</v>
      </c>
      <c r="B2" s="6" t="n">
        <v>42682</v>
      </c>
      <c r="C2" s="7" t="s">
        <v>29</v>
      </c>
      <c r="D2" s="7" t="s">
        <v>30</v>
      </c>
      <c r="E2" s="7" t="s">
        <v>31</v>
      </c>
      <c r="F2" s="0" t="n">
        <v>261.96</v>
      </c>
      <c r="G2" s="0" t="n">
        <v>41.9136</v>
      </c>
      <c r="H2" s="0" t="n">
        <v>0</v>
      </c>
      <c r="I2" s="7" t="n">
        <f aca="false">YEAR(B2)</f>
        <v>2016</v>
      </c>
      <c r="J2" s="0" t="str">
        <f aca="false">I2&amp;"-Q"&amp;ROUNDUP(MONTH(B2)/3,0)</f>
        <v>2016-Q4</v>
      </c>
    </row>
    <row r="3" customFormat="false" ht="15" hidden="false" customHeight="false" outlineLevel="0" collapsed="false">
      <c r="A3" s="0" t="s">
        <v>28</v>
      </c>
      <c r="B3" s="6" t="n">
        <v>42682</v>
      </c>
      <c r="C3" s="7" t="s">
        <v>29</v>
      </c>
      <c r="D3" s="7" t="s">
        <v>30</v>
      </c>
      <c r="E3" s="7" t="s">
        <v>31</v>
      </c>
      <c r="F3" s="0" t="n">
        <v>731.94</v>
      </c>
      <c r="G3" s="0" t="n">
        <v>219.582</v>
      </c>
      <c r="H3" s="0" t="n">
        <v>0</v>
      </c>
      <c r="I3" s="7" t="n">
        <f aca="false">YEAR(B3)</f>
        <v>2016</v>
      </c>
      <c r="J3" s="0" t="str">
        <f aca="false">I3&amp;"-Q"&amp;ROUNDUP(MONTH(B3)/3,0)</f>
        <v>2016-Q4</v>
      </c>
    </row>
    <row r="4" customFormat="false" ht="15" hidden="false" customHeight="false" outlineLevel="0" collapsed="false">
      <c r="A4" s="0" t="s">
        <v>32</v>
      </c>
      <c r="B4" s="6" t="n">
        <v>42533</v>
      </c>
      <c r="C4" s="7" t="s">
        <v>33</v>
      </c>
      <c r="D4" s="7" t="s">
        <v>34</v>
      </c>
      <c r="E4" s="7" t="s">
        <v>35</v>
      </c>
      <c r="F4" s="0" t="n">
        <v>14.62</v>
      </c>
      <c r="G4" s="0" t="n">
        <v>6.8714</v>
      </c>
      <c r="H4" s="0" t="n">
        <v>0</v>
      </c>
      <c r="I4" s="7" t="n">
        <f aca="false">YEAR(B4)</f>
        <v>2016</v>
      </c>
      <c r="J4" s="0" t="str">
        <f aca="false">I4&amp;"-Q"&amp;ROUNDUP(MONTH(B4)/3,0)</f>
        <v>2016-Q2</v>
      </c>
    </row>
    <row r="5" customFormat="false" ht="15" hidden="false" customHeight="false" outlineLevel="0" collapsed="false">
      <c r="A5" s="0" t="s">
        <v>36</v>
      </c>
      <c r="B5" s="6" t="n">
        <v>42288</v>
      </c>
      <c r="C5" s="7" t="s">
        <v>29</v>
      </c>
      <c r="D5" s="7" t="s">
        <v>37</v>
      </c>
      <c r="E5" s="7" t="s">
        <v>31</v>
      </c>
      <c r="F5" s="0" t="n">
        <v>957.5775</v>
      </c>
      <c r="G5" s="0" t="n">
        <v>-383.031</v>
      </c>
      <c r="H5" s="0" t="n">
        <v>0.45</v>
      </c>
      <c r="I5" s="7" t="n">
        <f aca="false">YEAR(B5)</f>
        <v>2015</v>
      </c>
      <c r="J5" s="0" t="str">
        <f aca="false">I5&amp;"-Q"&amp;ROUNDUP(MONTH(B5)/3,0)</f>
        <v>2015-Q4</v>
      </c>
    </row>
    <row r="6" customFormat="false" ht="15" hidden="false" customHeight="false" outlineLevel="0" collapsed="false">
      <c r="A6" s="0" t="s">
        <v>36</v>
      </c>
      <c r="B6" s="6" t="n">
        <v>42288</v>
      </c>
      <c r="C6" s="7" t="s">
        <v>29</v>
      </c>
      <c r="D6" s="7" t="s">
        <v>37</v>
      </c>
      <c r="E6" s="7" t="s">
        <v>35</v>
      </c>
      <c r="F6" s="0" t="n">
        <v>22.368</v>
      </c>
      <c r="G6" s="0" t="n">
        <v>2.5164</v>
      </c>
      <c r="H6" s="0" t="n">
        <v>0.2</v>
      </c>
      <c r="I6" s="7" t="n">
        <f aca="false">YEAR(B6)</f>
        <v>2015</v>
      </c>
      <c r="J6" s="0" t="str">
        <f aca="false">I6&amp;"-Q"&amp;ROUNDUP(MONTH(B6)/3,0)</f>
        <v>2015-Q4</v>
      </c>
    </row>
    <row r="7" customFormat="false" ht="15" hidden="false" customHeight="false" outlineLevel="0" collapsed="false">
      <c r="A7" s="0" t="s">
        <v>38</v>
      </c>
      <c r="B7" s="6" t="n">
        <v>41799</v>
      </c>
      <c r="C7" s="7" t="s">
        <v>33</v>
      </c>
      <c r="D7" s="7" t="s">
        <v>34</v>
      </c>
      <c r="E7" s="7" t="s">
        <v>31</v>
      </c>
      <c r="F7" s="0" t="n">
        <v>48.86</v>
      </c>
      <c r="G7" s="0" t="n">
        <v>14.1694</v>
      </c>
      <c r="H7" s="0" t="n">
        <v>0</v>
      </c>
      <c r="I7" s="7" t="n">
        <f aca="false">YEAR(B7)</f>
        <v>2014</v>
      </c>
      <c r="J7" s="0" t="str">
        <f aca="false">I7&amp;"-Q"&amp;ROUNDUP(MONTH(B7)/3,0)</f>
        <v>2014-Q2</v>
      </c>
    </row>
    <row r="8" customFormat="false" ht="15" hidden="false" customHeight="false" outlineLevel="0" collapsed="false">
      <c r="A8" s="0" t="s">
        <v>38</v>
      </c>
      <c r="B8" s="6" t="n">
        <v>41799</v>
      </c>
      <c r="C8" s="7" t="s">
        <v>33</v>
      </c>
      <c r="D8" s="7" t="s">
        <v>34</v>
      </c>
      <c r="E8" s="7" t="s">
        <v>35</v>
      </c>
      <c r="F8" s="0" t="n">
        <v>7.28</v>
      </c>
      <c r="G8" s="0" t="n">
        <v>1.9656</v>
      </c>
      <c r="H8" s="0" t="n">
        <v>0</v>
      </c>
      <c r="I8" s="7" t="n">
        <f aca="false">YEAR(B8)</f>
        <v>2014</v>
      </c>
      <c r="J8" s="0" t="str">
        <f aca="false">I8&amp;"-Q"&amp;ROUNDUP(MONTH(B8)/3,0)</f>
        <v>2014-Q2</v>
      </c>
    </row>
    <row r="9" customFormat="false" ht="15" hidden="false" customHeight="false" outlineLevel="0" collapsed="false">
      <c r="A9" s="0" t="s">
        <v>38</v>
      </c>
      <c r="B9" s="6" t="n">
        <v>41799</v>
      </c>
      <c r="C9" s="7" t="s">
        <v>33</v>
      </c>
      <c r="D9" s="7" t="s">
        <v>34</v>
      </c>
      <c r="E9" s="7" t="s">
        <v>39</v>
      </c>
      <c r="F9" s="0" t="n">
        <v>907.152</v>
      </c>
      <c r="G9" s="0" t="n">
        <v>90.7152</v>
      </c>
      <c r="H9" s="0" t="n">
        <v>0.2</v>
      </c>
      <c r="I9" s="7" t="n">
        <f aca="false">YEAR(B9)</f>
        <v>2014</v>
      </c>
      <c r="J9" s="0" t="str">
        <f aca="false">I9&amp;"-Q"&amp;ROUNDUP(MONTH(B9)/3,0)</f>
        <v>2014-Q2</v>
      </c>
    </row>
    <row r="10" customFormat="false" ht="15" hidden="false" customHeight="false" outlineLevel="0" collapsed="false">
      <c r="A10" s="0" t="s">
        <v>38</v>
      </c>
      <c r="B10" s="6" t="n">
        <v>41799</v>
      </c>
      <c r="C10" s="7" t="s">
        <v>33</v>
      </c>
      <c r="D10" s="7" t="s">
        <v>34</v>
      </c>
      <c r="E10" s="7" t="s">
        <v>35</v>
      </c>
      <c r="F10" s="0" t="n">
        <v>18.504</v>
      </c>
      <c r="G10" s="0" t="n">
        <v>5.7825</v>
      </c>
      <c r="H10" s="0" t="n">
        <v>0.2</v>
      </c>
      <c r="I10" s="7" t="n">
        <f aca="false">YEAR(B10)</f>
        <v>2014</v>
      </c>
      <c r="J10" s="0" t="str">
        <f aca="false">I10&amp;"-Q"&amp;ROUNDUP(MONTH(B10)/3,0)</f>
        <v>2014-Q2</v>
      </c>
    </row>
    <row r="11" customFormat="false" ht="15" hidden="false" customHeight="false" outlineLevel="0" collapsed="false">
      <c r="A11" s="0" t="s">
        <v>38</v>
      </c>
      <c r="B11" s="6" t="n">
        <v>41799</v>
      </c>
      <c r="C11" s="7" t="s">
        <v>33</v>
      </c>
      <c r="D11" s="7" t="s">
        <v>34</v>
      </c>
      <c r="E11" s="7" t="s">
        <v>35</v>
      </c>
      <c r="F11" s="0" t="n">
        <v>114.9</v>
      </c>
      <c r="G11" s="0" t="n">
        <v>34.47</v>
      </c>
      <c r="H11" s="0" t="n">
        <v>0</v>
      </c>
      <c r="I11" s="7" t="n">
        <f aca="false">YEAR(B11)</f>
        <v>2014</v>
      </c>
      <c r="J11" s="0" t="str">
        <f aca="false">I11&amp;"-Q"&amp;ROUNDUP(MONTH(B11)/3,0)</f>
        <v>2014-Q2</v>
      </c>
    </row>
    <row r="12" customFormat="false" ht="15" hidden="false" customHeight="false" outlineLevel="0" collapsed="false">
      <c r="A12" s="0" t="s">
        <v>38</v>
      </c>
      <c r="B12" s="6" t="n">
        <v>41799</v>
      </c>
      <c r="C12" s="7" t="s">
        <v>33</v>
      </c>
      <c r="D12" s="7" t="s">
        <v>34</v>
      </c>
      <c r="E12" s="7" t="s">
        <v>31</v>
      </c>
      <c r="F12" s="0" t="n">
        <v>1706.184</v>
      </c>
      <c r="G12" s="0" t="n">
        <v>85.3092</v>
      </c>
      <c r="H12" s="0" t="n">
        <v>0.2</v>
      </c>
      <c r="I12" s="7" t="n">
        <f aca="false">YEAR(B12)</f>
        <v>2014</v>
      </c>
      <c r="J12" s="0" t="str">
        <f aca="false">I12&amp;"-Q"&amp;ROUNDUP(MONTH(B12)/3,0)</f>
        <v>2014-Q2</v>
      </c>
    </row>
    <row r="13" customFormat="false" ht="15" hidden="false" customHeight="false" outlineLevel="0" collapsed="false">
      <c r="A13" s="0" t="s">
        <v>38</v>
      </c>
      <c r="B13" s="6" t="n">
        <v>41799</v>
      </c>
      <c r="C13" s="7" t="s">
        <v>33</v>
      </c>
      <c r="D13" s="7" t="s">
        <v>34</v>
      </c>
      <c r="E13" s="7" t="s">
        <v>39</v>
      </c>
      <c r="F13" s="0" t="n">
        <v>911.424</v>
      </c>
      <c r="G13" s="0" t="n">
        <v>68.3568</v>
      </c>
      <c r="H13" s="0" t="n">
        <v>0.2</v>
      </c>
      <c r="I13" s="7" t="n">
        <f aca="false">YEAR(B13)</f>
        <v>2014</v>
      </c>
      <c r="J13" s="0" t="str">
        <f aca="false">I13&amp;"-Q"&amp;ROUNDUP(MONTH(B13)/3,0)</f>
        <v>2014-Q2</v>
      </c>
    </row>
    <row r="14" customFormat="false" ht="15" hidden="false" customHeight="false" outlineLevel="0" collapsed="false">
      <c r="A14" s="0" t="s">
        <v>40</v>
      </c>
      <c r="B14" s="6" t="n">
        <v>42840</v>
      </c>
      <c r="C14" s="7" t="s">
        <v>29</v>
      </c>
      <c r="D14" s="7" t="s">
        <v>41</v>
      </c>
      <c r="E14" s="7" t="s">
        <v>35</v>
      </c>
      <c r="F14" s="0" t="n">
        <v>15.552</v>
      </c>
      <c r="G14" s="0" t="n">
        <v>5.4432</v>
      </c>
      <c r="H14" s="0" t="n">
        <v>0.2</v>
      </c>
      <c r="I14" s="7" t="n">
        <f aca="false">YEAR(B14)</f>
        <v>2017</v>
      </c>
      <c r="J14" s="0" t="str">
        <f aca="false">I14&amp;"-Q"&amp;ROUNDUP(MONTH(B14)/3,0)</f>
        <v>2017-Q2</v>
      </c>
    </row>
    <row r="15" customFormat="false" ht="15" hidden="false" customHeight="false" outlineLevel="0" collapsed="false">
      <c r="A15" s="0" t="s">
        <v>42</v>
      </c>
      <c r="B15" s="6" t="n">
        <v>42709</v>
      </c>
      <c r="C15" s="7" t="s">
        <v>33</v>
      </c>
      <c r="D15" s="7" t="s">
        <v>43</v>
      </c>
      <c r="E15" s="7" t="s">
        <v>35</v>
      </c>
      <c r="F15" s="0" t="n">
        <v>407.976</v>
      </c>
      <c r="G15" s="0" t="n">
        <v>132.5922</v>
      </c>
      <c r="H15" s="0" t="n">
        <v>0.2</v>
      </c>
      <c r="I15" s="7" t="n">
        <f aca="false">YEAR(B15)</f>
        <v>2016</v>
      </c>
      <c r="J15" s="0" t="str">
        <f aca="false">I15&amp;"-Q"&amp;ROUNDUP(MONTH(B15)/3,0)</f>
        <v>2016-Q4</v>
      </c>
    </row>
    <row r="16" customFormat="false" ht="15" hidden="false" customHeight="false" outlineLevel="0" collapsed="false">
      <c r="A16" s="0" t="s">
        <v>44</v>
      </c>
      <c r="B16" s="6" t="n">
        <v>42330</v>
      </c>
      <c r="C16" s="7" t="s">
        <v>45</v>
      </c>
      <c r="D16" s="7" t="s">
        <v>46</v>
      </c>
      <c r="E16" s="7" t="s">
        <v>35</v>
      </c>
      <c r="F16" s="0" t="n">
        <v>68.81</v>
      </c>
      <c r="G16" s="0" t="n">
        <v>-123.858</v>
      </c>
      <c r="H16" s="0" t="n">
        <v>0.8</v>
      </c>
      <c r="I16" s="7" t="n">
        <f aca="false">YEAR(B16)</f>
        <v>2015</v>
      </c>
      <c r="J16" s="0" t="str">
        <f aca="false">I16&amp;"-Q"&amp;ROUNDUP(MONTH(B16)/3,0)</f>
        <v>2015-Q4</v>
      </c>
    </row>
    <row r="17" customFormat="false" ht="15" hidden="false" customHeight="false" outlineLevel="0" collapsed="false">
      <c r="A17" s="0" t="s">
        <v>44</v>
      </c>
      <c r="B17" s="6" t="n">
        <v>42330</v>
      </c>
      <c r="C17" s="7" t="s">
        <v>45</v>
      </c>
      <c r="D17" s="7" t="s">
        <v>46</v>
      </c>
      <c r="E17" s="7" t="s">
        <v>35</v>
      </c>
      <c r="F17" s="0" t="n">
        <v>2.544</v>
      </c>
      <c r="G17" s="0" t="n">
        <v>-3.816</v>
      </c>
      <c r="H17" s="0" t="n">
        <v>0.8</v>
      </c>
      <c r="I17" s="7" t="n">
        <f aca="false">YEAR(B17)</f>
        <v>2015</v>
      </c>
      <c r="J17" s="0" t="str">
        <f aca="false">I17&amp;"-Q"&amp;ROUNDUP(MONTH(B17)/3,0)</f>
        <v>2015-Q4</v>
      </c>
    </row>
    <row r="18" customFormat="false" ht="15" hidden="false" customHeight="false" outlineLevel="0" collapsed="false">
      <c r="A18" s="0" t="s">
        <v>47</v>
      </c>
      <c r="B18" s="6" t="n">
        <v>41954</v>
      </c>
      <c r="C18" s="7" t="s">
        <v>45</v>
      </c>
      <c r="D18" s="7" t="s">
        <v>48</v>
      </c>
      <c r="E18" s="7" t="s">
        <v>35</v>
      </c>
      <c r="F18" s="0" t="n">
        <v>665.88</v>
      </c>
      <c r="G18" s="0" t="n">
        <v>13.3176</v>
      </c>
      <c r="H18" s="0" t="n">
        <v>0</v>
      </c>
      <c r="I18" s="7" t="n">
        <f aca="false">YEAR(B18)</f>
        <v>2014</v>
      </c>
      <c r="J18" s="0" t="str">
        <f aca="false">I18&amp;"-Q"&amp;ROUNDUP(MONTH(B18)/3,0)</f>
        <v>2014-Q4</v>
      </c>
    </row>
    <row r="19" customFormat="false" ht="15" hidden="false" customHeight="false" outlineLevel="0" collapsed="false">
      <c r="A19" s="0" t="s">
        <v>49</v>
      </c>
      <c r="B19" s="6" t="n">
        <v>41772</v>
      </c>
      <c r="C19" s="7" t="s">
        <v>33</v>
      </c>
      <c r="D19" s="7" t="s">
        <v>50</v>
      </c>
      <c r="E19" s="7" t="s">
        <v>35</v>
      </c>
      <c r="F19" s="0" t="n">
        <v>55.5</v>
      </c>
      <c r="G19" s="0" t="n">
        <v>9.99</v>
      </c>
      <c r="H19" s="0" t="n">
        <v>0</v>
      </c>
      <c r="I19" s="7" t="n">
        <f aca="false">YEAR(B19)</f>
        <v>2014</v>
      </c>
      <c r="J19" s="0" t="str">
        <f aca="false">I19&amp;"-Q"&amp;ROUNDUP(MONTH(B19)/3,0)</f>
        <v>2014-Q2</v>
      </c>
    </row>
    <row r="20" customFormat="false" ht="15" hidden="false" customHeight="false" outlineLevel="0" collapsed="false">
      <c r="A20" s="0" t="s">
        <v>51</v>
      </c>
      <c r="B20" s="6" t="n">
        <v>41878</v>
      </c>
      <c r="C20" s="7" t="s">
        <v>33</v>
      </c>
      <c r="D20" s="7" t="s">
        <v>34</v>
      </c>
      <c r="E20" s="7" t="s">
        <v>35</v>
      </c>
      <c r="F20" s="0" t="n">
        <v>8.56</v>
      </c>
      <c r="G20" s="0" t="n">
        <v>2.4824</v>
      </c>
      <c r="H20" s="0" t="n">
        <v>0</v>
      </c>
      <c r="I20" s="7" t="n">
        <f aca="false">YEAR(B20)</f>
        <v>2014</v>
      </c>
      <c r="J20" s="0" t="str">
        <f aca="false">I20&amp;"-Q"&amp;ROUNDUP(MONTH(B20)/3,0)</f>
        <v>2014-Q3</v>
      </c>
    </row>
    <row r="21" customFormat="false" ht="15" hidden="false" customHeight="false" outlineLevel="0" collapsed="false">
      <c r="A21" s="0" t="s">
        <v>51</v>
      </c>
      <c r="B21" s="6" t="n">
        <v>41878</v>
      </c>
      <c r="C21" s="7" t="s">
        <v>33</v>
      </c>
      <c r="D21" s="7" t="s">
        <v>34</v>
      </c>
      <c r="E21" s="7" t="s">
        <v>39</v>
      </c>
      <c r="F21" s="0" t="n">
        <v>213.48</v>
      </c>
      <c r="G21" s="0" t="n">
        <v>16.011</v>
      </c>
      <c r="H21" s="0" t="n">
        <v>0.2</v>
      </c>
      <c r="I21" s="7" t="n">
        <f aca="false">YEAR(B21)</f>
        <v>2014</v>
      </c>
      <c r="J21" s="0" t="str">
        <f aca="false">I21&amp;"-Q"&amp;ROUNDUP(MONTH(B21)/3,0)</f>
        <v>2014-Q3</v>
      </c>
    </row>
    <row r="22" customFormat="false" ht="15" hidden="false" customHeight="false" outlineLevel="0" collapsed="false">
      <c r="A22" s="0" t="s">
        <v>51</v>
      </c>
      <c r="B22" s="6" t="n">
        <v>41878</v>
      </c>
      <c r="C22" s="7" t="s">
        <v>33</v>
      </c>
      <c r="D22" s="7" t="s">
        <v>34</v>
      </c>
      <c r="E22" s="7" t="s">
        <v>35</v>
      </c>
      <c r="F22" s="0" t="n">
        <v>22.72</v>
      </c>
      <c r="G22" s="0" t="n">
        <v>7.384</v>
      </c>
      <c r="H22" s="0" t="n">
        <v>0.2</v>
      </c>
      <c r="I22" s="7" t="n">
        <f aca="false">YEAR(B22)</f>
        <v>2014</v>
      </c>
      <c r="J22" s="0" t="str">
        <f aca="false">I22&amp;"-Q"&amp;ROUNDUP(MONTH(B22)/3,0)</f>
        <v>2014-Q3</v>
      </c>
    </row>
    <row r="23" customFormat="false" ht="15" hidden="false" customHeight="false" outlineLevel="0" collapsed="false">
      <c r="A23" s="0" t="s">
        <v>52</v>
      </c>
      <c r="B23" s="6" t="n">
        <v>42713</v>
      </c>
      <c r="C23" s="7" t="s">
        <v>45</v>
      </c>
      <c r="D23" s="7" t="s">
        <v>53</v>
      </c>
      <c r="E23" s="7" t="s">
        <v>35</v>
      </c>
      <c r="F23" s="0" t="n">
        <v>19.46</v>
      </c>
      <c r="G23" s="0" t="n">
        <v>5.0596</v>
      </c>
      <c r="H23" s="0" t="n">
        <v>0</v>
      </c>
      <c r="I23" s="7" t="n">
        <f aca="false">YEAR(B23)</f>
        <v>2016</v>
      </c>
      <c r="J23" s="0" t="str">
        <f aca="false">I23&amp;"-Q"&amp;ROUNDUP(MONTH(B23)/3,0)</f>
        <v>2016-Q4</v>
      </c>
    </row>
    <row r="24" customFormat="false" ht="15" hidden="false" customHeight="false" outlineLevel="0" collapsed="false">
      <c r="A24" s="0" t="s">
        <v>52</v>
      </c>
      <c r="B24" s="6" t="n">
        <v>42713</v>
      </c>
      <c r="C24" s="7" t="s">
        <v>45</v>
      </c>
      <c r="D24" s="7" t="s">
        <v>53</v>
      </c>
      <c r="E24" s="7" t="s">
        <v>35</v>
      </c>
      <c r="F24" s="0" t="n">
        <v>60.34</v>
      </c>
      <c r="G24" s="0" t="n">
        <v>15.6884</v>
      </c>
      <c r="H24" s="0" t="n">
        <v>0</v>
      </c>
      <c r="I24" s="7" t="n">
        <f aca="false">YEAR(B24)</f>
        <v>2016</v>
      </c>
      <c r="J24" s="0" t="str">
        <f aca="false">I24&amp;"-Q"&amp;ROUNDUP(MONTH(B24)/3,0)</f>
        <v>2016-Q4</v>
      </c>
    </row>
    <row r="25" customFormat="false" ht="15" hidden="false" customHeight="false" outlineLevel="0" collapsed="false">
      <c r="A25" s="0" t="s">
        <v>54</v>
      </c>
      <c r="B25" s="6" t="n">
        <v>42932</v>
      </c>
      <c r="C25" s="7" t="s">
        <v>55</v>
      </c>
      <c r="D25" s="7" t="s">
        <v>56</v>
      </c>
      <c r="E25" s="7" t="s">
        <v>31</v>
      </c>
      <c r="F25" s="0" t="n">
        <v>71.372</v>
      </c>
      <c r="G25" s="0" t="n">
        <v>-1.0196</v>
      </c>
      <c r="H25" s="0" t="n">
        <v>0.3</v>
      </c>
      <c r="I25" s="7" t="n">
        <f aca="false">YEAR(B25)</f>
        <v>2017</v>
      </c>
      <c r="J25" s="0" t="str">
        <f aca="false">I25&amp;"-Q"&amp;ROUNDUP(MONTH(B25)/3,0)</f>
        <v>2017-Q3</v>
      </c>
    </row>
    <row r="26" customFormat="false" ht="15" hidden="false" customHeight="false" outlineLevel="0" collapsed="false">
      <c r="A26" s="0" t="s">
        <v>57</v>
      </c>
      <c r="B26" s="6" t="n">
        <v>42272</v>
      </c>
      <c r="C26" s="7" t="s">
        <v>33</v>
      </c>
      <c r="D26" s="7" t="s">
        <v>50</v>
      </c>
      <c r="E26" s="7" t="s">
        <v>31</v>
      </c>
      <c r="F26" s="0" t="n">
        <v>1044.63</v>
      </c>
      <c r="G26" s="0" t="n">
        <v>240.2649</v>
      </c>
      <c r="H26" s="0" t="n">
        <v>0</v>
      </c>
      <c r="I26" s="7" t="n">
        <f aca="false">YEAR(B26)</f>
        <v>2015</v>
      </c>
      <c r="J26" s="0" t="str">
        <f aca="false">I26&amp;"-Q"&amp;ROUNDUP(MONTH(B26)/3,0)</f>
        <v>2015-Q3</v>
      </c>
    </row>
    <row r="27" customFormat="false" ht="15" hidden="false" customHeight="false" outlineLevel="0" collapsed="false">
      <c r="A27" s="0" t="s">
        <v>58</v>
      </c>
      <c r="B27" s="6" t="n">
        <v>42385</v>
      </c>
      <c r="C27" s="7" t="s">
        <v>33</v>
      </c>
      <c r="D27" s="7" t="s">
        <v>34</v>
      </c>
      <c r="E27" s="7" t="s">
        <v>35</v>
      </c>
      <c r="F27" s="0" t="n">
        <v>11.648</v>
      </c>
      <c r="G27" s="0" t="n">
        <v>4.2224</v>
      </c>
      <c r="H27" s="0" t="n">
        <v>0.2</v>
      </c>
      <c r="I27" s="7" t="n">
        <f aca="false">YEAR(B27)</f>
        <v>2016</v>
      </c>
      <c r="J27" s="0" t="str">
        <f aca="false">I27&amp;"-Q"&amp;ROUNDUP(MONTH(B27)/3,0)</f>
        <v>2016-Q1</v>
      </c>
    </row>
    <row r="28" customFormat="false" ht="15" hidden="false" customHeight="false" outlineLevel="0" collapsed="false">
      <c r="A28" s="0" t="s">
        <v>58</v>
      </c>
      <c r="B28" s="6" t="n">
        <v>42385</v>
      </c>
      <c r="C28" s="7" t="s">
        <v>33</v>
      </c>
      <c r="D28" s="7" t="s">
        <v>34</v>
      </c>
      <c r="E28" s="7" t="s">
        <v>39</v>
      </c>
      <c r="F28" s="0" t="n">
        <v>90.57</v>
      </c>
      <c r="G28" s="0" t="n">
        <v>11.7741</v>
      </c>
      <c r="H28" s="0" t="n">
        <v>0</v>
      </c>
      <c r="I28" s="7" t="n">
        <f aca="false">YEAR(B28)</f>
        <v>2016</v>
      </c>
      <c r="J28" s="0" t="str">
        <f aca="false">I28&amp;"-Q"&amp;ROUNDUP(MONTH(B28)/3,0)</f>
        <v>2016-Q1</v>
      </c>
    </row>
    <row r="29" customFormat="false" ht="15" hidden="false" customHeight="false" outlineLevel="0" collapsed="false">
      <c r="A29" s="0" t="s">
        <v>59</v>
      </c>
      <c r="B29" s="6" t="n">
        <v>42264</v>
      </c>
      <c r="C29" s="7" t="s">
        <v>55</v>
      </c>
      <c r="D29" s="7" t="s">
        <v>56</v>
      </c>
      <c r="E29" s="7" t="s">
        <v>31</v>
      </c>
      <c r="F29" s="0" t="n">
        <v>3083.43</v>
      </c>
      <c r="G29" s="0" t="n">
        <v>-1665.0522</v>
      </c>
      <c r="H29" s="0" t="n">
        <v>0.5</v>
      </c>
      <c r="I29" s="7" t="n">
        <f aca="false">YEAR(B29)</f>
        <v>2015</v>
      </c>
      <c r="J29" s="0" t="str">
        <f aca="false">I29&amp;"-Q"&amp;ROUNDUP(MONTH(B29)/3,0)</f>
        <v>2015-Q3</v>
      </c>
    </row>
    <row r="30" customFormat="false" ht="15" hidden="false" customHeight="false" outlineLevel="0" collapsed="false">
      <c r="A30" s="0" t="s">
        <v>59</v>
      </c>
      <c r="B30" s="6" t="n">
        <v>42264</v>
      </c>
      <c r="C30" s="7" t="s">
        <v>55</v>
      </c>
      <c r="D30" s="7" t="s">
        <v>56</v>
      </c>
      <c r="E30" s="7" t="s">
        <v>35</v>
      </c>
      <c r="F30" s="0" t="n">
        <v>9.618</v>
      </c>
      <c r="G30" s="0" t="n">
        <v>-7.0532</v>
      </c>
      <c r="H30" s="0" t="n">
        <v>0.7</v>
      </c>
      <c r="I30" s="7" t="n">
        <f aca="false">YEAR(B30)</f>
        <v>2015</v>
      </c>
      <c r="J30" s="0" t="str">
        <f aca="false">I30&amp;"-Q"&amp;ROUNDUP(MONTH(B30)/3,0)</f>
        <v>2015-Q3</v>
      </c>
    </row>
    <row r="31" customFormat="false" ht="15" hidden="false" customHeight="false" outlineLevel="0" collapsed="false">
      <c r="A31" s="0" t="s">
        <v>59</v>
      </c>
      <c r="B31" s="6" t="n">
        <v>42264</v>
      </c>
      <c r="C31" s="7" t="s">
        <v>55</v>
      </c>
      <c r="D31" s="7" t="s">
        <v>56</v>
      </c>
      <c r="E31" s="7" t="s">
        <v>31</v>
      </c>
      <c r="F31" s="0" t="n">
        <v>124.2</v>
      </c>
      <c r="G31" s="0" t="n">
        <v>15.525</v>
      </c>
      <c r="H31" s="0" t="n">
        <v>0.2</v>
      </c>
      <c r="I31" s="7" t="n">
        <f aca="false">YEAR(B31)</f>
        <v>2015</v>
      </c>
      <c r="J31" s="0" t="str">
        <f aca="false">I31&amp;"-Q"&amp;ROUNDUP(MONTH(B31)/3,0)</f>
        <v>2015-Q3</v>
      </c>
    </row>
    <row r="32" customFormat="false" ht="15" hidden="false" customHeight="false" outlineLevel="0" collapsed="false">
      <c r="A32" s="0" t="s">
        <v>59</v>
      </c>
      <c r="B32" s="6" t="n">
        <v>42264</v>
      </c>
      <c r="C32" s="7" t="s">
        <v>55</v>
      </c>
      <c r="D32" s="7" t="s">
        <v>56</v>
      </c>
      <c r="E32" s="7" t="s">
        <v>35</v>
      </c>
      <c r="F32" s="0" t="n">
        <v>3.264</v>
      </c>
      <c r="G32" s="0" t="n">
        <v>1.1016</v>
      </c>
      <c r="H32" s="0" t="n">
        <v>0.2</v>
      </c>
      <c r="I32" s="7" t="n">
        <f aca="false">YEAR(B32)</f>
        <v>2015</v>
      </c>
      <c r="J32" s="0" t="str">
        <f aca="false">I32&amp;"-Q"&amp;ROUNDUP(MONTH(B32)/3,0)</f>
        <v>2015-Q3</v>
      </c>
    </row>
    <row r="33" customFormat="false" ht="15" hidden="false" customHeight="false" outlineLevel="0" collapsed="false">
      <c r="A33" s="0" t="s">
        <v>59</v>
      </c>
      <c r="B33" s="6" t="n">
        <v>42264</v>
      </c>
      <c r="C33" s="7" t="s">
        <v>55</v>
      </c>
      <c r="D33" s="7" t="s">
        <v>56</v>
      </c>
      <c r="E33" s="7" t="s">
        <v>35</v>
      </c>
      <c r="F33" s="0" t="n">
        <v>86.304</v>
      </c>
      <c r="G33" s="0" t="n">
        <v>9.7092</v>
      </c>
      <c r="H33" s="0" t="n">
        <v>0.2</v>
      </c>
      <c r="I33" s="7" t="n">
        <f aca="false">YEAR(B33)</f>
        <v>2015</v>
      </c>
      <c r="J33" s="0" t="str">
        <f aca="false">I33&amp;"-Q"&amp;ROUNDUP(MONTH(B33)/3,0)</f>
        <v>2015-Q3</v>
      </c>
    </row>
    <row r="34" customFormat="false" ht="15" hidden="false" customHeight="false" outlineLevel="0" collapsed="false">
      <c r="A34" s="0" t="s">
        <v>59</v>
      </c>
      <c r="B34" s="6" t="n">
        <v>42264</v>
      </c>
      <c r="C34" s="7" t="s">
        <v>55</v>
      </c>
      <c r="D34" s="7" t="s">
        <v>56</v>
      </c>
      <c r="E34" s="7" t="s">
        <v>35</v>
      </c>
      <c r="F34" s="0" t="n">
        <v>6.858</v>
      </c>
      <c r="G34" s="0" t="n">
        <v>-5.715</v>
      </c>
      <c r="H34" s="0" t="n">
        <v>0.7</v>
      </c>
      <c r="I34" s="7" t="n">
        <f aca="false">YEAR(B34)</f>
        <v>2015</v>
      </c>
      <c r="J34" s="0" t="str">
        <f aca="false">I34&amp;"-Q"&amp;ROUNDUP(MONTH(B34)/3,0)</f>
        <v>2015-Q3</v>
      </c>
    </row>
    <row r="35" customFormat="false" ht="15" hidden="false" customHeight="false" outlineLevel="0" collapsed="false">
      <c r="A35" s="0" t="s">
        <v>59</v>
      </c>
      <c r="B35" s="6" t="n">
        <v>42264</v>
      </c>
      <c r="C35" s="7" t="s">
        <v>55</v>
      </c>
      <c r="D35" s="7" t="s">
        <v>56</v>
      </c>
      <c r="E35" s="7" t="s">
        <v>35</v>
      </c>
      <c r="F35" s="0" t="n">
        <v>15.76</v>
      </c>
      <c r="G35" s="0" t="n">
        <v>3.546</v>
      </c>
      <c r="H35" s="0" t="n">
        <v>0.2</v>
      </c>
      <c r="I35" s="7" t="n">
        <f aca="false">YEAR(B35)</f>
        <v>2015</v>
      </c>
      <c r="J35" s="0" t="str">
        <f aca="false">I35&amp;"-Q"&amp;ROUNDUP(MONTH(B35)/3,0)</f>
        <v>2015-Q3</v>
      </c>
    </row>
    <row r="36" customFormat="false" ht="15" hidden="false" customHeight="false" outlineLevel="0" collapsed="false">
      <c r="A36" s="0" t="s">
        <v>60</v>
      </c>
      <c r="B36" s="6" t="n">
        <v>43027</v>
      </c>
      <c r="C36" s="7" t="s">
        <v>45</v>
      </c>
      <c r="D36" s="7" t="s">
        <v>46</v>
      </c>
      <c r="E36" s="7" t="s">
        <v>35</v>
      </c>
      <c r="F36" s="0" t="n">
        <v>29.472</v>
      </c>
      <c r="G36" s="0" t="n">
        <v>9.9468</v>
      </c>
      <c r="H36" s="0" t="n">
        <v>0.2</v>
      </c>
      <c r="I36" s="7" t="n">
        <f aca="false">YEAR(B36)</f>
        <v>2017</v>
      </c>
      <c r="J36" s="0" t="str">
        <f aca="false">I36&amp;"-Q"&amp;ROUNDUP(MONTH(B36)/3,0)</f>
        <v>2017-Q4</v>
      </c>
    </row>
    <row r="37" customFormat="false" ht="15" hidden="false" customHeight="false" outlineLevel="0" collapsed="false">
      <c r="A37" s="0" t="s">
        <v>61</v>
      </c>
      <c r="B37" s="6" t="n">
        <v>42712</v>
      </c>
      <c r="C37" s="7" t="s">
        <v>45</v>
      </c>
      <c r="D37" s="7" t="s">
        <v>46</v>
      </c>
      <c r="E37" s="7" t="s">
        <v>39</v>
      </c>
      <c r="F37" s="0" t="n">
        <v>1097.544</v>
      </c>
      <c r="G37" s="0" t="n">
        <v>123.4737</v>
      </c>
      <c r="H37" s="0" t="n">
        <v>0.2</v>
      </c>
      <c r="I37" s="7" t="n">
        <f aca="false">YEAR(B37)</f>
        <v>2016</v>
      </c>
      <c r="J37" s="0" t="str">
        <f aca="false">I37&amp;"-Q"&amp;ROUNDUP(MONTH(B37)/3,0)</f>
        <v>2016-Q4</v>
      </c>
    </row>
    <row r="38" customFormat="false" ht="15" hidden="false" customHeight="false" outlineLevel="0" collapsed="false">
      <c r="A38" s="0" t="s">
        <v>61</v>
      </c>
      <c r="B38" s="6" t="n">
        <v>42712</v>
      </c>
      <c r="C38" s="7" t="s">
        <v>45</v>
      </c>
      <c r="D38" s="7" t="s">
        <v>46</v>
      </c>
      <c r="E38" s="7" t="s">
        <v>31</v>
      </c>
      <c r="F38" s="0" t="n">
        <v>190.92</v>
      </c>
      <c r="G38" s="0" t="n">
        <v>-147.963</v>
      </c>
      <c r="H38" s="0" t="n">
        <v>0.6</v>
      </c>
      <c r="I38" s="7" t="n">
        <f aca="false">YEAR(B38)</f>
        <v>2016</v>
      </c>
      <c r="J38" s="0" t="str">
        <f aca="false">I38&amp;"-Q"&amp;ROUNDUP(MONTH(B38)/3,0)</f>
        <v>2016-Q4</v>
      </c>
    </row>
    <row r="39" customFormat="false" ht="15" hidden="false" customHeight="false" outlineLevel="0" collapsed="false">
      <c r="A39" s="0" t="s">
        <v>62</v>
      </c>
      <c r="B39" s="6" t="n">
        <v>42365</v>
      </c>
      <c r="C39" s="7" t="s">
        <v>45</v>
      </c>
      <c r="D39" s="7" t="s">
        <v>46</v>
      </c>
      <c r="E39" s="7" t="s">
        <v>35</v>
      </c>
      <c r="F39" s="0" t="n">
        <v>113.328</v>
      </c>
      <c r="G39" s="0" t="n">
        <v>35.415</v>
      </c>
      <c r="H39" s="0" t="n">
        <v>0.2</v>
      </c>
      <c r="I39" s="7" t="n">
        <f aca="false">YEAR(B39)</f>
        <v>2015</v>
      </c>
      <c r="J39" s="0" t="str">
        <f aca="false">I39&amp;"-Q"&amp;ROUNDUP(MONTH(B39)/3,0)</f>
        <v>2015-Q4</v>
      </c>
    </row>
    <row r="40" customFormat="false" ht="15" hidden="false" customHeight="false" outlineLevel="0" collapsed="false">
      <c r="A40" s="0" t="s">
        <v>62</v>
      </c>
      <c r="B40" s="6" t="n">
        <v>42365</v>
      </c>
      <c r="C40" s="7" t="s">
        <v>45</v>
      </c>
      <c r="D40" s="7" t="s">
        <v>46</v>
      </c>
      <c r="E40" s="7" t="s">
        <v>31</v>
      </c>
      <c r="F40" s="0" t="n">
        <v>532.3992</v>
      </c>
      <c r="G40" s="0" t="n">
        <v>-46.9764</v>
      </c>
      <c r="H40" s="0" t="n">
        <v>0.32</v>
      </c>
      <c r="I40" s="7" t="n">
        <f aca="false">YEAR(B40)</f>
        <v>2015</v>
      </c>
      <c r="J40" s="0" t="str">
        <f aca="false">I40&amp;"-Q"&amp;ROUNDUP(MONTH(B40)/3,0)</f>
        <v>2015-Q4</v>
      </c>
    </row>
    <row r="41" customFormat="false" ht="15" hidden="false" customHeight="false" outlineLevel="0" collapsed="false">
      <c r="A41" s="0" t="s">
        <v>62</v>
      </c>
      <c r="B41" s="6" t="n">
        <v>42365</v>
      </c>
      <c r="C41" s="7" t="s">
        <v>45</v>
      </c>
      <c r="D41" s="7" t="s">
        <v>46</v>
      </c>
      <c r="E41" s="7" t="s">
        <v>31</v>
      </c>
      <c r="F41" s="0" t="n">
        <v>212.058</v>
      </c>
      <c r="G41" s="0" t="n">
        <v>-15.147</v>
      </c>
      <c r="H41" s="0" t="n">
        <v>0.3</v>
      </c>
      <c r="I41" s="7" t="n">
        <f aca="false">YEAR(B41)</f>
        <v>2015</v>
      </c>
      <c r="J41" s="0" t="str">
        <f aca="false">I41&amp;"-Q"&amp;ROUNDUP(MONTH(B41)/3,0)</f>
        <v>2015-Q4</v>
      </c>
    </row>
    <row r="42" customFormat="false" ht="15" hidden="false" customHeight="false" outlineLevel="0" collapsed="false">
      <c r="A42" s="0" t="s">
        <v>62</v>
      </c>
      <c r="B42" s="6" t="n">
        <v>42365</v>
      </c>
      <c r="C42" s="7" t="s">
        <v>45</v>
      </c>
      <c r="D42" s="7" t="s">
        <v>46</v>
      </c>
      <c r="E42" s="7" t="s">
        <v>39</v>
      </c>
      <c r="F42" s="0" t="n">
        <v>371.168</v>
      </c>
      <c r="G42" s="0" t="n">
        <v>41.7564</v>
      </c>
      <c r="H42" s="0" t="n">
        <v>0.2</v>
      </c>
      <c r="I42" s="7" t="n">
        <f aca="false">YEAR(B42)</f>
        <v>2015</v>
      </c>
      <c r="J42" s="0" t="str">
        <f aca="false">I42&amp;"-Q"&amp;ROUNDUP(MONTH(B42)/3,0)</f>
        <v>2015-Q4</v>
      </c>
    </row>
    <row r="43" customFormat="false" ht="15" hidden="false" customHeight="false" outlineLevel="0" collapsed="false">
      <c r="A43" s="0" t="s">
        <v>63</v>
      </c>
      <c r="B43" s="6" t="n">
        <v>42988</v>
      </c>
      <c r="C43" s="7" t="s">
        <v>45</v>
      </c>
      <c r="D43" s="7" t="s">
        <v>64</v>
      </c>
      <c r="E43" s="7" t="s">
        <v>39</v>
      </c>
      <c r="F43" s="0" t="n">
        <v>147.168</v>
      </c>
      <c r="G43" s="0" t="n">
        <v>16.5564</v>
      </c>
      <c r="H43" s="0" t="n">
        <v>0.2</v>
      </c>
      <c r="I43" s="7" t="n">
        <f aca="false">YEAR(B43)</f>
        <v>2017</v>
      </c>
      <c r="J43" s="0" t="str">
        <f aca="false">I43&amp;"-Q"&amp;ROUNDUP(MONTH(B43)/3,0)</f>
        <v>2017-Q3</v>
      </c>
    </row>
    <row r="44" customFormat="false" ht="15" hidden="false" customHeight="false" outlineLevel="0" collapsed="false">
      <c r="A44" s="0" t="s">
        <v>65</v>
      </c>
      <c r="B44" s="6" t="n">
        <v>42568</v>
      </c>
      <c r="C44" s="7" t="s">
        <v>33</v>
      </c>
      <c r="D44" s="7" t="s">
        <v>34</v>
      </c>
      <c r="E44" s="7" t="s">
        <v>35</v>
      </c>
      <c r="F44" s="0" t="n">
        <v>77.88</v>
      </c>
      <c r="G44" s="0" t="n">
        <v>3.894</v>
      </c>
      <c r="H44" s="0" t="n">
        <v>0</v>
      </c>
      <c r="I44" s="7" t="n">
        <f aca="false">YEAR(B44)</f>
        <v>2016</v>
      </c>
      <c r="J44" s="0" t="str">
        <f aca="false">I44&amp;"-Q"&amp;ROUNDUP(MONTH(B44)/3,0)</f>
        <v>2016-Q3</v>
      </c>
    </row>
    <row r="45" customFormat="false" ht="15" hidden="false" customHeight="false" outlineLevel="0" collapsed="false">
      <c r="A45" s="0" t="s">
        <v>66</v>
      </c>
      <c r="B45" s="6" t="n">
        <v>42997</v>
      </c>
      <c r="C45" s="7" t="s">
        <v>29</v>
      </c>
      <c r="D45" s="7" t="s">
        <v>37</v>
      </c>
      <c r="E45" s="7" t="s">
        <v>35</v>
      </c>
      <c r="F45" s="0" t="n">
        <v>95.616</v>
      </c>
      <c r="G45" s="0" t="n">
        <v>9.5616</v>
      </c>
      <c r="H45" s="0" t="n">
        <v>0.2</v>
      </c>
      <c r="I45" s="7" t="n">
        <f aca="false">YEAR(B45)</f>
        <v>2017</v>
      </c>
      <c r="J45" s="0" t="str">
        <f aca="false">I45&amp;"-Q"&amp;ROUNDUP(MONTH(B45)/3,0)</f>
        <v>2017-Q3</v>
      </c>
    </row>
    <row r="46" customFormat="false" ht="15" hidden="false" customHeight="false" outlineLevel="0" collapsed="false">
      <c r="A46" s="0" t="s">
        <v>67</v>
      </c>
      <c r="B46" s="6" t="n">
        <v>42440</v>
      </c>
      <c r="C46" s="7" t="s">
        <v>45</v>
      </c>
      <c r="D46" s="7" t="s">
        <v>68</v>
      </c>
      <c r="E46" s="7" t="s">
        <v>39</v>
      </c>
      <c r="F46" s="0" t="n">
        <v>45.98</v>
      </c>
      <c r="G46" s="0" t="n">
        <v>19.7714</v>
      </c>
      <c r="H46" s="0" t="n">
        <v>0</v>
      </c>
      <c r="I46" s="7" t="n">
        <f aca="false">YEAR(B46)</f>
        <v>2016</v>
      </c>
      <c r="J46" s="0" t="str">
        <f aca="false">I46&amp;"-Q"&amp;ROUNDUP(MONTH(B46)/3,0)</f>
        <v>2016-Q1</v>
      </c>
    </row>
    <row r="47" customFormat="false" ht="15" hidden="false" customHeight="false" outlineLevel="0" collapsed="false">
      <c r="A47" s="0" t="s">
        <v>67</v>
      </c>
      <c r="B47" s="6" t="n">
        <v>42440</v>
      </c>
      <c r="C47" s="7" t="s">
        <v>45</v>
      </c>
      <c r="D47" s="7" t="s">
        <v>68</v>
      </c>
      <c r="E47" s="7" t="s">
        <v>35</v>
      </c>
      <c r="F47" s="0" t="n">
        <v>17.46</v>
      </c>
      <c r="G47" s="0" t="n">
        <v>8.2062</v>
      </c>
      <c r="H47" s="0" t="n">
        <v>0</v>
      </c>
      <c r="I47" s="7" t="n">
        <f aca="false">YEAR(B47)</f>
        <v>2016</v>
      </c>
      <c r="J47" s="0" t="str">
        <f aca="false">I47&amp;"-Q"&amp;ROUNDUP(MONTH(B47)/3,0)</f>
        <v>2016-Q1</v>
      </c>
    </row>
    <row r="48" customFormat="false" ht="15" hidden="false" customHeight="false" outlineLevel="0" collapsed="false">
      <c r="A48" s="0" t="s">
        <v>69</v>
      </c>
      <c r="B48" s="6" t="n">
        <v>41932</v>
      </c>
      <c r="C48" s="7" t="s">
        <v>45</v>
      </c>
      <c r="D48" s="7" t="s">
        <v>70</v>
      </c>
      <c r="E48" s="7" t="s">
        <v>35</v>
      </c>
      <c r="F48" s="0" t="n">
        <v>211.96</v>
      </c>
      <c r="G48" s="0" t="n">
        <v>8.4784</v>
      </c>
      <c r="H48" s="0" t="n">
        <v>0</v>
      </c>
      <c r="I48" s="7" t="n">
        <f aca="false">YEAR(B48)</f>
        <v>2014</v>
      </c>
      <c r="J48" s="0" t="str">
        <f aca="false">I48&amp;"-Q"&amp;ROUNDUP(MONTH(B48)/3,0)</f>
        <v>2014-Q4</v>
      </c>
    </row>
    <row r="49" customFormat="false" ht="15" hidden="false" customHeight="false" outlineLevel="0" collapsed="false">
      <c r="A49" s="0" t="s">
        <v>71</v>
      </c>
      <c r="B49" s="6" t="n">
        <v>42541</v>
      </c>
      <c r="C49" s="7" t="s">
        <v>55</v>
      </c>
      <c r="D49" s="7" t="s">
        <v>72</v>
      </c>
      <c r="E49" s="7" t="s">
        <v>39</v>
      </c>
      <c r="F49" s="0" t="n">
        <v>45</v>
      </c>
      <c r="G49" s="0" t="n">
        <v>4.95</v>
      </c>
      <c r="H49" s="0" t="n">
        <v>0</v>
      </c>
      <c r="I49" s="7" t="n">
        <f aca="false">YEAR(B49)</f>
        <v>2016</v>
      </c>
      <c r="J49" s="0" t="str">
        <f aca="false">I49&amp;"-Q"&amp;ROUNDUP(MONTH(B49)/3,0)</f>
        <v>2016-Q2</v>
      </c>
    </row>
    <row r="50" customFormat="false" ht="15" hidden="false" customHeight="false" outlineLevel="0" collapsed="false">
      <c r="A50" s="0" t="s">
        <v>71</v>
      </c>
      <c r="B50" s="6" t="n">
        <v>42541</v>
      </c>
      <c r="C50" s="7" t="s">
        <v>55</v>
      </c>
      <c r="D50" s="7" t="s">
        <v>72</v>
      </c>
      <c r="E50" s="7" t="s">
        <v>39</v>
      </c>
      <c r="F50" s="0" t="n">
        <v>21.8</v>
      </c>
      <c r="G50" s="0" t="n">
        <v>6.104</v>
      </c>
      <c r="H50" s="0" t="n">
        <v>0</v>
      </c>
      <c r="I50" s="7" t="n">
        <f aca="false">YEAR(B50)</f>
        <v>2016</v>
      </c>
      <c r="J50" s="0" t="str">
        <f aca="false">I50&amp;"-Q"&amp;ROUNDUP(MONTH(B50)/3,0)</f>
        <v>2016-Q2</v>
      </c>
    </row>
    <row r="51" customFormat="false" ht="15" hidden="false" customHeight="false" outlineLevel="0" collapsed="false">
      <c r="A51" s="0" t="s">
        <v>73</v>
      </c>
      <c r="B51" s="6" t="n">
        <v>42112</v>
      </c>
      <c r="C51" s="7" t="s">
        <v>45</v>
      </c>
      <c r="D51" s="7" t="s">
        <v>74</v>
      </c>
      <c r="E51" s="7" t="s">
        <v>35</v>
      </c>
      <c r="F51" s="0" t="n">
        <v>38.22</v>
      </c>
      <c r="G51" s="0" t="n">
        <v>17.9634</v>
      </c>
      <c r="H51" s="0" t="n">
        <v>0</v>
      </c>
      <c r="I51" s="7" t="n">
        <f aca="false">YEAR(B51)</f>
        <v>2015</v>
      </c>
      <c r="J51" s="0" t="str">
        <f aca="false">I51&amp;"-Q"&amp;ROUNDUP(MONTH(B51)/3,0)</f>
        <v>2015-Q2</v>
      </c>
    </row>
    <row r="52" customFormat="false" ht="15" hidden="false" customHeight="false" outlineLevel="0" collapsed="false">
      <c r="A52" s="0" t="s">
        <v>73</v>
      </c>
      <c r="B52" s="6" t="n">
        <v>42112</v>
      </c>
      <c r="C52" s="7" t="s">
        <v>45</v>
      </c>
      <c r="D52" s="7" t="s">
        <v>74</v>
      </c>
      <c r="E52" s="7" t="s">
        <v>35</v>
      </c>
      <c r="F52" s="0" t="n">
        <v>75.18</v>
      </c>
      <c r="G52" s="0" t="n">
        <v>35.3346</v>
      </c>
      <c r="H52" s="0" t="n">
        <v>0</v>
      </c>
      <c r="I52" s="7" t="n">
        <f aca="false">YEAR(B52)</f>
        <v>2015</v>
      </c>
      <c r="J52" s="0" t="str">
        <f aca="false">I52&amp;"-Q"&amp;ROUNDUP(MONTH(B52)/3,0)</f>
        <v>2015-Q2</v>
      </c>
    </row>
    <row r="53" customFormat="false" ht="15" hidden="false" customHeight="false" outlineLevel="0" collapsed="false">
      <c r="A53" s="0" t="s">
        <v>73</v>
      </c>
      <c r="B53" s="6" t="n">
        <v>42112</v>
      </c>
      <c r="C53" s="7" t="s">
        <v>45</v>
      </c>
      <c r="D53" s="7" t="s">
        <v>74</v>
      </c>
      <c r="E53" s="7" t="s">
        <v>31</v>
      </c>
      <c r="F53" s="0" t="n">
        <v>6.16</v>
      </c>
      <c r="G53" s="0" t="n">
        <v>2.9568</v>
      </c>
      <c r="H53" s="0" t="n">
        <v>0</v>
      </c>
      <c r="I53" s="7" t="n">
        <f aca="false">YEAR(B53)</f>
        <v>2015</v>
      </c>
      <c r="J53" s="0" t="str">
        <f aca="false">I53&amp;"-Q"&amp;ROUNDUP(MONTH(B53)/3,0)</f>
        <v>2015-Q2</v>
      </c>
    </row>
    <row r="54" customFormat="false" ht="15" hidden="false" customHeight="false" outlineLevel="0" collapsed="false">
      <c r="A54" s="0" t="s">
        <v>73</v>
      </c>
      <c r="B54" s="6" t="n">
        <v>42112</v>
      </c>
      <c r="C54" s="7" t="s">
        <v>45</v>
      </c>
      <c r="D54" s="7" t="s">
        <v>74</v>
      </c>
      <c r="E54" s="7" t="s">
        <v>31</v>
      </c>
      <c r="F54" s="0" t="n">
        <v>89.99</v>
      </c>
      <c r="G54" s="0" t="n">
        <v>17.0981</v>
      </c>
      <c r="H54" s="0" t="n">
        <v>0</v>
      </c>
      <c r="I54" s="7" t="n">
        <f aca="false">YEAR(B54)</f>
        <v>2015</v>
      </c>
      <c r="J54" s="0" t="str">
        <f aca="false">I54&amp;"-Q"&amp;ROUNDUP(MONTH(B54)/3,0)</f>
        <v>2015-Q2</v>
      </c>
    </row>
    <row r="55" customFormat="false" ht="15" hidden="false" customHeight="false" outlineLevel="0" collapsed="false">
      <c r="A55" s="0" t="s">
        <v>75</v>
      </c>
      <c r="B55" s="6" t="n">
        <v>42715</v>
      </c>
      <c r="C55" s="7" t="s">
        <v>55</v>
      </c>
      <c r="D55" s="7" t="s">
        <v>76</v>
      </c>
      <c r="E55" s="7" t="s">
        <v>35</v>
      </c>
      <c r="F55" s="0" t="n">
        <v>15.26</v>
      </c>
      <c r="G55" s="0" t="n">
        <v>6.2566</v>
      </c>
      <c r="H55" s="0" t="n">
        <v>0</v>
      </c>
      <c r="I55" s="7" t="n">
        <f aca="false">YEAR(B55)</f>
        <v>2016</v>
      </c>
      <c r="J55" s="0" t="str">
        <f aca="false">I55&amp;"-Q"&amp;ROUNDUP(MONTH(B55)/3,0)</f>
        <v>2016-Q4</v>
      </c>
    </row>
    <row r="56" customFormat="false" ht="15" hidden="false" customHeight="false" outlineLevel="0" collapsed="false">
      <c r="A56" s="0" t="s">
        <v>75</v>
      </c>
      <c r="B56" s="6" t="n">
        <v>42715</v>
      </c>
      <c r="C56" s="7" t="s">
        <v>55</v>
      </c>
      <c r="D56" s="7" t="s">
        <v>76</v>
      </c>
      <c r="E56" s="7" t="s">
        <v>39</v>
      </c>
      <c r="F56" s="0" t="n">
        <v>1029.95</v>
      </c>
      <c r="G56" s="0" t="n">
        <v>298.6855</v>
      </c>
      <c r="H56" s="0" t="n">
        <v>0</v>
      </c>
      <c r="I56" s="7" t="n">
        <f aca="false">YEAR(B56)</f>
        <v>2016</v>
      </c>
      <c r="J56" s="0" t="str">
        <f aca="false">I56&amp;"-Q"&amp;ROUNDUP(MONTH(B56)/3,0)</f>
        <v>2016-Q4</v>
      </c>
    </row>
    <row r="57" customFormat="false" ht="15" hidden="false" customHeight="false" outlineLevel="0" collapsed="false">
      <c r="A57" s="0" t="s">
        <v>77</v>
      </c>
      <c r="B57" s="6" t="n">
        <v>42538</v>
      </c>
      <c r="C57" s="7" t="s">
        <v>55</v>
      </c>
      <c r="D57" s="7" t="s">
        <v>76</v>
      </c>
      <c r="E57" s="7" t="s">
        <v>35</v>
      </c>
      <c r="F57" s="0" t="n">
        <v>208.56</v>
      </c>
      <c r="G57" s="0" t="n">
        <v>52.14</v>
      </c>
      <c r="H57" s="0" t="n">
        <v>0</v>
      </c>
      <c r="I57" s="7" t="n">
        <f aca="false">YEAR(B57)</f>
        <v>2016</v>
      </c>
      <c r="J57" s="0" t="str">
        <f aca="false">I57&amp;"-Q"&amp;ROUNDUP(MONTH(B57)/3,0)</f>
        <v>2016-Q2</v>
      </c>
    </row>
    <row r="58" customFormat="false" ht="15" hidden="false" customHeight="false" outlineLevel="0" collapsed="false">
      <c r="A58" s="0" t="s">
        <v>77</v>
      </c>
      <c r="B58" s="6" t="n">
        <v>42538</v>
      </c>
      <c r="C58" s="7" t="s">
        <v>55</v>
      </c>
      <c r="D58" s="7" t="s">
        <v>76</v>
      </c>
      <c r="E58" s="7" t="s">
        <v>35</v>
      </c>
      <c r="F58" s="0" t="n">
        <v>32.4</v>
      </c>
      <c r="G58" s="0" t="n">
        <v>15.552</v>
      </c>
      <c r="H58" s="0" t="n">
        <v>0</v>
      </c>
      <c r="I58" s="7" t="n">
        <f aca="false">YEAR(B58)</f>
        <v>2016</v>
      </c>
      <c r="J58" s="0" t="str">
        <f aca="false">I58&amp;"-Q"&amp;ROUNDUP(MONTH(B58)/3,0)</f>
        <v>2016-Q2</v>
      </c>
    </row>
    <row r="59" customFormat="false" ht="15" hidden="false" customHeight="false" outlineLevel="0" collapsed="false">
      <c r="A59" s="0" t="s">
        <v>77</v>
      </c>
      <c r="B59" s="6" t="n">
        <v>42538</v>
      </c>
      <c r="C59" s="7" t="s">
        <v>55</v>
      </c>
      <c r="D59" s="7" t="s">
        <v>76</v>
      </c>
      <c r="E59" s="7" t="s">
        <v>31</v>
      </c>
      <c r="F59" s="0" t="n">
        <v>319.41</v>
      </c>
      <c r="G59" s="0" t="n">
        <v>7.098</v>
      </c>
      <c r="H59" s="0" t="n">
        <v>0.1</v>
      </c>
      <c r="I59" s="7" t="n">
        <f aca="false">YEAR(B59)</f>
        <v>2016</v>
      </c>
      <c r="J59" s="0" t="str">
        <f aca="false">I59&amp;"-Q"&amp;ROUNDUP(MONTH(B59)/3,0)</f>
        <v>2016-Q2</v>
      </c>
    </row>
    <row r="60" customFormat="false" ht="15" hidden="false" customHeight="false" outlineLevel="0" collapsed="false">
      <c r="A60" s="0" t="s">
        <v>77</v>
      </c>
      <c r="B60" s="6" t="n">
        <v>42538</v>
      </c>
      <c r="C60" s="7" t="s">
        <v>55</v>
      </c>
      <c r="D60" s="7" t="s">
        <v>76</v>
      </c>
      <c r="E60" s="7" t="s">
        <v>35</v>
      </c>
      <c r="F60" s="0" t="n">
        <v>14.56</v>
      </c>
      <c r="G60" s="0" t="n">
        <v>6.9888</v>
      </c>
      <c r="H60" s="0" t="n">
        <v>0</v>
      </c>
      <c r="I60" s="7" t="n">
        <f aca="false">YEAR(B60)</f>
        <v>2016</v>
      </c>
      <c r="J60" s="0" t="str">
        <f aca="false">I60&amp;"-Q"&amp;ROUNDUP(MONTH(B60)/3,0)</f>
        <v>2016-Q2</v>
      </c>
    </row>
    <row r="61" customFormat="false" ht="15" hidden="false" customHeight="false" outlineLevel="0" collapsed="false">
      <c r="A61" s="0" t="s">
        <v>77</v>
      </c>
      <c r="B61" s="6" t="n">
        <v>42538</v>
      </c>
      <c r="C61" s="7" t="s">
        <v>55</v>
      </c>
      <c r="D61" s="7" t="s">
        <v>76</v>
      </c>
      <c r="E61" s="7" t="s">
        <v>39</v>
      </c>
      <c r="F61" s="0" t="n">
        <v>30</v>
      </c>
      <c r="G61" s="0" t="n">
        <v>3.3</v>
      </c>
      <c r="H61" s="0" t="n">
        <v>0</v>
      </c>
      <c r="I61" s="7" t="n">
        <f aca="false">YEAR(B61)</f>
        <v>2016</v>
      </c>
      <c r="J61" s="0" t="str">
        <f aca="false">I61&amp;"-Q"&amp;ROUNDUP(MONTH(B61)/3,0)</f>
        <v>2016-Q2</v>
      </c>
    </row>
    <row r="62" customFormat="false" ht="15" hidden="false" customHeight="false" outlineLevel="0" collapsed="false">
      <c r="A62" s="0" t="s">
        <v>77</v>
      </c>
      <c r="B62" s="6" t="n">
        <v>42538</v>
      </c>
      <c r="C62" s="7" t="s">
        <v>55</v>
      </c>
      <c r="D62" s="7" t="s">
        <v>76</v>
      </c>
      <c r="E62" s="7" t="s">
        <v>35</v>
      </c>
      <c r="F62" s="0" t="n">
        <v>48.48</v>
      </c>
      <c r="G62" s="0" t="n">
        <v>16.362</v>
      </c>
      <c r="H62" s="0" t="n">
        <v>0.2</v>
      </c>
      <c r="I62" s="7" t="n">
        <f aca="false">YEAR(B62)</f>
        <v>2016</v>
      </c>
      <c r="J62" s="0" t="str">
        <f aca="false">I62&amp;"-Q"&amp;ROUNDUP(MONTH(B62)/3,0)</f>
        <v>2016-Q2</v>
      </c>
    </row>
    <row r="63" customFormat="false" ht="15" hidden="false" customHeight="false" outlineLevel="0" collapsed="false">
      <c r="A63" s="0" t="s">
        <v>77</v>
      </c>
      <c r="B63" s="6" t="n">
        <v>42538</v>
      </c>
      <c r="C63" s="7" t="s">
        <v>55</v>
      </c>
      <c r="D63" s="7" t="s">
        <v>76</v>
      </c>
      <c r="E63" s="7" t="s">
        <v>35</v>
      </c>
      <c r="F63" s="0" t="n">
        <v>1.68</v>
      </c>
      <c r="G63" s="0" t="n">
        <v>0.84</v>
      </c>
      <c r="H63" s="0" t="n">
        <v>0</v>
      </c>
      <c r="I63" s="7" t="n">
        <f aca="false">YEAR(B63)</f>
        <v>2016</v>
      </c>
      <c r="J63" s="0" t="str">
        <f aca="false">I63&amp;"-Q"&amp;ROUNDUP(MONTH(B63)/3,0)</f>
        <v>2016-Q2</v>
      </c>
    </row>
    <row r="64" customFormat="false" ht="15" hidden="false" customHeight="false" outlineLevel="0" collapsed="false">
      <c r="A64" s="0" t="s">
        <v>78</v>
      </c>
      <c r="B64" s="6" t="n">
        <v>42332</v>
      </c>
      <c r="C64" s="7" t="s">
        <v>33</v>
      </c>
      <c r="D64" s="7" t="s">
        <v>34</v>
      </c>
      <c r="E64" s="7" t="s">
        <v>39</v>
      </c>
      <c r="F64" s="0" t="n">
        <v>13.98</v>
      </c>
      <c r="G64" s="0" t="n">
        <v>6.1512</v>
      </c>
      <c r="H64" s="0" t="n">
        <v>0</v>
      </c>
      <c r="I64" s="7" t="n">
        <f aca="false">YEAR(B64)</f>
        <v>2015</v>
      </c>
      <c r="J64" s="0" t="str">
        <f aca="false">I64&amp;"-Q"&amp;ROUNDUP(MONTH(B64)/3,0)</f>
        <v>2015-Q4</v>
      </c>
    </row>
    <row r="65" customFormat="false" ht="15" hidden="false" customHeight="false" outlineLevel="0" collapsed="false">
      <c r="A65" s="0" t="s">
        <v>78</v>
      </c>
      <c r="B65" s="6" t="n">
        <v>42332</v>
      </c>
      <c r="C65" s="7" t="s">
        <v>33</v>
      </c>
      <c r="D65" s="7" t="s">
        <v>34</v>
      </c>
      <c r="E65" s="7" t="s">
        <v>35</v>
      </c>
      <c r="F65" s="0" t="n">
        <v>25.824</v>
      </c>
      <c r="G65" s="0" t="n">
        <v>9.3612</v>
      </c>
      <c r="H65" s="0" t="n">
        <v>0.2</v>
      </c>
      <c r="I65" s="7" t="n">
        <f aca="false">YEAR(B65)</f>
        <v>2015</v>
      </c>
      <c r="J65" s="0" t="str">
        <f aca="false">I65&amp;"-Q"&amp;ROUNDUP(MONTH(B65)/3,0)</f>
        <v>2015-Q4</v>
      </c>
    </row>
    <row r="66" customFormat="false" ht="15" hidden="false" customHeight="false" outlineLevel="0" collapsed="false">
      <c r="A66" s="0" t="s">
        <v>78</v>
      </c>
      <c r="B66" s="6" t="n">
        <v>42332</v>
      </c>
      <c r="C66" s="7" t="s">
        <v>33</v>
      </c>
      <c r="D66" s="7" t="s">
        <v>34</v>
      </c>
      <c r="E66" s="7" t="s">
        <v>35</v>
      </c>
      <c r="F66" s="0" t="n">
        <v>146.73</v>
      </c>
      <c r="G66" s="0" t="n">
        <v>68.9631</v>
      </c>
      <c r="H66" s="0" t="n">
        <v>0</v>
      </c>
      <c r="I66" s="7" t="n">
        <f aca="false">YEAR(B66)</f>
        <v>2015</v>
      </c>
      <c r="J66" s="0" t="str">
        <f aca="false">I66&amp;"-Q"&amp;ROUNDUP(MONTH(B66)/3,0)</f>
        <v>2015-Q4</v>
      </c>
    </row>
    <row r="67" customFormat="false" ht="15" hidden="false" customHeight="false" outlineLevel="0" collapsed="false">
      <c r="A67" s="0" t="s">
        <v>78</v>
      </c>
      <c r="B67" s="6" t="n">
        <v>42332</v>
      </c>
      <c r="C67" s="7" t="s">
        <v>33</v>
      </c>
      <c r="D67" s="7" t="s">
        <v>34</v>
      </c>
      <c r="E67" s="7" t="s">
        <v>31</v>
      </c>
      <c r="F67" s="0" t="n">
        <v>79.76</v>
      </c>
      <c r="G67" s="0" t="n">
        <v>22.3328</v>
      </c>
      <c r="H67" s="0" t="n">
        <v>0</v>
      </c>
      <c r="I67" s="7" t="n">
        <f aca="false">YEAR(B67)</f>
        <v>2015</v>
      </c>
      <c r="J67" s="0" t="str">
        <f aca="false">I67&amp;"-Q"&amp;ROUNDUP(MONTH(B67)/3,0)</f>
        <v>2015-Q4</v>
      </c>
    </row>
    <row r="68" customFormat="false" ht="15" hidden="false" customHeight="false" outlineLevel="0" collapsed="false">
      <c r="A68" s="0" t="s">
        <v>79</v>
      </c>
      <c r="B68" s="6" t="n">
        <v>42124</v>
      </c>
      <c r="C68" s="7" t="s">
        <v>45</v>
      </c>
      <c r="D68" s="7" t="s">
        <v>64</v>
      </c>
      <c r="E68" s="7" t="s">
        <v>31</v>
      </c>
      <c r="F68" s="0" t="n">
        <v>213.115</v>
      </c>
      <c r="G68" s="0" t="n">
        <v>-15.2225</v>
      </c>
      <c r="H68" s="0" t="n">
        <v>0.3</v>
      </c>
      <c r="I68" s="7" t="n">
        <f aca="false">YEAR(B68)</f>
        <v>2015</v>
      </c>
      <c r="J68" s="0" t="str">
        <f aca="false">I68&amp;"-Q"&amp;ROUNDUP(MONTH(B68)/3,0)</f>
        <v>2015-Q2</v>
      </c>
    </row>
    <row r="69" customFormat="false" ht="15" hidden="false" customHeight="false" outlineLevel="0" collapsed="false">
      <c r="A69" s="0" t="s">
        <v>80</v>
      </c>
      <c r="B69" s="6" t="n">
        <v>41978</v>
      </c>
      <c r="C69" s="7" t="s">
        <v>33</v>
      </c>
      <c r="D69" s="7" t="s">
        <v>81</v>
      </c>
      <c r="E69" s="7" t="s">
        <v>35</v>
      </c>
      <c r="F69" s="0" t="n">
        <v>1113.024</v>
      </c>
      <c r="G69" s="0" t="n">
        <v>111.3024</v>
      </c>
      <c r="H69" s="0" t="n">
        <v>0.2</v>
      </c>
      <c r="I69" s="7" t="n">
        <f aca="false">YEAR(B69)</f>
        <v>2014</v>
      </c>
      <c r="J69" s="0" t="str">
        <f aca="false">I69&amp;"-Q"&amp;ROUNDUP(MONTH(B69)/3,0)</f>
        <v>2014-Q4</v>
      </c>
    </row>
    <row r="70" customFormat="false" ht="15" hidden="false" customHeight="false" outlineLevel="0" collapsed="false">
      <c r="A70" s="0" t="s">
        <v>80</v>
      </c>
      <c r="B70" s="6" t="n">
        <v>41978</v>
      </c>
      <c r="C70" s="7" t="s">
        <v>33</v>
      </c>
      <c r="D70" s="7" t="s">
        <v>81</v>
      </c>
      <c r="E70" s="7" t="s">
        <v>39</v>
      </c>
      <c r="F70" s="0" t="n">
        <v>167.968</v>
      </c>
      <c r="G70" s="0" t="n">
        <v>62.988</v>
      </c>
      <c r="H70" s="0" t="n">
        <v>0.2</v>
      </c>
      <c r="I70" s="7" t="n">
        <f aca="false">YEAR(B70)</f>
        <v>2014</v>
      </c>
      <c r="J70" s="0" t="str">
        <f aca="false">I70&amp;"-Q"&amp;ROUNDUP(MONTH(B70)/3,0)</f>
        <v>2014-Q4</v>
      </c>
    </row>
    <row r="71" customFormat="false" ht="15" hidden="false" customHeight="false" outlineLevel="0" collapsed="false">
      <c r="A71" s="0" t="s">
        <v>82</v>
      </c>
      <c r="B71" s="6" t="n">
        <v>42525</v>
      </c>
      <c r="C71" s="7" t="s">
        <v>29</v>
      </c>
      <c r="D71" s="7" t="s">
        <v>83</v>
      </c>
      <c r="E71" s="7" t="s">
        <v>35</v>
      </c>
      <c r="F71" s="0" t="n">
        <v>75.88</v>
      </c>
      <c r="G71" s="0" t="n">
        <v>35.6636</v>
      </c>
      <c r="H71" s="0" t="n">
        <v>0</v>
      </c>
      <c r="I71" s="7" t="n">
        <f aca="false">YEAR(B71)</f>
        <v>2016</v>
      </c>
      <c r="J71" s="0" t="str">
        <f aca="false">I71&amp;"-Q"&amp;ROUNDUP(MONTH(B71)/3,0)</f>
        <v>2016-Q2</v>
      </c>
    </row>
    <row r="72" customFormat="false" ht="15" hidden="false" customHeight="false" outlineLevel="0" collapsed="false">
      <c r="A72" s="0" t="s">
        <v>84</v>
      </c>
      <c r="B72" s="6" t="n">
        <v>42631</v>
      </c>
      <c r="C72" s="7" t="s">
        <v>55</v>
      </c>
      <c r="D72" s="7" t="s">
        <v>76</v>
      </c>
      <c r="E72" s="7" t="s">
        <v>35</v>
      </c>
      <c r="F72" s="0" t="n">
        <v>4.616</v>
      </c>
      <c r="G72" s="0" t="n">
        <v>1.731</v>
      </c>
      <c r="H72" s="0" t="n">
        <v>0.2</v>
      </c>
      <c r="I72" s="7" t="n">
        <f aca="false">YEAR(B72)</f>
        <v>2016</v>
      </c>
      <c r="J72" s="0" t="str">
        <f aca="false">I72&amp;"-Q"&amp;ROUNDUP(MONTH(B72)/3,0)</f>
        <v>2016-Q3</v>
      </c>
    </row>
    <row r="73" customFormat="false" ht="15" hidden="false" customHeight="false" outlineLevel="0" collapsed="false">
      <c r="A73" s="0" t="s">
        <v>85</v>
      </c>
      <c r="B73" s="6" t="n">
        <v>42992</v>
      </c>
      <c r="C73" s="7" t="s">
        <v>45</v>
      </c>
      <c r="D73" s="7" t="s">
        <v>70</v>
      </c>
      <c r="E73" s="7" t="s">
        <v>35</v>
      </c>
      <c r="F73" s="0" t="n">
        <v>19.05</v>
      </c>
      <c r="G73" s="0" t="n">
        <v>8.763</v>
      </c>
      <c r="H73" s="0" t="n">
        <v>0</v>
      </c>
      <c r="I73" s="7" t="n">
        <f aca="false">YEAR(B73)</f>
        <v>2017</v>
      </c>
      <c r="J73" s="0" t="str">
        <f aca="false">I73&amp;"-Q"&amp;ROUNDUP(MONTH(B73)/3,0)</f>
        <v>2017-Q3</v>
      </c>
    </row>
    <row r="74" customFormat="false" ht="15" hidden="false" customHeight="false" outlineLevel="0" collapsed="false">
      <c r="A74" s="0" t="s">
        <v>86</v>
      </c>
      <c r="B74" s="6" t="n">
        <v>42120</v>
      </c>
      <c r="C74" s="7" t="s">
        <v>29</v>
      </c>
      <c r="D74" s="7" t="s">
        <v>87</v>
      </c>
      <c r="E74" s="7" t="s">
        <v>31</v>
      </c>
      <c r="F74" s="0" t="n">
        <v>831.936</v>
      </c>
      <c r="G74" s="0" t="n">
        <v>-114.3912</v>
      </c>
      <c r="H74" s="0" t="n">
        <v>0.2</v>
      </c>
      <c r="I74" s="7" t="n">
        <f aca="false">YEAR(B74)</f>
        <v>2015</v>
      </c>
      <c r="J74" s="0" t="str">
        <f aca="false">I74&amp;"-Q"&amp;ROUNDUP(MONTH(B74)/3,0)</f>
        <v>2015-Q2</v>
      </c>
    </row>
    <row r="75" customFormat="false" ht="15" hidden="false" customHeight="false" outlineLevel="0" collapsed="false">
      <c r="A75" s="0" t="s">
        <v>86</v>
      </c>
      <c r="B75" s="6" t="n">
        <v>42120</v>
      </c>
      <c r="C75" s="7" t="s">
        <v>29</v>
      </c>
      <c r="D75" s="7" t="s">
        <v>87</v>
      </c>
      <c r="E75" s="7" t="s">
        <v>31</v>
      </c>
      <c r="F75" s="0" t="n">
        <v>97.04</v>
      </c>
      <c r="G75" s="0" t="n">
        <v>1.213</v>
      </c>
      <c r="H75" s="0" t="n">
        <v>0.2</v>
      </c>
      <c r="I75" s="7" t="n">
        <f aca="false">YEAR(B75)</f>
        <v>2015</v>
      </c>
      <c r="J75" s="0" t="str">
        <f aca="false">I75&amp;"-Q"&amp;ROUNDUP(MONTH(B75)/3,0)</f>
        <v>2015-Q2</v>
      </c>
    </row>
    <row r="76" customFormat="false" ht="15" hidden="false" customHeight="false" outlineLevel="0" collapsed="false">
      <c r="A76" s="0" t="s">
        <v>86</v>
      </c>
      <c r="B76" s="6" t="n">
        <v>42120</v>
      </c>
      <c r="C76" s="7" t="s">
        <v>29</v>
      </c>
      <c r="D76" s="7" t="s">
        <v>87</v>
      </c>
      <c r="E76" s="7" t="s">
        <v>35</v>
      </c>
      <c r="F76" s="0" t="n">
        <v>72.784</v>
      </c>
      <c r="G76" s="0" t="n">
        <v>-18.196</v>
      </c>
      <c r="H76" s="0" t="n">
        <v>0.2</v>
      </c>
      <c r="I76" s="7" t="n">
        <f aca="false">YEAR(B76)</f>
        <v>2015</v>
      </c>
      <c r="J76" s="0" t="str">
        <f aca="false">I76&amp;"-Q"&amp;ROUNDUP(MONTH(B76)/3,0)</f>
        <v>2015-Q2</v>
      </c>
    </row>
    <row r="77" customFormat="false" ht="15" hidden="false" customHeight="false" outlineLevel="0" collapsed="false">
      <c r="A77" s="0" t="s">
        <v>88</v>
      </c>
      <c r="B77" s="6" t="n">
        <v>43078</v>
      </c>
      <c r="C77" s="7" t="s">
        <v>45</v>
      </c>
      <c r="D77" s="7" t="s">
        <v>46</v>
      </c>
      <c r="E77" s="7" t="s">
        <v>35</v>
      </c>
      <c r="F77" s="0" t="n">
        <v>1.248</v>
      </c>
      <c r="G77" s="0" t="n">
        <v>-1.9344</v>
      </c>
      <c r="H77" s="0" t="n">
        <v>0.8</v>
      </c>
      <c r="I77" s="7" t="n">
        <f aca="false">YEAR(B77)</f>
        <v>2017</v>
      </c>
      <c r="J77" s="0" t="str">
        <f aca="false">I77&amp;"-Q"&amp;ROUNDUP(MONTH(B77)/3,0)</f>
        <v>2017-Q4</v>
      </c>
    </row>
    <row r="78" customFormat="false" ht="15" hidden="false" customHeight="false" outlineLevel="0" collapsed="false">
      <c r="A78" s="0" t="s">
        <v>88</v>
      </c>
      <c r="B78" s="6" t="n">
        <v>43078</v>
      </c>
      <c r="C78" s="7" t="s">
        <v>45</v>
      </c>
      <c r="D78" s="7" t="s">
        <v>46</v>
      </c>
      <c r="E78" s="7" t="s">
        <v>31</v>
      </c>
      <c r="F78" s="0" t="n">
        <v>9.708</v>
      </c>
      <c r="G78" s="0" t="n">
        <v>-5.8248</v>
      </c>
      <c r="H78" s="0" t="n">
        <v>0.6</v>
      </c>
      <c r="I78" s="7" t="n">
        <f aca="false">YEAR(B78)</f>
        <v>2017</v>
      </c>
      <c r="J78" s="0" t="str">
        <f aca="false">I78&amp;"-Q"&amp;ROUNDUP(MONTH(B78)/3,0)</f>
        <v>2017-Q4</v>
      </c>
    </row>
    <row r="79" customFormat="false" ht="15" hidden="false" customHeight="false" outlineLevel="0" collapsed="false">
      <c r="A79" s="0" t="s">
        <v>88</v>
      </c>
      <c r="B79" s="6" t="n">
        <v>43078</v>
      </c>
      <c r="C79" s="7" t="s">
        <v>45</v>
      </c>
      <c r="D79" s="7" t="s">
        <v>46</v>
      </c>
      <c r="E79" s="7" t="s">
        <v>35</v>
      </c>
      <c r="F79" s="0" t="n">
        <v>27.24</v>
      </c>
      <c r="G79" s="0" t="n">
        <v>2.724</v>
      </c>
      <c r="H79" s="0" t="n">
        <v>0.2</v>
      </c>
      <c r="I79" s="7" t="n">
        <f aca="false">YEAR(B79)</f>
        <v>2017</v>
      </c>
      <c r="J79" s="0" t="str">
        <f aca="false">I79&amp;"-Q"&amp;ROUNDUP(MONTH(B79)/3,0)</f>
        <v>2017-Q4</v>
      </c>
    </row>
    <row r="80" customFormat="false" ht="15" hidden="false" customHeight="false" outlineLevel="0" collapsed="false">
      <c r="A80" s="0" t="s">
        <v>89</v>
      </c>
      <c r="B80" s="6" t="n">
        <v>41969</v>
      </c>
      <c r="C80" s="7" t="s">
        <v>45</v>
      </c>
      <c r="D80" s="7" t="s">
        <v>46</v>
      </c>
      <c r="E80" s="7" t="s">
        <v>31</v>
      </c>
      <c r="F80" s="0" t="n">
        <v>19.3</v>
      </c>
      <c r="G80" s="0" t="n">
        <v>-14.475</v>
      </c>
      <c r="H80" s="0" t="n">
        <v>0.6</v>
      </c>
      <c r="I80" s="7" t="n">
        <f aca="false">YEAR(B80)</f>
        <v>2014</v>
      </c>
      <c r="J80" s="0" t="str">
        <f aca="false">I80&amp;"-Q"&amp;ROUNDUP(MONTH(B80)/3,0)</f>
        <v>2014-Q4</v>
      </c>
    </row>
    <row r="81" customFormat="false" ht="15" hidden="false" customHeight="false" outlineLevel="0" collapsed="false">
      <c r="A81" s="0" t="s">
        <v>90</v>
      </c>
      <c r="B81" s="6" t="n">
        <v>42533</v>
      </c>
      <c r="C81" s="7" t="s">
        <v>29</v>
      </c>
      <c r="D81" s="7" t="s">
        <v>91</v>
      </c>
      <c r="E81" s="7" t="s">
        <v>35</v>
      </c>
      <c r="F81" s="0" t="n">
        <v>208.16</v>
      </c>
      <c r="G81" s="0" t="n">
        <v>56.2032</v>
      </c>
      <c r="H81" s="0" t="n">
        <v>0</v>
      </c>
      <c r="I81" s="7" t="n">
        <f aca="false">YEAR(B81)</f>
        <v>2016</v>
      </c>
      <c r="J81" s="0" t="str">
        <f aca="false">I81&amp;"-Q"&amp;ROUNDUP(MONTH(B81)/3,0)</f>
        <v>2016-Q2</v>
      </c>
    </row>
    <row r="82" customFormat="false" ht="15" hidden="false" customHeight="false" outlineLevel="0" collapsed="false">
      <c r="A82" s="0" t="s">
        <v>90</v>
      </c>
      <c r="B82" s="6" t="n">
        <v>42533</v>
      </c>
      <c r="C82" s="7" t="s">
        <v>29</v>
      </c>
      <c r="D82" s="7" t="s">
        <v>91</v>
      </c>
      <c r="E82" s="7" t="s">
        <v>35</v>
      </c>
      <c r="F82" s="0" t="n">
        <v>16.74</v>
      </c>
      <c r="G82" s="0" t="n">
        <v>8.0352</v>
      </c>
      <c r="H82" s="0" t="n">
        <v>0</v>
      </c>
      <c r="I82" s="7" t="n">
        <f aca="false">YEAR(B82)</f>
        <v>2016</v>
      </c>
      <c r="J82" s="0" t="str">
        <f aca="false">I82&amp;"-Q"&amp;ROUNDUP(MONTH(B82)/3,0)</f>
        <v>2016-Q2</v>
      </c>
    </row>
    <row r="83" customFormat="false" ht="15" hidden="false" customHeight="false" outlineLevel="0" collapsed="false">
      <c r="A83" s="0" t="s">
        <v>92</v>
      </c>
      <c r="B83" s="6" t="n">
        <v>41924</v>
      </c>
      <c r="C83" s="7" t="s">
        <v>33</v>
      </c>
      <c r="D83" s="7" t="s">
        <v>34</v>
      </c>
      <c r="E83" s="7" t="s">
        <v>35</v>
      </c>
      <c r="F83" s="0" t="n">
        <v>14.9</v>
      </c>
      <c r="G83" s="0" t="n">
        <v>4.172</v>
      </c>
      <c r="H83" s="0" t="n">
        <v>0</v>
      </c>
      <c r="I83" s="7" t="n">
        <f aca="false">YEAR(B83)</f>
        <v>2014</v>
      </c>
      <c r="J83" s="0" t="str">
        <f aca="false">I83&amp;"-Q"&amp;ROUNDUP(MONTH(B83)/3,0)</f>
        <v>2014-Q4</v>
      </c>
    </row>
    <row r="84" customFormat="false" ht="15" hidden="false" customHeight="false" outlineLevel="0" collapsed="false">
      <c r="A84" s="0" t="s">
        <v>92</v>
      </c>
      <c r="B84" s="6" t="n">
        <v>41924</v>
      </c>
      <c r="C84" s="7" t="s">
        <v>33</v>
      </c>
      <c r="D84" s="7" t="s">
        <v>34</v>
      </c>
      <c r="E84" s="7" t="s">
        <v>35</v>
      </c>
      <c r="F84" s="0" t="n">
        <v>21.39</v>
      </c>
      <c r="G84" s="0" t="n">
        <v>6.2031</v>
      </c>
      <c r="H84" s="0" t="n">
        <v>0</v>
      </c>
      <c r="I84" s="7" t="n">
        <f aca="false">YEAR(B84)</f>
        <v>2014</v>
      </c>
      <c r="J84" s="0" t="str">
        <f aca="false">I84&amp;"-Q"&amp;ROUNDUP(MONTH(B84)/3,0)</f>
        <v>2014-Q4</v>
      </c>
    </row>
    <row r="85" customFormat="false" ht="15" hidden="false" customHeight="false" outlineLevel="0" collapsed="false">
      <c r="A85" s="0" t="s">
        <v>93</v>
      </c>
      <c r="B85" s="6" t="n">
        <v>42250</v>
      </c>
      <c r="C85" s="7" t="s">
        <v>29</v>
      </c>
      <c r="D85" s="7" t="s">
        <v>41</v>
      </c>
      <c r="E85" s="7" t="s">
        <v>35</v>
      </c>
      <c r="F85" s="0" t="n">
        <v>200.984</v>
      </c>
      <c r="G85" s="0" t="n">
        <v>62.8075</v>
      </c>
      <c r="H85" s="0" t="n">
        <v>0.2</v>
      </c>
      <c r="I85" s="7" t="n">
        <f aca="false">YEAR(B85)</f>
        <v>2015</v>
      </c>
      <c r="J85" s="0" t="str">
        <f aca="false">I85&amp;"-Q"&amp;ROUNDUP(MONTH(B85)/3,0)</f>
        <v>2015-Q3</v>
      </c>
    </row>
    <row r="86" customFormat="false" ht="15" hidden="false" customHeight="false" outlineLevel="0" collapsed="false">
      <c r="A86" s="0" t="s">
        <v>94</v>
      </c>
      <c r="B86" s="6" t="n">
        <v>43052</v>
      </c>
      <c r="C86" s="7" t="s">
        <v>45</v>
      </c>
      <c r="D86" s="7" t="s">
        <v>64</v>
      </c>
      <c r="E86" s="7" t="s">
        <v>35</v>
      </c>
      <c r="F86" s="0" t="n">
        <v>230.376</v>
      </c>
      <c r="G86" s="0" t="n">
        <v>-48.9549</v>
      </c>
      <c r="H86" s="0" t="n">
        <v>0.2</v>
      </c>
      <c r="I86" s="7" t="n">
        <f aca="false">YEAR(B86)</f>
        <v>2017</v>
      </c>
      <c r="J86" s="0" t="str">
        <f aca="false">I86&amp;"-Q"&amp;ROUNDUP(MONTH(B86)/3,0)</f>
        <v>2017-Q4</v>
      </c>
    </row>
    <row r="87" customFormat="false" ht="15" hidden="false" customHeight="false" outlineLevel="0" collapsed="false">
      <c r="A87" s="0" t="s">
        <v>95</v>
      </c>
      <c r="B87" s="6" t="n">
        <v>42883</v>
      </c>
      <c r="C87" s="7" t="s">
        <v>29</v>
      </c>
      <c r="D87" s="7" t="s">
        <v>96</v>
      </c>
      <c r="E87" s="7" t="s">
        <v>31</v>
      </c>
      <c r="F87" s="0" t="n">
        <v>301.96</v>
      </c>
      <c r="G87" s="0" t="n">
        <v>33.2156</v>
      </c>
      <c r="H87" s="0" t="n">
        <v>0</v>
      </c>
      <c r="I87" s="7" t="n">
        <f aca="false">YEAR(B87)</f>
        <v>2017</v>
      </c>
      <c r="J87" s="0" t="str">
        <f aca="false">I87&amp;"-Q"&amp;ROUNDUP(MONTH(B87)/3,0)</f>
        <v>2017-Q2</v>
      </c>
    </row>
    <row r="88" customFormat="false" ht="15" hidden="false" customHeight="false" outlineLevel="0" collapsed="false">
      <c r="A88" s="0" t="s">
        <v>97</v>
      </c>
      <c r="B88" s="6" t="n">
        <v>43034</v>
      </c>
      <c r="C88" s="7" t="s">
        <v>45</v>
      </c>
      <c r="D88" s="7" t="s">
        <v>68</v>
      </c>
      <c r="E88" s="7" t="s">
        <v>39</v>
      </c>
      <c r="F88" s="0" t="n">
        <v>19.99</v>
      </c>
      <c r="G88" s="0" t="n">
        <v>6.7966</v>
      </c>
      <c r="H88" s="0" t="n">
        <v>0</v>
      </c>
      <c r="I88" s="7" t="n">
        <f aca="false">YEAR(B88)</f>
        <v>2017</v>
      </c>
      <c r="J88" s="0" t="str">
        <f aca="false">I88&amp;"-Q"&amp;ROUNDUP(MONTH(B88)/3,0)</f>
        <v>2017-Q4</v>
      </c>
    </row>
    <row r="89" customFormat="false" ht="15" hidden="false" customHeight="false" outlineLevel="0" collapsed="false">
      <c r="A89" s="0" t="s">
        <v>97</v>
      </c>
      <c r="B89" s="6" t="n">
        <v>43034</v>
      </c>
      <c r="C89" s="7" t="s">
        <v>45</v>
      </c>
      <c r="D89" s="7" t="s">
        <v>68</v>
      </c>
      <c r="E89" s="7" t="s">
        <v>35</v>
      </c>
      <c r="F89" s="0" t="n">
        <v>6.16</v>
      </c>
      <c r="G89" s="0" t="n">
        <v>2.9568</v>
      </c>
      <c r="H89" s="0" t="n">
        <v>0</v>
      </c>
      <c r="I89" s="7" t="n">
        <f aca="false">YEAR(B89)</f>
        <v>2017</v>
      </c>
      <c r="J89" s="0" t="str">
        <f aca="false">I89&amp;"-Q"&amp;ROUNDUP(MONTH(B89)/3,0)</f>
        <v>2017-Q4</v>
      </c>
    </row>
    <row r="90" customFormat="false" ht="15" hidden="false" customHeight="false" outlineLevel="0" collapsed="false">
      <c r="A90" s="0" t="s">
        <v>98</v>
      </c>
      <c r="B90" s="6" t="n">
        <v>42465</v>
      </c>
      <c r="C90" s="7" t="s">
        <v>45</v>
      </c>
      <c r="D90" s="7" t="s">
        <v>46</v>
      </c>
      <c r="E90" s="7" t="s">
        <v>35</v>
      </c>
      <c r="F90" s="0" t="n">
        <v>158.368</v>
      </c>
      <c r="G90" s="0" t="n">
        <v>13.8572</v>
      </c>
      <c r="H90" s="0" t="n">
        <v>0.2</v>
      </c>
      <c r="I90" s="7" t="n">
        <f aca="false">YEAR(B90)</f>
        <v>2016</v>
      </c>
      <c r="J90" s="0" t="str">
        <f aca="false">I90&amp;"-Q"&amp;ROUNDUP(MONTH(B90)/3,0)</f>
        <v>2016-Q2</v>
      </c>
    </row>
    <row r="91" customFormat="false" ht="15" hidden="false" customHeight="false" outlineLevel="0" collapsed="false">
      <c r="A91" s="0" t="s">
        <v>99</v>
      </c>
      <c r="B91" s="6" t="n">
        <v>42630</v>
      </c>
      <c r="C91" s="7" t="s">
        <v>33</v>
      </c>
      <c r="D91" s="7" t="s">
        <v>34</v>
      </c>
      <c r="E91" s="7" t="s">
        <v>35</v>
      </c>
      <c r="F91" s="0" t="n">
        <v>20.1</v>
      </c>
      <c r="G91" s="0" t="n">
        <v>6.633</v>
      </c>
      <c r="H91" s="0" t="n">
        <v>0</v>
      </c>
      <c r="I91" s="7" t="n">
        <f aca="false">YEAR(B91)</f>
        <v>2016</v>
      </c>
      <c r="J91" s="0" t="str">
        <f aca="false">I91&amp;"-Q"&amp;ROUNDUP(MONTH(B91)/3,0)</f>
        <v>2016-Q3</v>
      </c>
    </row>
    <row r="92" customFormat="false" ht="15" hidden="false" customHeight="false" outlineLevel="0" collapsed="false">
      <c r="A92" s="0" t="s">
        <v>99</v>
      </c>
      <c r="B92" s="6" t="n">
        <v>42630</v>
      </c>
      <c r="C92" s="7" t="s">
        <v>33</v>
      </c>
      <c r="D92" s="7" t="s">
        <v>34</v>
      </c>
      <c r="E92" s="7" t="s">
        <v>39</v>
      </c>
      <c r="F92" s="0" t="n">
        <v>73.584</v>
      </c>
      <c r="G92" s="0" t="n">
        <v>8.2782</v>
      </c>
      <c r="H92" s="0" t="n">
        <v>0.2</v>
      </c>
      <c r="I92" s="7" t="n">
        <f aca="false">YEAR(B92)</f>
        <v>2016</v>
      </c>
      <c r="J92" s="0" t="str">
        <f aca="false">I92&amp;"-Q"&amp;ROUNDUP(MONTH(B92)/3,0)</f>
        <v>2016-Q3</v>
      </c>
    </row>
    <row r="93" customFormat="false" ht="15" hidden="false" customHeight="false" outlineLevel="0" collapsed="false">
      <c r="A93" s="0" t="s">
        <v>99</v>
      </c>
      <c r="B93" s="6" t="n">
        <v>42630</v>
      </c>
      <c r="C93" s="7" t="s">
        <v>33</v>
      </c>
      <c r="D93" s="7" t="s">
        <v>34</v>
      </c>
      <c r="E93" s="7" t="s">
        <v>35</v>
      </c>
      <c r="F93" s="0" t="n">
        <v>6.48</v>
      </c>
      <c r="G93" s="0" t="n">
        <v>3.1104</v>
      </c>
      <c r="H93" s="0" t="n">
        <v>0</v>
      </c>
      <c r="I93" s="7" t="n">
        <f aca="false">YEAR(B93)</f>
        <v>2016</v>
      </c>
      <c r="J93" s="0" t="str">
        <f aca="false">I93&amp;"-Q"&amp;ROUNDUP(MONTH(B93)/3,0)</f>
        <v>2016-Q3</v>
      </c>
    </row>
    <row r="94" customFormat="false" ht="15" hidden="false" customHeight="false" outlineLevel="0" collapsed="false">
      <c r="A94" s="0" t="s">
        <v>100</v>
      </c>
      <c r="B94" s="6" t="n">
        <v>42035</v>
      </c>
      <c r="C94" s="7" t="s">
        <v>45</v>
      </c>
      <c r="D94" s="7" t="s">
        <v>68</v>
      </c>
      <c r="E94" s="7" t="s">
        <v>35</v>
      </c>
      <c r="F94" s="0" t="n">
        <v>12.96</v>
      </c>
      <c r="G94" s="0" t="n">
        <v>6.2208</v>
      </c>
      <c r="H94" s="0" t="n">
        <v>0</v>
      </c>
      <c r="I94" s="7" t="n">
        <f aca="false">YEAR(B94)</f>
        <v>2015</v>
      </c>
      <c r="J94" s="0" t="str">
        <f aca="false">I94&amp;"-Q"&amp;ROUNDUP(MONTH(B94)/3,0)</f>
        <v>2015-Q1</v>
      </c>
    </row>
    <row r="95" customFormat="false" ht="15" hidden="false" customHeight="false" outlineLevel="0" collapsed="false">
      <c r="A95" s="0" t="s">
        <v>100</v>
      </c>
      <c r="B95" s="6" t="n">
        <v>42035</v>
      </c>
      <c r="C95" s="7" t="s">
        <v>45</v>
      </c>
      <c r="D95" s="7" t="s">
        <v>68</v>
      </c>
      <c r="E95" s="7" t="s">
        <v>31</v>
      </c>
      <c r="F95" s="0" t="n">
        <v>53.34</v>
      </c>
      <c r="G95" s="0" t="n">
        <v>16.5354</v>
      </c>
      <c r="H95" s="0" t="n">
        <v>0</v>
      </c>
      <c r="I95" s="7" t="n">
        <f aca="false">YEAR(B95)</f>
        <v>2015</v>
      </c>
      <c r="J95" s="0" t="str">
        <f aca="false">I95&amp;"-Q"&amp;ROUNDUP(MONTH(B95)/3,0)</f>
        <v>2015-Q1</v>
      </c>
    </row>
    <row r="96" customFormat="false" ht="15" hidden="false" customHeight="false" outlineLevel="0" collapsed="false">
      <c r="A96" s="0" t="s">
        <v>100</v>
      </c>
      <c r="B96" s="6" t="n">
        <v>42035</v>
      </c>
      <c r="C96" s="7" t="s">
        <v>45</v>
      </c>
      <c r="D96" s="7" t="s">
        <v>68</v>
      </c>
      <c r="E96" s="7" t="s">
        <v>35</v>
      </c>
      <c r="F96" s="0" t="n">
        <v>32.96</v>
      </c>
      <c r="G96" s="0" t="n">
        <v>16.1504</v>
      </c>
      <c r="H96" s="0" t="n">
        <v>0</v>
      </c>
      <c r="I96" s="7" t="n">
        <f aca="false">YEAR(B96)</f>
        <v>2015</v>
      </c>
      <c r="J96" s="0" t="str">
        <f aca="false">I96&amp;"-Q"&amp;ROUNDUP(MONTH(B96)/3,0)</f>
        <v>2015-Q1</v>
      </c>
    </row>
    <row r="97" customFormat="false" ht="15" hidden="false" customHeight="false" outlineLevel="0" collapsed="false">
      <c r="A97" s="0" t="s">
        <v>101</v>
      </c>
      <c r="B97" s="6" t="n">
        <v>43045</v>
      </c>
      <c r="C97" s="7" t="s">
        <v>33</v>
      </c>
      <c r="D97" s="7" t="s">
        <v>102</v>
      </c>
      <c r="E97" s="7" t="s">
        <v>35</v>
      </c>
      <c r="F97" s="0" t="n">
        <v>5.682</v>
      </c>
      <c r="G97" s="0" t="n">
        <v>-3.788</v>
      </c>
      <c r="H97" s="0" t="n">
        <v>0.7</v>
      </c>
      <c r="I97" s="7" t="n">
        <f aca="false">YEAR(B97)</f>
        <v>2017</v>
      </c>
      <c r="J97" s="0" t="str">
        <f aca="false">I97&amp;"-Q"&amp;ROUNDUP(MONTH(B97)/3,0)</f>
        <v>2017-Q4</v>
      </c>
    </row>
    <row r="98" customFormat="false" ht="15" hidden="false" customHeight="false" outlineLevel="0" collapsed="false">
      <c r="A98" s="0" t="s">
        <v>103</v>
      </c>
      <c r="B98" s="6" t="n">
        <v>43048</v>
      </c>
      <c r="C98" s="7" t="s">
        <v>55</v>
      </c>
      <c r="D98" s="7" t="s">
        <v>76</v>
      </c>
      <c r="E98" s="7" t="s">
        <v>31</v>
      </c>
      <c r="F98" s="0" t="n">
        <v>96.53</v>
      </c>
      <c r="G98" s="0" t="n">
        <v>40.5426</v>
      </c>
      <c r="H98" s="0" t="n">
        <v>0</v>
      </c>
      <c r="I98" s="7" t="n">
        <f aca="false">YEAR(B98)</f>
        <v>2017</v>
      </c>
      <c r="J98" s="0" t="str">
        <f aca="false">I98&amp;"-Q"&amp;ROUNDUP(MONTH(B98)/3,0)</f>
        <v>2017-Q4</v>
      </c>
    </row>
    <row r="99" customFormat="false" ht="15" hidden="false" customHeight="false" outlineLevel="0" collapsed="false">
      <c r="A99" s="0" t="s">
        <v>104</v>
      </c>
      <c r="B99" s="6" t="n">
        <v>42903</v>
      </c>
      <c r="C99" s="7" t="s">
        <v>33</v>
      </c>
      <c r="D99" s="7" t="s">
        <v>34</v>
      </c>
      <c r="E99" s="7" t="s">
        <v>35</v>
      </c>
      <c r="F99" s="0" t="n">
        <v>51.312</v>
      </c>
      <c r="G99" s="0" t="n">
        <v>17.9592</v>
      </c>
      <c r="H99" s="0" t="n">
        <v>0.2</v>
      </c>
      <c r="I99" s="7" t="n">
        <f aca="false">YEAR(B99)</f>
        <v>2017</v>
      </c>
      <c r="J99" s="0" t="str">
        <f aca="false">I99&amp;"-Q"&amp;ROUNDUP(MONTH(B99)/3,0)</f>
        <v>2017-Q2</v>
      </c>
    </row>
    <row r="100" customFormat="false" ht="15" hidden="false" customHeight="false" outlineLevel="0" collapsed="false">
      <c r="A100" s="0" t="s">
        <v>105</v>
      </c>
      <c r="B100" s="6" t="n">
        <v>42619</v>
      </c>
      <c r="C100" s="7" t="s">
        <v>45</v>
      </c>
      <c r="D100" s="7" t="s">
        <v>68</v>
      </c>
      <c r="E100" s="7" t="s">
        <v>35</v>
      </c>
      <c r="F100" s="0" t="n">
        <v>77.88</v>
      </c>
      <c r="G100" s="0" t="n">
        <v>22.5852</v>
      </c>
      <c r="H100" s="0" t="n">
        <v>0</v>
      </c>
      <c r="I100" s="7" t="n">
        <f aca="false">YEAR(B100)</f>
        <v>2016</v>
      </c>
      <c r="J100" s="0" t="str">
        <f aca="false">I100&amp;"-Q"&amp;ROUNDUP(MONTH(B100)/3,0)</f>
        <v>2016-Q3</v>
      </c>
    </row>
    <row r="101" customFormat="false" ht="15" hidden="false" customHeight="false" outlineLevel="0" collapsed="false">
      <c r="A101" s="0" t="s">
        <v>106</v>
      </c>
      <c r="B101" s="6" t="n">
        <v>42611</v>
      </c>
      <c r="C101" s="7" t="s">
        <v>45</v>
      </c>
      <c r="D101" s="7" t="s">
        <v>64</v>
      </c>
      <c r="E101" s="7" t="s">
        <v>35</v>
      </c>
      <c r="F101" s="0" t="n">
        <v>64.624</v>
      </c>
      <c r="G101" s="0" t="n">
        <v>22.6184</v>
      </c>
      <c r="H101" s="0" t="n">
        <v>0.2</v>
      </c>
      <c r="I101" s="7" t="n">
        <f aca="false">YEAR(B101)</f>
        <v>2016</v>
      </c>
      <c r="J101" s="0" t="str">
        <f aca="false">I101&amp;"-Q"&amp;ROUNDUP(MONTH(B101)/3,0)</f>
        <v>2016-Q3</v>
      </c>
    </row>
    <row r="102" customFormat="false" ht="15" hidden="false" customHeight="false" outlineLevel="0" collapsed="false">
      <c r="A102" s="0" t="s">
        <v>106</v>
      </c>
      <c r="B102" s="6" t="n">
        <v>42611</v>
      </c>
      <c r="C102" s="7" t="s">
        <v>45</v>
      </c>
      <c r="D102" s="7" t="s">
        <v>64</v>
      </c>
      <c r="E102" s="7" t="s">
        <v>39</v>
      </c>
      <c r="F102" s="0" t="n">
        <v>95.976</v>
      </c>
      <c r="G102" s="0" t="n">
        <v>-10.7973</v>
      </c>
      <c r="H102" s="0" t="n">
        <v>0.2</v>
      </c>
      <c r="I102" s="7" t="n">
        <f aca="false">YEAR(B102)</f>
        <v>2016</v>
      </c>
      <c r="J102" s="0" t="str">
        <f aca="false">I102&amp;"-Q"&amp;ROUNDUP(MONTH(B102)/3,0)</f>
        <v>2016-Q3</v>
      </c>
    </row>
    <row r="103" customFormat="false" ht="15" hidden="false" customHeight="false" outlineLevel="0" collapsed="false">
      <c r="A103" s="0" t="s">
        <v>106</v>
      </c>
      <c r="B103" s="6" t="n">
        <v>42611</v>
      </c>
      <c r="C103" s="7" t="s">
        <v>45</v>
      </c>
      <c r="D103" s="7" t="s">
        <v>64</v>
      </c>
      <c r="E103" s="7" t="s">
        <v>35</v>
      </c>
      <c r="F103" s="0" t="n">
        <v>1.788</v>
      </c>
      <c r="G103" s="0" t="n">
        <v>-3.0396</v>
      </c>
      <c r="H103" s="0" t="n">
        <v>0.8</v>
      </c>
      <c r="I103" s="7" t="n">
        <f aca="false">YEAR(B103)</f>
        <v>2016</v>
      </c>
      <c r="J103" s="0" t="str">
        <f aca="false">I103&amp;"-Q"&amp;ROUNDUP(MONTH(B103)/3,0)</f>
        <v>2016-Q3</v>
      </c>
    </row>
    <row r="104" customFormat="false" ht="15" hidden="false" customHeight="false" outlineLevel="0" collapsed="false">
      <c r="A104" s="0" t="s">
        <v>107</v>
      </c>
      <c r="B104" s="6" t="n">
        <v>42705</v>
      </c>
      <c r="C104" s="7" t="s">
        <v>45</v>
      </c>
      <c r="D104" s="7" t="s">
        <v>68</v>
      </c>
      <c r="E104" s="7" t="s">
        <v>35</v>
      </c>
      <c r="F104" s="0" t="n">
        <v>23.92</v>
      </c>
      <c r="G104" s="0" t="n">
        <v>11.7208</v>
      </c>
      <c r="H104" s="0" t="n">
        <v>0</v>
      </c>
      <c r="I104" s="7" t="n">
        <f aca="false">YEAR(B104)</f>
        <v>2016</v>
      </c>
      <c r="J104" s="0" t="str">
        <f aca="false">I104&amp;"-Q"&amp;ROUNDUP(MONTH(B104)/3,0)</f>
        <v>2016-Q4</v>
      </c>
    </row>
    <row r="105" customFormat="false" ht="15" hidden="false" customHeight="false" outlineLevel="0" collapsed="false">
      <c r="A105" s="0" t="s">
        <v>108</v>
      </c>
      <c r="B105" s="6" t="n">
        <v>42321</v>
      </c>
      <c r="C105" s="7" t="s">
        <v>33</v>
      </c>
      <c r="D105" s="7" t="s">
        <v>109</v>
      </c>
      <c r="E105" s="7" t="s">
        <v>39</v>
      </c>
      <c r="F105" s="0" t="n">
        <v>238.896</v>
      </c>
      <c r="G105" s="0" t="n">
        <v>-26.8758</v>
      </c>
      <c r="H105" s="0" t="n">
        <v>0.2</v>
      </c>
      <c r="I105" s="7" t="n">
        <f aca="false">YEAR(B105)</f>
        <v>2015</v>
      </c>
      <c r="J105" s="0" t="str">
        <f aca="false">I105&amp;"-Q"&amp;ROUNDUP(MONTH(B105)/3,0)</f>
        <v>2015-Q4</v>
      </c>
    </row>
    <row r="106" customFormat="false" ht="15" hidden="false" customHeight="false" outlineLevel="0" collapsed="false">
      <c r="A106" s="0" t="s">
        <v>108</v>
      </c>
      <c r="B106" s="6" t="n">
        <v>42321</v>
      </c>
      <c r="C106" s="7" t="s">
        <v>33</v>
      </c>
      <c r="D106" s="7" t="s">
        <v>109</v>
      </c>
      <c r="E106" s="7" t="s">
        <v>31</v>
      </c>
      <c r="F106" s="0" t="n">
        <v>102.36</v>
      </c>
      <c r="G106" s="0" t="n">
        <v>-3.8385</v>
      </c>
      <c r="H106" s="0" t="n">
        <v>0.2</v>
      </c>
      <c r="I106" s="7" t="n">
        <f aca="false">YEAR(B106)</f>
        <v>2015</v>
      </c>
      <c r="J106" s="0" t="str">
        <f aca="false">I106&amp;"-Q"&amp;ROUNDUP(MONTH(B106)/3,0)</f>
        <v>2015-Q4</v>
      </c>
    </row>
    <row r="107" customFormat="false" ht="15" hidden="false" customHeight="false" outlineLevel="0" collapsed="false">
      <c r="A107" s="0" t="s">
        <v>108</v>
      </c>
      <c r="B107" s="6" t="n">
        <v>42321</v>
      </c>
      <c r="C107" s="7" t="s">
        <v>33</v>
      </c>
      <c r="D107" s="7" t="s">
        <v>109</v>
      </c>
      <c r="E107" s="7" t="s">
        <v>35</v>
      </c>
      <c r="F107" s="0" t="n">
        <v>36.882</v>
      </c>
      <c r="G107" s="0" t="n">
        <v>-25.8174</v>
      </c>
      <c r="H107" s="0" t="n">
        <v>0.7</v>
      </c>
      <c r="I107" s="7" t="n">
        <f aca="false">YEAR(B107)</f>
        <v>2015</v>
      </c>
      <c r="J107" s="0" t="str">
        <f aca="false">I107&amp;"-Q"&amp;ROUNDUP(MONTH(B107)/3,0)</f>
        <v>2015-Q4</v>
      </c>
    </row>
    <row r="108" customFormat="false" ht="15" hidden="false" customHeight="false" outlineLevel="0" collapsed="false">
      <c r="A108" s="0" t="s">
        <v>110</v>
      </c>
      <c r="B108" s="6" t="n">
        <v>43062</v>
      </c>
      <c r="C108" s="7" t="s">
        <v>29</v>
      </c>
      <c r="D108" s="7" t="s">
        <v>41</v>
      </c>
      <c r="E108" s="7" t="s">
        <v>39</v>
      </c>
      <c r="F108" s="0" t="n">
        <v>74.112</v>
      </c>
      <c r="G108" s="0" t="n">
        <v>17.6016</v>
      </c>
      <c r="H108" s="0" t="n">
        <v>0.2</v>
      </c>
      <c r="I108" s="7" t="n">
        <f aca="false">YEAR(B108)</f>
        <v>2017</v>
      </c>
      <c r="J108" s="0" t="str">
        <f aca="false">I108&amp;"-Q"&amp;ROUNDUP(MONTH(B108)/3,0)</f>
        <v>2017-Q4</v>
      </c>
    </row>
    <row r="109" customFormat="false" ht="15" hidden="false" customHeight="false" outlineLevel="0" collapsed="false">
      <c r="A109" s="0" t="s">
        <v>110</v>
      </c>
      <c r="B109" s="6" t="n">
        <v>43062</v>
      </c>
      <c r="C109" s="7" t="s">
        <v>29</v>
      </c>
      <c r="D109" s="7" t="s">
        <v>41</v>
      </c>
      <c r="E109" s="7" t="s">
        <v>39</v>
      </c>
      <c r="F109" s="0" t="n">
        <v>27.992</v>
      </c>
      <c r="G109" s="0" t="n">
        <v>2.0994</v>
      </c>
      <c r="H109" s="0" t="n">
        <v>0.2</v>
      </c>
      <c r="I109" s="7" t="n">
        <f aca="false">YEAR(B109)</f>
        <v>2017</v>
      </c>
      <c r="J109" s="0" t="str">
        <f aca="false">I109&amp;"-Q"&amp;ROUNDUP(MONTH(B109)/3,0)</f>
        <v>2017-Q4</v>
      </c>
    </row>
    <row r="110" customFormat="false" ht="15" hidden="false" customHeight="false" outlineLevel="0" collapsed="false">
      <c r="A110" s="0" t="s">
        <v>110</v>
      </c>
      <c r="B110" s="6" t="n">
        <v>43062</v>
      </c>
      <c r="C110" s="7" t="s">
        <v>29</v>
      </c>
      <c r="D110" s="7" t="s">
        <v>41</v>
      </c>
      <c r="E110" s="7" t="s">
        <v>35</v>
      </c>
      <c r="F110" s="0" t="n">
        <v>3.304</v>
      </c>
      <c r="G110" s="0" t="n">
        <v>1.0738</v>
      </c>
      <c r="H110" s="0" t="n">
        <v>0.2</v>
      </c>
      <c r="I110" s="7" t="n">
        <f aca="false">YEAR(B110)</f>
        <v>2017</v>
      </c>
      <c r="J110" s="0" t="str">
        <f aca="false">I110&amp;"-Q"&amp;ROUNDUP(MONTH(B110)/3,0)</f>
        <v>2017-Q4</v>
      </c>
    </row>
    <row r="111" customFormat="false" ht="15" hidden="false" customHeight="false" outlineLevel="0" collapsed="false">
      <c r="A111" s="0" t="s">
        <v>111</v>
      </c>
      <c r="B111" s="6" t="n">
        <v>42292</v>
      </c>
      <c r="C111" s="7" t="s">
        <v>45</v>
      </c>
      <c r="D111" s="7" t="s">
        <v>64</v>
      </c>
      <c r="E111" s="7" t="s">
        <v>39</v>
      </c>
      <c r="F111" s="0" t="n">
        <v>339.96</v>
      </c>
      <c r="G111" s="0" t="n">
        <v>67.992</v>
      </c>
      <c r="H111" s="0" t="n">
        <v>0.2</v>
      </c>
      <c r="I111" s="7" t="n">
        <f aca="false">YEAR(B111)</f>
        <v>2015</v>
      </c>
      <c r="J111" s="0" t="str">
        <f aca="false">I111&amp;"-Q"&amp;ROUNDUP(MONTH(B111)/3,0)</f>
        <v>2015-Q4</v>
      </c>
    </row>
    <row r="112" customFormat="false" ht="15" hidden="false" customHeight="false" outlineLevel="0" collapsed="false">
      <c r="A112" s="0" t="s">
        <v>112</v>
      </c>
      <c r="B112" s="6" t="n">
        <v>43094</v>
      </c>
      <c r="C112" s="7" t="s">
        <v>55</v>
      </c>
      <c r="D112" s="7" t="s">
        <v>76</v>
      </c>
      <c r="E112" s="7" t="s">
        <v>31</v>
      </c>
      <c r="F112" s="0" t="n">
        <v>41.96</v>
      </c>
      <c r="G112" s="0" t="n">
        <v>10.9096</v>
      </c>
      <c r="H112" s="0" t="n">
        <v>0</v>
      </c>
      <c r="I112" s="7" t="n">
        <f aca="false">YEAR(B112)</f>
        <v>2017</v>
      </c>
      <c r="J112" s="0" t="str">
        <f aca="false">I112&amp;"-Q"&amp;ROUNDUP(MONTH(B112)/3,0)</f>
        <v>2017-Q4</v>
      </c>
    </row>
    <row r="113" customFormat="false" ht="15" hidden="false" customHeight="false" outlineLevel="0" collapsed="false">
      <c r="A113" s="0" t="s">
        <v>113</v>
      </c>
      <c r="B113" s="6" t="n">
        <v>42677</v>
      </c>
      <c r="C113" s="7" t="s">
        <v>45</v>
      </c>
      <c r="D113" s="7" t="s">
        <v>114</v>
      </c>
      <c r="E113" s="7" t="s">
        <v>35</v>
      </c>
      <c r="F113" s="0" t="n">
        <v>75.96</v>
      </c>
      <c r="G113" s="0" t="n">
        <v>22.788</v>
      </c>
      <c r="H113" s="0" t="n">
        <v>0</v>
      </c>
      <c r="I113" s="7" t="n">
        <f aca="false">YEAR(B113)</f>
        <v>2016</v>
      </c>
      <c r="J113" s="0" t="str">
        <f aca="false">I113&amp;"-Q"&amp;ROUNDUP(MONTH(B113)/3,0)</f>
        <v>2016-Q4</v>
      </c>
    </row>
    <row r="114" customFormat="false" ht="15" hidden="false" customHeight="false" outlineLevel="0" collapsed="false">
      <c r="A114" s="0" t="s">
        <v>113</v>
      </c>
      <c r="B114" s="6" t="n">
        <v>42677</v>
      </c>
      <c r="C114" s="7" t="s">
        <v>45</v>
      </c>
      <c r="D114" s="7" t="s">
        <v>114</v>
      </c>
      <c r="E114" s="7" t="s">
        <v>35</v>
      </c>
      <c r="F114" s="0" t="n">
        <v>27.24</v>
      </c>
      <c r="G114" s="0" t="n">
        <v>13.3476</v>
      </c>
      <c r="H114" s="0" t="n">
        <v>0</v>
      </c>
      <c r="I114" s="7" t="n">
        <f aca="false">YEAR(B114)</f>
        <v>2016</v>
      </c>
      <c r="J114" s="0" t="str">
        <f aca="false">I114&amp;"-Q"&amp;ROUNDUP(MONTH(B114)/3,0)</f>
        <v>2016-Q4</v>
      </c>
    </row>
    <row r="115" customFormat="false" ht="15" hidden="false" customHeight="false" outlineLevel="0" collapsed="false">
      <c r="A115" s="0" t="s">
        <v>115</v>
      </c>
      <c r="B115" s="6" t="n">
        <v>41876</v>
      </c>
      <c r="C115" s="7" t="s">
        <v>55</v>
      </c>
      <c r="D115" s="7" t="s">
        <v>116</v>
      </c>
      <c r="E115" s="7" t="s">
        <v>35</v>
      </c>
      <c r="F115" s="0" t="n">
        <v>40.096</v>
      </c>
      <c r="G115" s="0" t="n">
        <v>14.5348</v>
      </c>
      <c r="H115" s="0" t="n">
        <v>0.2</v>
      </c>
      <c r="I115" s="7" t="n">
        <f aca="false">YEAR(B115)</f>
        <v>2014</v>
      </c>
      <c r="J115" s="0" t="str">
        <f aca="false">I115&amp;"-Q"&amp;ROUNDUP(MONTH(B115)/3,0)</f>
        <v>2014-Q3</v>
      </c>
    </row>
    <row r="116" customFormat="false" ht="15" hidden="false" customHeight="false" outlineLevel="0" collapsed="false">
      <c r="A116" s="0" t="s">
        <v>115</v>
      </c>
      <c r="B116" s="6" t="n">
        <v>41876</v>
      </c>
      <c r="C116" s="7" t="s">
        <v>55</v>
      </c>
      <c r="D116" s="7" t="s">
        <v>116</v>
      </c>
      <c r="E116" s="7" t="s">
        <v>35</v>
      </c>
      <c r="F116" s="0" t="n">
        <v>4.72</v>
      </c>
      <c r="G116" s="0" t="n">
        <v>1.652</v>
      </c>
      <c r="H116" s="0" t="n">
        <v>0.2</v>
      </c>
      <c r="I116" s="7" t="n">
        <f aca="false">YEAR(B116)</f>
        <v>2014</v>
      </c>
      <c r="J116" s="0" t="str">
        <f aca="false">I116&amp;"-Q"&amp;ROUNDUP(MONTH(B116)/3,0)</f>
        <v>2014-Q3</v>
      </c>
    </row>
    <row r="117" customFormat="false" ht="15" hidden="false" customHeight="false" outlineLevel="0" collapsed="false">
      <c r="A117" s="0" t="s">
        <v>115</v>
      </c>
      <c r="B117" s="6" t="n">
        <v>41876</v>
      </c>
      <c r="C117" s="7" t="s">
        <v>55</v>
      </c>
      <c r="D117" s="7" t="s">
        <v>116</v>
      </c>
      <c r="E117" s="7" t="s">
        <v>35</v>
      </c>
      <c r="F117" s="0" t="n">
        <v>23.976</v>
      </c>
      <c r="G117" s="0" t="n">
        <v>7.4925</v>
      </c>
      <c r="H117" s="0" t="n">
        <v>0.2</v>
      </c>
      <c r="I117" s="7" t="n">
        <f aca="false">YEAR(B117)</f>
        <v>2014</v>
      </c>
      <c r="J117" s="0" t="str">
        <f aca="false">I117&amp;"-Q"&amp;ROUNDUP(MONTH(B117)/3,0)</f>
        <v>2014-Q3</v>
      </c>
    </row>
    <row r="118" customFormat="false" ht="15" hidden="false" customHeight="false" outlineLevel="0" collapsed="false">
      <c r="A118" s="0" t="s">
        <v>115</v>
      </c>
      <c r="B118" s="6" t="n">
        <v>41876</v>
      </c>
      <c r="C118" s="7" t="s">
        <v>55</v>
      </c>
      <c r="D118" s="7" t="s">
        <v>116</v>
      </c>
      <c r="E118" s="7" t="s">
        <v>35</v>
      </c>
      <c r="F118" s="0" t="n">
        <v>130.464</v>
      </c>
      <c r="G118" s="0" t="n">
        <v>44.0316</v>
      </c>
      <c r="H118" s="0" t="n">
        <v>0.2</v>
      </c>
      <c r="I118" s="7" t="n">
        <f aca="false">YEAR(B118)</f>
        <v>2014</v>
      </c>
      <c r="J118" s="0" t="str">
        <f aca="false">I118&amp;"-Q"&amp;ROUNDUP(MONTH(B118)/3,0)</f>
        <v>2014-Q3</v>
      </c>
    </row>
    <row r="119" customFormat="false" ht="15" hidden="false" customHeight="false" outlineLevel="0" collapsed="false">
      <c r="A119" s="0" t="s">
        <v>117</v>
      </c>
      <c r="B119" s="6" t="n">
        <v>42065</v>
      </c>
      <c r="C119" s="7" t="s">
        <v>33</v>
      </c>
      <c r="D119" s="7" t="s">
        <v>43</v>
      </c>
      <c r="E119" s="7" t="s">
        <v>31</v>
      </c>
      <c r="F119" s="0" t="n">
        <v>787.53</v>
      </c>
      <c r="G119" s="0" t="n">
        <v>165.3813</v>
      </c>
      <c r="H119" s="0" t="n">
        <v>0</v>
      </c>
      <c r="I119" s="7" t="n">
        <f aca="false">YEAR(B119)</f>
        <v>2015</v>
      </c>
      <c r="J119" s="0" t="str">
        <f aca="false">I119&amp;"-Q"&amp;ROUNDUP(MONTH(B119)/3,0)</f>
        <v>2015-Q1</v>
      </c>
    </row>
    <row r="120" customFormat="false" ht="15" hidden="false" customHeight="false" outlineLevel="0" collapsed="false">
      <c r="A120" s="0" t="s">
        <v>118</v>
      </c>
      <c r="B120" s="6" t="n">
        <v>42099</v>
      </c>
      <c r="C120" s="7" t="s">
        <v>29</v>
      </c>
      <c r="D120" s="7" t="s">
        <v>87</v>
      </c>
      <c r="E120" s="7" t="s">
        <v>35</v>
      </c>
      <c r="F120" s="0" t="n">
        <v>157.794</v>
      </c>
      <c r="G120" s="0" t="n">
        <v>-115.7156</v>
      </c>
      <c r="H120" s="0" t="n">
        <v>0.7</v>
      </c>
      <c r="I120" s="7" t="n">
        <f aca="false">YEAR(B120)</f>
        <v>2015</v>
      </c>
      <c r="J120" s="0" t="str">
        <f aca="false">I120&amp;"-Q"&amp;ROUNDUP(MONTH(B120)/3,0)</f>
        <v>2015-Q2</v>
      </c>
    </row>
    <row r="121" customFormat="false" ht="15" hidden="false" customHeight="false" outlineLevel="0" collapsed="false">
      <c r="A121" s="0" t="s">
        <v>119</v>
      </c>
      <c r="B121" s="6" t="n">
        <v>42533</v>
      </c>
      <c r="C121" s="7" t="s">
        <v>55</v>
      </c>
      <c r="D121" s="7" t="s">
        <v>72</v>
      </c>
      <c r="E121" s="7" t="s">
        <v>31</v>
      </c>
      <c r="F121" s="0" t="n">
        <v>47.04</v>
      </c>
      <c r="G121" s="0" t="n">
        <v>18.3456</v>
      </c>
      <c r="H121" s="0" t="n">
        <v>0</v>
      </c>
      <c r="I121" s="7" t="n">
        <f aca="false">YEAR(B121)</f>
        <v>2016</v>
      </c>
      <c r="J121" s="0" t="str">
        <f aca="false">I121&amp;"-Q"&amp;ROUNDUP(MONTH(B121)/3,0)</f>
        <v>2016-Q2</v>
      </c>
    </row>
    <row r="122" customFormat="false" ht="15" hidden="false" customHeight="false" outlineLevel="0" collapsed="false">
      <c r="A122" s="0" t="s">
        <v>119</v>
      </c>
      <c r="B122" s="6" t="n">
        <v>42533</v>
      </c>
      <c r="C122" s="7" t="s">
        <v>55</v>
      </c>
      <c r="D122" s="7" t="s">
        <v>72</v>
      </c>
      <c r="E122" s="7" t="s">
        <v>35</v>
      </c>
      <c r="F122" s="0" t="n">
        <v>30.84</v>
      </c>
      <c r="G122" s="0" t="n">
        <v>13.878</v>
      </c>
      <c r="H122" s="0" t="n">
        <v>0</v>
      </c>
      <c r="I122" s="7" t="n">
        <f aca="false">YEAR(B122)</f>
        <v>2016</v>
      </c>
      <c r="J122" s="0" t="str">
        <f aca="false">I122&amp;"-Q"&amp;ROUNDUP(MONTH(B122)/3,0)</f>
        <v>2016-Q2</v>
      </c>
    </row>
    <row r="123" customFormat="false" ht="15" hidden="false" customHeight="false" outlineLevel="0" collapsed="false">
      <c r="A123" s="0" t="s">
        <v>119</v>
      </c>
      <c r="B123" s="6" t="n">
        <v>42533</v>
      </c>
      <c r="C123" s="7" t="s">
        <v>55</v>
      </c>
      <c r="D123" s="7" t="s">
        <v>72</v>
      </c>
      <c r="E123" s="7" t="s">
        <v>35</v>
      </c>
      <c r="F123" s="0" t="n">
        <v>226.56</v>
      </c>
      <c r="G123" s="0" t="n">
        <v>63.4368</v>
      </c>
      <c r="H123" s="0" t="n">
        <v>0</v>
      </c>
      <c r="I123" s="7" t="n">
        <f aca="false">YEAR(B123)</f>
        <v>2016</v>
      </c>
      <c r="J123" s="0" t="str">
        <f aca="false">I123&amp;"-Q"&amp;ROUNDUP(MONTH(B123)/3,0)</f>
        <v>2016-Q2</v>
      </c>
    </row>
    <row r="124" customFormat="false" ht="15" hidden="false" customHeight="false" outlineLevel="0" collapsed="false">
      <c r="A124" s="0" t="s">
        <v>119</v>
      </c>
      <c r="B124" s="6" t="n">
        <v>42533</v>
      </c>
      <c r="C124" s="7" t="s">
        <v>55</v>
      </c>
      <c r="D124" s="7" t="s">
        <v>72</v>
      </c>
      <c r="E124" s="7" t="s">
        <v>35</v>
      </c>
      <c r="F124" s="0" t="n">
        <v>115.02</v>
      </c>
      <c r="G124" s="0" t="n">
        <v>51.759</v>
      </c>
      <c r="H124" s="0" t="n">
        <v>0</v>
      </c>
      <c r="I124" s="7" t="n">
        <f aca="false">YEAR(B124)</f>
        <v>2016</v>
      </c>
      <c r="J124" s="0" t="str">
        <f aca="false">I124&amp;"-Q"&amp;ROUNDUP(MONTH(B124)/3,0)</f>
        <v>2016-Q2</v>
      </c>
    </row>
    <row r="125" customFormat="false" ht="15" hidden="false" customHeight="false" outlineLevel="0" collapsed="false">
      <c r="A125" s="0" t="s">
        <v>119</v>
      </c>
      <c r="B125" s="6" t="n">
        <v>42533</v>
      </c>
      <c r="C125" s="7" t="s">
        <v>55</v>
      </c>
      <c r="D125" s="7" t="s">
        <v>72</v>
      </c>
      <c r="E125" s="7" t="s">
        <v>39</v>
      </c>
      <c r="F125" s="0" t="n">
        <v>68.04</v>
      </c>
      <c r="G125" s="0" t="n">
        <v>19.7316</v>
      </c>
      <c r="H125" s="0" t="n">
        <v>0</v>
      </c>
      <c r="I125" s="7" t="n">
        <f aca="false">YEAR(B125)</f>
        <v>2016</v>
      </c>
      <c r="J125" s="0" t="str">
        <f aca="false">I125&amp;"-Q"&amp;ROUNDUP(MONTH(B125)/3,0)</f>
        <v>2016-Q2</v>
      </c>
    </row>
    <row r="126" customFormat="false" ht="15" hidden="false" customHeight="false" outlineLevel="0" collapsed="false">
      <c r="A126" s="0" t="s">
        <v>120</v>
      </c>
      <c r="B126" s="6" t="n">
        <v>41999</v>
      </c>
      <c r="C126" s="7" t="s">
        <v>45</v>
      </c>
      <c r="D126" s="7" t="s">
        <v>46</v>
      </c>
      <c r="E126" s="7" t="s">
        <v>31</v>
      </c>
      <c r="F126" s="0" t="n">
        <v>600.558</v>
      </c>
      <c r="G126" s="0" t="n">
        <v>-8.5794</v>
      </c>
      <c r="H126" s="0" t="n">
        <v>0.3</v>
      </c>
      <c r="I126" s="7" t="n">
        <f aca="false">YEAR(B126)</f>
        <v>2014</v>
      </c>
      <c r="J126" s="0" t="str">
        <f aca="false">I126&amp;"-Q"&amp;ROUNDUP(MONTH(B126)/3,0)</f>
        <v>2014-Q4</v>
      </c>
    </row>
    <row r="127" customFormat="false" ht="15" hidden="false" customHeight="false" outlineLevel="0" collapsed="false">
      <c r="A127" s="0" t="s">
        <v>121</v>
      </c>
      <c r="B127" s="6" t="n">
        <v>41902</v>
      </c>
      <c r="C127" s="7" t="s">
        <v>45</v>
      </c>
      <c r="D127" s="7" t="s">
        <v>64</v>
      </c>
      <c r="E127" s="7" t="s">
        <v>31</v>
      </c>
      <c r="F127" s="0" t="n">
        <v>617.7</v>
      </c>
      <c r="G127" s="0" t="n">
        <v>-407.682</v>
      </c>
      <c r="H127" s="0" t="n">
        <v>0.5</v>
      </c>
      <c r="I127" s="7" t="n">
        <f aca="false">YEAR(B127)</f>
        <v>2014</v>
      </c>
      <c r="J127" s="0" t="str">
        <f aca="false">I127&amp;"-Q"&amp;ROUNDUP(MONTH(B127)/3,0)</f>
        <v>2014-Q3</v>
      </c>
    </row>
    <row r="128" customFormat="false" ht="15" hidden="false" customHeight="false" outlineLevel="0" collapsed="false">
      <c r="A128" s="0" t="s">
        <v>122</v>
      </c>
      <c r="B128" s="6" t="n">
        <v>43044</v>
      </c>
      <c r="C128" s="7" t="s">
        <v>33</v>
      </c>
      <c r="D128" s="7" t="s">
        <v>81</v>
      </c>
      <c r="E128" s="7" t="s">
        <v>35</v>
      </c>
      <c r="F128" s="0" t="n">
        <v>2.388</v>
      </c>
      <c r="G128" s="0" t="n">
        <v>-1.8308</v>
      </c>
      <c r="H128" s="0" t="n">
        <v>0.7</v>
      </c>
      <c r="I128" s="7" t="n">
        <f aca="false">YEAR(B128)</f>
        <v>2017</v>
      </c>
      <c r="J128" s="0" t="str">
        <f aca="false">I128&amp;"-Q"&amp;ROUNDUP(MONTH(B128)/3,0)</f>
        <v>2017-Q4</v>
      </c>
    </row>
    <row r="129" customFormat="false" ht="15" hidden="false" customHeight="false" outlineLevel="0" collapsed="false">
      <c r="A129" s="0" t="s">
        <v>122</v>
      </c>
      <c r="B129" s="6" t="n">
        <v>43044</v>
      </c>
      <c r="C129" s="7" t="s">
        <v>33</v>
      </c>
      <c r="D129" s="7" t="s">
        <v>81</v>
      </c>
      <c r="E129" s="7" t="s">
        <v>35</v>
      </c>
      <c r="F129" s="0" t="n">
        <v>243.992</v>
      </c>
      <c r="G129" s="0" t="n">
        <v>30.499</v>
      </c>
      <c r="H129" s="0" t="n">
        <v>0.2</v>
      </c>
      <c r="I129" s="7" t="n">
        <f aca="false">YEAR(B129)</f>
        <v>2017</v>
      </c>
      <c r="J129" s="0" t="str">
        <f aca="false">I129&amp;"-Q"&amp;ROUNDUP(MONTH(B129)/3,0)</f>
        <v>2017-Q4</v>
      </c>
    </row>
    <row r="130" customFormat="false" ht="15" hidden="false" customHeight="false" outlineLevel="0" collapsed="false">
      <c r="A130" s="0" t="s">
        <v>123</v>
      </c>
      <c r="B130" s="6" t="n">
        <v>42680</v>
      </c>
      <c r="C130" s="7" t="s">
        <v>33</v>
      </c>
      <c r="D130" s="7" t="s">
        <v>34</v>
      </c>
      <c r="E130" s="7" t="s">
        <v>31</v>
      </c>
      <c r="F130" s="0" t="n">
        <v>81.424</v>
      </c>
      <c r="G130" s="0" t="n">
        <v>-9.1602</v>
      </c>
      <c r="H130" s="0" t="n">
        <v>0.2</v>
      </c>
      <c r="I130" s="7" t="n">
        <f aca="false">YEAR(B130)</f>
        <v>2016</v>
      </c>
      <c r="J130" s="0" t="str">
        <f aca="false">I130&amp;"-Q"&amp;ROUNDUP(MONTH(B130)/3,0)</f>
        <v>2016-Q4</v>
      </c>
    </row>
    <row r="131" customFormat="false" ht="15" hidden="false" customHeight="false" outlineLevel="0" collapsed="false">
      <c r="A131" s="0" t="s">
        <v>123</v>
      </c>
      <c r="B131" s="6" t="n">
        <v>42680</v>
      </c>
      <c r="C131" s="7" t="s">
        <v>33</v>
      </c>
      <c r="D131" s="7" t="s">
        <v>34</v>
      </c>
      <c r="E131" s="7" t="s">
        <v>31</v>
      </c>
      <c r="F131" s="0" t="n">
        <v>238.56</v>
      </c>
      <c r="G131" s="0" t="n">
        <v>26.2416</v>
      </c>
      <c r="H131" s="0" t="n">
        <v>0</v>
      </c>
      <c r="I131" s="7" t="n">
        <f aca="false">YEAR(B131)</f>
        <v>2016</v>
      </c>
      <c r="J131" s="0" t="str">
        <f aca="false">I131&amp;"-Q"&amp;ROUNDUP(MONTH(B131)/3,0)</f>
        <v>2016-Q4</v>
      </c>
    </row>
    <row r="132" customFormat="false" ht="15" hidden="false" customHeight="false" outlineLevel="0" collapsed="false">
      <c r="A132" s="0" t="s">
        <v>124</v>
      </c>
      <c r="B132" s="6" t="n">
        <v>42768</v>
      </c>
      <c r="C132" s="7" t="s">
        <v>55</v>
      </c>
      <c r="D132" s="7" t="s">
        <v>116</v>
      </c>
      <c r="E132" s="7" t="s">
        <v>39</v>
      </c>
      <c r="F132" s="0" t="n">
        <v>59.97</v>
      </c>
      <c r="G132" s="0" t="n">
        <v>-11.994</v>
      </c>
      <c r="H132" s="0" t="n">
        <v>0.4</v>
      </c>
      <c r="I132" s="7" t="n">
        <f aca="false">YEAR(B132)</f>
        <v>2017</v>
      </c>
      <c r="J132" s="0" t="str">
        <f aca="false">I132&amp;"-Q"&amp;ROUNDUP(MONTH(B132)/3,0)</f>
        <v>2017-Q1</v>
      </c>
    </row>
    <row r="133" customFormat="false" ht="15" hidden="false" customHeight="false" outlineLevel="0" collapsed="false">
      <c r="A133" s="0" t="s">
        <v>124</v>
      </c>
      <c r="B133" s="6" t="n">
        <v>42768</v>
      </c>
      <c r="C133" s="7" t="s">
        <v>55</v>
      </c>
      <c r="D133" s="7" t="s">
        <v>116</v>
      </c>
      <c r="E133" s="7" t="s">
        <v>35</v>
      </c>
      <c r="F133" s="0" t="n">
        <v>78.304</v>
      </c>
      <c r="G133" s="0" t="n">
        <v>29.364</v>
      </c>
      <c r="H133" s="0" t="n">
        <v>0.2</v>
      </c>
      <c r="I133" s="7" t="n">
        <f aca="false">YEAR(B133)</f>
        <v>2017</v>
      </c>
      <c r="J133" s="0" t="str">
        <f aca="false">I133&amp;"-Q"&amp;ROUNDUP(MONTH(B133)/3,0)</f>
        <v>2017-Q1</v>
      </c>
    </row>
    <row r="134" customFormat="false" ht="15" hidden="false" customHeight="false" outlineLevel="0" collapsed="false">
      <c r="A134" s="0" t="s">
        <v>124</v>
      </c>
      <c r="B134" s="6" t="n">
        <v>42768</v>
      </c>
      <c r="C134" s="7" t="s">
        <v>55</v>
      </c>
      <c r="D134" s="7" t="s">
        <v>116</v>
      </c>
      <c r="E134" s="7" t="s">
        <v>35</v>
      </c>
      <c r="F134" s="0" t="n">
        <v>21.456</v>
      </c>
      <c r="G134" s="0" t="n">
        <v>6.9732</v>
      </c>
      <c r="H134" s="0" t="n">
        <v>0.2</v>
      </c>
      <c r="I134" s="7" t="n">
        <f aca="false">YEAR(B134)</f>
        <v>2017</v>
      </c>
      <c r="J134" s="0" t="str">
        <f aca="false">I134&amp;"-Q"&amp;ROUNDUP(MONTH(B134)/3,0)</f>
        <v>2017-Q1</v>
      </c>
    </row>
    <row r="135" customFormat="false" ht="15" hidden="false" customHeight="false" outlineLevel="0" collapsed="false">
      <c r="A135" s="0" t="s">
        <v>125</v>
      </c>
      <c r="B135" s="6" t="n">
        <v>42656</v>
      </c>
      <c r="C135" s="7" t="s">
        <v>33</v>
      </c>
      <c r="D135" s="7" t="s">
        <v>34</v>
      </c>
      <c r="E135" s="7" t="s">
        <v>35</v>
      </c>
      <c r="F135" s="0" t="n">
        <v>20.04</v>
      </c>
      <c r="G135" s="0" t="n">
        <v>9.6192</v>
      </c>
      <c r="H135" s="0" t="n">
        <v>0</v>
      </c>
      <c r="I135" s="7" t="n">
        <f aca="false">YEAR(B135)</f>
        <v>2016</v>
      </c>
      <c r="J135" s="0" t="str">
        <f aca="false">I135&amp;"-Q"&amp;ROUNDUP(MONTH(B135)/3,0)</f>
        <v>2016-Q4</v>
      </c>
    </row>
    <row r="136" customFormat="false" ht="15" hidden="false" customHeight="false" outlineLevel="0" collapsed="false">
      <c r="A136" s="0" t="s">
        <v>125</v>
      </c>
      <c r="B136" s="6" t="n">
        <v>42656</v>
      </c>
      <c r="C136" s="7" t="s">
        <v>33</v>
      </c>
      <c r="D136" s="7" t="s">
        <v>34</v>
      </c>
      <c r="E136" s="7" t="s">
        <v>35</v>
      </c>
      <c r="F136" s="0" t="n">
        <v>35.44</v>
      </c>
      <c r="G136" s="0" t="n">
        <v>16.6568</v>
      </c>
      <c r="H136" s="0" t="n">
        <v>0</v>
      </c>
      <c r="I136" s="7" t="n">
        <f aca="false">YEAR(B136)</f>
        <v>2016</v>
      </c>
      <c r="J136" s="0" t="str">
        <f aca="false">I136&amp;"-Q"&amp;ROUNDUP(MONTH(B136)/3,0)</f>
        <v>2016-Q4</v>
      </c>
    </row>
    <row r="137" customFormat="false" ht="15" hidden="false" customHeight="false" outlineLevel="0" collapsed="false">
      <c r="A137" s="0" t="s">
        <v>125</v>
      </c>
      <c r="B137" s="6" t="n">
        <v>42656</v>
      </c>
      <c r="C137" s="7" t="s">
        <v>33</v>
      </c>
      <c r="D137" s="7" t="s">
        <v>34</v>
      </c>
      <c r="E137" s="7" t="s">
        <v>35</v>
      </c>
      <c r="F137" s="0" t="n">
        <v>11.52</v>
      </c>
      <c r="G137" s="0" t="n">
        <v>3.456</v>
      </c>
      <c r="H137" s="0" t="n">
        <v>0</v>
      </c>
      <c r="I137" s="7" t="n">
        <f aca="false">YEAR(B137)</f>
        <v>2016</v>
      </c>
      <c r="J137" s="0" t="str">
        <f aca="false">I137&amp;"-Q"&amp;ROUNDUP(MONTH(B137)/3,0)</f>
        <v>2016-Q4</v>
      </c>
    </row>
    <row r="138" customFormat="false" ht="15" hidden="false" customHeight="false" outlineLevel="0" collapsed="false">
      <c r="A138" s="0" t="s">
        <v>125</v>
      </c>
      <c r="B138" s="6" t="n">
        <v>42656</v>
      </c>
      <c r="C138" s="7" t="s">
        <v>33</v>
      </c>
      <c r="D138" s="7" t="s">
        <v>34</v>
      </c>
      <c r="E138" s="7" t="s">
        <v>35</v>
      </c>
      <c r="F138" s="0" t="n">
        <v>4.02</v>
      </c>
      <c r="G138" s="0" t="n">
        <v>1.9698</v>
      </c>
      <c r="H138" s="0" t="n">
        <v>0</v>
      </c>
      <c r="I138" s="7" t="n">
        <f aca="false">YEAR(B138)</f>
        <v>2016</v>
      </c>
      <c r="J138" s="0" t="str">
        <f aca="false">I138&amp;"-Q"&amp;ROUNDUP(MONTH(B138)/3,0)</f>
        <v>2016-Q4</v>
      </c>
    </row>
    <row r="139" customFormat="false" ht="15" hidden="false" customHeight="false" outlineLevel="0" collapsed="false">
      <c r="A139" s="0" t="s">
        <v>125</v>
      </c>
      <c r="B139" s="6" t="n">
        <v>42656</v>
      </c>
      <c r="C139" s="7" t="s">
        <v>33</v>
      </c>
      <c r="D139" s="7" t="s">
        <v>34</v>
      </c>
      <c r="E139" s="7" t="s">
        <v>35</v>
      </c>
      <c r="F139" s="0" t="n">
        <v>76.176</v>
      </c>
      <c r="G139" s="0" t="n">
        <v>26.6616</v>
      </c>
      <c r="H139" s="0" t="n">
        <v>0.2</v>
      </c>
      <c r="I139" s="7" t="n">
        <f aca="false">YEAR(B139)</f>
        <v>2016</v>
      </c>
      <c r="J139" s="0" t="str">
        <f aca="false">I139&amp;"-Q"&amp;ROUNDUP(MONTH(B139)/3,0)</f>
        <v>2016-Q4</v>
      </c>
    </row>
    <row r="140" customFormat="false" ht="15" hidden="false" customHeight="false" outlineLevel="0" collapsed="false">
      <c r="A140" s="0" t="s">
        <v>125</v>
      </c>
      <c r="B140" s="6" t="n">
        <v>42656</v>
      </c>
      <c r="C140" s="7" t="s">
        <v>33</v>
      </c>
      <c r="D140" s="7" t="s">
        <v>34</v>
      </c>
      <c r="E140" s="7" t="s">
        <v>35</v>
      </c>
      <c r="F140" s="0" t="n">
        <v>65.88</v>
      </c>
      <c r="G140" s="0" t="n">
        <v>18.4464</v>
      </c>
      <c r="H140" s="0" t="n">
        <v>0</v>
      </c>
      <c r="I140" s="7" t="n">
        <f aca="false">YEAR(B140)</f>
        <v>2016</v>
      </c>
      <c r="J140" s="0" t="str">
        <f aca="false">I140&amp;"-Q"&amp;ROUNDUP(MONTH(B140)/3,0)</f>
        <v>2016-Q4</v>
      </c>
    </row>
    <row r="141" customFormat="false" ht="15" hidden="false" customHeight="false" outlineLevel="0" collapsed="false">
      <c r="A141" s="0" t="s">
        <v>125</v>
      </c>
      <c r="B141" s="6" t="n">
        <v>42656</v>
      </c>
      <c r="C141" s="7" t="s">
        <v>33</v>
      </c>
      <c r="D141" s="7" t="s">
        <v>34</v>
      </c>
      <c r="E141" s="7" t="s">
        <v>31</v>
      </c>
      <c r="F141" s="0" t="n">
        <v>43.12</v>
      </c>
      <c r="G141" s="0" t="n">
        <v>20.6976</v>
      </c>
      <c r="H141" s="0" t="n">
        <v>0</v>
      </c>
      <c r="I141" s="7" t="n">
        <f aca="false">YEAR(B141)</f>
        <v>2016</v>
      </c>
      <c r="J141" s="0" t="str">
        <f aca="false">I141&amp;"-Q"&amp;ROUNDUP(MONTH(B141)/3,0)</f>
        <v>2016-Q4</v>
      </c>
    </row>
    <row r="142" customFormat="false" ht="15" hidden="false" customHeight="false" outlineLevel="0" collapsed="false">
      <c r="A142" s="0" t="s">
        <v>126</v>
      </c>
      <c r="B142" s="6" t="n">
        <v>42618</v>
      </c>
      <c r="C142" s="7" t="s">
        <v>55</v>
      </c>
      <c r="D142" s="7" t="s">
        <v>56</v>
      </c>
      <c r="E142" s="7" t="s">
        <v>31</v>
      </c>
      <c r="F142" s="0" t="n">
        <v>82.8</v>
      </c>
      <c r="G142" s="0" t="n">
        <v>10.35</v>
      </c>
      <c r="H142" s="0" t="n">
        <v>0.2</v>
      </c>
      <c r="I142" s="7" t="n">
        <f aca="false">YEAR(B142)</f>
        <v>2016</v>
      </c>
      <c r="J142" s="0" t="str">
        <f aca="false">I142&amp;"-Q"&amp;ROUNDUP(MONTH(B142)/3,0)</f>
        <v>2016-Q3</v>
      </c>
    </row>
    <row r="143" customFormat="false" ht="15" hidden="false" customHeight="false" outlineLevel="0" collapsed="false">
      <c r="A143" s="0" t="s">
        <v>127</v>
      </c>
      <c r="B143" s="6" t="n">
        <v>42996</v>
      </c>
      <c r="C143" s="7" t="s">
        <v>33</v>
      </c>
      <c r="D143" s="7" t="s">
        <v>34</v>
      </c>
      <c r="E143" s="7" t="s">
        <v>35</v>
      </c>
      <c r="F143" s="0" t="n">
        <v>8.82</v>
      </c>
      <c r="G143" s="0" t="n">
        <v>2.3814</v>
      </c>
      <c r="H143" s="0" t="n">
        <v>0</v>
      </c>
      <c r="I143" s="7" t="n">
        <f aca="false">YEAR(B143)</f>
        <v>2017</v>
      </c>
      <c r="J143" s="0" t="str">
        <f aca="false">I143&amp;"-Q"&amp;ROUNDUP(MONTH(B143)/3,0)</f>
        <v>2017-Q3</v>
      </c>
    </row>
    <row r="144" customFormat="false" ht="15" hidden="false" customHeight="false" outlineLevel="0" collapsed="false">
      <c r="A144" s="0" t="s">
        <v>127</v>
      </c>
      <c r="B144" s="6" t="n">
        <v>42996</v>
      </c>
      <c r="C144" s="7" t="s">
        <v>33</v>
      </c>
      <c r="D144" s="7" t="s">
        <v>34</v>
      </c>
      <c r="E144" s="7" t="s">
        <v>35</v>
      </c>
      <c r="F144" s="0" t="n">
        <v>10.86</v>
      </c>
      <c r="G144" s="0" t="n">
        <v>5.1042</v>
      </c>
      <c r="H144" s="0" t="n">
        <v>0</v>
      </c>
      <c r="I144" s="7" t="n">
        <f aca="false">YEAR(B144)</f>
        <v>2017</v>
      </c>
      <c r="J144" s="0" t="str">
        <f aca="false">I144&amp;"-Q"&amp;ROUNDUP(MONTH(B144)/3,0)</f>
        <v>2017-Q3</v>
      </c>
    </row>
    <row r="145" customFormat="false" ht="15" hidden="false" customHeight="false" outlineLevel="0" collapsed="false">
      <c r="A145" s="0" t="s">
        <v>127</v>
      </c>
      <c r="B145" s="6" t="n">
        <v>42996</v>
      </c>
      <c r="C145" s="7" t="s">
        <v>33</v>
      </c>
      <c r="D145" s="7" t="s">
        <v>34</v>
      </c>
      <c r="E145" s="7" t="s">
        <v>35</v>
      </c>
      <c r="F145" s="0" t="n">
        <v>143.7</v>
      </c>
      <c r="G145" s="0" t="n">
        <v>68.976</v>
      </c>
      <c r="H145" s="0" t="n">
        <v>0</v>
      </c>
      <c r="I145" s="7" t="n">
        <f aca="false">YEAR(B145)</f>
        <v>2017</v>
      </c>
      <c r="J145" s="0" t="str">
        <f aca="false">I145&amp;"-Q"&amp;ROUNDUP(MONTH(B145)/3,0)</f>
        <v>2017-Q3</v>
      </c>
    </row>
    <row r="146" customFormat="false" ht="15" hidden="false" customHeight="false" outlineLevel="0" collapsed="false">
      <c r="A146" s="0" t="s">
        <v>128</v>
      </c>
      <c r="B146" s="6" t="n">
        <v>43091</v>
      </c>
      <c r="C146" s="7" t="s">
        <v>45</v>
      </c>
      <c r="D146" s="7" t="s">
        <v>129</v>
      </c>
      <c r="E146" s="7" t="s">
        <v>35</v>
      </c>
      <c r="F146" s="0" t="n">
        <v>839.43</v>
      </c>
      <c r="G146" s="0" t="n">
        <v>218.2518</v>
      </c>
      <c r="H146" s="0" t="n">
        <v>0</v>
      </c>
      <c r="I146" s="7" t="n">
        <f aca="false">YEAR(B146)</f>
        <v>2017</v>
      </c>
      <c r="J146" s="0" t="str">
        <f aca="false">I146&amp;"-Q"&amp;ROUNDUP(MONTH(B146)/3,0)</f>
        <v>2017-Q4</v>
      </c>
    </row>
    <row r="147" customFormat="false" ht="15" hidden="false" customHeight="false" outlineLevel="0" collapsed="false">
      <c r="A147" s="0" t="s">
        <v>130</v>
      </c>
      <c r="B147" s="6" t="n">
        <v>42254</v>
      </c>
      <c r="C147" s="7" t="s">
        <v>33</v>
      </c>
      <c r="D147" s="7" t="s">
        <v>34</v>
      </c>
      <c r="E147" s="7" t="s">
        <v>35</v>
      </c>
      <c r="F147" s="0" t="n">
        <v>671.93</v>
      </c>
      <c r="G147" s="0" t="n">
        <v>20.1579</v>
      </c>
      <c r="H147" s="0" t="n">
        <v>0</v>
      </c>
      <c r="I147" s="7" t="n">
        <f aca="false">YEAR(B147)</f>
        <v>2015</v>
      </c>
      <c r="J147" s="0" t="str">
        <f aca="false">I147&amp;"-Q"&amp;ROUNDUP(MONTH(B147)/3,0)</f>
        <v>2015-Q3</v>
      </c>
    </row>
    <row r="148" customFormat="false" ht="15" hidden="false" customHeight="false" outlineLevel="0" collapsed="false">
      <c r="A148" s="0" t="s">
        <v>131</v>
      </c>
      <c r="B148" s="6" t="n">
        <v>41934</v>
      </c>
      <c r="C148" s="7" t="s">
        <v>55</v>
      </c>
      <c r="D148" s="7" t="s">
        <v>116</v>
      </c>
      <c r="E148" s="7" t="s">
        <v>31</v>
      </c>
      <c r="F148" s="0" t="n">
        <v>93.888</v>
      </c>
      <c r="G148" s="0" t="n">
        <v>12.9096</v>
      </c>
      <c r="H148" s="0" t="n">
        <v>0.2</v>
      </c>
      <c r="I148" s="7" t="n">
        <f aca="false">YEAR(B148)</f>
        <v>2014</v>
      </c>
      <c r="J148" s="0" t="str">
        <f aca="false">I148&amp;"-Q"&amp;ROUNDUP(MONTH(B148)/3,0)</f>
        <v>2014-Q4</v>
      </c>
    </row>
    <row r="149" customFormat="false" ht="15" hidden="false" customHeight="false" outlineLevel="0" collapsed="false">
      <c r="A149" s="0" t="s">
        <v>132</v>
      </c>
      <c r="B149" s="6" t="n">
        <v>42709</v>
      </c>
      <c r="C149" s="7" t="s">
        <v>45</v>
      </c>
      <c r="D149" s="7" t="s">
        <v>48</v>
      </c>
      <c r="E149" s="7" t="s">
        <v>39</v>
      </c>
      <c r="F149" s="0" t="n">
        <v>384.45</v>
      </c>
      <c r="G149" s="0" t="n">
        <v>103.8015</v>
      </c>
      <c r="H149" s="0" t="n">
        <v>0</v>
      </c>
      <c r="I149" s="7" t="n">
        <f aca="false">YEAR(B149)</f>
        <v>2016</v>
      </c>
      <c r="J149" s="0" t="str">
        <f aca="false">I149&amp;"-Q"&amp;ROUNDUP(MONTH(B149)/3,0)</f>
        <v>2016-Q4</v>
      </c>
    </row>
    <row r="150" customFormat="false" ht="15" hidden="false" customHeight="false" outlineLevel="0" collapsed="false">
      <c r="A150" s="0" t="s">
        <v>132</v>
      </c>
      <c r="B150" s="6" t="n">
        <v>42709</v>
      </c>
      <c r="C150" s="7" t="s">
        <v>45</v>
      </c>
      <c r="D150" s="7" t="s">
        <v>48</v>
      </c>
      <c r="E150" s="7" t="s">
        <v>39</v>
      </c>
      <c r="F150" s="0" t="n">
        <v>149.97</v>
      </c>
      <c r="G150" s="0" t="n">
        <v>5.9988</v>
      </c>
      <c r="H150" s="0" t="n">
        <v>0</v>
      </c>
      <c r="I150" s="7" t="n">
        <f aca="false">YEAR(B150)</f>
        <v>2016</v>
      </c>
      <c r="J150" s="0" t="str">
        <f aca="false">I150&amp;"-Q"&amp;ROUNDUP(MONTH(B150)/3,0)</f>
        <v>2016-Q4</v>
      </c>
    </row>
    <row r="151" customFormat="false" ht="15" hidden="false" customHeight="false" outlineLevel="0" collapsed="false">
      <c r="A151" s="0" t="s">
        <v>132</v>
      </c>
      <c r="B151" s="6" t="n">
        <v>42709</v>
      </c>
      <c r="C151" s="7" t="s">
        <v>45</v>
      </c>
      <c r="D151" s="7" t="s">
        <v>48</v>
      </c>
      <c r="E151" s="7" t="s">
        <v>31</v>
      </c>
      <c r="F151" s="0" t="n">
        <v>1951.84</v>
      </c>
      <c r="G151" s="0" t="n">
        <v>585.552</v>
      </c>
      <c r="H151" s="0" t="n">
        <v>0</v>
      </c>
      <c r="I151" s="7" t="n">
        <f aca="false">YEAR(B151)</f>
        <v>2016</v>
      </c>
      <c r="J151" s="0" t="str">
        <f aca="false">I151&amp;"-Q"&amp;ROUNDUP(MONTH(B151)/3,0)</f>
        <v>2016-Q4</v>
      </c>
    </row>
    <row r="152" customFormat="false" ht="15" hidden="false" customHeight="false" outlineLevel="0" collapsed="false">
      <c r="A152" s="0" t="s">
        <v>132</v>
      </c>
      <c r="B152" s="6" t="n">
        <v>42709</v>
      </c>
      <c r="C152" s="7" t="s">
        <v>45</v>
      </c>
      <c r="D152" s="7" t="s">
        <v>48</v>
      </c>
      <c r="E152" s="7" t="s">
        <v>35</v>
      </c>
      <c r="F152" s="0" t="n">
        <v>171.55</v>
      </c>
      <c r="G152" s="0" t="n">
        <v>80.6285</v>
      </c>
      <c r="H152" s="0" t="n">
        <v>0</v>
      </c>
      <c r="I152" s="7" t="n">
        <f aca="false">YEAR(B152)</f>
        <v>2016</v>
      </c>
      <c r="J152" s="0" t="str">
        <f aca="false">I152&amp;"-Q"&amp;ROUNDUP(MONTH(B152)/3,0)</f>
        <v>2016-Q4</v>
      </c>
    </row>
    <row r="153" customFormat="false" ht="15" hidden="false" customHeight="false" outlineLevel="0" collapsed="false">
      <c r="A153" s="0" t="s">
        <v>133</v>
      </c>
      <c r="B153" s="6" t="n">
        <v>42442</v>
      </c>
      <c r="C153" s="7" t="s">
        <v>33</v>
      </c>
      <c r="D153" s="7" t="s">
        <v>81</v>
      </c>
      <c r="E153" s="7" t="s">
        <v>35</v>
      </c>
      <c r="F153" s="0" t="n">
        <v>157.92</v>
      </c>
      <c r="G153" s="0" t="n">
        <v>17.766</v>
      </c>
      <c r="H153" s="0" t="n">
        <v>0.2</v>
      </c>
      <c r="I153" s="7" t="n">
        <f aca="false">YEAR(B153)</f>
        <v>2016</v>
      </c>
      <c r="J153" s="0" t="str">
        <f aca="false">I153&amp;"-Q"&amp;ROUNDUP(MONTH(B153)/3,0)</f>
        <v>2016-Q1</v>
      </c>
    </row>
    <row r="154" customFormat="false" ht="15" hidden="false" customHeight="false" outlineLevel="0" collapsed="false">
      <c r="A154" s="0" t="s">
        <v>133</v>
      </c>
      <c r="B154" s="6" t="n">
        <v>42442</v>
      </c>
      <c r="C154" s="7" t="s">
        <v>33</v>
      </c>
      <c r="D154" s="7" t="s">
        <v>81</v>
      </c>
      <c r="E154" s="7" t="s">
        <v>39</v>
      </c>
      <c r="F154" s="0" t="n">
        <v>203.184</v>
      </c>
      <c r="G154" s="0" t="n">
        <v>15.2388</v>
      </c>
      <c r="H154" s="0" t="n">
        <v>0.2</v>
      </c>
      <c r="I154" s="7" t="n">
        <f aca="false">YEAR(B154)</f>
        <v>2016</v>
      </c>
      <c r="J154" s="0" t="str">
        <f aca="false">I154&amp;"-Q"&amp;ROUNDUP(MONTH(B154)/3,0)</f>
        <v>2016-Q1</v>
      </c>
    </row>
    <row r="155" customFormat="false" ht="15" hidden="false" customHeight="false" outlineLevel="0" collapsed="false">
      <c r="A155" s="0" t="s">
        <v>134</v>
      </c>
      <c r="B155" s="6" t="n">
        <v>42155</v>
      </c>
      <c r="C155" s="7" t="s">
        <v>33</v>
      </c>
      <c r="D155" s="7" t="s">
        <v>34</v>
      </c>
      <c r="E155" s="7" t="s">
        <v>35</v>
      </c>
      <c r="F155" s="0" t="n">
        <v>58.38</v>
      </c>
      <c r="G155" s="0" t="n">
        <v>26.271</v>
      </c>
      <c r="H155" s="0" t="n">
        <v>0</v>
      </c>
      <c r="I155" s="7" t="n">
        <f aca="false">YEAR(B155)</f>
        <v>2015</v>
      </c>
      <c r="J155" s="0" t="str">
        <f aca="false">I155&amp;"-Q"&amp;ROUNDUP(MONTH(B155)/3,0)</f>
        <v>2015-Q2</v>
      </c>
    </row>
    <row r="156" customFormat="false" ht="15" hidden="false" customHeight="false" outlineLevel="0" collapsed="false">
      <c r="A156" s="0" t="s">
        <v>134</v>
      </c>
      <c r="B156" s="6" t="n">
        <v>42155</v>
      </c>
      <c r="C156" s="7" t="s">
        <v>33</v>
      </c>
      <c r="D156" s="7" t="s">
        <v>34</v>
      </c>
      <c r="E156" s="7" t="s">
        <v>35</v>
      </c>
      <c r="F156" s="0" t="n">
        <v>105.52</v>
      </c>
      <c r="G156" s="0" t="n">
        <v>48.5392</v>
      </c>
      <c r="H156" s="0" t="n">
        <v>0</v>
      </c>
      <c r="I156" s="7" t="n">
        <f aca="false">YEAR(B156)</f>
        <v>2015</v>
      </c>
      <c r="J156" s="0" t="str">
        <f aca="false">I156&amp;"-Q"&amp;ROUNDUP(MONTH(B156)/3,0)</f>
        <v>2015-Q2</v>
      </c>
    </row>
    <row r="157" customFormat="false" ht="15" hidden="false" customHeight="false" outlineLevel="0" collapsed="false">
      <c r="A157" s="0" t="s">
        <v>134</v>
      </c>
      <c r="B157" s="6" t="n">
        <v>42155</v>
      </c>
      <c r="C157" s="7" t="s">
        <v>33</v>
      </c>
      <c r="D157" s="7" t="s">
        <v>34</v>
      </c>
      <c r="E157" s="7" t="s">
        <v>35</v>
      </c>
      <c r="F157" s="0" t="n">
        <v>80.88</v>
      </c>
      <c r="G157" s="0" t="n">
        <v>21.0288</v>
      </c>
      <c r="H157" s="0" t="n">
        <v>0</v>
      </c>
      <c r="I157" s="7" t="n">
        <f aca="false">YEAR(B157)</f>
        <v>2015</v>
      </c>
      <c r="J157" s="0" t="str">
        <f aca="false">I157&amp;"-Q"&amp;ROUNDUP(MONTH(B157)/3,0)</f>
        <v>2015-Q2</v>
      </c>
    </row>
    <row r="158" customFormat="false" ht="15" hidden="false" customHeight="false" outlineLevel="0" collapsed="false">
      <c r="A158" s="0" t="s">
        <v>135</v>
      </c>
      <c r="B158" s="6" t="n">
        <v>42152</v>
      </c>
      <c r="C158" s="7" t="s">
        <v>33</v>
      </c>
      <c r="D158" s="7" t="s">
        <v>43</v>
      </c>
      <c r="E158" s="7" t="s">
        <v>35</v>
      </c>
      <c r="F158" s="0" t="n">
        <v>6.63</v>
      </c>
      <c r="G158" s="0" t="n">
        <v>1.7901</v>
      </c>
      <c r="H158" s="0" t="n">
        <v>0</v>
      </c>
      <c r="I158" s="7" t="n">
        <f aca="false">YEAR(B158)</f>
        <v>2015</v>
      </c>
      <c r="J158" s="0" t="str">
        <f aca="false">I158&amp;"-Q"&amp;ROUNDUP(MONTH(B158)/3,0)</f>
        <v>2015-Q2</v>
      </c>
    </row>
    <row r="159" customFormat="false" ht="15" hidden="false" customHeight="false" outlineLevel="0" collapsed="false">
      <c r="A159" s="0" t="s">
        <v>136</v>
      </c>
      <c r="B159" s="6" t="n">
        <v>41699</v>
      </c>
      <c r="C159" s="7" t="s">
        <v>33</v>
      </c>
      <c r="D159" s="7" t="s">
        <v>43</v>
      </c>
      <c r="E159" s="7" t="s">
        <v>31</v>
      </c>
      <c r="F159" s="0" t="n">
        <v>457.568</v>
      </c>
      <c r="G159" s="0" t="n">
        <v>51.4764</v>
      </c>
      <c r="H159" s="0" t="n">
        <v>0.2</v>
      </c>
      <c r="I159" s="7" t="n">
        <f aca="false">YEAR(B159)</f>
        <v>2014</v>
      </c>
      <c r="J159" s="0" t="str">
        <f aca="false">I159&amp;"-Q"&amp;ROUNDUP(MONTH(B159)/3,0)</f>
        <v>2014-Q1</v>
      </c>
    </row>
    <row r="160" customFormat="false" ht="15" hidden="false" customHeight="false" outlineLevel="0" collapsed="false">
      <c r="A160" s="0" t="s">
        <v>137</v>
      </c>
      <c r="B160" s="6" t="n">
        <v>42694</v>
      </c>
      <c r="C160" s="7" t="s">
        <v>45</v>
      </c>
      <c r="D160" s="7" t="s">
        <v>138</v>
      </c>
      <c r="E160" s="7" t="s">
        <v>35</v>
      </c>
      <c r="F160" s="0" t="n">
        <v>14.62</v>
      </c>
      <c r="G160" s="0" t="n">
        <v>6.8714</v>
      </c>
      <c r="H160" s="0" t="n">
        <v>0</v>
      </c>
      <c r="I160" s="7" t="n">
        <f aca="false">YEAR(B160)</f>
        <v>2016</v>
      </c>
      <c r="J160" s="0" t="str">
        <f aca="false">I160&amp;"-Q"&amp;ROUNDUP(MONTH(B160)/3,0)</f>
        <v>2016-Q4</v>
      </c>
    </row>
    <row r="161" customFormat="false" ht="15" hidden="false" customHeight="false" outlineLevel="0" collapsed="false">
      <c r="A161" s="0" t="s">
        <v>137</v>
      </c>
      <c r="B161" s="6" t="n">
        <v>42694</v>
      </c>
      <c r="C161" s="7" t="s">
        <v>45</v>
      </c>
      <c r="D161" s="7" t="s">
        <v>138</v>
      </c>
      <c r="E161" s="7" t="s">
        <v>39</v>
      </c>
      <c r="F161" s="0" t="n">
        <v>944.93</v>
      </c>
      <c r="G161" s="0" t="n">
        <v>236.2325</v>
      </c>
      <c r="H161" s="0" t="n">
        <v>0</v>
      </c>
      <c r="I161" s="7" t="n">
        <f aca="false">YEAR(B161)</f>
        <v>2016</v>
      </c>
      <c r="J161" s="0" t="str">
        <f aca="false">I161&amp;"-Q"&amp;ROUNDUP(MONTH(B161)/3,0)</f>
        <v>2016-Q4</v>
      </c>
    </row>
    <row r="162" customFormat="false" ht="15" hidden="false" customHeight="false" outlineLevel="0" collapsed="false">
      <c r="A162" s="0" t="s">
        <v>139</v>
      </c>
      <c r="B162" s="6" t="n">
        <v>42501</v>
      </c>
      <c r="C162" s="7" t="s">
        <v>33</v>
      </c>
      <c r="D162" s="7" t="s">
        <v>34</v>
      </c>
      <c r="E162" s="7" t="s">
        <v>35</v>
      </c>
      <c r="F162" s="0" t="n">
        <v>5.98</v>
      </c>
      <c r="G162" s="0" t="n">
        <v>2.691</v>
      </c>
      <c r="H162" s="0" t="n">
        <v>0</v>
      </c>
      <c r="I162" s="7" t="n">
        <f aca="false">YEAR(B162)</f>
        <v>2016</v>
      </c>
      <c r="J162" s="0" t="str">
        <f aca="false">I162&amp;"-Q"&amp;ROUNDUP(MONTH(B162)/3,0)</f>
        <v>2016-Q2</v>
      </c>
    </row>
    <row r="163" customFormat="false" ht="15" hidden="false" customHeight="false" outlineLevel="0" collapsed="false">
      <c r="A163" s="0" t="s">
        <v>140</v>
      </c>
      <c r="B163" s="6" t="n">
        <v>42366</v>
      </c>
      <c r="C163" s="7" t="s">
        <v>55</v>
      </c>
      <c r="D163" s="7" t="s">
        <v>56</v>
      </c>
      <c r="E163" s="7" t="s">
        <v>39</v>
      </c>
      <c r="F163" s="0" t="n">
        <v>54.384</v>
      </c>
      <c r="G163" s="0" t="n">
        <v>1.3596</v>
      </c>
      <c r="H163" s="0" t="n">
        <v>0.2</v>
      </c>
      <c r="I163" s="7" t="n">
        <f aca="false">YEAR(B163)</f>
        <v>2015</v>
      </c>
      <c r="J163" s="0" t="str">
        <f aca="false">I163&amp;"-Q"&amp;ROUNDUP(MONTH(B163)/3,0)</f>
        <v>2015-Q4</v>
      </c>
    </row>
    <row r="164" customFormat="false" ht="15" hidden="false" customHeight="false" outlineLevel="0" collapsed="false">
      <c r="A164" s="0" t="s">
        <v>141</v>
      </c>
      <c r="B164" s="6" t="n">
        <v>42690</v>
      </c>
      <c r="C164" s="7" t="s">
        <v>33</v>
      </c>
      <c r="D164" s="7" t="s">
        <v>142</v>
      </c>
      <c r="E164" s="7" t="s">
        <v>35</v>
      </c>
      <c r="F164" s="0" t="n">
        <v>28.4</v>
      </c>
      <c r="G164" s="0" t="n">
        <v>13.348</v>
      </c>
      <c r="H164" s="0" t="n">
        <v>0</v>
      </c>
      <c r="I164" s="7" t="n">
        <f aca="false">YEAR(B164)</f>
        <v>2016</v>
      </c>
      <c r="J164" s="0" t="str">
        <f aca="false">I164&amp;"-Q"&amp;ROUNDUP(MONTH(B164)/3,0)</f>
        <v>2016-Q4</v>
      </c>
    </row>
    <row r="165" customFormat="false" ht="15" hidden="false" customHeight="false" outlineLevel="0" collapsed="false">
      <c r="A165" s="0" t="s">
        <v>143</v>
      </c>
      <c r="B165" s="6" t="n">
        <v>42681</v>
      </c>
      <c r="C165" s="7" t="s">
        <v>33</v>
      </c>
      <c r="D165" s="7" t="s">
        <v>43</v>
      </c>
      <c r="E165" s="7" t="s">
        <v>35</v>
      </c>
      <c r="F165" s="0" t="n">
        <v>27.68</v>
      </c>
      <c r="G165" s="0" t="n">
        <v>9.688</v>
      </c>
      <c r="H165" s="0" t="n">
        <v>0.2</v>
      </c>
      <c r="I165" s="7" t="n">
        <f aca="false">YEAR(B165)</f>
        <v>2016</v>
      </c>
      <c r="J165" s="0" t="str">
        <f aca="false">I165&amp;"-Q"&amp;ROUNDUP(MONTH(B165)/3,0)</f>
        <v>2016-Q4</v>
      </c>
    </row>
    <row r="166" customFormat="false" ht="15" hidden="false" customHeight="false" outlineLevel="0" collapsed="false">
      <c r="A166" s="0" t="s">
        <v>144</v>
      </c>
      <c r="B166" s="6" t="n">
        <v>41890</v>
      </c>
      <c r="C166" s="7" t="s">
        <v>45</v>
      </c>
      <c r="D166" s="7" t="s">
        <v>46</v>
      </c>
      <c r="E166" s="7" t="s">
        <v>35</v>
      </c>
      <c r="F166" s="0" t="n">
        <v>9.936</v>
      </c>
      <c r="G166" s="0" t="n">
        <v>2.7324</v>
      </c>
      <c r="H166" s="0" t="n">
        <v>0.2</v>
      </c>
      <c r="I166" s="7" t="n">
        <f aca="false">YEAR(B166)</f>
        <v>2014</v>
      </c>
      <c r="J166" s="0" t="str">
        <f aca="false">I166&amp;"-Q"&amp;ROUNDUP(MONTH(B166)/3,0)</f>
        <v>2014-Q3</v>
      </c>
    </row>
    <row r="167" customFormat="false" ht="15" hidden="false" customHeight="false" outlineLevel="0" collapsed="false">
      <c r="A167" s="0" t="s">
        <v>144</v>
      </c>
      <c r="B167" s="6" t="n">
        <v>41890</v>
      </c>
      <c r="C167" s="7" t="s">
        <v>45</v>
      </c>
      <c r="D167" s="7" t="s">
        <v>46</v>
      </c>
      <c r="E167" s="7" t="s">
        <v>39</v>
      </c>
      <c r="F167" s="0" t="n">
        <v>8159.952</v>
      </c>
      <c r="G167" s="0" t="n">
        <v>-1359.992</v>
      </c>
      <c r="H167" s="0" t="n">
        <v>0.4</v>
      </c>
      <c r="I167" s="7" t="n">
        <f aca="false">YEAR(B167)</f>
        <v>2014</v>
      </c>
      <c r="J167" s="0" t="str">
        <f aca="false">I167&amp;"-Q"&amp;ROUNDUP(MONTH(B167)/3,0)</f>
        <v>2014-Q3</v>
      </c>
    </row>
    <row r="168" customFormat="false" ht="15" hidden="false" customHeight="false" outlineLevel="0" collapsed="false">
      <c r="A168" s="0" t="s">
        <v>144</v>
      </c>
      <c r="B168" s="6" t="n">
        <v>41890</v>
      </c>
      <c r="C168" s="7" t="s">
        <v>45</v>
      </c>
      <c r="D168" s="7" t="s">
        <v>46</v>
      </c>
      <c r="E168" s="7" t="s">
        <v>35</v>
      </c>
      <c r="F168" s="0" t="n">
        <v>275.928</v>
      </c>
      <c r="G168" s="0" t="n">
        <v>-58.6347</v>
      </c>
      <c r="H168" s="0" t="n">
        <v>0.2</v>
      </c>
      <c r="I168" s="7" t="n">
        <f aca="false">YEAR(B168)</f>
        <v>2014</v>
      </c>
      <c r="J168" s="0" t="str">
        <f aca="false">I168&amp;"-Q"&amp;ROUNDUP(MONTH(B168)/3,0)</f>
        <v>2014-Q3</v>
      </c>
    </row>
    <row r="169" customFormat="false" ht="15" hidden="false" customHeight="false" outlineLevel="0" collapsed="false">
      <c r="A169" s="0" t="s">
        <v>144</v>
      </c>
      <c r="B169" s="6" t="n">
        <v>41890</v>
      </c>
      <c r="C169" s="7" t="s">
        <v>45</v>
      </c>
      <c r="D169" s="7" t="s">
        <v>46</v>
      </c>
      <c r="E169" s="7" t="s">
        <v>31</v>
      </c>
      <c r="F169" s="0" t="n">
        <v>1740.06</v>
      </c>
      <c r="G169" s="0" t="n">
        <v>-24.858</v>
      </c>
      <c r="H169" s="0" t="n">
        <v>0.3</v>
      </c>
      <c r="I169" s="7" t="n">
        <f aca="false">YEAR(B169)</f>
        <v>2014</v>
      </c>
      <c r="J169" s="0" t="str">
        <f aca="false">I169&amp;"-Q"&amp;ROUNDUP(MONTH(B169)/3,0)</f>
        <v>2014-Q3</v>
      </c>
    </row>
    <row r="170" customFormat="false" ht="15" hidden="false" customHeight="false" outlineLevel="0" collapsed="false">
      <c r="A170" s="0" t="s">
        <v>144</v>
      </c>
      <c r="B170" s="6" t="n">
        <v>41890</v>
      </c>
      <c r="C170" s="7" t="s">
        <v>45</v>
      </c>
      <c r="D170" s="7" t="s">
        <v>46</v>
      </c>
      <c r="E170" s="7" t="s">
        <v>35</v>
      </c>
      <c r="F170" s="0" t="n">
        <v>32.064</v>
      </c>
      <c r="G170" s="0" t="n">
        <v>6.8136</v>
      </c>
      <c r="H170" s="0" t="n">
        <v>0.2</v>
      </c>
      <c r="I170" s="7" t="n">
        <f aca="false">YEAR(B170)</f>
        <v>2014</v>
      </c>
      <c r="J170" s="0" t="str">
        <f aca="false">I170&amp;"-Q"&amp;ROUNDUP(MONTH(B170)/3,0)</f>
        <v>2014-Q3</v>
      </c>
    </row>
    <row r="171" customFormat="false" ht="15" hidden="false" customHeight="false" outlineLevel="0" collapsed="false">
      <c r="A171" s="0" t="s">
        <v>144</v>
      </c>
      <c r="B171" s="6" t="n">
        <v>41890</v>
      </c>
      <c r="C171" s="7" t="s">
        <v>45</v>
      </c>
      <c r="D171" s="7" t="s">
        <v>46</v>
      </c>
      <c r="E171" s="7" t="s">
        <v>35</v>
      </c>
      <c r="F171" s="0" t="n">
        <v>177.98</v>
      </c>
      <c r="G171" s="0" t="n">
        <v>-453.849</v>
      </c>
      <c r="H171" s="0" t="n">
        <v>0.8</v>
      </c>
      <c r="I171" s="7" t="n">
        <f aca="false">YEAR(B171)</f>
        <v>2014</v>
      </c>
      <c r="J171" s="0" t="str">
        <f aca="false">I171&amp;"-Q"&amp;ROUNDUP(MONTH(B171)/3,0)</f>
        <v>2014-Q3</v>
      </c>
    </row>
    <row r="172" customFormat="false" ht="15" hidden="false" customHeight="false" outlineLevel="0" collapsed="false">
      <c r="A172" s="0" t="s">
        <v>144</v>
      </c>
      <c r="B172" s="6" t="n">
        <v>41890</v>
      </c>
      <c r="C172" s="7" t="s">
        <v>45</v>
      </c>
      <c r="D172" s="7" t="s">
        <v>46</v>
      </c>
      <c r="E172" s="7" t="s">
        <v>39</v>
      </c>
      <c r="F172" s="0" t="n">
        <v>143.976</v>
      </c>
      <c r="G172" s="0" t="n">
        <v>8.9985</v>
      </c>
      <c r="H172" s="0" t="n">
        <v>0.2</v>
      </c>
      <c r="I172" s="7" t="n">
        <f aca="false">YEAR(B172)</f>
        <v>2014</v>
      </c>
      <c r="J172" s="0" t="str">
        <f aca="false">I172&amp;"-Q"&amp;ROUNDUP(MONTH(B172)/3,0)</f>
        <v>2014-Q3</v>
      </c>
    </row>
    <row r="173" customFormat="false" ht="15" hidden="false" customHeight="false" outlineLevel="0" collapsed="false">
      <c r="A173" s="0" t="s">
        <v>145</v>
      </c>
      <c r="B173" s="6" t="n">
        <v>41856</v>
      </c>
      <c r="C173" s="7" t="s">
        <v>33</v>
      </c>
      <c r="D173" s="7" t="s">
        <v>34</v>
      </c>
      <c r="E173" s="7" t="s">
        <v>35</v>
      </c>
      <c r="F173" s="0" t="n">
        <v>20.94</v>
      </c>
      <c r="G173" s="0" t="n">
        <v>9.8418</v>
      </c>
      <c r="H173" s="0" t="n">
        <v>0</v>
      </c>
      <c r="I173" s="7" t="n">
        <f aca="false">YEAR(B173)</f>
        <v>2014</v>
      </c>
      <c r="J173" s="0" t="str">
        <f aca="false">I173&amp;"-Q"&amp;ROUNDUP(MONTH(B173)/3,0)</f>
        <v>2014-Q3</v>
      </c>
    </row>
    <row r="174" customFormat="false" ht="15" hidden="false" customHeight="false" outlineLevel="0" collapsed="false">
      <c r="A174" s="0" t="s">
        <v>145</v>
      </c>
      <c r="B174" s="6" t="n">
        <v>41856</v>
      </c>
      <c r="C174" s="7" t="s">
        <v>33</v>
      </c>
      <c r="D174" s="7" t="s">
        <v>34</v>
      </c>
      <c r="E174" s="7" t="s">
        <v>35</v>
      </c>
      <c r="F174" s="0" t="n">
        <v>110.96</v>
      </c>
      <c r="G174" s="0" t="n">
        <v>53.2608</v>
      </c>
      <c r="H174" s="0" t="n">
        <v>0</v>
      </c>
      <c r="I174" s="7" t="n">
        <f aca="false">YEAR(B174)</f>
        <v>2014</v>
      </c>
      <c r="J174" s="0" t="str">
        <f aca="false">I174&amp;"-Q"&amp;ROUNDUP(MONTH(B174)/3,0)</f>
        <v>2014-Q3</v>
      </c>
    </row>
    <row r="175" customFormat="false" ht="15" hidden="false" customHeight="false" outlineLevel="0" collapsed="false">
      <c r="A175" s="0" t="s">
        <v>145</v>
      </c>
      <c r="B175" s="6" t="n">
        <v>41856</v>
      </c>
      <c r="C175" s="7" t="s">
        <v>33</v>
      </c>
      <c r="D175" s="7" t="s">
        <v>34</v>
      </c>
      <c r="E175" s="7" t="s">
        <v>31</v>
      </c>
      <c r="F175" s="0" t="n">
        <v>340.144</v>
      </c>
      <c r="G175" s="0" t="n">
        <v>21.259</v>
      </c>
      <c r="H175" s="0" t="n">
        <v>0.2</v>
      </c>
      <c r="I175" s="7" t="n">
        <f aca="false">YEAR(B175)</f>
        <v>2014</v>
      </c>
      <c r="J175" s="0" t="str">
        <f aca="false">I175&amp;"-Q"&amp;ROUNDUP(MONTH(B175)/3,0)</f>
        <v>2014-Q3</v>
      </c>
    </row>
    <row r="176" customFormat="false" ht="15" hidden="false" customHeight="false" outlineLevel="0" collapsed="false">
      <c r="A176" s="0" t="s">
        <v>146</v>
      </c>
      <c r="B176" s="6" t="n">
        <v>41896</v>
      </c>
      <c r="C176" s="7" t="s">
        <v>45</v>
      </c>
      <c r="D176" s="7" t="s">
        <v>64</v>
      </c>
      <c r="E176" s="7" t="s">
        <v>35</v>
      </c>
      <c r="F176" s="0" t="n">
        <v>52.448</v>
      </c>
      <c r="G176" s="0" t="n">
        <v>-131.12</v>
      </c>
      <c r="H176" s="0" t="n">
        <v>0.8</v>
      </c>
      <c r="I176" s="7" t="n">
        <f aca="false">YEAR(B176)</f>
        <v>2014</v>
      </c>
      <c r="J176" s="0" t="str">
        <f aca="false">I176&amp;"-Q"&amp;ROUNDUP(MONTH(B176)/3,0)</f>
        <v>2014-Q3</v>
      </c>
    </row>
    <row r="177" customFormat="false" ht="15" hidden="false" customHeight="false" outlineLevel="0" collapsed="false">
      <c r="A177" s="0" t="s">
        <v>146</v>
      </c>
      <c r="B177" s="6" t="n">
        <v>41896</v>
      </c>
      <c r="C177" s="7" t="s">
        <v>45</v>
      </c>
      <c r="D177" s="7" t="s">
        <v>64</v>
      </c>
      <c r="E177" s="7" t="s">
        <v>35</v>
      </c>
      <c r="F177" s="0" t="n">
        <v>20.16</v>
      </c>
      <c r="G177" s="0" t="n">
        <v>6.552</v>
      </c>
      <c r="H177" s="0" t="n">
        <v>0.2</v>
      </c>
      <c r="I177" s="7" t="n">
        <f aca="false">YEAR(B177)</f>
        <v>2014</v>
      </c>
      <c r="J177" s="0" t="str">
        <f aca="false">I177&amp;"-Q"&amp;ROUNDUP(MONTH(B177)/3,0)</f>
        <v>2014-Q3</v>
      </c>
    </row>
    <row r="178" customFormat="false" ht="15" hidden="false" customHeight="false" outlineLevel="0" collapsed="false">
      <c r="A178" s="0" t="s">
        <v>147</v>
      </c>
      <c r="B178" s="6" t="n">
        <v>42846</v>
      </c>
      <c r="C178" s="7" t="s">
        <v>45</v>
      </c>
      <c r="D178" s="7" t="s">
        <v>46</v>
      </c>
      <c r="E178" s="7" t="s">
        <v>35</v>
      </c>
      <c r="F178" s="0" t="n">
        <v>97.264</v>
      </c>
      <c r="G178" s="0" t="n">
        <v>-243.16</v>
      </c>
      <c r="H178" s="0" t="n">
        <v>0.8</v>
      </c>
      <c r="I178" s="7" t="n">
        <f aca="false">YEAR(B178)</f>
        <v>2017</v>
      </c>
      <c r="J178" s="0" t="str">
        <f aca="false">I178&amp;"-Q"&amp;ROUNDUP(MONTH(B178)/3,0)</f>
        <v>2017-Q2</v>
      </c>
    </row>
    <row r="179" customFormat="false" ht="15" hidden="false" customHeight="false" outlineLevel="0" collapsed="false">
      <c r="A179" s="0" t="s">
        <v>148</v>
      </c>
      <c r="B179" s="6" t="n">
        <v>42329</v>
      </c>
      <c r="C179" s="7" t="s">
        <v>55</v>
      </c>
      <c r="D179" s="7" t="s">
        <v>116</v>
      </c>
      <c r="E179" s="7" t="s">
        <v>31</v>
      </c>
      <c r="F179" s="0" t="n">
        <v>396.802</v>
      </c>
      <c r="G179" s="0" t="n">
        <v>-11.3372</v>
      </c>
      <c r="H179" s="0" t="n">
        <v>0.3</v>
      </c>
      <c r="I179" s="7" t="n">
        <f aca="false">YEAR(B179)</f>
        <v>2015</v>
      </c>
      <c r="J179" s="0" t="str">
        <f aca="false">I179&amp;"-Q"&amp;ROUNDUP(MONTH(B179)/3,0)</f>
        <v>2015-Q4</v>
      </c>
    </row>
    <row r="180" customFormat="false" ht="15" hidden="false" customHeight="false" outlineLevel="0" collapsed="false">
      <c r="A180" s="0" t="s">
        <v>148</v>
      </c>
      <c r="B180" s="6" t="n">
        <v>42329</v>
      </c>
      <c r="C180" s="7" t="s">
        <v>55</v>
      </c>
      <c r="D180" s="7" t="s">
        <v>116</v>
      </c>
      <c r="E180" s="7" t="s">
        <v>35</v>
      </c>
      <c r="F180" s="0" t="n">
        <v>15.88</v>
      </c>
      <c r="G180" s="0" t="n">
        <v>-3.7715</v>
      </c>
      <c r="H180" s="0" t="n">
        <v>0.2</v>
      </c>
      <c r="I180" s="7" t="n">
        <f aca="false">YEAR(B180)</f>
        <v>2015</v>
      </c>
      <c r="J180" s="0" t="str">
        <f aca="false">I180&amp;"-Q"&amp;ROUNDUP(MONTH(B180)/3,0)</f>
        <v>2015-Q4</v>
      </c>
    </row>
    <row r="181" customFormat="false" ht="15" hidden="false" customHeight="false" outlineLevel="0" collapsed="false">
      <c r="A181" s="0" t="s">
        <v>149</v>
      </c>
      <c r="B181" s="6" t="n">
        <v>42353</v>
      </c>
      <c r="C181" s="7" t="s">
        <v>55</v>
      </c>
      <c r="D181" s="7" t="s">
        <v>76</v>
      </c>
      <c r="E181" s="7" t="s">
        <v>35</v>
      </c>
      <c r="F181" s="0" t="n">
        <v>3.28</v>
      </c>
      <c r="G181" s="0" t="n">
        <v>1.4104</v>
      </c>
      <c r="H181" s="0" t="n">
        <v>0</v>
      </c>
      <c r="I181" s="7" t="n">
        <f aca="false">YEAR(B181)</f>
        <v>2015</v>
      </c>
      <c r="J181" s="0" t="str">
        <f aca="false">I181&amp;"-Q"&amp;ROUNDUP(MONTH(B181)/3,0)</f>
        <v>2015-Q4</v>
      </c>
    </row>
    <row r="182" customFormat="false" ht="15" hidden="false" customHeight="false" outlineLevel="0" collapsed="false">
      <c r="A182" s="0" t="s">
        <v>150</v>
      </c>
      <c r="B182" s="6" t="n">
        <v>41978</v>
      </c>
      <c r="C182" s="7" t="s">
        <v>45</v>
      </c>
      <c r="D182" s="7" t="s">
        <v>64</v>
      </c>
      <c r="E182" s="7" t="s">
        <v>35</v>
      </c>
      <c r="F182" s="0" t="n">
        <v>24.816</v>
      </c>
      <c r="G182" s="0" t="n">
        <v>1.8612</v>
      </c>
      <c r="H182" s="0" t="n">
        <v>0.2</v>
      </c>
      <c r="I182" s="7" t="n">
        <f aca="false">YEAR(B182)</f>
        <v>2014</v>
      </c>
      <c r="J182" s="0" t="str">
        <f aca="false">I182&amp;"-Q"&amp;ROUNDUP(MONTH(B182)/3,0)</f>
        <v>2014-Q4</v>
      </c>
    </row>
    <row r="183" customFormat="false" ht="15" hidden="false" customHeight="false" outlineLevel="0" collapsed="false">
      <c r="A183" s="0" t="s">
        <v>150</v>
      </c>
      <c r="B183" s="6" t="n">
        <v>41978</v>
      </c>
      <c r="C183" s="7" t="s">
        <v>45</v>
      </c>
      <c r="D183" s="7" t="s">
        <v>64</v>
      </c>
      <c r="E183" s="7" t="s">
        <v>39</v>
      </c>
      <c r="F183" s="0" t="n">
        <v>408.744</v>
      </c>
      <c r="G183" s="0" t="n">
        <v>76.6395</v>
      </c>
      <c r="H183" s="0" t="n">
        <v>0.2</v>
      </c>
      <c r="I183" s="7" t="n">
        <f aca="false">YEAR(B183)</f>
        <v>2014</v>
      </c>
      <c r="J183" s="0" t="str">
        <f aca="false">I183&amp;"-Q"&amp;ROUNDUP(MONTH(B183)/3,0)</f>
        <v>2014-Q4</v>
      </c>
    </row>
    <row r="184" customFormat="false" ht="15" hidden="false" customHeight="false" outlineLevel="0" collapsed="false">
      <c r="A184" s="0" t="s">
        <v>151</v>
      </c>
      <c r="B184" s="6" t="n">
        <v>41962</v>
      </c>
      <c r="C184" s="7" t="s">
        <v>29</v>
      </c>
      <c r="D184" s="7" t="s">
        <v>152</v>
      </c>
      <c r="E184" s="7" t="s">
        <v>39</v>
      </c>
      <c r="F184" s="0" t="n">
        <v>503.96</v>
      </c>
      <c r="G184" s="0" t="n">
        <v>131.0296</v>
      </c>
      <c r="H184" s="0" t="n">
        <v>0</v>
      </c>
      <c r="I184" s="7" t="n">
        <f aca="false">YEAR(B184)</f>
        <v>2014</v>
      </c>
      <c r="J184" s="0" t="str">
        <f aca="false">I184&amp;"-Q"&amp;ROUNDUP(MONTH(B184)/3,0)</f>
        <v>2014-Q4</v>
      </c>
    </row>
    <row r="185" customFormat="false" ht="15" hidden="false" customHeight="false" outlineLevel="0" collapsed="false">
      <c r="A185" s="0" t="s">
        <v>151</v>
      </c>
      <c r="B185" s="6" t="n">
        <v>41962</v>
      </c>
      <c r="C185" s="7" t="s">
        <v>29</v>
      </c>
      <c r="D185" s="7" t="s">
        <v>152</v>
      </c>
      <c r="E185" s="7" t="s">
        <v>39</v>
      </c>
      <c r="F185" s="0" t="n">
        <v>149.95</v>
      </c>
      <c r="G185" s="0" t="n">
        <v>41.986</v>
      </c>
      <c r="H185" s="0" t="n">
        <v>0</v>
      </c>
      <c r="I185" s="7" t="n">
        <f aca="false">YEAR(B185)</f>
        <v>2014</v>
      </c>
      <c r="J185" s="0" t="str">
        <f aca="false">I185&amp;"-Q"&amp;ROUNDUP(MONTH(B185)/3,0)</f>
        <v>2014-Q4</v>
      </c>
    </row>
    <row r="186" customFormat="false" ht="15" hidden="false" customHeight="false" outlineLevel="0" collapsed="false">
      <c r="A186" s="0" t="s">
        <v>151</v>
      </c>
      <c r="B186" s="6" t="n">
        <v>41962</v>
      </c>
      <c r="C186" s="7" t="s">
        <v>29</v>
      </c>
      <c r="D186" s="7" t="s">
        <v>152</v>
      </c>
      <c r="E186" s="7" t="s">
        <v>39</v>
      </c>
      <c r="F186" s="0" t="n">
        <v>29</v>
      </c>
      <c r="G186" s="0" t="n">
        <v>7.25</v>
      </c>
      <c r="H186" s="0" t="n">
        <v>0</v>
      </c>
      <c r="I186" s="7" t="n">
        <f aca="false">YEAR(B186)</f>
        <v>2014</v>
      </c>
      <c r="J186" s="0" t="str">
        <f aca="false">I186&amp;"-Q"&amp;ROUNDUP(MONTH(B186)/3,0)</f>
        <v>2014-Q4</v>
      </c>
    </row>
    <row r="187" customFormat="false" ht="15" hidden="false" customHeight="false" outlineLevel="0" collapsed="false">
      <c r="A187" s="0" t="s">
        <v>153</v>
      </c>
      <c r="B187" s="6" t="n">
        <v>42702</v>
      </c>
      <c r="C187" s="7" t="s">
        <v>55</v>
      </c>
      <c r="D187" s="7" t="s">
        <v>154</v>
      </c>
      <c r="E187" s="7" t="s">
        <v>35</v>
      </c>
      <c r="F187" s="0" t="n">
        <v>7.16</v>
      </c>
      <c r="G187" s="0" t="n">
        <v>3.4368</v>
      </c>
      <c r="H187" s="0" t="n">
        <v>0</v>
      </c>
      <c r="I187" s="7" t="n">
        <f aca="false">YEAR(B187)</f>
        <v>2016</v>
      </c>
      <c r="J187" s="0" t="str">
        <f aca="false">I187&amp;"-Q"&amp;ROUNDUP(MONTH(B187)/3,0)</f>
        <v>2016-Q4</v>
      </c>
    </row>
    <row r="188" customFormat="false" ht="15" hidden="false" customHeight="false" outlineLevel="0" collapsed="false">
      <c r="A188" s="0" t="s">
        <v>155</v>
      </c>
      <c r="B188" s="6" t="n">
        <v>41877</v>
      </c>
      <c r="C188" s="7" t="s">
        <v>33</v>
      </c>
      <c r="D188" s="7" t="s">
        <v>34</v>
      </c>
      <c r="E188" s="7" t="s">
        <v>39</v>
      </c>
      <c r="F188" s="0" t="n">
        <v>176.8</v>
      </c>
      <c r="G188" s="0" t="n">
        <v>22.984</v>
      </c>
      <c r="H188" s="0" t="n">
        <v>0</v>
      </c>
      <c r="I188" s="7" t="n">
        <f aca="false">YEAR(B188)</f>
        <v>2014</v>
      </c>
      <c r="J188" s="0" t="str">
        <f aca="false">I188&amp;"-Q"&amp;ROUNDUP(MONTH(B188)/3,0)</f>
        <v>2014-Q3</v>
      </c>
    </row>
    <row r="189" customFormat="false" ht="15" hidden="false" customHeight="false" outlineLevel="0" collapsed="false">
      <c r="A189" s="0" t="s">
        <v>156</v>
      </c>
      <c r="B189" s="6" t="n">
        <v>42567</v>
      </c>
      <c r="C189" s="7" t="s">
        <v>45</v>
      </c>
      <c r="D189" s="7" t="s">
        <v>46</v>
      </c>
      <c r="E189" s="7" t="s">
        <v>35</v>
      </c>
      <c r="F189" s="0" t="n">
        <v>37.224</v>
      </c>
      <c r="G189" s="0" t="n">
        <v>3.7224</v>
      </c>
      <c r="H189" s="0" t="n">
        <v>0.2</v>
      </c>
      <c r="I189" s="7" t="n">
        <f aca="false">YEAR(B189)</f>
        <v>2016</v>
      </c>
      <c r="J189" s="0" t="str">
        <f aca="false">I189&amp;"-Q"&amp;ROUNDUP(MONTH(B189)/3,0)</f>
        <v>2016-Q3</v>
      </c>
    </row>
    <row r="190" customFormat="false" ht="15" hidden="false" customHeight="false" outlineLevel="0" collapsed="false">
      <c r="A190" s="0" t="s">
        <v>156</v>
      </c>
      <c r="B190" s="6" t="n">
        <v>42567</v>
      </c>
      <c r="C190" s="7" t="s">
        <v>45</v>
      </c>
      <c r="D190" s="7" t="s">
        <v>46</v>
      </c>
      <c r="E190" s="7" t="s">
        <v>35</v>
      </c>
      <c r="F190" s="0" t="n">
        <v>20.016</v>
      </c>
      <c r="G190" s="0" t="n">
        <v>6.255</v>
      </c>
      <c r="H190" s="0" t="n">
        <v>0.2</v>
      </c>
      <c r="I190" s="7" t="n">
        <f aca="false">YEAR(B190)</f>
        <v>2016</v>
      </c>
      <c r="J190" s="0" t="str">
        <f aca="false">I190&amp;"-Q"&amp;ROUNDUP(MONTH(B190)/3,0)</f>
        <v>2016-Q3</v>
      </c>
    </row>
    <row r="191" customFormat="false" ht="15" hidden="false" customHeight="false" outlineLevel="0" collapsed="false">
      <c r="A191" s="0" t="s">
        <v>157</v>
      </c>
      <c r="B191" s="6" t="n">
        <v>42289</v>
      </c>
      <c r="C191" s="7" t="s">
        <v>55</v>
      </c>
      <c r="D191" s="7" t="s">
        <v>76</v>
      </c>
      <c r="E191" s="7" t="s">
        <v>31</v>
      </c>
      <c r="F191" s="0" t="n">
        <v>899.136</v>
      </c>
      <c r="G191" s="0" t="n">
        <v>112.392</v>
      </c>
      <c r="H191" s="0" t="n">
        <v>0.2</v>
      </c>
      <c r="I191" s="7" t="n">
        <f aca="false">YEAR(B191)</f>
        <v>2015</v>
      </c>
      <c r="J191" s="0" t="str">
        <f aca="false">I191&amp;"-Q"&amp;ROUNDUP(MONTH(B191)/3,0)</f>
        <v>2015-Q4</v>
      </c>
    </row>
    <row r="192" customFormat="false" ht="15" hidden="false" customHeight="false" outlineLevel="0" collapsed="false">
      <c r="A192" s="0" t="s">
        <v>157</v>
      </c>
      <c r="B192" s="6" t="n">
        <v>42289</v>
      </c>
      <c r="C192" s="7" t="s">
        <v>55</v>
      </c>
      <c r="D192" s="7" t="s">
        <v>76</v>
      </c>
      <c r="E192" s="7" t="s">
        <v>39</v>
      </c>
      <c r="F192" s="0" t="n">
        <v>71.76</v>
      </c>
      <c r="G192" s="0" t="n">
        <v>20.0928</v>
      </c>
      <c r="H192" s="0" t="n">
        <v>0</v>
      </c>
      <c r="I192" s="7" t="n">
        <f aca="false">YEAR(B192)</f>
        <v>2015</v>
      </c>
      <c r="J192" s="0" t="str">
        <f aca="false">I192&amp;"-Q"&amp;ROUNDUP(MONTH(B192)/3,0)</f>
        <v>2015-Q4</v>
      </c>
    </row>
    <row r="193" customFormat="false" ht="15" hidden="false" customHeight="false" outlineLevel="0" collapsed="false">
      <c r="A193" s="0" t="s">
        <v>157</v>
      </c>
      <c r="B193" s="6" t="n">
        <v>42289</v>
      </c>
      <c r="C193" s="7" t="s">
        <v>55</v>
      </c>
      <c r="D193" s="7" t="s">
        <v>76</v>
      </c>
      <c r="E193" s="7" t="s">
        <v>35</v>
      </c>
      <c r="F193" s="0" t="n">
        <v>51.84</v>
      </c>
      <c r="G193" s="0" t="n">
        <v>24.8832</v>
      </c>
      <c r="H193" s="0" t="n">
        <v>0</v>
      </c>
      <c r="I193" s="7" t="n">
        <f aca="false">YEAR(B193)</f>
        <v>2015</v>
      </c>
      <c r="J193" s="0" t="str">
        <f aca="false">I193&amp;"-Q"&amp;ROUNDUP(MONTH(B193)/3,0)</f>
        <v>2015-Q4</v>
      </c>
    </row>
    <row r="194" customFormat="false" ht="15" hidden="false" customHeight="false" outlineLevel="0" collapsed="false">
      <c r="A194" s="0" t="s">
        <v>157</v>
      </c>
      <c r="B194" s="6" t="n">
        <v>42289</v>
      </c>
      <c r="C194" s="7" t="s">
        <v>55</v>
      </c>
      <c r="D194" s="7" t="s">
        <v>76</v>
      </c>
      <c r="E194" s="7" t="s">
        <v>31</v>
      </c>
      <c r="F194" s="0" t="n">
        <v>626.352</v>
      </c>
      <c r="G194" s="0" t="n">
        <v>46.9764</v>
      </c>
      <c r="H194" s="0" t="n">
        <v>0.2</v>
      </c>
      <c r="I194" s="7" t="n">
        <f aca="false">YEAR(B194)</f>
        <v>2015</v>
      </c>
      <c r="J194" s="0" t="str">
        <f aca="false">I194&amp;"-Q"&amp;ROUNDUP(MONTH(B194)/3,0)</f>
        <v>2015-Q4</v>
      </c>
    </row>
    <row r="195" customFormat="false" ht="15" hidden="false" customHeight="false" outlineLevel="0" collapsed="false">
      <c r="A195" s="0" t="s">
        <v>157</v>
      </c>
      <c r="B195" s="6" t="n">
        <v>42289</v>
      </c>
      <c r="C195" s="7" t="s">
        <v>55</v>
      </c>
      <c r="D195" s="7" t="s">
        <v>76</v>
      </c>
      <c r="E195" s="7" t="s">
        <v>35</v>
      </c>
      <c r="F195" s="0" t="n">
        <v>19.9</v>
      </c>
      <c r="G195" s="0" t="n">
        <v>6.567</v>
      </c>
      <c r="H195" s="0" t="n">
        <v>0</v>
      </c>
      <c r="I195" s="7" t="n">
        <f aca="false">YEAR(B195)</f>
        <v>2015</v>
      </c>
      <c r="J195" s="0" t="str">
        <f aca="false">I195&amp;"-Q"&amp;ROUNDUP(MONTH(B195)/3,0)</f>
        <v>2015-Q4</v>
      </c>
    </row>
    <row r="196" customFormat="false" ht="15" hidden="false" customHeight="false" outlineLevel="0" collapsed="false">
      <c r="A196" s="0" t="s">
        <v>158</v>
      </c>
      <c r="B196" s="6" t="n">
        <v>42308</v>
      </c>
      <c r="C196" s="7" t="s">
        <v>33</v>
      </c>
      <c r="D196" s="7" t="s">
        <v>34</v>
      </c>
      <c r="E196" s="7" t="s">
        <v>35</v>
      </c>
      <c r="F196" s="0" t="n">
        <v>14.28</v>
      </c>
      <c r="G196" s="0" t="n">
        <v>6.7116</v>
      </c>
      <c r="H196" s="0" t="n">
        <v>0</v>
      </c>
      <c r="I196" s="7" t="n">
        <f aca="false">YEAR(B196)</f>
        <v>2015</v>
      </c>
      <c r="J196" s="0" t="str">
        <f aca="false">I196&amp;"-Q"&amp;ROUNDUP(MONTH(B196)/3,0)</f>
        <v>2015-Q4</v>
      </c>
    </row>
    <row r="197" customFormat="false" ht="15" hidden="false" customHeight="false" outlineLevel="0" collapsed="false">
      <c r="A197" s="0" t="s">
        <v>159</v>
      </c>
      <c r="B197" s="6" t="n">
        <v>41719</v>
      </c>
      <c r="C197" s="7" t="s">
        <v>55</v>
      </c>
      <c r="D197" s="7" t="s">
        <v>116</v>
      </c>
      <c r="E197" s="7" t="s">
        <v>35</v>
      </c>
      <c r="F197" s="0" t="n">
        <v>7.408</v>
      </c>
      <c r="G197" s="0" t="n">
        <v>1.2038</v>
      </c>
      <c r="H197" s="0" t="n">
        <v>0.2</v>
      </c>
      <c r="I197" s="7" t="n">
        <f aca="false">YEAR(B197)</f>
        <v>2014</v>
      </c>
      <c r="J197" s="0" t="str">
        <f aca="false">I197&amp;"-Q"&amp;ROUNDUP(MONTH(B197)/3,0)</f>
        <v>2014-Q1</v>
      </c>
    </row>
    <row r="198" customFormat="false" ht="15" hidden="false" customHeight="false" outlineLevel="0" collapsed="false">
      <c r="A198" s="0" t="s">
        <v>159</v>
      </c>
      <c r="B198" s="6" t="n">
        <v>41719</v>
      </c>
      <c r="C198" s="7" t="s">
        <v>55</v>
      </c>
      <c r="D198" s="7" t="s">
        <v>116</v>
      </c>
      <c r="E198" s="7" t="s">
        <v>35</v>
      </c>
      <c r="F198" s="0" t="n">
        <v>6.048</v>
      </c>
      <c r="G198" s="0" t="n">
        <v>1.5876</v>
      </c>
      <c r="H198" s="0" t="n">
        <v>0.2</v>
      </c>
      <c r="I198" s="7" t="n">
        <f aca="false">YEAR(B198)</f>
        <v>2014</v>
      </c>
      <c r="J198" s="0" t="str">
        <f aca="false">I198&amp;"-Q"&amp;ROUNDUP(MONTH(B198)/3,0)</f>
        <v>2014-Q1</v>
      </c>
    </row>
    <row r="199" customFormat="false" ht="15" hidden="false" customHeight="false" outlineLevel="0" collapsed="false">
      <c r="A199" s="0" t="s">
        <v>160</v>
      </c>
      <c r="B199" s="6" t="n">
        <v>43045</v>
      </c>
      <c r="C199" s="7" t="s">
        <v>55</v>
      </c>
      <c r="D199" s="7" t="s">
        <v>161</v>
      </c>
      <c r="E199" s="7" t="s">
        <v>35</v>
      </c>
      <c r="F199" s="0" t="n">
        <v>46.26</v>
      </c>
      <c r="G199" s="0" t="n">
        <v>12.0276</v>
      </c>
      <c r="H199" s="0" t="n">
        <v>0</v>
      </c>
      <c r="I199" s="7" t="n">
        <f aca="false">YEAR(B199)</f>
        <v>2017</v>
      </c>
      <c r="J199" s="0" t="str">
        <f aca="false">I199&amp;"-Q"&amp;ROUNDUP(MONTH(B199)/3,0)</f>
        <v>2017-Q4</v>
      </c>
    </row>
    <row r="200" customFormat="false" ht="15" hidden="false" customHeight="false" outlineLevel="0" collapsed="false">
      <c r="A200" s="0" t="s">
        <v>162</v>
      </c>
      <c r="B200" s="6" t="n">
        <v>42922</v>
      </c>
      <c r="C200" s="7" t="s">
        <v>55</v>
      </c>
      <c r="D200" s="7" t="s">
        <v>56</v>
      </c>
      <c r="E200" s="7" t="s">
        <v>35</v>
      </c>
      <c r="F200" s="0" t="n">
        <v>2.946</v>
      </c>
      <c r="G200" s="0" t="n">
        <v>-2.2586</v>
      </c>
      <c r="H200" s="0" t="n">
        <v>0.7</v>
      </c>
      <c r="I200" s="7" t="n">
        <f aca="false">YEAR(B200)</f>
        <v>2017</v>
      </c>
      <c r="J200" s="0" t="str">
        <f aca="false">I200&amp;"-Q"&amp;ROUNDUP(MONTH(B200)/3,0)</f>
        <v>2017-Q3</v>
      </c>
    </row>
    <row r="201" customFormat="false" ht="15" hidden="false" customHeight="false" outlineLevel="0" collapsed="false">
      <c r="A201" s="0" t="s">
        <v>162</v>
      </c>
      <c r="B201" s="6" t="n">
        <v>42922</v>
      </c>
      <c r="C201" s="7" t="s">
        <v>55</v>
      </c>
      <c r="D201" s="7" t="s">
        <v>56</v>
      </c>
      <c r="E201" s="7" t="s">
        <v>35</v>
      </c>
      <c r="F201" s="0" t="n">
        <v>16.056</v>
      </c>
      <c r="G201" s="0" t="n">
        <v>5.8203</v>
      </c>
      <c r="H201" s="0" t="n">
        <v>0.2</v>
      </c>
      <c r="I201" s="7" t="n">
        <f aca="false">YEAR(B201)</f>
        <v>2017</v>
      </c>
      <c r="J201" s="0" t="str">
        <f aca="false">I201&amp;"-Q"&amp;ROUNDUP(MONTH(B201)/3,0)</f>
        <v>2017-Q3</v>
      </c>
    </row>
    <row r="202" customFormat="false" ht="15" hidden="false" customHeight="false" outlineLevel="0" collapsed="false">
      <c r="A202" s="0" t="s">
        <v>163</v>
      </c>
      <c r="B202" s="6" t="n">
        <v>42910</v>
      </c>
      <c r="C202" s="7" t="s">
        <v>55</v>
      </c>
      <c r="D202" s="7" t="s">
        <v>116</v>
      </c>
      <c r="E202" s="7" t="s">
        <v>35</v>
      </c>
      <c r="F202" s="0" t="n">
        <v>21.744</v>
      </c>
      <c r="G202" s="0" t="n">
        <v>6.795</v>
      </c>
      <c r="H202" s="0" t="n">
        <v>0.2</v>
      </c>
      <c r="I202" s="7" t="n">
        <f aca="false">YEAR(B202)</f>
        <v>2017</v>
      </c>
      <c r="J202" s="0" t="str">
        <f aca="false">I202&amp;"-Q"&amp;ROUNDUP(MONTH(B202)/3,0)</f>
        <v>2017-Q2</v>
      </c>
    </row>
    <row r="203" customFormat="false" ht="15" hidden="false" customHeight="false" outlineLevel="0" collapsed="false">
      <c r="A203" s="0" t="s">
        <v>164</v>
      </c>
      <c r="B203" s="6" t="n">
        <v>41854</v>
      </c>
      <c r="C203" s="7" t="s">
        <v>33</v>
      </c>
      <c r="D203" s="7" t="s">
        <v>109</v>
      </c>
      <c r="E203" s="7" t="s">
        <v>31</v>
      </c>
      <c r="F203" s="0" t="n">
        <v>218.75</v>
      </c>
      <c r="G203" s="0" t="n">
        <v>-161.875</v>
      </c>
      <c r="H203" s="0" t="n">
        <v>0.5</v>
      </c>
      <c r="I203" s="7" t="n">
        <f aca="false">YEAR(B203)</f>
        <v>2014</v>
      </c>
      <c r="J203" s="0" t="str">
        <f aca="false">I203&amp;"-Q"&amp;ROUNDUP(MONTH(B203)/3,0)</f>
        <v>2014-Q3</v>
      </c>
    </row>
    <row r="204" customFormat="false" ht="15" hidden="false" customHeight="false" outlineLevel="0" collapsed="false">
      <c r="A204" s="0" t="s">
        <v>164</v>
      </c>
      <c r="B204" s="6" t="n">
        <v>41854</v>
      </c>
      <c r="C204" s="7" t="s">
        <v>33</v>
      </c>
      <c r="D204" s="7" t="s">
        <v>109</v>
      </c>
      <c r="E204" s="7" t="s">
        <v>35</v>
      </c>
      <c r="F204" s="0" t="n">
        <v>2.6</v>
      </c>
      <c r="G204" s="0" t="n">
        <v>0.2925</v>
      </c>
      <c r="H204" s="0" t="n">
        <v>0.2</v>
      </c>
      <c r="I204" s="7" t="n">
        <f aca="false">YEAR(B204)</f>
        <v>2014</v>
      </c>
      <c r="J204" s="0" t="str">
        <f aca="false">I204&amp;"-Q"&amp;ROUNDUP(MONTH(B204)/3,0)</f>
        <v>2014-Q3</v>
      </c>
    </row>
    <row r="205" customFormat="false" ht="15" hidden="false" customHeight="false" outlineLevel="0" collapsed="false">
      <c r="A205" s="0" t="s">
        <v>165</v>
      </c>
      <c r="B205" s="6" t="n">
        <v>43086</v>
      </c>
      <c r="C205" s="7" t="s">
        <v>45</v>
      </c>
      <c r="D205" s="7" t="s">
        <v>46</v>
      </c>
      <c r="E205" s="7" t="s">
        <v>35</v>
      </c>
      <c r="F205" s="0" t="n">
        <v>66.284</v>
      </c>
      <c r="G205" s="0" t="n">
        <v>-178.9668</v>
      </c>
      <c r="H205" s="0" t="n">
        <v>0.8</v>
      </c>
      <c r="I205" s="7" t="n">
        <f aca="false">YEAR(B205)</f>
        <v>2017</v>
      </c>
      <c r="J205" s="0" t="str">
        <f aca="false">I205&amp;"-Q"&amp;ROUNDUP(MONTH(B205)/3,0)</f>
        <v>2017-Q4</v>
      </c>
    </row>
    <row r="206" customFormat="false" ht="15" hidden="false" customHeight="false" outlineLevel="0" collapsed="false">
      <c r="A206" s="0" t="s">
        <v>166</v>
      </c>
      <c r="B206" s="6" t="n">
        <v>42889</v>
      </c>
      <c r="C206" s="7" t="s">
        <v>29</v>
      </c>
      <c r="D206" s="7" t="s">
        <v>87</v>
      </c>
      <c r="E206" s="7" t="s">
        <v>31</v>
      </c>
      <c r="F206" s="0" t="n">
        <v>35.168</v>
      </c>
      <c r="G206" s="0" t="n">
        <v>9.6712</v>
      </c>
      <c r="H206" s="0" t="n">
        <v>0.2</v>
      </c>
      <c r="I206" s="7" t="n">
        <f aca="false">YEAR(B206)</f>
        <v>2017</v>
      </c>
      <c r="J206" s="0" t="str">
        <f aca="false">I206&amp;"-Q"&amp;ROUNDUP(MONTH(B206)/3,0)</f>
        <v>2017-Q2</v>
      </c>
    </row>
    <row r="207" customFormat="false" ht="15" hidden="false" customHeight="false" outlineLevel="0" collapsed="false">
      <c r="A207" s="0" t="s">
        <v>167</v>
      </c>
      <c r="B207" s="6" t="n">
        <v>43078</v>
      </c>
      <c r="C207" s="7" t="s">
        <v>33</v>
      </c>
      <c r="D207" s="7" t="s">
        <v>34</v>
      </c>
      <c r="E207" s="7" t="s">
        <v>39</v>
      </c>
      <c r="F207" s="0" t="n">
        <v>444.768</v>
      </c>
      <c r="G207" s="0" t="n">
        <v>44.4768</v>
      </c>
      <c r="H207" s="0" t="n">
        <v>0.2</v>
      </c>
      <c r="I207" s="7" t="n">
        <f aca="false">YEAR(B207)</f>
        <v>2017</v>
      </c>
      <c r="J207" s="0" t="str">
        <f aca="false">I207&amp;"-Q"&amp;ROUNDUP(MONTH(B207)/3,0)</f>
        <v>2017-Q4</v>
      </c>
    </row>
    <row r="208" customFormat="false" ht="15" hidden="false" customHeight="false" outlineLevel="0" collapsed="false">
      <c r="A208" s="0" t="s">
        <v>168</v>
      </c>
      <c r="B208" s="6" t="n">
        <v>43070</v>
      </c>
      <c r="C208" s="7" t="s">
        <v>45</v>
      </c>
      <c r="D208" s="7" t="s">
        <v>70</v>
      </c>
      <c r="E208" s="7" t="s">
        <v>35</v>
      </c>
      <c r="F208" s="0" t="n">
        <v>83.92</v>
      </c>
      <c r="G208" s="0" t="n">
        <v>5.8744</v>
      </c>
      <c r="H208" s="0" t="n">
        <v>0</v>
      </c>
      <c r="I208" s="7" t="n">
        <f aca="false">YEAR(B208)</f>
        <v>2017</v>
      </c>
      <c r="J208" s="0" t="str">
        <f aca="false">I208&amp;"-Q"&amp;ROUNDUP(MONTH(B208)/3,0)</f>
        <v>2017-Q4</v>
      </c>
    </row>
    <row r="209" customFormat="false" ht="15" hidden="false" customHeight="false" outlineLevel="0" collapsed="false">
      <c r="A209" s="0" t="s">
        <v>168</v>
      </c>
      <c r="B209" s="6" t="n">
        <v>43070</v>
      </c>
      <c r="C209" s="7" t="s">
        <v>45</v>
      </c>
      <c r="D209" s="7" t="s">
        <v>70</v>
      </c>
      <c r="E209" s="7" t="s">
        <v>39</v>
      </c>
      <c r="F209" s="0" t="n">
        <v>131.98</v>
      </c>
      <c r="G209" s="0" t="n">
        <v>35.6346</v>
      </c>
      <c r="H209" s="0" t="n">
        <v>0</v>
      </c>
      <c r="I209" s="7" t="n">
        <f aca="false">YEAR(B209)</f>
        <v>2017</v>
      </c>
      <c r="J209" s="0" t="str">
        <f aca="false">I209&amp;"-Q"&amp;ROUNDUP(MONTH(B209)/3,0)</f>
        <v>2017-Q4</v>
      </c>
    </row>
    <row r="210" customFormat="false" ht="15" hidden="false" customHeight="false" outlineLevel="0" collapsed="false">
      <c r="A210" s="0" t="s">
        <v>168</v>
      </c>
      <c r="B210" s="6" t="n">
        <v>43070</v>
      </c>
      <c r="C210" s="7" t="s">
        <v>45</v>
      </c>
      <c r="D210" s="7" t="s">
        <v>70</v>
      </c>
      <c r="E210" s="7" t="s">
        <v>35</v>
      </c>
      <c r="F210" s="0" t="n">
        <v>15.92</v>
      </c>
      <c r="G210" s="0" t="n">
        <v>7.4824</v>
      </c>
      <c r="H210" s="0" t="n">
        <v>0</v>
      </c>
      <c r="I210" s="7" t="n">
        <f aca="false">YEAR(B210)</f>
        <v>2017</v>
      </c>
      <c r="J210" s="0" t="str">
        <f aca="false">I210&amp;"-Q"&amp;ROUNDUP(MONTH(B210)/3,0)</f>
        <v>2017-Q4</v>
      </c>
    </row>
    <row r="211" customFormat="false" ht="15" hidden="false" customHeight="false" outlineLevel="0" collapsed="false">
      <c r="A211" s="0" t="s">
        <v>168</v>
      </c>
      <c r="B211" s="6" t="n">
        <v>43070</v>
      </c>
      <c r="C211" s="7" t="s">
        <v>45</v>
      </c>
      <c r="D211" s="7" t="s">
        <v>70</v>
      </c>
      <c r="E211" s="7" t="s">
        <v>35</v>
      </c>
      <c r="F211" s="0" t="n">
        <v>52.29</v>
      </c>
      <c r="G211" s="0" t="n">
        <v>16.2099</v>
      </c>
      <c r="H211" s="0" t="n">
        <v>0</v>
      </c>
      <c r="I211" s="7" t="n">
        <f aca="false">YEAR(B211)</f>
        <v>2017</v>
      </c>
      <c r="J211" s="0" t="str">
        <f aca="false">I211&amp;"-Q"&amp;ROUNDUP(MONTH(B211)/3,0)</f>
        <v>2017-Q4</v>
      </c>
    </row>
    <row r="212" customFormat="false" ht="15" hidden="false" customHeight="false" outlineLevel="0" collapsed="false">
      <c r="A212" s="0" t="s">
        <v>168</v>
      </c>
      <c r="B212" s="6" t="n">
        <v>43070</v>
      </c>
      <c r="C212" s="7" t="s">
        <v>45</v>
      </c>
      <c r="D212" s="7" t="s">
        <v>70</v>
      </c>
      <c r="E212" s="7" t="s">
        <v>35</v>
      </c>
      <c r="F212" s="0" t="n">
        <v>91.99</v>
      </c>
      <c r="G212" s="0" t="n">
        <v>3.6796</v>
      </c>
      <c r="H212" s="0" t="n">
        <v>0</v>
      </c>
      <c r="I212" s="7" t="n">
        <f aca="false">YEAR(B212)</f>
        <v>2017</v>
      </c>
      <c r="J212" s="0" t="str">
        <f aca="false">I212&amp;"-Q"&amp;ROUNDUP(MONTH(B212)/3,0)</f>
        <v>2017-Q4</v>
      </c>
    </row>
    <row r="213" customFormat="false" ht="15" hidden="false" customHeight="false" outlineLevel="0" collapsed="false">
      <c r="A213" s="0" t="s">
        <v>169</v>
      </c>
      <c r="B213" s="6" t="n">
        <v>42044</v>
      </c>
      <c r="C213" s="7" t="s">
        <v>45</v>
      </c>
      <c r="D213" s="7" t="s">
        <v>46</v>
      </c>
      <c r="E213" s="7" t="s">
        <v>39</v>
      </c>
      <c r="F213" s="0" t="n">
        <v>20.8</v>
      </c>
      <c r="G213" s="0" t="n">
        <v>6.5</v>
      </c>
      <c r="H213" s="0" t="n">
        <v>0.2</v>
      </c>
      <c r="I213" s="7" t="n">
        <f aca="false">YEAR(B213)</f>
        <v>2015</v>
      </c>
      <c r="J213" s="0" t="str">
        <f aca="false">I213&amp;"-Q"&amp;ROUNDUP(MONTH(B213)/3,0)</f>
        <v>2015-Q1</v>
      </c>
    </row>
    <row r="214" customFormat="false" ht="15" hidden="false" customHeight="false" outlineLevel="0" collapsed="false">
      <c r="A214" s="0" t="s">
        <v>170</v>
      </c>
      <c r="B214" s="6" t="n">
        <v>42006</v>
      </c>
      <c r="C214" s="7" t="s">
        <v>55</v>
      </c>
      <c r="D214" s="7" t="s">
        <v>116</v>
      </c>
      <c r="E214" s="7" t="s">
        <v>35</v>
      </c>
      <c r="F214" s="0" t="n">
        <v>23.68</v>
      </c>
      <c r="G214" s="0" t="n">
        <v>8.88</v>
      </c>
      <c r="H214" s="0" t="n">
        <v>0.2</v>
      </c>
      <c r="I214" s="7" t="n">
        <f aca="false">YEAR(B214)</f>
        <v>2015</v>
      </c>
      <c r="J214" s="0" t="str">
        <f aca="false">I214&amp;"-Q"&amp;ROUNDUP(MONTH(B214)/3,0)</f>
        <v>2015-Q1</v>
      </c>
    </row>
    <row r="215" customFormat="false" ht="15" hidden="false" customHeight="false" outlineLevel="0" collapsed="false">
      <c r="A215" s="0" t="s">
        <v>170</v>
      </c>
      <c r="B215" s="6" t="n">
        <v>42006</v>
      </c>
      <c r="C215" s="7" t="s">
        <v>55</v>
      </c>
      <c r="D215" s="7" t="s">
        <v>116</v>
      </c>
      <c r="E215" s="7" t="s">
        <v>31</v>
      </c>
      <c r="F215" s="0" t="n">
        <v>452.45</v>
      </c>
      <c r="G215" s="0" t="n">
        <v>-244.323</v>
      </c>
      <c r="H215" s="0" t="n">
        <v>0.5</v>
      </c>
      <c r="I215" s="7" t="n">
        <f aca="false">YEAR(B215)</f>
        <v>2015</v>
      </c>
      <c r="J215" s="0" t="str">
        <f aca="false">I215&amp;"-Q"&amp;ROUNDUP(MONTH(B215)/3,0)</f>
        <v>2015-Q1</v>
      </c>
    </row>
    <row r="216" customFormat="false" ht="15" hidden="false" customHeight="false" outlineLevel="0" collapsed="false">
      <c r="A216" s="0" t="s">
        <v>170</v>
      </c>
      <c r="B216" s="6" t="n">
        <v>42006</v>
      </c>
      <c r="C216" s="7" t="s">
        <v>55</v>
      </c>
      <c r="D216" s="7" t="s">
        <v>116</v>
      </c>
      <c r="E216" s="7" t="s">
        <v>39</v>
      </c>
      <c r="F216" s="0" t="n">
        <v>62.982</v>
      </c>
      <c r="G216" s="0" t="n">
        <v>-14.6958</v>
      </c>
      <c r="H216" s="0" t="n">
        <v>0.4</v>
      </c>
      <c r="I216" s="7" t="n">
        <f aca="false">YEAR(B216)</f>
        <v>2015</v>
      </c>
      <c r="J216" s="0" t="str">
        <f aca="false">I216&amp;"-Q"&amp;ROUNDUP(MONTH(B216)/3,0)</f>
        <v>2015-Q1</v>
      </c>
    </row>
    <row r="217" customFormat="false" ht="15" hidden="false" customHeight="false" outlineLevel="0" collapsed="false">
      <c r="A217" s="0" t="s">
        <v>170</v>
      </c>
      <c r="B217" s="6" t="n">
        <v>42006</v>
      </c>
      <c r="C217" s="7" t="s">
        <v>55</v>
      </c>
      <c r="D217" s="7" t="s">
        <v>116</v>
      </c>
      <c r="E217" s="7" t="s">
        <v>39</v>
      </c>
      <c r="F217" s="0" t="n">
        <v>1188</v>
      </c>
      <c r="G217" s="0" t="n">
        <v>-950.4</v>
      </c>
      <c r="H217" s="0" t="n">
        <v>0.7</v>
      </c>
      <c r="I217" s="7" t="n">
        <f aca="false">YEAR(B217)</f>
        <v>2015</v>
      </c>
      <c r="J217" s="0" t="str">
        <f aca="false">I217&amp;"-Q"&amp;ROUNDUP(MONTH(B217)/3,0)</f>
        <v>2015-Q1</v>
      </c>
    </row>
    <row r="218" customFormat="false" ht="15" hidden="false" customHeight="false" outlineLevel="0" collapsed="false">
      <c r="A218" s="0" t="s">
        <v>170</v>
      </c>
      <c r="B218" s="6" t="n">
        <v>42006</v>
      </c>
      <c r="C218" s="7" t="s">
        <v>55</v>
      </c>
      <c r="D218" s="7" t="s">
        <v>116</v>
      </c>
      <c r="E218" s="7" t="s">
        <v>39</v>
      </c>
      <c r="F218" s="0" t="n">
        <v>89.584</v>
      </c>
      <c r="G218" s="0" t="n">
        <v>4.4792</v>
      </c>
      <c r="H218" s="0" t="n">
        <v>0.2</v>
      </c>
      <c r="I218" s="7" t="n">
        <f aca="false">YEAR(B218)</f>
        <v>2015</v>
      </c>
      <c r="J218" s="0" t="str">
        <f aca="false">I218&amp;"-Q"&amp;ROUNDUP(MONTH(B218)/3,0)</f>
        <v>2015-Q1</v>
      </c>
    </row>
    <row r="219" customFormat="false" ht="15" hidden="false" customHeight="false" outlineLevel="0" collapsed="false">
      <c r="A219" s="0" t="s">
        <v>171</v>
      </c>
      <c r="B219" s="6" t="n">
        <v>42671</v>
      </c>
      <c r="C219" s="7" t="s">
        <v>33</v>
      </c>
      <c r="D219" s="7" t="s">
        <v>34</v>
      </c>
      <c r="E219" s="7" t="s">
        <v>35</v>
      </c>
      <c r="F219" s="0" t="n">
        <v>93.06</v>
      </c>
      <c r="G219" s="0" t="n">
        <v>26.0568</v>
      </c>
      <c r="H219" s="0" t="n">
        <v>0</v>
      </c>
      <c r="I219" s="7" t="n">
        <f aca="false">YEAR(B219)</f>
        <v>2016</v>
      </c>
      <c r="J219" s="0" t="str">
        <f aca="false">I219&amp;"-Q"&amp;ROUNDUP(MONTH(B219)/3,0)</f>
        <v>2016-Q4</v>
      </c>
    </row>
    <row r="220" customFormat="false" ht="15" hidden="false" customHeight="false" outlineLevel="0" collapsed="false">
      <c r="A220" s="0" t="s">
        <v>171</v>
      </c>
      <c r="B220" s="6" t="n">
        <v>42671</v>
      </c>
      <c r="C220" s="7" t="s">
        <v>33</v>
      </c>
      <c r="D220" s="7" t="s">
        <v>34</v>
      </c>
      <c r="E220" s="7" t="s">
        <v>39</v>
      </c>
      <c r="F220" s="0" t="n">
        <v>302.376</v>
      </c>
      <c r="G220" s="0" t="n">
        <v>22.6782</v>
      </c>
      <c r="H220" s="0" t="n">
        <v>0.2</v>
      </c>
      <c r="I220" s="7" t="n">
        <f aca="false">YEAR(B220)</f>
        <v>2016</v>
      </c>
      <c r="J220" s="0" t="str">
        <f aca="false">I220&amp;"-Q"&amp;ROUNDUP(MONTH(B220)/3,0)</f>
        <v>2016-Q4</v>
      </c>
    </row>
    <row r="221" customFormat="false" ht="15" hidden="false" customHeight="false" outlineLevel="0" collapsed="false">
      <c r="A221" s="0" t="s">
        <v>172</v>
      </c>
      <c r="B221" s="6" t="n">
        <v>42362</v>
      </c>
      <c r="C221" s="7" t="s">
        <v>55</v>
      </c>
      <c r="D221" s="7" t="s">
        <v>116</v>
      </c>
      <c r="E221" s="7" t="s">
        <v>35</v>
      </c>
      <c r="F221" s="0" t="n">
        <v>5.584</v>
      </c>
      <c r="G221" s="0" t="n">
        <v>1.8148</v>
      </c>
      <c r="H221" s="0" t="n">
        <v>0.2</v>
      </c>
      <c r="I221" s="7" t="n">
        <f aca="false">YEAR(B221)</f>
        <v>2015</v>
      </c>
      <c r="J221" s="0" t="str">
        <f aca="false">I221&amp;"-Q"&amp;ROUNDUP(MONTH(B221)/3,0)</f>
        <v>2015-Q4</v>
      </c>
    </row>
    <row r="222" customFormat="false" ht="15" hidden="false" customHeight="false" outlineLevel="0" collapsed="false">
      <c r="A222" s="0" t="s">
        <v>172</v>
      </c>
      <c r="B222" s="6" t="n">
        <v>42362</v>
      </c>
      <c r="C222" s="7" t="s">
        <v>55</v>
      </c>
      <c r="D222" s="7" t="s">
        <v>116</v>
      </c>
      <c r="E222" s="7" t="s">
        <v>35</v>
      </c>
      <c r="F222" s="0" t="n">
        <v>22.704</v>
      </c>
      <c r="G222" s="0" t="n">
        <v>8.2302</v>
      </c>
      <c r="H222" s="0" t="n">
        <v>0.2</v>
      </c>
      <c r="I222" s="7" t="n">
        <f aca="false">YEAR(B222)</f>
        <v>2015</v>
      </c>
      <c r="J222" s="0" t="str">
        <f aca="false">I222&amp;"-Q"&amp;ROUNDUP(MONTH(B222)/3,0)</f>
        <v>2015-Q4</v>
      </c>
    </row>
    <row r="223" customFormat="false" ht="15" hidden="false" customHeight="false" outlineLevel="0" collapsed="false">
      <c r="A223" s="0" t="s">
        <v>172</v>
      </c>
      <c r="B223" s="6" t="n">
        <v>42362</v>
      </c>
      <c r="C223" s="7" t="s">
        <v>55</v>
      </c>
      <c r="D223" s="7" t="s">
        <v>116</v>
      </c>
      <c r="E223" s="7" t="s">
        <v>35</v>
      </c>
      <c r="F223" s="0" t="n">
        <v>19.776</v>
      </c>
      <c r="G223" s="0" t="n">
        <v>-13.8432</v>
      </c>
      <c r="H223" s="0" t="n">
        <v>0.7</v>
      </c>
      <c r="I223" s="7" t="n">
        <f aca="false">YEAR(B223)</f>
        <v>2015</v>
      </c>
      <c r="J223" s="0" t="str">
        <f aca="false">I223&amp;"-Q"&amp;ROUNDUP(MONTH(B223)/3,0)</f>
        <v>2015-Q4</v>
      </c>
    </row>
    <row r="224" customFormat="false" ht="15" hidden="false" customHeight="false" outlineLevel="0" collapsed="false">
      <c r="A224" s="0" t="s">
        <v>172</v>
      </c>
      <c r="B224" s="6" t="n">
        <v>42362</v>
      </c>
      <c r="C224" s="7" t="s">
        <v>55</v>
      </c>
      <c r="D224" s="7" t="s">
        <v>116</v>
      </c>
      <c r="E224" s="7" t="s">
        <v>31</v>
      </c>
      <c r="F224" s="0" t="n">
        <v>72.704</v>
      </c>
      <c r="G224" s="0" t="n">
        <v>19.0848</v>
      </c>
      <c r="H224" s="0" t="n">
        <v>0.2</v>
      </c>
      <c r="I224" s="7" t="n">
        <f aca="false">YEAR(B224)</f>
        <v>2015</v>
      </c>
      <c r="J224" s="0" t="str">
        <f aca="false">I224&amp;"-Q"&amp;ROUNDUP(MONTH(B224)/3,0)</f>
        <v>2015-Q4</v>
      </c>
    </row>
    <row r="225" customFormat="false" ht="15" hidden="false" customHeight="false" outlineLevel="0" collapsed="false">
      <c r="A225" s="0" t="s">
        <v>172</v>
      </c>
      <c r="B225" s="6" t="n">
        <v>42362</v>
      </c>
      <c r="C225" s="7" t="s">
        <v>55</v>
      </c>
      <c r="D225" s="7" t="s">
        <v>116</v>
      </c>
      <c r="E225" s="7" t="s">
        <v>39</v>
      </c>
      <c r="F225" s="0" t="n">
        <v>479.988</v>
      </c>
      <c r="G225" s="0" t="n">
        <v>-383.9904</v>
      </c>
      <c r="H225" s="0" t="n">
        <v>0.7</v>
      </c>
      <c r="I225" s="7" t="n">
        <f aca="false">YEAR(B225)</f>
        <v>2015</v>
      </c>
      <c r="J225" s="0" t="str">
        <f aca="false">I225&amp;"-Q"&amp;ROUNDUP(MONTH(B225)/3,0)</f>
        <v>2015-Q4</v>
      </c>
    </row>
    <row r="226" customFormat="false" ht="15" hidden="false" customHeight="false" outlineLevel="0" collapsed="false">
      <c r="A226" s="0" t="s">
        <v>172</v>
      </c>
      <c r="B226" s="6" t="n">
        <v>42362</v>
      </c>
      <c r="C226" s="7" t="s">
        <v>55</v>
      </c>
      <c r="D226" s="7" t="s">
        <v>116</v>
      </c>
      <c r="E226" s="7" t="s">
        <v>35</v>
      </c>
      <c r="F226" s="0" t="n">
        <v>27.168</v>
      </c>
      <c r="G226" s="0" t="n">
        <v>2.7168</v>
      </c>
      <c r="H226" s="0" t="n">
        <v>0.2</v>
      </c>
      <c r="I226" s="7" t="n">
        <f aca="false">YEAR(B226)</f>
        <v>2015</v>
      </c>
      <c r="J226" s="0" t="str">
        <f aca="false">I226&amp;"-Q"&amp;ROUNDUP(MONTH(B226)/3,0)</f>
        <v>2015-Q4</v>
      </c>
    </row>
    <row r="227" customFormat="false" ht="15" hidden="false" customHeight="false" outlineLevel="0" collapsed="false">
      <c r="A227" s="0" t="s">
        <v>173</v>
      </c>
      <c r="B227" s="6" t="n">
        <v>42225</v>
      </c>
      <c r="C227" s="7" t="s">
        <v>45</v>
      </c>
      <c r="D227" s="7" t="s">
        <v>70</v>
      </c>
      <c r="E227" s="7" t="s">
        <v>35</v>
      </c>
      <c r="F227" s="0" t="n">
        <v>2.2</v>
      </c>
      <c r="G227" s="0" t="n">
        <v>0.968</v>
      </c>
      <c r="H227" s="0" t="n">
        <v>0</v>
      </c>
      <c r="I227" s="7" t="n">
        <f aca="false">YEAR(B227)</f>
        <v>2015</v>
      </c>
      <c r="J227" s="0" t="str">
        <f aca="false">I227&amp;"-Q"&amp;ROUNDUP(MONTH(B227)/3,0)</f>
        <v>2015-Q3</v>
      </c>
    </row>
    <row r="228" customFormat="false" ht="15" hidden="false" customHeight="false" outlineLevel="0" collapsed="false">
      <c r="A228" s="0" t="s">
        <v>173</v>
      </c>
      <c r="B228" s="6" t="n">
        <v>42225</v>
      </c>
      <c r="C228" s="7" t="s">
        <v>45</v>
      </c>
      <c r="D228" s="7" t="s">
        <v>70</v>
      </c>
      <c r="E228" s="7" t="s">
        <v>31</v>
      </c>
      <c r="F228" s="0" t="n">
        <v>622.45</v>
      </c>
      <c r="G228" s="0" t="n">
        <v>136.939</v>
      </c>
      <c r="H228" s="0" t="n">
        <v>0</v>
      </c>
      <c r="I228" s="7" t="n">
        <f aca="false">YEAR(B228)</f>
        <v>2015</v>
      </c>
      <c r="J228" s="0" t="str">
        <f aca="false">I228&amp;"-Q"&amp;ROUNDUP(MONTH(B228)/3,0)</f>
        <v>2015-Q3</v>
      </c>
    </row>
    <row r="229" customFormat="false" ht="15" hidden="false" customHeight="false" outlineLevel="0" collapsed="false">
      <c r="A229" s="0" t="s">
        <v>173</v>
      </c>
      <c r="B229" s="6" t="n">
        <v>42225</v>
      </c>
      <c r="C229" s="7" t="s">
        <v>45</v>
      </c>
      <c r="D229" s="7" t="s">
        <v>70</v>
      </c>
      <c r="E229" s="7" t="s">
        <v>35</v>
      </c>
      <c r="F229" s="0" t="n">
        <v>21.98</v>
      </c>
      <c r="G229" s="0" t="n">
        <v>0.2198</v>
      </c>
      <c r="H229" s="0" t="n">
        <v>0</v>
      </c>
      <c r="I229" s="7" t="n">
        <f aca="false">YEAR(B229)</f>
        <v>2015</v>
      </c>
      <c r="J229" s="0" t="str">
        <f aca="false">I229&amp;"-Q"&amp;ROUNDUP(MONTH(B229)/3,0)</f>
        <v>2015-Q3</v>
      </c>
    </row>
    <row r="230" customFormat="false" ht="15" hidden="false" customHeight="false" outlineLevel="0" collapsed="false">
      <c r="A230" s="0" t="s">
        <v>174</v>
      </c>
      <c r="B230" s="6" t="n">
        <v>42063</v>
      </c>
      <c r="C230" s="7" t="s">
        <v>29</v>
      </c>
      <c r="D230" s="7" t="s">
        <v>87</v>
      </c>
      <c r="E230" s="7" t="s">
        <v>31</v>
      </c>
      <c r="F230" s="0" t="n">
        <v>161.568</v>
      </c>
      <c r="G230" s="0" t="n">
        <v>-28.2744</v>
      </c>
      <c r="H230" s="0" t="n">
        <v>0.2</v>
      </c>
      <c r="I230" s="7" t="n">
        <f aca="false">YEAR(B230)</f>
        <v>2015</v>
      </c>
      <c r="J230" s="0" t="str">
        <f aca="false">I230&amp;"-Q"&amp;ROUNDUP(MONTH(B230)/3,0)</f>
        <v>2015-Q1</v>
      </c>
    </row>
    <row r="231" customFormat="false" ht="15" hidden="false" customHeight="false" outlineLevel="0" collapsed="false">
      <c r="A231" s="0" t="s">
        <v>174</v>
      </c>
      <c r="B231" s="6" t="n">
        <v>42063</v>
      </c>
      <c r="C231" s="7" t="s">
        <v>29</v>
      </c>
      <c r="D231" s="7" t="s">
        <v>87</v>
      </c>
      <c r="E231" s="7" t="s">
        <v>31</v>
      </c>
      <c r="F231" s="0" t="n">
        <v>389.696</v>
      </c>
      <c r="G231" s="0" t="n">
        <v>43.8408</v>
      </c>
      <c r="H231" s="0" t="n">
        <v>0.2</v>
      </c>
      <c r="I231" s="7" t="n">
        <f aca="false">YEAR(B231)</f>
        <v>2015</v>
      </c>
      <c r="J231" s="0" t="str">
        <f aca="false">I231&amp;"-Q"&amp;ROUNDUP(MONTH(B231)/3,0)</f>
        <v>2015-Q1</v>
      </c>
    </row>
    <row r="232" customFormat="false" ht="15" hidden="false" customHeight="false" outlineLevel="0" collapsed="false">
      <c r="A232" s="0" t="s">
        <v>175</v>
      </c>
      <c r="B232" s="6" t="n">
        <v>41895</v>
      </c>
      <c r="C232" s="7" t="s">
        <v>29</v>
      </c>
      <c r="D232" s="7" t="s">
        <v>41</v>
      </c>
      <c r="E232" s="7" t="s">
        <v>35</v>
      </c>
      <c r="F232" s="0" t="n">
        <v>18.648</v>
      </c>
      <c r="G232" s="0" t="n">
        <v>-12.432</v>
      </c>
      <c r="H232" s="0" t="n">
        <v>0.7</v>
      </c>
      <c r="I232" s="7" t="n">
        <f aca="false">YEAR(B232)</f>
        <v>2014</v>
      </c>
      <c r="J232" s="0" t="str">
        <f aca="false">I232&amp;"-Q"&amp;ROUNDUP(MONTH(B232)/3,0)</f>
        <v>2014-Q3</v>
      </c>
    </row>
    <row r="233" customFormat="false" ht="15" hidden="false" customHeight="false" outlineLevel="0" collapsed="false">
      <c r="A233" s="0" t="s">
        <v>176</v>
      </c>
      <c r="B233" s="6" t="n">
        <v>42832</v>
      </c>
      <c r="C233" s="7" t="s">
        <v>29</v>
      </c>
      <c r="D233" s="7" t="s">
        <v>37</v>
      </c>
      <c r="E233" s="7" t="s">
        <v>31</v>
      </c>
      <c r="F233" s="0" t="n">
        <v>233.86</v>
      </c>
      <c r="G233" s="0" t="n">
        <v>-102.048</v>
      </c>
      <c r="H233" s="0" t="n">
        <v>0.45</v>
      </c>
      <c r="I233" s="7" t="n">
        <f aca="false">YEAR(B233)</f>
        <v>2017</v>
      </c>
      <c r="J233" s="0" t="str">
        <f aca="false">I233&amp;"-Q"&amp;ROUNDUP(MONTH(B233)/3,0)</f>
        <v>2017-Q2</v>
      </c>
    </row>
    <row r="234" customFormat="false" ht="15" hidden="false" customHeight="false" outlineLevel="0" collapsed="false">
      <c r="A234" s="0" t="s">
        <v>176</v>
      </c>
      <c r="B234" s="6" t="n">
        <v>42832</v>
      </c>
      <c r="C234" s="7" t="s">
        <v>29</v>
      </c>
      <c r="D234" s="7" t="s">
        <v>37</v>
      </c>
      <c r="E234" s="7" t="s">
        <v>31</v>
      </c>
      <c r="F234" s="0" t="n">
        <v>620.6145</v>
      </c>
      <c r="G234" s="0" t="n">
        <v>-248.2458</v>
      </c>
      <c r="H234" s="0" t="n">
        <v>0.45</v>
      </c>
      <c r="I234" s="7" t="n">
        <f aca="false">YEAR(B234)</f>
        <v>2017</v>
      </c>
      <c r="J234" s="0" t="str">
        <f aca="false">I234&amp;"-Q"&amp;ROUNDUP(MONTH(B234)/3,0)</f>
        <v>2017-Q2</v>
      </c>
    </row>
    <row r="235" customFormat="false" ht="15" hidden="false" customHeight="false" outlineLevel="0" collapsed="false">
      <c r="A235" s="0" t="s">
        <v>176</v>
      </c>
      <c r="B235" s="6" t="n">
        <v>42832</v>
      </c>
      <c r="C235" s="7" t="s">
        <v>29</v>
      </c>
      <c r="D235" s="7" t="s">
        <v>37</v>
      </c>
      <c r="E235" s="7" t="s">
        <v>35</v>
      </c>
      <c r="F235" s="0" t="n">
        <v>5.328</v>
      </c>
      <c r="G235" s="0" t="n">
        <v>-3.552</v>
      </c>
      <c r="H235" s="0" t="n">
        <v>0.7</v>
      </c>
      <c r="I235" s="7" t="n">
        <f aca="false">YEAR(B235)</f>
        <v>2017</v>
      </c>
      <c r="J235" s="0" t="str">
        <f aca="false">I235&amp;"-Q"&amp;ROUNDUP(MONTH(B235)/3,0)</f>
        <v>2017-Q2</v>
      </c>
    </row>
    <row r="236" customFormat="false" ht="15" hidden="false" customHeight="false" outlineLevel="0" collapsed="false">
      <c r="A236" s="0" t="s">
        <v>176</v>
      </c>
      <c r="B236" s="6" t="n">
        <v>42832</v>
      </c>
      <c r="C236" s="7" t="s">
        <v>29</v>
      </c>
      <c r="D236" s="7" t="s">
        <v>37</v>
      </c>
      <c r="E236" s="7" t="s">
        <v>31</v>
      </c>
      <c r="F236" s="0" t="n">
        <v>258.072</v>
      </c>
      <c r="G236" s="0" t="n">
        <v>0</v>
      </c>
      <c r="H236" s="0" t="n">
        <v>0.2</v>
      </c>
      <c r="I236" s="7" t="n">
        <f aca="false">YEAR(B236)</f>
        <v>2017</v>
      </c>
      <c r="J236" s="0" t="str">
        <f aca="false">I236&amp;"-Q"&amp;ROUNDUP(MONTH(B236)/3,0)</f>
        <v>2017-Q2</v>
      </c>
    </row>
    <row r="237" customFormat="false" ht="15" hidden="false" customHeight="false" outlineLevel="0" collapsed="false">
      <c r="A237" s="0" t="s">
        <v>176</v>
      </c>
      <c r="B237" s="6" t="n">
        <v>42832</v>
      </c>
      <c r="C237" s="7" t="s">
        <v>29</v>
      </c>
      <c r="D237" s="7" t="s">
        <v>37</v>
      </c>
      <c r="E237" s="7" t="s">
        <v>39</v>
      </c>
      <c r="F237" s="0" t="n">
        <v>617.976</v>
      </c>
      <c r="G237" s="0" t="n">
        <v>-7.7247</v>
      </c>
      <c r="H237" s="0" t="n">
        <v>0.2</v>
      </c>
      <c r="I237" s="7" t="n">
        <f aca="false">YEAR(B237)</f>
        <v>2017</v>
      </c>
      <c r="J237" s="0" t="str">
        <f aca="false">I237&amp;"-Q"&amp;ROUNDUP(MONTH(B237)/3,0)</f>
        <v>2017-Q2</v>
      </c>
    </row>
    <row r="238" customFormat="false" ht="15" hidden="false" customHeight="false" outlineLevel="0" collapsed="false">
      <c r="A238" s="0" t="s">
        <v>177</v>
      </c>
      <c r="B238" s="6" t="n">
        <v>43051</v>
      </c>
      <c r="C238" s="7" t="s">
        <v>33</v>
      </c>
      <c r="D238" s="7" t="s">
        <v>34</v>
      </c>
      <c r="E238" s="7" t="s">
        <v>35</v>
      </c>
      <c r="F238" s="0" t="n">
        <v>10.56</v>
      </c>
      <c r="G238" s="0" t="n">
        <v>4.752</v>
      </c>
      <c r="H238" s="0" t="n">
        <v>0</v>
      </c>
      <c r="I238" s="7" t="n">
        <f aca="false">YEAR(B238)</f>
        <v>2017</v>
      </c>
      <c r="J238" s="0" t="str">
        <f aca="false">I238&amp;"-Q"&amp;ROUNDUP(MONTH(B238)/3,0)</f>
        <v>2017-Q4</v>
      </c>
    </row>
    <row r="239" customFormat="false" ht="15" hidden="false" customHeight="false" outlineLevel="0" collapsed="false">
      <c r="A239" s="0" t="s">
        <v>178</v>
      </c>
      <c r="B239" s="6" t="n">
        <v>42525</v>
      </c>
      <c r="C239" s="7" t="s">
        <v>45</v>
      </c>
      <c r="D239" s="7" t="s">
        <v>64</v>
      </c>
      <c r="E239" s="7" t="s">
        <v>35</v>
      </c>
      <c r="F239" s="0" t="n">
        <v>25.92</v>
      </c>
      <c r="G239" s="0" t="n">
        <v>9.396</v>
      </c>
      <c r="H239" s="0" t="n">
        <v>0.2</v>
      </c>
      <c r="I239" s="7" t="n">
        <f aca="false">YEAR(B239)</f>
        <v>2016</v>
      </c>
      <c r="J239" s="0" t="str">
        <f aca="false">I239&amp;"-Q"&amp;ROUNDUP(MONTH(B239)/3,0)</f>
        <v>2016-Q2</v>
      </c>
    </row>
    <row r="240" customFormat="false" ht="15" hidden="false" customHeight="false" outlineLevel="0" collapsed="false">
      <c r="A240" s="0" t="s">
        <v>178</v>
      </c>
      <c r="B240" s="6" t="n">
        <v>42525</v>
      </c>
      <c r="C240" s="7" t="s">
        <v>45</v>
      </c>
      <c r="D240" s="7" t="s">
        <v>64</v>
      </c>
      <c r="E240" s="7" t="s">
        <v>31</v>
      </c>
      <c r="F240" s="0" t="n">
        <v>419.68</v>
      </c>
      <c r="G240" s="0" t="n">
        <v>-356.728</v>
      </c>
      <c r="H240" s="0" t="n">
        <v>0.6</v>
      </c>
      <c r="I240" s="7" t="n">
        <f aca="false">YEAR(B240)</f>
        <v>2016</v>
      </c>
      <c r="J240" s="0" t="str">
        <f aca="false">I240&amp;"-Q"&amp;ROUNDUP(MONTH(B240)/3,0)</f>
        <v>2016-Q2</v>
      </c>
    </row>
    <row r="241" customFormat="false" ht="15" hidden="false" customHeight="false" outlineLevel="0" collapsed="false">
      <c r="A241" s="0" t="s">
        <v>178</v>
      </c>
      <c r="B241" s="6" t="n">
        <v>42525</v>
      </c>
      <c r="C241" s="7" t="s">
        <v>45</v>
      </c>
      <c r="D241" s="7" t="s">
        <v>64</v>
      </c>
      <c r="E241" s="7" t="s">
        <v>31</v>
      </c>
      <c r="F241" s="0" t="n">
        <v>11.688</v>
      </c>
      <c r="G241" s="0" t="n">
        <v>-4.6752</v>
      </c>
      <c r="H241" s="0" t="n">
        <v>0.6</v>
      </c>
      <c r="I241" s="7" t="n">
        <f aca="false">YEAR(B241)</f>
        <v>2016</v>
      </c>
      <c r="J241" s="0" t="str">
        <f aca="false">I241&amp;"-Q"&amp;ROUNDUP(MONTH(B241)/3,0)</f>
        <v>2016-Q2</v>
      </c>
    </row>
    <row r="242" customFormat="false" ht="15" hidden="false" customHeight="false" outlineLevel="0" collapsed="false">
      <c r="A242" s="0" t="s">
        <v>178</v>
      </c>
      <c r="B242" s="6" t="n">
        <v>42525</v>
      </c>
      <c r="C242" s="7" t="s">
        <v>45</v>
      </c>
      <c r="D242" s="7" t="s">
        <v>64</v>
      </c>
      <c r="E242" s="7" t="s">
        <v>39</v>
      </c>
      <c r="F242" s="0" t="n">
        <v>31.984</v>
      </c>
      <c r="G242" s="0" t="n">
        <v>11.1944</v>
      </c>
      <c r="H242" s="0" t="n">
        <v>0.2</v>
      </c>
      <c r="I242" s="7" t="n">
        <f aca="false">YEAR(B242)</f>
        <v>2016</v>
      </c>
      <c r="J242" s="0" t="str">
        <f aca="false">I242&amp;"-Q"&amp;ROUNDUP(MONTH(B242)/3,0)</f>
        <v>2016-Q2</v>
      </c>
    </row>
    <row r="243" customFormat="false" ht="15" hidden="false" customHeight="false" outlineLevel="0" collapsed="false">
      <c r="A243" s="0" t="s">
        <v>178</v>
      </c>
      <c r="B243" s="6" t="n">
        <v>42525</v>
      </c>
      <c r="C243" s="7" t="s">
        <v>45</v>
      </c>
      <c r="D243" s="7" t="s">
        <v>64</v>
      </c>
      <c r="E243" s="7" t="s">
        <v>31</v>
      </c>
      <c r="F243" s="0" t="n">
        <v>177.225</v>
      </c>
      <c r="G243" s="0" t="n">
        <v>-120.513</v>
      </c>
      <c r="H243" s="0" t="n">
        <v>0.5</v>
      </c>
      <c r="I243" s="7" t="n">
        <f aca="false">YEAR(B243)</f>
        <v>2016</v>
      </c>
      <c r="J243" s="0" t="str">
        <f aca="false">I243&amp;"-Q"&amp;ROUNDUP(MONTH(B243)/3,0)</f>
        <v>2016-Q2</v>
      </c>
    </row>
    <row r="244" customFormat="false" ht="15" hidden="false" customHeight="false" outlineLevel="0" collapsed="false">
      <c r="A244" s="0" t="s">
        <v>178</v>
      </c>
      <c r="B244" s="6" t="n">
        <v>42525</v>
      </c>
      <c r="C244" s="7" t="s">
        <v>45</v>
      </c>
      <c r="D244" s="7" t="s">
        <v>64</v>
      </c>
      <c r="E244" s="7" t="s">
        <v>31</v>
      </c>
      <c r="F244" s="0" t="n">
        <v>4.044</v>
      </c>
      <c r="G244" s="0" t="n">
        <v>-2.8308</v>
      </c>
      <c r="H244" s="0" t="n">
        <v>0.6</v>
      </c>
      <c r="I244" s="7" t="n">
        <f aca="false">YEAR(B244)</f>
        <v>2016</v>
      </c>
      <c r="J244" s="0" t="str">
        <f aca="false">I244&amp;"-Q"&amp;ROUNDUP(MONTH(B244)/3,0)</f>
        <v>2016-Q2</v>
      </c>
    </row>
    <row r="245" customFormat="false" ht="15" hidden="false" customHeight="false" outlineLevel="0" collapsed="false">
      <c r="A245" s="0" t="s">
        <v>178</v>
      </c>
      <c r="B245" s="6" t="n">
        <v>42525</v>
      </c>
      <c r="C245" s="7" t="s">
        <v>45</v>
      </c>
      <c r="D245" s="7" t="s">
        <v>64</v>
      </c>
      <c r="E245" s="7" t="s">
        <v>35</v>
      </c>
      <c r="F245" s="0" t="n">
        <v>7.408</v>
      </c>
      <c r="G245" s="0" t="n">
        <v>1.2038</v>
      </c>
      <c r="H245" s="0" t="n">
        <v>0.2</v>
      </c>
      <c r="I245" s="7" t="n">
        <f aca="false">YEAR(B245)</f>
        <v>2016</v>
      </c>
      <c r="J245" s="0" t="str">
        <f aca="false">I245&amp;"-Q"&amp;ROUNDUP(MONTH(B245)/3,0)</f>
        <v>2016-Q2</v>
      </c>
    </row>
    <row r="246" customFormat="false" ht="15" hidden="false" customHeight="false" outlineLevel="0" collapsed="false">
      <c r="A246" s="0" t="s">
        <v>179</v>
      </c>
      <c r="B246" s="6" t="n">
        <v>41791</v>
      </c>
      <c r="C246" s="7" t="s">
        <v>45</v>
      </c>
      <c r="D246" s="7" t="s">
        <v>68</v>
      </c>
      <c r="E246" s="7" t="s">
        <v>31</v>
      </c>
      <c r="F246" s="0" t="n">
        <v>2001.86</v>
      </c>
      <c r="G246" s="0" t="n">
        <v>580.5394</v>
      </c>
      <c r="H246" s="0" t="n">
        <v>0</v>
      </c>
      <c r="I246" s="7" t="n">
        <f aca="false">YEAR(B246)</f>
        <v>2014</v>
      </c>
      <c r="J246" s="0" t="str">
        <f aca="false">I246&amp;"-Q"&amp;ROUNDUP(MONTH(B246)/3,0)</f>
        <v>2014-Q2</v>
      </c>
    </row>
    <row r="247" customFormat="false" ht="15" hidden="false" customHeight="false" outlineLevel="0" collapsed="false">
      <c r="A247" s="0" t="s">
        <v>179</v>
      </c>
      <c r="B247" s="6" t="n">
        <v>41791</v>
      </c>
      <c r="C247" s="7" t="s">
        <v>45</v>
      </c>
      <c r="D247" s="7" t="s">
        <v>68</v>
      </c>
      <c r="E247" s="7" t="s">
        <v>35</v>
      </c>
      <c r="F247" s="0" t="n">
        <v>166.72</v>
      </c>
      <c r="G247" s="0" t="n">
        <v>41.68</v>
      </c>
      <c r="H247" s="0" t="n">
        <v>0</v>
      </c>
      <c r="I247" s="7" t="n">
        <f aca="false">YEAR(B247)</f>
        <v>2014</v>
      </c>
      <c r="J247" s="0" t="str">
        <f aca="false">I247&amp;"-Q"&amp;ROUNDUP(MONTH(B247)/3,0)</f>
        <v>2014-Q2</v>
      </c>
    </row>
    <row r="248" customFormat="false" ht="15" hidden="false" customHeight="false" outlineLevel="0" collapsed="false">
      <c r="A248" s="0" t="s">
        <v>179</v>
      </c>
      <c r="B248" s="6" t="n">
        <v>41791</v>
      </c>
      <c r="C248" s="7" t="s">
        <v>45</v>
      </c>
      <c r="D248" s="7" t="s">
        <v>68</v>
      </c>
      <c r="E248" s="7" t="s">
        <v>35</v>
      </c>
      <c r="F248" s="0" t="n">
        <v>47.88</v>
      </c>
      <c r="G248" s="0" t="n">
        <v>23.94</v>
      </c>
      <c r="H248" s="0" t="n">
        <v>0</v>
      </c>
      <c r="I248" s="7" t="n">
        <f aca="false">YEAR(B248)</f>
        <v>2014</v>
      </c>
      <c r="J248" s="0" t="str">
        <f aca="false">I248&amp;"-Q"&amp;ROUNDUP(MONTH(B248)/3,0)</f>
        <v>2014-Q2</v>
      </c>
    </row>
    <row r="249" customFormat="false" ht="15" hidden="false" customHeight="false" outlineLevel="0" collapsed="false">
      <c r="A249" s="0" t="s">
        <v>179</v>
      </c>
      <c r="B249" s="6" t="n">
        <v>41791</v>
      </c>
      <c r="C249" s="7" t="s">
        <v>45</v>
      </c>
      <c r="D249" s="7" t="s">
        <v>68</v>
      </c>
      <c r="E249" s="7" t="s">
        <v>35</v>
      </c>
      <c r="F249" s="0" t="n">
        <v>1503.25</v>
      </c>
      <c r="G249" s="0" t="n">
        <v>496.0725</v>
      </c>
      <c r="H249" s="0" t="n">
        <v>0</v>
      </c>
      <c r="I249" s="7" t="n">
        <f aca="false">YEAR(B249)</f>
        <v>2014</v>
      </c>
      <c r="J249" s="0" t="str">
        <f aca="false">I249&amp;"-Q"&amp;ROUNDUP(MONTH(B249)/3,0)</f>
        <v>2014-Q2</v>
      </c>
    </row>
    <row r="250" customFormat="false" ht="15" hidden="false" customHeight="false" outlineLevel="0" collapsed="false">
      <c r="A250" s="0" t="s">
        <v>179</v>
      </c>
      <c r="B250" s="6" t="n">
        <v>41791</v>
      </c>
      <c r="C250" s="7" t="s">
        <v>45</v>
      </c>
      <c r="D250" s="7" t="s">
        <v>68</v>
      </c>
      <c r="E250" s="7" t="s">
        <v>35</v>
      </c>
      <c r="F250" s="0" t="n">
        <v>25.92</v>
      </c>
      <c r="G250" s="0" t="n">
        <v>12.4416</v>
      </c>
      <c r="H250" s="0" t="n">
        <v>0</v>
      </c>
      <c r="I250" s="7" t="n">
        <f aca="false">YEAR(B250)</f>
        <v>2014</v>
      </c>
      <c r="J250" s="0" t="str">
        <f aca="false">I250&amp;"-Q"&amp;ROUNDUP(MONTH(B250)/3,0)</f>
        <v>2014-Q2</v>
      </c>
    </row>
    <row r="251" customFormat="false" ht="15" hidden="false" customHeight="false" outlineLevel="0" collapsed="false">
      <c r="A251" s="0" t="s">
        <v>180</v>
      </c>
      <c r="B251" s="6" t="n">
        <v>42714</v>
      </c>
      <c r="C251" s="7" t="s">
        <v>33</v>
      </c>
      <c r="D251" s="7" t="s">
        <v>34</v>
      </c>
      <c r="E251" s="7" t="s">
        <v>31</v>
      </c>
      <c r="F251" s="0" t="n">
        <v>321.568</v>
      </c>
      <c r="G251" s="0" t="n">
        <v>28.1372</v>
      </c>
      <c r="H251" s="0" t="n">
        <v>0.2</v>
      </c>
      <c r="I251" s="7" t="n">
        <f aca="false">YEAR(B251)</f>
        <v>2016</v>
      </c>
      <c r="J251" s="0" t="str">
        <f aca="false">I251&amp;"-Q"&amp;ROUNDUP(MONTH(B251)/3,0)</f>
        <v>2016-Q4</v>
      </c>
    </row>
    <row r="252" customFormat="false" ht="15" hidden="false" customHeight="false" outlineLevel="0" collapsed="false">
      <c r="A252" s="0" t="s">
        <v>181</v>
      </c>
      <c r="B252" s="6" t="n">
        <v>42624</v>
      </c>
      <c r="C252" s="7" t="s">
        <v>33</v>
      </c>
      <c r="D252" s="7" t="s">
        <v>34</v>
      </c>
      <c r="E252" s="7" t="s">
        <v>35</v>
      </c>
      <c r="F252" s="0" t="n">
        <v>7.61</v>
      </c>
      <c r="G252" s="0" t="n">
        <v>3.5767</v>
      </c>
      <c r="H252" s="0" t="n">
        <v>0</v>
      </c>
      <c r="I252" s="7" t="n">
        <f aca="false">YEAR(B252)</f>
        <v>2016</v>
      </c>
      <c r="J252" s="0" t="str">
        <f aca="false">I252&amp;"-Q"&amp;ROUNDUP(MONTH(B252)/3,0)</f>
        <v>2016-Q3</v>
      </c>
    </row>
    <row r="253" customFormat="false" ht="15" hidden="false" customHeight="false" outlineLevel="0" collapsed="false">
      <c r="A253" s="0" t="s">
        <v>181</v>
      </c>
      <c r="B253" s="6" t="n">
        <v>42624</v>
      </c>
      <c r="C253" s="7" t="s">
        <v>33</v>
      </c>
      <c r="D253" s="7" t="s">
        <v>34</v>
      </c>
      <c r="E253" s="7" t="s">
        <v>39</v>
      </c>
      <c r="F253" s="0" t="n">
        <v>3347.37</v>
      </c>
      <c r="G253" s="0" t="n">
        <v>636.0003</v>
      </c>
      <c r="H253" s="0" t="n">
        <v>0</v>
      </c>
      <c r="I253" s="7" t="n">
        <f aca="false">YEAR(B253)</f>
        <v>2016</v>
      </c>
      <c r="J253" s="0" t="str">
        <f aca="false">I253&amp;"-Q"&amp;ROUNDUP(MONTH(B253)/3,0)</f>
        <v>2016-Q3</v>
      </c>
    </row>
    <row r="254" customFormat="false" ht="15" hidden="false" customHeight="false" outlineLevel="0" collapsed="false">
      <c r="A254" s="0" t="s">
        <v>182</v>
      </c>
      <c r="B254" s="6" t="n">
        <v>42714</v>
      </c>
      <c r="C254" s="7" t="s">
        <v>55</v>
      </c>
      <c r="D254" s="7" t="s">
        <v>76</v>
      </c>
      <c r="E254" s="7" t="s">
        <v>35</v>
      </c>
      <c r="F254" s="0" t="n">
        <v>80.58</v>
      </c>
      <c r="G254" s="0" t="n">
        <v>22.5624</v>
      </c>
      <c r="H254" s="0" t="n">
        <v>0</v>
      </c>
      <c r="I254" s="7" t="n">
        <f aca="false">YEAR(B254)</f>
        <v>2016</v>
      </c>
      <c r="J254" s="0" t="str">
        <f aca="false">I254&amp;"-Q"&amp;ROUNDUP(MONTH(B254)/3,0)</f>
        <v>2016-Q4</v>
      </c>
    </row>
    <row r="255" customFormat="false" ht="15" hidden="false" customHeight="false" outlineLevel="0" collapsed="false">
      <c r="A255" s="0" t="s">
        <v>182</v>
      </c>
      <c r="B255" s="6" t="n">
        <v>42714</v>
      </c>
      <c r="C255" s="7" t="s">
        <v>55</v>
      </c>
      <c r="D255" s="7" t="s">
        <v>76</v>
      </c>
      <c r="E255" s="7" t="s">
        <v>35</v>
      </c>
      <c r="F255" s="0" t="n">
        <v>361.92</v>
      </c>
      <c r="G255" s="0" t="n">
        <v>162.864</v>
      </c>
      <c r="H255" s="0" t="n">
        <v>0</v>
      </c>
      <c r="I255" s="7" t="n">
        <f aca="false">YEAR(B255)</f>
        <v>2016</v>
      </c>
      <c r="J255" s="0" t="str">
        <f aca="false">I255&amp;"-Q"&amp;ROUNDUP(MONTH(B255)/3,0)</f>
        <v>2016-Q4</v>
      </c>
    </row>
    <row r="256" customFormat="false" ht="15" hidden="false" customHeight="false" outlineLevel="0" collapsed="false">
      <c r="A256" s="0" t="s">
        <v>183</v>
      </c>
      <c r="B256" s="6" t="n">
        <v>42336</v>
      </c>
      <c r="C256" s="7" t="s">
        <v>45</v>
      </c>
      <c r="D256" s="7" t="s">
        <v>64</v>
      </c>
      <c r="E256" s="7" t="s">
        <v>31</v>
      </c>
      <c r="F256" s="0" t="n">
        <v>12.132</v>
      </c>
      <c r="G256" s="0" t="n">
        <v>-8.4924</v>
      </c>
      <c r="H256" s="0" t="n">
        <v>0.6</v>
      </c>
      <c r="I256" s="7" t="n">
        <f aca="false">YEAR(B256)</f>
        <v>2015</v>
      </c>
      <c r="J256" s="0" t="str">
        <f aca="false">I256&amp;"-Q"&amp;ROUNDUP(MONTH(B256)/3,0)</f>
        <v>2015-Q4</v>
      </c>
    </row>
    <row r="257" customFormat="false" ht="15" hidden="false" customHeight="false" outlineLevel="0" collapsed="false">
      <c r="A257" s="0" t="s">
        <v>183</v>
      </c>
      <c r="B257" s="6" t="n">
        <v>42336</v>
      </c>
      <c r="C257" s="7" t="s">
        <v>45</v>
      </c>
      <c r="D257" s="7" t="s">
        <v>64</v>
      </c>
      <c r="E257" s="7" t="s">
        <v>35</v>
      </c>
      <c r="F257" s="0" t="n">
        <v>82.368</v>
      </c>
      <c r="G257" s="0" t="n">
        <v>-19.5624</v>
      </c>
      <c r="H257" s="0" t="n">
        <v>0.2</v>
      </c>
      <c r="I257" s="7" t="n">
        <f aca="false">YEAR(B257)</f>
        <v>2015</v>
      </c>
      <c r="J257" s="0" t="str">
        <f aca="false">I257&amp;"-Q"&amp;ROUNDUP(MONTH(B257)/3,0)</f>
        <v>2015-Q4</v>
      </c>
    </row>
    <row r="258" customFormat="false" ht="15" hidden="false" customHeight="false" outlineLevel="0" collapsed="false">
      <c r="A258" s="0" t="s">
        <v>183</v>
      </c>
      <c r="B258" s="6" t="n">
        <v>42336</v>
      </c>
      <c r="C258" s="7" t="s">
        <v>45</v>
      </c>
      <c r="D258" s="7" t="s">
        <v>64</v>
      </c>
      <c r="E258" s="7" t="s">
        <v>35</v>
      </c>
      <c r="F258" s="0" t="n">
        <v>53.92</v>
      </c>
      <c r="G258" s="0" t="n">
        <v>4.044</v>
      </c>
      <c r="H258" s="0" t="n">
        <v>0.2</v>
      </c>
      <c r="I258" s="7" t="n">
        <f aca="false">YEAR(B258)</f>
        <v>2015</v>
      </c>
      <c r="J258" s="0" t="str">
        <f aca="false">I258&amp;"-Q"&amp;ROUNDUP(MONTH(B258)/3,0)</f>
        <v>2015-Q4</v>
      </c>
    </row>
    <row r="259" customFormat="false" ht="15" hidden="false" customHeight="false" outlineLevel="0" collapsed="false">
      <c r="A259" s="0" t="s">
        <v>183</v>
      </c>
      <c r="B259" s="6" t="n">
        <v>42336</v>
      </c>
      <c r="C259" s="7" t="s">
        <v>45</v>
      </c>
      <c r="D259" s="7" t="s">
        <v>64</v>
      </c>
      <c r="E259" s="7" t="s">
        <v>39</v>
      </c>
      <c r="F259" s="0" t="n">
        <v>647.904</v>
      </c>
      <c r="G259" s="0" t="n">
        <v>56.6916</v>
      </c>
      <c r="H259" s="0" t="n">
        <v>0.2</v>
      </c>
      <c r="I259" s="7" t="n">
        <f aca="false">YEAR(B259)</f>
        <v>2015</v>
      </c>
      <c r="J259" s="0" t="str">
        <f aca="false">I259&amp;"-Q"&amp;ROUNDUP(MONTH(B259)/3,0)</f>
        <v>2015-Q4</v>
      </c>
    </row>
    <row r="260" customFormat="false" ht="15" hidden="false" customHeight="false" outlineLevel="0" collapsed="false">
      <c r="A260" s="0" t="s">
        <v>184</v>
      </c>
      <c r="B260" s="6" t="n">
        <v>43070</v>
      </c>
      <c r="C260" s="7" t="s">
        <v>55</v>
      </c>
      <c r="D260" s="7" t="s">
        <v>76</v>
      </c>
      <c r="E260" s="7" t="s">
        <v>39</v>
      </c>
      <c r="F260" s="0" t="n">
        <v>20.37</v>
      </c>
      <c r="G260" s="0" t="n">
        <v>6.9258</v>
      </c>
      <c r="H260" s="0" t="n">
        <v>0</v>
      </c>
      <c r="I260" s="7" t="n">
        <f aca="false">YEAR(B260)</f>
        <v>2017</v>
      </c>
      <c r="J260" s="0" t="str">
        <f aca="false">I260&amp;"-Q"&amp;ROUNDUP(MONTH(B260)/3,0)</f>
        <v>2017-Q4</v>
      </c>
    </row>
    <row r="261" customFormat="false" ht="15" hidden="false" customHeight="false" outlineLevel="0" collapsed="false">
      <c r="A261" s="0" t="s">
        <v>184</v>
      </c>
      <c r="B261" s="6" t="n">
        <v>43070</v>
      </c>
      <c r="C261" s="7" t="s">
        <v>55</v>
      </c>
      <c r="D261" s="7" t="s">
        <v>76</v>
      </c>
      <c r="E261" s="7" t="s">
        <v>35</v>
      </c>
      <c r="F261" s="0" t="n">
        <v>221.55</v>
      </c>
      <c r="G261" s="0" t="n">
        <v>6.6465</v>
      </c>
      <c r="H261" s="0" t="n">
        <v>0</v>
      </c>
      <c r="I261" s="7" t="n">
        <f aca="false">YEAR(B261)</f>
        <v>2017</v>
      </c>
      <c r="J261" s="0" t="str">
        <f aca="false">I261&amp;"-Q"&amp;ROUNDUP(MONTH(B261)/3,0)</f>
        <v>2017-Q4</v>
      </c>
    </row>
    <row r="262" customFormat="false" ht="15" hidden="false" customHeight="false" outlineLevel="0" collapsed="false">
      <c r="A262" s="0" t="s">
        <v>184</v>
      </c>
      <c r="B262" s="6" t="n">
        <v>43070</v>
      </c>
      <c r="C262" s="7" t="s">
        <v>55</v>
      </c>
      <c r="D262" s="7" t="s">
        <v>76</v>
      </c>
      <c r="E262" s="7" t="s">
        <v>35</v>
      </c>
      <c r="F262" s="0" t="n">
        <v>17.52</v>
      </c>
      <c r="G262" s="0" t="n">
        <v>6.132</v>
      </c>
      <c r="H262" s="0" t="n">
        <v>0.2</v>
      </c>
      <c r="I262" s="7" t="n">
        <f aca="false">YEAR(B262)</f>
        <v>2017</v>
      </c>
      <c r="J262" s="0" t="str">
        <f aca="false">I262&amp;"-Q"&amp;ROUNDUP(MONTH(B262)/3,0)</f>
        <v>2017-Q4</v>
      </c>
    </row>
    <row r="263" customFormat="false" ht="15" hidden="false" customHeight="false" outlineLevel="0" collapsed="false">
      <c r="A263" s="0" t="s">
        <v>185</v>
      </c>
      <c r="B263" s="6" t="n">
        <v>42894</v>
      </c>
      <c r="C263" s="7" t="s">
        <v>45</v>
      </c>
      <c r="D263" s="7" t="s">
        <v>46</v>
      </c>
      <c r="E263" s="7" t="s">
        <v>35</v>
      </c>
      <c r="F263" s="0" t="n">
        <v>1.624</v>
      </c>
      <c r="G263" s="0" t="n">
        <v>-4.466</v>
      </c>
      <c r="H263" s="0" t="n">
        <v>0.8</v>
      </c>
      <c r="I263" s="7" t="n">
        <f aca="false">YEAR(B263)</f>
        <v>2017</v>
      </c>
      <c r="J263" s="0" t="str">
        <f aca="false">I263&amp;"-Q"&amp;ROUNDUP(MONTH(B263)/3,0)</f>
        <v>2017-Q2</v>
      </c>
    </row>
    <row r="264" customFormat="false" ht="15" hidden="false" customHeight="false" outlineLevel="0" collapsed="false">
      <c r="A264" s="0" t="s">
        <v>186</v>
      </c>
      <c r="B264" s="6" t="n">
        <v>41901</v>
      </c>
      <c r="C264" s="7" t="s">
        <v>45</v>
      </c>
      <c r="D264" s="7" t="s">
        <v>46</v>
      </c>
      <c r="E264" s="7" t="s">
        <v>39</v>
      </c>
      <c r="F264" s="0" t="n">
        <v>3059.982</v>
      </c>
      <c r="G264" s="0" t="n">
        <v>-509.997</v>
      </c>
      <c r="H264" s="0" t="n">
        <v>0.4</v>
      </c>
      <c r="I264" s="7" t="n">
        <f aca="false">YEAR(B264)</f>
        <v>2014</v>
      </c>
      <c r="J264" s="0" t="str">
        <f aca="false">I264&amp;"-Q"&amp;ROUNDUP(MONTH(B264)/3,0)</f>
        <v>2014-Q3</v>
      </c>
    </row>
    <row r="265" customFormat="false" ht="15" hidden="false" customHeight="false" outlineLevel="0" collapsed="false">
      <c r="A265" s="0" t="s">
        <v>186</v>
      </c>
      <c r="B265" s="6" t="n">
        <v>41901</v>
      </c>
      <c r="C265" s="7" t="s">
        <v>45</v>
      </c>
      <c r="D265" s="7" t="s">
        <v>46</v>
      </c>
      <c r="E265" s="7" t="s">
        <v>39</v>
      </c>
      <c r="F265" s="0" t="n">
        <v>2519.958</v>
      </c>
      <c r="G265" s="0" t="n">
        <v>-251.9958</v>
      </c>
      <c r="H265" s="0" t="n">
        <v>0.4</v>
      </c>
      <c r="I265" s="7" t="n">
        <f aca="false">YEAR(B265)</f>
        <v>2014</v>
      </c>
      <c r="J265" s="0" t="str">
        <f aca="false">I265&amp;"-Q"&amp;ROUNDUP(MONTH(B265)/3,0)</f>
        <v>2014-Q3</v>
      </c>
    </row>
    <row r="266" customFormat="false" ht="15" hidden="false" customHeight="false" outlineLevel="0" collapsed="false">
      <c r="A266" s="0" t="s">
        <v>187</v>
      </c>
      <c r="B266" s="6" t="n">
        <v>42527</v>
      </c>
      <c r="C266" s="7" t="s">
        <v>45</v>
      </c>
      <c r="D266" s="7" t="s">
        <v>64</v>
      </c>
      <c r="E266" s="7" t="s">
        <v>39</v>
      </c>
      <c r="F266" s="0" t="n">
        <v>328.224</v>
      </c>
      <c r="G266" s="0" t="n">
        <v>28.7196</v>
      </c>
      <c r="H266" s="0" t="n">
        <v>0.2</v>
      </c>
      <c r="I266" s="7" t="n">
        <f aca="false">YEAR(B266)</f>
        <v>2016</v>
      </c>
      <c r="J266" s="0" t="str">
        <f aca="false">I266&amp;"-Q"&amp;ROUNDUP(MONTH(B266)/3,0)</f>
        <v>2016-Q2</v>
      </c>
    </row>
    <row r="267" customFormat="false" ht="15" hidden="false" customHeight="false" outlineLevel="0" collapsed="false">
      <c r="A267" s="0" t="s">
        <v>188</v>
      </c>
      <c r="B267" s="6" t="n">
        <v>42318</v>
      </c>
      <c r="C267" s="7" t="s">
        <v>33</v>
      </c>
      <c r="D267" s="7" t="s">
        <v>34</v>
      </c>
      <c r="E267" s="7" t="s">
        <v>39</v>
      </c>
      <c r="F267" s="0" t="n">
        <v>79.9</v>
      </c>
      <c r="G267" s="0" t="n">
        <v>35.156</v>
      </c>
      <c r="H267" s="0" t="n">
        <v>0</v>
      </c>
      <c r="I267" s="7" t="n">
        <f aca="false">YEAR(B267)</f>
        <v>2015</v>
      </c>
      <c r="J267" s="0" t="str">
        <f aca="false">I267&amp;"-Q"&amp;ROUNDUP(MONTH(B267)/3,0)</f>
        <v>2015-Q4</v>
      </c>
    </row>
    <row r="268" customFormat="false" ht="15" hidden="false" customHeight="false" outlineLevel="0" collapsed="false">
      <c r="A268" s="0" t="s">
        <v>189</v>
      </c>
      <c r="B268" s="6" t="n">
        <v>42902</v>
      </c>
      <c r="C268" s="7" t="s">
        <v>29</v>
      </c>
      <c r="D268" s="7" t="s">
        <v>41</v>
      </c>
      <c r="E268" s="7" t="s">
        <v>35</v>
      </c>
      <c r="F268" s="0" t="n">
        <v>14.016</v>
      </c>
      <c r="G268" s="0" t="n">
        <v>4.7304</v>
      </c>
      <c r="H268" s="0" t="n">
        <v>0.2</v>
      </c>
      <c r="I268" s="7" t="n">
        <f aca="false">YEAR(B268)</f>
        <v>2017</v>
      </c>
      <c r="J268" s="0" t="str">
        <f aca="false">I268&amp;"-Q"&amp;ROUNDUP(MONTH(B268)/3,0)</f>
        <v>2017-Q2</v>
      </c>
    </row>
    <row r="269" customFormat="false" ht="15" hidden="false" customHeight="false" outlineLevel="0" collapsed="false">
      <c r="A269" s="0" t="s">
        <v>190</v>
      </c>
      <c r="B269" s="6" t="n">
        <v>42391</v>
      </c>
      <c r="C269" s="7" t="s">
        <v>55</v>
      </c>
      <c r="D269" s="7" t="s">
        <v>161</v>
      </c>
      <c r="E269" s="7" t="s">
        <v>35</v>
      </c>
      <c r="F269" s="0" t="n">
        <v>7.56</v>
      </c>
      <c r="G269" s="0" t="n">
        <v>0.3024</v>
      </c>
      <c r="H269" s="0" t="n">
        <v>0</v>
      </c>
      <c r="I269" s="7" t="n">
        <f aca="false">YEAR(B269)</f>
        <v>2016</v>
      </c>
      <c r="J269" s="0" t="str">
        <f aca="false">I269&amp;"-Q"&amp;ROUNDUP(MONTH(B269)/3,0)</f>
        <v>2016-Q1</v>
      </c>
    </row>
    <row r="270" customFormat="false" ht="15" hidden="false" customHeight="false" outlineLevel="0" collapsed="false">
      <c r="A270" s="0" t="s">
        <v>191</v>
      </c>
      <c r="B270" s="6" t="n">
        <v>43078</v>
      </c>
      <c r="C270" s="7" t="s">
        <v>55</v>
      </c>
      <c r="D270" s="7" t="s">
        <v>116</v>
      </c>
      <c r="E270" s="7" t="s">
        <v>35</v>
      </c>
      <c r="F270" s="0" t="n">
        <v>37.208</v>
      </c>
      <c r="G270" s="0" t="n">
        <v>-7.4416</v>
      </c>
      <c r="H270" s="0" t="n">
        <v>0.2</v>
      </c>
      <c r="I270" s="7" t="n">
        <f aca="false">YEAR(B270)</f>
        <v>2017</v>
      </c>
      <c r="J270" s="0" t="str">
        <f aca="false">I270&amp;"-Q"&amp;ROUNDUP(MONTH(B270)/3,0)</f>
        <v>2017-Q4</v>
      </c>
    </row>
    <row r="271" customFormat="false" ht="15" hidden="false" customHeight="false" outlineLevel="0" collapsed="false">
      <c r="A271" s="0" t="s">
        <v>191</v>
      </c>
      <c r="B271" s="6" t="n">
        <v>43078</v>
      </c>
      <c r="C271" s="7" t="s">
        <v>55</v>
      </c>
      <c r="D271" s="7" t="s">
        <v>116</v>
      </c>
      <c r="E271" s="7" t="s">
        <v>35</v>
      </c>
      <c r="F271" s="0" t="n">
        <v>57.576</v>
      </c>
      <c r="G271" s="0" t="n">
        <v>21.591</v>
      </c>
      <c r="H271" s="0" t="n">
        <v>0.2</v>
      </c>
      <c r="I271" s="7" t="n">
        <f aca="false">YEAR(B271)</f>
        <v>2017</v>
      </c>
      <c r="J271" s="0" t="str">
        <f aca="false">I271&amp;"-Q"&amp;ROUNDUP(MONTH(B271)/3,0)</f>
        <v>2017-Q4</v>
      </c>
    </row>
    <row r="272" customFormat="false" ht="15" hidden="false" customHeight="false" outlineLevel="0" collapsed="false">
      <c r="A272" s="0" t="s">
        <v>192</v>
      </c>
      <c r="B272" s="6" t="n">
        <v>43097</v>
      </c>
      <c r="C272" s="7" t="s">
        <v>33</v>
      </c>
      <c r="D272" s="7" t="s">
        <v>34</v>
      </c>
      <c r="E272" s="7" t="s">
        <v>35</v>
      </c>
      <c r="F272" s="0" t="n">
        <v>725.84</v>
      </c>
      <c r="G272" s="0" t="n">
        <v>210.4936</v>
      </c>
      <c r="H272" s="0" t="n">
        <v>0</v>
      </c>
      <c r="I272" s="7" t="n">
        <f aca="false">YEAR(B272)</f>
        <v>2017</v>
      </c>
      <c r="J272" s="0" t="str">
        <f aca="false">I272&amp;"-Q"&amp;ROUNDUP(MONTH(B272)/3,0)</f>
        <v>2017-Q4</v>
      </c>
    </row>
    <row r="273" customFormat="false" ht="15" hidden="false" customHeight="false" outlineLevel="0" collapsed="false">
      <c r="A273" s="0" t="s">
        <v>193</v>
      </c>
      <c r="B273" s="6" t="n">
        <v>42215</v>
      </c>
      <c r="C273" s="7" t="s">
        <v>33</v>
      </c>
      <c r="D273" s="7" t="s">
        <v>34</v>
      </c>
      <c r="E273" s="7" t="s">
        <v>39</v>
      </c>
      <c r="F273" s="0" t="n">
        <v>209.93</v>
      </c>
      <c r="G273" s="0" t="n">
        <v>92.3692</v>
      </c>
      <c r="H273" s="0" t="n">
        <v>0</v>
      </c>
      <c r="I273" s="7" t="n">
        <f aca="false">YEAR(B273)</f>
        <v>2015</v>
      </c>
      <c r="J273" s="0" t="str">
        <f aca="false">I273&amp;"-Q"&amp;ROUNDUP(MONTH(B273)/3,0)</f>
        <v>2015-Q3</v>
      </c>
    </row>
    <row r="274" customFormat="false" ht="15" hidden="false" customHeight="false" outlineLevel="0" collapsed="false">
      <c r="A274" s="0" t="s">
        <v>193</v>
      </c>
      <c r="B274" s="6" t="n">
        <v>42215</v>
      </c>
      <c r="C274" s="7" t="s">
        <v>33</v>
      </c>
      <c r="D274" s="7" t="s">
        <v>34</v>
      </c>
      <c r="E274" s="7" t="s">
        <v>31</v>
      </c>
      <c r="F274" s="0" t="n">
        <v>5.28</v>
      </c>
      <c r="G274" s="0" t="n">
        <v>2.3232</v>
      </c>
      <c r="H274" s="0" t="n">
        <v>0</v>
      </c>
      <c r="I274" s="7" t="n">
        <f aca="false">YEAR(B274)</f>
        <v>2015</v>
      </c>
      <c r="J274" s="0" t="str">
        <f aca="false">I274&amp;"-Q"&amp;ROUNDUP(MONTH(B274)/3,0)</f>
        <v>2015-Q3</v>
      </c>
    </row>
    <row r="275" customFormat="false" ht="15" hidden="false" customHeight="false" outlineLevel="0" collapsed="false">
      <c r="A275" s="0" t="s">
        <v>193</v>
      </c>
      <c r="B275" s="6" t="n">
        <v>42215</v>
      </c>
      <c r="C275" s="7" t="s">
        <v>33</v>
      </c>
      <c r="D275" s="7" t="s">
        <v>34</v>
      </c>
      <c r="E275" s="7" t="s">
        <v>35</v>
      </c>
      <c r="F275" s="0" t="n">
        <v>10.92</v>
      </c>
      <c r="G275" s="0" t="n">
        <v>4.095</v>
      </c>
      <c r="H275" s="0" t="n">
        <v>0.2</v>
      </c>
      <c r="I275" s="7" t="n">
        <f aca="false">YEAR(B275)</f>
        <v>2015</v>
      </c>
      <c r="J275" s="0" t="str">
        <f aca="false">I275&amp;"-Q"&amp;ROUNDUP(MONTH(B275)/3,0)</f>
        <v>2015-Q3</v>
      </c>
    </row>
    <row r="276" customFormat="false" ht="15" hidden="false" customHeight="false" outlineLevel="0" collapsed="false">
      <c r="A276" s="0" t="s">
        <v>194</v>
      </c>
      <c r="B276" s="6" t="n">
        <v>42994</v>
      </c>
      <c r="C276" s="7" t="s">
        <v>33</v>
      </c>
      <c r="D276" s="7" t="s">
        <v>34</v>
      </c>
      <c r="E276" s="7" t="s">
        <v>35</v>
      </c>
      <c r="F276" s="0" t="n">
        <v>8.82</v>
      </c>
      <c r="G276" s="0" t="n">
        <v>4.0572</v>
      </c>
      <c r="H276" s="0" t="n">
        <v>0</v>
      </c>
      <c r="I276" s="7" t="n">
        <f aca="false">YEAR(B276)</f>
        <v>2017</v>
      </c>
      <c r="J276" s="0" t="str">
        <f aca="false">I276&amp;"-Q"&amp;ROUNDUP(MONTH(B276)/3,0)</f>
        <v>2017-Q3</v>
      </c>
    </row>
    <row r="277" customFormat="false" ht="15" hidden="false" customHeight="false" outlineLevel="0" collapsed="false">
      <c r="A277" s="0" t="s">
        <v>194</v>
      </c>
      <c r="B277" s="6" t="n">
        <v>42994</v>
      </c>
      <c r="C277" s="7" t="s">
        <v>33</v>
      </c>
      <c r="D277" s="7" t="s">
        <v>34</v>
      </c>
      <c r="E277" s="7" t="s">
        <v>35</v>
      </c>
      <c r="F277" s="0" t="n">
        <v>5.98</v>
      </c>
      <c r="G277" s="0" t="n">
        <v>1.5548</v>
      </c>
      <c r="H277" s="0" t="n">
        <v>0</v>
      </c>
      <c r="I277" s="7" t="n">
        <f aca="false">YEAR(B277)</f>
        <v>2017</v>
      </c>
      <c r="J277" s="0" t="str">
        <f aca="false">I277&amp;"-Q"&amp;ROUNDUP(MONTH(B277)/3,0)</f>
        <v>2017-Q3</v>
      </c>
    </row>
    <row r="278" customFormat="false" ht="15" hidden="false" customHeight="false" outlineLevel="0" collapsed="false">
      <c r="A278" s="0" t="s">
        <v>195</v>
      </c>
      <c r="B278" s="6" t="n">
        <v>43021</v>
      </c>
      <c r="C278" s="7" t="s">
        <v>55</v>
      </c>
      <c r="D278" s="7" t="s">
        <v>56</v>
      </c>
      <c r="E278" s="7" t="s">
        <v>35</v>
      </c>
      <c r="F278" s="0" t="n">
        <v>11.648</v>
      </c>
      <c r="G278" s="0" t="n">
        <v>4.0768</v>
      </c>
      <c r="H278" s="0" t="n">
        <v>0.2</v>
      </c>
      <c r="I278" s="7" t="n">
        <f aca="false">YEAR(B278)</f>
        <v>2017</v>
      </c>
      <c r="J278" s="0" t="str">
        <f aca="false">I278&amp;"-Q"&amp;ROUNDUP(MONTH(B278)/3,0)</f>
        <v>2017-Q4</v>
      </c>
    </row>
    <row r="279" customFormat="false" ht="15" hidden="false" customHeight="false" outlineLevel="0" collapsed="false">
      <c r="A279" s="0" t="s">
        <v>195</v>
      </c>
      <c r="B279" s="6" t="n">
        <v>43021</v>
      </c>
      <c r="C279" s="7" t="s">
        <v>55</v>
      </c>
      <c r="D279" s="7" t="s">
        <v>56</v>
      </c>
      <c r="E279" s="7" t="s">
        <v>35</v>
      </c>
      <c r="F279" s="0" t="n">
        <v>18.176</v>
      </c>
      <c r="G279" s="0" t="n">
        <v>5.9072</v>
      </c>
      <c r="H279" s="0" t="n">
        <v>0.2</v>
      </c>
      <c r="I279" s="7" t="n">
        <f aca="false">YEAR(B279)</f>
        <v>2017</v>
      </c>
      <c r="J279" s="0" t="str">
        <f aca="false">I279&amp;"-Q"&amp;ROUNDUP(MONTH(B279)/3,0)</f>
        <v>2017-Q4</v>
      </c>
    </row>
    <row r="280" customFormat="false" ht="15" hidden="false" customHeight="false" outlineLevel="0" collapsed="false">
      <c r="A280" s="0" t="s">
        <v>195</v>
      </c>
      <c r="B280" s="6" t="n">
        <v>43021</v>
      </c>
      <c r="C280" s="7" t="s">
        <v>55</v>
      </c>
      <c r="D280" s="7" t="s">
        <v>56</v>
      </c>
      <c r="E280" s="7" t="s">
        <v>35</v>
      </c>
      <c r="F280" s="0" t="n">
        <v>59.712</v>
      </c>
      <c r="G280" s="0" t="n">
        <v>5.9712</v>
      </c>
      <c r="H280" s="0" t="n">
        <v>0.2</v>
      </c>
      <c r="I280" s="7" t="n">
        <f aca="false">YEAR(B280)</f>
        <v>2017</v>
      </c>
      <c r="J280" s="0" t="str">
        <f aca="false">I280&amp;"-Q"&amp;ROUNDUP(MONTH(B280)/3,0)</f>
        <v>2017-Q4</v>
      </c>
    </row>
    <row r="281" customFormat="false" ht="15" hidden="false" customHeight="false" outlineLevel="0" collapsed="false">
      <c r="A281" s="0" t="s">
        <v>195</v>
      </c>
      <c r="B281" s="6" t="n">
        <v>43021</v>
      </c>
      <c r="C281" s="7" t="s">
        <v>55</v>
      </c>
      <c r="D281" s="7" t="s">
        <v>56</v>
      </c>
      <c r="E281" s="7" t="s">
        <v>35</v>
      </c>
      <c r="F281" s="0" t="n">
        <v>24.84</v>
      </c>
      <c r="G281" s="0" t="n">
        <v>8.694</v>
      </c>
      <c r="H281" s="0" t="n">
        <v>0.2</v>
      </c>
      <c r="I281" s="7" t="n">
        <f aca="false">YEAR(B281)</f>
        <v>2017</v>
      </c>
      <c r="J281" s="0" t="str">
        <f aca="false">I281&amp;"-Q"&amp;ROUNDUP(MONTH(B281)/3,0)</f>
        <v>2017-Q4</v>
      </c>
    </row>
    <row r="282" customFormat="false" ht="15" hidden="false" customHeight="false" outlineLevel="0" collapsed="false">
      <c r="A282" s="0" t="s">
        <v>196</v>
      </c>
      <c r="B282" s="6" t="n">
        <v>42273</v>
      </c>
      <c r="C282" s="7" t="s">
        <v>45</v>
      </c>
      <c r="D282" s="7" t="s">
        <v>46</v>
      </c>
      <c r="E282" s="7" t="s">
        <v>35</v>
      </c>
      <c r="F282" s="0" t="n">
        <v>2.08</v>
      </c>
      <c r="G282" s="0" t="n">
        <v>-3.432</v>
      </c>
      <c r="H282" s="0" t="n">
        <v>0.8</v>
      </c>
      <c r="I282" s="7" t="n">
        <f aca="false">YEAR(B282)</f>
        <v>2015</v>
      </c>
      <c r="J282" s="0" t="str">
        <f aca="false">I282&amp;"-Q"&amp;ROUNDUP(MONTH(B282)/3,0)</f>
        <v>2015-Q3</v>
      </c>
    </row>
    <row r="283" customFormat="false" ht="15" hidden="false" customHeight="false" outlineLevel="0" collapsed="false">
      <c r="A283" s="0" t="s">
        <v>196</v>
      </c>
      <c r="B283" s="6" t="n">
        <v>42273</v>
      </c>
      <c r="C283" s="7" t="s">
        <v>45</v>
      </c>
      <c r="D283" s="7" t="s">
        <v>46</v>
      </c>
      <c r="E283" s="7" t="s">
        <v>39</v>
      </c>
      <c r="F283" s="0" t="n">
        <v>1114.4</v>
      </c>
      <c r="G283" s="0" t="n">
        <v>376.11</v>
      </c>
      <c r="H283" s="0" t="n">
        <v>0.2</v>
      </c>
      <c r="I283" s="7" t="n">
        <f aca="false">YEAR(B283)</f>
        <v>2015</v>
      </c>
      <c r="J283" s="0" t="str">
        <f aca="false">I283&amp;"-Q"&amp;ROUNDUP(MONTH(B283)/3,0)</f>
        <v>2015-Q3</v>
      </c>
    </row>
    <row r="284" customFormat="false" ht="15" hidden="false" customHeight="false" outlineLevel="0" collapsed="false">
      <c r="A284" s="0" t="s">
        <v>197</v>
      </c>
      <c r="B284" s="6" t="n">
        <v>42310</v>
      </c>
      <c r="C284" s="7" t="s">
        <v>33</v>
      </c>
      <c r="D284" s="7" t="s">
        <v>34</v>
      </c>
      <c r="E284" s="7" t="s">
        <v>31</v>
      </c>
      <c r="F284" s="0" t="n">
        <v>1038.84</v>
      </c>
      <c r="G284" s="0" t="n">
        <v>51.942</v>
      </c>
      <c r="H284" s="0" t="n">
        <v>0.2</v>
      </c>
      <c r="I284" s="7" t="n">
        <f aca="false">YEAR(B284)</f>
        <v>2015</v>
      </c>
      <c r="J284" s="0" t="str">
        <f aca="false">I284&amp;"-Q"&amp;ROUNDUP(MONTH(B284)/3,0)</f>
        <v>2015-Q4</v>
      </c>
    </row>
    <row r="285" customFormat="false" ht="15" hidden="false" customHeight="false" outlineLevel="0" collapsed="false">
      <c r="A285" s="0" t="s">
        <v>198</v>
      </c>
      <c r="B285" s="6" t="n">
        <v>42273</v>
      </c>
      <c r="C285" s="7" t="s">
        <v>33</v>
      </c>
      <c r="D285" s="7" t="s">
        <v>102</v>
      </c>
      <c r="E285" s="7" t="s">
        <v>35</v>
      </c>
      <c r="F285" s="0" t="n">
        <v>141.76</v>
      </c>
      <c r="G285" s="0" t="n">
        <v>47.844</v>
      </c>
      <c r="H285" s="0" t="n">
        <v>0.2</v>
      </c>
      <c r="I285" s="7" t="n">
        <f aca="false">YEAR(B285)</f>
        <v>2015</v>
      </c>
      <c r="J285" s="0" t="str">
        <f aca="false">I285&amp;"-Q"&amp;ROUNDUP(MONTH(B285)/3,0)</f>
        <v>2015-Q3</v>
      </c>
    </row>
    <row r="286" customFormat="false" ht="15" hidden="false" customHeight="false" outlineLevel="0" collapsed="false">
      <c r="A286" s="0" t="s">
        <v>198</v>
      </c>
      <c r="B286" s="6" t="n">
        <v>42273</v>
      </c>
      <c r="C286" s="7" t="s">
        <v>33</v>
      </c>
      <c r="D286" s="7" t="s">
        <v>102</v>
      </c>
      <c r="E286" s="7" t="s">
        <v>39</v>
      </c>
      <c r="F286" s="0" t="n">
        <v>239.8</v>
      </c>
      <c r="G286" s="0" t="n">
        <v>47.96</v>
      </c>
      <c r="H286" s="0" t="n">
        <v>0.2</v>
      </c>
      <c r="I286" s="7" t="n">
        <f aca="false">YEAR(B286)</f>
        <v>2015</v>
      </c>
      <c r="J286" s="0" t="str">
        <f aca="false">I286&amp;"-Q"&amp;ROUNDUP(MONTH(B286)/3,0)</f>
        <v>2015-Q3</v>
      </c>
    </row>
    <row r="287" customFormat="false" ht="15" hidden="false" customHeight="false" outlineLevel="0" collapsed="false">
      <c r="A287" s="0" t="s">
        <v>198</v>
      </c>
      <c r="B287" s="6" t="n">
        <v>42273</v>
      </c>
      <c r="C287" s="7" t="s">
        <v>33</v>
      </c>
      <c r="D287" s="7" t="s">
        <v>102</v>
      </c>
      <c r="E287" s="7" t="s">
        <v>35</v>
      </c>
      <c r="F287" s="0" t="n">
        <v>31.104</v>
      </c>
      <c r="G287" s="0" t="n">
        <v>10.8864</v>
      </c>
      <c r="H287" s="0" t="n">
        <v>0.2</v>
      </c>
      <c r="I287" s="7" t="n">
        <f aca="false">YEAR(B287)</f>
        <v>2015</v>
      </c>
      <c r="J287" s="0" t="str">
        <f aca="false">I287&amp;"-Q"&amp;ROUNDUP(MONTH(B287)/3,0)</f>
        <v>2015-Q3</v>
      </c>
    </row>
    <row r="288" customFormat="false" ht="15" hidden="false" customHeight="false" outlineLevel="0" collapsed="false">
      <c r="A288" s="0" t="s">
        <v>199</v>
      </c>
      <c r="B288" s="6" t="n">
        <v>42722</v>
      </c>
      <c r="C288" s="7" t="s">
        <v>29</v>
      </c>
      <c r="D288" s="7" t="s">
        <v>37</v>
      </c>
      <c r="E288" s="7" t="s">
        <v>35</v>
      </c>
      <c r="F288" s="0" t="n">
        <v>254.058</v>
      </c>
      <c r="G288" s="0" t="n">
        <v>-169.372</v>
      </c>
      <c r="H288" s="0" t="n">
        <v>0.7</v>
      </c>
      <c r="I288" s="7" t="n">
        <f aca="false">YEAR(B288)</f>
        <v>2016</v>
      </c>
      <c r="J288" s="0" t="str">
        <f aca="false">I288&amp;"-Q"&amp;ROUNDUP(MONTH(B288)/3,0)</f>
        <v>2016-Q4</v>
      </c>
    </row>
    <row r="289" customFormat="false" ht="15" hidden="false" customHeight="false" outlineLevel="0" collapsed="false">
      <c r="A289" s="0" t="s">
        <v>199</v>
      </c>
      <c r="B289" s="6" t="n">
        <v>42722</v>
      </c>
      <c r="C289" s="7" t="s">
        <v>29</v>
      </c>
      <c r="D289" s="7" t="s">
        <v>37</v>
      </c>
      <c r="E289" s="7" t="s">
        <v>35</v>
      </c>
      <c r="F289" s="0" t="n">
        <v>194.528</v>
      </c>
      <c r="G289" s="0" t="n">
        <v>24.316</v>
      </c>
      <c r="H289" s="0" t="n">
        <v>0.2</v>
      </c>
      <c r="I289" s="7" t="n">
        <f aca="false">YEAR(B289)</f>
        <v>2016</v>
      </c>
      <c r="J289" s="0" t="str">
        <f aca="false">I289&amp;"-Q"&amp;ROUNDUP(MONTH(B289)/3,0)</f>
        <v>2016-Q4</v>
      </c>
    </row>
    <row r="290" customFormat="false" ht="15" hidden="false" customHeight="false" outlineLevel="0" collapsed="false">
      <c r="A290" s="0" t="s">
        <v>199</v>
      </c>
      <c r="B290" s="6" t="n">
        <v>42722</v>
      </c>
      <c r="C290" s="7" t="s">
        <v>29</v>
      </c>
      <c r="D290" s="7" t="s">
        <v>37</v>
      </c>
      <c r="E290" s="7" t="s">
        <v>35</v>
      </c>
      <c r="F290" s="0" t="n">
        <v>961.48</v>
      </c>
      <c r="G290" s="0" t="n">
        <v>-204.3145</v>
      </c>
      <c r="H290" s="0" t="n">
        <v>0.2</v>
      </c>
      <c r="I290" s="7" t="n">
        <f aca="false">YEAR(B290)</f>
        <v>2016</v>
      </c>
      <c r="J290" s="0" t="str">
        <f aca="false">I290&amp;"-Q"&amp;ROUNDUP(MONTH(B290)/3,0)</f>
        <v>2016-Q4</v>
      </c>
    </row>
    <row r="291" customFormat="false" ht="15" hidden="false" customHeight="false" outlineLevel="0" collapsed="false">
      <c r="A291" s="0" t="s">
        <v>200</v>
      </c>
      <c r="B291" s="6" t="n">
        <v>42694</v>
      </c>
      <c r="C291" s="7" t="s">
        <v>55</v>
      </c>
      <c r="D291" s="7" t="s">
        <v>116</v>
      </c>
      <c r="E291" s="7" t="s">
        <v>35</v>
      </c>
      <c r="F291" s="0" t="n">
        <v>19.096</v>
      </c>
      <c r="G291" s="0" t="n">
        <v>6.6836</v>
      </c>
      <c r="H291" s="0" t="n">
        <v>0.2</v>
      </c>
      <c r="I291" s="7" t="n">
        <f aca="false">YEAR(B291)</f>
        <v>2016</v>
      </c>
      <c r="J291" s="0" t="str">
        <f aca="false">I291&amp;"-Q"&amp;ROUNDUP(MONTH(B291)/3,0)</f>
        <v>2016-Q4</v>
      </c>
    </row>
    <row r="292" customFormat="false" ht="15" hidden="false" customHeight="false" outlineLevel="0" collapsed="false">
      <c r="A292" s="0" t="s">
        <v>200</v>
      </c>
      <c r="B292" s="6" t="n">
        <v>42694</v>
      </c>
      <c r="C292" s="7" t="s">
        <v>55</v>
      </c>
      <c r="D292" s="7" t="s">
        <v>116</v>
      </c>
      <c r="E292" s="7" t="s">
        <v>35</v>
      </c>
      <c r="F292" s="0" t="n">
        <v>18.496</v>
      </c>
      <c r="G292" s="0" t="n">
        <v>6.2424</v>
      </c>
      <c r="H292" s="0" t="n">
        <v>0.2</v>
      </c>
      <c r="I292" s="7" t="n">
        <f aca="false">YEAR(B292)</f>
        <v>2016</v>
      </c>
      <c r="J292" s="0" t="str">
        <f aca="false">I292&amp;"-Q"&amp;ROUNDUP(MONTH(B292)/3,0)</f>
        <v>2016-Q4</v>
      </c>
    </row>
    <row r="293" customFormat="false" ht="15" hidden="false" customHeight="false" outlineLevel="0" collapsed="false">
      <c r="A293" s="0" t="s">
        <v>200</v>
      </c>
      <c r="B293" s="6" t="n">
        <v>42694</v>
      </c>
      <c r="C293" s="7" t="s">
        <v>55</v>
      </c>
      <c r="D293" s="7" t="s">
        <v>116</v>
      </c>
      <c r="E293" s="7" t="s">
        <v>39</v>
      </c>
      <c r="F293" s="0" t="n">
        <v>255.984</v>
      </c>
      <c r="G293" s="0" t="n">
        <v>54.3966</v>
      </c>
      <c r="H293" s="0" t="n">
        <v>0.2</v>
      </c>
      <c r="I293" s="7" t="n">
        <f aca="false">YEAR(B293)</f>
        <v>2016</v>
      </c>
      <c r="J293" s="0" t="str">
        <f aca="false">I293&amp;"-Q"&amp;ROUNDUP(MONTH(B293)/3,0)</f>
        <v>2016-Q4</v>
      </c>
    </row>
    <row r="294" customFormat="false" ht="15" hidden="false" customHeight="false" outlineLevel="0" collapsed="false">
      <c r="A294" s="0" t="s">
        <v>200</v>
      </c>
      <c r="B294" s="6" t="n">
        <v>42694</v>
      </c>
      <c r="C294" s="7" t="s">
        <v>55</v>
      </c>
      <c r="D294" s="7" t="s">
        <v>116</v>
      </c>
      <c r="E294" s="7" t="s">
        <v>31</v>
      </c>
      <c r="F294" s="0" t="n">
        <v>86.97</v>
      </c>
      <c r="G294" s="0" t="n">
        <v>-48.7032</v>
      </c>
      <c r="H294" s="0" t="n">
        <v>0.5</v>
      </c>
      <c r="I294" s="7" t="n">
        <f aca="false">YEAR(B294)</f>
        <v>2016</v>
      </c>
      <c r="J294" s="0" t="str">
        <f aca="false">I294&amp;"-Q"&amp;ROUNDUP(MONTH(B294)/3,0)</f>
        <v>2016-Q4</v>
      </c>
    </row>
    <row r="295" customFormat="false" ht="15" hidden="false" customHeight="false" outlineLevel="0" collapsed="false">
      <c r="A295" s="0" t="s">
        <v>201</v>
      </c>
      <c r="B295" s="6" t="n">
        <v>41999</v>
      </c>
      <c r="C295" s="7" t="s">
        <v>33</v>
      </c>
      <c r="D295" s="7" t="s">
        <v>109</v>
      </c>
      <c r="E295" s="7" t="s">
        <v>31</v>
      </c>
      <c r="F295" s="0" t="n">
        <v>300.416</v>
      </c>
      <c r="G295" s="0" t="n">
        <v>78.8592</v>
      </c>
      <c r="H295" s="0" t="n">
        <v>0.2</v>
      </c>
      <c r="I295" s="7" t="n">
        <f aca="false">YEAR(B295)</f>
        <v>2014</v>
      </c>
      <c r="J295" s="0" t="str">
        <f aca="false">I295&amp;"-Q"&amp;ROUNDUP(MONTH(B295)/3,0)</f>
        <v>2014-Q4</v>
      </c>
    </row>
    <row r="296" customFormat="false" ht="15" hidden="false" customHeight="false" outlineLevel="0" collapsed="false">
      <c r="A296" s="0" t="s">
        <v>201</v>
      </c>
      <c r="B296" s="6" t="n">
        <v>41999</v>
      </c>
      <c r="C296" s="7" t="s">
        <v>33</v>
      </c>
      <c r="D296" s="7" t="s">
        <v>109</v>
      </c>
      <c r="E296" s="7" t="s">
        <v>31</v>
      </c>
      <c r="F296" s="0" t="n">
        <v>230.352</v>
      </c>
      <c r="G296" s="0" t="n">
        <v>20.1558</v>
      </c>
      <c r="H296" s="0" t="n">
        <v>0.2</v>
      </c>
      <c r="I296" s="7" t="n">
        <f aca="false">YEAR(B296)</f>
        <v>2014</v>
      </c>
      <c r="J296" s="0" t="str">
        <f aca="false">I296&amp;"-Q"&amp;ROUNDUP(MONTH(B296)/3,0)</f>
        <v>2014-Q4</v>
      </c>
    </row>
    <row r="297" customFormat="false" ht="15" hidden="false" customHeight="false" outlineLevel="0" collapsed="false">
      <c r="A297" s="0" t="s">
        <v>201</v>
      </c>
      <c r="B297" s="6" t="n">
        <v>41999</v>
      </c>
      <c r="C297" s="7" t="s">
        <v>33</v>
      </c>
      <c r="D297" s="7" t="s">
        <v>109</v>
      </c>
      <c r="E297" s="7" t="s">
        <v>31</v>
      </c>
      <c r="F297" s="0" t="n">
        <v>218.352</v>
      </c>
      <c r="G297" s="0" t="n">
        <v>-24.5646</v>
      </c>
      <c r="H297" s="0" t="n">
        <v>0.2</v>
      </c>
      <c r="I297" s="7" t="n">
        <f aca="false">YEAR(B297)</f>
        <v>2014</v>
      </c>
      <c r="J297" s="0" t="str">
        <f aca="false">I297&amp;"-Q"&amp;ROUNDUP(MONTH(B297)/3,0)</f>
        <v>2014-Q4</v>
      </c>
    </row>
    <row r="298" customFormat="false" ht="15" hidden="false" customHeight="false" outlineLevel="0" collapsed="false">
      <c r="A298" s="0" t="s">
        <v>201</v>
      </c>
      <c r="B298" s="6" t="n">
        <v>41999</v>
      </c>
      <c r="C298" s="7" t="s">
        <v>33</v>
      </c>
      <c r="D298" s="7" t="s">
        <v>109</v>
      </c>
      <c r="E298" s="7" t="s">
        <v>35</v>
      </c>
      <c r="F298" s="0" t="n">
        <v>78.6</v>
      </c>
      <c r="G298" s="0" t="n">
        <v>-62.88</v>
      </c>
      <c r="H298" s="0" t="n">
        <v>0.7</v>
      </c>
      <c r="I298" s="7" t="n">
        <f aca="false">YEAR(B298)</f>
        <v>2014</v>
      </c>
      <c r="J298" s="0" t="str">
        <f aca="false">I298&amp;"-Q"&amp;ROUNDUP(MONTH(B298)/3,0)</f>
        <v>2014-Q4</v>
      </c>
    </row>
    <row r="299" customFormat="false" ht="15" hidden="false" customHeight="false" outlineLevel="0" collapsed="false">
      <c r="A299" s="0" t="s">
        <v>201</v>
      </c>
      <c r="B299" s="6" t="n">
        <v>41999</v>
      </c>
      <c r="C299" s="7" t="s">
        <v>33</v>
      </c>
      <c r="D299" s="7" t="s">
        <v>109</v>
      </c>
      <c r="E299" s="7" t="s">
        <v>35</v>
      </c>
      <c r="F299" s="0" t="n">
        <v>27.552</v>
      </c>
      <c r="G299" s="0" t="n">
        <v>9.2988</v>
      </c>
      <c r="H299" s="0" t="n">
        <v>0.2</v>
      </c>
      <c r="I299" s="7" t="n">
        <f aca="false">YEAR(B299)</f>
        <v>2014</v>
      </c>
      <c r="J299" s="0" t="str">
        <f aca="false">I299&amp;"-Q"&amp;ROUNDUP(MONTH(B299)/3,0)</f>
        <v>2014-Q4</v>
      </c>
    </row>
    <row r="300" customFormat="false" ht="15" hidden="false" customHeight="false" outlineLevel="0" collapsed="false">
      <c r="A300" s="0" t="s">
        <v>202</v>
      </c>
      <c r="B300" s="6" t="n">
        <v>42671</v>
      </c>
      <c r="C300" s="7" t="s">
        <v>55</v>
      </c>
      <c r="D300" s="7" t="s">
        <v>161</v>
      </c>
      <c r="E300" s="7" t="s">
        <v>35</v>
      </c>
      <c r="F300" s="0" t="n">
        <v>32.4</v>
      </c>
      <c r="G300" s="0" t="n">
        <v>15.552</v>
      </c>
      <c r="H300" s="0" t="n">
        <v>0</v>
      </c>
      <c r="I300" s="7" t="n">
        <f aca="false">YEAR(B300)</f>
        <v>2016</v>
      </c>
      <c r="J300" s="0" t="str">
        <f aca="false">I300&amp;"-Q"&amp;ROUNDUP(MONTH(B300)/3,0)</f>
        <v>2016-Q4</v>
      </c>
    </row>
    <row r="301" customFormat="false" ht="15" hidden="false" customHeight="false" outlineLevel="0" collapsed="false">
      <c r="A301" s="0" t="s">
        <v>202</v>
      </c>
      <c r="B301" s="6" t="n">
        <v>42671</v>
      </c>
      <c r="C301" s="7" t="s">
        <v>55</v>
      </c>
      <c r="D301" s="7" t="s">
        <v>161</v>
      </c>
      <c r="E301" s="7" t="s">
        <v>35</v>
      </c>
      <c r="F301" s="0" t="n">
        <v>1082.48</v>
      </c>
      <c r="G301" s="0" t="n">
        <v>10.8248</v>
      </c>
      <c r="H301" s="0" t="n">
        <v>0</v>
      </c>
      <c r="I301" s="7" t="n">
        <f aca="false">YEAR(B301)</f>
        <v>2016</v>
      </c>
      <c r="J301" s="0" t="str">
        <f aca="false">I301&amp;"-Q"&amp;ROUNDUP(MONTH(B301)/3,0)</f>
        <v>2016-Q4</v>
      </c>
    </row>
    <row r="302" customFormat="false" ht="15" hidden="false" customHeight="false" outlineLevel="0" collapsed="false">
      <c r="A302" s="0" t="s">
        <v>202</v>
      </c>
      <c r="B302" s="6" t="n">
        <v>42671</v>
      </c>
      <c r="C302" s="7" t="s">
        <v>55</v>
      </c>
      <c r="D302" s="7" t="s">
        <v>161</v>
      </c>
      <c r="E302" s="7" t="s">
        <v>35</v>
      </c>
      <c r="F302" s="0" t="n">
        <v>56.91</v>
      </c>
      <c r="G302" s="0" t="n">
        <v>27.3168</v>
      </c>
      <c r="H302" s="0" t="n">
        <v>0</v>
      </c>
      <c r="I302" s="7" t="n">
        <f aca="false">YEAR(B302)</f>
        <v>2016</v>
      </c>
      <c r="J302" s="0" t="str">
        <f aca="false">I302&amp;"-Q"&amp;ROUNDUP(MONTH(B302)/3,0)</f>
        <v>2016-Q4</v>
      </c>
    </row>
    <row r="303" customFormat="false" ht="15" hidden="false" customHeight="false" outlineLevel="0" collapsed="false">
      <c r="A303" s="0" t="s">
        <v>202</v>
      </c>
      <c r="B303" s="6" t="n">
        <v>42671</v>
      </c>
      <c r="C303" s="7" t="s">
        <v>55</v>
      </c>
      <c r="D303" s="7" t="s">
        <v>161</v>
      </c>
      <c r="E303" s="7" t="s">
        <v>31</v>
      </c>
      <c r="F303" s="0" t="n">
        <v>77.6</v>
      </c>
      <c r="G303" s="0" t="n">
        <v>38.024</v>
      </c>
      <c r="H303" s="0" t="n">
        <v>0</v>
      </c>
      <c r="I303" s="7" t="n">
        <f aca="false">YEAR(B303)</f>
        <v>2016</v>
      </c>
      <c r="J303" s="0" t="str">
        <f aca="false">I303&amp;"-Q"&amp;ROUNDUP(MONTH(B303)/3,0)</f>
        <v>2016-Q4</v>
      </c>
    </row>
    <row r="304" customFormat="false" ht="15" hidden="false" customHeight="false" outlineLevel="0" collapsed="false">
      <c r="A304" s="0" t="s">
        <v>202</v>
      </c>
      <c r="B304" s="6" t="n">
        <v>42671</v>
      </c>
      <c r="C304" s="7" t="s">
        <v>55</v>
      </c>
      <c r="D304" s="7" t="s">
        <v>161</v>
      </c>
      <c r="E304" s="7" t="s">
        <v>35</v>
      </c>
      <c r="F304" s="0" t="n">
        <v>14.28</v>
      </c>
      <c r="G304" s="0" t="n">
        <v>6.5688</v>
      </c>
      <c r="H304" s="0" t="n">
        <v>0</v>
      </c>
      <c r="I304" s="7" t="n">
        <f aca="false">YEAR(B304)</f>
        <v>2016</v>
      </c>
      <c r="J304" s="0" t="str">
        <f aca="false">I304&amp;"-Q"&amp;ROUNDUP(MONTH(B304)/3,0)</f>
        <v>2016-Q4</v>
      </c>
    </row>
    <row r="305" customFormat="false" ht="15" hidden="false" customHeight="false" outlineLevel="0" collapsed="false">
      <c r="A305" s="0" t="s">
        <v>203</v>
      </c>
      <c r="B305" s="6" t="n">
        <v>43058</v>
      </c>
      <c r="C305" s="7" t="s">
        <v>45</v>
      </c>
      <c r="D305" s="7" t="s">
        <v>64</v>
      </c>
      <c r="E305" s="7" t="s">
        <v>31</v>
      </c>
      <c r="F305" s="0" t="n">
        <v>219.075</v>
      </c>
      <c r="G305" s="0" t="n">
        <v>-131.445</v>
      </c>
      <c r="H305" s="0" t="n">
        <v>0.5</v>
      </c>
      <c r="I305" s="7" t="n">
        <f aca="false">YEAR(B305)</f>
        <v>2017</v>
      </c>
      <c r="J305" s="0" t="str">
        <f aca="false">I305&amp;"-Q"&amp;ROUNDUP(MONTH(B305)/3,0)</f>
        <v>2017-Q4</v>
      </c>
    </row>
    <row r="306" customFormat="false" ht="15" hidden="false" customHeight="false" outlineLevel="0" collapsed="false">
      <c r="A306" s="0" t="s">
        <v>204</v>
      </c>
      <c r="B306" s="6" t="n">
        <v>42128</v>
      </c>
      <c r="C306" s="7" t="s">
        <v>55</v>
      </c>
      <c r="D306" s="7" t="s">
        <v>76</v>
      </c>
      <c r="E306" s="7" t="s">
        <v>31</v>
      </c>
      <c r="F306" s="0" t="n">
        <v>26.8</v>
      </c>
      <c r="G306" s="0" t="n">
        <v>12.864</v>
      </c>
      <c r="H306" s="0" t="n">
        <v>0</v>
      </c>
      <c r="I306" s="7" t="n">
        <f aca="false">YEAR(B306)</f>
        <v>2015</v>
      </c>
      <c r="J306" s="0" t="str">
        <f aca="false">I306&amp;"-Q"&amp;ROUNDUP(MONTH(B306)/3,0)</f>
        <v>2015-Q2</v>
      </c>
    </row>
    <row r="307" customFormat="false" ht="15" hidden="false" customHeight="false" outlineLevel="0" collapsed="false">
      <c r="A307" s="0" t="s">
        <v>205</v>
      </c>
      <c r="B307" s="6" t="n">
        <v>42003</v>
      </c>
      <c r="C307" s="7" t="s">
        <v>45</v>
      </c>
      <c r="D307" s="7" t="s">
        <v>70</v>
      </c>
      <c r="E307" s="7" t="s">
        <v>35</v>
      </c>
      <c r="F307" s="0" t="n">
        <v>9.84</v>
      </c>
      <c r="G307" s="0" t="n">
        <v>2.8536</v>
      </c>
      <c r="H307" s="0" t="n">
        <v>0</v>
      </c>
      <c r="I307" s="7" t="n">
        <f aca="false">YEAR(B307)</f>
        <v>2014</v>
      </c>
      <c r="J307" s="0" t="str">
        <f aca="false">I307&amp;"-Q"&amp;ROUNDUP(MONTH(B307)/3,0)</f>
        <v>2014-Q4</v>
      </c>
    </row>
    <row r="308" customFormat="false" ht="15" hidden="false" customHeight="false" outlineLevel="0" collapsed="false">
      <c r="A308" s="0" t="s">
        <v>206</v>
      </c>
      <c r="B308" s="6" t="n">
        <v>41791</v>
      </c>
      <c r="C308" s="7" t="s">
        <v>55</v>
      </c>
      <c r="D308" s="7" t="s">
        <v>161</v>
      </c>
      <c r="E308" s="7" t="s">
        <v>35</v>
      </c>
      <c r="F308" s="0" t="n">
        <v>45.48</v>
      </c>
      <c r="G308" s="0" t="n">
        <v>20.9208</v>
      </c>
      <c r="H308" s="0" t="n">
        <v>0</v>
      </c>
      <c r="I308" s="7" t="n">
        <f aca="false">YEAR(B308)</f>
        <v>2014</v>
      </c>
      <c r="J308" s="0" t="str">
        <f aca="false">I308&amp;"-Q"&amp;ROUNDUP(MONTH(B308)/3,0)</f>
        <v>2014-Q2</v>
      </c>
    </row>
    <row r="309" customFormat="false" ht="15" hidden="false" customHeight="false" outlineLevel="0" collapsed="false">
      <c r="A309" s="0" t="s">
        <v>206</v>
      </c>
      <c r="B309" s="6" t="n">
        <v>41791</v>
      </c>
      <c r="C309" s="7" t="s">
        <v>55</v>
      </c>
      <c r="D309" s="7" t="s">
        <v>161</v>
      </c>
      <c r="E309" s="7" t="s">
        <v>35</v>
      </c>
      <c r="F309" s="0" t="n">
        <v>289.2</v>
      </c>
      <c r="G309" s="0" t="n">
        <v>83.868</v>
      </c>
      <c r="H309" s="0" t="n">
        <v>0</v>
      </c>
      <c r="I309" s="7" t="n">
        <f aca="false">YEAR(B309)</f>
        <v>2014</v>
      </c>
      <c r="J309" s="0" t="str">
        <f aca="false">I309&amp;"-Q"&amp;ROUNDUP(MONTH(B309)/3,0)</f>
        <v>2014-Q2</v>
      </c>
    </row>
    <row r="310" customFormat="false" ht="15" hidden="false" customHeight="false" outlineLevel="0" collapsed="false">
      <c r="A310" s="0" t="s">
        <v>207</v>
      </c>
      <c r="B310" s="6" t="n">
        <v>42840</v>
      </c>
      <c r="C310" s="7" t="s">
        <v>29</v>
      </c>
      <c r="D310" s="7" t="s">
        <v>83</v>
      </c>
      <c r="E310" s="7" t="s">
        <v>35</v>
      </c>
      <c r="F310" s="0" t="n">
        <v>4.89</v>
      </c>
      <c r="G310" s="0" t="n">
        <v>2.0049</v>
      </c>
      <c r="H310" s="0" t="n">
        <v>0</v>
      </c>
      <c r="I310" s="7" t="n">
        <f aca="false">YEAR(B310)</f>
        <v>2017</v>
      </c>
      <c r="J310" s="0" t="str">
        <f aca="false">I310&amp;"-Q"&amp;ROUNDUP(MONTH(B310)/3,0)</f>
        <v>2017-Q2</v>
      </c>
    </row>
    <row r="311" customFormat="false" ht="15" hidden="false" customHeight="false" outlineLevel="0" collapsed="false">
      <c r="A311" s="0" t="s">
        <v>208</v>
      </c>
      <c r="B311" s="6" t="n">
        <v>42625</v>
      </c>
      <c r="C311" s="7" t="s">
        <v>33</v>
      </c>
      <c r="D311" s="7" t="s">
        <v>109</v>
      </c>
      <c r="E311" s="7" t="s">
        <v>31</v>
      </c>
      <c r="F311" s="0" t="n">
        <v>15.136</v>
      </c>
      <c r="G311" s="0" t="n">
        <v>3.5948</v>
      </c>
      <c r="H311" s="0" t="n">
        <v>0.2</v>
      </c>
      <c r="I311" s="7" t="n">
        <f aca="false">YEAR(B311)</f>
        <v>2016</v>
      </c>
      <c r="J311" s="0" t="str">
        <f aca="false">I311&amp;"-Q"&amp;ROUNDUP(MONTH(B311)/3,0)</f>
        <v>2016-Q3</v>
      </c>
    </row>
    <row r="312" customFormat="false" ht="15" hidden="false" customHeight="false" outlineLevel="0" collapsed="false">
      <c r="A312" s="0" t="s">
        <v>208</v>
      </c>
      <c r="B312" s="6" t="n">
        <v>42625</v>
      </c>
      <c r="C312" s="7" t="s">
        <v>33</v>
      </c>
      <c r="D312" s="7" t="s">
        <v>109</v>
      </c>
      <c r="E312" s="7" t="s">
        <v>31</v>
      </c>
      <c r="F312" s="0" t="n">
        <v>466.768</v>
      </c>
      <c r="G312" s="0" t="n">
        <v>52.5114</v>
      </c>
      <c r="H312" s="0" t="n">
        <v>0.2</v>
      </c>
      <c r="I312" s="7" t="n">
        <f aca="false">YEAR(B312)</f>
        <v>2016</v>
      </c>
      <c r="J312" s="0" t="str">
        <f aca="false">I312&amp;"-Q"&amp;ROUNDUP(MONTH(B312)/3,0)</f>
        <v>2016-Q3</v>
      </c>
    </row>
    <row r="313" customFormat="false" ht="15" hidden="false" customHeight="false" outlineLevel="0" collapsed="false">
      <c r="A313" s="0" t="s">
        <v>208</v>
      </c>
      <c r="B313" s="6" t="n">
        <v>42625</v>
      </c>
      <c r="C313" s="7" t="s">
        <v>33</v>
      </c>
      <c r="D313" s="7" t="s">
        <v>109</v>
      </c>
      <c r="E313" s="7" t="s">
        <v>31</v>
      </c>
      <c r="F313" s="0" t="n">
        <v>15.232</v>
      </c>
      <c r="G313" s="0" t="n">
        <v>1.7136</v>
      </c>
      <c r="H313" s="0" t="n">
        <v>0.2</v>
      </c>
      <c r="I313" s="7" t="n">
        <f aca="false">YEAR(B313)</f>
        <v>2016</v>
      </c>
      <c r="J313" s="0" t="str">
        <f aca="false">I313&amp;"-Q"&amp;ROUNDUP(MONTH(B313)/3,0)</f>
        <v>2016-Q3</v>
      </c>
    </row>
    <row r="314" customFormat="false" ht="15" hidden="false" customHeight="false" outlineLevel="0" collapsed="false">
      <c r="A314" s="0" t="s">
        <v>208</v>
      </c>
      <c r="B314" s="6" t="n">
        <v>42625</v>
      </c>
      <c r="C314" s="7" t="s">
        <v>33</v>
      </c>
      <c r="D314" s="7" t="s">
        <v>109</v>
      </c>
      <c r="E314" s="7" t="s">
        <v>35</v>
      </c>
      <c r="F314" s="0" t="n">
        <v>6.264</v>
      </c>
      <c r="G314" s="0" t="n">
        <v>2.0358</v>
      </c>
      <c r="H314" s="0" t="n">
        <v>0.2</v>
      </c>
      <c r="I314" s="7" t="n">
        <f aca="false">YEAR(B314)</f>
        <v>2016</v>
      </c>
      <c r="J314" s="0" t="str">
        <f aca="false">I314&amp;"-Q"&amp;ROUNDUP(MONTH(B314)/3,0)</f>
        <v>2016-Q3</v>
      </c>
    </row>
    <row r="315" customFormat="false" ht="15" hidden="false" customHeight="false" outlineLevel="0" collapsed="false">
      <c r="A315" s="0" t="s">
        <v>209</v>
      </c>
      <c r="B315" s="6" t="n">
        <v>41909</v>
      </c>
      <c r="C315" s="7" t="s">
        <v>55</v>
      </c>
      <c r="D315" s="7" t="s">
        <v>161</v>
      </c>
      <c r="E315" s="7" t="s">
        <v>31</v>
      </c>
      <c r="F315" s="0" t="n">
        <v>87.54</v>
      </c>
      <c r="G315" s="0" t="n">
        <v>37.6422</v>
      </c>
      <c r="H315" s="0" t="n">
        <v>0</v>
      </c>
      <c r="I315" s="7" t="n">
        <f aca="false">YEAR(B315)</f>
        <v>2014</v>
      </c>
      <c r="J315" s="0" t="str">
        <f aca="false">I315&amp;"-Q"&amp;ROUNDUP(MONTH(B315)/3,0)</f>
        <v>2014-Q3</v>
      </c>
    </row>
    <row r="316" customFormat="false" ht="15" hidden="false" customHeight="false" outlineLevel="0" collapsed="false">
      <c r="A316" s="0" t="s">
        <v>210</v>
      </c>
      <c r="B316" s="6" t="n">
        <v>41860</v>
      </c>
      <c r="C316" s="7" t="s">
        <v>29</v>
      </c>
      <c r="D316" s="7" t="s">
        <v>37</v>
      </c>
      <c r="E316" s="7" t="s">
        <v>39</v>
      </c>
      <c r="F316" s="0" t="n">
        <v>178.384</v>
      </c>
      <c r="G316" s="0" t="n">
        <v>22.298</v>
      </c>
      <c r="H316" s="0" t="n">
        <v>0.2</v>
      </c>
      <c r="I316" s="7" t="n">
        <f aca="false">YEAR(B316)</f>
        <v>2014</v>
      </c>
      <c r="J316" s="0" t="str">
        <f aca="false">I316&amp;"-Q"&amp;ROUNDUP(MONTH(B316)/3,0)</f>
        <v>2014-Q3</v>
      </c>
    </row>
    <row r="317" customFormat="false" ht="15" hidden="false" customHeight="false" outlineLevel="0" collapsed="false">
      <c r="A317" s="0" t="s">
        <v>210</v>
      </c>
      <c r="B317" s="6" t="n">
        <v>41860</v>
      </c>
      <c r="C317" s="7" t="s">
        <v>29</v>
      </c>
      <c r="D317" s="7" t="s">
        <v>37</v>
      </c>
      <c r="E317" s="7" t="s">
        <v>35</v>
      </c>
      <c r="F317" s="0" t="n">
        <v>15.552</v>
      </c>
      <c r="G317" s="0" t="n">
        <v>5.4432</v>
      </c>
      <c r="H317" s="0" t="n">
        <v>0.2</v>
      </c>
      <c r="I317" s="7" t="n">
        <f aca="false">YEAR(B317)</f>
        <v>2014</v>
      </c>
      <c r="J317" s="0" t="str">
        <f aca="false">I317&amp;"-Q"&amp;ROUNDUP(MONTH(B317)/3,0)</f>
        <v>2014-Q3</v>
      </c>
    </row>
    <row r="318" customFormat="false" ht="15" hidden="false" customHeight="false" outlineLevel="0" collapsed="false">
      <c r="A318" s="0" t="s">
        <v>211</v>
      </c>
      <c r="B318" s="6" t="n">
        <v>42001</v>
      </c>
      <c r="C318" s="7" t="s">
        <v>55</v>
      </c>
      <c r="D318" s="7" t="s">
        <v>56</v>
      </c>
      <c r="E318" s="7" t="s">
        <v>35</v>
      </c>
      <c r="F318" s="0" t="n">
        <v>99.136</v>
      </c>
      <c r="G318" s="0" t="n">
        <v>8.6744</v>
      </c>
      <c r="H318" s="0" t="n">
        <v>0.2</v>
      </c>
      <c r="I318" s="7" t="n">
        <f aca="false">YEAR(B318)</f>
        <v>2014</v>
      </c>
      <c r="J318" s="0" t="str">
        <f aca="false">I318&amp;"-Q"&amp;ROUNDUP(MONTH(B318)/3,0)</f>
        <v>2014-Q4</v>
      </c>
    </row>
    <row r="319" customFormat="false" ht="15" hidden="false" customHeight="false" outlineLevel="0" collapsed="false">
      <c r="A319" s="0" t="s">
        <v>212</v>
      </c>
      <c r="B319" s="6" t="n">
        <v>41947</v>
      </c>
      <c r="C319" s="7" t="s">
        <v>55</v>
      </c>
      <c r="D319" s="7" t="s">
        <v>76</v>
      </c>
      <c r="E319" s="7" t="s">
        <v>31</v>
      </c>
      <c r="F319" s="0" t="n">
        <v>135.882</v>
      </c>
      <c r="G319" s="0" t="n">
        <v>24.1568</v>
      </c>
      <c r="H319" s="0" t="n">
        <v>0.1</v>
      </c>
      <c r="I319" s="7" t="n">
        <f aca="false">YEAR(B319)</f>
        <v>2014</v>
      </c>
      <c r="J319" s="0" t="str">
        <f aca="false">I319&amp;"-Q"&amp;ROUNDUP(MONTH(B319)/3,0)</f>
        <v>2014-Q4</v>
      </c>
    </row>
    <row r="320" customFormat="false" ht="15" hidden="false" customHeight="false" outlineLevel="0" collapsed="false">
      <c r="A320" s="0" t="s">
        <v>212</v>
      </c>
      <c r="B320" s="6" t="n">
        <v>41947</v>
      </c>
      <c r="C320" s="7" t="s">
        <v>55</v>
      </c>
      <c r="D320" s="7" t="s">
        <v>76</v>
      </c>
      <c r="E320" s="7" t="s">
        <v>39</v>
      </c>
      <c r="F320" s="0" t="n">
        <v>3991.98</v>
      </c>
      <c r="G320" s="0" t="n">
        <v>1995.99</v>
      </c>
      <c r="H320" s="0" t="n">
        <v>0</v>
      </c>
      <c r="I320" s="7" t="n">
        <f aca="false">YEAR(B320)</f>
        <v>2014</v>
      </c>
      <c r="J320" s="0" t="str">
        <f aca="false">I320&amp;"-Q"&amp;ROUNDUP(MONTH(B320)/3,0)</f>
        <v>2014-Q4</v>
      </c>
    </row>
    <row r="321" customFormat="false" ht="15" hidden="false" customHeight="false" outlineLevel="0" collapsed="false">
      <c r="A321" s="0" t="s">
        <v>212</v>
      </c>
      <c r="B321" s="6" t="n">
        <v>41947</v>
      </c>
      <c r="C321" s="7" t="s">
        <v>55</v>
      </c>
      <c r="D321" s="7" t="s">
        <v>76</v>
      </c>
      <c r="E321" s="7" t="s">
        <v>39</v>
      </c>
      <c r="F321" s="0" t="n">
        <v>275.94</v>
      </c>
      <c r="G321" s="0" t="n">
        <v>80.0226</v>
      </c>
      <c r="H321" s="0" t="n">
        <v>0</v>
      </c>
      <c r="I321" s="7" t="n">
        <f aca="false">YEAR(B321)</f>
        <v>2014</v>
      </c>
      <c r="J321" s="0" t="str">
        <f aca="false">I321&amp;"-Q"&amp;ROUNDUP(MONTH(B321)/3,0)</f>
        <v>2014-Q4</v>
      </c>
    </row>
    <row r="322" customFormat="false" ht="15" hidden="false" customHeight="false" outlineLevel="0" collapsed="false">
      <c r="A322" s="0" t="s">
        <v>212</v>
      </c>
      <c r="B322" s="6" t="n">
        <v>41947</v>
      </c>
      <c r="C322" s="7" t="s">
        <v>55</v>
      </c>
      <c r="D322" s="7" t="s">
        <v>76</v>
      </c>
      <c r="E322" s="7" t="s">
        <v>39</v>
      </c>
      <c r="F322" s="0" t="n">
        <v>360</v>
      </c>
      <c r="G322" s="0" t="n">
        <v>129.6</v>
      </c>
      <c r="H322" s="0" t="n">
        <v>0</v>
      </c>
      <c r="I322" s="7" t="n">
        <f aca="false">YEAR(B322)</f>
        <v>2014</v>
      </c>
      <c r="J322" s="0" t="str">
        <f aca="false">I322&amp;"-Q"&amp;ROUNDUP(MONTH(B322)/3,0)</f>
        <v>2014-Q4</v>
      </c>
    </row>
    <row r="323" customFormat="false" ht="15" hidden="false" customHeight="false" outlineLevel="0" collapsed="false">
      <c r="A323" s="0" t="s">
        <v>212</v>
      </c>
      <c r="B323" s="6" t="n">
        <v>41947</v>
      </c>
      <c r="C323" s="7" t="s">
        <v>55</v>
      </c>
      <c r="D323" s="7" t="s">
        <v>76</v>
      </c>
      <c r="E323" s="7" t="s">
        <v>35</v>
      </c>
      <c r="F323" s="0" t="n">
        <v>43.57</v>
      </c>
      <c r="G323" s="0" t="n">
        <v>13.071</v>
      </c>
      <c r="H323" s="0" t="n">
        <v>0</v>
      </c>
      <c r="I323" s="7" t="n">
        <f aca="false">YEAR(B323)</f>
        <v>2014</v>
      </c>
      <c r="J323" s="0" t="str">
        <f aca="false">I323&amp;"-Q"&amp;ROUNDUP(MONTH(B323)/3,0)</f>
        <v>2014-Q4</v>
      </c>
    </row>
    <row r="324" customFormat="false" ht="15" hidden="false" customHeight="false" outlineLevel="0" collapsed="false">
      <c r="A324" s="0" t="s">
        <v>213</v>
      </c>
      <c r="B324" s="6" t="n">
        <v>41901</v>
      </c>
      <c r="C324" s="7" t="s">
        <v>33</v>
      </c>
      <c r="D324" s="7" t="s">
        <v>34</v>
      </c>
      <c r="E324" s="7" t="s">
        <v>35</v>
      </c>
      <c r="F324" s="0" t="n">
        <v>7.16</v>
      </c>
      <c r="G324" s="0" t="n">
        <v>3.58</v>
      </c>
      <c r="H324" s="0" t="n">
        <v>0</v>
      </c>
      <c r="I324" s="7" t="n">
        <f aca="false">YEAR(B324)</f>
        <v>2014</v>
      </c>
      <c r="J324" s="0" t="str">
        <f aca="false">I324&amp;"-Q"&amp;ROUNDUP(MONTH(B324)/3,0)</f>
        <v>2014-Q3</v>
      </c>
    </row>
    <row r="325" customFormat="false" ht="15" hidden="false" customHeight="false" outlineLevel="0" collapsed="false">
      <c r="A325" s="0" t="s">
        <v>214</v>
      </c>
      <c r="B325" s="6" t="n">
        <v>42483</v>
      </c>
      <c r="C325" s="7" t="s">
        <v>33</v>
      </c>
      <c r="D325" s="7" t="s">
        <v>34</v>
      </c>
      <c r="E325" s="7" t="s">
        <v>35</v>
      </c>
      <c r="F325" s="0" t="n">
        <v>251.52</v>
      </c>
      <c r="G325" s="0" t="n">
        <v>81.744</v>
      </c>
      <c r="H325" s="0" t="n">
        <v>0.2</v>
      </c>
      <c r="I325" s="7" t="n">
        <f aca="false">YEAR(B325)</f>
        <v>2016</v>
      </c>
      <c r="J325" s="0" t="str">
        <f aca="false">I325&amp;"-Q"&amp;ROUNDUP(MONTH(B325)/3,0)</f>
        <v>2016-Q2</v>
      </c>
    </row>
    <row r="326" customFormat="false" ht="15" hidden="false" customHeight="false" outlineLevel="0" collapsed="false">
      <c r="A326" s="0" t="s">
        <v>214</v>
      </c>
      <c r="B326" s="6" t="n">
        <v>42483</v>
      </c>
      <c r="C326" s="7" t="s">
        <v>33</v>
      </c>
      <c r="D326" s="7" t="s">
        <v>34</v>
      </c>
      <c r="E326" s="7" t="s">
        <v>39</v>
      </c>
      <c r="F326" s="0" t="n">
        <v>99.99</v>
      </c>
      <c r="G326" s="0" t="n">
        <v>34.9965</v>
      </c>
      <c r="H326" s="0" t="n">
        <v>0</v>
      </c>
      <c r="I326" s="7" t="n">
        <f aca="false">YEAR(B326)</f>
        <v>2016</v>
      </c>
      <c r="J326" s="0" t="str">
        <f aca="false">I326&amp;"-Q"&amp;ROUNDUP(MONTH(B326)/3,0)</f>
        <v>2016-Q2</v>
      </c>
    </row>
    <row r="327" customFormat="false" ht="15" hidden="false" customHeight="false" outlineLevel="0" collapsed="false">
      <c r="A327" s="0" t="s">
        <v>215</v>
      </c>
      <c r="B327" s="6" t="n">
        <v>43042</v>
      </c>
      <c r="C327" s="7" t="s">
        <v>29</v>
      </c>
      <c r="D327" s="7" t="s">
        <v>87</v>
      </c>
      <c r="E327" s="7" t="s">
        <v>31</v>
      </c>
      <c r="F327" s="0" t="n">
        <v>15.992</v>
      </c>
      <c r="G327" s="0" t="n">
        <v>0.9995</v>
      </c>
      <c r="H327" s="0" t="n">
        <v>0.2</v>
      </c>
      <c r="I327" s="7" t="n">
        <f aca="false">YEAR(B327)</f>
        <v>2017</v>
      </c>
      <c r="J327" s="0" t="str">
        <f aca="false">I327&amp;"-Q"&amp;ROUNDUP(MONTH(B327)/3,0)</f>
        <v>2017-Q4</v>
      </c>
    </row>
    <row r="328" customFormat="false" ht="15" hidden="false" customHeight="false" outlineLevel="0" collapsed="false">
      <c r="A328" s="0" t="s">
        <v>216</v>
      </c>
      <c r="B328" s="6" t="n">
        <v>42612</v>
      </c>
      <c r="C328" s="7" t="s">
        <v>55</v>
      </c>
      <c r="D328" s="7" t="s">
        <v>56</v>
      </c>
      <c r="E328" s="7" t="s">
        <v>39</v>
      </c>
      <c r="F328" s="0" t="n">
        <v>290.898</v>
      </c>
      <c r="G328" s="0" t="n">
        <v>-67.8762</v>
      </c>
      <c r="H328" s="0" t="n">
        <v>0.4</v>
      </c>
      <c r="I328" s="7" t="n">
        <f aca="false">YEAR(B328)</f>
        <v>2016</v>
      </c>
      <c r="J328" s="0" t="str">
        <f aca="false">I328&amp;"-Q"&amp;ROUNDUP(MONTH(B328)/3,0)</f>
        <v>2016-Q3</v>
      </c>
    </row>
    <row r="329" customFormat="false" ht="15" hidden="false" customHeight="false" outlineLevel="0" collapsed="false">
      <c r="A329" s="0" t="s">
        <v>216</v>
      </c>
      <c r="B329" s="6" t="n">
        <v>42612</v>
      </c>
      <c r="C329" s="7" t="s">
        <v>55</v>
      </c>
      <c r="D329" s="7" t="s">
        <v>56</v>
      </c>
      <c r="E329" s="7" t="s">
        <v>35</v>
      </c>
      <c r="F329" s="0" t="n">
        <v>54.224</v>
      </c>
      <c r="G329" s="0" t="n">
        <v>3.389</v>
      </c>
      <c r="H329" s="0" t="n">
        <v>0.2</v>
      </c>
      <c r="I329" s="7" t="n">
        <f aca="false">YEAR(B329)</f>
        <v>2016</v>
      </c>
      <c r="J329" s="0" t="str">
        <f aca="false">I329&amp;"-Q"&amp;ROUNDUP(MONTH(B329)/3,0)</f>
        <v>2016-Q3</v>
      </c>
    </row>
    <row r="330" customFormat="false" ht="15" hidden="false" customHeight="false" outlineLevel="0" collapsed="false">
      <c r="A330" s="0" t="s">
        <v>216</v>
      </c>
      <c r="B330" s="6" t="n">
        <v>42612</v>
      </c>
      <c r="C330" s="7" t="s">
        <v>55</v>
      </c>
      <c r="D330" s="7" t="s">
        <v>56</v>
      </c>
      <c r="E330" s="7" t="s">
        <v>31</v>
      </c>
      <c r="F330" s="0" t="n">
        <v>786.744</v>
      </c>
      <c r="G330" s="0" t="n">
        <v>-258.5016</v>
      </c>
      <c r="H330" s="0" t="n">
        <v>0.3</v>
      </c>
      <c r="I330" s="7" t="n">
        <f aca="false">YEAR(B330)</f>
        <v>2016</v>
      </c>
      <c r="J330" s="0" t="str">
        <f aca="false">I330&amp;"-Q"&amp;ROUNDUP(MONTH(B330)/3,0)</f>
        <v>2016-Q3</v>
      </c>
    </row>
    <row r="331" customFormat="false" ht="15" hidden="false" customHeight="false" outlineLevel="0" collapsed="false">
      <c r="A331" s="0" t="s">
        <v>216</v>
      </c>
      <c r="B331" s="6" t="n">
        <v>42612</v>
      </c>
      <c r="C331" s="7" t="s">
        <v>55</v>
      </c>
      <c r="D331" s="7" t="s">
        <v>56</v>
      </c>
      <c r="E331" s="7" t="s">
        <v>35</v>
      </c>
      <c r="F331" s="0" t="n">
        <v>100.24</v>
      </c>
      <c r="G331" s="0" t="n">
        <v>33.831</v>
      </c>
      <c r="H331" s="0" t="n">
        <v>0.2</v>
      </c>
      <c r="I331" s="7" t="n">
        <f aca="false">YEAR(B331)</f>
        <v>2016</v>
      </c>
      <c r="J331" s="0" t="str">
        <f aca="false">I331&amp;"-Q"&amp;ROUNDUP(MONTH(B331)/3,0)</f>
        <v>2016-Q3</v>
      </c>
    </row>
    <row r="332" customFormat="false" ht="15" hidden="false" customHeight="false" outlineLevel="0" collapsed="false">
      <c r="A332" s="0" t="s">
        <v>216</v>
      </c>
      <c r="B332" s="6" t="n">
        <v>42612</v>
      </c>
      <c r="C332" s="7" t="s">
        <v>55</v>
      </c>
      <c r="D332" s="7" t="s">
        <v>56</v>
      </c>
      <c r="E332" s="7" t="s">
        <v>35</v>
      </c>
      <c r="F332" s="0" t="n">
        <v>37.764</v>
      </c>
      <c r="G332" s="0" t="n">
        <v>-27.6936</v>
      </c>
      <c r="H332" s="0" t="n">
        <v>0.7</v>
      </c>
      <c r="I332" s="7" t="n">
        <f aca="false">YEAR(B332)</f>
        <v>2016</v>
      </c>
      <c r="J332" s="0" t="str">
        <f aca="false">I332&amp;"-Q"&amp;ROUNDUP(MONTH(B332)/3,0)</f>
        <v>2016-Q3</v>
      </c>
    </row>
    <row r="333" customFormat="false" ht="15" hidden="false" customHeight="false" outlineLevel="0" collapsed="false">
      <c r="A333" s="0" t="s">
        <v>217</v>
      </c>
      <c r="B333" s="6" t="n">
        <v>42485</v>
      </c>
      <c r="C333" s="7" t="s">
        <v>55</v>
      </c>
      <c r="D333" s="7" t="s">
        <v>56</v>
      </c>
      <c r="E333" s="7" t="s">
        <v>39</v>
      </c>
      <c r="F333" s="0" t="n">
        <v>82.8</v>
      </c>
      <c r="G333" s="0" t="n">
        <v>-20.7</v>
      </c>
      <c r="H333" s="0" t="n">
        <v>0.4</v>
      </c>
      <c r="I333" s="7" t="n">
        <f aca="false">YEAR(B333)</f>
        <v>2016</v>
      </c>
      <c r="J333" s="0" t="str">
        <f aca="false">I333&amp;"-Q"&amp;ROUNDUP(MONTH(B333)/3,0)</f>
        <v>2016-Q2</v>
      </c>
    </row>
    <row r="334" customFormat="false" ht="15" hidden="false" customHeight="false" outlineLevel="0" collapsed="false">
      <c r="A334" s="0" t="s">
        <v>217</v>
      </c>
      <c r="B334" s="6" t="n">
        <v>42485</v>
      </c>
      <c r="C334" s="7" t="s">
        <v>55</v>
      </c>
      <c r="D334" s="7" t="s">
        <v>56</v>
      </c>
      <c r="E334" s="7" t="s">
        <v>35</v>
      </c>
      <c r="F334" s="0" t="n">
        <v>20.724</v>
      </c>
      <c r="G334" s="0" t="n">
        <v>-13.816</v>
      </c>
      <c r="H334" s="0" t="n">
        <v>0.7</v>
      </c>
      <c r="I334" s="7" t="n">
        <f aca="false">YEAR(B334)</f>
        <v>2016</v>
      </c>
      <c r="J334" s="0" t="str">
        <f aca="false">I334&amp;"-Q"&amp;ROUNDUP(MONTH(B334)/3,0)</f>
        <v>2016-Q2</v>
      </c>
    </row>
    <row r="335" customFormat="false" ht="15" hidden="false" customHeight="false" outlineLevel="0" collapsed="false">
      <c r="A335" s="0" t="s">
        <v>217</v>
      </c>
      <c r="B335" s="6" t="n">
        <v>42485</v>
      </c>
      <c r="C335" s="7" t="s">
        <v>55</v>
      </c>
      <c r="D335" s="7" t="s">
        <v>56</v>
      </c>
      <c r="E335" s="7" t="s">
        <v>35</v>
      </c>
      <c r="F335" s="0" t="n">
        <v>4.896</v>
      </c>
      <c r="G335" s="0" t="n">
        <v>-3.4272</v>
      </c>
      <c r="H335" s="0" t="n">
        <v>0.7</v>
      </c>
      <c r="I335" s="7" t="n">
        <f aca="false">YEAR(B335)</f>
        <v>2016</v>
      </c>
      <c r="J335" s="0" t="str">
        <f aca="false">I335&amp;"-Q"&amp;ROUNDUP(MONTH(B335)/3,0)</f>
        <v>2016-Q2</v>
      </c>
    </row>
    <row r="336" customFormat="false" ht="15" hidden="false" customHeight="false" outlineLevel="0" collapsed="false">
      <c r="A336" s="0" t="s">
        <v>218</v>
      </c>
      <c r="B336" s="6" t="n">
        <v>42248</v>
      </c>
      <c r="C336" s="7" t="s">
        <v>33</v>
      </c>
      <c r="D336" s="7" t="s">
        <v>34</v>
      </c>
      <c r="E336" s="7" t="s">
        <v>35</v>
      </c>
      <c r="F336" s="0" t="n">
        <v>4.752</v>
      </c>
      <c r="G336" s="0" t="n">
        <v>1.6038</v>
      </c>
      <c r="H336" s="0" t="n">
        <v>0.2</v>
      </c>
      <c r="I336" s="7" t="n">
        <f aca="false">YEAR(B336)</f>
        <v>2015</v>
      </c>
      <c r="J336" s="0" t="str">
        <f aca="false">I336&amp;"-Q"&amp;ROUNDUP(MONTH(B336)/3,0)</f>
        <v>2015-Q3</v>
      </c>
    </row>
    <row r="337" customFormat="false" ht="15" hidden="false" customHeight="false" outlineLevel="0" collapsed="false">
      <c r="A337" s="0" t="s">
        <v>218</v>
      </c>
      <c r="B337" s="6" t="n">
        <v>42248</v>
      </c>
      <c r="C337" s="7" t="s">
        <v>33</v>
      </c>
      <c r="D337" s="7" t="s">
        <v>34</v>
      </c>
      <c r="E337" s="7" t="s">
        <v>39</v>
      </c>
      <c r="F337" s="0" t="n">
        <v>959.984</v>
      </c>
      <c r="G337" s="0" t="n">
        <v>335.9944</v>
      </c>
      <c r="H337" s="0" t="n">
        <v>0.2</v>
      </c>
      <c r="I337" s="7" t="n">
        <f aca="false">YEAR(B337)</f>
        <v>2015</v>
      </c>
      <c r="J337" s="0" t="str">
        <f aca="false">I337&amp;"-Q"&amp;ROUNDUP(MONTH(B337)/3,0)</f>
        <v>2015-Q3</v>
      </c>
    </row>
    <row r="338" customFormat="false" ht="15" hidden="false" customHeight="false" outlineLevel="0" collapsed="false">
      <c r="A338" s="0" t="s">
        <v>218</v>
      </c>
      <c r="B338" s="6" t="n">
        <v>42248</v>
      </c>
      <c r="C338" s="7" t="s">
        <v>33</v>
      </c>
      <c r="D338" s="7" t="s">
        <v>34</v>
      </c>
      <c r="E338" s="7" t="s">
        <v>35</v>
      </c>
      <c r="F338" s="0" t="n">
        <v>14.368</v>
      </c>
      <c r="G338" s="0" t="n">
        <v>4.49</v>
      </c>
      <c r="H338" s="0" t="n">
        <v>0.2</v>
      </c>
      <c r="I338" s="7" t="n">
        <f aca="false">YEAR(B338)</f>
        <v>2015</v>
      </c>
      <c r="J338" s="0" t="str">
        <f aca="false">I338&amp;"-Q"&amp;ROUNDUP(MONTH(B338)/3,0)</f>
        <v>2015-Q3</v>
      </c>
    </row>
    <row r="339" customFormat="false" ht="15" hidden="false" customHeight="false" outlineLevel="0" collapsed="false">
      <c r="A339" s="0" t="s">
        <v>219</v>
      </c>
      <c r="B339" s="6" t="n">
        <v>41832</v>
      </c>
      <c r="C339" s="7" t="s">
        <v>33</v>
      </c>
      <c r="D339" s="7" t="s">
        <v>34</v>
      </c>
      <c r="E339" s="7" t="s">
        <v>35</v>
      </c>
      <c r="F339" s="0" t="n">
        <v>7.712</v>
      </c>
      <c r="G339" s="0" t="n">
        <v>2.7956</v>
      </c>
      <c r="H339" s="0" t="n">
        <v>0.2</v>
      </c>
      <c r="I339" s="7" t="n">
        <f aca="false">YEAR(B339)</f>
        <v>2014</v>
      </c>
      <c r="J339" s="0" t="str">
        <f aca="false">I339&amp;"-Q"&amp;ROUNDUP(MONTH(B339)/3,0)</f>
        <v>2014-Q3</v>
      </c>
    </row>
    <row r="340" customFormat="false" ht="15" hidden="false" customHeight="false" outlineLevel="0" collapsed="false">
      <c r="A340" s="0" t="s">
        <v>219</v>
      </c>
      <c r="B340" s="6" t="n">
        <v>41832</v>
      </c>
      <c r="C340" s="7" t="s">
        <v>33</v>
      </c>
      <c r="D340" s="7" t="s">
        <v>34</v>
      </c>
      <c r="E340" s="7" t="s">
        <v>31</v>
      </c>
      <c r="F340" s="0" t="n">
        <v>698.352</v>
      </c>
      <c r="G340" s="0" t="n">
        <v>-17.4588</v>
      </c>
      <c r="H340" s="0" t="n">
        <v>0.2</v>
      </c>
      <c r="I340" s="7" t="n">
        <f aca="false">YEAR(B340)</f>
        <v>2014</v>
      </c>
      <c r="J340" s="0" t="str">
        <f aca="false">I340&amp;"-Q"&amp;ROUNDUP(MONTH(B340)/3,0)</f>
        <v>2014-Q3</v>
      </c>
    </row>
    <row r="341" customFormat="false" ht="15" hidden="false" customHeight="false" outlineLevel="0" collapsed="false">
      <c r="A341" s="0" t="s">
        <v>220</v>
      </c>
      <c r="B341" s="6" t="n">
        <v>42177</v>
      </c>
      <c r="C341" s="7" t="s">
        <v>33</v>
      </c>
      <c r="D341" s="7" t="s">
        <v>50</v>
      </c>
      <c r="E341" s="7" t="s">
        <v>35</v>
      </c>
      <c r="F341" s="0" t="n">
        <v>4.96</v>
      </c>
      <c r="G341" s="0" t="n">
        <v>2.3312</v>
      </c>
      <c r="H341" s="0" t="n">
        <v>0</v>
      </c>
      <c r="I341" s="7" t="n">
        <f aca="false">YEAR(B341)</f>
        <v>2015</v>
      </c>
      <c r="J341" s="0" t="str">
        <f aca="false">I341&amp;"-Q"&amp;ROUNDUP(MONTH(B341)/3,0)</f>
        <v>2015-Q2</v>
      </c>
    </row>
    <row r="342" customFormat="false" ht="15" hidden="false" customHeight="false" outlineLevel="0" collapsed="false">
      <c r="A342" s="0" t="s">
        <v>221</v>
      </c>
      <c r="B342" s="6" t="n">
        <v>41742</v>
      </c>
      <c r="C342" s="7" t="s">
        <v>55</v>
      </c>
      <c r="D342" s="7" t="s">
        <v>56</v>
      </c>
      <c r="E342" s="7" t="s">
        <v>35</v>
      </c>
      <c r="F342" s="0" t="n">
        <v>17.856</v>
      </c>
      <c r="G342" s="0" t="n">
        <v>1.116</v>
      </c>
      <c r="H342" s="0" t="n">
        <v>0.2</v>
      </c>
      <c r="I342" s="7" t="n">
        <f aca="false">YEAR(B342)</f>
        <v>2014</v>
      </c>
      <c r="J342" s="0" t="str">
        <f aca="false">I342&amp;"-Q"&amp;ROUNDUP(MONTH(B342)/3,0)</f>
        <v>2014-Q2</v>
      </c>
    </row>
    <row r="343" customFormat="false" ht="15" hidden="false" customHeight="false" outlineLevel="0" collapsed="false">
      <c r="A343" s="0" t="s">
        <v>221</v>
      </c>
      <c r="B343" s="6" t="n">
        <v>41742</v>
      </c>
      <c r="C343" s="7" t="s">
        <v>55</v>
      </c>
      <c r="D343" s="7" t="s">
        <v>56</v>
      </c>
      <c r="E343" s="7" t="s">
        <v>35</v>
      </c>
      <c r="F343" s="0" t="n">
        <v>509.97</v>
      </c>
      <c r="G343" s="0" t="n">
        <v>-407.976</v>
      </c>
      <c r="H343" s="0" t="n">
        <v>0.7</v>
      </c>
      <c r="I343" s="7" t="n">
        <f aca="false">YEAR(B343)</f>
        <v>2014</v>
      </c>
      <c r="J343" s="0" t="str">
        <f aca="false">I343&amp;"-Q"&amp;ROUNDUP(MONTH(B343)/3,0)</f>
        <v>2014-Q2</v>
      </c>
    </row>
    <row r="344" customFormat="false" ht="15" hidden="false" customHeight="false" outlineLevel="0" collapsed="false">
      <c r="A344" s="0" t="s">
        <v>221</v>
      </c>
      <c r="B344" s="6" t="n">
        <v>41742</v>
      </c>
      <c r="C344" s="7" t="s">
        <v>55</v>
      </c>
      <c r="D344" s="7" t="s">
        <v>56</v>
      </c>
      <c r="E344" s="7" t="s">
        <v>35</v>
      </c>
      <c r="F344" s="0" t="n">
        <v>30.992</v>
      </c>
      <c r="G344" s="0" t="n">
        <v>10.0724</v>
      </c>
      <c r="H344" s="0" t="n">
        <v>0.2</v>
      </c>
      <c r="I344" s="7" t="n">
        <f aca="false">YEAR(B344)</f>
        <v>2014</v>
      </c>
      <c r="J344" s="0" t="str">
        <f aca="false">I344&amp;"-Q"&amp;ROUNDUP(MONTH(B344)/3,0)</f>
        <v>2014-Q2</v>
      </c>
    </row>
    <row r="345" customFormat="false" ht="15" hidden="false" customHeight="false" outlineLevel="0" collapsed="false">
      <c r="A345" s="0" t="s">
        <v>221</v>
      </c>
      <c r="B345" s="6" t="n">
        <v>41742</v>
      </c>
      <c r="C345" s="7" t="s">
        <v>55</v>
      </c>
      <c r="D345" s="7" t="s">
        <v>56</v>
      </c>
      <c r="E345" s="7" t="s">
        <v>39</v>
      </c>
      <c r="F345" s="0" t="n">
        <v>71.928</v>
      </c>
      <c r="G345" s="0" t="n">
        <v>8.3916</v>
      </c>
      <c r="H345" s="0" t="n">
        <v>0.4</v>
      </c>
      <c r="I345" s="7" t="n">
        <f aca="false">YEAR(B345)</f>
        <v>2014</v>
      </c>
      <c r="J345" s="0" t="str">
        <f aca="false">I345&amp;"-Q"&amp;ROUNDUP(MONTH(B345)/3,0)</f>
        <v>2014-Q2</v>
      </c>
    </row>
    <row r="346" customFormat="false" ht="15" hidden="false" customHeight="false" outlineLevel="0" collapsed="false">
      <c r="A346" s="0" t="s">
        <v>222</v>
      </c>
      <c r="B346" s="6" t="n">
        <v>42358</v>
      </c>
      <c r="C346" s="7" t="s">
        <v>45</v>
      </c>
      <c r="D346" s="7" t="s">
        <v>46</v>
      </c>
      <c r="E346" s="7" t="s">
        <v>35</v>
      </c>
      <c r="F346" s="0" t="n">
        <v>88.8</v>
      </c>
      <c r="G346" s="0" t="n">
        <v>-2.22</v>
      </c>
      <c r="H346" s="0" t="n">
        <v>0.2</v>
      </c>
      <c r="I346" s="7" t="n">
        <f aca="false">YEAR(B346)</f>
        <v>2015</v>
      </c>
      <c r="J346" s="0" t="str">
        <f aca="false">I346&amp;"-Q"&amp;ROUNDUP(MONTH(B346)/3,0)</f>
        <v>2015-Q4</v>
      </c>
    </row>
    <row r="347" customFormat="false" ht="15" hidden="false" customHeight="false" outlineLevel="0" collapsed="false">
      <c r="A347" s="0" t="s">
        <v>223</v>
      </c>
      <c r="B347" s="6" t="n">
        <v>42901</v>
      </c>
      <c r="C347" s="7" t="s">
        <v>33</v>
      </c>
      <c r="D347" s="7" t="s">
        <v>34</v>
      </c>
      <c r="E347" s="7" t="s">
        <v>39</v>
      </c>
      <c r="F347" s="0" t="n">
        <v>47.976</v>
      </c>
      <c r="G347" s="0" t="n">
        <v>4.7976</v>
      </c>
      <c r="H347" s="0" t="n">
        <v>0.2</v>
      </c>
      <c r="I347" s="7" t="n">
        <f aca="false">YEAR(B347)</f>
        <v>2017</v>
      </c>
      <c r="J347" s="0" t="str">
        <f aca="false">I347&amp;"-Q"&amp;ROUNDUP(MONTH(B347)/3,0)</f>
        <v>2017-Q2</v>
      </c>
    </row>
    <row r="348" customFormat="false" ht="15" hidden="false" customHeight="false" outlineLevel="0" collapsed="false">
      <c r="A348" s="0" t="s">
        <v>224</v>
      </c>
      <c r="B348" s="6" t="n">
        <v>42924</v>
      </c>
      <c r="C348" s="7" t="s">
        <v>55</v>
      </c>
      <c r="D348" s="7" t="s">
        <v>225</v>
      </c>
      <c r="E348" s="7" t="s">
        <v>35</v>
      </c>
      <c r="F348" s="0" t="n">
        <v>7.56</v>
      </c>
      <c r="G348" s="0" t="n">
        <v>3.0996</v>
      </c>
      <c r="H348" s="0" t="n">
        <v>0</v>
      </c>
      <c r="I348" s="7" t="n">
        <f aca="false">YEAR(B348)</f>
        <v>2017</v>
      </c>
      <c r="J348" s="0" t="str">
        <f aca="false">I348&amp;"-Q"&amp;ROUNDUP(MONTH(B348)/3,0)</f>
        <v>2017-Q3</v>
      </c>
    </row>
    <row r="349" customFormat="false" ht="15" hidden="false" customHeight="false" outlineLevel="0" collapsed="false">
      <c r="A349" s="0" t="s">
        <v>224</v>
      </c>
      <c r="B349" s="6" t="n">
        <v>42924</v>
      </c>
      <c r="C349" s="7" t="s">
        <v>55</v>
      </c>
      <c r="D349" s="7" t="s">
        <v>225</v>
      </c>
      <c r="E349" s="7" t="s">
        <v>35</v>
      </c>
      <c r="F349" s="0" t="n">
        <v>24.56</v>
      </c>
      <c r="G349" s="0" t="n">
        <v>11.5432</v>
      </c>
      <c r="H349" s="0" t="n">
        <v>0</v>
      </c>
      <c r="I349" s="7" t="n">
        <f aca="false">YEAR(B349)</f>
        <v>2017</v>
      </c>
      <c r="J349" s="0" t="str">
        <f aca="false">I349&amp;"-Q"&amp;ROUNDUP(MONTH(B349)/3,0)</f>
        <v>2017-Q3</v>
      </c>
    </row>
    <row r="350" customFormat="false" ht="15" hidden="false" customHeight="false" outlineLevel="0" collapsed="false">
      <c r="A350" s="0" t="s">
        <v>224</v>
      </c>
      <c r="B350" s="6" t="n">
        <v>42924</v>
      </c>
      <c r="C350" s="7" t="s">
        <v>55</v>
      </c>
      <c r="D350" s="7" t="s">
        <v>225</v>
      </c>
      <c r="E350" s="7" t="s">
        <v>35</v>
      </c>
      <c r="F350" s="0" t="n">
        <v>12.96</v>
      </c>
      <c r="G350" s="0" t="n">
        <v>4.1472</v>
      </c>
      <c r="H350" s="0" t="n">
        <v>0</v>
      </c>
      <c r="I350" s="7" t="n">
        <f aca="false">YEAR(B350)</f>
        <v>2017</v>
      </c>
      <c r="J350" s="0" t="str">
        <f aca="false">I350&amp;"-Q"&amp;ROUNDUP(MONTH(B350)/3,0)</f>
        <v>2017-Q3</v>
      </c>
    </row>
    <row r="351" customFormat="false" ht="15" hidden="false" customHeight="false" outlineLevel="0" collapsed="false">
      <c r="A351" s="0" t="s">
        <v>226</v>
      </c>
      <c r="B351" s="6" t="n">
        <v>42614</v>
      </c>
      <c r="C351" s="7" t="s">
        <v>55</v>
      </c>
      <c r="D351" s="7" t="s">
        <v>76</v>
      </c>
      <c r="E351" s="7" t="s">
        <v>39</v>
      </c>
      <c r="F351" s="0" t="n">
        <v>6.79</v>
      </c>
      <c r="G351" s="0" t="n">
        <v>2.3086</v>
      </c>
      <c r="H351" s="0" t="n">
        <v>0</v>
      </c>
      <c r="I351" s="7" t="n">
        <f aca="false">YEAR(B351)</f>
        <v>2016</v>
      </c>
      <c r="J351" s="0" t="str">
        <f aca="false">I351&amp;"-Q"&amp;ROUNDUP(MONTH(B351)/3,0)</f>
        <v>2016-Q3</v>
      </c>
    </row>
    <row r="352" customFormat="false" ht="15" hidden="false" customHeight="false" outlineLevel="0" collapsed="false">
      <c r="A352" s="0" t="s">
        <v>226</v>
      </c>
      <c r="B352" s="6" t="n">
        <v>42614</v>
      </c>
      <c r="C352" s="7" t="s">
        <v>55</v>
      </c>
      <c r="D352" s="7" t="s">
        <v>76</v>
      </c>
      <c r="E352" s="7" t="s">
        <v>35</v>
      </c>
      <c r="F352" s="0" t="n">
        <v>24.56</v>
      </c>
      <c r="G352" s="0" t="n">
        <v>11.5432</v>
      </c>
      <c r="H352" s="0" t="n">
        <v>0</v>
      </c>
      <c r="I352" s="7" t="n">
        <f aca="false">YEAR(B352)</f>
        <v>2016</v>
      </c>
      <c r="J352" s="0" t="str">
        <f aca="false">I352&amp;"-Q"&amp;ROUNDUP(MONTH(B352)/3,0)</f>
        <v>2016-Q3</v>
      </c>
    </row>
    <row r="353" customFormat="false" ht="15" hidden="false" customHeight="false" outlineLevel="0" collapsed="false">
      <c r="A353" s="0" t="s">
        <v>226</v>
      </c>
      <c r="B353" s="6" t="n">
        <v>42614</v>
      </c>
      <c r="C353" s="7" t="s">
        <v>55</v>
      </c>
      <c r="D353" s="7" t="s">
        <v>76</v>
      </c>
      <c r="E353" s="7" t="s">
        <v>35</v>
      </c>
      <c r="F353" s="0" t="n">
        <v>3.048</v>
      </c>
      <c r="G353" s="0" t="n">
        <v>1.0668</v>
      </c>
      <c r="H353" s="0" t="n">
        <v>0.2</v>
      </c>
      <c r="I353" s="7" t="n">
        <f aca="false">YEAR(B353)</f>
        <v>2016</v>
      </c>
      <c r="J353" s="0" t="str">
        <f aca="false">I353&amp;"-Q"&amp;ROUNDUP(MONTH(B353)/3,0)</f>
        <v>2016-Q3</v>
      </c>
    </row>
    <row r="354" customFormat="false" ht="15" hidden="false" customHeight="false" outlineLevel="0" collapsed="false">
      <c r="A354" s="0" t="s">
        <v>226</v>
      </c>
      <c r="B354" s="6" t="n">
        <v>42614</v>
      </c>
      <c r="C354" s="7" t="s">
        <v>55</v>
      </c>
      <c r="D354" s="7" t="s">
        <v>76</v>
      </c>
      <c r="E354" s="7" t="s">
        <v>35</v>
      </c>
      <c r="F354" s="0" t="n">
        <v>49.12</v>
      </c>
      <c r="G354" s="0" t="n">
        <v>23.0864</v>
      </c>
      <c r="H354" s="0" t="n">
        <v>0</v>
      </c>
      <c r="I354" s="7" t="n">
        <f aca="false">YEAR(B354)</f>
        <v>2016</v>
      </c>
      <c r="J354" s="0" t="str">
        <f aca="false">I354&amp;"-Q"&amp;ROUNDUP(MONTH(B354)/3,0)</f>
        <v>2016-Q3</v>
      </c>
    </row>
    <row r="355" customFormat="false" ht="15" hidden="false" customHeight="false" outlineLevel="0" collapsed="false">
      <c r="A355" s="0" t="s">
        <v>226</v>
      </c>
      <c r="B355" s="6" t="n">
        <v>42614</v>
      </c>
      <c r="C355" s="7" t="s">
        <v>55</v>
      </c>
      <c r="D355" s="7" t="s">
        <v>76</v>
      </c>
      <c r="E355" s="7" t="s">
        <v>35</v>
      </c>
      <c r="F355" s="0" t="n">
        <v>4355.168</v>
      </c>
      <c r="G355" s="0" t="n">
        <v>1415.4296</v>
      </c>
      <c r="H355" s="0" t="n">
        <v>0.2</v>
      </c>
      <c r="I355" s="7" t="n">
        <f aca="false">YEAR(B355)</f>
        <v>2016</v>
      </c>
      <c r="J355" s="0" t="str">
        <f aca="false">I355&amp;"-Q"&amp;ROUNDUP(MONTH(B355)/3,0)</f>
        <v>2016-Q3</v>
      </c>
    </row>
    <row r="356" customFormat="false" ht="15" hidden="false" customHeight="false" outlineLevel="0" collapsed="false">
      <c r="A356" s="0" t="s">
        <v>227</v>
      </c>
      <c r="B356" s="6" t="n">
        <v>42468</v>
      </c>
      <c r="C356" s="7" t="s">
        <v>55</v>
      </c>
      <c r="D356" s="7" t="s">
        <v>76</v>
      </c>
      <c r="E356" s="7" t="s">
        <v>31</v>
      </c>
      <c r="F356" s="0" t="n">
        <v>388.704</v>
      </c>
      <c r="G356" s="0" t="n">
        <v>-4.8588</v>
      </c>
      <c r="H356" s="0" t="n">
        <v>0.2</v>
      </c>
      <c r="I356" s="7" t="n">
        <f aca="false">YEAR(B356)</f>
        <v>2016</v>
      </c>
      <c r="J356" s="0" t="str">
        <f aca="false">I356&amp;"-Q"&amp;ROUNDUP(MONTH(B356)/3,0)</f>
        <v>2016-Q2</v>
      </c>
    </row>
    <row r="357" customFormat="false" ht="15" hidden="false" customHeight="false" outlineLevel="0" collapsed="false">
      <c r="A357" s="0" t="s">
        <v>227</v>
      </c>
      <c r="B357" s="6" t="n">
        <v>42468</v>
      </c>
      <c r="C357" s="7" t="s">
        <v>55</v>
      </c>
      <c r="D357" s="7" t="s">
        <v>76</v>
      </c>
      <c r="E357" s="7" t="s">
        <v>35</v>
      </c>
      <c r="F357" s="0" t="n">
        <v>8.26</v>
      </c>
      <c r="G357" s="0" t="n">
        <v>3.7996</v>
      </c>
      <c r="H357" s="0" t="n">
        <v>0</v>
      </c>
      <c r="I357" s="7" t="n">
        <f aca="false">YEAR(B357)</f>
        <v>2016</v>
      </c>
      <c r="J357" s="0" t="str">
        <f aca="false">I357&amp;"-Q"&amp;ROUNDUP(MONTH(B357)/3,0)</f>
        <v>2016-Q2</v>
      </c>
    </row>
    <row r="358" customFormat="false" ht="15" hidden="false" customHeight="false" outlineLevel="0" collapsed="false">
      <c r="A358" s="0" t="s">
        <v>227</v>
      </c>
      <c r="B358" s="6" t="n">
        <v>42468</v>
      </c>
      <c r="C358" s="7" t="s">
        <v>55</v>
      </c>
      <c r="D358" s="7" t="s">
        <v>76</v>
      </c>
      <c r="E358" s="7" t="s">
        <v>35</v>
      </c>
      <c r="F358" s="0" t="n">
        <v>17.04</v>
      </c>
      <c r="G358" s="0" t="n">
        <v>6.9864</v>
      </c>
      <c r="H358" s="0" t="n">
        <v>0</v>
      </c>
      <c r="I358" s="7" t="n">
        <f aca="false">YEAR(B358)</f>
        <v>2016</v>
      </c>
      <c r="J358" s="0" t="str">
        <f aca="false">I358&amp;"-Q"&amp;ROUNDUP(MONTH(B358)/3,0)</f>
        <v>2016-Q2</v>
      </c>
    </row>
    <row r="359" customFormat="false" ht="15" hidden="false" customHeight="false" outlineLevel="0" collapsed="false">
      <c r="A359" s="0" t="s">
        <v>227</v>
      </c>
      <c r="B359" s="6" t="n">
        <v>42468</v>
      </c>
      <c r="C359" s="7" t="s">
        <v>55</v>
      </c>
      <c r="D359" s="7" t="s">
        <v>76</v>
      </c>
      <c r="E359" s="7" t="s">
        <v>35</v>
      </c>
      <c r="F359" s="0" t="n">
        <v>34.4</v>
      </c>
      <c r="G359" s="0" t="n">
        <v>15.824</v>
      </c>
      <c r="H359" s="0" t="n">
        <v>0</v>
      </c>
      <c r="I359" s="7" t="n">
        <f aca="false">YEAR(B359)</f>
        <v>2016</v>
      </c>
      <c r="J359" s="0" t="str">
        <f aca="false">I359&amp;"-Q"&amp;ROUNDUP(MONTH(B359)/3,0)</f>
        <v>2016-Q2</v>
      </c>
    </row>
    <row r="360" customFormat="false" ht="15" hidden="false" customHeight="false" outlineLevel="0" collapsed="false">
      <c r="A360" s="0" t="s">
        <v>228</v>
      </c>
      <c r="B360" s="6" t="n">
        <v>42483</v>
      </c>
      <c r="C360" s="7" t="s">
        <v>29</v>
      </c>
      <c r="D360" s="7" t="s">
        <v>41</v>
      </c>
      <c r="E360" s="7" t="s">
        <v>35</v>
      </c>
      <c r="F360" s="0" t="n">
        <v>36.24</v>
      </c>
      <c r="G360" s="0" t="n">
        <v>11.325</v>
      </c>
      <c r="H360" s="0" t="n">
        <v>0.2</v>
      </c>
      <c r="I360" s="7" t="n">
        <f aca="false">YEAR(B360)</f>
        <v>2016</v>
      </c>
      <c r="J360" s="0" t="str">
        <f aca="false">I360&amp;"-Q"&amp;ROUNDUP(MONTH(B360)/3,0)</f>
        <v>2016-Q2</v>
      </c>
    </row>
    <row r="361" customFormat="false" ht="15" hidden="false" customHeight="false" outlineLevel="0" collapsed="false">
      <c r="A361" s="0" t="s">
        <v>229</v>
      </c>
      <c r="B361" s="6" t="n">
        <v>42802</v>
      </c>
      <c r="C361" s="7" t="s">
        <v>29</v>
      </c>
      <c r="D361" s="7" t="s">
        <v>230</v>
      </c>
      <c r="E361" s="7" t="s">
        <v>35</v>
      </c>
      <c r="F361" s="0" t="n">
        <v>647.84</v>
      </c>
      <c r="G361" s="0" t="n">
        <v>168.4384</v>
      </c>
      <c r="H361" s="0" t="n">
        <v>0</v>
      </c>
      <c r="I361" s="7" t="n">
        <f aca="false">YEAR(B361)</f>
        <v>2017</v>
      </c>
      <c r="J361" s="0" t="str">
        <f aca="false">I361&amp;"-Q"&amp;ROUNDUP(MONTH(B361)/3,0)</f>
        <v>2017-Q1</v>
      </c>
    </row>
    <row r="362" customFormat="false" ht="15" hidden="false" customHeight="false" outlineLevel="0" collapsed="false">
      <c r="A362" s="0" t="s">
        <v>229</v>
      </c>
      <c r="B362" s="6" t="n">
        <v>42802</v>
      </c>
      <c r="C362" s="7" t="s">
        <v>29</v>
      </c>
      <c r="D362" s="7" t="s">
        <v>230</v>
      </c>
      <c r="E362" s="7" t="s">
        <v>35</v>
      </c>
      <c r="F362" s="0" t="n">
        <v>20.7</v>
      </c>
      <c r="G362" s="0" t="n">
        <v>9.936</v>
      </c>
      <c r="H362" s="0" t="n">
        <v>0</v>
      </c>
      <c r="I362" s="7" t="n">
        <f aca="false">YEAR(B362)</f>
        <v>2017</v>
      </c>
      <c r="J362" s="0" t="str">
        <f aca="false">I362&amp;"-Q"&amp;ROUNDUP(MONTH(B362)/3,0)</f>
        <v>2017-Q1</v>
      </c>
    </row>
    <row r="363" customFormat="false" ht="15" hidden="false" customHeight="false" outlineLevel="0" collapsed="false">
      <c r="A363" s="0" t="s">
        <v>231</v>
      </c>
      <c r="B363" s="6" t="n">
        <v>43003</v>
      </c>
      <c r="C363" s="7" t="s">
        <v>55</v>
      </c>
      <c r="D363" s="7" t="s">
        <v>76</v>
      </c>
      <c r="E363" s="7" t="s">
        <v>35</v>
      </c>
      <c r="F363" s="0" t="n">
        <v>20.7</v>
      </c>
      <c r="G363" s="0" t="n">
        <v>9.936</v>
      </c>
      <c r="H363" s="0" t="n">
        <v>0</v>
      </c>
      <c r="I363" s="7" t="n">
        <f aca="false">YEAR(B363)</f>
        <v>2017</v>
      </c>
      <c r="J363" s="0" t="str">
        <f aca="false">I363&amp;"-Q"&amp;ROUNDUP(MONTH(B363)/3,0)</f>
        <v>2017-Q3</v>
      </c>
    </row>
    <row r="364" customFormat="false" ht="15" hidden="false" customHeight="false" outlineLevel="0" collapsed="false">
      <c r="A364" s="0" t="s">
        <v>231</v>
      </c>
      <c r="B364" s="6" t="n">
        <v>43003</v>
      </c>
      <c r="C364" s="7" t="s">
        <v>55</v>
      </c>
      <c r="D364" s="7" t="s">
        <v>76</v>
      </c>
      <c r="E364" s="7" t="s">
        <v>31</v>
      </c>
      <c r="F364" s="0" t="n">
        <v>488.646</v>
      </c>
      <c r="G364" s="0" t="n">
        <v>86.8704</v>
      </c>
      <c r="H364" s="0" t="n">
        <v>0.1</v>
      </c>
      <c r="I364" s="7" t="n">
        <f aca="false">YEAR(B364)</f>
        <v>2017</v>
      </c>
      <c r="J364" s="0" t="str">
        <f aca="false">I364&amp;"-Q"&amp;ROUNDUP(MONTH(B364)/3,0)</f>
        <v>2017-Q3</v>
      </c>
    </row>
    <row r="365" customFormat="false" ht="15" hidden="false" customHeight="false" outlineLevel="0" collapsed="false">
      <c r="A365" s="0" t="s">
        <v>231</v>
      </c>
      <c r="B365" s="6" t="n">
        <v>43003</v>
      </c>
      <c r="C365" s="7" t="s">
        <v>55</v>
      </c>
      <c r="D365" s="7" t="s">
        <v>76</v>
      </c>
      <c r="E365" s="7" t="s">
        <v>35</v>
      </c>
      <c r="F365" s="0" t="n">
        <v>5.56</v>
      </c>
      <c r="G365" s="0" t="n">
        <v>1.4456</v>
      </c>
      <c r="H365" s="0" t="n">
        <v>0</v>
      </c>
      <c r="I365" s="7" t="n">
        <f aca="false">YEAR(B365)</f>
        <v>2017</v>
      </c>
      <c r="J365" s="0" t="str">
        <f aca="false">I365&amp;"-Q"&amp;ROUNDUP(MONTH(B365)/3,0)</f>
        <v>2017-Q3</v>
      </c>
    </row>
    <row r="366" customFormat="false" ht="15" hidden="false" customHeight="false" outlineLevel="0" collapsed="false">
      <c r="A366" s="0" t="s">
        <v>231</v>
      </c>
      <c r="B366" s="6" t="n">
        <v>43003</v>
      </c>
      <c r="C366" s="7" t="s">
        <v>55</v>
      </c>
      <c r="D366" s="7" t="s">
        <v>76</v>
      </c>
      <c r="E366" s="7" t="s">
        <v>31</v>
      </c>
      <c r="F366" s="0" t="n">
        <v>47.12</v>
      </c>
      <c r="G366" s="0" t="n">
        <v>20.7328</v>
      </c>
      <c r="H366" s="0" t="n">
        <v>0</v>
      </c>
      <c r="I366" s="7" t="n">
        <f aca="false">YEAR(B366)</f>
        <v>2017</v>
      </c>
      <c r="J366" s="0" t="str">
        <f aca="false">I366&amp;"-Q"&amp;ROUNDUP(MONTH(B366)/3,0)</f>
        <v>2017-Q3</v>
      </c>
    </row>
    <row r="367" customFormat="false" ht="15" hidden="false" customHeight="false" outlineLevel="0" collapsed="false">
      <c r="A367" s="0" t="s">
        <v>232</v>
      </c>
      <c r="B367" s="6" t="n">
        <v>41906</v>
      </c>
      <c r="C367" s="7" t="s">
        <v>33</v>
      </c>
      <c r="D367" s="7" t="s">
        <v>34</v>
      </c>
      <c r="E367" s="7" t="s">
        <v>35</v>
      </c>
      <c r="F367" s="0" t="n">
        <v>211.96</v>
      </c>
      <c r="G367" s="0" t="n">
        <v>8.4784</v>
      </c>
      <c r="H367" s="0" t="n">
        <v>0</v>
      </c>
      <c r="I367" s="7" t="n">
        <f aca="false">YEAR(B367)</f>
        <v>2014</v>
      </c>
      <c r="J367" s="0" t="str">
        <f aca="false">I367&amp;"-Q"&amp;ROUNDUP(MONTH(B367)/3,0)</f>
        <v>2014-Q3</v>
      </c>
    </row>
    <row r="368" customFormat="false" ht="15" hidden="false" customHeight="false" outlineLevel="0" collapsed="false">
      <c r="A368" s="0" t="s">
        <v>233</v>
      </c>
      <c r="B368" s="6" t="n">
        <v>42664</v>
      </c>
      <c r="C368" s="7" t="s">
        <v>55</v>
      </c>
      <c r="D368" s="7" t="s">
        <v>154</v>
      </c>
      <c r="E368" s="7" t="s">
        <v>35</v>
      </c>
      <c r="F368" s="0" t="n">
        <v>23.2</v>
      </c>
      <c r="G368" s="0" t="n">
        <v>10.44</v>
      </c>
      <c r="H368" s="0" t="n">
        <v>0</v>
      </c>
      <c r="I368" s="7" t="n">
        <f aca="false">YEAR(B368)</f>
        <v>2016</v>
      </c>
      <c r="J368" s="0" t="str">
        <f aca="false">I368&amp;"-Q"&amp;ROUNDUP(MONTH(B368)/3,0)</f>
        <v>2016-Q4</v>
      </c>
    </row>
    <row r="369" customFormat="false" ht="15" hidden="false" customHeight="false" outlineLevel="0" collapsed="false">
      <c r="A369" s="0" t="s">
        <v>233</v>
      </c>
      <c r="B369" s="6" t="n">
        <v>42664</v>
      </c>
      <c r="C369" s="7" t="s">
        <v>55</v>
      </c>
      <c r="D369" s="7" t="s">
        <v>154</v>
      </c>
      <c r="E369" s="7" t="s">
        <v>35</v>
      </c>
      <c r="F369" s="0" t="n">
        <v>7.36</v>
      </c>
      <c r="G369" s="0" t="n">
        <v>0.1472</v>
      </c>
      <c r="H369" s="0" t="n">
        <v>0</v>
      </c>
      <c r="I369" s="7" t="n">
        <f aca="false">YEAR(B369)</f>
        <v>2016</v>
      </c>
      <c r="J369" s="0" t="str">
        <f aca="false">I369&amp;"-Q"&amp;ROUNDUP(MONTH(B369)/3,0)</f>
        <v>2016-Q4</v>
      </c>
    </row>
    <row r="370" customFormat="false" ht="15" hidden="false" customHeight="false" outlineLevel="0" collapsed="false">
      <c r="A370" s="0" t="s">
        <v>233</v>
      </c>
      <c r="B370" s="6" t="n">
        <v>42664</v>
      </c>
      <c r="C370" s="7" t="s">
        <v>55</v>
      </c>
      <c r="D370" s="7" t="s">
        <v>154</v>
      </c>
      <c r="E370" s="7" t="s">
        <v>35</v>
      </c>
      <c r="F370" s="0" t="n">
        <v>104.79</v>
      </c>
      <c r="G370" s="0" t="n">
        <v>29.3412</v>
      </c>
      <c r="H370" s="0" t="n">
        <v>0</v>
      </c>
      <c r="I370" s="7" t="n">
        <f aca="false">YEAR(B370)</f>
        <v>2016</v>
      </c>
      <c r="J370" s="0" t="str">
        <f aca="false">I370&amp;"-Q"&amp;ROUNDUP(MONTH(B370)/3,0)</f>
        <v>2016-Q4</v>
      </c>
    </row>
    <row r="371" customFormat="false" ht="15" hidden="false" customHeight="false" outlineLevel="0" collapsed="false">
      <c r="A371" s="0" t="s">
        <v>233</v>
      </c>
      <c r="B371" s="6" t="n">
        <v>42664</v>
      </c>
      <c r="C371" s="7" t="s">
        <v>55</v>
      </c>
      <c r="D371" s="7" t="s">
        <v>154</v>
      </c>
      <c r="E371" s="7" t="s">
        <v>31</v>
      </c>
      <c r="F371" s="0" t="n">
        <v>1043.92</v>
      </c>
      <c r="G371" s="0" t="n">
        <v>271.4192</v>
      </c>
      <c r="H371" s="0" t="n">
        <v>0</v>
      </c>
      <c r="I371" s="7" t="n">
        <f aca="false">YEAR(B371)</f>
        <v>2016</v>
      </c>
      <c r="J371" s="0" t="str">
        <f aca="false">I371&amp;"-Q"&amp;ROUNDUP(MONTH(B371)/3,0)</f>
        <v>2016-Q4</v>
      </c>
    </row>
    <row r="372" customFormat="false" ht="15" hidden="false" customHeight="false" outlineLevel="0" collapsed="false">
      <c r="A372" s="0" t="s">
        <v>234</v>
      </c>
      <c r="B372" s="6" t="n">
        <v>42884</v>
      </c>
      <c r="C372" s="7" t="s">
        <v>45</v>
      </c>
      <c r="D372" s="7" t="s">
        <v>46</v>
      </c>
      <c r="E372" s="7" t="s">
        <v>35</v>
      </c>
      <c r="F372" s="0" t="n">
        <v>25.92</v>
      </c>
      <c r="G372" s="0" t="n">
        <v>9.396</v>
      </c>
      <c r="H372" s="0" t="n">
        <v>0.2</v>
      </c>
      <c r="I372" s="7" t="n">
        <f aca="false">YEAR(B372)</f>
        <v>2017</v>
      </c>
      <c r="J372" s="0" t="str">
        <f aca="false">I372&amp;"-Q"&amp;ROUNDUP(MONTH(B372)/3,0)</f>
        <v>2017-Q2</v>
      </c>
    </row>
    <row r="373" customFormat="false" ht="15" hidden="false" customHeight="false" outlineLevel="0" collapsed="false">
      <c r="A373" s="0" t="s">
        <v>234</v>
      </c>
      <c r="B373" s="6" t="n">
        <v>42884</v>
      </c>
      <c r="C373" s="7" t="s">
        <v>45</v>
      </c>
      <c r="D373" s="7" t="s">
        <v>46</v>
      </c>
      <c r="E373" s="7" t="s">
        <v>35</v>
      </c>
      <c r="F373" s="0" t="n">
        <v>53.424</v>
      </c>
      <c r="G373" s="0" t="n">
        <v>4.6746</v>
      </c>
      <c r="H373" s="0" t="n">
        <v>0.2</v>
      </c>
      <c r="I373" s="7" t="n">
        <f aca="false">YEAR(B373)</f>
        <v>2017</v>
      </c>
      <c r="J373" s="0" t="str">
        <f aca="false">I373&amp;"-Q"&amp;ROUNDUP(MONTH(B373)/3,0)</f>
        <v>2017-Q2</v>
      </c>
    </row>
    <row r="374" customFormat="false" ht="15" hidden="false" customHeight="false" outlineLevel="0" collapsed="false">
      <c r="A374" s="0" t="s">
        <v>235</v>
      </c>
      <c r="B374" s="6" t="n">
        <v>41843</v>
      </c>
      <c r="C374" s="7" t="s">
        <v>33</v>
      </c>
      <c r="D374" s="7" t="s">
        <v>81</v>
      </c>
      <c r="E374" s="7" t="s">
        <v>35</v>
      </c>
      <c r="F374" s="0" t="n">
        <v>8.16</v>
      </c>
      <c r="G374" s="0" t="n">
        <v>-5.712</v>
      </c>
      <c r="H374" s="0" t="n">
        <v>0.7</v>
      </c>
      <c r="I374" s="7" t="n">
        <f aca="false">YEAR(B374)</f>
        <v>2014</v>
      </c>
      <c r="J374" s="0" t="str">
        <f aca="false">I374&amp;"-Q"&amp;ROUNDUP(MONTH(B374)/3,0)</f>
        <v>2014-Q3</v>
      </c>
    </row>
    <row r="375" customFormat="false" ht="15" hidden="false" customHeight="false" outlineLevel="0" collapsed="false">
      <c r="A375" s="0" t="s">
        <v>235</v>
      </c>
      <c r="B375" s="6" t="n">
        <v>41843</v>
      </c>
      <c r="C375" s="7" t="s">
        <v>33</v>
      </c>
      <c r="D375" s="7" t="s">
        <v>81</v>
      </c>
      <c r="E375" s="7" t="s">
        <v>39</v>
      </c>
      <c r="F375" s="0" t="n">
        <v>1023.936</v>
      </c>
      <c r="G375" s="0" t="n">
        <v>179.1888</v>
      </c>
      <c r="H375" s="0" t="n">
        <v>0.2</v>
      </c>
      <c r="I375" s="7" t="n">
        <f aca="false">YEAR(B375)</f>
        <v>2014</v>
      </c>
      <c r="J375" s="0" t="str">
        <f aca="false">I375&amp;"-Q"&amp;ROUNDUP(MONTH(B375)/3,0)</f>
        <v>2014-Q3</v>
      </c>
    </row>
    <row r="376" customFormat="false" ht="15" hidden="false" customHeight="false" outlineLevel="0" collapsed="false">
      <c r="A376" s="0" t="s">
        <v>235</v>
      </c>
      <c r="B376" s="6" t="n">
        <v>41843</v>
      </c>
      <c r="C376" s="7" t="s">
        <v>33</v>
      </c>
      <c r="D376" s="7" t="s">
        <v>81</v>
      </c>
      <c r="E376" s="7" t="s">
        <v>35</v>
      </c>
      <c r="F376" s="0" t="n">
        <v>9.24</v>
      </c>
      <c r="G376" s="0" t="n">
        <v>0.924</v>
      </c>
      <c r="H376" s="0" t="n">
        <v>0.2</v>
      </c>
      <c r="I376" s="7" t="n">
        <f aca="false">YEAR(B376)</f>
        <v>2014</v>
      </c>
      <c r="J376" s="0" t="str">
        <f aca="false">I376&amp;"-Q"&amp;ROUNDUP(MONTH(B376)/3,0)</f>
        <v>2014-Q3</v>
      </c>
    </row>
    <row r="377" customFormat="false" ht="15" hidden="false" customHeight="false" outlineLevel="0" collapsed="false">
      <c r="A377" s="0" t="s">
        <v>235</v>
      </c>
      <c r="B377" s="6" t="n">
        <v>41843</v>
      </c>
      <c r="C377" s="7" t="s">
        <v>33</v>
      </c>
      <c r="D377" s="7" t="s">
        <v>81</v>
      </c>
      <c r="E377" s="7" t="s">
        <v>39</v>
      </c>
      <c r="F377" s="0" t="n">
        <v>479.04</v>
      </c>
      <c r="G377" s="0" t="n">
        <v>-29.94</v>
      </c>
      <c r="H377" s="0" t="n">
        <v>0.2</v>
      </c>
      <c r="I377" s="7" t="n">
        <f aca="false">YEAR(B377)</f>
        <v>2014</v>
      </c>
      <c r="J377" s="0" t="str">
        <f aca="false">I377&amp;"-Q"&amp;ROUNDUP(MONTH(B377)/3,0)</f>
        <v>2014-Q3</v>
      </c>
    </row>
    <row r="378" customFormat="false" ht="15" hidden="false" customHeight="false" outlineLevel="0" collapsed="false">
      <c r="A378" s="0" t="s">
        <v>236</v>
      </c>
      <c r="B378" s="6" t="n">
        <v>42641</v>
      </c>
      <c r="C378" s="7" t="s">
        <v>45</v>
      </c>
      <c r="D378" s="7" t="s">
        <v>64</v>
      </c>
      <c r="E378" s="7" t="s">
        <v>35</v>
      </c>
      <c r="F378" s="0" t="n">
        <v>99.136</v>
      </c>
      <c r="G378" s="0" t="n">
        <v>30.98</v>
      </c>
      <c r="H378" s="0" t="n">
        <v>0.2</v>
      </c>
      <c r="I378" s="7" t="n">
        <f aca="false">YEAR(B378)</f>
        <v>2016</v>
      </c>
      <c r="J378" s="0" t="str">
        <f aca="false">I378&amp;"-Q"&amp;ROUNDUP(MONTH(B378)/3,0)</f>
        <v>2016-Q3</v>
      </c>
    </row>
    <row r="379" customFormat="false" ht="15" hidden="false" customHeight="false" outlineLevel="0" collapsed="false">
      <c r="A379" s="0" t="s">
        <v>237</v>
      </c>
      <c r="B379" s="6" t="n">
        <v>42974</v>
      </c>
      <c r="C379" s="7" t="s">
        <v>55</v>
      </c>
      <c r="D379" s="7" t="s">
        <v>225</v>
      </c>
      <c r="E379" s="7" t="s">
        <v>31</v>
      </c>
      <c r="F379" s="0" t="n">
        <v>1488.424</v>
      </c>
      <c r="G379" s="0" t="n">
        <v>-297.6848</v>
      </c>
      <c r="H379" s="0" t="n">
        <v>0.3</v>
      </c>
      <c r="I379" s="7" t="n">
        <f aca="false">YEAR(B379)</f>
        <v>2017</v>
      </c>
      <c r="J379" s="0" t="str">
        <f aca="false">I379&amp;"-Q"&amp;ROUNDUP(MONTH(B379)/3,0)</f>
        <v>2017-Q3</v>
      </c>
    </row>
    <row r="380" customFormat="false" ht="15" hidden="false" customHeight="false" outlineLevel="0" collapsed="false">
      <c r="A380" s="0" t="s">
        <v>238</v>
      </c>
      <c r="B380" s="6" t="n">
        <v>42122</v>
      </c>
      <c r="C380" s="7" t="s">
        <v>45</v>
      </c>
      <c r="D380" s="7" t="s">
        <v>46</v>
      </c>
      <c r="E380" s="7" t="s">
        <v>35</v>
      </c>
      <c r="F380" s="0" t="n">
        <v>8.652</v>
      </c>
      <c r="G380" s="0" t="n">
        <v>-20.3322</v>
      </c>
      <c r="H380" s="0" t="n">
        <v>0.8</v>
      </c>
      <c r="I380" s="7" t="n">
        <f aca="false">YEAR(B380)</f>
        <v>2015</v>
      </c>
      <c r="J380" s="0" t="str">
        <f aca="false">I380&amp;"-Q"&amp;ROUNDUP(MONTH(B380)/3,0)</f>
        <v>2015-Q2</v>
      </c>
    </row>
    <row r="381" customFormat="false" ht="15" hidden="false" customHeight="false" outlineLevel="0" collapsed="false">
      <c r="A381" s="0" t="s">
        <v>238</v>
      </c>
      <c r="B381" s="6" t="n">
        <v>42122</v>
      </c>
      <c r="C381" s="7" t="s">
        <v>45</v>
      </c>
      <c r="D381" s="7" t="s">
        <v>46</v>
      </c>
      <c r="E381" s="7" t="s">
        <v>35</v>
      </c>
      <c r="F381" s="0" t="n">
        <v>23.832</v>
      </c>
      <c r="G381" s="0" t="n">
        <v>2.6811</v>
      </c>
      <c r="H381" s="0" t="n">
        <v>0.2</v>
      </c>
      <c r="I381" s="7" t="n">
        <f aca="false">YEAR(B381)</f>
        <v>2015</v>
      </c>
      <c r="J381" s="0" t="str">
        <f aca="false">I381&amp;"-Q"&amp;ROUNDUP(MONTH(B381)/3,0)</f>
        <v>2015-Q2</v>
      </c>
    </row>
    <row r="382" customFormat="false" ht="15" hidden="false" customHeight="false" outlineLevel="0" collapsed="false">
      <c r="A382" s="0" t="s">
        <v>238</v>
      </c>
      <c r="B382" s="6" t="n">
        <v>42122</v>
      </c>
      <c r="C382" s="7" t="s">
        <v>45</v>
      </c>
      <c r="D382" s="7" t="s">
        <v>46</v>
      </c>
      <c r="E382" s="7" t="s">
        <v>35</v>
      </c>
      <c r="F382" s="0" t="n">
        <v>12.176</v>
      </c>
      <c r="G382" s="0" t="n">
        <v>-18.8728</v>
      </c>
      <c r="H382" s="0" t="n">
        <v>0.8</v>
      </c>
      <c r="I382" s="7" t="n">
        <f aca="false">YEAR(B382)</f>
        <v>2015</v>
      </c>
      <c r="J382" s="0" t="str">
        <f aca="false">I382&amp;"-Q"&amp;ROUNDUP(MONTH(B382)/3,0)</f>
        <v>2015-Q2</v>
      </c>
    </row>
    <row r="383" customFormat="false" ht="15" hidden="false" customHeight="false" outlineLevel="0" collapsed="false">
      <c r="A383" s="0" t="s">
        <v>239</v>
      </c>
      <c r="B383" s="6" t="n">
        <v>42671</v>
      </c>
      <c r="C383" s="7" t="s">
        <v>33</v>
      </c>
      <c r="D383" s="7" t="s">
        <v>34</v>
      </c>
      <c r="E383" s="7" t="s">
        <v>35</v>
      </c>
      <c r="F383" s="0" t="n">
        <v>50.96</v>
      </c>
      <c r="G383" s="0" t="n">
        <v>25.48</v>
      </c>
      <c r="H383" s="0" t="n">
        <v>0</v>
      </c>
      <c r="I383" s="7" t="n">
        <f aca="false">YEAR(B383)</f>
        <v>2016</v>
      </c>
      <c r="J383" s="0" t="str">
        <f aca="false">I383&amp;"-Q"&amp;ROUNDUP(MONTH(B383)/3,0)</f>
        <v>2016-Q4</v>
      </c>
    </row>
    <row r="384" customFormat="false" ht="15" hidden="false" customHeight="false" outlineLevel="0" collapsed="false">
      <c r="A384" s="0" t="s">
        <v>239</v>
      </c>
      <c r="B384" s="6" t="n">
        <v>42671</v>
      </c>
      <c r="C384" s="7" t="s">
        <v>33</v>
      </c>
      <c r="D384" s="7" t="s">
        <v>34</v>
      </c>
      <c r="E384" s="7" t="s">
        <v>35</v>
      </c>
      <c r="F384" s="0" t="n">
        <v>49.536</v>
      </c>
      <c r="G384" s="0" t="n">
        <v>17.3376</v>
      </c>
      <c r="H384" s="0" t="n">
        <v>0.2</v>
      </c>
      <c r="I384" s="7" t="n">
        <f aca="false">YEAR(B384)</f>
        <v>2016</v>
      </c>
      <c r="J384" s="0" t="str">
        <f aca="false">I384&amp;"-Q"&amp;ROUNDUP(MONTH(B384)/3,0)</f>
        <v>2016-Q4</v>
      </c>
    </row>
    <row r="385" customFormat="false" ht="15" hidden="false" customHeight="false" outlineLevel="0" collapsed="false">
      <c r="A385" s="0" t="s">
        <v>240</v>
      </c>
      <c r="B385" s="6" t="n">
        <v>42181</v>
      </c>
      <c r="C385" s="7" t="s">
        <v>45</v>
      </c>
      <c r="D385" s="7" t="s">
        <v>70</v>
      </c>
      <c r="E385" s="7" t="s">
        <v>39</v>
      </c>
      <c r="F385" s="0" t="n">
        <v>41.9</v>
      </c>
      <c r="G385" s="0" t="n">
        <v>8.799</v>
      </c>
      <c r="H385" s="0" t="n">
        <v>0</v>
      </c>
      <c r="I385" s="7" t="n">
        <f aca="false">YEAR(B385)</f>
        <v>2015</v>
      </c>
      <c r="J385" s="0" t="str">
        <f aca="false">I385&amp;"-Q"&amp;ROUNDUP(MONTH(B385)/3,0)</f>
        <v>2015-Q2</v>
      </c>
    </row>
    <row r="386" customFormat="false" ht="15" hidden="false" customHeight="false" outlineLevel="0" collapsed="false">
      <c r="A386" s="0" t="s">
        <v>241</v>
      </c>
      <c r="B386" s="6" t="n">
        <v>42335</v>
      </c>
      <c r="C386" s="7" t="s">
        <v>29</v>
      </c>
      <c r="D386" s="7" t="s">
        <v>37</v>
      </c>
      <c r="E386" s="7" t="s">
        <v>31</v>
      </c>
      <c r="F386" s="0" t="n">
        <v>375.4575</v>
      </c>
      <c r="G386" s="0" t="n">
        <v>-157.0095</v>
      </c>
      <c r="H386" s="0" t="n">
        <v>0.45</v>
      </c>
      <c r="I386" s="7" t="n">
        <f aca="false">YEAR(B386)</f>
        <v>2015</v>
      </c>
      <c r="J386" s="0" t="str">
        <f aca="false">I386&amp;"-Q"&amp;ROUNDUP(MONTH(B386)/3,0)</f>
        <v>2015-Q4</v>
      </c>
    </row>
    <row r="387" customFormat="false" ht="15" hidden="false" customHeight="false" outlineLevel="0" collapsed="false">
      <c r="A387" s="0" t="s">
        <v>241</v>
      </c>
      <c r="B387" s="6" t="n">
        <v>42335</v>
      </c>
      <c r="C387" s="7" t="s">
        <v>29</v>
      </c>
      <c r="D387" s="7" t="s">
        <v>37</v>
      </c>
      <c r="E387" s="7" t="s">
        <v>39</v>
      </c>
      <c r="F387" s="0" t="n">
        <v>83.976</v>
      </c>
      <c r="G387" s="0" t="n">
        <v>-1.0497</v>
      </c>
      <c r="H387" s="0" t="n">
        <v>0.2</v>
      </c>
      <c r="I387" s="7" t="n">
        <f aca="false">YEAR(B387)</f>
        <v>2015</v>
      </c>
      <c r="J387" s="0" t="str">
        <f aca="false">I387&amp;"-Q"&amp;ROUNDUP(MONTH(B387)/3,0)</f>
        <v>2015-Q4</v>
      </c>
    </row>
    <row r="388" customFormat="false" ht="15" hidden="false" customHeight="false" outlineLevel="0" collapsed="false">
      <c r="A388" s="0" t="s">
        <v>242</v>
      </c>
      <c r="B388" s="6" t="n">
        <v>42341</v>
      </c>
      <c r="C388" s="7" t="s">
        <v>55</v>
      </c>
      <c r="D388" s="7" t="s">
        <v>56</v>
      </c>
      <c r="E388" s="7" t="s">
        <v>39</v>
      </c>
      <c r="F388" s="0" t="n">
        <v>482.34</v>
      </c>
      <c r="G388" s="0" t="n">
        <v>-337.638</v>
      </c>
      <c r="H388" s="0" t="n">
        <v>0.7</v>
      </c>
      <c r="I388" s="7" t="n">
        <f aca="false">YEAR(B388)</f>
        <v>2015</v>
      </c>
      <c r="J388" s="0" t="str">
        <f aca="false">I388&amp;"-Q"&amp;ROUNDUP(MONTH(B388)/3,0)</f>
        <v>2015-Q4</v>
      </c>
    </row>
    <row r="389" customFormat="false" ht="15" hidden="false" customHeight="false" outlineLevel="0" collapsed="false">
      <c r="A389" s="0" t="s">
        <v>242</v>
      </c>
      <c r="B389" s="6" t="n">
        <v>42341</v>
      </c>
      <c r="C389" s="7" t="s">
        <v>55</v>
      </c>
      <c r="D389" s="7" t="s">
        <v>56</v>
      </c>
      <c r="E389" s="7" t="s">
        <v>31</v>
      </c>
      <c r="F389" s="0" t="n">
        <v>2.96</v>
      </c>
      <c r="G389" s="0" t="n">
        <v>0.777</v>
      </c>
      <c r="H389" s="0" t="n">
        <v>0.2</v>
      </c>
      <c r="I389" s="7" t="n">
        <f aca="false">YEAR(B389)</f>
        <v>2015</v>
      </c>
      <c r="J389" s="0" t="str">
        <f aca="false">I389&amp;"-Q"&amp;ROUNDUP(MONTH(B389)/3,0)</f>
        <v>2015-Q4</v>
      </c>
    </row>
    <row r="390" customFormat="false" ht="15" hidden="false" customHeight="false" outlineLevel="0" collapsed="false">
      <c r="A390" s="0" t="s">
        <v>243</v>
      </c>
      <c r="B390" s="6" t="n">
        <v>41967</v>
      </c>
      <c r="C390" s="7" t="s">
        <v>55</v>
      </c>
      <c r="D390" s="7" t="s">
        <v>116</v>
      </c>
      <c r="E390" s="7" t="s">
        <v>35</v>
      </c>
      <c r="F390" s="0" t="n">
        <v>2.624</v>
      </c>
      <c r="G390" s="0" t="n">
        <v>0.4264</v>
      </c>
      <c r="H390" s="0" t="n">
        <v>0.2</v>
      </c>
      <c r="I390" s="7" t="n">
        <f aca="false">YEAR(B390)</f>
        <v>2014</v>
      </c>
      <c r="J390" s="0" t="str">
        <f aca="false">I390&amp;"-Q"&amp;ROUNDUP(MONTH(B390)/3,0)</f>
        <v>2014-Q4</v>
      </c>
    </row>
    <row r="391" customFormat="false" ht="15" hidden="false" customHeight="false" outlineLevel="0" collapsed="false">
      <c r="A391" s="0" t="s">
        <v>244</v>
      </c>
      <c r="B391" s="6" t="n">
        <v>43080</v>
      </c>
      <c r="C391" s="7" t="s">
        <v>55</v>
      </c>
      <c r="D391" s="7" t="s">
        <v>76</v>
      </c>
      <c r="E391" s="7" t="s">
        <v>35</v>
      </c>
      <c r="F391" s="0" t="n">
        <v>23.36</v>
      </c>
      <c r="G391" s="0" t="n">
        <v>7.884</v>
      </c>
      <c r="H391" s="0" t="n">
        <v>0.2</v>
      </c>
      <c r="I391" s="7" t="n">
        <f aca="false">YEAR(B391)</f>
        <v>2017</v>
      </c>
      <c r="J391" s="0" t="str">
        <f aca="false">I391&amp;"-Q"&amp;ROUNDUP(MONTH(B391)/3,0)</f>
        <v>2017-Q4</v>
      </c>
    </row>
    <row r="392" customFormat="false" ht="15" hidden="false" customHeight="false" outlineLevel="0" collapsed="false">
      <c r="A392" s="0" t="s">
        <v>244</v>
      </c>
      <c r="B392" s="6" t="n">
        <v>43080</v>
      </c>
      <c r="C392" s="7" t="s">
        <v>55</v>
      </c>
      <c r="D392" s="7" t="s">
        <v>76</v>
      </c>
      <c r="E392" s="7" t="s">
        <v>39</v>
      </c>
      <c r="F392" s="0" t="n">
        <v>39.98</v>
      </c>
      <c r="G392" s="0" t="n">
        <v>13.5932</v>
      </c>
      <c r="H392" s="0" t="n">
        <v>0</v>
      </c>
      <c r="I392" s="7" t="n">
        <f aca="false">YEAR(B392)</f>
        <v>2017</v>
      </c>
      <c r="J392" s="0" t="str">
        <f aca="false">I392&amp;"-Q"&amp;ROUNDUP(MONTH(B392)/3,0)</f>
        <v>2017-Q4</v>
      </c>
    </row>
    <row r="393" customFormat="false" ht="15" hidden="false" customHeight="false" outlineLevel="0" collapsed="false">
      <c r="A393" s="0" t="s">
        <v>245</v>
      </c>
      <c r="B393" s="6" t="n">
        <v>41903</v>
      </c>
      <c r="C393" s="7" t="s">
        <v>33</v>
      </c>
      <c r="D393" s="7" t="s">
        <v>43</v>
      </c>
      <c r="E393" s="7" t="s">
        <v>39</v>
      </c>
      <c r="F393" s="0" t="n">
        <v>246.384</v>
      </c>
      <c r="G393" s="0" t="n">
        <v>27.7182</v>
      </c>
      <c r="H393" s="0" t="n">
        <v>0.2</v>
      </c>
      <c r="I393" s="7" t="n">
        <f aca="false">YEAR(B393)</f>
        <v>2014</v>
      </c>
      <c r="J393" s="0" t="str">
        <f aca="false">I393&amp;"-Q"&amp;ROUNDUP(MONTH(B393)/3,0)</f>
        <v>2014-Q3</v>
      </c>
    </row>
    <row r="394" customFormat="false" ht="15" hidden="false" customHeight="false" outlineLevel="0" collapsed="false">
      <c r="A394" s="0" t="s">
        <v>245</v>
      </c>
      <c r="B394" s="6" t="n">
        <v>41903</v>
      </c>
      <c r="C394" s="7" t="s">
        <v>33</v>
      </c>
      <c r="D394" s="7" t="s">
        <v>43</v>
      </c>
      <c r="E394" s="7" t="s">
        <v>39</v>
      </c>
      <c r="F394" s="0" t="n">
        <v>1799.97</v>
      </c>
      <c r="G394" s="0" t="n">
        <v>701.9883</v>
      </c>
      <c r="H394" s="0" t="n">
        <v>0</v>
      </c>
      <c r="I394" s="7" t="n">
        <f aca="false">YEAR(B394)</f>
        <v>2014</v>
      </c>
      <c r="J394" s="0" t="str">
        <f aca="false">I394&amp;"-Q"&amp;ROUNDUP(MONTH(B394)/3,0)</f>
        <v>2014-Q3</v>
      </c>
    </row>
    <row r="395" customFormat="false" ht="15" hidden="false" customHeight="false" outlineLevel="0" collapsed="false">
      <c r="A395" s="0" t="s">
        <v>246</v>
      </c>
      <c r="B395" s="6" t="n">
        <v>41797</v>
      </c>
      <c r="C395" s="7" t="s">
        <v>45</v>
      </c>
      <c r="D395" s="7" t="s">
        <v>64</v>
      </c>
      <c r="E395" s="7" t="s">
        <v>35</v>
      </c>
      <c r="F395" s="0" t="n">
        <v>12.462</v>
      </c>
      <c r="G395" s="0" t="n">
        <v>-20.5623</v>
      </c>
      <c r="H395" s="0" t="n">
        <v>0.8</v>
      </c>
      <c r="I395" s="7" t="n">
        <f aca="false">YEAR(B395)</f>
        <v>2014</v>
      </c>
      <c r="J395" s="0" t="str">
        <f aca="false">I395&amp;"-Q"&amp;ROUNDUP(MONTH(B395)/3,0)</f>
        <v>2014-Q2</v>
      </c>
    </row>
    <row r="396" customFormat="false" ht="15" hidden="false" customHeight="false" outlineLevel="0" collapsed="false">
      <c r="A396" s="0" t="s">
        <v>247</v>
      </c>
      <c r="B396" s="6" t="n">
        <v>42916</v>
      </c>
      <c r="C396" s="7" t="s">
        <v>33</v>
      </c>
      <c r="D396" s="7" t="s">
        <v>248</v>
      </c>
      <c r="E396" s="7" t="s">
        <v>35</v>
      </c>
      <c r="F396" s="0" t="n">
        <v>75.792</v>
      </c>
      <c r="G396" s="0" t="n">
        <v>25.5798</v>
      </c>
      <c r="H396" s="0" t="n">
        <v>0.2</v>
      </c>
      <c r="I396" s="7" t="n">
        <f aca="false">YEAR(B396)</f>
        <v>2017</v>
      </c>
      <c r="J396" s="0" t="str">
        <f aca="false">I396&amp;"-Q"&amp;ROUNDUP(MONTH(B396)/3,0)</f>
        <v>2017-Q2</v>
      </c>
    </row>
    <row r="397" customFormat="false" ht="15" hidden="false" customHeight="false" outlineLevel="0" collapsed="false">
      <c r="A397" s="0" t="s">
        <v>249</v>
      </c>
      <c r="B397" s="6" t="n">
        <v>43025</v>
      </c>
      <c r="C397" s="7" t="s">
        <v>55</v>
      </c>
      <c r="D397" s="7" t="s">
        <v>250</v>
      </c>
      <c r="E397" s="7" t="s">
        <v>35</v>
      </c>
      <c r="F397" s="0" t="n">
        <v>49.96</v>
      </c>
      <c r="G397" s="0" t="n">
        <v>9.4924</v>
      </c>
      <c r="H397" s="0" t="n">
        <v>0</v>
      </c>
      <c r="I397" s="7" t="n">
        <f aca="false">YEAR(B397)</f>
        <v>2017</v>
      </c>
      <c r="J397" s="0" t="str">
        <f aca="false">I397&amp;"-Q"&amp;ROUNDUP(MONTH(B397)/3,0)</f>
        <v>2017-Q4</v>
      </c>
    </row>
    <row r="398" customFormat="false" ht="15" hidden="false" customHeight="false" outlineLevel="0" collapsed="false">
      <c r="A398" s="0" t="s">
        <v>249</v>
      </c>
      <c r="B398" s="6" t="n">
        <v>43025</v>
      </c>
      <c r="C398" s="7" t="s">
        <v>55</v>
      </c>
      <c r="D398" s="7" t="s">
        <v>250</v>
      </c>
      <c r="E398" s="7" t="s">
        <v>35</v>
      </c>
      <c r="F398" s="0" t="n">
        <v>12.96</v>
      </c>
      <c r="G398" s="0" t="n">
        <v>6.2208</v>
      </c>
      <c r="H398" s="0" t="n">
        <v>0</v>
      </c>
      <c r="I398" s="7" t="n">
        <f aca="false">YEAR(B398)</f>
        <v>2017</v>
      </c>
      <c r="J398" s="0" t="str">
        <f aca="false">I398&amp;"-Q"&amp;ROUNDUP(MONTH(B398)/3,0)</f>
        <v>2017-Q4</v>
      </c>
    </row>
    <row r="399" customFormat="false" ht="15" hidden="false" customHeight="false" outlineLevel="0" collapsed="false">
      <c r="A399" s="0" t="s">
        <v>251</v>
      </c>
      <c r="B399" s="6" t="n">
        <v>42308</v>
      </c>
      <c r="C399" s="7" t="s">
        <v>45</v>
      </c>
      <c r="D399" s="7" t="s">
        <v>70</v>
      </c>
      <c r="E399" s="7" t="s">
        <v>35</v>
      </c>
      <c r="F399" s="0" t="n">
        <v>70.12</v>
      </c>
      <c r="G399" s="0" t="n">
        <v>21.036</v>
      </c>
      <c r="H399" s="0" t="n">
        <v>0</v>
      </c>
      <c r="I399" s="7" t="n">
        <f aca="false">YEAR(B399)</f>
        <v>2015</v>
      </c>
      <c r="J399" s="0" t="str">
        <f aca="false">I399&amp;"-Q"&amp;ROUNDUP(MONTH(B399)/3,0)</f>
        <v>2015-Q4</v>
      </c>
    </row>
    <row r="400" customFormat="false" ht="15" hidden="false" customHeight="false" outlineLevel="0" collapsed="false">
      <c r="A400" s="0" t="s">
        <v>252</v>
      </c>
      <c r="B400" s="6" t="n">
        <v>42621</v>
      </c>
      <c r="C400" s="7" t="s">
        <v>45</v>
      </c>
      <c r="D400" s="7" t="s">
        <v>46</v>
      </c>
      <c r="E400" s="7" t="s">
        <v>35</v>
      </c>
      <c r="F400" s="0" t="n">
        <v>35.952</v>
      </c>
      <c r="G400" s="0" t="n">
        <v>3.5952</v>
      </c>
      <c r="H400" s="0" t="n">
        <v>0.2</v>
      </c>
      <c r="I400" s="7" t="n">
        <f aca="false">YEAR(B400)</f>
        <v>2016</v>
      </c>
      <c r="J400" s="0" t="str">
        <f aca="false">I400&amp;"-Q"&amp;ROUNDUP(MONTH(B400)/3,0)</f>
        <v>2016-Q3</v>
      </c>
    </row>
    <row r="401" customFormat="false" ht="15" hidden="false" customHeight="false" outlineLevel="0" collapsed="false">
      <c r="A401" s="0" t="s">
        <v>252</v>
      </c>
      <c r="B401" s="6" t="n">
        <v>42621</v>
      </c>
      <c r="C401" s="7" t="s">
        <v>45</v>
      </c>
      <c r="D401" s="7" t="s">
        <v>46</v>
      </c>
      <c r="E401" s="7" t="s">
        <v>31</v>
      </c>
      <c r="F401" s="0" t="n">
        <v>2396.2656</v>
      </c>
      <c r="G401" s="0" t="n">
        <v>-317.1528</v>
      </c>
      <c r="H401" s="0" t="n">
        <v>0.32</v>
      </c>
      <c r="I401" s="7" t="n">
        <f aca="false">YEAR(B401)</f>
        <v>2016</v>
      </c>
      <c r="J401" s="0" t="str">
        <f aca="false">I401&amp;"-Q"&amp;ROUNDUP(MONTH(B401)/3,0)</f>
        <v>2016-Q3</v>
      </c>
    </row>
    <row r="402" customFormat="false" ht="15" hidden="false" customHeight="false" outlineLevel="0" collapsed="false">
      <c r="A402" s="0" t="s">
        <v>252</v>
      </c>
      <c r="B402" s="6" t="n">
        <v>42621</v>
      </c>
      <c r="C402" s="7" t="s">
        <v>45</v>
      </c>
      <c r="D402" s="7" t="s">
        <v>46</v>
      </c>
      <c r="E402" s="7" t="s">
        <v>35</v>
      </c>
      <c r="F402" s="0" t="n">
        <v>131.136</v>
      </c>
      <c r="G402" s="0" t="n">
        <v>-32.784</v>
      </c>
      <c r="H402" s="0" t="n">
        <v>0.2</v>
      </c>
      <c r="I402" s="7" t="n">
        <f aca="false">YEAR(B402)</f>
        <v>2016</v>
      </c>
      <c r="J402" s="0" t="str">
        <f aca="false">I402&amp;"-Q"&amp;ROUNDUP(MONTH(B402)/3,0)</f>
        <v>2016-Q3</v>
      </c>
    </row>
    <row r="403" customFormat="false" ht="15" hidden="false" customHeight="false" outlineLevel="0" collapsed="false">
      <c r="A403" s="0" t="s">
        <v>252</v>
      </c>
      <c r="B403" s="6" t="n">
        <v>42621</v>
      </c>
      <c r="C403" s="7" t="s">
        <v>45</v>
      </c>
      <c r="D403" s="7" t="s">
        <v>46</v>
      </c>
      <c r="E403" s="7" t="s">
        <v>39</v>
      </c>
      <c r="F403" s="0" t="n">
        <v>57.584</v>
      </c>
      <c r="G403" s="0" t="n">
        <v>0.7198</v>
      </c>
      <c r="H403" s="0" t="n">
        <v>0.2</v>
      </c>
      <c r="I403" s="7" t="n">
        <f aca="false">YEAR(B403)</f>
        <v>2016</v>
      </c>
      <c r="J403" s="0" t="str">
        <f aca="false">I403&amp;"-Q"&amp;ROUNDUP(MONTH(B403)/3,0)</f>
        <v>2016-Q3</v>
      </c>
    </row>
    <row r="404" customFormat="false" ht="15" hidden="false" customHeight="false" outlineLevel="0" collapsed="false">
      <c r="A404" s="0" t="s">
        <v>253</v>
      </c>
      <c r="B404" s="6" t="n">
        <v>41997</v>
      </c>
      <c r="C404" s="7" t="s">
        <v>29</v>
      </c>
      <c r="D404" s="7" t="s">
        <v>37</v>
      </c>
      <c r="E404" s="7" t="s">
        <v>35</v>
      </c>
      <c r="F404" s="0" t="n">
        <v>9.568</v>
      </c>
      <c r="G404" s="0" t="n">
        <v>3.4684</v>
      </c>
      <c r="H404" s="0" t="n">
        <v>0.2</v>
      </c>
      <c r="I404" s="7" t="n">
        <f aca="false">YEAR(B404)</f>
        <v>2014</v>
      </c>
      <c r="J404" s="0" t="str">
        <f aca="false">I404&amp;"-Q"&amp;ROUNDUP(MONTH(B404)/3,0)</f>
        <v>2014-Q4</v>
      </c>
    </row>
    <row r="405" customFormat="false" ht="15" hidden="false" customHeight="false" outlineLevel="0" collapsed="false">
      <c r="A405" s="0" t="s">
        <v>254</v>
      </c>
      <c r="B405" s="6" t="n">
        <v>41745</v>
      </c>
      <c r="C405" s="7" t="s">
        <v>29</v>
      </c>
      <c r="D405" s="7" t="s">
        <v>41</v>
      </c>
      <c r="E405" s="7" t="s">
        <v>35</v>
      </c>
      <c r="F405" s="0" t="n">
        <v>39.072</v>
      </c>
      <c r="G405" s="0" t="n">
        <v>9.768</v>
      </c>
      <c r="H405" s="0" t="n">
        <v>0.2</v>
      </c>
      <c r="I405" s="7" t="n">
        <f aca="false">YEAR(B405)</f>
        <v>2014</v>
      </c>
      <c r="J405" s="0" t="str">
        <f aca="false">I405&amp;"-Q"&amp;ROUNDUP(MONTH(B405)/3,0)</f>
        <v>2014-Q2</v>
      </c>
    </row>
    <row r="406" customFormat="false" ht="15" hidden="false" customHeight="false" outlineLevel="0" collapsed="false">
      <c r="A406" s="0" t="s">
        <v>255</v>
      </c>
      <c r="B406" s="6" t="n">
        <v>43093</v>
      </c>
      <c r="C406" s="7" t="s">
        <v>55</v>
      </c>
      <c r="D406" s="7" t="s">
        <v>76</v>
      </c>
      <c r="E406" s="7" t="s">
        <v>35</v>
      </c>
      <c r="F406" s="0" t="n">
        <v>35.91</v>
      </c>
      <c r="G406" s="0" t="n">
        <v>9.6957</v>
      </c>
      <c r="H406" s="0" t="n">
        <v>0</v>
      </c>
      <c r="I406" s="7" t="n">
        <f aca="false">YEAR(B406)</f>
        <v>2017</v>
      </c>
      <c r="J406" s="0" t="str">
        <f aca="false">I406&amp;"-Q"&amp;ROUNDUP(MONTH(B406)/3,0)</f>
        <v>2017-Q4</v>
      </c>
    </row>
    <row r="407" customFormat="false" ht="15" hidden="false" customHeight="false" outlineLevel="0" collapsed="false">
      <c r="A407" s="0" t="s">
        <v>256</v>
      </c>
      <c r="B407" s="6" t="n">
        <v>43077</v>
      </c>
      <c r="C407" s="7" t="s">
        <v>33</v>
      </c>
      <c r="D407" s="7" t="s">
        <v>34</v>
      </c>
      <c r="E407" s="7" t="s">
        <v>39</v>
      </c>
      <c r="F407" s="0" t="n">
        <v>179.95</v>
      </c>
      <c r="G407" s="0" t="n">
        <v>37.7895</v>
      </c>
      <c r="H407" s="0" t="n">
        <v>0</v>
      </c>
      <c r="I407" s="7" t="n">
        <f aca="false">YEAR(B407)</f>
        <v>2017</v>
      </c>
      <c r="J407" s="0" t="str">
        <f aca="false">I407&amp;"-Q"&amp;ROUNDUP(MONTH(B407)/3,0)</f>
        <v>2017-Q4</v>
      </c>
    </row>
    <row r="408" customFormat="false" ht="15" hidden="false" customHeight="false" outlineLevel="0" collapsed="false">
      <c r="A408" s="0" t="s">
        <v>256</v>
      </c>
      <c r="B408" s="6" t="n">
        <v>43077</v>
      </c>
      <c r="C408" s="7" t="s">
        <v>33</v>
      </c>
      <c r="D408" s="7" t="s">
        <v>34</v>
      </c>
      <c r="E408" s="7" t="s">
        <v>39</v>
      </c>
      <c r="F408" s="0" t="n">
        <v>1199.976</v>
      </c>
      <c r="G408" s="0" t="n">
        <v>434.9913</v>
      </c>
      <c r="H408" s="0" t="n">
        <v>0.2</v>
      </c>
      <c r="I408" s="7" t="n">
        <f aca="false">YEAR(B408)</f>
        <v>2017</v>
      </c>
      <c r="J408" s="0" t="str">
        <f aca="false">I408&amp;"-Q"&amp;ROUNDUP(MONTH(B408)/3,0)</f>
        <v>2017-Q4</v>
      </c>
    </row>
    <row r="409" customFormat="false" ht="15" hidden="false" customHeight="false" outlineLevel="0" collapsed="false">
      <c r="A409" s="0" t="s">
        <v>256</v>
      </c>
      <c r="B409" s="6" t="n">
        <v>43077</v>
      </c>
      <c r="C409" s="7" t="s">
        <v>33</v>
      </c>
      <c r="D409" s="7" t="s">
        <v>34</v>
      </c>
      <c r="E409" s="7" t="s">
        <v>35</v>
      </c>
      <c r="F409" s="0" t="n">
        <v>27.15</v>
      </c>
      <c r="G409" s="0" t="n">
        <v>13.3035</v>
      </c>
      <c r="H409" s="0" t="n">
        <v>0</v>
      </c>
      <c r="I409" s="7" t="n">
        <f aca="false">YEAR(B409)</f>
        <v>2017</v>
      </c>
      <c r="J409" s="0" t="str">
        <f aca="false">I409&amp;"-Q"&amp;ROUNDUP(MONTH(B409)/3,0)</f>
        <v>2017-Q4</v>
      </c>
    </row>
    <row r="410" customFormat="false" ht="15" hidden="false" customHeight="false" outlineLevel="0" collapsed="false">
      <c r="A410" s="0" t="s">
        <v>256</v>
      </c>
      <c r="B410" s="6" t="n">
        <v>43077</v>
      </c>
      <c r="C410" s="7" t="s">
        <v>33</v>
      </c>
      <c r="D410" s="7" t="s">
        <v>34</v>
      </c>
      <c r="E410" s="7" t="s">
        <v>31</v>
      </c>
      <c r="F410" s="0" t="n">
        <v>1004.024</v>
      </c>
      <c r="G410" s="0" t="n">
        <v>-112.9527</v>
      </c>
      <c r="H410" s="0" t="n">
        <v>0.2</v>
      </c>
      <c r="I410" s="7" t="n">
        <f aca="false">YEAR(B410)</f>
        <v>2017</v>
      </c>
      <c r="J410" s="0" t="str">
        <f aca="false">I410&amp;"-Q"&amp;ROUNDUP(MONTH(B410)/3,0)</f>
        <v>2017-Q4</v>
      </c>
    </row>
    <row r="411" customFormat="false" ht="15" hidden="false" customHeight="false" outlineLevel="0" collapsed="false">
      <c r="A411" s="0" t="s">
        <v>256</v>
      </c>
      <c r="B411" s="6" t="n">
        <v>43077</v>
      </c>
      <c r="C411" s="7" t="s">
        <v>33</v>
      </c>
      <c r="D411" s="7" t="s">
        <v>34</v>
      </c>
      <c r="E411" s="7" t="s">
        <v>35</v>
      </c>
      <c r="F411" s="0" t="n">
        <v>9.68</v>
      </c>
      <c r="G411" s="0" t="n">
        <v>4.6464</v>
      </c>
      <c r="H411" s="0" t="n">
        <v>0</v>
      </c>
      <c r="I411" s="7" t="n">
        <f aca="false">YEAR(B411)</f>
        <v>2017</v>
      </c>
      <c r="J411" s="0" t="str">
        <f aca="false">I411&amp;"-Q"&amp;ROUNDUP(MONTH(B411)/3,0)</f>
        <v>2017-Q4</v>
      </c>
    </row>
    <row r="412" customFormat="false" ht="15" hidden="false" customHeight="false" outlineLevel="0" collapsed="false">
      <c r="A412" s="0" t="s">
        <v>256</v>
      </c>
      <c r="B412" s="6" t="n">
        <v>43077</v>
      </c>
      <c r="C412" s="7" t="s">
        <v>33</v>
      </c>
      <c r="D412" s="7" t="s">
        <v>34</v>
      </c>
      <c r="E412" s="7" t="s">
        <v>35</v>
      </c>
      <c r="F412" s="0" t="n">
        <v>28.35</v>
      </c>
      <c r="G412" s="0" t="n">
        <v>13.608</v>
      </c>
      <c r="H412" s="0" t="n">
        <v>0</v>
      </c>
      <c r="I412" s="7" t="n">
        <f aca="false">YEAR(B412)</f>
        <v>2017</v>
      </c>
      <c r="J412" s="0" t="str">
        <f aca="false">I412&amp;"-Q"&amp;ROUNDUP(MONTH(B412)/3,0)</f>
        <v>2017-Q4</v>
      </c>
    </row>
    <row r="413" customFormat="false" ht="15" hidden="false" customHeight="false" outlineLevel="0" collapsed="false">
      <c r="A413" s="0" t="s">
        <v>256</v>
      </c>
      <c r="B413" s="6" t="n">
        <v>43077</v>
      </c>
      <c r="C413" s="7" t="s">
        <v>33</v>
      </c>
      <c r="D413" s="7" t="s">
        <v>34</v>
      </c>
      <c r="E413" s="7" t="s">
        <v>35</v>
      </c>
      <c r="F413" s="0" t="n">
        <v>55.98</v>
      </c>
      <c r="G413" s="0" t="n">
        <v>27.4302</v>
      </c>
      <c r="H413" s="0" t="n">
        <v>0</v>
      </c>
      <c r="I413" s="7" t="n">
        <f aca="false">YEAR(B413)</f>
        <v>2017</v>
      </c>
      <c r="J413" s="0" t="str">
        <f aca="false">I413&amp;"-Q"&amp;ROUNDUP(MONTH(B413)/3,0)</f>
        <v>2017-Q4</v>
      </c>
    </row>
    <row r="414" customFormat="false" ht="15" hidden="false" customHeight="false" outlineLevel="0" collapsed="false">
      <c r="A414" s="0" t="s">
        <v>256</v>
      </c>
      <c r="B414" s="6" t="n">
        <v>43077</v>
      </c>
      <c r="C414" s="7" t="s">
        <v>33</v>
      </c>
      <c r="D414" s="7" t="s">
        <v>34</v>
      </c>
      <c r="E414" s="7" t="s">
        <v>31</v>
      </c>
      <c r="F414" s="0" t="n">
        <v>1336.829</v>
      </c>
      <c r="G414" s="0" t="n">
        <v>31.4548</v>
      </c>
      <c r="H414" s="0" t="n">
        <v>0.15</v>
      </c>
      <c r="I414" s="7" t="n">
        <f aca="false">YEAR(B414)</f>
        <v>2017</v>
      </c>
      <c r="J414" s="0" t="str">
        <f aca="false">I414&amp;"-Q"&amp;ROUNDUP(MONTH(B414)/3,0)</f>
        <v>2017-Q4</v>
      </c>
    </row>
    <row r="415" customFormat="false" ht="15" hidden="false" customHeight="false" outlineLevel="0" collapsed="false">
      <c r="A415" s="0" t="s">
        <v>256</v>
      </c>
      <c r="B415" s="6" t="n">
        <v>43077</v>
      </c>
      <c r="C415" s="7" t="s">
        <v>33</v>
      </c>
      <c r="D415" s="7" t="s">
        <v>34</v>
      </c>
      <c r="E415" s="7" t="s">
        <v>31</v>
      </c>
      <c r="F415" s="0" t="n">
        <v>113.568</v>
      </c>
      <c r="G415" s="0" t="n">
        <v>-18.4548</v>
      </c>
      <c r="H415" s="0" t="n">
        <v>0.2</v>
      </c>
      <c r="I415" s="7" t="n">
        <f aca="false">YEAR(B415)</f>
        <v>2017</v>
      </c>
      <c r="J415" s="0" t="str">
        <f aca="false">I415&amp;"-Q"&amp;ROUNDUP(MONTH(B415)/3,0)</f>
        <v>2017-Q4</v>
      </c>
    </row>
    <row r="416" customFormat="false" ht="15" hidden="false" customHeight="false" outlineLevel="0" collapsed="false">
      <c r="A416" s="0" t="s">
        <v>257</v>
      </c>
      <c r="B416" s="6" t="n">
        <v>43042</v>
      </c>
      <c r="C416" s="7" t="s">
        <v>33</v>
      </c>
      <c r="D416" s="7" t="s">
        <v>43</v>
      </c>
      <c r="E416" s="7" t="s">
        <v>35</v>
      </c>
      <c r="F416" s="0" t="n">
        <v>139.86</v>
      </c>
      <c r="G416" s="0" t="n">
        <v>65.7342</v>
      </c>
      <c r="H416" s="0" t="n">
        <v>0</v>
      </c>
      <c r="I416" s="7" t="n">
        <f aca="false">YEAR(B416)</f>
        <v>2017</v>
      </c>
      <c r="J416" s="0" t="str">
        <f aca="false">I416&amp;"-Q"&amp;ROUNDUP(MONTH(B416)/3,0)</f>
        <v>2017-Q4</v>
      </c>
    </row>
    <row r="417" customFormat="false" ht="15" hidden="false" customHeight="false" outlineLevel="0" collapsed="false">
      <c r="A417" s="0" t="s">
        <v>257</v>
      </c>
      <c r="B417" s="6" t="n">
        <v>43042</v>
      </c>
      <c r="C417" s="7" t="s">
        <v>33</v>
      </c>
      <c r="D417" s="7" t="s">
        <v>43</v>
      </c>
      <c r="E417" s="7" t="s">
        <v>31</v>
      </c>
      <c r="F417" s="0" t="n">
        <v>307.136</v>
      </c>
      <c r="G417" s="0" t="n">
        <v>26.8744</v>
      </c>
      <c r="H417" s="0" t="n">
        <v>0.2</v>
      </c>
      <c r="I417" s="7" t="n">
        <f aca="false">YEAR(B417)</f>
        <v>2017</v>
      </c>
      <c r="J417" s="0" t="str">
        <f aca="false">I417&amp;"-Q"&amp;ROUNDUP(MONTH(B417)/3,0)</f>
        <v>2017-Q4</v>
      </c>
    </row>
    <row r="418" customFormat="false" ht="15" hidden="false" customHeight="false" outlineLevel="0" collapsed="false">
      <c r="A418" s="0" t="s">
        <v>258</v>
      </c>
      <c r="B418" s="6" t="n">
        <v>42910</v>
      </c>
      <c r="C418" s="7" t="s">
        <v>33</v>
      </c>
      <c r="D418" s="7" t="s">
        <v>34</v>
      </c>
      <c r="E418" s="7" t="s">
        <v>35</v>
      </c>
      <c r="F418" s="0" t="n">
        <v>95.92</v>
      </c>
      <c r="G418" s="0" t="n">
        <v>25.8984</v>
      </c>
      <c r="H418" s="0" t="n">
        <v>0</v>
      </c>
      <c r="I418" s="7" t="n">
        <f aca="false">YEAR(B418)</f>
        <v>2017</v>
      </c>
      <c r="J418" s="0" t="str">
        <f aca="false">I418&amp;"-Q"&amp;ROUNDUP(MONTH(B418)/3,0)</f>
        <v>2017-Q2</v>
      </c>
    </row>
    <row r="419" customFormat="false" ht="15" hidden="false" customHeight="false" outlineLevel="0" collapsed="false">
      <c r="A419" s="0" t="s">
        <v>259</v>
      </c>
      <c r="B419" s="6" t="n">
        <v>42474</v>
      </c>
      <c r="C419" s="7" t="s">
        <v>33</v>
      </c>
      <c r="D419" s="7" t="s">
        <v>34</v>
      </c>
      <c r="E419" s="7" t="s">
        <v>31</v>
      </c>
      <c r="F419" s="0" t="n">
        <v>383.8</v>
      </c>
      <c r="G419" s="0" t="n">
        <v>38.38</v>
      </c>
      <c r="H419" s="0" t="n">
        <v>0.2</v>
      </c>
      <c r="I419" s="7" t="n">
        <f aca="false">YEAR(B419)</f>
        <v>2016</v>
      </c>
      <c r="J419" s="0" t="str">
        <f aca="false">I419&amp;"-Q"&amp;ROUNDUP(MONTH(B419)/3,0)</f>
        <v>2016-Q2</v>
      </c>
    </row>
    <row r="420" customFormat="false" ht="15" hidden="false" customHeight="false" outlineLevel="0" collapsed="false">
      <c r="A420" s="0" t="s">
        <v>260</v>
      </c>
      <c r="B420" s="6" t="n">
        <v>43045</v>
      </c>
      <c r="C420" s="7" t="s">
        <v>29</v>
      </c>
      <c r="D420" s="7" t="s">
        <v>30</v>
      </c>
      <c r="E420" s="7" t="s">
        <v>35</v>
      </c>
      <c r="F420" s="0" t="n">
        <v>5.78</v>
      </c>
      <c r="G420" s="0" t="n">
        <v>2.8322</v>
      </c>
      <c r="H420" s="0" t="n">
        <v>0</v>
      </c>
      <c r="I420" s="7" t="n">
        <f aca="false">YEAR(B420)</f>
        <v>2017</v>
      </c>
      <c r="J420" s="0" t="str">
        <f aca="false">I420&amp;"-Q"&amp;ROUNDUP(MONTH(B420)/3,0)</f>
        <v>2017-Q4</v>
      </c>
    </row>
    <row r="421" customFormat="false" ht="15" hidden="false" customHeight="false" outlineLevel="0" collapsed="false">
      <c r="A421" s="0" t="s">
        <v>261</v>
      </c>
      <c r="B421" s="6" t="n">
        <v>42798</v>
      </c>
      <c r="C421" s="7" t="s">
        <v>33</v>
      </c>
      <c r="D421" s="7" t="s">
        <v>34</v>
      </c>
      <c r="E421" s="7" t="s">
        <v>35</v>
      </c>
      <c r="F421" s="0" t="n">
        <v>9.32</v>
      </c>
      <c r="G421" s="0" t="n">
        <v>2.7028</v>
      </c>
      <c r="H421" s="0" t="n">
        <v>0</v>
      </c>
      <c r="I421" s="7" t="n">
        <f aca="false">YEAR(B421)</f>
        <v>2017</v>
      </c>
      <c r="J421" s="0" t="str">
        <f aca="false">I421&amp;"-Q"&amp;ROUNDUP(MONTH(B421)/3,0)</f>
        <v>2017-Q1</v>
      </c>
    </row>
    <row r="422" customFormat="false" ht="15" hidden="false" customHeight="false" outlineLevel="0" collapsed="false">
      <c r="A422" s="0" t="s">
        <v>261</v>
      </c>
      <c r="B422" s="6" t="n">
        <v>42798</v>
      </c>
      <c r="C422" s="7" t="s">
        <v>33</v>
      </c>
      <c r="D422" s="7" t="s">
        <v>34</v>
      </c>
      <c r="E422" s="7" t="s">
        <v>35</v>
      </c>
      <c r="F422" s="0" t="n">
        <v>15.25</v>
      </c>
      <c r="G422" s="0" t="n">
        <v>7.015</v>
      </c>
      <c r="H422" s="0" t="n">
        <v>0</v>
      </c>
      <c r="I422" s="7" t="n">
        <f aca="false">YEAR(B422)</f>
        <v>2017</v>
      </c>
      <c r="J422" s="0" t="str">
        <f aca="false">I422&amp;"-Q"&amp;ROUNDUP(MONTH(B422)/3,0)</f>
        <v>2017-Q1</v>
      </c>
    </row>
    <row r="423" customFormat="false" ht="15" hidden="false" customHeight="false" outlineLevel="0" collapsed="false">
      <c r="A423" s="0" t="s">
        <v>262</v>
      </c>
      <c r="B423" s="6" t="n">
        <v>41812</v>
      </c>
      <c r="C423" s="7" t="s">
        <v>33</v>
      </c>
      <c r="D423" s="7" t="s">
        <v>109</v>
      </c>
      <c r="E423" s="7" t="s">
        <v>39</v>
      </c>
      <c r="F423" s="0" t="n">
        <v>196.752</v>
      </c>
      <c r="G423" s="0" t="n">
        <v>56.5662</v>
      </c>
      <c r="H423" s="0" t="n">
        <v>0.2</v>
      </c>
      <c r="I423" s="7" t="n">
        <f aca="false">YEAR(B423)</f>
        <v>2014</v>
      </c>
      <c r="J423" s="0" t="str">
        <f aca="false">I423&amp;"-Q"&amp;ROUNDUP(MONTH(B423)/3,0)</f>
        <v>2014-Q2</v>
      </c>
    </row>
    <row r="424" customFormat="false" ht="15" hidden="false" customHeight="false" outlineLevel="0" collapsed="false">
      <c r="A424" s="0" t="s">
        <v>263</v>
      </c>
      <c r="B424" s="6" t="n">
        <v>43027</v>
      </c>
      <c r="C424" s="7" t="s">
        <v>55</v>
      </c>
      <c r="D424" s="7" t="s">
        <v>225</v>
      </c>
      <c r="E424" s="7" t="s">
        <v>31</v>
      </c>
      <c r="F424" s="0" t="n">
        <v>56.56</v>
      </c>
      <c r="G424" s="0" t="n">
        <v>14.7056</v>
      </c>
      <c r="H424" s="0" t="n">
        <v>0</v>
      </c>
      <c r="I424" s="7" t="n">
        <f aca="false">YEAR(B424)</f>
        <v>2017</v>
      </c>
      <c r="J424" s="0" t="str">
        <f aca="false">I424&amp;"-Q"&amp;ROUNDUP(MONTH(B424)/3,0)</f>
        <v>2017-Q4</v>
      </c>
    </row>
    <row r="425" customFormat="false" ht="15" hidden="false" customHeight="false" outlineLevel="0" collapsed="false">
      <c r="A425" s="0" t="s">
        <v>263</v>
      </c>
      <c r="B425" s="6" t="n">
        <v>43027</v>
      </c>
      <c r="C425" s="7" t="s">
        <v>55</v>
      </c>
      <c r="D425" s="7" t="s">
        <v>225</v>
      </c>
      <c r="E425" s="7" t="s">
        <v>35</v>
      </c>
      <c r="F425" s="0" t="n">
        <v>32.7</v>
      </c>
      <c r="G425" s="0" t="n">
        <v>8.502</v>
      </c>
      <c r="H425" s="0" t="n">
        <v>0</v>
      </c>
      <c r="I425" s="7" t="n">
        <f aca="false">YEAR(B425)</f>
        <v>2017</v>
      </c>
      <c r="J425" s="0" t="str">
        <f aca="false">I425&amp;"-Q"&amp;ROUNDUP(MONTH(B425)/3,0)</f>
        <v>2017-Q4</v>
      </c>
    </row>
    <row r="426" customFormat="false" ht="15" hidden="false" customHeight="false" outlineLevel="0" collapsed="false">
      <c r="A426" s="0" t="s">
        <v>264</v>
      </c>
      <c r="B426" s="6" t="n">
        <v>42968</v>
      </c>
      <c r="C426" s="7" t="s">
        <v>29</v>
      </c>
      <c r="D426" s="7" t="s">
        <v>265</v>
      </c>
      <c r="E426" s="7" t="s">
        <v>31</v>
      </c>
      <c r="F426" s="0" t="n">
        <v>866.4</v>
      </c>
      <c r="G426" s="0" t="n">
        <v>225.264</v>
      </c>
      <c r="H426" s="0" t="n">
        <v>0</v>
      </c>
      <c r="I426" s="7" t="n">
        <f aca="false">YEAR(B426)</f>
        <v>2017</v>
      </c>
      <c r="J426" s="0" t="str">
        <f aca="false">I426&amp;"-Q"&amp;ROUNDUP(MONTH(B426)/3,0)</f>
        <v>2017-Q3</v>
      </c>
    </row>
    <row r="427" customFormat="false" ht="15" hidden="false" customHeight="false" outlineLevel="0" collapsed="false">
      <c r="A427" s="0" t="s">
        <v>266</v>
      </c>
      <c r="B427" s="6" t="n">
        <v>43062</v>
      </c>
      <c r="C427" s="7" t="s">
        <v>45</v>
      </c>
      <c r="D427" s="7" t="s">
        <v>70</v>
      </c>
      <c r="E427" s="7" t="s">
        <v>31</v>
      </c>
      <c r="F427" s="0" t="n">
        <v>28.4</v>
      </c>
      <c r="G427" s="0" t="n">
        <v>11.076</v>
      </c>
      <c r="H427" s="0" t="n">
        <v>0</v>
      </c>
      <c r="I427" s="7" t="n">
        <f aca="false">YEAR(B427)</f>
        <v>2017</v>
      </c>
      <c r="J427" s="0" t="str">
        <f aca="false">I427&amp;"-Q"&amp;ROUNDUP(MONTH(B427)/3,0)</f>
        <v>2017-Q4</v>
      </c>
    </row>
    <row r="428" customFormat="false" ht="15" hidden="false" customHeight="false" outlineLevel="0" collapsed="false">
      <c r="A428" s="0" t="s">
        <v>266</v>
      </c>
      <c r="B428" s="6" t="n">
        <v>43062</v>
      </c>
      <c r="C428" s="7" t="s">
        <v>45</v>
      </c>
      <c r="D428" s="7" t="s">
        <v>70</v>
      </c>
      <c r="E428" s="7" t="s">
        <v>35</v>
      </c>
      <c r="F428" s="0" t="n">
        <v>287.92</v>
      </c>
      <c r="G428" s="0" t="n">
        <v>138.2016</v>
      </c>
      <c r="H428" s="0" t="n">
        <v>0</v>
      </c>
      <c r="I428" s="7" t="n">
        <f aca="false">YEAR(B428)</f>
        <v>2017</v>
      </c>
      <c r="J428" s="0" t="str">
        <f aca="false">I428&amp;"-Q"&amp;ROUNDUP(MONTH(B428)/3,0)</f>
        <v>2017-Q4</v>
      </c>
    </row>
    <row r="429" customFormat="false" ht="15" hidden="false" customHeight="false" outlineLevel="0" collapsed="false">
      <c r="A429" s="0" t="s">
        <v>267</v>
      </c>
      <c r="B429" s="6" t="n">
        <v>41894</v>
      </c>
      <c r="C429" s="7" t="s">
        <v>55</v>
      </c>
      <c r="D429" s="7" t="s">
        <v>76</v>
      </c>
      <c r="E429" s="7" t="s">
        <v>39</v>
      </c>
      <c r="F429" s="0" t="n">
        <v>69.99</v>
      </c>
      <c r="G429" s="0" t="n">
        <v>30.0957</v>
      </c>
      <c r="H429" s="0" t="n">
        <v>0</v>
      </c>
      <c r="I429" s="7" t="n">
        <f aca="false">YEAR(B429)</f>
        <v>2014</v>
      </c>
      <c r="J429" s="0" t="str">
        <f aca="false">I429&amp;"-Q"&amp;ROUNDUP(MONTH(B429)/3,0)</f>
        <v>2014-Q3</v>
      </c>
    </row>
    <row r="430" customFormat="false" ht="15" hidden="false" customHeight="false" outlineLevel="0" collapsed="false">
      <c r="A430" s="0" t="s">
        <v>268</v>
      </c>
      <c r="B430" s="6" t="n">
        <v>43009</v>
      </c>
      <c r="C430" s="7" t="s">
        <v>45</v>
      </c>
      <c r="D430" s="7" t="s">
        <v>46</v>
      </c>
      <c r="E430" s="7" t="s">
        <v>35</v>
      </c>
      <c r="F430" s="0" t="n">
        <v>6.672</v>
      </c>
      <c r="G430" s="0" t="n">
        <v>0.5004</v>
      </c>
      <c r="H430" s="0" t="n">
        <v>0.2</v>
      </c>
      <c r="I430" s="7" t="n">
        <f aca="false">YEAR(B430)</f>
        <v>2017</v>
      </c>
      <c r="J430" s="0" t="str">
        <f aca="false">I430&amp;"-Q"&amp;ROUNDUP(MONTH(B430)/3,0)</f>
        <v>2017-Q4</v>
      </c>
    </row>
    <row r="431" customFormat="false" ht="15" hidden="false" customHeight="false" outlineLevel="0" collapsed="false">
      <c r="A431" s="0" t="s">
        <v>269</v>
      </c>
      <c r="B431" s="6" t="n">
        <v>42475</v>
      </c>
      <c r="C431" s="7" t="s">
        <v>29</v>
      </c>
      <c r="D431" s="7" t="s">
        <v>41</v>
      </c>
      <c r="E431" s="7" t="s">
        <v>35</v>
      </c>
      <c r="F431" s="0" t="n">
        <v>189.588</v>
      </c>
      <c r="G431" s="0" t="n">
        <v>-145.3508</v>
      </c>
      <c r="H431" s="0" t="n">
        <v>0.7</v>
      </c>
      <c r="I431" s="7" t="n">
        <f aca="false">YEAR(B431)</f>
        <v>2016</v>
      </c>
      <c r="J431" s="0" t="str">
        <f aca="false">I431&amp;"-Q"&amp;ROUNDUP(MONTH(B431)/3,0)</f>
        <v>2016-Q2</v>
      </c>
    </row>
    <row r="432" customFormat="false" ht="15" hidden="false" customHeight="false" outlineLevel="0" collapsed="false">
      <c r="A432" s="0" t="s">
        <v>269</v>
      </c>
      <c r="B432" s="6" t="n">
        <v>42475</v>
      </c>
      <c r="C432" s="7" t="s">
        <v>29</v>
      </c>
      <c r="D432" s="7" t="s">
        <v>41</v>
      </c>
      <c r="E432" s="7" t="s">
        <v>39</v>
      </c>
      <c r="F432" s="0" t="n">
        <v>408.744</v>
      </c>
      <c r="G432" s="0" t="n">
        <v>76.6395</v>
      </c>
      <c r="H432" s="0" t="n">
        <v>0.2</v>
      </c>
      <c r="I432" s="7" t="n">
        <f aca="false">YEAR(B432)</f>
        <v>2016</v>
      </c>
      <c r="J432" s="0" t="str">
        <f aca="false">I432&amp;"-Q"&amp;ROUNDUP(MONTH(B432)/3,0)</f>
        <v>2016-Q2</v>
      </c>
    </row>
    <row r="433" customFormat="false" ht="15" hidden="false" customHeight="false" outlineLevel="0" collapsed="false">
      <c r="A433" s="0" t="s">
        <v>269</v>
      </c>
      <c r="B433" s="6" t="n">
        <v>42475</v>
      </c>
      <c r="C433" s="7" t="s">
        <v>29</v>
      </c>
      <c r="D433" s="7" t="s">
        <v>41</v>
      </c>
      <c r="E433" s="7" t="s">
        <v>39</v>
      </c>
      <c r="F433" s="0" t="n">
        <v>291.96</v>
      </c>
      <c r="G433" s="0" t="n">
        <v>54.7425</v>
      </c>
      <c r="H433" s="0" t="n">
        <v>0.2</v>
      </c>
      <c r="I433" s="7" t="n">
        <f aca="false">YEAR(B433)</f>
        <v>2016</v>
      </c>
      <c r="J433" s="0" t="str">
        <f aca="false">I433&amp;"-Q"&amp;ROUNDUP(MONTH(B433)/3,0)</f>
        <v>2016-Q2</v>
      </c>
    </row>
    <row r="434" customFormat="false" ht="15" hidden="false" customHeight="false" outlineLevel="0" collapsed="false">
      <c r="A434" s="0" t="s">
        <v>269</v>
      </c>
      <c r="B434" s="6" t="n">
        <v>42475</v>
      </c>
      <c r="C434" s="7" t="s">
        <v>29</v>
      </c>
      <c r="D434" s="7" t="s">
        <v>41</v>
      </c>
      <c r="E434" s="7" t="s">
        <v>35</v>
      </c>
      <c r="F434" s="0" t="n">
        <v>4.768</v>
      </c>
      <c r="G434" s="0" t="n">
        <v>-0.7748</v>
      </c>
      <c r="H434" s="0" t="n">
        <v>0.2</v>
      </c>
      <c r="I434" s="7" t="n">
        <f aca="false">YEAR(B434)</f>
        <v>2016</v>
      </c>
      <c r="J434" s="0" t="str">
        <f aca="false">I434&amp;"-Q"&amp;ROUNDUP(MONTH(B434)/3,0)</f>
        <v>2016-Q2</v>
      </c>
    </row>
    <row r="435" customFormat="false" ht="15" hidden="false" customHeight="false" outlineLevel="0" collapsed="false">
      <c r="A435" s="0" t="s">
        <v>270</v>
      </c>
      <c r="B435" s="6" t="n">
        <v>42527</v>
      </c>
      <c r="C435" s="7" t="s">
        <v>55</v>
      </c>
      <c r="D435" s="7" t="s">
        <v>225</v>
      </c>
      <c r="E435" s="7" t="s">
        <v>35</v>
      </c>
      <c r="F435" s="0" t="n">
        <v>714.3</v>
      </c>
      <c r="G435" s="0" t="n">
        <v>207.147</v>
      </c>
      <c r="H435" s="0" t="n">
        <v>0</v>
      </c>
      <c r="I435" s="7" t="n">
        <f aca="false">YEAR(B435)</f>
        <v>2016</v>
      </c>
      <c r="J435" s="0" t="str">
        <f aca="false">I435&amp;"-Q"&amp;ROUNDUP(MONTH(B435)/3,0)</f>
        <v>2016-Q2</v>
      </c>
    </row>
    <row r="436" customFormat="false" ht="15" hidden="false" customHeight="false" outlineLevel="0" collapsed="false">
      <c r="A436" s="0" t="s">
        <v>271</v>
      </c>
      <c r="B436" s="6" t="n">
        <v>41992</v>
      </c>
      <c r="C436" s="7" t="s">
        <v>29</v>
      </c>
      <c r="D436" s="7" t="s">
        <v>37</v>
      </c>
      <c r="E436" s="7" t="s">
        <v>35</v>
      </c>
      <c r="F436" s="0" t="n">
        <v>4.812</v>
      </c>
      <c r="G436" s="0" t="n">
        <v>-3.6892</v>
      </c>
      <c r="H436" s="0" t="n">
        <v>0.7</v>
      </c>
      <c r="I436" s="7" t="n">
        <f aca="false">YEAR(B436)</f>
        <v>2014</v>
      </c>
      <c r="J436" s="0" t="str">
        <f aca="false">I436&amp;"-Q"&amp;ROUNDUP(MONTH(B436)/3,0)</f>
        <v>2014-Q4</v>
      </c>
    </row>
    <row r="437" customFormat="false" ht="15" hidden="false" customHeight="false" outlineLevel="0" collapsed="false">
      <c r="A437" s="0" t="s">
        <v>271</v>
      </c>
      <c r="B437" s="6" t="n">
        <v>41992</v>
      </c>
      <c r="C437" s="7" t="s">
        <v>29</v>
      </c>
      <c r="D437" s="7" t="s">
        <v>37</v>
      </c>
      <c r="E437" s="7" t="s">
        <v>39</v>
      </c>
      <c r="F437" s="0" t="n">
        <v>247.8</v>
      </c>
      <c r="G437" s="0" t="n">
        <v>-18.585</v>
      </c>
      <c r="H437" s="0" t="n">
        <v>0.2</v>
      </c>
      <c r="I437" s="7" t="n">
        <f aca="false">YEAR(B437)</f>
        <v>2014</v>
      </c>
      <c r="J437" s="0" t="str">
        <f aca="false">I437&amp;"-Q"&amp;ROUNDUP(MONTH(B437)/3,0)</f>
        <v>2014-Q4</v>
      </c>
    </row>
    <row r="438" customFormat="false" ht="15" hidden="false" customHeight="false" outlineLevel="0" collapsed="false">
      <c r="A438" s="0" t="s">
        <v>272</v>
      </c>
      <c r="B438" s="6" t="n">
        <v>42533</v>
      </c>
      <c r="C438" s="7" t="s">
        <v>45</v>
      </c>
      <c r="D438" s="7" t="s">
        <v>64</v>
      </c>
      <c r="E438" s="7" t="s">
        <v>39</v>
      </c>
      <c r="F438" s="0" t="n">
        <v>1007.979</v>
      </c>
      <c r="G438" s="0" t="n">
        <v>43.1991</v>
      </c>
      <c r="H438" s="0" t="n">
        <v>0.3</v>
      </c>
      <c r="I438" s="7" t="n">
        <f aca="false">YEAR(B438)</f>
        <v>2016</v>
      </c>
      <c r="J438" s="0" t="str">
        <f aca="false">I438&amp;"-Q"&amp;ROUNDUP(MONTH(B438)/3,0)</f>
        <v>2016-Q2</v>
      </c>
    </row>
    <row r="439" customFormat="false" ht="15" hidden="false" customHeight="false" outlineLevel="0" collapsed="false">
      <c r="A439" s="0" t="s">
        <v>272</v>
      </c>
      <c r="B439" s="6" t="n">
        <v>42533</v>
      </c>
      <c r="C439" s="7" t="s">
        <v>45</v>
      </c>
      <c r="D439" s="7" t="s">
        <v>64</v>
      </c>
      <c r="E439" s="7" t="s">
        <v>35</v>
      </c>
      <c r="F439" s="0" t="n">
        <v>313.488</v>
      </c>
      <c r="G439" s="0" t="n">
        <v>113.6394</v>
      </c>
      <c r="H439" s="0" t="n">
        <v>0.2</v>
      </c>
      <c r="I439" s="7" t="n">
        <f aca="false">YEAR(B439)</f>
        <v>2016</v>
      </c>
      <c r="J439" s="0" t="str">
        <f aca="false">I439&amp;"-Q"&amp;ROUNDUP(MONTH(B439)/3,0)</f>
        <v>2016-Q2</v>
      </c>
    </row>
    <row r="440" customFormat="false" ht="15" hidden="false" customHeight="false" outlineLevel="0" collapsed="false">
      <c r="A440" s="0" t="s">
        <v>273</v>
      </c>
      <c r="B440" s="6" t="n">
        <v>42993</v>
      </c>
      <c r="C440" s="7" t="s">
        <v>45</v>
      </c>
      <c r="D440" s="7" t="s">
        <v>46</v>
      </c>
      <c r="E440" s="7" t="s">
        <v>35</v>
      </c>
      <c r="F440" s="0" t="n">
        <v>31.872</v>
      </c>
      <c r="G440" s="0" t="n">
        <v>11.5536</v>
      </c>
      <c r="H440" s="0" t="n">
        <v>0.2</v>
      </c>
      <c r="I440" s="7" t="n">
        <f aca="false">YEAR(B440)</f>
        <v>2017</v>
      </c>
      <c r="J440" s="0" t="str">
        <f aca="false">I440&amp;"-Q"&amp;ROUNDUP(MONTH(B440)/3,0)</f>
        <v>2017-Q3</v>
      </c>
    </row>
    <row r="441" customFormat="false" ht="15" hidden="false" customHeight="false" outlineLevel="0" collapsed="false">
      <c r="A441" s="0" t="s">
        <v>274</v>
      </c>
      <c r="B441" s="6" t="n">
        <v>42755</v>
      </c>
      <c r="C441" s="7" t="s">
        <v>55</v>
      </c>
      <c r="D441" s="7" t="s">
        <v>76</v>
      </c>
      <c r="E441" s="7" t="s">
        <v>31</v>
      </c>
      <c r="F441" s="0" t="n">
        <v>207.846</v>
      </c>
      <c r="G441" s="0" t="n">
        <v>2.3094</v>
      </c>
      <c r="H441" s="0" t="n">
        <v>0.1</v>
      </c>
      <c r="I441" s="7" t="n">
        <f aca="false">YEAR(B441)</f>
        <v>2017</v>
      </c>
      <c r="J441" s="0" t="str">
        <f aca="false">I441&amp;"-Q"&amp;ROUNDUP(MONTH(B441)/3,0)</f>
        <v>2017-Q1</v>
      </c>
    </row>
    <row r="442" customFormat="false" ht="15" hidden="false" customHeight="false" outlineLevel="0" collapsed="false">
      <c r="A442" s="0" t="s">
        <v>275</v>
      </c>
      <c r="B442" s="6" t="n">
        <v>42618</v>
      </c>
      <c r="C442" s="7" t="s">
        <v>45</v>
      </c>
      <c r="D442" s="7" t="s">
        <v>70</v>
      </c>
      <c r="E442" s="7" t="s">
        <v>31</v>
      </c>
      <c r="F442" s="0" t="n">
        <v>12.22</v>
      </c>
      <c r="G442" s="0" t="n">
        <v>3.666</v>
      </c>
      <c r="H442" s="0" t="n">
        <v>0</v>
      </c>
      <c r="I442" s="7" t="n">
        <f aca="false">YEAR(B442)</f>
        <v>2016</v>
      </c>
      <c r="J442" s="0" t="str">
        <f aca="false">I442&amp;"-Q"&amp;ROUNDUP(MONTH(B442)/3,0)</f>
        <v>2016-Q3</v>
      </c>
    </row>
    <row r="443" customFormat="false" ht="15" hidden="false" customHeight="false" outlineLevel="0" collapsed="false">
      <c r="A443" s="0" t="s">
        <v>275</v>
      </c>
      <c r="B443" s="6" t="n">
        <v>42618</v>
      </c>
      <c r="C443" s="7" t="s">
        <v>45</v>
      </c>
      <c r="D443" s="7" t="s">
        <v>70</v>
      </c>
      <c r="E443" s="7" t="s">
        <v>35</v>
      </c>
      <c r="F443" s="0" t="n">
        <v>194.94</v>
      </c>
      <c r="G443" s="0" t="n">
        <v>23.3928</v>
      </c>
      <c r="H443" s="0" t="n">
        <v>0</v>
      </c>
      <c r="I443" s="7" t="n">
        <f aca="false">YEAR(B443)</f>
        <v>2016</v>
      </c>
      <c r="J443" s="0" t="str">
        <f aca="false">I443&amp;"-Q"&amp;ROUNDUP(MONTH(B443)/3,0)</f>
        <v>2016-Q3</v>
      </c>
    </row>
    <row r="444" customFormat="false" ht="15" hidden="false" customHeight="false" outlineLevel="0" collapsed="false">
      <c r="A444" s="0" t="s">
        <v>275</v>
      </c>
      <c r="B444" s="6" t="n">
        <v>42618</v>
      </c>
      <c r="C444" s="7" t="s">
        <v>45</v>
      </c>
      <c r="D444" s="7" t="s">
        <v>70</v>
      </c>
      <c r="E444" s="7" t="s">
        <v>35</v>
      </c>
      <c r="F444" s="0" t="n">
        <v>70.95</v>
      </c>
      <c r="G444" s="0" t="n">
        <v>20.5755</v>
      </c>
      <c r="H444" s="0" t="n">
        <v>0</v>
      </c>
      <c r="I444" s="7" t="n">
        <f aca="false">YEAR(B444)</f>
        <v>2016</v>
      </c>
      <c r="J444" s="0" t="str">
        <f aca="false">I444&amp;"-Q"&amp;ROUNDUP(MONTH(B444)/3,0)</f>
        <v>2016-Q3</v>
      </c>
    </row>
    <row r="445" customFormat="false" ht="15" hidden="false" customHeight="false" outlineLevel="0" collapsed="false">
      <c r="A445" s="0" t="s">
        <v>275</v>
      </c>
      <c r="B445" s="6" t="n">
        <v>42618</v>
      </c>
      <c r="C445" s="7" t="s">
        <v>45</v>
      </c>
      <c r="D445" s="7" t="s">
        <v>70</v>
      </c>
      <c r="E445" s="7" t="s">
        <v>35</v>
      </c>
      <c r="F445" s="0" t="n">
        <v>91.36</v>
      </c>
      <c r="G445" s="0" t="n">
        <v>42.0256</v>
      </c>
      <c r="H445" s="0" t="n">
        <v>0</v>
      </c>
      <c r="I445" s="7" t="n">
        <f aca="false">YEAR(B445)</f>
        <v>2016</v>
      </c>
      <c r="J445" s="0" t="str">
        <f aca="false">I445&amp;"-Q"&amp;ROUNDUP(MONTH(B445)/3,0)</f>
        <v>2016-Q3</v>
      </c>
    </row>
    <row r="446" customFormat="false" ht="15" hidden="false" customHeight="false" outlineLevel="0" collapsed="false">
      <c r="A446" s="0" t="s">
        <v>275</v>
      </c>
      <c r="B446" s="6" t="n">
        <v>42618</v>
      </c>
      <c r="C446" s="7" t="s">
        <v>45</v>
      </c>
      <c r="D446" s="7" t="s">
        <v>70</v>
      </c>
      <c r="E446" s="7" t="s">
        <v>31</v>
      </c>
      <c r="F446" s="0" t="n">
        <v>242.94</v>
      </c>
      <c r="G446" s="0" t="n">
        <v>29.1528</v>
      </c>
      <c r="H446" s="0" t="n">
        <v>0</v>
      </c>
      <c r="I446" s="7" t="n">
        <f aca="false">YEAR(B446)</f>
        <v>2016</v>
      </c>
      <c r="J446" s="0" t="str">
        <f aca="false">I446&amp;"-Q"&amp;ROUNDUP(MONTH(B446)/3,0)</f>
        <v>2016-Q3</v>
      </c>
    </row>
    <row r="447" customFormat="false" ht="15" hidden="false" customHeight="false" outlineLevel="0" collapsed="false">
      <c r="A447" s="0" t="s">
        <v>275</v>
      </c>
      <c r="B447" s="6" t="n">
        <v>42618</v>
      </c>
      <c r="C447" s="7" t="s">
        <v>45</v>
      </c>
      <c r="D447" s="7" t="s">
        <v>70</v>
      </c>
      <c r="E447" s="7" t="s">
        <v>35</v>
      </c>
      <c r="F447" s="0" t="n">
        <v>22.05</v>
      </c>
      <c r="G447" s="0" t="n">
        <v>10.584</v>
      </c>
      <c r="H447" s="0" t="n">
        <v>0</v>
      </c>
      <c r="I447" s="7" t="n">
        <f aca="false">YEAR(B447)</f>
        <v>2016</v>
      </c>
      <c r="J447" s="0" t="str">
        <f aca="false">I447&amp;"-Q"&amp;ROUNDUP(MONTH(B447)/3,0)</f>
        <v>2016-Q3</v>
      </c>
    </row>
    <row r="448" customFormat="false" ht="15" hidden="false" customHeight="false" outlineLevel="0" collapsed="false">
      <c r="A448" s="0" t="s">
        <v>276</v>
      </c>
      <c r="B448" s="6" t="n">
        <v>42814</v>
      </c>
      <c r="C448" s="7" t="s">
        <v>45</v>
      </c>
      <c r="D448" s="7" t="s">
        <v>74</v>
      </c>
      <c r="E448" s="7" t="s">
        <v>31</v>
      </c>
      <c r="F448" s="0" t="n">
        <v>2.91</v>
      </c>
      <c r="G448" s="0" t="n">
        <v>1.3677</v>
      </c>
      <c r="H448" s="0" t="n">
        <v>0</v>
      </c>
      <c r="I448" s="7" t="n">
        <f aca="false">YEAR(B448)</f>
        <v>2017</v>
      </c>
      <c r="J448" s="0" t="str">
        <f aca="false">I448&amp;"-Q"&amp;ROUNDUP(MONTH(B448)/3,0)</f>
        <v>2017-Q1</v>
      </c>
    </row>
    <row r="449" customFormat="false" ht="15" hidden="false" customHeight="false" outlineLevel="0" collapsed="false">
      <c r="A449" s="0" t="s">
        <v>277</v>
      </c>
      <c r="B449" s="6" t="n">
        <v>42461</v>
      </c>
      <c r="C449" s="7" t="s">
        <v>55</v>
      </c>
      <c r="D449" s="7" t="s">
        <v>76</v>
      </c>
      <c r="E449" s="7" t="s">
        <v>35</v>
      </c>
      <c r="F449" s="0" t="n">
        <v>59.52</v>
      </c>
      <c r="G449" s="0" t="n">
        <v>15.4752</v>
      </c>
      <c r="H449" s="0" t="n">
        <v>0</v>
      </c>
      <c r="I449" s="7" t="n">
        <f aca="false">YEAR(B449)</f>
        <v>2016</v>
      </c>
      <c r="J449" s="0" t="str">
        <f aca="false">I449&amp;"-Q"&amp;ROUNDUP(MONTH(B449)/3,0)</f>
        <v>2016-Q2</v>
      </c>
    </row>
    <row r="450" customFormat="false" ht="15" hidden="false" customHeight="false" outlineLevel="0" collapsed="false">
      <c r="A450" s="0" t="s">
        <v>277</v>
      </c>
      <c r="B450" s="6" t="n">
        <v>42461</v>
      </c>
      <c r="C450" s="7" t="s">
        <v>55</v>
      </c>
      <c r="D450" s="7" t="s">
        <v>76</v>
      </c>
      <c r="E450" s="7" t="s">
        <v>35</v>
      </c>
      <c r="F450" s="0" t="n">
        <v>161.94</v>
      </c>
      <c r="G450" s="0" t="n">
        <v>9.7164</v>
      </c>
      <c r="H450" s="0" t="n">
        <v>0</v>
      </c>
      <c r="I450" s="7" t="n">
        <f aca="false">YEAR(B450)</f>
        <v>2016</v>
      </c>
      <c r="J450" s="0" t="str">
        <f aca="false">I450&amp;"-Q"&amp;ROUNDUP(MONTH(B450)/3,0)</f>
        <v>2016-Q2</v>
      </c>
    </row>
    <row r="451" customFormat="false" ht="15" hidden="false" customHeight="false" outlineLevel="0" collapsed="false">
      <c r="A451" s="0" t="s">
        <v>277</v>
      </c>
      <c r="B451" s="6" t="n">
        <v>42461</v>
      </c>
      <c r="C451" s="7" t="s">
        <v>55</v>
      </c>
      <c r="D451" s="7" t="s">
        <v>76</v>
      </c>
      <c r="E451" s="7" t="s">
        <v>35</v>
      </c>
      <c r="F451" s="0" t="n">
        <v>263.88</v>
      </c>
      <c r="G451" s="0" t="n">
        <v>71.2476</v>
      </c>
      <c r="H451" s="0" t="n">
        <v>0</v>
      </c>
      <c r="I451" s="7" t="n">
        <f aca="false">YEAR(B451)</f>
        <v>2016</v>
      </c>
      <c r="J451" s="0" t="str">
        <f aca="false">I451&amp;"-Q"&amp;ROUNDUP(MONTH(B451)/3,0)</f>
        <v>2016-Q2</v>
      </c>
    </row>
    <row r="452" customFormat="false" ht="15" hidden="false" customHeight="false" outlineLevel="0" collapsed="false">
      <c r="A452" s="0" t="s">
        <v>277</v>
      </c>
      <c r="B452" s="6" t="n">
        <v>42461</v>
      </c>
      <c r="C452" s="7" t="s">
        <v>55</v>
      </c>
      <c r="D452" s="7" t="s">
        <v>76</v>
      </c>
      <c r="E452" s="7" t="s">
        <v>35</v>
      </c>
      <c r="F452" s="0" t="n">
        <v>30.48</v>
      </c>
      <c r="G452" s="0" t="n">
        <v>7.9248</v>
      </c>
      <c r="H452" s="0" t="n">
        <v>0</v>
      </c>
      <c r="I452" s="7" t="n">
        <f aca="false">YEAR(B452)</f>
        <v>2016</v>
      </c>
      <c r="J452" s="0" t="str">
        <f aca="false">I452&amp;"-Q"&amp;ROUNDUP(MONTH(B452)/3,0)</f>
        <v>2016-Q2</v>
      </c>
    </row>
    <row r="453" customFormat="false" ht="15" hidden="false" customHeight="false" outlineLevel="0" collapsed="false">
      <c r="A453" s="0" t="s">
        <v>277</v>
      </c>
      <c r="B453" s="6" t="n">
        <v>42461</v>
      </c>
      <c r="C453" s="7" t="s">
        <v>55</v>
      </c>
      <c r="D453" s="7" t="s">
        <v>76</v>
      </c>
      <c r="E453" s="7" t="s">
        <v>35</v>
      </c>
      <c r="F453" s="0" t="n">
        <v>9.84</v>
      </c>
      <c r="G453" s="0" t="n">
        <v>2.8536</v>
      </c>
      <c r="H453" s="0" t="n">
        <v>0</v>
      </c>
      <c r="I453" s="7" t="n">
        <f aca="false">YEAR(B453)</f>
        <v>2016</v>
      </c>
      <c r="J453" s="0" t="str">
        <f aca="false">I453&amp;"-Q"&amp;ROUNDUP(MONTH(B453)/3,0)</f>
        <v>2016-Q2</v>
      </c>
    </row>
    <row r="454" customFormat="false" ht="15" hidden="false" customHeight="false" outlineLevel="0" collapsed="false">
      <c r="A454" s="0" t="s">
        <v>277</v>
      </c>
      <c r="B454" s="6" t="n">
        <v>42461</v>
      </c>
      <c r="C454" s="7" t="s">
        <v>55</v>
      </c>
      <c r="D454" s="7" t="s">
        <v>76</v>
      </c>
      <c r="E454" s="7" t="s">
        <v>39</v>
      </c>
      <c r="F454" s="0" t="n">
        <v>35.12</v>
      </c>
      <c r="G454" s="0" t="n">
        <v>9.1312</v>
      </c>
      <c r="H454" s="0" t="n">
        <v>0</v>
      </c>
      <c r="I454" s="7" t="n">
        <f aca="false">YEAR(B454)</f>
        <v>2016</v>
      </c>
      <c r="J454" s="0" t="str">
        <f aca="false">I454&amp;"-Q"&amp;ROUNDUP(MONTH(B454)/3,0)</f>
        <v>2016-Q2</v>
      </c>
    </row>
    <row r="455" customFormat="false" ht="15" hidden="false" customHeight="false" outlineLevel="0" collapsed="false">
      <c r="A455" s="0" t="s">
        <v>278</v>
      </c>
      <c r="B455" s="6" t="n">
        <v>43028</v>
      </c>
      <c r="C455" s="7" t="s">
        <v>55</v>
      </c>
      <c r="D455" s="7" t="s">
        <v>116</v>
      </c>
      <c r="E455" s="7" t="s">
        <v>31</v>
      </c>
      <c r="F455" s="0" t="n">
        <v>284.364</v>
      </c>
      <c r="G455" s="0" t="n">
        <v>-75.8304</v>
      </c>
      <c r="H455" s="0" t="n">
        <v>0.4</v>
      </c>
      <c r="I455" s="7" t="n">
        <f aca="false">YEAR(B455)</f>
        <v>2017</v>
      </c>
      <c r="J455" s="0" t="str">
        <f aca="false">I455&amp;"-Q"&amp;ROUNDUP(MONTH(B455)/3,0)</f>
        <v>2017-Q4</v>
      </c>
    </row>
    <row r="456" customFormat="false" ht="15" hidden="false" customHeight="false" outlineLevel="0" collapsed="false">
      <c r="A456" s="0" t="s">
        <v>278</v>
      </c>
      <c r="B456" s="6" t="n">
        <v>43028</v>
      </c>
      <c r="C456" s="7" t="s">
        <v>55</v>
      </c>
      <c r="D456" s="7" t="s">
        <v>116</v>
      </c>
      <c r="E456" s="7" t="s">
        <v>35</v>
      </c>
      <c r="F456" s="0" t="n">
        <v>665.408</v>
      </c>
      <c r="G456" s="0" t="n">
        <v>66.5408</v>
      </c>
      <c r="H456" s="0" t="n">
        <v>0.2</v>
      </c>
      <c r="I456" s="7" t="n">
        <f aca="false">YEAR(B456)</f>
        <v>2017</v>
      </c>
      <c r="J456" s="0" t="str">
        <f aca="false">I456&amp;"-Q"&amp;ROUNDUP(MONTH(B456)/3,0)</f>
        <v>2017-Q4</v>
      </c>
    </row>
    <row r="457" customFormat="false" ht="15" hidden="false" customHeight="false" outlineLevel="0" collapsed="false">
      <c r="A457" s="0" t="s">
        <v>279</v>
      </c>
      <c r="B457" s="6" t="n">
        <v>42717</v>
      </c>
      <c r="C457" s="7" t="s">
        <v>45</v>
      </c>
      <c r="D457" s="7" t="s">
        <v>138</v>
      </c>
      <c r="E457" s="7" t="s">
        <v>39</v>
      </c>
      <c r="F457" s="0" t="n">
        <v>63.88</v>
      </c>
      <c r="G457" s="0" t="n">
        <v>24.9132</v>
      </c>
      <c r="H457" s="0" t="n">
        <v>0</v>
      </c>
      <c r="I457" s="7" t="n">
        <f aca="false">YEAR(B457)</f>
        <v>2016</v>
      </c>
      <c r="J457" s="0" t="str">
        <f aca="false">I457&amp;"-Q"&amp;ROUNDUP(MONTH(B457)/3,0)</f>
        <v>2016-Q4</v>
      </c>
    </row>
    <row r="458" customFormat="false" ht="15" hidden="false" customHeight="false" outlineLevel="0" collapsed="false">
      <c r="A458" s="0" t="s">
        <v>280</v>
      </c>
      <c r="B458" s="6" t="n">
        <v>41682</v>
      </c>
      <c r="C458" s="7" t="s">
        <v>33</v>
      </c>
      <c r="D458" s="7" t="s">
        <v>34</v>
      </c>
      <c r="E458" s="7" t="s">
        <v>31</v>
      </c>
      <c r="F458" s="0" t="n">
        <v>129.568</v>
      </c>
      <c r="G458" s="0" t="n">
        <v>-24.294</v>
      </c>
      <c r="H458" s="0" t="n">
        <v>0.2</v>
      </c>
      <c r="I458" s="7" t="n">
        <f aca="false">YEAR(B458)</f>
        <v>2014</v>
      </c>
      <c r="J458" s="0" t="str">
        <f aca="false">I458&amp;"-Q"&amp;ROUNDUP(MONTH(B458)/3,0)</f>
        <v>2014-Q1</v>
      </c>
    </row>
    <row r="459" customFormat="false" ht="15" hidden="false" customHeight="false" outlineLevel="0" collapsed="false">
      <c r="A459" s="0" t="s">
        <v>281</v>
      </c>
      <c r="B459" s="6" t="n">
        <v>42639</v>
      </c>
      <c r="C459" s="7" t="s">
        <v>45</v>
      </c>
      <c r="D459" s="7" t="s">
        <v>64</v>
      </c>
      <c r="E459" s="7" t="s">
        <v>31</v>
      </c>
      <c r="F459" s="0" t="n">
        <v>747.558</v>
      </c>
      <c r="G459" s="0" t="n">
        <v>-96.1146</v>
      </c>
      <c r="H459" s="0" t="n">
        <v>0.3</v>
      </c>
      <c r="I459" s="7" t="n">
        <f aca="false">YEAR(B459)</f>
        <v>2016</v>
      </c>
      <c r="J459" s="0" t="str">
        <f aca="false">I459&amp;"-Q"&amp;ROUNDUP(MONTH(B459)/3,0)</f>
        <v>2016-Q3</v>
      </c>
    </row>
    <row r="460" customFormat="false" ht="15" hidden="false" customHeight="false" outlineLevel="0" collapsed="false">
      <c r="A460" s="0" t="s">
        <v>281</v>
      </c>
      <c r="B460" s="6" t="n">
        <v>42639</v>
      </c>
      <c r="C460" s="7" t="s">
        <v>45</v>
      </c>
      <c r="D460" s="7" t="s">
        <v>64</v>
      </c>
      <c r="E460" s="7" t="s">
        <v>35</v>
      </c>
      <c r="F460" s="0" t="n">
        <v>8.928</v>
      </c>
      <c r="G460" s="0" t="n">
        <v>3.348</v>
      </c>
      <c r="H460" s="0" t="n">
        <v>0.2</v>
      </c>
      <c r="I460" s="7" t="n">
        <f aca="false">YEAR(B460)</f>
        <v>2016</v>
      </c>
      <c r="J460" s="0" t="str">
        <f aca="false">I460&amp;"-Q"&amp;ROUNDUP(MONTH(B460)/3,0)</f>
        <v>2016-Q3</v>
      </c>
    </row>
    <row r="461" customFormat="false" ht="15" hidden="false" customHeight="false" outlineLevel="0" collapsed="false">
      <c r="A461" s="0" t="s">
        <v>282</v>
      </c>
      <c r="B461" s="6" t="n">
        <v>42353</v>
      </c>
      <c r="C461" s="7" t="s">
        <v>33</v>
      </c>
      <c r="D461" s="7" t="s">
        <v>43</v>
      </c>
      <c r="E461" s="7" t="s">
        <v>35</v>
      </c>
      <c r="F461" s="0" t="n">
        <v>103.92</v>
      </c>
      <c r="G461" s="0" t="n">
        <v>36.372</v>
      </c>
      <c r="H461" s="0" t="n">
        <v>0</v>
      </c>
      <c r="I461" s="7" t="n">
        <f aca="false">YEAR(B461)</f>
        <v>2015</v>
      </c>
      <c r="J461" s="0" t="str">
        <f aca="false">I461&amp;"-Q"&amp;ROUNDUP(MONTH(B461)/3,0)</f>
        <v>2015-Q4</v>
      </c>
    </row>
    <row r="462" customFormat="false" ht="15" hidden="false" customHeight="false" outlineLevel="0" collapsed="false">
      <c r="A462" s="0" t="s">
        <v>282</v>
      </c>
      <c r="B462" s="6" t="n">
        <v>42353</v>
      </c>
      <c r="C462" s="7" t="s">
        <v>33</v>
      </c>
      <c r="D462" s="7" t="s">
        <v>43</v>
      </c>
      <c r="E462" s="7" t="s">
        <v>39</v>
      </c>
      <c r="F462" s="0" t="n">
        <v>899.91</v>
      </c>
      <c r="G462" s="0" t="n">
        <v>377.9622</v>
      </c>
      <c r="H462" s="0" t="n">
        <v>0</v>
      </c>
      <c r="I462" s="7" t="n">
        <f aca="false">YEAR(B462)</f>
        <v>2015</v>
      </c>
      <c r="J462" s="0" t="str">
        <f aca="false">I462&amp;"-Q"&amp;ROUNDUP(MONTH(B462)/3,0)</f>
        <v>2015-Q4</v>
      </c>
    </row>
    <row r="463" customFormat="false" ht="15" hidden="false" customHeight="false" outlineLevel="0" collapsed="false">
      <c r="A463" s="0" t="s">
        <v>282</v>
      </c>
      <c r="B463" s="6" t="n">
        <v>42353</v>
      </c>
      <c r="C463" s="7" t="s">
        <v>33</v>
      </c>
      <c r="D463" s="7" t="s">
        <v>43</v>
      </c>
      <c r="E463" s="7" t="s">
        <v>35</v>
      </c>
      <c r="F463" s="0" t="n">
        <v>51.312</v>
      </c>
      <c r="G463" s="0" t="n">
        <v>18.6006</v>
      </c>
      <c r="H463" s="0" t="n">
        <v>0.2</v>
      </c>
      <c r="I463" s="7" t="n">
        <f aca="false">YEAR(B463)</f>
        <v>2015</v>
      </c>
      <c r="J463" s="0" t="str">
        <f aca="false">I463&amp;"-Q"&amp;ROUNDUP(MONTH(B463)/3,0)</f>
        <v>2015-Q4</v>
      </c>
    </row>
    <row r="464" customFormat="false" ht="15" hidden="false" customHeight="false" outlineLevel="0" collapsed="false">
      <c r="A464" s="0" t="s">
        <v>283</v>
      </c>
      <c r="B464" s="6" t="n">
        <v>42482</v>
      </c>
      <c r="C464" s="7" t="s">
        <v>33</v>
      </c>
      <c r="D464" s="7" t="s">
        <v>81</v>
      </c>
      <c r="E464" s="7" t="s">
        <v>31</v>
      </c>
      <c r="F464" s="0" t="n">
        <v>23.56</v>
      </c>
      <c r="G464" s="0" t="n">
        <v>7.068</v>
      </c>
      <c r="H464" s="0" t="n">
        <v>0.2</v>
      </c>
      <c r="I464" s="7" t="n">
        <f aca="false">YEAR(B464)</f>
        <v>2016</v>
      </c>
      <c r="J464" s="0" t="str">
        <f aca="false">I464&amp;"-Q"&amp;ROUNDUP(MONTH(B464)/3,0)</f>
        <v>2016-Q2</v>
      </c>
    </row>
    <row r="465" customFormat="false" ht="15" hidden="false" customHeight="false" outlineLevel="0" collapsed="false">
      <c r="A465" s="0" t="s">
        <v>283</v>
      </c>
      <c r="B465" s="6" t="n">
        <v>42482</v>
      </c>
      <c r="C465" s="7" t="s">
        <v>33</v>
      </c>
      <c r="D465" s="7" t="s">
        <v>81</v>
      </c>
      <c r="E465" s="7" t="s">
        <v>31</v>
      </c>
      <c r="F465" s="0" t="n">
        <v>1272.63</v>
      </c>
      <c r="G465" s="0" t="n">
        <v>-814.4832</v>
      </c>
      <c r="H465" s="0" t="n">
        <v>0.5</v>
      </c>
      <c r="I465" s="7" t="n">
        <f aca="false">YEAR(B465)</f>
        <v>2016</v>
      </c>
      <c r="J465" s="0" t="str">
        <f aca="false">I465&amp;"-Q"&amp;ROUNDUP(MONTH(B465)/3,0)</f>
        <v>2016-Q2</v>
      </c>
    </row>
    <row r="466" customFormat="false" ht="15" hidden="false" customHeight="false" outlineLevel="0" collapsed="false">
      <c r="A466" s="0" t="s">
        <v>283</v>
      </c>
      <c r="B466" s="6" t="n">
        <v>42482</v>
      </c>
      <c r="C466" s="7" t="s">
        <v>33</v>
      </c>
      <c r="D466" s="7" t="s">
        <v>81</v>
      </c>
      <c r="E466" s="7" t="s">
        <v>35</v>
      </c>
      <c r="F466" s="0" t="n">
        <v>28.485</v>
      </c>
      <c r="G466" s="0" t="n">
        <v>-20.889</v>
      </c>
      <c r="H466" s="0" t="n">
        <v>0.7</v>
      </c>
      <c r="I466" s="7" t="n">
        <f aca="false">YEAR(B466)</f>
        <v>2016</v>
      </c>
      <c r="J466" s="0" t="str">
        <f aca="false">I466&amp;"-Q"&amp;ROUNDUP(MONTH(B466)/3,0)</f>
        <v>2016-Q2</v>
      </c>
    </row>
    <row r="467" customFormat="false" ht="15" hidden="false" customHeight="false" outlineLevel="0" collapsed="false">
      <c r="A467" s="0" t="s">
        <v>283</v>
      </c>
      <c r="B467" s="6" t="n">
        <v>42482</v>
      </c>
      <c r="C467" s="7" t="s">
        <v>33</v>
      </c>
      <c r="D467" s="7" t="s">
        <v>81</v>
      </c>
      <c r="E467" s="7" t="s">
        <v>35</v>
      </c>
      <c r="F467" s="0" t="n">
        <v>185.376</v>
      </c>
      <c r="G467" s="0" t="n">
        <v>-34.758</v>
      </c>
      <c r="H467" s="0" t="n">
        <v>0.2</v>
      </c>
      <c r="I467" s="7" t="n">
        <f aca="false">YEAR(B467)</f>
        <v>2016</v>
      </c>
      <c r="J467" s="0" t="str">
        <f aca="false">I467&amp;"-Q"&amp;ROUNDUP(MONTH(B467)/3,0)</f>
        <v>2016-Q2</v>
      </c>
    </row>
    <row r="468" customFormat="false" ht="15" hidden="false" customHeight="false" outlineLevel="0" collapsed="false">
      <c r="A468" s="0" t="s">
        <v>283</v>
      </c>
      <c r="B468" s="6" t="n">
        <v>42482</v>
      </c>
      <c r="C468" s="7" t="s">
        <v>33</v>
      </c>
      <c r="D468" s="7" t="s">
        <v>81</v>
      </c>
      <c r="E468" s="7" t="s">
        <v>35</v>
      </c>
      <c r="F468" s="0" t="n">
        <v>78.272</v>
      </c>
      <c r="G468" s="0" t="n">
        <v>5.8704</v>
      </c>
      <c r="H468" s="0" t="n">
        <v>0.2</v>
      </c>
      <c r="I468" s="7" t="n">
        <f aca="false">YEAR(B468)</f>
        <v>2016</v>
      </c>
      <c r="J468" s="0" t="str">
        <f aca="false">I468&amp;"-Q"&amp;ROUNDUP(MONTH(B468)/3,0)</f>
        <v>2016-Q2</v>
      </c>
    </row>
    <row r="469" customFormat="false" ht="15" hidden="false" customHeight="false" outlineLevel="0" collapsed="false">
      <c r="A469" s="0" t="s">
        <v>284</v>
      </c>
      <c r="B469" s="6" t="n">
        <v>42021</v>
      </c>
      <c r="C469" s="7" t="s">
        <v>45</v>
      </c>
      <c r="D469" s="7" t="s">
        <v>64</v>
      </c>
      <c r="E469" s="7" t="s">
        <v>31</v>
      </c>
      <c r="F469" s="0" t="n">
        <v>254.744</v>
      </c>
      <c r="G469" s="0" t="n">
        <v>-312.0614</v>
      </c>
      <c r="H469" s="0" t="n">
        <v>0.6</v>
      </c>
      <c r="I469" s="7" t="n">
        <f aca="false">YEAR(B469)</f>
        <v>2015</v>
      </c>
      <c r="J469" s="0" t="str">
        <f aca="false">I469&amp;"-Q"&amp;ROUNDUP(MONTH(B469)/3,0)</f>
        <v>2015-Q1</v>
      </c>
    </row>
    <row r="470" customFormat="false" ht="15" hidden="false" customHeight="false" outlineLevel="0" collapsed="false">
      <c r="A470" s="0" t="s">
        <v>285</v>
      </c>
      <c r="B470" s="6" t="n">
        <v>42825</v>
      </c>
      <c r="C470" s="7" t="s">
        <v>45</v>
      </c>
      <c r="D470" s="7" t="s">
        <v>46</v>
      </c>
      <c r="E470" s="7" t="s">
        <v>31</v>
      </c>
      <c r="F470" s="0" t="n">
        <v>205.3328</v>
      </c>
      <c r="G470" s="0" t="n">
        <v>-36.2352</v>
      </c>
      <c r="H470" s="0" t="n">
        <v>0.32</v>
      </c>
      <c r="I470" s="7" t="n">
        <f aca="false">YEAR(B470)</f>
        <v>2017</v>
      </c>
      <c r="J470" s="0" t="str">
        <f aca="false">I470&amp;"-Q"&amp;ROUNDUP(MONTH(B470)/3,0)</f>
        <v>2017-Q1</v>
      </c>
    </row>
    <row r="471" customFormat="false" ht="15" hidden="false" customHeight="false" outlineLevel="0" collapsed="false">
      <c r="A471" s="0" t="s">
        <v>286</v>
      </c>
      <c r="B471" s="6" t="n">
        <v>42720</v>
      </c>
      <c r="C471" s="7" t="s">
        <v>45</v>
      </c>
      <c r="D471" s="7" t="s">
        <v>64</v>
      </c>
      <c r="E471" s="7" t="s">
        <v>35</v>
      </c>
      <c r="F471" s="0" t="n">
        <v>4.788</v>
      </c>
      <c r="G471" s="0" t="n">
        <v>-7.9002</v>
      </c>
      <c r="H471" s="0" t="n">
        <v>0.8</v>
      </c>
      <c r="I471" s="7" t="n">
        <f aca="false">YEAR(B471)</f>
        <v>2016</v>
      </c>
      <c r="J471" s="0" t="str">
        <f aca="false">I471&amp;"-Q"&amp;ROUNDUP(MONTH(B471)/3,0)</f>
        <v>2016-Q4</v>
      </c>
    </row>
    <row r="472" customFormat="false" ht="15" hidden="false" customHeight="false" outlineLevel="0" collapsed="false">
      <c r="A472" s="0" t="s">
        <v>287</v>
      </c>
      <c r="B472" s="6" t="n">
        <v>42358</v>
      </c>
      <c r="C472" s="7" t="s">
        <v>55</v>
      </c>
      <c r="D472" s="7" t="s">
        <v>76</v>
      </c>
      <c r="E472" s="7" t="s">
        <v>35</v>
      </c>
      <c r="F472" s="0" t="n">
        <v>55.48</v>
      </c>
      <c r="G472" s="0" t="n">
        <v>26.6304</v>
      </c>
      <c r="H472" s="0" t="n">
        <v>0</v>
      </c>
      <c r="I472" s="7" t="n">
        <f aca="false">YEAR(B472)</f>
        <v>2015</v>
      </c>
      <c r="J472" s="0" t="str">
        <f aca="false">I472&amp;"-Q"&amp;ROUNDUP(MONTH(B472)/3,0)</f>
        <v>2015-Q4</v>
      </c>
    </row>
    <row r="473" customFormat="false" ht="15" hidden="false" customHeight="false" outlineLevel="0" collapsed="false">
      <c r="A473" s="0" t="s">
        <v>288</v>
      </c>
      <c r="B473" s="6" t="n">
        <v>41952</v>
      </c>
      <c r="C473" s="7" t="s">
        <v>33</v>
      </c>
      <c r="D473" s="7" t="s">
        <v>34</v>
      </c>
      <c r="E473" s="7" t="s">
        <v>35</v>
      </c>
      <c r="F473" s="0" t="n">
        <v>340.92</v>
      </c>
      <c r="G473" s="0" t="n">
        <v>3.4092</v>
      </c>
      <c r="H473" s="0" t="n">
        <v>0</v>
      </c>
      <c r="I473" s="7" t="n">
        <f aca="false">YEAR(B473)</f>
        <v>2014</v>
      </c>
      <c r="J473" s="0" t="str">
        <f aca="false">I473&amp;"-Q"&amp;ROUNDUP(MONTH(B473)/3,0)</f>
        <v>2014-Q4</v>
      </c>
    </row>
    <row r="474" customFormat="false" ht="15" hidden="false" customHeight="false" outlineLevel="0" collapsed="false">
      <c r="A474" s="0" t="s">
        <v>288</v>
      </c>
      <c r="B474" s="6" t="n">
        <v>41952</v>
      </c>
      <c r="C474" s="7" t="s">
        <v>33</v>
      </c>
      <c r="D474" s="7" t="s">
        <v>34</v>
      </c>
      <c r="E474" s="7" t="s">
        <v>31</v>
      </c>
      <c r="F474" s="0" t="n">
        <v>222.666</v>
      </c>
      <c r="G474" s="0" t="n">
        <v>10.4784</v>
      </c>
      <c r="H474" s="0" t="n">
        <v>0.15</v>
      </c>
      <c r="I474" s="7" t="n">
        <f aca="false">YEAR(B474)</f>
        <v>2014</v>
      </c>
      <c r="J474" s="0" t="str">
        <f aca="false">I474&amp;"-Q"&amp;ROUNDUP(MONTH(B474)/3,0)</f>
        <v>2014-Q4</v>
      </c>
    </row>
    <row r="475" customFormat="false" ht="15" hidden="false" customHeight="false" outlineLevel="0" collapsed="false">
      <c r="A475" s="0" t="s">
        <v>288</v>
      </c>
      <c r="B475" s="6" t="n">
        <v>41952</v>
      </c>
      <c r="C475" s="7" t="s">
        <v>33</v>
      </c>
      <c r="D475" s="7" t="s">
        <v>34</v>
      </c>
      <c r="E475" s="7" t="s">
        <v>39</v>
      </c>
      <c r="F475" s="0" t="n">
        <v>703.968</v>
      </c>
      <c r="G475" s="0" t="n">
        <v>87.996</v>
      </c>
      <c r="H475" s="0" t="n">
        <v>0.2</v>
      </c>
      <c r="I475" s="7" t="n">
        <f aca="false">YEAR(B475)</f>
        <v>2014</v>
      </c>
      <c r="J475" s="0" t="str">
        <f aca="false">I475&amp;"-Q"&amp;ROUNDUP(MONTH(B475)/3,0)</f>
        <v>2014-Q4</v>
      </c>
    </row>
    <row r="476" customFormat="false" ht="15" hidden="false" customHeight="false" outlineLevel="0" collapsed="false">
      <c r="A476" s="0" t="s">
        <v>288</v>
      </c>
      <c r="B476" s="6" t="n">
        <v>41952</v>
      </c>
      <c r="C476" s="7" t="s">
        <v>33</v>
      </c>
      <c r="D476" s="7" t="s">
        <v>34</v>
      </c>
      <c r="E476" s="7" t="s">
        <v>35</v>
      </c>
      <c r="F476" s="0" t="n">
        <v>92.52</v>
      </c>
      <c r="G476" s="0" t="n">
        <v>24.9804</v>
      </c>
      <c r="H476" s="0" t="n">
        <v>0</v>
      </c>
      <c r="I476" s="7" t="n">
        <f aca="false">YEAR(B476)</f>
        <v>2014</v>
      </c>
      <c r="J476" s="0" t="str">
        <f aca="false">I476&amp;"-Q"&amp;ROUNDUP(MONTH(B476)/3,0)</f>
        <v>2014-Q4</v>
      </c>
    </row>
    <row r="477" customFormat="false" ht="15" hidden="false" customHeight="false" outlineLevel="0" collapsed="false">
      <c r="A477" s="0" t="s">
        <v>288</v>
      </c>
      <c r="B477" s="6" t="n">
        <v>41952</v>
      </c>
      <c r="C477" s="7" t="s">
        <v>33</v>
      </c>
      <c r="D477" s="7" t="s">
        <v>34</v>
      </c>
      <c r="E477" s="7" t="s">
        <v>35</v>
      </c>
      <c r="F477" s="0" t="n">
        <v>62.65</v>
      </c>
      <c r="G477" s="0" t="n">
        <v>28.819</v>
      </c>
      <c r="H477" s="0" t="n">
        <v>0</v>
      </c>
      <c r="I477" s="7" t="n">
        <f aca="false">YEAR(B477)</f>
        <v>2014</v>
      </c>
      <c r="J477" s="0" t="str">
        <f aca="false">I477&amp;"-Q"&amp;ROUNDUP(MONTH(B477)/3,0)</f>
        <v>2014-Q4</v>
      </c>
    </row>
    <row r="478" customFormat="false" ht="15" hidden="false" customHeight="false" outlineLevel="0" collapsed="false">
      <c r="A478" s="0" t="s">
        <v>288</v>
      </c>
      <c r="B478" s="6" t="n">
        <v>41952</v>
      </c>
      <c r="C478" s="7" t="s">
        <v>33</v>
      </c>
      <c r="D478" s="7" t="s">
        <v>34</v>
      </c>
      <c r="E478" s="7" t="s">
        <v>35</v>
      </c>
      <c r="F478" s="0" t="n">
        <v>94.85</v>
      </c>
      <c r="G478" s="0" t="n">
        <v>45.528</v>
      </c>
      <c r="H478" s="0" t="n">
        <v>0</v>
      </c>
      <c r="I478" s="7" t="n">
        <f aca="false">YEAR(B478)</f>
        <v>2014</v>
      </c>
      <c r="J478" s="0" t="str">
        <f aca="false">I478&amp;"-Q"&amp;ROUNDUP(MONTH(B478)/3,0)</f>
        <v>2014-Q4</v>
      </c>
    </row>
    <row r="479" customFormat="false" ht="15" hidden="false" customHeight="false" outlineLevel="0" collapsed="false">
      <c r="A479" s="0" t="s">
        <v>289</v>
      </c>
      <c r="B479" s="6" t="n">
        <v>42563</v>
      </c>
      <c r="C479" s="7" t="s">
        <v>33</v>
      </c>
      <c r="D479" s="7" t="s">
        <v>34</v>
      </c>
      <c r="E479" s="7" t="s">
        <v>39</v>
      </c>
      <c r="F479" s="0" t="n">
        <v>95.76</v>
      </c>
      <c r="G479" s="0" t="n">
        <v>7.182</v>
      </c>
      <c r="H479" s="0" t="n">
        <v>0.2</v>
      </c>
      <c r="I479" s="7" t="n">
        <f aca="false">YEAR(B479)</f>
        <v>2016</v>
      </c>
      <c r="J479" s="0" t="str">
        <f aca="false">I479&amp;"-Q"&amp;ROUNDUP(MONTH(B479)/3,0)</f>
        <v>2016-Q3</v>
      </c>
    </row>
    <row r="480" customFormat="false" ht="15" hidden="false" customHeight="false" outlineLevel="0" collapsed="false">
      <c r="A480" s="0" t="s">
        <v>290</v>
      </c>
      <c r="B480" s="6" t="n">
        <v>42670</v>
      </c>
      <c r="C480" s="7" t="s">
        <v>55</v>
      </c>
      <c r="D480" s="7" t="s">
        <v>76</v>
      </c>
      <c r="E480" s="7" t="s">
        <v>31</v>
      </c>
      <c r="F480" s="0" t="n">
        <v>40.2</v>
      </c>
      <c r="G480" s="0" t="n">
        <v>19.296</v>
      </c>
      <c r="H480" s="0" t="n">
        <v>0</v>
      </c>
      <c r="I480" s="7" t="n">
        <f aca="false">YEAR(B480)</f>
        <v>2016</v>
      </c>
      <c r="J480" s="0" t="str">
        <f aca="false">I480&amp;"-Q"&amp;ROUNDUP(MONTH(B480)/3,0)</f>
        <v>2016-Q4</v>
      </c>
    </row>
    <row r="481" customFormat="false" ht="15" hidden="false" customHeight="false" outlineLevel="0" collapsed="false">
      <c r="A481" s="0" t="s">
        <v>291</v>
      </c>
      <c r="B481" s="6" t="n">
        <v>42547</v>
      </c>
      <c r="C481" s="7" t="s">
        <v>55</v>
      </c>
      <c r="D481" s="7" t="s">
        <v>76</v>
      </c>
      <c r="E481" s="7" t="s">
        <v>35</v>
      </c>
      <c r="F481" s="0" t="n">
        <v>14.7</v>
      </c>
      <c r="G481" s="0" t="n">
        <v>6.615</v>
      </c>
      <c r="H481" s="0" t="n">
        <v>0</v>
      </c>
      <c r="I481" s="7" t="n">
        <f aca="false">YEAR(B481)</f>
        <v>2016</v>
      </c>
      <c r="J481" s="0" t="str">
        <f aca="false">I481&amp;"-Q"&amp;ROUNDUP(MONTH(B481)/3,0)</f>
        <v>2016-Q2</v>
      </c>
    </row>
    <row r="482" customFormat="false" ht="15" hidden="false" customHeight="false" outlineLevel="0" collapsed="false">
      <c r="A482" s="0" t="s">
        <v>291</v>
      </c>
      <c r="B482" s="6" t="n">
        <v>42547</v>
      </c>
      <c r="C482" s="7" t="s">
        <v>55</v>
      </c>
      <c r="D482" s="7" t="s">
        <v>76</v>
      </c>
      <c r="E482" s="7" t="s">
        <v>35</v>
      </c>
      <c r="F482" s="0" t="n">
        <v>704.25</v>
      </c>
      <c r="G482" s="0" t="n">
        <v>84.51</v>
      </c>
      <c r="H482" s="0" t="n">
        <v>0</v>
      </c>
      <c r="I482" s="7" t="n">
        <f aca="false">YEAR(B482)</f>
        <v>2016</v>
      </c>
      <c r="J482" s="0" t="str">
        <f aca="false">I482&amp;"-Q"&amp;ROUNDUP(MONTH(B482)/3,0)</f>
        <v>2016-Q2</v>
      </c>
    </row>
    <row r="483" customFormat="false" ht="15" hidden="false" customHeight="false" outlineLevel="0" collapsed="false">
      <c r="A483" s="0" t="s">
        <v>292</v>
      </c>
      <c r="B483" s="6" t="n">
        <v>41918</v>
      </c>
      <c r="C483" s="7" t="s">
        <v>33</v>
      </c>
      <c r="D483" s="7" t="s">
        <v>34</v>
      </c>
      <c r="E483" s="7" t="s">
        <v>39</v>
      </c>
      <c r="F483" s="0" t="n">
        <v>9.09</v>
      </c>
      <c r="G483" s="0" t="n">
        <v>1.9089</v>
      </c>
      <c r="H483" s="0" t="n">
        <v>0</v>
      </c>
      <c r="I483" s="7" t="n">
        <f aca="false">YEAR(B483)</f>
        <v>2014</v>
      </c>
      <c r="J483" s="0" t="str">
        <f aca="false">I483&amp;"-Q"&amp;ROUNDUP(MONTH(B483)/3,0)</f>
        <v>2014-Q4</v>
      </c>
    </row>
    <row r="484" customFormat="false" ht="15" hidden="false" customHeight="false" outlineLevel="0" collapsed="false">
      <c r="A484" s="0" t="s">
        <v>293</v>
      </c>
      <c r="B484" s="6" t="n">
        <v>41842</v>
      </c>
      <c r="C484" s="7" t="s">
        <v>55</v>
      </c>
      <c r="D484" s="7" t="s">
        <v>76</v>
      </c>
      <c r="E484" s="7" t="s">
        <v>35</v>
      </c>
      <c r="F484" s="0" t="n">
        <v>5.96</v>
      </c>
      <c r="G484" s="0" t="n">
        <v>1.6688</v>
      </c>
      <c r="H484" s="0" t="n">
        <v>0</v>
      </c>
      <c r="I484" s="7" t="n">
        <f aca="false">YEAR(B484)</f>
        <v>2014</v>
      </c>
      <c r="J484" s="0" t="str">
        <f aca="false">I484&amp;"-Q"&amp;ROUNDUP(MONTH(B484)/3,0)</f>
        <v>2014-Q3</v>
      </c>
    </row>
    <row r="485" customFormat="false" ht="15" hidden="false" customHeight="false" outlineLevel="0" collapsed="false">
      <c r="A485" s="0" t="s">
        <v>293</v>
      </c>
      <c r="B485" s="6" t="n">
        <v>41842</v>
      </c>
      <c r="C485" s="7" t="s">
        <v>55</v>
      </c>
      <c r="D485" s="7" t="s">
        <v>76</v>
      </c>
      <c r="E485" s="7" t="s">
        <v>39</v>
      </c>
      <c r="F485" s="0" t="n">
        <v>159.98</v>
      </c>
      <c r="G485" s="0" t="n">
        <v>57.5928</v>
      </c>
      <c r="H485" s="0" t="n">
        <v>0</v>
      </c>
      <c r="I485" s="7" t="n">
        <f aca="false">YEAR(B485)</f>
        <v>2014</v>
      </c>
      <c r="J485" s="0" t="str">
        <f aca="false">I485&amp;"-Q"&amp;ROUNDUP(MONTH(B485)/3,0)</f>
        <v>2014-Q3</v>
      </c>
    </row>
    <row r="486" customFormat="false" ht="15" hidden="false" customHeight="false" outlineLevel="0" collapsed="false">
      <c r="A486" s="0" t="s">
        <v>294</v>
      </c>
      <c r="B486" s="6" t="n">
        <v>42896</v>
      </c>
      <c r="C486" s="7" t="s">
        <v>33</v>
      </c>
      <c r="D486" s="7" t="s">
        <v>34</v>
      </c>
      <c r="E486" s="7" t="s">
        <v>35</v>
      </c>
      <c r="F486" s="0" t="n">
        <v>29.6</v>
      </c>
      <c r="G486" s="0" t="n">
        <v>14.8</v>
      </c>
      <c r="H486" s="0" t="n">
        <v>0</v>
      </c>
      <c r="I486" s="7" t="n">
        <f aca="false">YEAR(B486)</f>
        <v>2017</v>
      </c>
      <c r="J486" s="0" t="str">
        <f aca="false">I486&amp;"-Q"&amp;ROUNDUP(MONTH(B486)/3,0)</f>
        <v>2017-Q2</v>
      </c>
    </row>
    <row r="487" customFormat="false" ht="15" hidden="false" customHeight="false" outlineLevel="0" collapsed="false">
      <c r="A487" s="0" t="s">
        <v>294</v>
      </c>
      <c r="B487" s="6" t="n">
        <v>42896</v>
      </c>
      <c r="C487" s="7" t="s">
        <v>33</v>
      </c>
      <c r="D487" s="7" t="s">
        <v>34</v>
      </c>
      <c r="E487" s="7" t="s">
        <v>31</v>
      </c>
      <c r="F487" s="0" t="n">
        <v>514.165</v>
      </c>
      <c r="G487" s="0" t="n">
        <v>-30.245</v>
      </c>
      <c r="H487" s="0" t="n">
        <v>0.15</v>
      </c>
      <c r="I487" s="7" t="n">
        <f aca="false">YEAR(B487)</f>
        <v>2017</v>
      </c>
      <c r="J487" s="0" t="str">
        <f aca="false">I487&amp;"-Q"&amp;ROUNDUP(MONTH(B487)/3,0)</f>
        <v>2017-Q2</v>
      </c>
    </row>
    <row r="488" customFormat="false" ht="15" hidden="false" customHeight="false" outlineLevel="0" collapsed="false">
      <c r="A488" s="0" t="s">
        <v>294</v>
      </c>
      <c r="B488" s="6" t="n">
        <v>42896</v>
      </c>
      <c r="C488" s="7" t="s">
        <v>33</v>
      </c>
      <c r="D488" s="7" t="s">
        <v>34</v>
      </c>
      <c r="E488" s="7" t="s">
        <v>39</v>
      </c>
      <c r="F488" s="0" t="n">
        <v>279.96</v>
      </c>
      <c r="G488" s="0" t="n">
        <v>17.4975</v>
      </c>
      <c r="H488" s="0" t="n">
        <v>0.2</v>
      </c>
      <c r="I488" s="7" t="n">
        <f aca="false">YEAR(B488)</f>
        <v>2017</v>
      </c>
      <c r="J488" s="0" t="str">
        <f aca="false">I488&amp;"-Q"&amp;ROUNDUP(MONTH(B488)/3,0)</f>
        <v>2017-Q2</v>
      </c>
    </row>
    <row r="489" customFormat="false" ht="15" hidden="false" customHeight="false" outlineLevel="0" collapsed="false">
      <c r="A489" s="0" t="s">
        <v>295</v>
      </c>
      <c r="B489" s="6" t="n">
        <v>41941</v>
      </c>
      <c r="C489" s="7" t="s">
        <v>45</v>
      </c>
      <c r="D489" s="7" t="s">
        <v>64</v>
      </c>
      <c r="E489" s="7" t="s">
        <v>39</v>
      </c>
      <c r="F489" s="0" t="n">
        <v>2735.952</v>
      </c>
      <c r="G489" s="0" t="n">
        <v>341.994</v>
      </c>
      <c r="H489" s="0" t="n">
        <v>0.2</v>
      </c>
      <c r="I489" s="7" t="n">
        <f aca="false">YEAR(B489)</f>
        <v>2014</v>
      </c>
      <c r="J489" s="0" t="str">
        <f aca="false">I489&amp;"-Q"&amp;ROUNDUP(MONTH(B489)/3,0)</f>
        <v>2014-Q4</v>
      </c>
    </row>
    <row r="490" customFormat="false" ht="15" hidden="false" customHeight="false" outlineLevel="0" collapsed="false">
      <c r="A490" s="0" t="s">
        <v>296</v>
      </c>
      <c r="B490" s="6" t="n">
        <v>41799</v>
      </c>
      <c r="C490" s="7" t="s">
        <v>45</v>
      </c>
      <c r="D490" s="7" t="s">
        <v>46</v>
      </c>
      <c r="E490" s="7" t="s">
        <v>39</v>
      </c>
      <c r="F490" s="0" t="n">
        <v>7.992</v>
      </c>
      <c r="G490" s="0" t="n">
        <v>0.5994</v>
      </c>
      <c r="H490" s="0" t="n">
        <v>0.2</v>
      </c>
      <c r="I490" s="7" t="n">
        <f aca="false">YEAR(B490)</f>
        <v>2014</v>
      </c>
      <c r="J490" s="0" t="str">
        <f aca="false">I490&amp;"-Q"&amp;ROUNDUP(MONTH(B490)/3,0)</f>
        <v>2014-Q2</v>
      </c>
    </row>
    <row r="491" customFormat="false" ht="15" hidden="false" customHeight="false" outlineLevel="0" collapsed="false">
      <c r="A491" s="0" t="s">
        <v>296</v>
      </c>
      <c r="B491" s="6" t="n">
        <v>41799</v>
      </c>
      <c r="C491" s="7" t="s">
        <v>45</v>
      </c>
      <c r="D491" s="7" t="s">
        <v>46</v>
      </c>
      <c r="E491" s="7" t="s">
        <v>39</v>
      </c>
      <c r="F491" s="0" t="n">
        <v>63.984</v>
      </c>
      <c r="G491" s="0" t="n">
        <v>10.3974</v>
      </c>
      <c r="H491" s="0" t="n">
        <v>0.2</v>
      </c>
      <c r="I491" s="7" t="n">
        <f aca="false">YEAR(B491)</f>
        <v>2014</v>
      </c>
      <c r="J491" s="0" t="str">
        <f aca="false">I491&amp;"-Q"&amp;ROUNDUP(MONTH(B491)/3,0)</f>
        <v>2014-Q2</v>
      </c>
    </row>
    <row r="492" customFormat="false" ht="15" hidden="false" customHeight="false" outlineLevel="0" collapsed="false">
      <c r="A492" s="0" t="s">
        <v>296</v>
      </c>
      <c r="B492" s="6" t="n">
        <v>41799</v>
      </c>
      <c r="C492" s="7" t="s">
        <v>45</v>
      </c>
      <c r="D492" s="7" t="s">
        <v>46</v>
      </c>
      <c r="E492" s="7" t="s">
        <v>35</v>
      </c>
      <c r="F492" s="0" t="n">
        <v>70.368</v>
      </c>
      <c r="G492" s="0" t="n">
        <v>6.1572</v>
      </c>
      <c r="H492" s="0" t="n">
        <v>0.2</v>
      </c>
      <c r="I492" s="7" t="n">
        <f aca="false">YEAR(B492)</f>
        <v>2014</v>
      </c>
      <c r="J492" s="0" t="str">
        <f aca="false">I492&amp;"-Q"&amp;ROUNDUP(MONTH(B492)/3,0)</f>
        <v>2014-Q2</v>
      </c>
    </row>
    <row r="493" customFormat="false" ht="15" hidden="false" customHeight="false" outlineLevel="0" collapsed="false">
      <c r="A493" s="0" t="s">
        <v>297</v>
      </c>
      <c r="B493" s="6" t="n">
        <v>41896</v>
      </c>
      <c r="C493" s="7" t="s">
        <v>55</v>
      </c>
      <c r="D493" s="7" t="s">
        <v>76</v>
      </c>
      <c r="E493" s="7" t="s">
        <v>35</v>
      </c>
      <c r="F493" s="0" t="n">
        <v>449.15</v>
      </c>
      <c r="G493" s="0" t="n">
        <v>8.983</v>
      </c>
      <c r="H493" s="0" t="n">
        <v>0</v>
      </c>
      <c r="I493" s="7" t="n">
        <f aca="false">YEAR(B493)</f>
        <v>2014</v>
      </c>
      <c r="J493" s="0" t="str">
        <f aca="false">I493&amp;"-Q"&amp;ROUNDUP(MONTH(B493)/3,0)</f>
        <v>2014-Q3</v>
      </c>
    </row>
    <row r="494" customFormat="false" ht="15" hidden="false" customHeight="false" outlineLevel="0" collapsed="false">
      <c r="A494" s="0" t="s">
        <v>297</v>
      </c>
      <c r="B494" s="6" t="n">
        <v>41896</v>
      </c>
      <c r="C494" s="7" t="s">
        <v>55</v>
      </c>
      <c r="D494" s="7" t="s">
        <v>76</v>
      </c>
      <c r="E494" s="7" t="s">
        <v>35</v>
      </c>
      <c r="F494" s="0" t="n">
        <v>11.07</v>
      </c>
      <c r="G494" s="0" t="n">
        <v>5.0922</v>
      </c>
      <c r="H494" s="0" t="n">
        <v>0</v>
      </c>
      <c r="I494" s="7" t="n">
        <f aca="false">YEAR(B494)</f>
        <v>2014</v>
      </c>
      <c r="J494" s="0" t="str">
        <f aca="false">I494&amp;"-Q"&amp;ROUNDUP(MONTH(B494)/3,0)</f>
        <v>2014-Q3</v>
      </c>
    </row>
    <row r="495" customFormat="false" ht="15" hidden="false" customHeight="false" outlineLevel="0" collapsed="false">
      <c r="A495" s="0" t="s">
        <v>298</v>
      </c>
      <c r="B495" s="6" t="n">
        <v>42499</v>
      </c>
      <c r="C495" s="7" t="s">
        <v>33</v>
      </c>
      <c r="D495" s="7" t="s">
        <v>43</v>
      </c>
      <c r="E495" s="7" t="s">
        <v>39</v>
      </c>
      <c r="F495" s="0" t="n">
        <v>93.98</v>
      </c>
      <c r="G495" s="0" t="n">
        <v>13.1572</v>
      </c>
      <c r="H495" s="0" t="n">
        <v>0</v>
      </c>
      <c r="I495" s="7" t="n">
        <f aca="false">YEAR(B495)</f>
        <v>2016</v>
      </c>
      <c r="J495" s="0" t="str">
        <f aca="false">I495&amp;"-Q"&amp;ROUNDUP(MONTH(B495)/3,0)</f>
        <v>2016-Q2</v>
      </c>
    </row>
    <row r="496" customFormat="false" ht="15" hidden="false" customHeight="false" outlineLevel="0" collapsed="false">
      <c r="A496" s="0" t="s">
        <v>299</v>
      </c>
      <c r="B496" s="6" t="n">
        <v>42447</v>
      </c>
      <c r="C496" s="7" t="s">
        <v>29</v>
      </c>
      <c r="D496" s="7" t="s">
        <v>87</v>
      </c>
      <c r="E496" s="7" t="s">
        <v>31</v>
      </c>
      <c r="F496" s="0" t="n">
        <v>189.882</v>
      </c>
      <c r="G496" s="0" t="n">
        <v>-94.941</v>
      </c>
      <c r="H496" s="0" t="n">
        <v>0.4</v>
      </c>
      <c r="I496" s="7" t="n">
        <f aca="false">YEAR(B496)</f>
        <v>2016</v>
      </c>
      <c r="J496" s="0" t="str">
        <f aca="false">I496&amp;"-Q"&amp;ROUNDUP(MONTH(B496)/3,0)</f>
        <v>2016-Q1</v>
      </c>
    </row>
    <row r="497" customFormat="false" ht="15" hidden="false" customHeight="false" outlineLevel="0" collapsed="false">
      <c r="A497" s="0" t="s">
        <v>300</v>
      </c>
      <c r="B497" s="6" t="n">
        <v>42365</v>
      </c>
      <c r="C497" s="7" t="s">
        <v>29</v>
      </c>
      <c r="D497" s="7" t="s">
        <v>301</v>
      </c>
      <c r="E497" s="7" t="s">
        <v>35</v>
      </c>
      <c r="F497" s="0" t="n">
        <v>105.42</v>
      </c>
      <c r="G497" s="0" t="n">
        <v>51.6558</v>
      </c>
      <c r="H497" s="0" t="n">
        <v>0</v>
      </c>
      <c r="I497" s="7" t="n">
        <f aca="false">YEAR(B497)</f>
        <v>2015</v>
      </c>
      <c r="J497" s="0" t="str">
        <f aca="false">I497&amp;"-Q"&amp;ROUNDUP(MONTH(B497)/3,0)</f>
        <v>2015-Q4</v>
      </c>
    </row>
    <row r="498" customFormat="false" ht="15" hidden="false" customHeight="false" outlineLevel="0" collapsed="false">
      <c r="A498" s="0" t="s">
        <v>302</v>
      </c>
      <c r="B498" s="6" t="n">
        <v>42576</v>
      </c>
      <c r="C498" s="7" t="s">
        <v>33</v>
      </c>
      <c r="D498" s="7" t="s">
        <v>34</v>
      </c>
      <c r="E498" s="7" t="s">
        <v>35</v>
      </c>
      <c r="F498" s="0" t="n">
        <v>119.616</v>
      </c>
      <c r="G498" s="0" t="n">
        <v>40.3704</v>
      </c>
      <c r="H498" s="0" t="n">
        <v>0.2</v>
      </c>
      <c r="I498" s="7" t="n">
        <f aca="false">YEAR(B498)</f>
        <v>2016</v>
      </c>
      <c r="J498" s="0" t="str">
        <f aca="false">I498&amp;"-Q"&amp;ROUNDUP(MONTH(B498)/3,0)</f>
        <v>2016-Q3</v>
      </c>
    </row>
    <row r="499" customFormat="false" ht="15" hidden="false" customHeight="false" outlineLevel="0" collapsed="false">
      <c r="A499" s="0" t="s">
        <v>302</v>
      </c>
      <c r="B499" s="6" t="n">
        <v>42576</v>
      </c>
      <c r="C499" s="7" t="s">
        <v>33</v>
      </c>
      <c r="D499" s="7" t="s">
        <v>34</v>
      </c>
      <c r="E499" s="7" t="s">
        <v>31</v>
      </c>
      <c r="F499" s="0" t="n">
        <v>255.76</v>
      </c>
      <c r="G499" s="0" t="n">
        <v>81.8432</v>
      </c>
      <c r="H499" s="0" t="n">
        <v>0</v>
      </c>
      <c r="I499" s="7" t="n">
        <f aca="false">YEAR(B499)</f>
        <v>2016</v>
      </c>
      <c r="J499" s="0" t="str">
        <f aca="false">I499&amp;"-Q"&amp;ROUNDUP(MONTH(B499)/3,0)</f>
        <v>2016-Q3</v>
      </c>
    </row>
    <row r="500" customFormat="false" ht="15" hidden="false" customHeight="false" outlineLevel="0" collapsed="false">
      <c r="A500" s="0" t="s">
        <v>302</v>
      </c>
      <c r="B500" s="6" t="n">
        <v>42576</v>
      </c>
      <c r="C500" s="7" t="s">
        <v>33</v>
      </c>
      <c r="D500" s="7" t="s">
        <v>34</v>
      </c>
      <c r="E500" s="7" t="s">
        <v>31</v>
      </c>
      <c r="F500" s="0" t="n">
        <v>241.568</v>
      </c>
      <c r="G500" s="0" t="n">
        <v>18.1176</v>
      </c>
      <c r="H500" s="0" t="n">
        <v>0.2</v>
      </c>
      <c r="I500" s="7" t="n">
        <f aca="false">YEAR(B500)</f>
        <v>2016</v>
      </c>
      <c r="J500" s="0" t="str">
        <f aca="false">I500&amp;"-Q"&amp;ROUNDUP(MONTH(B500)/3,0)</f>
        <v>2016-Q3</v>
      </c>
    </row>
    <row r="501" customFormat="false" ht="15" hidden="false" customHeight="false" outlineLevel="0" collapsed="false">
      <c r="A501" s="0" t="s">
        <v>302</v>
      </c>
      <c r="B501" s="6" t="n">
        <v>42576</v>
      </c>
      <c r="C501" s="7" t="s">
        <v>33</v>
      </c>
      <c r="D501" s="7" t="s">
        <v>34</v>
      </c>
      <c r="E501" s="7" t="s">
        <v>31</v>
      </c>
      <c r="F501" s="0" t="n">
        <v>69.3</v>
      </c>
      <c r="G501" s="0" t="n">
        <v>22.869</v>
      </c>
      <c r="H501" s="0" t="n">
        <v>0</v>
      </c>
      <c r="I501" s="7" t="n">
        <f aca="false">YEAR(B501)</f>
        <v>2016</v>
      </c>
      <c r="J501" s="0" t="str">
        <f aca="false">I501&amp;"-Q"&amp;ROUNDUP(MONTH(B501)/3,0)</f>
        <v>2016-Q3</v>
      </c>
    </row>
    <row r="502" customFormat="false" ht="15" hidden="false" customHeight="false" outlineLevel="0" collapsed="false">
      <c r="A502" s="0" t="s">
        <v>303</v>
      </c>
      <c r="B502" s="6" t="n">
        <v>42520</v>
      </c>
      <c r="C502" s="7" t="s">
        <v>33</v>
      </c>
      <c r="D502" s="7" t="s">
        <v>109</v>
      </c>
      <c r="E502" s="7" t="s">
        <v>35</v>
      </c>
      <c r="F502" s="0" t="n">
        <v>22.62</v>
      </c>
      <c r="G502" s="0" t="n">
        <v>-15.08</v>
      </c>
      <c r="H502" s="0" t="n">
        <v>0.7</v>
      </c>
      <c r="I502" s="7" t="n">
        <f aca="false">YEAR(B502)</f>
        <v>2016</v>
      </c>
      <c r="J502" s="0" t="str">
        <f aca="false">I502&amp;"-Q"&amp;ROUNDUP(MONTH(B502)/3,0)</f>
        <v>2016-Q2</v>
      </c>
    </row>
    <row r="503" customFormat="false" ht="15" hidden="false" customHeight="false" outlineLevel="0" collapsed="false">
      <c r="A503" s="0" t="s">
        <v>303</v>
      </c>
      <c r="B503" s="6" t="n">
        <v>42520</v>
      </c>
      <c r="C503" s="7" t="s">
        <v>33</v>
      </c>
      <c r="D503" s="7" t="s">
        <v>109</v>
      </c>
      <c r="E503" s="7" t="s">
        <v>35</v>
      </c>
      <c r="F503" s="0" t="n">
        <v>14.952</v>
      </c>
      <c r="G503" s="0" t="n">
        <v>-11.9616</v>
      </c>
      <c r="H503" s="0" t="n">
        <v>0.7</v>
      </c>
      <c r="I503" s="7" t="n">
        <f aca="false">YEAR(B503)</f>
        <v>2016</v>
      </c>
      <c r="J503" s="0" t="str">
        <f aca="false">I503&amp;"-Q"&amp;ROUNDUP(MONTH(B503)/3,0)</f>
        <v>2016-Q2</v>
      </c>
    </row>
    <row r="504" customFormat="false" ht="15" hidden="false" customHeight="false" outlineLevel="0" collapsed="false">
      <c r="A504" s="0" t="s">
        <v>303</v>
      </c>
      <c r="B504" s="6" t="n">
        <v>42520</v>
      </c>
      <c r="C504" s="7" t="s">
        <v>33</v>
      </c>
      <c r="D504" s="7" t="s">
        <v>109</v>
      </c>
      <c r="E504" s="7" t="s">
        <v>31</v>
      </c>
      <c r="F504" s="0" t="n">
        <v>801.568</v>
      </c>
      <c r="G504" s="0" t="n">
        <v>50.098</v>
      </c>
      <c r="H504" s="0" t="n">
        <v>0.2</v>
      </c>
      <c r="I504" s="7" t="n">
        <f aca="false">YEAR(B504)</f>
        <v>2016</v>
      </c>
      <c r="J504" s="0" t="str">
        <f aca="false">I504&amp;"-Q"&amp;ROUNDUP(MONTH(B504)/3,0)</f>
        <v>2016-Q2</v>
      </c>
    </row>
    <row r="505" customFormat="false" ht="15" hidden="false" customHeight="false" outlineLevel="0" collapsed="false">
      <c r="A505" s="0" t="s">
        <v>303</v>
      </c>
      <c r="B505" s="6" t="n">
        <v>42520</v>
      </c>
      <c r="C505" s="7" t="s">
        <v>33</v>
      </c>
      <c r="D505" s="7" t="s">
        <v>109</v>
      </c>
      <c r="E505" s="7" t="s">
        <v>35</v>
      </c>
      <c r="F505" s="0" t="n">
        <v>2.376</v>
      </c>
      <c r="G505" s="0" t="n">
        <v>-1.9008</v>
      </c>
      <c r="H505" s="0" t="n">
        <v>0.7</v>
      </c>
      <c r="I505" s="7" t="n">
        <f aca="false">YEAR(B505)</f>
        <v>2016</v>
      </c>
      <c r="J505" s="0" t="str">
        <f aca="false">I505&amp;"-Q"&amp;ROUNDUP(MONTH(B505)/3,0)</f>
        <v>2016-Q2</v>
      </c>
    </row>
    <row r="506" customFormat="false" ht="15" hidden="false" customHeight="false" outlineLevel="0" collapsed="false">
      <c r="A506" s="0" t="s">
        <v>303</v>
      </c>
      <c r="B506" s="6" t="n">
        <v>42520</v>
      </c>
      <c r="C506" s="7" t="s">
        <v>33</v>
      </c>
      <c r="D506" s="7" t="s">
        <v>109</v>
      </c>
      <c r="E506" s="7" t="s">
        <v>35</v>
      </c>
      <c r="F506" s="0" t="n">
        <v>32.792</v>
      </c>
      <c r="G506" s="0" t="n">
        <v>11.8871</v>
      </c>
      <c r="H506" s="0" t="n">
        <v>0.2</v>
      </c>
      <c r="I506" s="7" t="n">
        <f aca="false">YEAR(B506)</f>
        <v>2016</v>
      </c>
      <c r="J506" s="0" t="str">
        <f aca="false">I506&amp;"-Q"&amp;ROUNDUP(MONTH(B506)/3,0)</f>
        <v>2016-Q2</v>
      </c>
    </row>
    <row r="507" customFormat="false" ht="15" hidden="false" customHeight="false" outlineLevel="0" collapsed="false">
      <c r="A507" s="0" t="s">
        <v>304</v>
      </c>
      <c r="B507" s="6" t="n">
        <v>43051</v>
      </c>
      <c r="C507" s="7" t="s">
        <v>55</v>
      </c>
      <c r="D507" s="7" t="s">
        <v>76</v>
      </c>
      <c r="E507" s="7" t="s">
        <v>35</v>
      </c>
      <c r="F507" s="0" t="n">
        <v>15.92</v>
      </c>
      <c r="G507" s="0" t="n">
        <v>5.373</v>
      </c>
      <c r="H507" s="0" t="n">
        <v>0.2</v>
      </c>
      <c r="I507" s="7" t="n">
        <f aca="false">YEAR(B507)</f>
        <v>2017</v>
      </c>
      <c r="J507" s="0" t="str">
        <f aca="false">I507&amp;"-Q"&amp;ROUNDUP(MONTH(B507)/3,0)</f>
        <v>2017-Q4</v>
      </c>
    </row>
    <row r="508" customFormat="false" ht="15" hidden="false" customHeight="false" outlineLevel="0" collapsed="false">
      <c r="A508" s="0" t="s">
        <v>305</v>
      </c>
      <c r="B508" s="6" t="n">
        <v>42079</v>
      </c>
      <c r="C508" s="7" t="s">
        <v>29</v>
      </c>
      <c r="D508" s="7" t="s">
        <v>230</v>
      </c>
      <c r="E508" s="7" t="s">
        <v>35</v>
      </c>
      <c r="F508" s="0" t="n">
        <v>2.74</v>
      </c>
      <c r="G508" s="0" t="n">
        <v>0.7398</v>
      </c>
      <c r="H508" s="0" t="n">
        <v>0</v>
      </c>
      <c r="I508" s="7" t="n">
        <f aca="false">YEAR(B508)</f>
        <v>2015</v>
      </c>
      <c r="J508" s="0" t="str">
        <f aca="false">I508&amp;"-Q"&amp;ROUNDUP(MONTH(B508)/3,0)</f>
        <v>2015-Q1</v>
      </c>
    </row>
    <row r="509" customFormat="false" ht="15" hidden="false" customHeight="false" outlineLevel="0" collapsed="false">
      <c r="A509" s="0" t="s">
        <v>305</v>
      </c>
      <c r="B509" s="6" t="n">
        <v>42079</v>
      </c>
      <c r="C509" s="7" t="s">
        <v>29</v>
      </c>
      <c r="D509" s="7" t="s">
        <v>230</v>
      </c>
      <c r="E509" s="7" t="s">
        <v>35</v>
      </c>
      <c r="F509" s="0" t="n">
        <v>8.34</v>
      </c>
      <c r="G509" s="0" t="n">
        <v>2.1684</v>
      </c>
      <c r="H509" s="0" t="n">
        <v>0</v>
      </c>
      <c r="I509" s="7" t="n">
        <f aca="false">YEAR(B509)</f>
        <v>2015</v>
      </c>
      <c r="J509" s="0" t="str">
        <f aca="false">I509&amp;"-Q"&amp;ROUNDUP(MONTH(B509)/3,0)</f>
        <v>2015-Q1</v>
      </c>
    </row>
    <row r="510" customFormat="false" ht="15" hidden="false" customHeight="false" outlineLevel="0" collapsed="false">
      <c r="A510" s="0" t="s">
        <v>305</v>
      </c>
      <c r="B510" s="6" t="n">
        <v>42079</v>
      </c>
      <c r="C510" s="7" t="s">
        <v>29</v>
      </c>
      <c r="D510" s="7" t="s">
        <v>230</v>
      </c>
      <c r="E510" s="7" t="s">
        <v>35</v>
      </c>
      <c r="F510" s="0" t="n">
        <v>46.74</v>
      </c>
      <c r="G510" s="0" t="n">
        <v>11.685</v>
      </c>
      <c r="H510" s="0" t="n">
        <v>0</v>
      </c>
      <c r="I510" s="7" t="n">
        <f aca="false">YEAR(B510)</f>
        <v>2015</v>
      </c>
      <c r="J510" s="0" t="str">
        <f aca="false">I510&amp;"-Q"&amp;ROUNDUP(MONTH(B510)/3,0)</f>
        <v>2015-Q1</v>
      </c>
    </row>
    <row r="511" customFormat="false" ht="15" hidden="false" customHeight="false" outlineLevel="0" collapsed="false">
      <c r="A511" s="0" t="s">
        <v>305</v>
      </c>
      <c r="B511" s="6" t="n">
        <v>42079</v>
      </c>
      <c r="C511" s="7" t="s">
        <v>29</v>
      </c>
      <c r="D511" s="7" t="s">
        <v>230</v>
      </c>
      <c r="E511" s="7" t="s">
        <v>35</v>
      </c>
      <c r="F511" s="0" t="n">
        <v>6354.95</v>
      </c>
      <c r="G511" s="0" t="n">
        <v>3177.475</v>
      </c>
      <c r="H511" s="0" t="n">
        <v>0</v>
      </c>
      <c r="I511" s="7" t="n">
        <f aca="false">YEAR(B511)</f>
        <v>2015</v>
      </c>
      <c r="J511" s="0" t="str">
        <f aca="false">I511&amp;"-Q"&amp;ROUNDUP(MONTH(B511)/3,0)</f>
        <v>2015-Q1</v>
      </c>
    </row>
    <row r="512" customFormat="false" ht="15" hidden="false" customHeight="false" outlineLevel="0" collapsed="false">
      <c r="A512" s="0" t="s">
        <v>306</v>
      </c>
      <c r="B512" s="6" t="n">
        <v>43065</v>
      </c>
      <c r="C512" s="7" t="s">
        <v>45</v>
      </c>
      <c r="D512" s="7" t="s">
        <v>129</v>
      </c>
      <c r="E512" s="7" t="s">
        <v>31</v>
      </c>
      <c r="F512" s="0" t="n">
        <v>126.3</v>
      </c>
      <c r="G512" s="0" t="n">
        <v>40.416</v>
      </c>
      <c r="H512" s="0" t="n">
        <v>0</v>
      </c>
      <c r="I512" s="7" t="n">
        <f aca="false">YEAR(B512)</f>
        <v>2017</v>
      </c>
      <c r="J512" s="0" t="str">
        <f aca="false">I512&amp;"-Q"&amp;ROUNDUP(MONTH(B512)/3,0)</f>
        <v>2017-Q4</v>
      </c>
    </row>
    <row r="513" customFormat="false" ht="15" hidden="false" customHeight="false" outlineLevel="0" collapsed="false">
      <c r="A513" s="0" t="s">
        <v>306</v>
      </c>
      <c r="B513" s="6" t="n">
        <v>43065</v>
      </c>
      <c r="C513" s="7" t="s">
        <v>45</v>
      </c>
      <c r="D513" s="7" t="s">
        <v>129</v>
      </c>
      <c r="E513" s="7" t="s">
        <v>39</v>
      </c>
      <c r="F513" s="0" t="n">
        <v>38.04</v>
      </c>
      <c r="G513" s="0" t="n">
        <v>12.1728</v>
      </c>
      <c r="H513" s="0" t="n">
        <v>0</v>
      </c>
      <c r="I513" s="7" t="n">
        <f aca="false">YEAR(B513)</f>
        <v>2017</v>
      </c>
      <c r="J513" s="0" t="str">
        <f aca="false">I513&amp;"-Q"&amp;ROUNDUP(MONTH(B513)/3,0)</f>
        <v>2017-Q4</v>
      </c>
    </row>
    <row r="514" customFormat="false" ht="15" hidden="false" customHeight="false" outlineLevel="0" collapsed="false">
      <c r="A514" s="0" t="s">
        <v>307</v>
      </c>
      <c r="B514" s="6" t="n">
        <v>42663</v>
      </c>
      <c r="C514" s="7" t="s">
        <v>55</v>
      </c>
      <c r="D514" s="7" t="s">
        <v>116</v>
      </c>
      <c r="E514" s="7" t="s">
        <v>35</v>
      </c>
      <c r="F514" s="0" t="n">
        <v>7.152</v>
      </c>
      <c r="G514" s="0" t="n">
        <v>0.7152</v>
      </c>
      <c r="H514" s="0" t="n">
        <v>0.2</v>
      </c>
      <c r="I514" s="7" t="n">
        <f aca="false">YEAR(B514)</f>
        <v>2016</v>
      </c>
      <c r="J514" s="0" t="str">
        <f aca="false">I514&amp;"-Q"&amp;ROUNDUP(MONTH(B514)/3,0)</f>
        <v>2016-Q4</v>
      </c>
    </row>
    <row r="515" customFormat="false" ht="15" hidden="false" customHeight="false" outlineLevel="0" collapsed="false">
      <c r="A515" s="0" t="s">
        <v>308</v>
      </c>
      <c r="B515" s="6" t="n">
        <v>43090</v>
      </c>
      <c r="C515" s="7" t="s">
        <v>33</v>
      </c>
      <c r="D515" s="7" t="s">
        <v>34</v>
      </c>
      <c r="E515" s="7" t="s">
        <v>35</v>
      </c>
      <c r="F515" s="0" t="n">
        <v>6.63</v>
      </c>
      <c r="G515" s="0" t="n">
        <v>1.7901</v>
      </c>
      <c r="H515" s="0" t="n">
        <v>0</v>
      </c>
      <c r="I515" s="7" t="n">
        <f aca="false">YEAR(B515)</f>
        <v>2017</v>
      </c>
      <c r="J515" s="0" t="str">
        <f aca="false">I515&amp;"-Q"&amp;ROUNDUP(MONTH(B515)/3,0)</f>
        <v>2017-Q4</v>
      </c>
    </row>
    <row r="516" customFormat="false" ht="15" hidden="false" customHeight="false" outlineLevel="0" collapsed="false">
      <c r="A516" s="0" t="s">
        <v>308</v>
      </c>
      <c r="B516" s="6" t="n">
        <v>43090</v>
      </c>
      <c r="C516" s="7" t="s">
        <v>33</v>
      </c>
      <c r="D516" s="7" t="s">
        <v>34</v>
      </c>
      <c r="E516" s="7" t="s">
        <v>35</v>
      </c>
      <c r="F516" s="0" t="n">
        <v>5.88</v>
      </c>
      <c r="G516" s="0" t="n">
        <v>1.7052</v>
      </c>
      <c r="H516" s="0" t="n">
        <v>0</v>
      </c>
      <c r="I516" s="7" t="n">
        <f aca="false">YEAR(B516)</f>
        <v>2017</v>
      </c>
      <c r="J516" s="0" t="str">
        <f aca="false">I516&amp;"-Q"&amp;ROUNDUP(MONTH(B516)/3,0)</f>
        <v>2017-Q4</v>
      </c>
    </row>
    <row r="517" customFormat="false" ht="15" hidden="false" customHeight="false" outlineLevel="0" collapsed="false">
      <c r="A517" s="0" t="s">
        <v>309</v>
      </c>
      <c r="B517" s="6" t="n">
        <v>42757</v>
      </c>
      <c r="C517" s="7" t="s">
        <v>33</v>
      </c>
      <c r="D517" s="7" t="s">
        <v>310</v>
      </c>
      <c r="E517" s="7" t="s">
        <v>39</v>
      </c>
      <c r="F517" s="0" t="n">
        <v>2999.95</v>
      </c>
      <c r="G517" s="0" t="n">
        <v>1379.977</v>
      </c>
      <c r="H517" s="0" t="n">
        <v>0</v>
      </c>
      <c r="I517" s="7" t="n">
        <f aca="false">YEAR(B517)</f>
        <v>2017</v>
      </c>
      <c r="J517" s="0" t="str">
        <f aca="false">I517&amp;"-Q"&amp;ROUNDUP(MONTH(B517)/3,0)</f>
        <v>2017-Q1</v>
      </c>
    </row>
    <row r="518" customFormat="false" ht="15" hidden="false" customHeight="false" outlineLevel="0" collapsed="false">
      <c r="A518" s="0" t="s">
        <v>309</v>
      </c>
      <c r="B518" s="6" t="n">
        <v>42757</v>
      </c>
      <c r="C518" s="7" t="s">
        <v>33</v>
      </c>
      <c r="D518" s="7" t="s">
        <v>310</v>
      </c>
      <c r="E518" s="7" t="s">
        <v>35</v>
      </c>
      <c r="F518" s="0" t="n">
        <v>51.45</v>
      </c>
      <c r="G518" s="0" t="n">
        <v>13.8915</v>
      </c>
      <c r="H518" s="0" t="n">
        <v>0</v>
      </c>
      <c r="I518" s="7" t="n">
        <f aca="false">YEAR(B518)</f>
        <v>2017</v>
      </c>
      <c r="J518" s="0" t="str">
        <f aca="false">I518&amp;"-Q"&amp;ROUNDUP(MONTH(B518)/3,0)</f>
        <v>2017-Q1</v>
      </c>
    </row>
    <row r="519" customFormat="false" ht="15" hidden="false" customHeight="false" outlineLevel="0" collapsed="false">
      <c r="A519" s="0" t="s">
        <v>309</v>
      </c>
      <c r="B519" s="6" t="n">
        <v>42757</v>
      </c>
      <c r="C519" s="7" t="s">
        <v>33</v>
      </c>
      <c r="D519" s="7" t="s">
        <v>310</v>
      </c>
      <c r="E519" s="7" t="s">
        <v>35</v>
      </c>
      <c r="F519" s="0" t="n">
        <v>11.96</v>
      </c>
      <c r="G519" s="0" t="n">
        <v>5.382</v>
      </c>
      <c r="H519" s="0" t="n">
        <v>0</v>
      </c>
      <c r="I519" s="7" t="n">
        <f aca="false">YEAR(B519)</f>
        <v>2017</v>
      </c>
      <c r="J519" s="0" t="str">
        <f aca="false">I519&amp;"-Q"&amp;ROUNDUP(MONTH(B519)/3,0)</f>
        <v>2017-Q1</v>
      </c>
    </row>
    <row r="520" customFormat="false" ht="15" hidden="false" customHeight="false" outlineLevel="0" collapsed="false">
      <c r="A520" s="0" t="s">
        <v>309</v>
      </c>
      <c r="B520" s="6" t="n">
        <v>42757</v>
      </c>
      <c r="C520" s="7" t="s">
        <v>33</v>
      </c>
      <c r="D520" s="7" t="s">
        <v>310</v>
      </c>
      <c r="E520" s="7" t="s">
        <v>35</v>
      </c>
      <c r="F520" s="0" t="n">
        <v>1126.02</v>
      </c>
      <c r="G520" s="0" t="n">
        <v>56.301</v>
      </c>
      <c r="H520" s="0" t="n">
        <v>0</v>
      </c>
      <c r="I520" s="7" t="n">
        <f aca="false">YEAR(B520)</f>
        <v>2017</v>
      </c>
      <c r="J520" s="0" t="str">
        <f aca="false">I520&amp;"-Q"&amp;ROUNDUP(MONTH(B520)/3,0)</f>
        <v>2017-Q1</v>
      </c>
    </row>
    <row r="521" customFormat="false" ht="15" hidden="false" customHeight="false" outlineLevel="0" collapsed="false">
      <c r="A521" s="0" t="s">
        <v>311</v>
      </c>
      <c r="B521" s="6" t="n">
        <v>42085</v>
      </c>
      <c r="C521" s="7" t="s">
        <v>45</v>
      </c>
      <c r="D521" s="7" t="s">
        <v>46</v>
      </c>
      <c r="E521" s="7" t="s">
        <v>39</v>
      </c>
      <c r="F521" s="0" t="n">
        <v>18.392</v>
      </c>
      <c r="G521" s="0" t="n">
        <v>5.2877</v>
      </c>
      <c r="H521" s="0" t="n">
        <v>0.2</v>
      </c>
      <c r="I521" s="7" t="n">
        <f aca="false">YEAR(B521)</f>
        <v>2015</v>
      </c>
      <c r="J521" s="0" t="str">
        <f aca="false">I521&amp;"-Q"&amp;ROUNDUP(MONTH(B521)/3,0)</f>
        <v>2015-Q1</v>
      </c>
    </row>
    <row r="522" customFormat="false" ht="15" hidden="false" customHeight="false" outlineLevel="0" collapsed="false">
      <c r="A522" s="0" t="s">
        <v>311</v>
      </c>
      <c r="B522" s="6" t="n">
        <v>42085</v>
      </c>
      <c r="C522" s="7" t="s">
        <v>45</v>
      </c>
      <c r="D522" s="7" t="s">
        <v>46</v>
      </c>
      <c r="E522" s="7" t="s">
        <v>35</v>
      </c>
      <c r="F522" s="0" t="n">
        <v>129.568</v>
      </c>
      <c r="G522" s="0" t="n">
        <v>-25.9136</v>
      </c>
      <c r="H522" s="0" t="n">
        <v>0.2</v>
      </c>
      <c r="I522" s="7" t="n">
        <f aca="false">YEAR(B522)</f>
        <v>2015</v>
      </c>
      <c r="J522" s="0" t="str">
        <f aca="false">I522&amp;"-Q"&amp;ROUNDUP(MONTH(B522)/3,0)</f>
        <v>2015-Q1</v>
      </c>
    </row>
    <row r="523" customFormat="false" ht="15" hidden="false" customHeight="false" outlineLevel="0" collapsed="false">
      <c r="A523" s="0" t="s">
        <v>311</v>
      </c>
      <c r="B523" s="6" t="n">
        <v>42085</v>
      </c>
      <c r="C523" s="7" t="s">
        <v>45</v>
      </c>
      <c r="D523" s="7" t="s">
        <v>46</v>
      </c>
      <c r="E523" s="7" t="s">
        <v>35</v>
      </c>
      <c r="F523" s="0" t="n">
        <v>14.112</v>
      </c>
      <c r="G523" s="0" t="n">
        <v>-21.168</v>
      </c>
      <c r="H523" s="0" t="n">
        <v>0.8</v>
      </c>
      <c r="I523" s="7" t="n">
        <f aca="false">YEAR(B523)</f>
        <v>2015</v>
      </c>
      <c r="J523" s="0" t="str">
        <f aca="false">I523&amp;"-Q"&amp;ROUNDUP(MONTH(B523)/3,0)</f>
        <v>2015-Q1</v>
      </c>
    </row>
    <row r="524" customFormat="false" ht="15" hidden="false" customHeight="false" outlineLevel="0" collapsed="false">
      <c r="A524" s="0" t="s">
        <v>312</v>
      </c>
      <c r="B524" s="6" t="n">
        <v>42758</v>
      </c>
      <c r="C524" s="7" t="s">
        <v>45</v>
      </c>
      <c r="D524" s="7" t="s">
        <v>70</v>
      </c>
      <c r="E524" s="7" t="s">
        <v>31</v>
      </c>
      <c r="F524" s="0" t="n">
        <v>210.98</v>
      </c>
      <c r="G524" s="0" t="n">
        <v>21.098</v>
      </c>
      <c r="H524" s="0" t="n">
        <v>0</v>
      </c>
      <c r="I524" s="7" t="n">
        <f aca="false">YEAR(B524)</f>
        <v>2017</v>
      </c>
      <c r="J524" s="0" t="str">
        <f aca="false">I524&amp;"-Q"&amp;ROUNDUP(MONTH(B524)/3,0)</f>
        <v>2017-Q1</v>
      </c>
    </row>
    <row r="525" customFormat="false" ht="15" hidden="false" customHeight="false" outlineLevel="0" collapsed="false">
      <c r="A525" s="0" t="s">
        <v>313</v>
      </c>
      <c r="B525" s="6" t="n">
        <v>42511</v>
      </c>
      <c r="C525" s="7" t="s">
        <v>33</v>
      </c>
      <c r="D525" s="7" t="s">
        <v>34</v>
      </c>
      <c r="E525" s="7" t="s">
        <v>39</v>
      </c>
      <c r="F525" s="0" t="n">
        <v>55.176</v>
      </c>
      <c r="G525" s="0" t="n">
        <v>-12.4146</v>
      </c>
      <c r="H525" s="0" t="n">
        <v>0.2</v>
      </c>
      <c r="I525" s="7" t="n">
        <f aca="false">YEAR(B525)</f>
        <v>2016</v>
      </c>
      <c r="J525" s="0" t="str">
        <f aca="false">I525&amp;"-Q"&amp;ROUNDUP(MONTH(B525)/3,0)</f>
        <v>2016-Q2</v>
      </c>
    </row>
    <row r="526" customFormat="false" ht="15" hidden="false" customHeight="false" outlineLevel="0" collapsed="false">
      <c r="A526" s="0" t="s">
        <v>313</v>
      </c>
      <c r="B526" s="6" t="n">
        <v>42511</v>
      </c>
      <c r="C526" s="7" t="s">
        <v>33</v>
      </c>
      <c r="D526" s="7" t="s">
        <v>34</v>
      </c>
      <c r="E526" s="7" t="s">
        <v>39</v>
      </c>
      <c r="F526" s="0" t="n">
        <v>66.26</v>
      </c>
      <c r="G526" s="0" t="n">
        <v>27.1666</v>
      </c>
      <c r="H526" s="0" t="n">
        <v>0</v>
      </c>
      <c r="I526" s="7" t="n">
        <f aca="false">YEAR(B526)</f>
        <v>2016</v>
      </c>
      <c r="J526" s="0" t="str">
        <f aca="false">I526&amp;"-Q"&amp;ROUNDUP(MONTH(B526)/3,0)</f>
        <v>2016-Q2</v>
      </c>
    </row>
    <row r="527" customFormat="false" ht="15" hidden="false" customHeight="false" outlineLevel="0" collapsed="false">
      <c r="A527" s="0" t="s">
        <v>314</v>
      </c>
      <c r="B527" s="6" t="n">
        <v>42364</v>
      </c>
      <c r="C527" s="7" t="s">
        <v>55</v>
      </c>
      <c r="D527" s="7" t="s">
        <v>225</v>
      </c>
      <c r="E527" s="7" t="s">
        <v>35</v>
      </c>
      <c r="F527" s="0" t="n">
        <v>22.2</v>
      </c>
      <c r="G527" s="0" t="n">
        <v>10.434</v>
      </c>
      <c r="H527" s="0" t="n">
        <v>0</v>
      </c>
      <c r="I527" s="7" t="n">
        <f aca="false">YEAR(B527)</f>
        <v>2015</v>
      </c>
      <c r="J527" s="0" t="str">
        <f aca="false">I527&amp;"-Q"&amp;ROUNDUP(MONTH(B527)/3,0)</f>
        <v>2015-Q4</v>
      </c>
    </row>
    <row r="528" customFormat="false" ht="15" hidden="false" customHeight="false" outlineLevel="0" collapsed="false">
      <c r="A528" s="0" t="s">
        <v>315</v>
      </c>
      <c r="B528" s="6" t="n">
        <v>43029</v>
      </c>
      <c r="C528" s="7" t="s">
        <v>29</v>
      </c>
      <c r="D528" s="7" t="s">
        <v>37</v>
      </c>
      <c r="E528" s="7" t="s">
        <v>31</v>
      </c>
      <c r="F528" s="0" t="n">
        <v>683.952</v>
      </c>
      <c r="G528" s="0" t="n">
        <v>42.747</v>
      </c>
      <c r="H528" s="0" t="n">
        <v>0.2</v>
      </c>
      <c r="I528" s="7" t="n">
        <f aca="false">YEAR(B528)</f>
        <v>2017</v>
      </c>
      <c r="J528" s="0" t="str">
        <f aca="false">I528&amp;"-Q"&amp;ROUNDUP(MONTH(B528)/3,0)</f>
        <v>2017-Q4</v>
      </c>
    </row>
    <row r="529" customFormat="false" ht="15" hidden="false" customHeight="false" outlineLevel="0" collapsed="false">
      <c r="A529" s="0" t="s">
        <v>315</v>
      </c>
      <c r="B529" s="6" t="n">
        <v>43029</v>
      </c>
      <c r="C529" s="7" t="s">
        <v>29</v>
      </c>
      <c r="D529" s="7" t="s">
        <v>37</v>
      </c>
      <c r="E529" s="7" t="s">
        <v>31</v>
      </c>
      <c r="F529" s="0" t="n">
        <v>45.696</v>
      </c>
      <c r="G529" s="0" t="n">
        <v>5.1408</v>
      </c>
      <c r="H529" s="0" t="n">
        <v>0.2</v>
      </c>
      <c r="I529" s="7" t="n">
        <f aca="false">YEAR(B529)</f>
        <v>2017</v>
      </c>
      <c r="J529" s="0" t="str">
        <f aca="false">I529&amp;"-Q"&amp;ROUNDUP(MONTH(B529)/3,0)</f>
        <v>2017-Q4</v>
      </c>
    </row>
    <row r="530" customFormat="false" ht="15" hidden="false" customHeight="false" outlineLevel="0" collapsed="false">
      <c r="A530" s="0" t="s">
        <v>316</v>
      </c>
      <c r="B530" s="6" t="n">
        <v>42250</v>
      </c>
      <c r="C530" s="7" t="s">
        <v>55</v>
      </c>
      <c r="D530" s="7" t="s">
        <v>56</v>
      </c>
      <c r="E530" s="7" t="s">
        <v>35</v>
      </c>
      <c r="F530" s="0" t="n">
        <v>36.336</v>
      </c>
      <c r="G530" s="0" t="n">
        <v>-7.2672</v>
      </c>
      <c r="H530" s="0" t="n">
        <v>0.2</v>
      </c>
      <c r="I530" s="7" t="n">
        <f aca="false">YEAR(B530)</f>
        <v>2015</v>
      </c>
      <c r="J530" s="0" t="str">
        <f aca="false">I530&amp;"-Q"&amp;ROUNDUP(MONTH(B530)/3,0)</f>
        <v>2015-Q3</v>
      </c>
    </row>
    <row r="531" customFormat="false" ht="15" hidden="false" customHeight="false" outlineLevel="0" collapsed="false">
      <c r="A531" s="0" t="s">
        <v>316</v>
      </c>
      <c r="B531" s="6" t="n">
        <v>42250</v>
      </c>
      <c r="C531" s="7" t="s">
        <v>55</v>
      </c>
      <c r="D531" s="7" t="s">
        <v>56</v>
      </c>
      <c r="E531" s="7" t="s">
        <v>35</v>
      </c>
      <c r="F531" s="0" t="n">
        <v>666.248</v>
      </c>
      <c r="G531" s="0" t="n">
        <v>-149.9058</v>
      </c>
      <c r="H531" s="0" t="n">
        <v>0.2</v>
      </c>
      <c r="I531" s="7" t="n">
        <f aca="false">YEAR(B531)</f>
        <v>2015</v>
      </c>
      <c r="J531" s="0" t="str">
        <f aca="false">I531&amp;"-Q"&amp;ROUNDUP(MONTH(B531)/3,0)</f>
        <v>2015-Q3</v>
      </c>
    </row>
    <row r="532" customFormat="false" ht="15" hidden="false" customHeight="false" outlineLevel="0" collapsed="false">
      <c r="A532" s="0" t="s">
        <v>316</v>
      </c>
      <c r="B532" s="6" t="n">
        <v>42250</v>
      </c>
      <c r="C532" s="7" t="s">
        <v>55</v>
      </c>
      <c r="D532" s="7" t="s">
        <v>56</v>
      </c>
      <c r="E532" s="7" t="s">
        <v>35</v>
      </c>
      <c r="F532" s="0" t="n">
        <v>52.512</v>
      </c>
      <c r="G532" s="0" t="n">
        <v>19.692</v>
      </c>
      <c r="H532" s="0" t="n">
        <v>0.2</v>
      </c>
      <c r="I532" s="7" t="n">
        <f aca="false">YEAR(B532)</f>
        <v>2015</v>
      </c>
      <c r="J532" s="0" t="str">
        <f aca="false">I532&amp;"-Q"&amp;ROUNDUP(MONTH(B532)/3,0)</f>
        <v>2015-Q3</v>
      </c>
    </row>
    <row r="533" customFormat="false" ht="15" hidden="false" customHeight="false" outlineLevel="0" collapsed="false">
      <c r="A533" s="0" t="s">
        <v>317</v>
      </c>
      <c r="B533" s="6" t="n">
        <v>42315</v>
      </c>
      <c r="C533" s="7" t="s">
        <v>33</v>
      </c>
      <c r="D533" s="7" t="s">
        <v>34</v>
      </c>
      <c r="E533" s="7" t="s">
        <v>31</v>
      </c>
      <c r="F533" s="0" t="n">
        <v>190.72</v>
      </c>
      <c r="G533" s="0" t="n">
        <v>11.92</v>
      </c>
      <c r="H533" s="0" t="n">
        <v>0.2</v>
      </c>
      <c r="I533" s="7" t="n">
        <f aca="false">YEAR(B533)</f>
        <v>2015</v>
      </c>
      <c r="J533" s="0" t="str">
        <f aca="false">I533&amp;"-Q"&amp;ROUNDUP(MONTH(B533)/3,0)</f>
        <v>2015-Q4</v>
      </c>
    </row>
    <row r="534" customFormat="false" ht="15" hidden="false" customHeight="false" outlineLevel="0" collapsed="false">
      <c r="A534" s="0" t="s">
        <v>318</v>
      </c>
      <c r="B534" s="6" t="n">
        <v>42985</v>
      </c>
      <c r="C534" s="7" t="s">
        <v>33</v>
      </c>
      <c r="D534" s="7" t="s">
        <v>34</v>
      </c>
      <c r="E534" s="7" t="s">
        <v>31</v>
      </c>
      <c r="F534" s="0" t="n">
        <v>47.94</v>
      </c>
      <c r="G534" s="0" t="n">
        <v>2.397</v>
      </c>
      <c r="H534" s="0" t="n">
        <v>0</v>
      </c>
      <c r="I534" s="7" t="n">
        <f aca="false">YEAR(B534)</f>
        <v>2017</v>
      </c>
      <c r="J534" s="0" t="str">
        <f aca="false">I534&amp;"-Q"&amp;ROUNDUP(MONTH(B534)/3,0)</f>
        <v>2017-Q3</v>
      </c>
    </row>
    <row r="535" customFormat="false" ht="15" hidden="false" customHeight="false" outlineLevel="0" collapsed="false">
      <c r="A535" s="0" t="s">
        <v>319</v>
      </c>
      <c r="B535" s="6" t="n">
        <v>42519</v>
      </c>
      <c r="C535" s="7" t="s">
        <v>29</v>
      </c>
      <c r="D535" s="7" t="s">
        <v>91</v>
      </c>
      <c r="E535" s="7" t="s">
        <v>39</v>
      </c>
      <c r="F535" s="0" t="n">
        <v>979.95</v>
      </c>
      <c r="G535" s="0" t="n">
        <v>274.386</v>
      </c>
      <c r="H535" s="0" t="n">
        <v>0</v>
      </c>
      <c r="I535" s="7" t="n">
        <f aca="false">YEAR(B535)</f>
        <v>2016</v>
      </c>
      <c r="J535" s="0" t="str">
        <f aca="false">I535&amp;"-Q"&amp;ROUNDUP(MONTH(B535)/3,0)</f>
        <v>2016-Q2</v>
      </c>
    </row>
    <row r="536" customFormat="false" ht="15" hidden="false" customHeight="false" outlineLevel="0" collapsed="false">
      <c r="A536" s="0" t="s">
        <v>319</v>
      </c>
      <c r="B536" s="6" t="n">
        <v>42519</v>
      </c>
      <c r="C536" s="7" t="s">
        <v>29</v>
      </c>
      <c r="D536" s="7" t="s">
        <v>91</v>
      </c>
      <c r="E536" s="7" t="s">
        <v>35</v>
      </c>
      <c r="F536" s="0" t="n">
        <v>22.75</v>
      </c>
      <c r="G536" s="0" t="n">
        <v>11.375</v>
      </c>
      <c r="H536" s="0" t="n">
        <v>0</v>
      </c>
      <c r="I536" s="7" t="n">
        <f aca="false">YEAR(B536)</f>
        <v>2016</v>
      </c>
      <c r="J536" s="0" t="str">
        <f aca="false">I536&amp;"-Q"&amp;ROUNDUP(MONTH(B536)/3,0)</f>
        <v>2016-Q2</v>
      </c>
    </row>
    <row r="537" customFormat="false" ht="15" hidden="false" customHeight="false" outlineLevel="0" collapsed="false">
      <c r="A537" s="0" t="s">
        <v>320</v>
      </c>
      <c r="B537" s="6" t="n">
        <v>42561</v>
      </c>
      <c r="C537" s="7" t="s">
        <v>33</v>
      </c>
      <c r="D537" s="7" t="s">
        <v>81</v>
      </c>
      <c r="E537" s="7" t="s">
        <v>35</v>
      </c>
      <c r="F537" s="0" t="n">
        <v>16.768</v>
      </c>
      <c r="G537" s="0" t="n">
        <v>1.4672</v>
      </c>
      <c r="H537" s="0" t="n">
        <v>0.2</v>
      </c>
      <c r="I537" s="7" t="n">
        <f aca="false">YEAR(B537)</f>
        <v>2016</v>
      </c>
      <c r="J537" s="0" t="str">
        <f aca="false">I537&amp;"-Q"&amp;ROUNDUP(MONTH(B537)/3,0)</f>
        <v>2016-Q3</v>
      </c>
    </row>
    <row r="538" customFormat="false" ht="15" hidden="false" customHeight="false" outlineLevel="0" collapsed="false">
      <c r="A538" s="0" t="s">
        <v>321</v>
      </c>
      <c r="B538" s="6" t="n">
        <v>42981</v>
      </c>
      <c r="C538" s="7" t="s">
        <v>45</v>
      </c>
      <c r="D538" s="7" t="s">
        <v>64</v>
      </c>
      <c r="E538" s="7" t="s">
        <v>35</v>
      </c>
      <c r="F538" s="0" t="n">
        <v>42.616</v>
      </c>
      <c r="G538" s="0" t="n">
        <v>-68.1856</v>
      </c>
      <c r="H538" s="0" t="n">
        <v>0.8</v>
      </c>
      <c r="I538" s="7" t="n">
        <f aca="false">YEAR(B538)</f>
        <v>2017</v>
      </c>
      <c r="J538" s="0" t="str">
        <f aca="false">I538&amp;"-Q"&amp;ROUNDUP(MONTH(B538)/3,0)</f>
        <v>2017-Q3</v>
      </c>
    </row>
    <row r="539" customFormat="false" ht="15" hidden="false" customHeight="false" outlineLevel="0" collapsed="false">
      <c r="A539" s="0" t="s">
        <v>322</v>
      </c>
      <c r="B539" s="6" t="n">
        <v>42341</v>
      </c>
      <c r="C539" s="7" t="s">
        <v>55</v>
      </c>
      <c r="D539" s="7" t="s">
        <v>76</v>
      </c>
      <c r="E539" s="7" t="s">
        <v>35</v>
      </c>
      <c r="F539" s="0" t="n">
        <v>10.752</v>
      </c>
      <c r="G539" s="0" t="n">
        <v>3.36</v>
      </c>
      <c r="H539" s="0" t="n">
        <v>0.2</v>
      </c>
      <c r="I539" s="7" t="n">
        <f aca="false">YEAR(B539)</f>
        <v>2015</v>
      </c>
      <c r="J539" s="0" t="str">
        <f aca="false">I539&amp;"-Q"&amp;ROUNDUP(MONTH(B539)/3,0)</f>
        <v>2015-Q4</v>
      </c>
    </row>
    <row r="540" customFormat="false" ht="15" hidden="false" customHeight="false" outlineLevel="0" collapsed="false">
      <c r="A540" s="0" t="s">
        <v>323</v>
      </c>
      <c r="B540" s="6" t="n">
        <v>42345</v>
      </c>
      <c r="C540" s="7" t="s">
        <v>29</v>
      </c>
      <c r="D540" s="7" t="s">
        <v>30</v>
      </c>
      <c r="E540" s="7" t="s">
        <v>35</v>
      </c>
      <c r="F540" s="0" t="n">
        <v>152.94</v>
      </c>
      <c r="G540" s="0" t="n">
        <v>41.2938</v>
      </c>
      <c r="H540" s="0" t="n">
        <v>0</v>
      </c>
      <c r="I540" s="7" t="n">
        <f aca="false">YEAR(B540)</f>
        <v>2015</v>
      </c>
      <c r="J540" s="0" t="str">
        <f aca="false">I540&amp;"-Q"&amp;ROUNDUP(MONTH(B540)/3,0)</f>
        <v>2015-Q4</v>
      </c>
    </row>
    <row r="541" customFormat="false" ht="15" hidden="false" customHeight="false" outlineLevel="0" collapsed="false">
      <c r="A541" s="0" t="s">
        <v>323</v>
      </c>
      <c r="B541" s="6" t="n">
        <v>42345</v>
      </c>
      <c r="C541" s="7" t="s">
        <v>29</v>
      </c>
      <c r="D541" s="7" t="s">
        <v>30</v>
      </c>
      <c r="E541" s="7" t="s">
        <v>31</v>
      </c>
      <c r="F541" s="0" t="n">
        <v>283.92</v>
      </c>
      <c r="G541" s="0" t="n">
        <v>70.98</v>
      </c>
      <c r="H541" s="0" t="n">
        <v>0</v>
      </c>
      <c r="I541" s="7" t="n">
        <f aca="false">YEAR(B541)</f>
        <v>2015</v>
      </c>
      <c r="J541" s="0" t="str">
        <f aca="false">I541&amp;"-Q"&amp;ROUNDUP(MONTH(B541)/3,0)</f>
        <v>2015-Q4</v>
      </c>
    </row>
    <row r="542" customFormat="false" ht="15" hidden="false" customHeight="false" outlineLevel="0" collapsed="false">
      <c r="A542" s="0" t="s">
        <v>324</v>
      </c>
      <c r="B542" s="6" t="n">
        <v>41671</v>
      </c>
      <c r="C542" s="7" t="s">
        <v>45</v>
      </c>
      <c r="D542" s="7" t="s">
        <v>48</v>
      </c>
      <c r="E542" s="7" t="s">
        <v>39</v>
      </c>
      <c r="F542" s="0" t="n">
        <v>468.9</v>
      </c>
      <c r="G542" s="0" t="n">
        <v>206.316</v>
      </c>
      <c r="H542" s="0" t="n">
        <v>0</v>
      </c>
      <c r="I542" s="7" t="n">
        <f aca="false">YEAR(B542)</f>
        <v>2014</v>
      </c>
      <c r="J542" s="0" t="str">
        <f aca="false">I542&amp;"-Q"&amp;ROUNDUP(MONTH(B542)/3,0)</f>
        <v>2014-Q1</v>
      </c>
    </row>
    <row r="543" customFormat="false" ht="15" hidden="false" customHeight="false" outlineLevel="0" collapsed="false">
      <c r="A543" s="0" t="s">
        <v>325</v>
      </c>
      <c r="B543" s="6" t="n">
        <v>42565</v>
      </c>
      <c r="C543" s="7" t="s">
        <v>33</v>
      </c>
      <c r="D543" s="7" t="s">
        <v>81</v>
      </c>
      <c r="E543" s="7" t="s">
        <v>39</v>
      </c>
      <c r="F543" s="0" t="n">
        <v>380.864</v>
      </c>
      <c r="G543" s="0" t="n">
        <v>38.0864</v>
      </c>
      <c r="H543" s="0" t="n">
        <v>0.2</v>
      </c>
      <c r="I543" s="7" t="n">
        <f aca="false">YEAR(B543)</f>
        <v>2016</v>
      </c>
      <c r="J543" s="0" t="str">
        <f aca="false">I543&amp;"-Q"&amp;ROUNDUP(MONTH(B543)/3,0)</f>
        <v>2016-Q3</v>
      </c>
    </row>
    <row r="544" customFormat="false" ht="15" hidden="false" customHeight="false" outlineLevel="0" collapsed="false">
      <c r="A544" s="0" t="s">
        <v>326</v>
      </c>
      <c r="B544" s="6" t="n">
        <v>42356</v>
      </c>
      <c r="C544" s="7" t="s">
        <v>55</v>
      </c>
      <c r="D544" s="7" t="s">
        <v>116</v>
      </c>
      <c r="E544" s="7" t="s">
        <v>35</v>
      </c>
      <c r="F544" s="0" t="n">
        <v>646.776</v>
      </c>
      <c r="G544" s="0" t="n">
        <v>-145.5246</v>
      </c>
      <c r="H544" s="0" t="n">
        <v>0.2</v>
      </c>
      <c r="I544" s="7" t="n">
        <f aca="false">YEAR(B544)</f>
        <v>2015</v>
      </c>
      <c r="J544" s="0" t="str">
        <f aca="false">I544&amp;"-Q"&amp;ROUNDUP(MONTH(B544)/3,0)</f>
        <v>2015-Q4</v>
      </c>
    </row>
    <row r="545" customFormat="false" ht="15" hidden="false" customHeight="false" outlineLevel="0" collapsed="false">
      <c r="A545" s="0" t="s">
        <v>327</v>
      </c>
      <c r="B545" s="6" t="n">
        <v>41770</v>
      </c>
      <c r="C545" s="7" t="s">
        <v>45</v>
      </c>
      <c r="D545" s="7" t="s">
        <v>46</v>
      </c>
      <c r="E545" s="7" t="s">
        <v>39</v>
      </c>
      <c r="F545" s="0" t="n">
        <v>58.112</v>
      </c>
      <c r="G545" s="0" t="n">
        <v>7.264</v>
      </c>
      <c r="H545" s="0" t="n">
        <v>0.2</v>
      </c>
      <c r="I545" s="7" t="n">
        <f aca="false">YEAR(B545)</f>
        <v>2014</v>
      </c>
      <c r="J545" s="0" t="str">
        <f aca="false">I545&amp;"-Q"&amp;ROUNDUP(MONTH(B545)/3,0)</f>
        <v>2014-Q2</v>
      </c>
    </row>
    <row r="546" customFormat="false" ht="15" hidden="false" customHeight="false" outlineLevel="0" collapsed="false">
      <c r="A546" s="0" t="s">
        <v>327</v>
      </c>
      <c r="B546" s="6" t="n">
        <v>41770</v>
      </c>
      <c r="C546" s="7" t="s">
        <v>45</v>
      </c>
      <c r="D546" s="7" t="s">
        <v>46</v>
      </c>
      <c r="E546" s="7" t="s">
        <v>39</v>
      </c>
      <c r="F546" s="0" t="n">
        <v>100.792</v>
      </c>
      <c r="G546" s="0" t="n">
        <v>6.2995</v>
      </c>
      <c r="H546" s="0" t="n">
        <v>0.2</v>
      </c>
      <c r="I546" s="7" t="n">
        <f aca="false">YEAR(B546)</f>
        <v>2014</v>
      </c>
      <c r="J546" s="0" t="str">
        <f aca="false">I546&amp;"-Q"&amp;ROUNDUP(MONTH(B546)/3,0)</f>
        <v>2014-Q2</v>
      </c>
    </row>
    <row r="547" customFormat="false" ht="15" hidden="false" customHeight="false" outlineLevel="0" collapsed="false">
      <c r="A547" s="0" t="s">
        <v>327</v>
      </c>
      <c r="B547" s="6" t="n">
        <v>41770</v>
      </c>
      <c r="C547" s="7" t="s">
        <v>45</v>
      </c>
      <c r="D547" s="7" t="s">
        <v>46</v>
      </c>
      <c r="E547" s="7" t="s">
        <v>31</v>
      </c>
      <c r="F547" s="0" t="n">
        <v>66.112</v>
      </c>
      <c r="G547" s="0" t="n">
        <v>-84.2928</v>
      </c>
      <c r="H547" s="0" t="n">
        <v>0.6</v>
      </c>
      <c r="I547" s="7" t="n">
        <f aca="false">YEAR(B547)</f>
        <v>2014</v>
      </c>
      <c r="J547" s="0" t="str">
        <f aca="false">I547&amp;"-Q"&amp;ROUNDUP(MONTH(B547)/3,0)</f>
        <v>2014-Q2</v>
      </c>
    </row>
    <row r="548" customFormat="false" ht="15" hidden="false" customHeight="false" outlineLevel="0" collapsed="false">
      <c r="A548" s="0" t="s">
        <v>328</v>
      </c>
      <c r="B548" s="6" t="n">
        <v>43058</v>
      </c>
      <c r="C548" s="7" t="s">
        <v>55</v>
      </c>
      <c r="D548" s="7" t="s">
        <v>76</v>
      </c>
      <c r="E548" s="7" t="s">
        <v>35</v>
      </c>
      <c r="F548" s="0" t="n">
        <v>41.28</v>
      </c>
      <c r="G548" s="0" t="n">
        <v>13.932</v>
      </c>
      <c r="H548" s="0" t="n">
        <v>0.2</v>
      </c>
      <c r="I548" s="7" t="n">
        <f aca="false">YEAR(B548)</f>
        <v>2017</v>
      </c>
      <c r="J548" s="0" t="str">
        <f aca="false">I548&amp;"-Q"&amp;ROUNDUP(MONTH(B548)/3,0)</f>
        <v>2017-Q4</v>
      </c>
    </row>
    <row r="549" customFormat="false" ht="15" hidden="false" customHeight="false" outlineLevel="0" collapsed="false">
      <c r="A549" s="0" t="s">
        <v>328</v>
      </c>
      <c r="B549" s="6" t="n">
        <v>43058</v>
      </c>
      <c r="C549" s="7" t="s">
        <v>55</v>
      </c>
      <c r="D549" s="7" t="s">
        <v>76</v>
      </c>
      <c r="E549" s="7" t="s">
        <v>35</v>
      </c>
      <c r="F549" s="0" t="n">
        <v>13.36</v>
      </c>
      <c r="G549" s="0" t="n">
        <v>6.4128</v>
      </c>
      <c r="H549" s="0" t="n">
        <v>0</v>
      </c>
      <c r="I549" s="7" t="n">
        <f aca="false">YEAR(B549)</f>
        <v>2017</v>
      </c>
      <c r="J549" s="0" t="str">
        <f aca="false">I549&amp;"-Q"&amp;ROUNDUP(MONTH(B549)/3,0)</f>
        <v>2017-Q4</v>
      </c>
    </row>
    <row r="550" customFormat="false" ht="15" hidden="false" customHeight="false" outlineLevel="0" collapsed="false">
      <c r="A550" s="0" t="s">
        <v>329</v>
      </c>
      <c r="B550" s="6" t="n">
        <v>42323</v>
      </c>
      <c r="C550" s="7" t="s">
        <v>45</v>
      </c>
      <c r="D550" s="7" t="s">
        <v>64</v>
      </c>
      <c r="E550" s="7" t="s">
        <v>35</v>
      </c>
      <c r="F550" s="0" t="n">
        <v>250.272</v>
      </c>
      <c r="G550" s="0" t="n">
        <v>15.642</v>
      </c>
      <c r="H550" s="0" t="n">
        <v>0.2</v>
      </c>
      <c r="I550" s="7" t="n">
        <f aca="false">YEAR(B550)</f>
        <v>2015</v>
      </c>
      <c r="J550" s="0" t="str">
        <f aca="false">I550&amp;"-Q"&amp;ROUNDUP(MONTH(B550)/3,0)</f>
        <v>2015-Q4</v>
      </c>
    </row>
    <row r="551" customFormat="false" ht="15" hidden="false" customHeight="false" outlineLevel="0" collapsed="false">
      <c r="A551" s="0" t="s">
        <v>329</v>
      </c>
      <c r="B551" s="6" t="n">
        <v>42323</v>
      </c>
      <c r="C551" s="7" t="s">
        <v>45</v>
      </c>
      <c r="D551" s="7" t="s">
        <v>64</v>
      </c>
      <c r="E551" s="7" t="s">
        <v>35</v>
      </c>
      <c r="F551" s="0" t="n">
        <v>11.364</v>
      </c>
      <c r="G551" s="0" t="n">
        <v>-17.046</v>
      </c>
      <c r="H551" s="0" t="n">
        <v>0.8</v>
      </c>
      <c r="I551" s="7" t="n">
        <f aca="false">YEAR(B551)</f>
        <v>2015</v>
      </c>
      <c r="J551" s="0" t="str">
        <f aca="false">I551&amp;"-Q"&amp;ROUNDUP(MONTH(B551)/3,0)</f>
        <v>2015-Q4</v>
      </c>
    </row>
    <row r="552" customFormat="false" ht="15" hidden="false" customHeight="false" outlineLevel="0" collapsed="false">
      <c r="A552" s="0" t="s">
        <v>329</v>
      </c>
      <c r="B552" s="6" t="n">
        <v>42323</v>
      </c>
      <c r="C552" s="7" t="s">
        <v>45</v>
      </c>
      <c r="D552" s="7" t="s">
        <v>64</v>
      </c>
      <c r="E552" s="7" t="s">
        <v>35</v>
      </c>
      <c r="F552" s="0" t="n">
        <v>8.72</v>
      </c>
      <c r="G552" s="0" t="n">
        <v>-1.744</v>
      </c>
      <c r="H552" s="0" t="n">
        <v>0.2</v>
      </c>
      <c r="I552" s="7" t="n">
        <f aca="false">YEAR(B552)</f>
        <v>2015</v>
      </c>
      <c r="J552" s="0" t="str">
        <f aca="false">I552&amp;"-Q"&amp;ROUNDUP(MONTH(B552)/3,0)</f>
        <v>2015-Q4</v>
      </c>
    </row>
    <row r="553" customFormat="false" ht="15" hidden="false" customHeight="false" outlineLevel="0" collapsed="false">
      <c r="A553" s="0" t="s">
        <v>330</v>
      </c>
      <c r="B553" s="6" t="n">
        <v>42475</v>
      </c>
      <c r="C553" s="7" t="s">
        <v>33</v>
      </c>
      <c r="D553" s="7" t="s">
        <v>34</v>
      </c>
      <c r="E553" s="7" t="s">
        <v>31</v>
      </c>
      <c r="F553" s="0" t="n">
        <v>1121.568</v>
      </c>
      <c r="G553" s="0" t="n">
        <v>0</v>
      </c>
      <c r="H553" s="0" t="n">
        <v>0.2</v>
      </c>
      <c r="I553" s="7" t="n">
        <f aca="false">YEAR(B553)</f>
        <v>2016</v>
      </c>
      <c r="J553" s="0" t="str">
        <f aca="false">I553&amp;"-Q"&amp;ROUNDUP(MONTH(B553)/3,0)</f>
        <v>2016-Q2</v>
      </c>
    </row>
    <row r="554" customFormat="false" ht="15" hidden="false" customHeight="false" outlineLevel="0" collapsed="false">
      <c r="A554" s="0" t="s">
        <v>331</v>
      </c>
      <c r="B554" s="6" t="n">
        <v>42989</v>
      </c>
      <c r="C554" s="7" t="s">
        <v>29</v>
      </c>
      <c r="D554" s="7" t="s">
        <v>37</v>
      </c>
      <c r="E554" s="7" t="s">
        <v>31</v>
      </c>
      <c r="F554" s="0" t="n">
        <v>34.504</v>
      </c>
      <c r="G554" s="0" t="n">
        <v>6.0382</v>
      </c>
      <c r="H554" s="0" t="n">
        <v>0.2</v>
      </c>
      <c r="I554" s="7" t="n">
        <f aca="false">YEAR(B554)</f>
        <v>2017</v>
      </c>
      <c r="J554" s="0" t="str">
        <f aca="false">I554&amp;"-Q"&amp;ROUNDUP(MONTH(B554)/3,0)</f>
        <v>2017-Q3</v>
      </c>
    </row>
    <row r="555" customFormat="false" ht="15" hidden="false" customHeight="false" outlineLevel="0" collapsed="false">
      <c r="A555" s="0" t="s">
        <v>332</v>
      </c>
      <c r="B555" s="6" t="n">
        <v>43063</v>
      </c>
      <c r="C555" s="7" t="s">
        <v>45</v>
      </c>
      <c r="D555" s="7" t="s">
        <v>46</v>
      </c>
      <c r="E555" s="7" t="s">
        <v>35</v>
      </c>
      <c r="F555" s="0" t="n">
        <v>10.824</v>
      </c>
      <c r="G555" s="0" t="n">
        <v>2.5707</v>
      </c>
      <c r="H555" s="0" t="n">
        <v>0.2</v>
      </c>
      <c r="I555" s="7" t="n">
        <f aca="false">YEAR(B555)</f>
        <v>2017</v>
      </c>
      <c r="J555" s="0" t="str">
        <f aca="false">I555&amp;"-Q"&amp;ROUNDUP(MONTH(B555)/3,0)</f>
        <v>2017-Q4</v>
      </c>
    </row>
    <row r="556" customFormat="false" ht="15" hidden="false" customHeight="false" outlineLevel="0" collapsed="false">
      <c r="A556" s="0" t="s">
        <v>333</v>
      </c>
      <c r="B556" s="6" t="n">
        <v>42915</v>
      </c>
      <c r="C556" s="7" t="s">
        <v>33</v>
      </c>
      <c r="D556" s="7" t="s">
        <v>34</v>
      </c>
      <c r="E556" s="7" t="s">
        <v>35</v>
      </c>
      <c r="F556" s="0" t="n">
        <v>1295.78</v>
      </c>
      <c r="G556" s="0" t="n">
        <v>310.9872</v>
      </c>
      <c r="H556" s="0" t="n">
        <v>0</v>
      </c>
      <c r="I556" s="7" t="n">
        <f aca="false">YEAR(B556)</f>
        <v>2017</v>
      </c>
      <c r="J556" s="0" t="str">
        <f aca="false">I556&amp;"-Q"&amp;ROUNDUP(MONTH(B556)/3,0)</f>
        <v>2017-Q2</v>
      </c>
    </row>
    <row r="557" customFormat="false" ht="15" hidden="false" customHeight="false" outlineLevel="0" collapsed="false">
      <c r="A557" s="0" t="s">
        <v>334</v>
      </c>
      <c r="B557" s="6" t="n">
        <v>41701</v>
      </c>
      <c r="C557" s="7" t="s">
        <v>29</v>
      </c>
      <c r="D557" s="7" t="s">
        <v>41</v>
      </c>
      <c r="E557" s="7" t="s">
        <v>35</v>
      </c>
      <c r="F557" s="0" t="n">
        <v>19.456</v>
      </c>
      <c r="G557" s="0" t="n">
        <v>3.4048</v>
      </c>
      <c r="H557" s="0" t="n">
        <v>0.2</v>
      </c>
      <c r="I557" s="7" t="n">
        <f aca="false">YEAR(B557)</f>
        <v>2014</v>
      </c>
      <c r="J557" s="0" t="str">
        <f aca="false">I557&amp;"-Q"&amp;ROUNDUP(MONTH(B557)/3,0)</f>
        <v>2014-Q1</v>
      </c>
    </row>
    <row r="558" customFormat="false" ht="15" hidden="false" customHeight="false" outlineLevel="0" collapsed="false">
      <c r="A558" s="0" t="s">
        <v>335</v>
      </c>
      <c r="B558" s="6" t="n">
        <v>42531</v>
      </c>
      <c r="C558" s="7" t="s">
        <v>33</v>
      </c>
      <c r="D558" s="7" t="s">
        <v>34</v>
      </c>
      <c r="E558" s="7" t="s">
        <v>35</v>
      </c>
      <c r="F558" s="0" t="n">
        <v>20.7</v>
      </c>
      <c r="G558" s="0" t="n">
        <v>9.936</v>
      </c>
      <c r="H558" s="0" t="n">
        <v>0</v>
      </c>
      <c r="I558" s="7" t="n">
        <f aca="false">YEAR(B558)</f>
        <v>2016</v>
      </c>
      <c r="J558" s="0" t="str">
        <f aca="false">I558&amp;"-Q"&amp;ROUNDUP(MONTH(B558)/3,0)</f>
        <v>2016-Q2</v>
      </c>
    </row>
    <row r="559" customFormat="false" ht="15" hidden="false" customHeight="false" outlineLevel="0" collapsed="false">
      <c r="A559" s="0" t="s">
        <v>335</v>
      </c>
      <c r="B559" s="6" t="n">
        <v>42531</v>
      </c>
      <c r="C559" s="7" t="s">
        <v>33</v>
      </c>
      <c r="D559" s="7" t="s">
        <v>34</v>
      </c>
      <c r="E559" s="7" t="s">
        <v>31</v>
      </c>
      <c r="F559" s="0" t="n">
        <v>1335.68</v>
      </c>
      <c r="G559" s="0" t="n">
        <v>-217.048</v>
      </c>
      <c r="H559" s="0" t="n">
        <v>0.2</v>
      </c>
      <c r="I559" s="7" t="n">
        <f aca="false">YEAR(B559)</f>
        <v>2016</v>
      </c>
      <c r="J559" s="0" t="str">
        <f aca="false">I559&amp;"-Q"&amp;ROUNDUP(MONTH(B559)/3,0)</f>
        <v>2016-Q2</v>
      </c>
    </row>
    <row r="560" customFormat="false" ht="15" hidden="false" customHeight="false" outlineLevel="0" collapsed="false">
      <c r="A560" s="0" t="s">
        <v>335</v>
      </c>
      <c r="B560" s="6" t="n">
        <v>42531</v>
      </c>
      <c r="C560" s="7" t="s">
        <v>33</v>
      </c>
      <c r="D560" s="7" t="s">
        <v>34</v>
      </c>
      <c r="E560" s="7" t="s">
        <v>35</v>
      </c>
      <c r="F560" s="0" t="n">
        <v>32.4</v>
      </c>
      <c r="G560" s="0" t="n">
        <v>15.552</v>
      </c>
      <c r="H560" s="0" t="n">
        <v>0</v>
      </c>
      <c r="I560" s="7" t="n">
        <f aca="false">YEAR(B560)</f>
        <v>2016</v>
      </c>
      <c r="J560" s="0" t="str">
        <f aca="false">I560&amp;"-Q"&amp;ROUNDUP(MONTH(B560)/3,0)</f>
        <v>2016-Q2</v>
      </c>
    </row>
    <row r="561" customFormat="false" ht="15" hidden="false" customHeight="false" outlineLevel="0" collapsed="false">
      <c r="A561" s="0" t="s">
        <v>336</v>
      </c>
      <c r="B561" s="6" t="n">
        <v>43059</v>
      </c>
      <c r="C561" s="7" t="s">
        <v>33</v>
      </c>
      <c r="D561" s="7" t="s">
        <v>34</v>
      </c>
      <c r="E561" s="7" t="s">
        <v>31</v>
      </c>
      <c r="F561" s="0" t="n">
        <v>42.6</v>
      </c>
      <c r="G561" s="0" t="n">
        <v>16.614</v>
      </c>
      <c r="H561" s="0" t="n">
        <v>0</v>
      </c>
      <c r="I561" s="7" t="n">
        <f aca="false">YEAR(B561)</f>
        <v>2017</v>
      </c>
      <c r="J561" s="0" t="str">
        <f aca="false">I561&amp;"-Q"&amp;ROUNDUP(MONTH(B561)/3,0)</f>
        <v>2017-Q4</v>
      </c>
    </row>
    <row r="562" customFormat="false" ht="15" hidden="false" customHeight="false" outlineLevel="0" collapsed="false">
      <c r="A562" s="0" t="s">
        <v>336</v>
      </c>
      <c r="B562" s="6" t="n">
        <v>43059</v>
      </c>
      <c r="C562" s="7" t="s">
        <v>33</v>
      </c>
      <c r="D562" s="7" t="s">
        <v>34</v>
      </c>
      <c r="E562" s="7" t="s">
        <v>35</v>
      </c>
      <c r="F562" s="0" t="n">
        <v>84.056</v>
      </c>
      <c r="G562" s="0" t="n">
        <v>27.3182</v>
      </c>
      <c r="H562" s="0" t="n">
        <v>0.2</v>
      </c>
      <c r="I562" s="7" t="n">
        <f aca="false">YEAR(B562)</f>
        <v>2017</v>
      </c>
      <c r="J562" s="0" t="str">
        <f aca="false">I562&amp;"-Q"&amp;ROUNDUP(MONTH(B562)/3,0)</f>
        <v>2017-Q4</v>
      </c>
    </row>
    <row r="563" customFormat="false" ht="15" hidden="false" customHeight="false" outlineLevel="0" collapsed="false">
      <c r="A563" s="0" t="s">
        <v>337</v>
      </c>
      <c r="B563" s="6" t="n">
        <v>41896</v>
      </c>
      <c r="C563" s="7" t="s">
        <v>29</v>
      </c>
      <c r="D563" s="7" t="s">
        <v>37</v>
      </c>
      <c r="E563" s="7" t="s">
        <v>35</v>
      </c>
      <c r="F563" s="0" t="n">
        <v>13</v>
      </c>
      <c r="G563" s="0" t="n">
        <v>1.3</v>
      </c>
      <c r="H563" s="0" t="n">
        <v>0.2</v>
      </c>
      <c r="I563" s="7" t="n">
        <f aca="false">YEAR(B563)</f>
        <v>2014</v>
      </c>
      <c r="J563" s="0" t="str">
        <f aca="false">I563&amp;"-Q"&amp;ROUNDUP(MONTH(B563)/3,0)</f>
        <v>2014-Q3</v>
      </c>
    </row>
    <row r="564" customFormat="false" ht="15" hidden="false" customHeight="false" outlineLevel="0" collapsed="false">
      <c r="A564" s="0" t="s">
        <v>337</v>
      </c>
      <c r="B564" s="6" t="n">
        <v>41896</v>
      </c>
      <c r="C564" s="7" t="s">
        <v>29</v>
      </c>
      <c r="D564" s="7" t="s">
        <v>37</v>
      </c>
      <c r="E564" s="7" t="s">
        <v>31</v>
      </c>
      <c r="F564" s="0" t="n">
        <v>13.128</v>
      </c>
      <c r="G564" s="0" t="n">
        <v>3.7743</v>
      </c>
      <c r="H564" s="0" t="n">
        <v>0.2</v>
      </c>
      <c r="I564" s="7" t="n">
        <f aca="false">YEAR(B564)</f>
        <v>2014</v>
      </c>
      <c r="J564" s="0" t="str">
        <f aca="false">I564&amp;"-Q"&amp;ROUNDUP(MONTH(B564)/3,0)</f>
        <v>2014-Q3</v>
      </c>
    </row>
    <row r="565" customFormat="false" ht="15" hidden="false" customHeight="false" outlineLevel="0" collapsed="false">
      <c r="A565" s="0" t="s">
        <v>338</v>
      </c>
      <c r="B565" s="6" t="n">
        <v>42345</v>
      </c>
      <c r="C565" s="7" t="s">
        <v>33</v>
      </c>
      <c r="D565" s="7" t="s">
        <v>43</v>
      </c>
      <c r="E565" s="7" t="s">
        <v>35</v>
      </c>
      <c r="F565" s="0" t="n">
        <v>3.96</v>
      </c>
      <c r="G565" s="0" t="n">
        <v>0</v>
      </c>
      <c r="H565" s="0" t="n">
        <v>0</v>
      </c>
      <c r="I565" s="7" t="n">
        <f aca="false">YEAR(B565)</f>
        <v>2015</v>
      </c>
      <c r="J565" s="0" t="str">
        <f aca="false">I565&amp;"-Q"&amp;ROUNDUP(MONTH(B565)/3,0)</f>
        <v>2015-Q4</v>
      </c>
    </row>
    <row r="566" customFormat="false" ht="15" hidden="false" customHeight="false" outlineLevel="0" collapsed="false">
      <c r="A566" s="0" t="s">
        <v>338</v>
      </c>
      <c r="B566" s="6" t="n">
        <v>42345</v>
      </c>
      <c r="C566" s="7" t="s">
        <v>33</v>
      </c>
      <c r="D566" s="7" t="s">
        <v>43</v>
      </c>
      <c r="E566" s="7" t="s">
        <v>35</v>
      </c>
      <c r="F566" s="0" t="n">
        <v>2.61</v>
      </c>
      <c r="G566" s="0" t="n">
        <v>1.2006</v>
      </c>
      <c r="H566" s="0" t="n">
        <v>0</v>
      </c>
      <c r="I566" s="7" t="n">
        <f aca="false">YEAR(B566)</f>
        <v>2015</v>
      </c>
      <c r="J566" s="0" t="str">
        <f aca="false">I566&amp;"-Q"&amp;ROUNDUP(MONTH(B566)/3,0)</f>
        <v>2015-Q4</v>
      </c>
    </row>
    <row r="567" customFormat="false" ht="15" hidden="false" customHeight="false" outlineLevel="0" collapsed="false">
      <c r="A567" s="0" t="s">
        <v>339</v>
      </c>
      <c r="B567" s="6" t="n">
        <v>43076</v>
      </c>
      <c r="C567" s="7" t="s">
        <v>33</v>
      </c>
      <c r="D567" s="7" t="s">
        <v>34</v>
      </c>
      <c r="E567" s="7" t="s">
        <v>39</v>
      </c>
      <c r="F567" s="0" t="n">
        <v>374.376</v>
      </c>
      <c r="G567" s="0" t="n">
        <v>46.797</v>
      </c>
      <c r="H567" s="0" t="n">
        <v>0.2</v>
      </c>
      <c r="I567" s="7" t="n">
        <f aca="false">YEAR(B567)</f>
        <v>2017</v>
      </c>
      <c r="J567" s="0" t="str">
        <f aca="false">I567&amp;"-Q"&amp;ROUNDUP(MONTH(B567)/3,0)</f>
        <v>2017-Q4</v>
      </c>
    </row>
    <row r="568" customFormat="false" ht="15" hidden="false" customHeight="false" outlineLevel="0" collapsed="false">
      <c r="A568" s="0" t="s">
        <v>340</v>
      </c>
      <c r="B568" s="6" t="n">
        <v>43009</v>
      </c>
      <c r="C568" s="7" t="s">
        <v>33</v>
      </c>
      <c r="D568" s="7" t="s">
        <v>43</v>
      </c>
      <c r="E568" s="7" t="s">
        <v>35</v>
      </c>
      <c r="F568" s="0" t="n">
        <v>91.84</v>
      </c>
      <c r="G568" s="0" t="n">
        <v>45.0016</v>
      </c>
      <c r="H568" s="0" t="n">
        <v>0</v>
      </c>
      <c r="I568" s="7" t="n">
        <f aca="false">YEAR(B568)</f>
        <v>2017</v>
      </c>
      <c r="J568" s="0" t="str">
        <f aca="false">I568&amp;"-Q"&amp;ROUNDUP(MONTH(B568)/3,0)</f>
        <v>2017-Q4</v>
      </c>
    </row>
    <row r="569" customFormat="false" ht="15" hidden="false" customHeight="false" outlineLevel="0" collapsed="false">
      <c r="A569" s="0" t="s">
        <v>340</v>
      </c>
      <c r="B569" s="6" t="n">
        <v>43009</v>
      </c>
      <c r="C569" s="7" t="s">
        <v>33</v>
      </c>
      <c r="D569" s="7" t="s">
        <v>43</v>
      </c>
      <c r="E569" s="7" t="s">
        <v>35</v>
      </c>
      <c r="F569" s="0" t="n">
        <v>81.088</v>
      </c>
      <c r="G569" s="0" t="n">
        <v>27.3672</v>
      </c>
      <c r="H569" s="0" t="n">
        <v>0.2</v>
      </c>
      <c r="I569" s="7" t="n">
        <f aca="false">YEAR(B569)</f>
        <v>2017</v>
      </c>
      <c r="J569" s="0" t="str">
        <f aca="false">I569&amp;"-Q"&amp;ROUNDUP(MONTH(B569)/3,0)</f>
        <v>2017-Q4</v>
      </c>
    </row>
    <row r="570" customFormat="false" ht="15" hidden="false" customHeight="false" outlineLevel="0" collapsed="false">
      <c r="A570" s="0" t="s">
        <v>340</v>
      </c>
      <c r="B570" s="6" t="n">
        <v>43009</v>
      </c>
      <c r="C570" s="7" t="s">
        <v>33</v>
      </c>
      <c r="D570" s="7" t="s">
        <v>43</v>
      </c>
      <c r="E570" s="7" t="s">
        <v>35</v>
      </c>
      <c r="F570" s="0" t="n">
        <v>19.44</v>
      </c>
      <c r="G570" s="0" t="n">
        <v>9.3312</v>
      </c>
      <c r="H570" s="0" t="n">
        <v>0</v>
      </c>
      <c r="I570" s="7" t="n">
        <f aca="false">YEAR(B570)</f>
        <v>2017</v>
      </c>
      <c r="J570" s="0" t="str">
        <f aca="false">I570&amp;"-Q"&amp;ROUNDUP(MONTH(B570)/3,0)</f>
        <v>2017-Q4</v>
      </c>
    </row>
    <row r="571" customFormat="false" ht="15" hidden="false" customHeight="false" outlineLevel="0" collapsed="false">
      <c r="A571" s="0" t="s">
        <v>340</v>
      </c>
      <c r="B571" s="6" t="n">
        <v>43009</v>
      </c>
      <c r="C571" s="7" t="s">
        <v>33</v>
      </c>
      <c r="D571" s="7" t="s">
        <v>43</v>
      </c>
      <c r="E571" s="7" t="s">
        <v>31</v>
      </c>
      <c r="F571" s="0" t="n">
        <v>451.152</v>
      </c>
      <c r="G571" s="0" t="n">
        <v>0</v>
      </c>
      <c r="H571" s="0" t="n">
        <v>0.2</v>
      </c>
      <c r="I571" s="7" t="n">
        <f aca="false">YEAR(B571)</f>
        <v>2017</v>
      </c>
      <c r="J571" s="0" t="str">
        <f aca="false">I571&amp;"-Q"&amp;ROUNDUP(MONTH(B571)/3,0)</f>
        <v>2017-Q4</v>
      </c>
    </row>
    <row r="572" customFormat="false" ht="15" hidden="false" customHeight="false" outlineLevel="0" collapsed="false">
      <c r="A572" s="0" t="s">
        <v>341</v>
      </c>
      <c r="B572" s="6" t="n">
        <v>43097</v>
      </c>
      <c r="C572" s="7" t="s">
        <v>55</v>
      </c>
      <c r="D572" s="7" t="s">
        <v>76</v>
      </c>
      <c r="E572" s="7" t="s">
        <v>35</v>
      </c>
      <c r="F572" s="0" t="n">
        <v>72.45</v>
      </c>
      <c r="G572" s="0" t="n">
        <v>34.776</v>
      </c>
      <c r="H572" s="0" t="n">
        <v>0</v>
      </c>
      <c r="I572" s="7" t="n">
        <f aca="false">YEAR(B572)</f>
        <v>2017</v>
      </c>
      <c r="J572" s="0" t="str">
        <f aca="false">I572&amp;"-Q"&amp;ROUNDUP(MONTH(B572)/3,0)</f>
        <v>2017-Q4</v>
      </c>
    </row>
    <row r="573" customFormat="false" ht="15" hidden="false" customHeight="false" outlineLevel="0" collapsed="false">
      <c r="A573" s="0" t="s">
        <v>341</v>
      </c>
      <c r="B573" s="6" t="n">
        <v>43097</v>
      </c>
      <c r="C573" s="7" t="s">
        <v>55</v>
      </c>
      <c r="D573" s="7" t="s">
        <v>76</v>
      </c>
      <c r="E573" s="7" t="s">
        <v>35</v>
      </c>
      <c r="F573" s="0" t="n">
        <v>13.96</v>
      </c>
      <c r="G573" s="0" t="n">
        <v>6.4216</v>
      </c>
      <c r="H573" s="0" t="n">
        <v>0</v>
      </c>
      <c r="I573" s="7" t="n">
        <f aca="false">YEAR(B573)</f>
        <v>2017</v>
      </c>
      <c r="J573" s="0" t="str">
        <f aca="false">I573&amp;"-Q"&amp;ROUNDUP(MONTH(B573)/3,0)</f>
        <v>2017-Q4</v>
      </c>
    </row>
    <row r="574" customFormat="false" ht="15" hidden="false" customHeight="false" outlineLevel="0" collapsed="false">
      <c r="A574" s="0" t="s">
        <v>341</v>
      </c>
      <c r="B574" s="6" t="n">
        <v>43097</v>
      </c>
      <c r="C574" s="7" t="s">
        <v>55</v>
      </c>
      <c r="D574" s="7" t="s">
        <v>76</v>
      </c>
      <c r="E574" s="7" t="s">
        <v>35</v>
      </c>
      <c r="F574" s="0" t="n">
        <v>33.264</v>
      </c>
      <c r="G574" s="0" t="n">
        <v>11.2266</v>
      </c>
      <c r="H574" s="0" t="n">
        <v>0.2</v>
      </c>
      <c r="I574" s="7" t="n">
        <f aca="false">YEAR(B574)</f>
        <v>2017</v>
      </c>
      <c r="J574" s="0" t="str">
        <f aca="false">I574&amp;"-Q"&amp;ROUNDUP(MONTH(B574)/3,0)</f>
        <v>2017-Q4</v>
      </c>
    </row>
    <row r="575" customFormat="false" ht="15" hidden="false" customHeight="false" outlineLevel="0" collapsed="false">
      <c r="A575" s="0" t="s">
        <v>341</v>
      </c>
      <c r="B575" s="6" t="n">
        <v>43097</v>
      </c>
      <c r="C575" s="7" t="s">
        <v>55</v>
      </c>
      <c r="D575" s="7" t="s">
        <v>76</v>
      </c>
      <c r="E575" s="7" t="s">
        <v>39</v>
      </c>
      <c r="F575" s="0" t="n">
        <v>14.85</v>
      </c>
      <c r="G575" s="0" t="n">
        <v>4.0095</v>
      </c>
      <c r="H575" s="0" t="n">
        <v>0</v>
      </c>
      <c r="I575" s="7" t="n">
        <f aca="false">YEAR(B575)</f>
        <v>2017</v>
      </c>
      <c r="J575" s="0" t="str">
        <f aca="false">I575&amp;"-Q"&amp;ROUNDUP(MONTH(B575)/3,0)</f>
        <v>2017-Q4</v>
      </c>
    </row>
    <row r="576" customFormat="false" ht="15" hidden="false" customHeight="false" outlineLevel="0" collapsed="false">
      <c r="A576" s="0" t="s">
        <v>342</v>
      </c>
      <c r="B576" s="6" t="n">
        <v>42677</v>
      </c>
      <c r="C576" s="7" t="s">
        <v>33</v>
      </c>
      <c r="D576" s="7" t="s">
        <v>43</v>
      </c>
      <c r="E576" s="7" t="s">
        <v>35</v>
      </c>
      <c r="F576" s="0" t="n">
        <v>8.82</v>
      </c>
      <c r="G576" s="0" t="n">
        <v>2.3814</v>
      </c>
      <c r="H576" s="0" t="n">
        <v>0</v>
      </c>
      <c r="I576" s="7" t="n">
        <f aca="false">YEAR(B576)</f>
        <v>2016</v>
      </c>
      <c r="J576" s="0" t="str">
        <f aca="false">I576&amp;"-Q"&amp;ROUNDUP(MONTH(B576)/3,0)</f>
        <v>2016-Q4</v>
      </c>
    </row>
    <row r="577" customFormat="false" ht="15" hidden="false" customHeight="false" outlineLevel="0" collapsed="false">
      <c r="A577" s="0" t="s">
        <v>343</v>
      </c>
      <c r="B577" s="6" t="n">
        <v>42265</v>
      </c>
      <c r="C577" s="7" t="s">
        <v>33</v>
      </c>
      <c r="D577" s="7" t="s">
        <v>34</v>
      </c>
      <c r="E577" s="7" t="s">
        <v>35</v>
      </c>
      <c r="F577" s="0" t="n">
        <v>160.72</v>
      </c>
      <c r="G577" s="0" t="n">
        <v>78.7528</v>
      </c>
      <c r="H577" s="0" t="n">
        <v>0</v>
      </c>
      <c r="I577" s="7" t="n">
        <f aca="false">YEAR(B577)</f>
        <v>2015</v>
      </c>
      <c r="J577" s="0" t="str">
        <f aca="false">I577&amp;"-Q"&amp;ROUNDUP(MONTH(B577)/3,0)</f>
        <v>2015-Q3</v>
      </c>
    </row>
    <row r="578" customFormat="false" ht="15" hidden="false" customHeight="false" outlineLevel="0" collapsed="false">
      <c r="A578" s="0" t="s">
        <v>343</v>
      </c>
      <c r="B578" s="6" t="n">
        <v>42265</v>
      </c>
      <c r="C578" s="7" t="s">
        <v>33</v>
      </c>
      <c r="D578" s="7" t="s">
        <v>34</v>
      </c>
      <c r="E578" s="7" t="s">
        <v>35</v>
      </c>
      <c r="F578" s="0" t="n">
        <v>19.92</v>
      </c>
      <c r="G578" s="0" t="n">
        <v>9.7608</v>
      </c>
      <c r="H578" s="0" t="n">
        <v>0</v>
      </c>
      <c r="I578" s="7" t="n">
        <f aca="false">YEAR(B578)</f>
        <v>2015</v>
      </c>
      <c r="J578" s="0" t="str">
        <f aca="false">I578&amp;"-Q"&amp;ROUNDUP(MONTH(B578)/3,0)</f>
        <v>2015-Q3</v>
      </c>
    </row>
    <row r="579" customFormat="false" ht="15" hidden="false" customHeight="false" outlineLevel="0" collapsed="false">
      <c r="A579" s="0" t="s">
        <v>343</v>
      </c>
      <c r="B579" s="6" t="n">
        <v>42265</v>
      </c>
      <c r="C579" s="7" t="s">
        <v>33</v>
      </c>
      <c r="D579" s="7" t="s">
        <v>34</v>
      </c>
      <c r="E579" s="7" t="s">
        <v>35</v>
      </c>
      <c r="F579" s="0" t="n">
        <v>7.3</v>
      </c>
      <c r="G579" s="0" t="n">
        <v>2.19</v>
      </c>
      <c r="H579" s="0" t="n">
        <v>0</v>
      </c>
      <c r="I579" s="7" t="n">
        <f aca="false">YEAR(B579)</f>
        <v>2015</v>
      </c>
      <c r="J579" s="0" t="str">
        <f aca="false">I579&amp;"-Q"&amp;ROUNDUP(MONTH(B579)/3,0)</f>
        <v>2015-Q3</v>
      </c>
    </row>
    <row r="580" customFormat="false" ht="15" hidden="false" customHeight="false" outlineLevel="0" collapsed="false">
      <c r="A580" s="0" t="s">
        <v>344</v>
      </c>
      <c r="B580" s="6" t="n">
        <v>42936</v>
      </c>
      <c r="C580" s="7" t="s">
        <v>45</v>
      </c>
      <c r="D580" s="7" t="s">
        <v>64</v>
      </c>
      <c r="E580" s="7" t="s">
        <v>35</v>
      </c>
      <c r="F580" s="0" t="n">
        <v>69.712</v>
      </c>
      <c r="G580" s="0" t="n">
        <v>8.714</v>
      </c>
      <c r="H580" s="0" t="n">
        <v>0.2</v>
      </c>
      <c r="I580" s="7" t="n">
        <f aca="false">YEAR(B580)</f>
        <v>2017</v>
      </c>
      <c r="J580" s="0" t="str">
        <f aca="false">I580&amp;"-Q"&amp;ROUNDUP(MONTH(B580)/3,0)</f>
        <v>2017-Q3</v>
      </c>
    </row>
    <row r="581" customFormat="false" ht="15" hidden="false" customHeight="false" outlineLevel="0" collapsed="false">
      <c r="A581" s="0" t="s">
        <v>344</v>
      </c>
      <c r="B581" s="6" t="n">
        <v>42936</v>
      </c>
      <c r="C581" s="7" t="s">
        <v>45</v>
      </c>
      <c r="D581" s="7" t="s">
        <v>64</v>
      </c>
      <c r="E581" s="7" t="s">
        <v>31</v>
      </c>
      <c r="F581" s="0" t="n">
        <v>8.792</v>
      </c>
      <c r="G581" s="0" t="n">
        <v>-5.7148</v>
      </c>
      <c r="H581" s="0" t="n">
        <v>0.6</v>
      </c>
      <c r="I581" s="7" t="n">
        <f aca="false">YEAR(B581)</f>
        <v>2017</v>
      </c>
      <c r="J581" s="0" t="str">
        <f aca="false">I581&amp;"-Q"&amp;ROUNDUP(MONTH(B581)/3,0)</f>
        <v>2017-Q3</v>
      </c>
    </row>
    <row r="582" customFormat="false" ht="15" hidden="false" customHeight="false" outlineLevel="0" collapsed="false">
      <c r="A582" s="0" t="s">
        <v>345</v>
      </c>
      <c r="B582" s="6" t="n">
        <v>42257</v>
      </c>
      <c r="C582" s="7" t="s">
        <v>33</v>
      </c>
      <c r="D582" s="7" t="s">
        <v>34</v>
      </c>
      <c r="E582" s="7" t="s">
        <v>35</v>
      </c>
      <c r="F582" s="0" t="n">
        <v>51.52</v>
      </c>
      <c r="G582" s="0" t="n">
        <v>1.5456</v>
      </c>
      <c r="H582" s="0" t="n">
        <v>0</v>
      </c>
      <c r="I582" s="7" t="n">
        <f aca="false">YEAR(B582)</f>
        <v>2015</v>
      </c>
      <c r="J582" s="0" t="str">
        <f aca="false">I582&amp;"-Q"&amp;ROUNDUP(MONTH(B582)/3,0)</f>
        <v>2015-Q3</v>
      </c>
    </row>
    <row r="583" customFormat="false" ht="15" hidden="false" customHeight="false" outlineLevel="0" collapsed="false">
      <c r="A583" s="0" t="s">
        <v>346</v>
      </c>
      <c r="B583" s="6" t="n">
        <v>43070</v>
      </c>
      <c r="C583" s="7" t="s">
        <v>33</v>
      </c>
      <c r="D583" s="7" t="s">
        <v>109</v>
      </c>
      <c r="E583" s="7" t="s">
        <v>39</v>
      </c>
      <c r="F583" s="0" t="n">
        <v>470.376</v>
      </c>
      <c r="G583" s="0" t="n">
        <v>52.9173</v>
      </c>
      <c r="H583" s="0" t="n">
        <v>0.2</v>
      </c>
      <c r="I583" s="7" t="n">
        <f aca="false">YEAR(B583)</f>
        <v>2017</v>
      </c>
      <c r="J583" s="0" t="str">
        <f aca="false">I583&amp;"-Q"&amp;ROUNDUP(MONTH(B583)/3,0)</f>
        <v>2017-Q4</v>
      </c>
    </row>
    <row r="584" customFormat="false" ht="15" hidden="false" customHeight="false" outlineLevel="0" collapsed="false">
      <c r="A584" s="0" t="s">
        <v>346</v>
      </c>
      <c r="B584" s="6" t="n">
        <v>43070</v>
      </c>
      <c r="C584" s="7" t="s">
        <v>33</v>
      </c>
      <c r="D584" s="7" t="s">
        <v>109</v>
      </c>
      <c r="E584" s="7" t="s">
        <v>39</v>
      </c>
      <c r="F584" s="0" t="n">
        <v>105.584</v>
      </c>
      <c r="G584" s="0" t="n">
        <v>9.2386</v>
      </c>
      <c r="H584" s="0" t="n">
        <v>0.2</v>
      </c>
      <c r="I584" s="7" t="n">
        <f aca="false">YEAR(B584)</f>
        <v>2017</v>
      </c>
      <c r="J584" s="0" t="str">
        <f aca="false">I584&amp;"-Q"&amp;ROUNDUP(MONTH(B584)/3,0)</f>
        <v>2017-Q4</v>
      </c>
    </row>
    <row r="585" customFormat="false" ht="15" hidden="false" customHeight="false" outlineLevel="0" collapsed="false">
      <c r="A585" s="0" t="s">
        <v>346</v>
      </c>
      <c r="B585" s="6" t="n">
        <v>43070</v>
      </c>
      <c r="C585" s="7" t="s">
        <v>33</v>
      </c>
      <c r="D585" s="7" t="s">
        <v>109</v>
      </c>
      <c r="E585" s="7" t="s">
        <v>35</v>
      </c>
      <c r="F585" s="0" t="n">
        <v>31.152</v>
      </c>
      <c r="G585" s="0" t="n">
        <v>3.5046</v>
      </c>
      <c r="H585" s="0" t="n">
        <v>0.2</v>
      </c>
      <c r="I585" s="7" t="n">
        <f aca="false">YEAR(B585)</f>
        <v>2017</v>
      </c>
      <c r="J585" s="0" t="str">
        <f aca="false">I585&amp;"-Q"&amp;ROUNDUP(MONTH(B585)/3,0)</f>
        <v>2017-Q4</v>
      </c>
    </row>
    <row r="586" customFormat="false" ht="15" hidden="false" customHeight="false" outlineLevel="0" collapsed="false">
      <c r="A586" s="0" t="s">
        <v>346</v>
      </c>
      <c r="B586" s="6" t="n">
        <v>43070</v>
      </c>
      <c r="C586" s="7" t="s">
        <v>33</v>
      </c>
      <c r="D586" s="7" t="s">
        <v>109</v>
      </c>
      <c r="E586" s="7" t="s">
        <v>35</v>
      </c>
      <c r="F586" s="0" t="n">
        <v>6.783</v>
      </c>
      <c r="G586" s="0" t="n">
        <v>-4.7481</v>
      </c>
      <c r="H586" s="0" t="n">
        <v>0.7</v>
      </c>
      <c r="I586" s="7" t="n">
        <f aca="false">YEAR(B586)</f>
        <v>2017</v>
      </c>
      <c r="J586" s="0" t="str">
        <f aca="false">I586&amp;"-Q"&amp;ROUNDUP(MONTH(B586)/3,0)</f>
        <v>2017-Q4</v>
      </c>
    </row>
    <row r="587" customFormat="false" ht="15" hidden="false" customHeight="false" outlineLevel="0" collapsed="false">
      <c r="A587" s="0" t="s">
        <v>346</v>
      </c>
      <c r="B587" s="6" t="n">
        <v>43070</v>
      </c>
      <c r="C587" s="7" t="s">
        <v>33</v>
      </c>
      <c r="D587" s="7" t="s">
        <v>109</v>
      </c>
      <c r="E587" s="7" t="s">
        <v>39</v>
      </c>
      <c r="F587" s="0" t="n">
        <v>406.368</v>
      </c>
      <c r="G587" s="0" t="n">
        <v>30.4776</v>
      </c>
      <c r="H587" s="0" t="n">
        <v>0.2</v>
      </c>
      <c r="I587" s="7" t="n">
        <f aca="false">YEAR(B587)</f>
        <v>2017</v>
      </c>
      <c r="J587" s="0" t="str">
        <f aca="false">I587&amp;"-Q"&amp;ROUNDUP(MONTH(B587)/3,0)</f>
        <v>2017-Q4</v>
      </c>
    </row>
    <row r="588" customFormat="false" ht="15" hidden="false" customHeight="false" outlineLevel="0" collapsed="false">
      <c r="A588" s="0" t="s">
        <v>347</v>
      </c>
      <c r="B588" s="6" t="n">
        <v>42188</v>
      </c>
      <c r="C588" s="7" t="s">
        <v>29</v>
      </c>
      <c r="D588" s="7" t="s">
        <v>30</v>
      </c>
      <c r="E588" s="7" t="s">
        <v>31</v>
      </c>
      <c r="F588" s="0" t="n">
        <v>70.98</v>
      </c>
      <c r="G588" s="0" t="n">
        <v>4.9686</v>
      </c>
      <c r="H588" s="0" t="n">
        <v>0</v>
      </c>
      <c r="I588" s="7" t="n">
        <f aca="false">YEAR(B588)</f>
        <v>2015</v>
      </c>
      <c r="J588" s="0" t="str">
        <f aca="false">I588&amp;"-Q"&amp;ROUNDUP(MONTH(B588)/3,0)</f>
        <v>2015-Q3</v>
      </c>
    </row>
    <row r="589" customFormat="false" ht="15" hidden="false" customHeight="false" outlineLevel="0" collapsed="false">
      <c r="A589" s="0" t="s">
        <v>347</v>
      </c>
      <c r="B589" s="6" t="n">
        <v>42188</v>
      </c>
      <c r="C589" s="7" t="s">
        <v>29</v>
      </c>
      <c r="D589" s="7" t="s">
        <v>30</v>
      </c>
      <c r="E589" s="7" t="s">
        <v>35</v>
      </c>
      <c r="F589" s="0" t="n">
        <v>294.93</v>
      </c>
      <c r="G589" s="0" t="n">
        <v>144.5157</v>
      </c>
      <c r="H589" s="0" t="n">
        <v>0</v>
      </c>
      <c r="I589" s="7" t="n">
        <f aca="false">YEAR(B589)</f>
        <v>2015</v>
      </c>
      <c r="J589" s="0" t="str">
        <f aca="false">I589&amp;"-Q"&amp;ROUNDUP(MONTH(B589)/3,0)</f>
        <v>2015-Q3</v>
      </c>
    </row>
    <row r="590" customFormat="false" ht="15" hidden="false" customHeight="false" outlineLevel="0" collapsed="false">
      <c r="A590" s="0" t="s">
        <v>348</v>
      </c>
      <c r="B590" s="6" t="n">
        <v>42449</v>
      </c>
      <c r="C590" s="7" t="s">
        <v>33</v>
      </c>
      <c r="D590" s="7" t="s">
        <v>102</v>
      </c>
      <c r="E590" s="7" t="s">
        <v>39</v>
      </c>
      <c r="F590" s="0" t="n">
        <v>84.784</v>
      </c>
      <c r="G590" s="0" t="n">
        <v>-20.1362</v>
      </c>
      <c r="H590" s="0" t="n">
        <v>0.2</v>
      </c>
      <c r="I590" s="7" t="n">
        <f aca="false">YEAR(B590)</f>
        <v>2016</v>
      </c>
      <c r="J590" s="0" t="str">
        <f aca="false">I590&amp;"-Q"&amp;ROUNDUP(MONTH(B590)/3,0)</f>
        <v>2016-Q1</v>
      </c>
    </row>
    <row r="591" customFormat="false" ht="15" hidden="false" customHeight="false" outlineLevel="0" collapsed="false">
      <c r="A591" s="0" t="s">
        <v>348</v>
      </c>
      <c r="B591" s="6" t="n">
        <v>42449</v>
      </c>
      <c r="C591" s="7" t="s">
        <v>33</v>
      </c>
      <c r="D591" s="7" t="s">
        <v>102</v>
      </c>
      <c r="E591" s="7" t="s">
        <v>35</v>
      </c>
      <c r="F591" s="0" t="n">
        <v>20.736</v>
      </c>
      <c r="G591" s="0" t="n">
        <v>7.2576</v>
      </c>
      <c r="H591" s="0" t="n">
        <v>0.2</v>
      </c>
      <c r="I591" s="7" t="n">
        <f aca="false">YEAR(B591)</f>
        <v>2016</v>
      </c>
      <c r="J591" s="0" t="str">
        <f aca="false">I591&amp;"-Q"&amp;ROUNDUP(MONTH(B591)/3,0)</f>
        <v>2016-Q1</v>
      </c>
    </row>
    <row r="592" customFormat="false" ht="15" hidden="false" customHeight="false" outlineLevel="0" collapsed="false">
      <c r="A592" s="0" t="s">
        <v>348</v>
      </c>
      <c r="B592" s="6" t="n">
        <v>42449</v>
      </c>
      <c r="C592" s="7" t="s">
        <v>33</v>
      </c>
      <c r="D592" s="7" t="s">
        <v>102</v>
      </c>
      <c r="E592" s="7" t="s">
        <v>35</v>
      </c>
      <c r="F592" s="0" t="n">
        <v>16.821</v>
      </c>
      <c r="G592" s="0" t="n">
        <v>-12.8961</v>
      </c>
      <c r="H592" s="0" t="n">
        <v>0.7</v>
      </c>
      <c r="I592" s="7" t="n">
        <f aca="false">YEAR(B592)</f>
        <v>2016</v>
      </c>
      <c r="J592" s="0" t="str">
        <f aca="false">I592&amp;"-Q"&amp;ROUNDUP(MONTH(B592)/3,0)</f>
        <v>2016-Q1</v>
      </c>
    </row>
    <row r="593" customFormat="false" ht="15" hidden="false" customHeight="false" outlineLevel="0" collapsed="false">
      <c r="A593" s="0" t="s">
        <v>348</v>
      </c>
      <c r="B593" s="6" t="n">
        <v>42449</v>
      </c>
      <c r="C593" s="7" t="s">
        <v>33</v>
      </c>
      <c r="D593" s="7" t="s">
        <v>102</v>
      </c>
      <c r="E593" s="7" t="s">
        <v>35</v>
      </c>
      <c r="F593" s="0" t="n">
        <v>10.368</v>
      </c>
      <c r="G593" s="0" t="n">
        <v>3.6288</v>
      </c>
      <c r="H593" s="0" t="n">
        <v>0.2</v>
      </c>
      <c r="I593" s="7" t="n">
        <f aca="false">YEAR(B593)</f>
        <v>2016</v>
      </c>
      <c r="J593" s="0" t="str">
        <f aca="false">I593&amp;"-Q"&amp;ROUNDUP(MONTH(B593)/3,0)</f>
        <v>2016-Q1</v>
      </c>
    </row>
    <row r="594" customFormat="false" ht="15" hidden="false" customHeight="false" outlineLevel="0" collapsed="false">
      <c r="A594" s="0" t="s">
        <v>349</v>
      </c>
      <c r="B594" s="6" t="n">
        <v>41648</v>
      </c>
      <c r="C594" s="7" t="s">
        <v>45</v>
      </c>
      <c r="D594" s="7" t="s">
        <v>46</v>
      </c>
      <c r="E594" s="7" t="s">
        <v>35</v>
      </c>
      <c r="F594" s="0" t="n">
        <v>9.344</v>
      </c>
      <c r="G594" s="0" t="n">
        <v>1.168</v>
      </c>
      <c r="H594" s="0" t="n">
        <v>0.2</v>
      </c>
      <c r="I594" s="7" t="n">
        <f aca="false">YEAR(B594)</f>
        <v>2014</v>
      </c>
      <c r="J594" s="0" t="str">
        <f aca="false">I594&amp;"-Q"&amp;ROUNDUP(MONTH(B594)/3,0)</f>
        <v>2014-Q1</v>
      </c>
    </row>
    <row r="595" customFormat="false" ht="15" hidden="false" customHeight="false" outlineLevel="0" collapsed="false">
      <c r="A595" s="0" t="s">
        <v>349</v>
      </c>
      <c r="B595" s="6" t="n">
        <v>41648</v>
      </c>
      <c r="C595" s="7" t="s">
        <v>45</v>
      </c>
      <c r="D595" s="7" t="s">
        <v>46</v>
      </c>
      <c r="E595" s="7" t="s">
        <v>39</v>
      </c>
      <c r="F595" s="0" t="n">
        <v>31.2</v>
      </c>
      <c r="G595" s="0" t="n">
        <v>9.75</v>
      </c>
      <c r="H595" s="0" t="n">
        <v>0.2</v>
      </c>
      <c r="I595" s="7" t="n">
        <f aca="false">YEAR(B595)</f>
        <v>2014</v>
      </c>
      <c r="J595" s="0" t="str">
        <f aca="false">I595&amp;"-Q"&amp;ROUNDUP(MONTH(B595)/3,0)</f>
        <v>2014-Q1</v>
      </c>
    </row>
    <row r="596" customFormat="false" ht="15" hidden="false" customHeight="false" outlineLevel="0" collapsed="false">
      <c r="A596" s="0" t="s">
        <v>350</v>
      </c>
      <c r="B596" s="6" t="n">
        <v>41859</v>
      </c>
      <c r="C596" s="7" t="s">
        <v>33</v>
      </c>
      <c r="D596" s="7" t="s">
        <v>34</v>
      </c>
      <c r="E596" s="7" t="s">
        <v>35</v>
      </c>
      <c r="F596" s="0" t="n">
        <v>76.12</v>
      </c>
      <c r="G596" s="0" t="n">
        <v>22.0748</v>
      </c>
      <c r="H596" s="0" t="n">
        <v>0</v>
      </c>
      <c r="I596" s="7" t="n">
        <f aca="false">YEAR(B596)</f>
        <v>2014</v>
      </c>
      <c r="J596" s="0" t="str">
        <f aca="false">I596&amp;"-Q"&amp;ROUNDUP(MONTH(B596)/3,0)</f>
        <v>2014-Q3</v>
      </c>
    </row>
    <row r="597" customFormat="false" ht="15" hidden="false" customHeight="false" outlineLevel="0" collapsed="false">
      <c r="A597" s="0" t="s">
        <v>350</v>
      </c>
      <c r="B597" s="6" t="n">
        <v>41859</v>
      </c>
      <c r="C597" s="7" t="s">
        <v>33</v>
      </c>
      <c r="D597" s="7" t="s">
        <v>34</v>
      </c>
      <c r="E597" s="7" t="s">
        <v>39</v>
      </c>
      <c r="F597" s="0" t="n">
        <v>1199.976</v>
      </c>
      <c r="G597" s="0" t="n">
        <v>434.9913</v>
      </c>
      <c r="H597" s="0" t="n">
        <v>0.2</v>
      </c>
      <c r="I597" s="7" t="n">
        <f aca="false">YEAR(B597)</f>
        <v>2014</v>
      </c>
      <c r="J597" s="0" t="str">
        <f aca="false">I597&amp;"-Q"&amp;ROUNDUP(MONTH(B597)/3,0)</f>
        <v>2014-Q3</v>
      </c>
    </row>
    <row r="598" customFormat="false" ht="15" hidden="false" customHeight="false" outlineLevel="0" collapsed="false">
      <c r="A598" s="0" t="s">
        <v>350</v>
      </c>
      <c r="B598" s="6" t="n">
        <v>41859</v>
      </c>
      <c r="C598" s="7" t="s">
        <v>33</v>
      </c>
      <c r="D598" s="7" t="s">
        <v>34</v>
      </c>
      <c r="E598" s="7" t="s">
        <v>39</v>
      </c>
      <c r="F598" s="0" t="n">
        <v>445.96</v>
      </c>
      <c r="G598" s="0" t="n">
        <v>55.745</v>
      </c>
      <c r="H598" s="0" t="n">
        <v>0.2</v>
      </c>
      <c r="I598" s="7" t="n">
        <f aca="false">YEAR(B598)</f>
        <v>2014</v>
      </c>
      <c r="J598" s="0" t="str">
        <f aca="false">I598&amp;"-Q"&amp;ROUNDUP(MONTH(B598)/3,0)</f>
        <v>2014-Q3</v>
      </c>
    </row>
    <row r="599" customFormat="false" ht="15" hidden="false" customHeight="false" outlineLevel="0" collapsed="false">
      <c r="A599" s="0" t="s">
        <v>350</v>
      </c>
      <c r="B599" s="6" t="n">
        <v>41859</v>
      </c>
      <c r="C599" s="7" t="s">
        <v>33</v>
      </c>
      <c r="D599" s="7" t="s">
        <v>34</v>
      </c>
      <c r="E599" s="7" t="s">
        <v>31</v>
      </c>
      <c r="F599" s="0" t="n">
        <v>327.76</v>
      </c>
      <c r="G599" s="0" t="n">
        <v>91.7728</v>
      </c>
      <c r="H599" s="0" t="n">
        <v>0</v>
      </c>
      <c r="I599" s="7" t="n">
        <f aca="false">YEAR(B599)</f>
        <v>2014</v>
      </c>
      <c r="J599" s="0" t="str">
        <f aca="false">I599&amp;"-Q"&amp;ROUNDUP(MONTH(B599)/3,0)</f>
        <v>2014-Q3</v>
      </c>
    </row>
    <row r="600" customFormat="false" ht="15" hidden="false" customHeight="false" outlineLevel="0" collapsed="false">
      <c r="A600" s="0" t="s">
        <v>351</v>
      </c>
      <c r="B600" s="6" t="n">
        <v>42565</v>
      </c>
      <c r="C600" s="7" t="s">
        <v>55</v>
      </c>
      <c r="D600" s="7" t="s">
        <v>56</v>
      </c>
      <c r="E600" s="7" t="s">
        <v>35</v>
      </c>
      <c r="F600" s="0" t="n">
        <v>11.632</v>
      </c>
      <c r="G600" s="0" t="n">
        <v>1.0178</v>
      </c>
      <c r="H600" s="0" t="n">
        <v>0.2</v>
      </c>
      <c r="I600" s="7" t="n">
        <f aca="false">YEAR(B600)</f>
        <v>2016</v>
      </c>
      <c r="J600" s="0" t="str">
        <f aca="false">I600&amp;"-Q"&amp;ROUNDUP(MONTH(B600)/3,0)</f>
        <v>2016-Q3</v>
      </c>
    </row>
    <row r="601" customFormat="false" ht="15" hidden="false" customHeight="false" outlineLevel="0" collapsed="false">
      <c r="A601" s="0" t="s">
        <v>352</v>
      </c>
      <c r="B601" s="6" t="n">
        <v>42567</v>
      </c>
      <c r="C601" s="7" t="s">
        <v>55</v>
      </c>
      <c r="D601" s="7" t="s">
        <v>56</v>
      </c>
      <c r="E601" s="7" t="s">
        <v>39</v>
      </c>
      <c r="F601" s="0" t="n">
        <v>143.982</v>
      </c>
      <c r="G601" s="0" t="n">
        <v>-28.7964</v>
      </c>
      <c r="H601" s="0" t="n">
        <v>0.4</v>
      </c>
      <c r="I601" s="7" t="n">
        <f aca="false">YEAR(B601)</f>
        <v>2016</v>
      </c>
      <c r="J601" s="0" t="str">
        <f aca="false">I601&amp;"-Q"&amp;ROUNDUP(MONTH(B601)/3,0)</f>
        <v>2016-Q3</v>
      </c>
    </row>
    <row r="602" customFormat="false" ht="15" hidden="false" customHeight="false" outlineLevel="0" collapsed="false">
      <c r="A602" s="0" t="s">
        <v>352</v>
      </c>
      <c r="B602" s="6" t="n">
        <v>42567</v>
      </c>
      <c r="C602" s="7" t="s">
        <v>55</v>
      </c>
      <c r="D602" s="7" t="s">
        <v>56</v>
      </c>
      <c r="E602" s="7" t="s">
        <v>39</v>
      </c>
      <c r="F602" s="0" t="n">
        <v>494.376</v>
      </c>
      <c r="G602" s="0" t="n">
        <v>-115.3544</v>
      </c>
      <c r="H602" s="0" t="n">
        <v>0.4</v>
      </c>
      <c r="I602" s="7" t="n">
        <f aca="false">YEAR(B602)</f>
        <v>2016</v>
      </c>
      <c r="J602" s="0" t="str">
        <f aca="false">I602&amp;"-Q"&amp;ROUNDUP(MONTH(B602)/3,0)</f>
        <v>2016-Q3</v>
      </c>
    </row>
    <row r="603" customFormat="false" ht="15" hidden="false" customHeight="false" outlineLevel="0" collapsed="false">
      <c r="A603" s="0" t="s">
        <v>352</v>
      </c>
      <c r="B603" s="6" t="n">
        <v>42567</v>
      </c>
      <c r="C603" s="7" t="s">
        <v>55</v>
      </c>
      <c r="D603" s="7" t="s">
        <v>56</v>
      </c>
      <c r="E603" s="7" t="s">
        <v>35</v>
      </c>
      <c r="F603" s="0" t="n">
        <v>5.84</v>
      </c>
      <c r="G603" s="0" t="n">
        <v>0.73</v>
      </c>
      <c r="H603" s="0" t="n">
        <v>0.2</v>
      </c>
      <c r="I603" s="7" t="n">
        <f aca="false">YEAR(B603)</f>
        <v>2016</v>
      </c>
      <c r="J603" s="0" t="str">
        <f aca="false">I603&amp;"-Q"&amp;ROUNDUP(MONTH(B603)/3,0)</f>
        <v>2016-Q3</v>
      </c>
    </row>
    <row r="604" customFormat="false" ht="15" hidden="false" customHeight="false" outlineLevel="0" collapsed="false">
      <c r="A604" s="0" t="s">
        <v>353</v>
      </c>
      <c r="B604" s="6" t="n">
        <v>41713</v>
      </c>
      <c r="C604" s="7" t="s">
        <v>29</v>
      </c>
      <c r="D604" s="7" t="s">
        <v>37</v>
      </c>
      <c r="E604" s="7" t="s">
        <v>35</v>
      </c>
      <c r="F604" s="0" t="n">
        <v>142.776</v>
      </c>
      <c r="G604" s="0" t="n">
        <v>17.847</v>
      </c>
      <c r="H604" s="0" t="n">
        <v>0.2</v>
      </c>
      <c r="I604" s="7" t="n">
        <f aca="false">YEAR(B604)</f>
        <v>2014</v>
      </c>
      <c r="J604" s="0" t="str">
        <f aca="false">I604&amp;"-Q"&amp;ROUNDUP(MONTH(B604)/3,0)</f>
        <v>2014-Q1</v>
      </c>
    </row>
    <row r="605" customFormat="false" ht="15" hidden="false" customHeight="false" outlineLevel="0" collapsed="false">
      <c r="A605" s="0" t="s">
        <v>353</v>
      </c>
      <c r="B605" s="6" t="n">
        <v>41713</v>
      </c>
      <c r="C605" s="7" t="s">
        <v>29</v>
      </c>
      <c r="D605" s="7" t="s">
        <v>37</v>
      </c>
      <c r="E605" s="7" t="s">
        <v>31</v>
      </c>
      <c r="F605" s="0" t="n">
        <v>45.696</v>
      </c>
      <c r="G605" s="0" t="n">
        <v>5.1408</v>
      </c>
      <c r="H605" s="0" t="n">
        <v>0.2</v>
      </c>
      <c r="I605" s="7" t="n">
        <f aca="false">YEAR(B605)</f>
        <v>2014</v>
      </c>
      <c r="J605" s="0" t="str">
        <f aca="false">I605&amp;"-Q"&amp;ROUNDUP(MONTH(B605)/3,0)</f>
        <v>2014-Q1</v>
      </c>
    </row>
    <row r="606" customFormat="false" ht="15" hidden="false" customHeight="false" outlineLevel="0" collapsed="false">
      <c r="A606" s="0" t="s">
        <v>353</v>
      </c>
      <c r="B606" s="6" t="n">
        <v>41713</v>
      </c>
      <c r="C606" s="7" t="s">
        <v>29</v>
      </c>
      <c r="D606" s="7" t="s">
        <v>37</v>
      </c>
      <c r="E606" s="7" t="s">
        <v>35</v>
      </c>
      <c r="F606" s="0" t="n">
        <v>7.218</v>
      </c>
      <c r="G606" s="0" t="n">
        <v>-5.5338</v>
      </c>
      <c r="H606" s="0" t="n">
        <v>0.7</v>
      </c>
      <c r="I606" s="7" t="n">
        <f aca="false">YEAR(B606)</f>
        <v>2014</v>
      </c>
      <c r="J606" s="0" t="str">
        <f aca="false">I606&amp;"-Q"&amp;ROUNDUP(MONTH(B606)/3,0)</f>
        <v>2014-Q1</v>
      </c>
    </row>
    <row r="607" customFormat="false" ht="15" hidden="false" customHeight="false" outlineLevel="0" collapsed="false">
      <c r="A607" s="0" t="s">
        <v>353</v>
      </c>
      <c r="B607" s="6" t="n">
        <v>41713</v>
      </c>
      <c r="C607" s="7" t="s">
        <v>29</v>
      </c>
      <c r="D607" s="7" t="s">
        <v>37</v>
      </c>
      <c r="E607" s="7" t="s">
        <v>35</v>
      </c>
      <c r="F607" s="0" t="n">
        <v>43.188</v>
      </c>
      <c r="G607" s="0" t="n">
        <v>-31.6712</v>
      </c>
      <c r="H607" s="0" t="n">
        <v>0.7</v>
      </c>
      <c r="I607" s="7" t="n">
        <f aca="false">YEAR(B607)</f>
        <v>2014</v>
      </c>
      <c r="J607" s="0" t="str">
        <f aca="false">I607&amp;"-Q"&amp;ROUNDUP(MONTH(B607)/3,0)</f>
        <v>2014-Q1</v>
      </c>
    </row>
    <row r="608" customFormat="false" ht="15" hidden="false" customHeight="false" outlineLevel="0" collapsed="false">
      <c r="A608" s="0" t="s">
        <v>353</v>
      </c>
      <c r="B608" s="6" t="n">
        <v>41713</v>
      </c>
      <c r="C608" s="7" t="s">
        <v>29</v>
      </c>
      <c r="D608" s="7" t="s">
        <v>37</v>
      </c>
      <c r="E608" s="7" t="s">
        <v>35</v>
      </c>
      <c r="F608" s="0" t="n">
        <v>131.904</v>
      </c>
      <c r="G608" s="0" t="n">
        <v>47.8152</v>
      </c>
      <c r="H608" s="0" t="n">
        <v>0.2</v>
      </c>
      <c r="I608" s="7" t="n">
        <f aca="false">YEAR(B608)</f>
        <v>2014</v>
      </c>
      <c r="J608" s="0" t="str">
        <f aca="false">I608&amp;"-Q"&amp;ROUNDUP(MONTH(B608)/3,0)</f>
        <v>2014-Q1</v>
      </c>
    </row>
    <row r="609" customFormat="false" ht="15" hidden="false" customHeight="false" outlineLevel="0" collapsed="false">
      <c r="A609" s="0" t="s">
        <v>354</v>
      </c>
      <c r="B609" s="6" t="n">
        <v>41782</v>
      </c>
      <c r="C609" s="7" t="s">
        <v>55</v>
      </c>
      <c r="D609" s="7" t="s">
        <v>56</v>
      </c>
      <c r="E609" s="7" t="s">
        <v>35</v>
      </c>
      <c r="F609" s="0" t="n">
        <v>3.282</v>
      </c>
      <c r="G609" s="0" t="n">
        <v>-2.6256</v>
      </c>
      <c r="H609" s="0" t="n">
        <v>0.7</v>
      </c>
      <c r="I609" s="7" t="n">
        <f aca="false">YEAR(B609)</f>
        <v>2014</v>
      </c>
      <c r="J609" s="0" t="str">
        <f aca="false">I609&amp;"-Q"&amp;ROUNDUP(MONTH(B609)/3,0)</f>
        <v>2014-Q2</v>
      </c>
    </row>
    <row r="610" customFormat="false" ht="15" hidden="false" customHeight="false" outlineLevel="0" collapsed="false">
      <c r="A610" s="0" t="s">
        <v>354</v>
      </c>
      <c r="B610" s="6" t="n">
        <v>41782</v>
      </c>
      <c r="C610" s="7" t="s">
        <v>55</v>
      </c>
      <c r="D610" s="7" t="s">
        <v>56</v>
      </c>
      <c r="E610" s="7" t="s">
        <v>35</v>
      </c>
      <c r="F610" s="0" t="n">
        <v>21.168</v>
      </c>
      <c r="G610" s="0" t="n">
        <v>2.3814</v>
      </c>
      <c r="H610" s="0" t="n">
        <v>0.2</v>
      </c>
      <c r="I610" s="7" t="n">
        <f aca="false">YEAR(B610)</f>
        <v>2014</v>
      </c>
      <c r="J610" s="0" t="str">
        <f aca="false">I610&amp;"-Q"&amp;ROUNDUP(MONTH(B610)/3,0)</f>
        <v>2014-Q2</v>
      </c>
    </row>
    <row r="611" customFormat="false" ht="15" hidden="false" customHeight="false" outlineLevel="0" collapsed="false">
      <c r="A611" s="0" t="s">
        <v>354</v>
      </c>
      <c r="B611" s="6" t="n">
        <v>41782</v>
      </c>
      <c r="C611" s="7" t="s">
        <v>55</v>
      </c>
      <c r="D611" s="7" t="s">
        <v>56</v>
      </c>
      <c r="E611" s="7" t="s">
        <v>39</v>
      </c>
      <c r="F611" s="0" t="n">
        <v>55.188</v>
      </c>
      <c r="G611" s="0" t="n">
        <v>-10.1178</v>
      </c>
      <c r="H611" s="0" t="n">
        <v>0.4</v>
      </c>
      <c r="I611" s="7" t="n">
        <f aca="false">YEAR(B611)</f>
        <v>2014</v>
      </c>
      <c r="J611" s="0" t="str">
        <f aca="false">I611&amp;"-Q"&amp;ROUNDUP(MONTH(B611)/3,0)</f>
        <v>2014-Q2</v>
      </c>
    </row>
    <row r="612" customFormat="false" ht="15" hidden="false" customHeight="false" outlineLevel="0" collapsed="false">
      <c r="A612" s="0" t="s">
        <v>355</v>
      </c>
      <c r="B612" s="6" t="n">
        <v>42488</v>
      </c>
      <c r="C612" s="7" t="s">
        <v>45</v>
      </c>
      <c r="D612" s="7" t="s">
        <v>46</v>
      </c>
      <c r="E612" s="7" t="s">
        <v>39</v>
      </c>
      <c r="F612" s="0" t="n">
        <v>369.576</v>
      </c>
      <c r="G612" s="0" t="n">
        <v>41.5773</v>
      </c>
      <c r="H612" s="0" t="n">
        <v>0.2</v>
      </c>
      <c r="I612" s="7" t="n">
        <f aca="false">YEAR(B612)</f>
        <v>2016</v>
      </c>
      <c r="J612" s="0" t="str">
        <f aca="false">I612&amp;"-Q"&amp;ROUNDUP(MONTH(B612)/3,0)</f>
        <v>2016-Q2</v>
      </c>
    </row>
    <row r="613" customFormat="false" ht="15" hidden="false" customHeight="false" outlineLevel="0" collapsed="false">
      <c r="A613" s="0" t="s">
        <v>355</v>
      </c>
      <c r="B613" s="6" t="n">
        <v>42488</v>
      </c>
      <c r="C613" s="7" t="s">
        <v>45</v>
      </c>
      <c r="D613" s="7" t="s">
        <v>46</v>
      </c>
      <c r="E613" s="7" t="s">
        <v>35</v>
      </c>
      <c r="F613" s="0" t="n">
        <v>15.712</v>
      </c>
      <c r="G613" s="0" t="n">
        <v>5.6956</v>
      </c>
      <c r="H613" s="0" t="n">
        <v>0.2</v>
      </c>
      <c r="I613" s="7" t="n">
        <f aca="false">YEAR(B613)</f>
        <v>2016</v>
      </c>
      <c r="J613" s="0" t="str">
        <f aca="false">I613&amp;"-Q"&amp;ROUNDUP(MONTH(B613)/3,0)</f>
        <v>2016-Q2</v>
      </c>
    </row>
    <row r="614" customFormat="false" ht="15" hidden="false" customHeight="false" outlineLevel="0" collapsed="false">
      <c r="A614" s="0" t="s">
        <v>356</v>
      </c>
      <c r="B614" s="6" t="n">
        <v>42624</v>
      </c>
      <c r="C614" s="7" t="s">
        <v>55</v>
      </c>
      <c r="D614" s="7" t="s">
        <v>56</v>
      </c>
      <c r="E614" s="7" t="s">
        <v>35</v>
      </c>
      <c r="F614" s="0" t="n">
        <v>8.448</v>
      </c>
      <c r="G614" s="0" t="n">
        <v>2.64</v>
      </c>
      <c r="H614" s="0" t="n">
        <v>0.2</v>
      </c>
      <c r="I614" s="7" t="n">
        <f aca="false">YEAR(B614)</f>
        <v>2016</v>
      </c>
      <c r="J614" s="0" t="str">
        <f aca="false">I614&amp;"-Q"&amp;ROUNDUP(MONTH(B614)/3,0)</f>
        <v>2016-Q3</v>
      </c>
    </row>
    <row r="615" customFormat="false" ht="15" hidden="false" customHeight="false" outlineLevel="0" collapsed="false">
      <c r="A615" s="0" t="s">
        <v>356</v>
      </c>
      <c r="B615" s="6" t="n">
        <v>42624</v>
      </c>
      <c r="C615" s="7" t="s">
        <v>55</v>
      </c>
      <c r="D615" s="7" t="s">
        <v>56</v>
      </c>
      <c r="E615" s="7" t="s">
        <v>39</v>
      </c>
      <c r="F615" s="0" t="n">
        <v>728.946</v>
      </c>
      <c r="G615" s="0" t="n">
        <v>-157.9383</v>
      </c>
      <c r="H615" s="0" t="n">
        <v>0.4</v>
      </c>
      <c r="I615" s="7" t="n">
        <f aca="false">YEAR(B615)</f>
        <v>2016</v>
      </c>
      <c r="J615" s="0" t="str">
        <f aca="false">I615&amp;"-Q"&amp;ROUNDUP(MONTH(B615)/3,0)</f>
        <v>2016-Q3</v>
      </c>
    </row>
    <row r="616" customFormat="false" ht="15" hidden="false" customHeight="false" outlineLevel="0" collapsed="false">
      <c r="A616" s="0" t="s">
        <v>357</v>
      </c>
      <c r="B616" s="6" t="n">
        <v>43053</v>
      </c>
      <c r="C616" s="7" t="s">
        <v>55</v>
      </c>
      <c r="D616" s="7" t="s">
        <v>116</v>
      </c>
      <c r="E616" s="7" t="s">
        <v>39</v>
      </c>
      <c r="F616" s="0" t="n">
        <v>119.94</v>
      </c>
      <c r="G616" s="0" t="n">
        <v>15.992</v>
      </c>
      <c r="H616" s="0" t="n">
        <v>0.4</v>
      </c>
      <c r="I616" s="7" t="n">
        <f aca="false">YEAR(B616)</f>
        <v>2017</v>
      </c>
      <c r="J616" s="0" t="str">
        <f aca="false">I616&amp;"-Q"&amp;ROUNDUP(MONTH(B616)/3,0)</f>
        <v>2017-Q4</v>
      </c>
    </row>
    <row r="617" customFormat="false" ht="15" hidden="false" customHeight="false" outlineLevel="0" collapsed="false">
      <c r="A617" s="0" t="s">
        <v>357</v>
      </c>
      <c r="B617" s="6" t="n">
        <v>43053</v>
      </c>
      <c r="C617" s="7" t="s">
        <v>55</v>
      </c>
      <c r="D617" s="7" t="s">
        <v>116</v>
      </c>
      <c r="E617" s="7" t="s">
        <v>35</v>
      </c>
      <c r="F617" s="0" t="n">
        <v>3.648</v>
      </c>
      <c r="G617" s="0" t="n">
        <v>-2.7968</v>
      </c>
      <c r="H617" s="0" t="n">
        <v>0.7</v>
      </c>
      <c r="I617" s="7" t="n">
        <f aca="false">YEAR(B617)</f>
        <v>2017</v>
      </c>
      <c r="J617" s="0" t="str">
        <f aca="false">I617&amp;"-Q"&amp;ROUNDUP(MONTH(B617)/3,0)</f>
        <v>2017-Q4</v>
      </c>
    </row>
    <row r="618" customFormat="false" ht="15" hidden="false" customHeight="false" outlineLevel="0" collapsed="false">
      <c r="A618" s="0" t="s">
        <v>358</v>
      </c>
      <c r="B618" s="6" t="n">
        <v>42965</v>
      </c>
      <c r="C618" s="7" t="s">
        <v>55</v>
      </c>
      <c r="D618" s="7" t="s">
        <v>76</v>
      </c>
      <c r="E618" s="7" t="s">
        <v>31</v>
      </c>
      <c r="F618" s="0" t="n">
        <v>40.48</v>
      </c>
      <c r="G618" s="0" t="n">
        <v>15.7872</v>
      </c>
      <c r="H618" s="0" t="n">
        <v>0</v>
      </c>
      <c r="I618" s="7" t="n">
        <f aca="false">YEAR(B618)</f>
        <v>2017</v>
      </c>
      <c r="J618" s="0" t="str">
        <f aca="false">I618&amp;"-Q"&amp;ROUNDUP(MONTH(B618)/3,0)</f>
        <v>2017-Q3</v>
      </c>
    </row>
    <row r="619" customFormat="false" ht="15" hidden="false" customHeight="false" outlineLevel="0" collapsed="false">
      <c r="A619" s="0" t="s">
        <v>358</v>
      </c>
      <c r="B619" s="6" t="n">
        <v>42965</v>
      </c>
      <c r="C619" s="7" t="s">
        <v>55</v>
      </c>
      <c r="D619" s="7" t="s">
        <v>76</v>
      </c>
      <c r="E619" s="7" t="s">
        <v>31</v>
      </c>
      <c r="F619" s="0" t="n">
        <v>9.94</v>
      </c>
      <c r="G619" s="0" t="n">
        <v>3.0814</v>
      </c>
      <c r="H619" s="0" t="n">
        <v>0</v>
      </c>
      <c r="I619" s="7" t="n">
        <f aca="false">YEAR(B619)</f>
        <v>2017</v>
      </c>
      <c r="J619" s="0" t="str">
        <f aca="false">I619&amp;"-Q"&amp;ROUNDUP(MONTH(B619)/3,0)</f>
        <v>2017-Q3</v>
      </c>
    </row>
    <row r="620" customFormat="false" ht="15" hidden="false" customHeight="false" outlineLevel="0" collapsed="false">
      <c r="A620" s="0" t="s">
        <v>358</v>
      </c>
      <c r="B620" s="6" t="n">
        <v>42965</v>
      </c>
      <c r="C620" s="7" t="s">
        <v>55</v>
      </c>
      <c r="D620" s="7" t="s">
        <v>76</v>
      </c>
      <c r="E620" s="7" t="s">
        <v>35</v>
      </c>
      <c r="F620" s="0" t="n">
        <v>107.424</v>
      </c>
      <c r="G620" s="0" t="n">
        <v>33.57</v>
      </c>
      <c r="H620" s="0" t="n">
        <v>0.2</v>
      </c>
      <c r="I620" s="7" t="n">
        <f aca="false">YEAR(B620)</f>
        <v>2017</v>
      </c>
      <c r="J620" s="0" t="str">
        <f aca="false">I620&amp;"-Q"&amp;ROUNDUP(MONTH(B620)/3,0)</f>
        <v>2017-Q3</v>
      </c>
    </row>
    <row r="621" customFormat="false" ht="15" hidden="false" customHeight="false" outlineLevel="0" collapsed="false">
      <c r="A621" s="0" t="s">
        <v>358</v>
      </c>
      <c r="B621" s="6" t="n">
        <v>42965</v>
      </c>
      <c r="C621" s="7" t="s">
        <v>55</v>
      </c>
      <c r="D621" s="7" t="s">
        <v>76</v>
      </c>
      <c r="E621" s="7" t="s">
        <v>39</v>
      </c>
      <c r="F621" s="0" t="n">
        <v>37.91</v>
      </c>
      <c r="G621" s="0" t="n">
        <v>10.9939</v>
      </c>
      <c r="H621" s="0" t="n">
        <v>0</v>
      </c>
      <c r="I621" s="7" t="n">
        <f aca="false">YEAR(B621)</f>
        <v>2017</v>
      </c>
      <c r="J621" s="0" t="str">
        <f aca="false">I621&amp;"-Q"&amp;ROUNDUP(MONTH(B621)/3,0)</f>
        <v>2017-Q3</v>
      </c>
    </row>
    <row r="622" customFormat="false" ht="15" hidden="false" customHeight="false" outlineLevel="0" collapsed="false">
      <c r="A622" s="0" t="s">
        <v>358</v>
      </c>
      <c r="B622" s="6" t="n">
        <v>42965</v>
      </c>
      <c r="C622" s="7" t="s">
        <v>55</v>
      </c>
      <c r="D622" s="7" t="s">
        <v>76</v>
      </c>
      <c r="E622" s="7" t="s">
        <v>31</v>
      </c>
      <c r="F622" s="0" t="n">
        <v>88.02</v>
      </c>
      <c r="G622" s="0" t="n">
        <v>27.2862</v>
      </c>
      <c r="H622" s="0" t="n">
        <v>0</v>
      </c>
      <c r="I622" s="7" t="n">
        <f aca="false">YEAR(B622)</f>
        <v>2017</v>
      </c>
      <c r="J622" s="0" t="str">
        <f aca="false">I622&amp;"-Q"&amp;ROUNDUP(MONTH(B622)/3,0)</f>
        <v>2017-Q3</v>
      </c>
    </row>
    <row r="623" customFormat="false" ht="15" hidden="false" customHeight="false" outlineLevel="0" collapsed="false">
      <c r="A623" s="0" t="s">
        <v>359</v>
      </c>
      <c r="B623" s="6" t="n">
        <v>41999</v>
      </c>
      <c r="C623" s="7" t="s">
        <v>45</v>
      </c>
      <c r="D623" s="7" t="s">
        <v>64</v>
      </c>
      <c r="E623" s="7" t="s">
        <v>35</v>
      </c>
      <c r="F623" s="0" t="n">
        <v>8.69</v>
      </c>
      <c r="G623" s="0" t="n">
        <v>-14.773</v>
      </c>
      <c r="H623" s="0" t="n">
        <v>0.8</v>
      </c>
      <c r="I623" s="7" t="n">
        <f aca="false">YEAR(B623)</f>
        <v>2014</v>
      </c>
      <c r="J623" s="0" t="str">
        <f aca="false">I623&amp;"-Q"&amp;ROUNDUP(MONTH(B623)/3,0)</f>
        <v>2014-Q4</v>
      </c>
    </row>
    <row r="624" customFormat="false" ht="15" hidden="false" customHeight="false" outlineLevel="0" collapsed="false">
      <c r="A624" s="0" t="s">
        <v>360</v>
      </c>
      <c r="B624" s="6" t="n">
        <v>42337</v>
      </c>
      <c r="C624" s="7" t="s">
        <v>45</v>
      </c>
      <c r="D624" s="7" t="s">
        <v>70</v>
      </c>
      <c r="E624" s="7" t="s">
        <v>31</v>
      </c>
      <c r="F624" s="0" t="n">
        <v>301.96</v>
      </c>
      <c r="G624" s="0" t="n">
        <v>87.5684</v>
      </c>
      <c r="H624" s="0" t="n">
        <v>0</v>
      </c>
      <c r="I624" s="7" t="n">
        <f aca="false">YEAR(B624)</f>
        <v>2015</v>
      </c>
      <c r="J624" s="0" t="str">
        <f aca="false">I624&amp;"-Q"&amp;ROUNDUP(MONTH(B624)/3,0)</f>
        <v>2015-Q4</v>
      </c>
    </row>
    <row r="625" customFormat="false" ht="15" hidden="false" customHeight="false" outlineLevel="0" collapsed="false">
      <c r="A625" s="0" t="s">
        <v>360</v>
      </c>
      <c r="B625" s="6" t="n">
        <v>42337</v>
      </c>
      <c r="C625" s="7" t="s">
        <v>45</v>
      </c>
      <c r="D625" s="7" t="s">
        <v>70</v>
      </c>
      <c r="E625" s="7" t="s">
        <v>35</v>
      </c>
      <c r="F625" s="0" t="n">
        <v>555.21</v>
      </c>
      <c r="G625" s="0" t="n">
        <v>178.901</v>
      </c>
      <c r="H625" s="0" t="n">
        <v>0.1</v>
      </c>
      <c r="I625" s="7" t="n">
        <f aca="false">YEAR(B625)</f>
        <v>2015</v>
      </c>
      <c r="J625" s="0" t="str">
        <f aca="false">I625&amp;"-Q"&amp;ROUNDUP(MONTH(B625)/3,0)</f>
        <v>2015-Q4</v>
      </c>
    </row>
    <row r="626" customFormat="false" ht="15" hidden="false" customHeight="false" outlineLevel="0" collapsed="false">
      <c r="A626" s="0" t="s">
        <v>360</v>
      </c>
      <c r="B626" s="6" t="n">
        <v>42337</v>
      </c>
      <c r="C626" s="7" t="s">
        <v>45</v>
      </c>
      <c r="D626" s="7" t="s">
        <v>70</v>
      </c>
      <c r="E626" s="7" t="s">
        <v>35</v>
      </c>
      <c r="F626" s="0" t="n">
        <v>523.48</v>
      </c>
      <c r="G626" s="0" t="n">
        <v>130.87</v>
      </c>
      <c r="H626" s="0" t="n">
        <v>0</v>
      </c>
      <c r="I626" s="7" t="n">
        <f aca="false">YEAR(B626)</f>
        <v>2015</v>
      </c>
      <c r="J626" s="0" t="str">
        <f aca="false">I626&amp;"-Q"&amp;ROUNDUP(MONTH(B626)/3,0)</f>
        <v>2015-Q4</v>
      </c>
    </row>
    <row r="627" customFormat="false" ht="15" hidden="false" customHeight="false" outlineLevel="0" collapsed="false">
      <c r="A627" s="0" t="s">
        <v>360</v>
      </c>
      <c r="B627" s="6" t="n">
        <v>42337</v>
      </c>
      <c r="C627" s="7" t="s">
        <v>45</v>
      </c>
      <c r="D627" s="7" t="s">
        <v>70</v>
      </c>
      <c r="E627" s="7" t="s">
        <v>35</v>
      </c>
      <c r="F627" s="0" t="n">
        <v>161.82</v>
      </c>
      <c r="G627" s="0" t="n">
        <v>46.9278</v>
      </c>
      <c r="H627" s="0" t="n">
        <v>0</v>
      </c>
      <c r="I627" s="7" t="n">
        <f aca="false">YEAR(B627)</f>
        <v>2015</v>
      </c>
      <c r="J627" s="0" t="str">
        <f aca="false">I627&amp;"-Q"&amp;ROUNDUP(MONTH(B627)/3,0)</f>
        <v>2015-Q4</v>
      </c>
    </row>
    <row r="628" customFormat="false" ht="15" hidden="false" customHeight="false" outlineLevel="0" collapsed="false">
      <c r="A628" s="0" t="s">
        <v>361</v>
      </c>
      <c r="B628" s="6" t="n">
        <v>42993</v>
      </c>
      <c r="C628" s="7" t="s">
        <v>55</v>
      </c>
      <c r="D628" s="7" t="s">
        <v>76</v>
      </c>
      <c r="E628" s="7" t="s">
        <v>31</v>
      </c>
      <c r="F628" s="0" t="n">
        <v>35.56</v>
      </c>
      <c r="G628" s="0" t="n">
        <v>12.0904</v>
      </c>
      <c r="H628" s="0" t="n">
        <v>0</v>
      </c>
      <c r="I628" s="7" t="n">
        <f aca="false">YEAR(B628)</f>
        <v>2017</v>
      </c>
      <c r="J628" s="0" t="str">
        <f aca="false">I628&amp;"-Q"&amp;ROUNDUP(MONTH(B628)/3,0)</f>
        <v>2017-Q3</v>
      </c>
    </row>
    <row r="629" customFormat="false" ht="15" hidden="false" customHeight="false" outlineLevel="0" collapsed="false">
      <c r="A629" s="0" t="s">
        <v>362</v>
      </c>
      <c r="B629" s="6" t="n">
        <v>42874</v>
      </c>
      <c r="C629" s="7" t="s">
        <v>33</v>
      </c>
      <c r="D629" s="7" t="s">
        <v>43</v>
      </c>
      <c r="E629" s="7" t="s">
        <v>35</v>
      </c>
      <c r="F629" s="0" t="n">
        <v>97.16</v>
      </c>
      <c r="G629" s="0" t="n">
        <v>28.1764</v>
      </c>
      <c r="H629" s="0" t="n">
        <v>0</v>
      </c>
      <c r="I629" s="7" t="n">
        <f aca="false">YEAR(B629)</f>
        <v>2017</v>
      </c>
      <c r="J629" s="0" t="str">
        <f aca="false">I629&amp;"-Q"&amp;ROUNDUP(MONTH(B629)/3,0)</f>
        <v>2017-Q2</v>
      </c>
    </row>
    <row r="630" customFormat="false" ht="15" hidden="false" customHeight="false" outlineLevel="0" collapsed="false">
      <c r="A630" s="0" t="s">
        <v>363</v>
      </c>
      <c r="B630" s="6" t="n">
        <v>43086</v>
      </c>
      <c r="C630" s="7" t="s">
        <v>33</v>
      </c>
      <c r="D630" s="7" t="s">
        <v>34</v>
      </c>
      <c r="E630" s="7" t="s">
        <v>35</v>
      </c>
      <c r="F630" s="0" t="n">
        <v>15.24</v>
      </c>
      <c r="G630" s="0" t="n">
        <v>5.1435</v>
      </c>
      <c r="H630" s="0" t="n">
        <v>0.2</v>
      </c>
      <c r="I630" s="7" t="n">
        <f aca="false">YEAR(B630)</f>
        <v>2017</v>
      </c>
      <c r="J630" s="0" t="str">
        <f aca="false">I630&amp;"-Q"&amp;ROUNDUP(MONTH(B630)/3,0)</f>
        <v>2017-Q4</v>
      </c>
    </row>
    <row r="631" customFormat="false" ht="15" hidden="false" customHeight="false" outlineLevel="0" collapsed="false">
      <c r="A631" s="0" t="s">
        <v>363</v>
      </c>
      <c r="B631" s="6" t="n">
        <v>43086</v>
      </c>
      <c r="C631" s="7" t="s">
        <v>33</v>
      </c>
      <c r="D631" s="7" t="s">
        <v>34</v>
      </c>
      <c r="E631" s="7" t="s">
        <v>35</v>
      </c>
      <c r="F631" s="0" t="n">
        <v>13.23</v>
      </c>
      <c r="G631" s="0" t="n">
        <v>6.0858</v>
      </c>
      <c r="H631" s="0" t="n">
        <v>0</v>
      </c>
      <c r="I631" s="7" t="n">
        <f aca="false">YEAR(B631)</f>
        <v>2017</v>
      </c>
      <c r="J631" s="0" t="str">
        <f aca="false">I631&amp;"-Q"&amp;ROUNDUP(MONTH(B631)/3,0)</f>
        <v>2017-Q4</v>
      </c>
    </row>
    <row r="632" customFormat="false" ht="15" hidden="false" customHeight="false" outlineLevel="0" collapsed="false">
      <c r="A632" s="0" t="s">
        <v>364</v>
      </c>
      <c r="B632" s="6" t="n">
        <v>42715</v>
      </c>
      <c r="C632" s="7" t="s">
        <v>33</v>
      </c>
      <c r="D632" s="7" t="s">
        <v>109</v>
      </c>
      <c r="E632" s="7" t="s">
        <v>35</v>
      </c>
      <c r="F632" s="0" t="n">
        <v>243.384</v>
      </c>
      <c r="G632" s="0" t="n">
        <v>-51.7191</v>
      </c>
      <c r="H632" s="0" t="n">
        <v>0.2</v>
      </c>
      <c r="I632" s="7" t="n">
        <f aca="false">YEAR(B632)</f>
        <v>2016</v>
      </c>
      <c r="J632" s="0" t="str">
        <f aca="false">I632&amp;"-Q"&amp;ROUNDUP(MONTH(B632)/3,0)</f>
        <v>2016-Q4</v>
      </c>
    </row>
    <row r="633" customFormat="false" ht="15" hidden="false" customHeight="false" outlineLevel="0" collapsed="false">
      <c r="A633" s="0" t="s">
        <v>364</v>
      </c>
      <c r="B633" s="6" t="n">
        <v>42715</v>
      </c>
      <c r="C633" s="7" t="s">
        <v>33</v>
      </c>
      <c r="D633" s="7" t="s">
        <v>109</v>
      </c>
      <c r="E633" s="7" t="s">
        <v>39</v>
      </c>
      <c r="F633" s="0" t="n">
        <v>119.8</v>
      </c>
      <c r="G633" s="0" t="n">
        <v>29.95</v>
      </c>
      <c r="H633" s="0" t="n">
        <v>0.2</v>
      </c>
      <c r="I633" s="7" t="n">
        <f aca="false">YEAR(B633)</f>
        <v>2016</v>
      </c>
      <c r="J633" s="0" t="str">
        <f aca="false">I633&amp;"-Q"&amp;ROUNDUP(MONTH(B633)/3,0)</f>
        <v>2016-Q4</v>
      </c>
    </row>
    <row r="634" customFormat="false" ht="15" hidden="false" customHeight="false" outlineLevel="0" collapsed="false">
      <c r="A634" s="0" t="s">
        <v>364</v>
      </c>
      <c r="B634" s="6" t="n">
        <v>42715</v>
      </c>
      <c r="C634" s="7" t="s">
        <v>33</v>
      </c>
      <c r="D634" s="7" t="s">
        <v>109</v>
      </c>
      <c r="E634" s="7" t="s">
        <v>39</v>
      </c>
      <c r="F634" s="0" t="n">
        <v>300.768</v>
      </c>
      <c r="G634" s="0" t="n">
        <v>30.0768</v>
      </c>
      <c r="H634" s="0" t="n">
        <v>0.2</v>
      </c>
      <c r="I634" s="7" t="n">
        <f aca="false">YEAR(B634)</f>
        <v>2016</v>
      </c>
      <c r="J634" s="0" t="str">
        <f aca="false">I634&amp;"-Q"&amp;ROUNDUP(MONTH(B634)/3,0)</f>
        <v>2016-Q4</v>
      </c>
    </row>
    <row r="635" customFormat="false" ht="15" hidden="false" customHeight="false" outlineLevel="0" collapsed="false">
      <c r="A635" s="0" t="s">
        <v>365</v>
      </c>
      <c r="B635" s="6" t="n">
        <v>43002</v>
      </c>
      <c r="C635" s="7" t="s">
        <v>29</v>
      </c>
      <c r="D635" s="7" t="s">
        <v>37</v>
      </c>
      <c r="E635" s="7" t="s">
        <v>39</v>
      </c>
      <c r="F635" s="0" t="n">
        <v>17.88</v>
      </c>
      <c r="G635" s="0" t="n">
        <v>2.4585</v>
      </c>
      <c r="H635" s="0" t="n">
        <v>0.2</v>
      </c>
      <c r="I635" s="7" t="n">
        <f aca="false">YEAR(B635)</f>
        <v>2017</v>
      </c>
      <c r="J635" s="0" t="str">
        <f aca="false">I635&amp;"-Q"&amp;ROUNDUP(MONTH(B635)/3,0)</f>
        <v>2017-Q3</v>
      </c>
    </row>
    <row r="636" customFormat="false" ht="15" hidden="false" customHeight="false" outlineLevel="0" collapsed="false">
      <c r="A636" s="0" t="s">
        <v>365</v>
      </c>
      <c r="B636" s="6" t="n">
        <v>43002</v>
      </c>
      <c r="C636" s="7" t="s">
        <v>29</v>
      </c>
      <c r="D636" s="7" t="s">
        <v>37</v>
      </c>
      <c r="E636" s="7" t="s">
        <v>35</v>
      </c>
      <c r="F636" s="0" t="n">
        <v>235.944</v>
      </c>
      <c r="G636" s="0" t="n">
        <v>85.5297</v>
      </c>
      <c r="H636" s="0" t="n">
        <v>0.2</v>
      </c>
      <c r="I636" s="7" t="n">
        <f aca="false">YEAR(B636)</f>
        <v>2017</v>
      </c>
      <c r="J636" s="0" t="str">
        <f aca="false">I636&amp;"-Q"&amp;ROUNDUP(MONTH(B636)/3,0)</f>
        <v>2017-Q3</v>
      </c>
    </row>
    <row r="637" customFormat="false" ht="15" hidden="false" customHeight="false" outlineLevel="0" collapsed="false">
      <c r="A637" s="0" t="s">
        <v>366</v>
      </c>
      <c r="B637" s="6" t="n">
        <v>42281</v>
      </c>
      <c r="C637" s="7" t="s">
        <v>29</v>
      </c>
      <c r="D637" s="7" t="s">
        <v>230</v>
      </c>
      <c r="E637" s="7" t="s">
        <v>31</v>
      </c>
      <c r="F637" s="0" t="n">
        <v>392.94</v>
      </c>
      <c r="G637" s="0" t="n">
        <v>43.2234</v>
      </c>
      <c r="H637" s="0" t="n">
        <v>0</v>
      </c>
      <c r="I637" s="7" t="n">
        <f aca="false">YEAR(B637)</f>
        <v>2015</v>
      </c>
      <c r="J637" s="0" t="str">
        <f aca="false">I637&amp;"-Q"&amp;ROUNDUP(MONTH(B637)/3,0)</f>
        <v>2015-Q4</v>
      </c>
    </row>
    <row r="638" customFormat="false" ht="15" hidden="false" customHeight="false" outlineLevel="0" collapsed="false">
      <c r="A638" s="0" t="s">
        <v>367</v>
      </c>
      <c r="B638" s="6" t="n">
        <v>42597</v>
      </c>
      <c r="C638" s="7" t="s">
        <v>33</v>
      </c>
      <c r="D638" s="7" t="s">
        <v>109</v>
      </c>
      <c r="E638" s="7" t="s">
        <v>35</v>
      </c>
      <c r="F638" s="0" t="n">
        <v>18.882</v>
      </c>
      <c r="G638" s="0" t="n">
        <v>-13.8468</v>
      </c>
      <c r="H638" s="0" t="n">
        <v>0.7</v>
      </c>
      <c r="I638" s="7" t="n">
        <f aca="false">YEAR(B638)</f>
        <v>2016</v>
      </c>
      <c r="J638" s="0" t="str">
        <f aca="false">I638&amp;"-Q"&amp;ROUNDUP(MONTH(B638)/3,0)</f>
        <v>2016-Q3</v>
      </c>
    </row>
    <row r="639" customFormat="false" ht="15" hidden="false" customHeight="false" outlineLevel="0" collapsed="false">
      <c r="A639" s="0" t="s">
        <v>367</v>
      </c>
      <c r="B639" s="6" t="n">
        <v>42597</v>
      </c>
      <c r="C639" s="7" t="s">
        <v>33</v>
      </c>
      <c r="D639" s="7" t="s">
        <v>109</v>
      </c>
      <c r="E639" s="7" t="s">
        <v>35</v>
      </c>
      <c r="F639" s="0" t="n">
        <v>122.328</v>
      </c>
      <c r="G639" s="0" t="n">
        <v>12.2328</v>
      </c>
      <c r="H639" s="0" t="n">
        <v>0.2</v>
      </c>
      <c r="I639" s="7" t="n">
        <f aca="false">YEAR(B639)</f>
        <v>2016</v>
      </c>
      <c r="J639" s="0" t="str">
        <f aca="false">I639&amp;"-Q"&amp;ROUNDUP(MONTH(B639)/3,0)</f>
        <v>2016-Q3</v>
      </c>
    </row>
    <row r="640" customFormat="false" ht="15" hidden="false" customHeight="false" outlineLevel="0" collapsed="false">
      <c r="A640" s="0" t="s">
        <v>368</v>
      </c>
      <c r="B640" s="6" t="n">
        <v>42510</v>
      </c>
      <c r="C640" s="7" t="s">
        <v>33</v>
      </c>
      <c r="D640" s="7" t="s">
        <v>34</v>
      </c>
      <c r="E640" s="7" t="s">
        <v>31</v>
      </c>
      <c r="F640" s="0" t="n">
        <v>1049.2</v>
      </c>
      <c r="G640" s="0" t="n">
        <v>272.792</v>
      </c>
      <c r="H640" s="0" t="n">
        <v>0</v>
      </c>
      <c r="I640" s="7" t="n">
        <f aca="false">YEAR(B640)</f>
        <v>2016</v>
      </c>
      <c r="J640" s="0" t="str">
        <f aca="false">I640&amp;"-Q"&amp;ROUNDUP(MONTH(B640)/3,0)</f>
        <v>2016-Q2</v>
      </c>
    </row>
    <row r="641" customFormat="false" ht="15" hidden="false" customHeight="false" outlineLevel="0" collapsed="false">
      <c r="A641" s="0" t="s">
        <v>368</v>
      </c>
      <c r="B641" s="6" t="n">
        <v>42510</v>
      </c>
      <c r="C641" s="7" t="s">
        <v>33</v>
      </c>
      <c r="D641" s="7" t="s">
        <v>34</v>
      </c>
      <c r="E641" s="7" t="s">
        <v>35</v>
      </c>
      <c r="F641" s="0" t="n">
        <v>15.424</v>
      </c>
      <c r="G641" s="0" t="n">
        <v>5.0128</v>
      </c>
      <c r="H641" s="0" t="n">
        <v>0.2</v>
      </c>
      <c r="I641" s="7" t="n">
        <f aca="false">YEAR(B641)</f>
        <v>2016</v>
      </c>
      <c r="J641" s="0" t="str">
        <f aca="false">I641&amp;"-Q"&amp;ROUNDUP(MONTH(B641)/3,0)</f>
        <v>2016-Q2</v>
      </c>
    </row>
    <row r="642" customFormat="false" ht="15" hidden="false" customHeight="false" outlineLevel="0" collapsed="false">
      <c r="A642" s="0" t="s">
        <v>369</v>
      </c>
      <c r="B642" s="6" t="n">
        <v>42722</v>
      </c>
      <c r="C642" s="7" t="s">
        <v>45</v>
      </c>
      <c r="D642" s="7" t="s">
        <v>68</v>
      </c>
      <c r="E642" s="7" t="s">
        <v>31</v>
      </c>
      <c r="F642" s="0" t="n">
        <v>18.84</v>
      </c>
      <c r="G642" s="0" t="n">
        <v>6.0288</v>
      </c>
      <c r="H642" s="0" t="n">
        <v>0</v>
      </c>
      <c r="I642" s="7" t="n">
        <f aca="false">YEAR(B642)</f>
        <v>2016</v>
      </c>
      <c r="J642" s="0" t="str">
        <f aca="false">I642&amp;"-Q"&amp;ROUNDUP(MONTH(B642)/3,0)</f>
        <v>2016-Q4</v>
      </c>
    </row>
    <row r="643" customFormat="false" ht="15" hidden="false" customHeight="false" outlineLevel="0" collapsed="false">
      <c r="A643" s="0" t="s">
        <v>370</v>
      </c>
      <c r="B643" s="6" t="n">
        <v>42946</v>
      </c>
      <c r="C643" s="7" t="s">
        <v>33</v>
      </c>
      <c r="D643" s="7" t="s">
        <v>34</v>
      </c>
      <c r="E643" s="7" t="s">
        <v>35</v>
      </c>
      <c r="F643" s="0" t="n">
        <v>330.4</v>
      </c>
      <c r="G643" s="0" t="n">
        <v>85.904</v>
      </c>
      <c r="H643" s="0" t="n">
        <v>0</v>
      </c>
      <c r="I643" s="7" t="n">
        <f aca="false">YEAR(B643)</f>
        <v>2017</v>
      </c>
      <c r="J643" s="0" t="str">
        <f aca="false">I643&amp;"-Q"&amp;ROUNDUP(MONTH(B643)/3,0)</f>
        <v>2017-Q3</v>
      </c>
    </row>
    <row r="644" customFormat="false" ht="15" hidden="false" customHeight="false" outlineLevel="0" collapsed="false">
      <c r="A644" s="0" t="s">
        <v>370</v>
      </c>
      <c r="B644" s="6" t="n">
        <v>42946</v>
      </c>
      <c r="C644" s="7" t="s">
        <v>33</v>
      </c>
      <c r="D644" s="7" t="s">
        <v>34</v>
      </c>
      <c r="E644" s="7" t="s">
        <v>35</v>
      </c>
      <c r="F644" s="0" t="n">
        <v>26.25</v>
      </c>
      <c r="G644" s="0" t="n">
        <v>12.6</v>
      </c>
      <c r="H644" s="0" t="n">
        <v>0</v>
      </c>
      <c r="I644" s="7" t="n">
        <f aca="false">YEAR(B644)</f>
        <v>2017</v>
      </c>
      <c r="J644" s="0" t="str">
        <f aca="false">I644&amp;"-Q"&amp;ROUNDUP(MONTH(B644)/3,0)</f>
        <v>2017-Q3</v>
      </c>
    </row>
    <row r="645" customFormat="false" ht="15" hidden="false" customHeight="false" outlineLevel="0" collapsed="false">
      <c r="A645" s="0" t="s">
        <v>371</v>
      </c>
      <c r="B645" s="6" t="n">
        <v>42896</v>
      </c>
      <c r="C645" s="7" t="s">
        <v>45</v>
      </c>
      <c r="D645" s="7" t="s">
        <v>70</v>
      </c>
      <c r="E645" s="7" t="s">
        <v>39</v>
      </c>
      <c r="F645" s="0" t="n">
        <v>132.52</v>
      </c>
      <c r="G645" s="0" t="n">
        <v>54.3332</v>
      </c>
      <c r="H645" s="0" t="n">
        <v>0</v>
      </c>
      <c r="I645" s="7" t="n">
        <f aca="false">YEAR(B645)</f>
        <v>2017</v>
      </c>
      <c r="J645" s="0" t="str">
        <f aca="false">I645&amp;"-Q"&amp;ROUNDUP(MONTH(B645)/3,0)</f>
        <v>2017-Q2</v>
      </c>
    </row>
    <row r="646" customFormat="false" ht="15" hidden="false" customHeight="false" outlineLevel="0" collapsed="false">
      <c r="A646" s="0" t="s">
        <v>372</v>
      </c>
      <c r="B646" s="6" t="n">
        <v>42937</v>
      </c>
      <c r="C646" s="7" t="s">
        <v>55</v>
      </c>
      <c r="D646" s="7" t="s">
        <v>161</v>
      </c>
      <c r="E646" s="7" t="s">
        <v>35</v>
      </c>
      <c r="F646" s="0" t="n">
        <v>6.48</v>
      </c>
      <c r="G646" s="0" t="n">
        <v>3.1752</v>
      </c>
      <c r="H646" s="0" t="n">
        <v>0</v>
      </c>
      <c r="I646" s="7" t="n">
        <f aca="false">YEAR(B646)</f>
        <v>2017</v>
      </c>
      <c r="J646" s="0" t="str">
        <f aca="false">I646&amp;"-Q"&amp;ROUNDUP(MONTH(B646)/3,0)</f>
        <v>2017-Q3</v>
      </c>
    </row>
    <row r="647" customFormat="false" ht="15" hidden="false" customHeight="false" outlineLevel="0" collapsed="false">
      <c r="A647" s="0" t="s">
        <v>373</v>
      </c>
      <c r="B647" s="6" t="n">
        <v>43099</v>
      </c>
      <c r="C647" s="7" t="s">
        <v>45</v>
      </c>
      <c r="D647" s="7" t="s">
        <v>74</v>
      </c>
      <c r="E647" s="7" t="s">
        <v>35</v>
      </c>
      <c r="F647" s="0" t="n">
        <v>209.3</v>
      </c>
      <c r="G647" s="0" t="n">
        <v>56.511</v>
      </c>
      <c r="H647" s="0" t="n">
        <v>0</v>
      </c>
      <c r="I647" s="7" t="n">
        <f aca="false">YEAR(B647)</f>
        <v>2017</v>
      </c>
      <c r="J647" s="0" t="str">
        <f aca="false">I647&amp;"-Q"&amp;ROUNDUP(MONTH(B647)/3,0)</f>
        <v>2017-Q4</v>
      </c>
    </row>
    <row r="648" customFormat="false" ht="15" hidden="false" customHeight="false" outlineLevel="0" collapsed="false">
      <c r="A648" s="0" t="s">
        <v>374</v>
      </c>
      <c r="B648" s="6" t="n">
        <v>42461</v>
      </c>
      <c r="C648" s="7" t="s">
        <v>33</v>
      </c>
      <c r="D648" s="7" t="s">
        <v>81</v>
      </c>
      <c r="E648" s="7" t="s">
        <v>35</v>
      </c>
      <c r="F648" s="0" t="n">
        <v>31.56</v>
      </c>
      <c r="G648" s="0" t="n">
        <v>9.8625</v>
      </c>
      <c r="H648" s="0" t="n">
        <v>0.2</v>
      </c>
      <c r="I648" s="7" t="n">
        <f aca="false">YEAR(B648)</f>
        <v>2016</v>
      </c>
      <c r="J648" s="0" t="str">
        <f aca="false">I648&amp;"-Q"&amp;ROUNDUP(MONTH(B648)/3,0)</f>
        <v>2016-Q2</v>
      </c>
    </row>
    <row r="649" customFormat="false" ht="15" hidden="false" customHeight="false" outlineLevel="0" collapsed="false">
      <c r="A649" s="0" t="s">
        <v>374</v>
      </c>
      <c r="B649" s="6" t="n">
        <v>42461</v>
      </c>
      <c r="C649" s="7" t="s">
        <v>33</v>
      </c>
      <c r="D649" s="7" t="s">
        <v>81</v>
      </c>
      <c r="E649" s="7" t="s">
        <v>35</v>
      </c>
      <c r="F649" s="0" t="n">
        <v>30.144</v>
      </c>
      <c r="G649" s="0" t="n">
        <v>3.0144</v>
      </c>
      <c r="H649" s="0" t="n">
        <v>0.2</v>
      </c>
      <c r="I649" s="7" t="n">
        <f aca="false">YEAR(B649)</f>
        <v>2016</v>
      </c>
      <c r="J649" s="0" t="str">
        <f aca="false">I649&amp;"-Q"&amp;ROUNDUP(MONTH(B649)/3,0)</f>
        <v>2016-Q2</v>
      </c>
    </row>
    <row r="650" customFormat="false" ht="15" hidden="false" customHeight="false" outlineLevel="0" collapsed="false">
      <c r="A650" s="0" t="s">
        <v>375</v>
      </c>
      <c r="B650" s="6" t="n">
        <v>42715</v>
      </c>
      <c r="C650" s="7" t="s">
        <v>33</v>
      </c>
      <c r="D650" s="7" t="s">
        <v>43</v>
      </c>
      <c r="E650" s="7" t="s">
        <v>31</v>
      </c>
      <c r="F650" s="0" t="n">
        <v>14.8</v>
      </c>
      <c r="G650" s="0" t="n">
        <v>6.068</v>
      </c>
      <c r="H650" s="0" t="n">
        <v>0</v>
      </c>
      <c r="I650" s="7" t="n">
        <f aca="false">YEAR(B650)</f>
        <v>2016</v>
      </c>
      <c r="J650" s="0" t="str">
        <f aca="false">I650&amp;"-Q"&amp;ROUNDUP(MONTH(B650)/3,0)</f>
        <v>2016-Q4</v>
      </c>
    </row>
    <row r="651" customFormat="false" ht="15" hidden="false" customHeight="false" outlineLevel="0" collapsed="false">
      <c r="A651" s="0" t="s">
        <v>375</v>
      </c>
      <c r="B651" s="6" t="n">
        <v>42715</v>
      </c>
      <c r="C651" s="7" t="s">
        <v>33</v>
      </c>
      <c r="D651" s="7" t="s">
        <v>43</v>
      </c>
      <c r="E651" s="7" t="s">
        <v>39</v>
      </c>
      <c r="F651" s="0" t="n">
        <v>302.376</v>
      </c>
      <c r="G651" s="0" t="n">
        <v>22.6782</v>
      </c>
      <c r="H651" s="0" t="n">
        <v>0.2</v>
      </c>
      <c r="I651" s="7" t="n">
        <f aca="false">YEAR(B651)</f>
        <v>2016</v>
      </c>
      <c r="J651" s="0" t="str">
        <f aca="false">I651&amp;"-Q"&amp;ROUNDUP(MONTH(B651)/3,0)</f>
        <v>2016-Q4</v>
      </c>
    </row>
    <row r="652" customFormat="false" ht="15" hidden="false" customHeight="false" outlineLevel="0" collapsed="false">
      <c r="A652" s="0" t="s">
        <v>375</v>
      </c>
      <c r="B652" s="6" t="n">
        <v>42715</v>
      </c>
      <c r="C652" s="7" t="s">
        <v>33</v>
      </c>
      <c r="D652" s="7" t="s">
        <v>43</v>
      </c>
      <c r="E652" s="7" t="s">
        <v>39</v>
      </c>
      <c r="F652" s="0" t="n">
        <v>316</v>
      </c>
      <c r="G652" s="0" t="n">
        <v>31.6</v>
      </c>
      <c r="H652" s="0" t="n">
        <v>0</v>
      </c>
      <c r="I652" s="7" t="n">
        <f aca="false">YEAR(B652)</f>
        <v>2016</v>
      </c>
      <c r="J652" s="0" t="str">
        <f aca="false">I652&amp;"-Q"&amp;ROUNDUP(MONTH(B652)/3,0)</f>
        <v>2016-Q4</v>
      </c>
    </row>
    <row r="653" customFormat="false" ht="15" hidden="false" customHeight="false" outlineLevel="0" collapsed="false">
      <c r="A653" s="0" t="s">
        <v>376</v>
      </c>
      <c r="B653" s="6" t="n">
        <v>42666</v>
      </c>
      <c r="C653" s="7" t="s">
        <v>55</v>
      </c>
      <c r="D653" s="7" t="s">
        <v>76</v>
      </c>
      <c r="E653" s="7" t="s">
        <v>35</v>
      </c>
      <c r="F653" s="0" t="n">
        <v>379.4</v>
      </c>
      <c r="G653" s="0" t="n">
        <v>178.318</v>
      </c>
      <c r="H653" s="0" t="n">
        <v>0</v>
      </c>
      <c r="I653" s="7" t="n">
        <f aca="false">YEAR(B653)</f>
        <v>2016</v>
      </c>
      <c r="J653" s="0" t="str">
        <f aca="false">I653&amp;"-Q"&amp;ROUNDUP(MONTH(B653)/3,0)</f>
        <v>2016-Q4</v>
      </c>
    </row>
    <row r="654" customFormat="false" ht="15" hidden="false" customHeight="false" outlineLevel="0" collapsed="false">
      <c r="A654" s="0" t="s">
        <v>377</v>
      </c>
      <c r="B654" s="6" t="n">
        <v>42905</v>
      </c>
      <c r="C654" s="7" t="s">
        <v>55</v>
      </c>
      <c r="D654" s="7" t="s">
        <v>76</v>
      </c>
      <c r="E654" s="7" t="s">
        <v>35</v>
      </c>
      <c r="F654" s="0" t="n">
        <v>97.82</v>
      </c>
      <c r="G654" s="0" t="n">
        <v>45.9754</v>
      </c>
      <c r="H654" s="0" t="n">
        <v>0</v>
      </c>
      <c r="I654" s="7" t="n">
        <f aca="false">YEAR(B654)</f>
        <v>2017</v>
      </c>
      <c r="J654" s="0" t="str">
        <f aca="false">I654&amp;"-Q"&amp;ROUNDUP(MONTH(B654)/3,0)</f>
        <v>2017-Q2</v>
      </c>
    </row>
    <row r="655" customFormat="false" ht="15" hidden="false" customHeight="false" outlineLevel="0" collapsed="false">
      <c r="A655" s="0" t="s">
        <v>377</v>
      </c>
      <c r="B655" s="6" t="n">
        <v>42905</v>
      </c>
      <c r="C655" s="7" t="s">
        <v>55</v>
      </c>
      <c r="D655" s="7" t="s">
        <v>76</v>
      </c>
      <c r="E655" s="7" t="s">
        <v>39</v>
      </c>
      <c r="F655" s="0" t="n">
        <v>103.12</v>
      </c>
      <c r="G655" s="0" t="n">
        <v>10.312</v>
      </c>
      <c r="H655" s="0" t="n">
        <v>0</v>
      </c>
      <c r="I655" s="7" t="n">
        <f aca="false">YEAR(B655)</f>
        <v>2017</v>
      </c>
      <c r="J655" s="0" t="str">
        <f aca="false">I655&amp;"-Q"&amp;ROUNDUP(MONTH(B655)/3,0)</f>
        <v>2017-Q2</v>
      </c>
    </row>
    <row r="656" customFormat="false" ht="15" hidden="false" customHeight="false" outlineLevel="0" collapsed="false">
      <c r="A656" s="0" t="s">
        <v>378</v>
      </c>
      <c r="B656" s="6" t="n">
        <v>42604</v>
      </c>
      <c r="C656" s="7" t="s">
        <v>55</v>
      </c>
      <c r="D656" s="7" t="s">
        <v>116</v>
      </c>
      <c r="E656" s="7" t="s">
        <v>35</v>
      </c>
      <c r="F656" s="0" t="n">
        <v>113.552</v>
      </c>
      <c r="G656" s="0" t="n">
        <v>8.5164</v>
      </c>
      <c r="H656" s="0" t="n">
        <v>0.2</v>
      </c>
      <c r="I656" s="7" t="n">
        <f aca="false">YEAR(B656)</f>
        <v>2016</v>
      </c>
      <c r="J656" s="0" t="str">
        <f aca="false">I656&amp;"-Q"&amp;ROUNDUP(MONTH(B656)/3,0)</f>
        <v>2016-Q3</v>
      </c>
    </row>
    <row r="657" customFormat="false" ht="15" hidden="false" customHeight="false" outlineLevel="0" collapsed="false">
      <c r="A657" s="0" t="s">
        <v>378</v>
      </c>
      <c r="B657" s="6" t="n">
        <v>42604</v>
      </c>
      <c r="C657" s="7" t="s">
        <v>55</v>
      </c>
      <c r="D657" s="7" t="s">
        <v>116</v>
      </c>
      <c r="E657" s="7" t="s">
        <v>35</v>
      </c>
      <c r="F657" s="0" t="n">
        <v>3.318</v>
      </c>
      <c r="G657" s="0" t="n">
        <v>-2.6544</v>
      </c>
      <c r="H657" s="0" t="n">
        <v>0.7</v>
      </c>
      <c r="I657" s="7" t="n">
        <f aca="false">YEAR(B657)</f>
        <v>2016</v>
      </c>
      <c r="J657" s="0" t="str">
        <f aca="false">I657&amp;"-Q"&amp;ROUNDUP(MONTH(B657)/3,0)</f>
        <v>2016-Q3</v>
      </c>
    </row>
    <row r="658" customFormat="false" ht="15" hidden="false" customHeight="false" outlineLevel="0" collapsed="false">
      <c r="A658" s="0" t="s">
        <v>378</v>
      </c>
      <c r="B658" s="6" t="n">
        <v>42604</v>
      </c>
      <c r="C658" s="7" t="s">
        <v>55</v>
      </c>
      <c r="D658" s="7" t="s">
        <v>116</v>
      </c>
      <c r="E658" s="7" t="s">
        <v>35</v>
      </c>
      <c r="F658" s="0" t="n">
        <v>134.288</v>
      </c>
      <c r="G658" s="0" t="n">
        <v>45.3222</v>
      </c>
      <c r="H658" s="0" t="n">
        <v>0.2</v>
      </c>
      <c r="I658" s="7" t="n">
        <f aca="false">YEAR(B658)</f>
        <v>2016</v>
      </c>
      <c r="J658" s="0" t="str">
        <f aca="false">I658&amp;"-Q"&amp;ROUNDUP(MONTH(B658)/3,0)</f>
        <v>2016-Q3</v>
      </c>
    </row>
    <row r="659" customFormat="false" ht="15" hidden="false" customHeight="false" outlineLevel="0" collapsed="false">
      <c r="A659" s="0" t="s">
        <v>379</v>
      </c>
      <c r="B659" s="6" t="n">
        <v>42632</v>
      </c>
      <c r="C659" s="7" t="s">
        <v>45</v>
      </c>
      <c r="D659" s="7" t="s">
        <v>64</v>
      </c>
      <c r="E659" s="7" t="s">
        <v>31</v>
      </c>
      <c r="F659" s="0" t="n">
        <v>701.372</v>
      </c>
      <c r="G659" s="0" t="n">
        <v>-50.098</v>
      </c>
      <c r="H659" s="0" t="n">
        <v>0.3</v>
      </c>
      <c r="I659" s="7" t="n">
        <f aca="false">YEAR(B659)</f>
        <v>2016</v>
      </c>
      <c r="J659" s="0" t="str">
        <f aca="false">I659&amp;"-Q"&amp;ROUNDUP(MONTH(B659)/3,0)</f>
        <v>2016-Q3</v>
      </c>
    </row>
    <row r="660" customFormat="false" ht="15" hidden="false" customHeight="false" outlineLevel="0" collapsed="false">
      <c r="A660" s="0" t="s">
        <v>379</v>
      </c>
      <c r="B660" s="6" t="n">
        <v>42632</v>
      </c>
      <c r="C660" s="7" t="s">
        <v>45</v>
      </c>
      <c r="D660" s="7" t="s">
        <v>64</v>
      </c>
      <c r="E660" s="7" t="s">
        <v>35</v>
      </c>
      <c r="F660" s="0" t="n">
        <v>2.308</v>
      </c>
      <c r="G660" s="0" t="n">
        <v>-3.462</v>
      </c>
      <c r="H660" s="0" t="n">
        <v>0.8</v>
      </c>
      <c r="I660" s="7" t="n">
        <f aca="false">YEAR(B660)</f>
        <v>2016</v>
      </c>
      <c r="J660" s="0" t="str">
        <f aca="false">I660&amp;"-Q"&amp;ROUNDUP(MONTH(B660)/3,0)</f>
        <v>2016-Q3</v>
      </c>
    </row>
    <row r="661" customFormat="false" ht="15" hidden="false" customHeight="false" outlineLevel="0" collapsed="false">
      <c r="A661" s="0" t="s">
        <v>380</v>
      </c>
      <c r="B661" s="6" t="n">
        <v>42240</v>
      </c>
      <c r="C661" s="7" t="s">
        <v>45</v>
      </c>
      <c r="D661" s="7" t="s">
        <v>46</v>
      </c>
      <c r="E661" s="7" t="s">
        <v>35</v>
      </c>
      <c r="F661" s="0" t="n">
        <v>999.432</v>
      </c>
      <c r="G661" s="0" t="n">
        <v>124.929</v>
      </c>
      <c r="H661" s="0" t="n">
        <v>0.2</v>
      </c>
      <c r="I661" s="7" t="n">
        <f aca="false">YEAR(B661)</f>
        <v>2015</v>
      </c>
      <c r="J661" s="0" t="str">
        <f aca="false">I661&amp;"-Q"&amp;ROUNDUP(MONTH(B661)/3,0)</f>
        <v>2015-Q3</v>
      </c>
    </row>
    <row r="662" customFormat="false" ht="15" hidden="false" customHeight="false" outlineLevel="0" collapsed="false">
      <c r="A662" s="0" t="s">
        <v>380</v>
      </c>
      <c r="B662" s="6" t="n">
        <v>42240</v>
      </c>
      <c r="C662" s="7" t="s">
        <v>45</v>
      </c>
      <c r="D662" s="7" t="s">
        <v>46</v>
      </c>
      <c r="E662" s="7" t="s">
        <v>35</v>
      </c>
      <c r="F662" s="0" t="n">
        <v>724.08</v>
      </c>
      <c r="G662" s="0" t="n">
        <v>-135.765</v>
      </c>
      <c r="H662" s="0" t="n">
        <v>0.2</v>
      </c>
      <c r="I662" s="7" t="n">
        <f aca="false">YEAR(B662)</f>
        <v>2015</v>
      </c>
      <c r="J662" s="0" t="str">
        <f aca="false">I662&amp;"-Q"&amp;ROUNDUP(MONTH(B662)/3,0)</f>
        <v>2015-Q3</v>
      </c>
    </row>
    <row r="663" customFormat="false" ht="15" hidden="false" customHeight="false" outlineLevel="0" collapsed="false">
      <c r="A663" s="0" t="s">
        <v>380</v>
      </c>
      <c r="B663" s="6" t="n">
        <v>42240</v>
      </c>
      <c r="C663" s="7" t="s">
        <v>45</v>
      </c>
      <c r="D663" s="7" t="s">
        <v>46</v>
      </c>
      <c r="E663" s="7" t="s">
        <v>31</v>
      </c>
      <c r="F663" s="0" t="n">
        <v>918.785</v>
      </c>
      <c r="G663" s="0" t="n">
        <v>-118.1295</v>
      </c>
      <c r="H663" s="0" t="n">
        <v>0.3</v>
      </c>
      <c r="I663" s="7" t="n">
        <f aca="false">YEAR(B663)</f>
        <v>2015</v>
      </c>
      <c r="J663" s="0" t="str">
        <f aca="false">I663&amp;"-Q"&amp;ROUNDUP(MONTH(B663)/3,0)</f>
        <v>2015-Q3</v>
      </c>
    </row>
    <row r="664" customFormat="false" ht="15" hidden="false" customHeight="false" outlineLevel="0" collapsed="false">
      <c r="A664" s="0" t="s">
        <v>380</v>
      </c>
      <c r="B664" s="6" t="n">
        <v>42240</v>
      </c>
      <c r="C664" s="7" t="s">
        <v>45</v>
      </c>
      <c r="D664" s="7" t="s">
        <v>46</v>
      </c>
      <c r="E664" s="7" t="s">
        <v>35</v>
      </c>
      <c r="F664" s="0" t="n">
        <v>2.724</v>
      </c>
      <c r="G664" s="0" t="n">
        <v>-4.2222</v>
      </c>
      <c r="H664" s="0" t="n">
        <v>0.8</v>
      </c>
      <c r="I664" s="7" t="n">
        <f aca="false">YEAR(B664)</f>
        <v>2015</v>
      </c>
      <c r="J664" s="0" t="str">
        <f aca="false">I664&amp;"-Q"&amp;ROUNDUP(MONTH(B664)/3,0)</f>
        <v>2015-Q3</v>
      </c>
    </row>
    <row r="665" customFormat="false" ht="15" hidden="false" customHeight="false" outlineLevel="0" collapsed="false">
      <c r="A665" s="0" t="s">
        <v>381</v>
      </c>
      <c r="B665" s="6" t="n">
        <v>42455</v>
      </c>
      <c r="C665" s="7" t="s">
        <v>55</v>
      </c>
      <c r="D665" s="7" t="s">
        <v>76</v>
      </c>
      <c r="E665" s="7" t="s">
        <v>35</v>
      </c>
      <c r="F665" s="0" t="n">
        <v>459.95</v>
      </c>
      <c r="G665" s="0" t="n">
        <v>18.398</v>
      </c>
      <c r="H665" s="0" t="n">
        <v>0</v>
      </c>
      <c r="I665" s="7" t="n">
        <f aca="false">YEAR(B665)</f>
        <v>2016</v>
      </c>
      <c r="J665" s="0" t="str">
        <f aca="false">I665&amp;"-Q"&amp;ROUNDUP(MONTH(B665)/3,0)</f>
        <v>2016-Q1</v>
      </c>
    </row>
    <row r="666" customFormat="false" ht="15" hidden="false" customHeight="false" outlineLevel="0" collapsed="false">
      <c r="A666" s="0" t="s">
        <v>382</v>
      </c>
      <c r="B666" s="6" t="n">
        <v>42678</v>
      </c>
      <c r="C666" s="7" t="s">
        <v>29</v>
      </c>
      <c r="D666" s="7" t="s">
        <v>30</v>
      </c>
      <c r="E666" s="7" t="s">
        <v>35</v>
      </c>
      <c r="F666" s="0" t="n">
        <v>10.74</v>
      </c>
      <c r="G666" s="0" t="n">
        <v>5.2626</v>
      </c>
      <c r="H666" s="0" t="n">
        <v>0</v>
      </c>
      <c r="I666" s="7" t="n">
        <f aca="false">YEAR(B666)</f>
        <v>2016</v>
      </c>
      <c r="J666" s="0" t="str">
        <f aca="false">I666&amp;"-Q"&amp;ROUNDUP(MONTH(B666)/3,0)</f>
        <v>2016-Q4</v>
      </c>
    </row>
    <row r="667" customFormat="false" ht="15" hidden="false" customHeight="false" outlineLevel="0" collapsed="false">
      <c r="A667" s="0" t="s">
        <v>383</v>
      </c>
      <c r="B667" s="6" t="n">
        <v>42894</v>
      </c>
      <c r="C667" s="7" t="s">
        <v>45</v>
      </c>
      <c r="D667" s="7" t="s">
        <v>46</v>
      </c>
      <c r="E667" s="7" t="s">
        <v>35</v>
      </c>
      <c r="F667" s="0" t="n">
        <v>23.76</v>
      </c>
      <c r="G667" s="0" t="n">
        <v>2.079</v>
      </c>
      <c r="H667" s="0" t="n">
        <v>0.2</v>
      </c>
      <c r="I667" s="7" t="n">
        <f aca="false">YEAR(B667)</f>
        <v>2017</v>
      </c>
      <c r="J667" s="0" t="str">
        <f aca="false">I667&amp;"-Q"&amp;ROUNDUP(MONTH(B667)/3,0)</f>
        <v>2017-Q2</v>
      </c>
    </row>
    <row r="668" customFormat="false" ht="15" hidden="false" customHeight="false" outlineLevel="0" collapsed="false">
      <c r="A668" s="0" t="s">
        <v>383</v>
      </c>
      <c r="B668" s="6" t="n">
        <v>42894</v>
      </c>
      <c r="C668" s="7" t="s">
        <v>45</v>
      </c>
      <c r="D668" s="7" t="s">
        <v>46</v>
      </c>
      <c r="E668" s="7" t="s">
        <v>35</v>
      </c>
      <c r="F668" s="0" t="n">
        <v>85.056</v>
      </c>
      <c r="G668" s="0" t="n">
        <v>28.7064</v>
      </c>
      <c r="H668" s="0" t="n">
        <v>0.2</v>
      </c>
      <c r="I668" s="7" t="n">
        <f aca="false">YEAR(B668)</f>
        <v>2017</v>
      </c>
      <c r="J668" s="0" t="str">
        <f aca="false">I668&amp;"-Q"&amp;ROUNDUP(MONTH(B668)/3,0)</f>
        <v>2017-Q2</v>
      </c>
    </row>
    <row r="669" customFormat="false" ht="15" hidden="false" customHeight="false" outlineLevel="0" collapsed="false">
      <c r="A669" s="0" t="s">
        <v>383</v>
      </c>
      <c r="B669" s="6" t="n">
        <v>42894</v>
      </c>
      <c r="C669" s="7" t="s">
        <v>45</v>
      </c>
      <c r="D669" s="7" t="s">
        <v>46</v>
      </c>
      <c r="E669" s="7" t="s">
        <v>39</v>
      </c>
      <c r="F669" s="0" t="n">
        <v>381.576</v>
      </c>
      <c r="G669" s="0" t="n">
        <v>28.6182</v>
      </c>
      <c r="H669" s="0" t="n">
        <v>0.2</v>
      </c>
      <c r="I669" s="7" t="n">
        <f aca="false">YEAR(B669)</f>
        <v>2017</v>
      </c>
      <c r="J669" s="0" t="str">
        <f aca="false">I669&amp;"-Q"&amp;ROUNDUP(MONTH(B669)/3,0)</f>
        <v>2017-Q2</v>
      </c>
    </row>
    <row r="670" customFormat="false" ht="15" hidden="false" customHeight="false" outlineLevel="0" collapsed="false">
      <c r="A670" s="0" t="s">
        <v>384</v>
      </c>
      <c r="B670" s="6" t="n">
        <v>41997</v>
      </c>
      <c r="C670" s="7" t="s">
        <v>55</v>
      </c>
      <c r="D670" s="7" t="s">
        <v>116</v>
      </c>
      <c r="E670" s="7" t="s">
        <v>31</v>
      </c>
      <c r="F670" s="0" t="n">
        <v>30.36</v>
      </c>
      <c r="G670" s="0" t="n">
        <v>8.7285</v>
      </c>
      <c r="H670" s="0" t="n">
        <v>0.2</v>
      </c>
      <c r="I670" s="7" t="n">
        <f aca="false">YEAR(B670)</f>
        <v>2014</v>
      </c>
      <c r="J670" s="0" t="str">
        <f aca="false">I670&amp;"-Q"&amp;ROUNDUP(MONTH(B670)/3,0)</f>
        <v>2014-Q4</v>
      </c>
    </row>
    <row r="671" customFormat="false" ht="15" hidden="false" customHeight="false" outlineLevel="0" collapsed="false">
      <c r="A671" s="0" t="s">
        <v>385</v>
      </c>
      <c r="B671" s="6" t="n">
        <v>42895</v>
      </c>
      <c r="C671" s="7" t="s">
        <v>45</v>
      </c>
      <c r="D671" s="7" t="s">
        <v>64</v>
      </c>
      <c r="E671" s="7" t="s">
        <v>31</v>
      </c>
      <c r="F671" s="0" t="n">
        <v>23.976</v>
      </c>
      <c r="G671" s="0" t="n">
        <v>-14.3856</v>
      </c>
      <c r="H671" s="0" t="n">
        <v>0.6</v>
      </c>
      <c r="I671" s="7" t="n">
        <f aca="false">YEAR(B671)</f>
        <v>2017</v>
      </c>
      <c r="J671" s="0" t="str">
        <f aca="false">I671&amp;"-Q"&amp;ROUNDUP(MONTH(B671)/3,0)</f>
        <v>2017-Q2</v>
      </c>
    </row>
    <row r="672" customFormat="false" ht="15" hidden="false" customHeight="false" outlineLevel="0" collapsed="false">
      <c r="A672" s="0" t="s">
        <v>385</v>
      </c>
      <c r="B672" s="6" t="n">
        <v>42895</v>
      </c>
      <c r="C672" s="7" t="s">
        <v>45</v>
      </c>
      <c r="D672" s="7" t="s">
        <v>64</v>
      </c>
      <c r="E672" s="7" t="s">
        <v>31</v>
      </c>
      <c r="F672" s="0" t="n">
        <v>108.925</v>
      </c>
      <c r="G672" s="0" t="n">
        <v>-71.8905</v>
      </c>
      <c r="H672" s="0" t="n">
        <v>0.5</v>
      </c>
      <c r="I672" s="7" t="n">
        <f aca="false">YEAR(B672)</f>
        <v>2017</v>
      </c>
      <c r="J672" s="0" t="str">
        <f aca="false">I672&amp;"-Q"&amp;ROUNDUP(MONTH(B672)/3,0)</f>
        <v>2017-Q2</v>
      </c>
    </row>
    <row r="673" customFormat="false" ht="15" hidden="false" customHeight="false" outlineLevel="0" collapsed="false">
      <c r="A673" s="0" t="s">
        <v>385</v>
      </c>
      <c r="B673" s="6" t="n">
        <v>42895</v>
      </c>
      <c r="C673" s="7" t="s">
        <v>45</v>
      </c>
      <c r="D673" s="7" t="s">
        <v>64</v>
      </c>
      <c r="E673" s="7" t="s">
        <v>35</v>
      </c>
      <c r="F673" s="0" t="n">
        <v>36.352</v>
      </c>
      <c r="G673" s="0" t="n">
        <v>11.36</v>
      </c>
      <c r="H673" s="0" t="n">
        <v>0.2</v>
      </c>
      <c r="I673" s="7" t="n">
        <f aca="false">YEAR(B673)</f>
        <v>2017</v>
      </c>
      <c r="J673" s="0" t="str">
        <f aca="false">I673&amp;"-Q"&amp;ROUNDUP(MONTH(B673)/3,0)</f>
        <v>2017-Q2</v>
      </c>
    </row>
    <row r="674" customFormat="false" ht="15" hidden="false" customHeight="false" outlineLevel="0" collapsed="false">
      <c r="A674" s="0" t="s">
        <v>386</v>
      </c>
      <c r="B674" s="6" t="n">
        <v>42901</v>
      </c>
      <c r="C674" s="7" t="s">
        <v>45</v>
      </c>
      <c r="D674" s="7" t="s">
        <v>64</v>
      </c>
      <c r="E674" s="7" t="s">
        <v>35</v>
      </c>
      <c r="F674" s="0" t="n">
        <v>19.56</v>
      </c>
      <c r="G674" s="0" t="n">
        <v>1.7115</v>
      </c>
      <c r="H674" s="0" t="n">
        <v>0.2</v>
      </c>
      <c r="I674" s="7" t="n">
        <f aca="false">YEAR(B674)</f>
        <v>2017</v>
      </c>
      <c r="J674" s="0" t="str">
        <f aca="false">I674&amp;"-Q"&amp;ROUNDUP(MONTH(B674)/3,0)</f>
        <v>2017-Q2</v>
      </c>
    </row>
    <row r="675" customFormat="false" ht="15" hidden="false" customHeight="false" outlineLevel="0" collapsed="false">
      <c r="A675" s="0" t="s">
        <v>387</v>
      </c>
      <c r="B675" s="6" t="n">
        <v>43074</v>
      </c>
      <c r="C675" s="7" t="s">
        <v>45</v>
      </c>
      <c r="D675" s="7" t="s">
        <v>74</v>
      </c>
      <c r="E675" s="7" t="s">
        <v>35</v>
      </c>
      <c r="F675" s="0" t="n">
        <v>61.44</v>
      </c>
      <c r="G675" s="0" t="n">
        <v>16.5888</v>
      </c>
      <c r="H675" s="0" t="n">
        <v>0</v>
      </c>
      <c r="I675" s="7" t="n">
        <f aca="false">YEAR(B675)</f>
        <v>2017</v>
      </c>
      <c r="J675" s="0" t="str">
        <f aca="false">I675&amp;"-Q"&amp;ROUNDUP(MONTH(B675)/3,0)</f>
        <v>2017-Q4</v>
      </c>
    </row>
    <row r="676" customFormat="false" ht="15" hidden="false" customHeight="false" outlineLevel="0" collapsed="false">
      <c r="A676" s="0" t="s">
        <v>387</v>
      </c>
      <c r="B676" s="6" t="n">
        <v>43074</v>
      </c>
      <c r="C676" s="7" t="s">
        <v>45</v>
      </c>
      <c r="D676" s="7" t="s">
        <v>74</v>
      </c>
      <c r="E676" s="7" t="s">
        <v>35</v>
      </c>
      <c r="F676" s="0" t="n">
        <v>38.9</v>
      </c>
      <c r="G676" s="0" t="n">
        <v>17.505</v>
      </c>
      <c r="H676" s="0" t="n">
        <v>0</v>
      </c>
      <c r="I676" s="7" t="n">
        <f aca="false">YEAR(B676)</f>
        <v>2017</v>
      </c>
      <c r="J676" s="0" t="str">
        <f aca="false">I676&amp;"-Q"&amp;ROUNDUP(MONTH(B676)/3,0)</f>
        <v>2017-Q4</v>
      </c>
    </row>
    <row r="677" customFormat="false" ht="15" hidden="false" customHeight="false" outlineLevel="0" collapsed="false">
      <c r="A677" s="0" t="s">
        <v>387</v>
      </c>
      <c r="B677" s="6" t="n">
        <v>43074</v>
      </c>
      <c r="C677" s="7" t="s">
        <v>45</v>
      </c>
      <c r="D677" s="7" t="s">
        <v>74</v>
      </c>
      <c r="E677" s="7" t="s">
        <v>39</v>
      </c>
      <c r="F677" s="0" t="n">
        <v>99.39</v>
      </c>
      <c r="G677" s="0" t="n">
        <v>40.7499</v>
      </c>
      <c r="H677" s="0" t="n">
        <v>0</v>
      </c>
      <c r="I677" s="7" t="n">
        <f aca="false">YEAR(B677)</f>
        <v>2017</v>
      </c>
      <c r="J677" s="0" t="str">
        <f aca="false">I677&amp;"-Q"&amp;ROUNDUP(MONTH(B677)/3,0)</f>
        <v>2017-Q4</v>
      </c>
    </row>
    <row r="678" customFormat="false" ht="15" hidden="false" customHeight="false" outlineLevel="0" collapsed="false">
      <c r="A678" s="0" t="s">
        <v>388</v>
      </c>
      <c r="B678" s="6" t="n">
        <v>42812</v>
      </c>
      <c r="C678" s="7" t="s">
        <v>45</v>
      </c>
      <c r="D678" s="7" t="s">
        <v>46</v>
      </c>
      <c r="E678" s="7" t="s">
        <v>35</v>
      </c>
      <c r="F678" s="0" t="n">
        <v>2.688</v>
      </c>
      <c r="G678" s="0" t="n">
        <v>-7.392</v>
      </c>
      <c r="H678" s="0" t="n">
        <v>0.8</v>
      </c>
      <c r="I678" s="7" t="n">
        <f aca="false">YEAR(B678)</f>
        <v>2017</v>
      </c>
      <c r="J678" s="0" t="str">
        <f aca="false">I678&amp;"-Q"&amp;ROUNDUP(MONTH(B678)/3,0)</f>
        <v>2017-Q1</v>
      </c>
    </row>
    <row r="679" customFormat="false" ht="15" hidden="false" customHeight="false" outlineLevel="0" collapsed="false">
      <c r="A679" s="0" t="s">
        <v>388</v>
      </c>
      <c r="B679" s="6" t="n">
        <v>42812</v>
      </c>
      <c r="C679" s="7" t="s">
        <v>45</v>
      </c>
      <c r="D679" s="7" t="s">
        <v>46</v>
      </c>
      <c r="E679" s="7" t="s">
        <v>39</v>
      </c>
      <c r="F679" s="0" t="n">
        <v>27.816</v>
      </c>
      <c r="G679" s="0" t="n">
        <v>4.5201</v>
      </c>
      <c r="H679" s="0" t="n">
        <v>0.2</v>
      </c>
      <c r="I679" s="7" t="n">
        <f aca="false">YEAR(B679)</f>
        <v>2017</v>
      </c>
      <c r="J679" s="0" t="str">
        <f aca="false">I679&amp;"-Q"&amp;ROUNDUP(MONTH(B679)/3,0)</f>
        <v>2017-Q1</v>
      </c>
    </row>
    <row r="680" customFormat="false" ht="15" hidden="false" customHeight="false" outlineLevel="0" collapsed="false">
      <c r="A680" s="0" t="s">
        <v>388</v>
      </c>
      <c r="B680" s="6" t="n">
        <v>42812</v>
      </c>
      <c r="C680" s="7" t="s">
        <v>45</v>
      </c>
      <c r="D680" s="7" t="s">
        <v>46</v>
      </c>
      <c r="E680" s="7" t="s">
        <v>31</v>
      </c>
      <c r="F680" s="0" t="n">
        <v>82.524</v>
      </c>
      <c r="G680" s="0" t="n">
        <v>-41.262</v>
      </c>
      <c r="H680" s="0" t="n">
        <v>0.6</v>
      </c>
      <c r="I680" s="7" t="n">
        <f aca="false">YEAR(B680)</f>
        <v>2017</v>
      </c>
      <c r="J680" s="0" t="str">
        <f aca="false">I680&amp;"-Q"&amp;ROUNDUP(MONTH(B680)/3,0)</f>
        <v>2017-Q1</v>
      </c>
    </row>
    <row r="681" customFormat="false" ht="15" hidden="false" customHeight="false" outlineLevel="0" collapsed="false">
      <c r="A681" s="0" t="s">
        <v>388</v>
      </c>
      <c r="B681" s="6" t="n">
        <v>42812</v>
      </c>
      <c r="C681" s="7" t="s">
        <v>45</v>
      </c>
      <c r="D681" s="7" t="s">
        <v>46</v>
      </c>
      <c r="E681" s="7" t="s">
        <v>35</v>
      </c>
      <c r="F681" s="0" t="n">
        <v>182.994</v>
      </c>
      <c r="G681" s="0" t="n">
        <v>-320.2395</v>
      </c>
      <c r="H681" s="0" t="n">
        <v>0.8</v>
      </c>
      <c r="I681" s="7" t="n">
        <f aca="false">YEAR(B681)</f>
        <v>2017</v>
      </c>
      <c r="J681" s="0" t="str">
        <f aca="false">I681&amp;"-Q"&amp;ROUNDUP(MONTH(B681)/3,0)</f>
        <v>2017-Q1</v>
      </c>
    </row>
    <row r="682" customFormat="false" ht="15" hidden="false" customHeight="false" outlineLevel="0" collapsed="false">
      <c r="A682" s="0" t="s">
        <v>389</v>
      </c>
      <c r="B682" s="6" t="n">
        <v>42693</v>
      </c>
      <c r="C682" s="7" t="s">
        <v>55</v>
      </c>
      <c r="D682" s="7" t="s">
        <v>76</v>
      </c>
      <c r="E682" s="7" t="s">
        <v>35</v>
      </c>
      <c r="F682" s="0" t="n">
        <v>14.352</v>
      </c>
      <c r="G682" s="0" t="n">
        <v>4.6644</v>
      </c>
      <c r="H682" s="0" t="n">
        <v>0.2</v>
      </c>
      <c r="I682" s="7" t="n">
        <f aca="false">YEAR(B682)</f>
        <v>2016</v>
      </c>
      <c r="J682" s="0" t="str">
        <f aca="false">I682&amp;"-Q"&amp;ROUNDUP(MONTH(B682)/3,0)</f>
        <v>2016-Q4</v>
      </c>
    </row>
    <row r="683" customFormat="false" ht="15" hidden="false" customHeight="false" outlineLevel="0" collapsed="false">
      <c r="A683" s="0" t="s">
        <v>389</v>
      </c>
      <c r="B683" s="6" t="n">
        <v>42693</v>
      </c>
      <c r="C683" s="7" t="s">
        <v>55</v>
      </c>
      <c r="D683" s="7" t="s">
        <v>76</v>
      </c>
      <c r="E683" s="7" t="s">
        <v>35</v>
      </c>
      <c r="F683" s="0" t="n">
        <v>64.96</v>
      </c>
      <c r="G683" s="0" t="n">
        <v>2.5984</v>
      </c>
      <c r="H683" s="0" t="n">
        <v>0</v>
      </c>
      <c r="I683" s="7" t="n">
        <f aca="false">YEAR(B683)</f>
        <v>2016</v>
      </c>
      <c r="J683" s="0" t="str">
        <f aca="false">I683&amp;"-Q"&amp;ROUNDUP(MONTH(B683)/3,0)</f>
        <v>2016-Q4</v>
      </c>
    </row>
    <row r="684" customFormat="false" ht="15" hidden="false" customHeight="false" outlineLevel="0" collapsed="false">
      <c r="A684" s="0" t="s">
        <v>389</v>
      </c>
      <c r="B684" s="6" t="n">
        <v>42693</v>
      </c>
      <c r="C684" s="7" t="s">
        <v>55</v>
      </c>
      <c r="D684" s="7" t="s">
        <v>76</v>
      </c>
      <c r="E684" s="7" t="s">
        <v>35</v>
      </c>
      <c r="F684" s="0" t="n">
        <v>68.6</v>
      </c>
      <c r="G684" s="0" t="n">
        <v>18.522</v>
      </c>
      <c r="H684" s="0" t="n">
        <v>0</v>
      </c>
      <c r="I684" s="7" t="n">
        <f aca="false">YEAR(B684)</f>
        <v>2016</v>
      </c>
      <c r="J684" s="0" t="str">
        <f aca="false">I684&amp;"-Q"&amp;ROUNDUP(MONTH(B684)/3,0)</f>
        <v>2016-Q4</v>
      </c>
    </row>
    <row r="685" customFormat="false" ht="15" hidden="false" customHeight="false" outlineLevel="0" collapsed="false">
      <c r="A685" s="0" t="s">
        <v>390</v>
      </c>
      <c r="B685" s="6" t="n">
        <v>43043</v>
      </c>
      <c r="C685" s="7" t="s">
        <v>29</v>
      </c>
      <c r="D685" s="7" t="s">
        <v>41</v>
      </c>
      <c r="E685" s="7" t="s">
        <v>39</v>
      </c>
      <c r="F685" s="0" t="n">
        <v>7999.98</v>
      </c>
      <c r="G685" s="0" t="n">
        <v>-3839.9904</v>
      </c>
      <c r="H685" s="0" t="n">
        <v>0.5</v>
      </c>
      <c r="I685" s="7" t="n">
        <f aca="false">YEAR(B685)</f>
        <v>2017</v>
      </c>
      <c r="J685" s="0" t="str">
        <f aca="false">I685&amp;"-Q"&amp;ROUNDUP(MONTH(B685)/3,0)</f>
        <v>2017-Q4</v>
      </c>
    </row>
    <row r="686" customFormat="false" ht="15" hidden="false" customHeight="false" outlineLevel="0" collapsed="false">
      <c r="A686" s="0" t="s">
        <v>390</v>
      </c>
      <c r="B686" s="6" t="n">
        <v>43043</v>
      </c>
      <c r="C686" s="7" t="s">
        <v>29</v>
      </c>
      <c r="D686" s="7" t="s">
        <v>41</v>
      </c>
      <c r="E686" s="7" t="s">
        <v>35</v>
      </c>
      <c r="F686" s="0" t="n">
        <v>167.44</v>
      </c>
      <c r="G686" s="0" t="n">
        <v>14.651</v>
      </c>
      <c r="H686" s="0" t="n">
        <v>0.2</v>
      </c>
      <c r="I686" s="7" t="n">
        <f aca="false">YEAR(B686)</f>
        <v>2017</v>
      </c>
      <c r="J686" s="0" t="str">
        <f aca="false">I686&amp;"-Q"&amp;ROUNDUP(MONTH(B686)/3,0)</f>
        <v>2017-Q4</v>
      </c>
    </row>
    <row r="687" customFormat="false" ht="15" hidden="false" customHeight="false" outlineLevel="0" collapsed="false">
      <c r="A687" s="0" t="s">
        <v>391</v>
      </c>
      <c r="B687" s="6" t="n">
        <v>41825</v>
      </c>
      <c r="C687" s="7" t="s">
        <v>29</v>
      </c>
      <c r="D687" s="7" t="s">
        <v>265</v>
      </c>
      <c r="E687" s="7" t="s">
        <v>39</v>
      </c>
      <c r="F687" s="0" t="n">
        <v>479.97</v>
      </c>
      <c r="G687" s="0" t="n">
        <v>163.1898</v>
      </c>
      <c r="H687" s="0" t="n">
        <v>0</v>
      </c>
      <c r="I687" s="7" t="n">
        <f aca="false">YEAR(B687)</f>
        <v>2014</v>
      </c>
      <c r="J687" s="0" t="str">
        <f aca="false">I687&amp;"-Q"&amp;ROUNDUP(MONTH(B687)/3,0)</f>
        <v>2014-Q3</v>
      </c>
    </row>
    <row r="688" customFormat="false" ht="15" hidden="false" customHeight="false" outlineLevel="0" collapsed="false">
      <c r="A688" s="0" t="s">
        <v>391</v>
      </c>
      <c r="B688" s="6" t="n">
        <v>41825</v>
      </c>
      <c r="C688" s="7" t="s">
        <v>29</v>
      </c>
      <c r="D688" s="7" t="s">
        <v>265</v>
      </c>
      <c r="E688" s="7" t="s">
        <v>35</v>
      </c>
      <c r="F688" s="0" t="n">
        <v>14.62</v>
      </c>
      <c r="G688" s="0" t="n">
        <v>6.8714</v>
      </c>
      <c r="H688" s="0" t="n">
        <v>0</v>
      </c>
      <c r="I688" s="7" t="n">
        <f aca="false">YEAR(B688)</f>
        <v>2014</v>
      </c>
      <c r="J688" s="0" t="str">
        <f aca="false">I688&amp;"-Q"&amp;ROUNDUP(MONTH(B688)/3,0)</f>
        <v>2014-Q3</v>
      </c>
    </row>
    <row r="689" customFormat="false" ht="15" hidden="false" customHeight="false" outlineLevel="0" collapsed="false">
      <c r="A689" s="0" t="s">
        <v>391</v>
      </c>
      <c r="B689" s="6" t="n">
        <v>41825</v>
      </c>
      <c r="C689" s="7" t="s">
        <v>29</v>
      </c>
      <c r="D689" s="7" t="s">
        <v>265</v>
      </c>
      <c r="E689" s="7" t="s">
        <v>35</v>
      </c>
      <c r="F689" s="0" t="n">
        <v>19.44</v>
      </c>
      <c r="G689" s="0" t="n">
        <v>9.3312</v>
      </c>
      <c r="H689" s="0" t="n">
        <v>0</v>
      </c>
      <c r="I689" s="7" t="n">
        <f aca="false">YEAR(B689)</f>
        <v>2014</v>
      </c>
      <c r="J689" s="0" t="str">
        <f aca="false">I689&amp;"-Q"&amp;ROUNDUP(MONTH(B689)/3,0)</f>
        <v>2014-Q3</v>
      </c>
    </row>
    <row r="690" customFormat="false" ht="15" hidden="false" customHeight="false" outlineLevel="0" collapsed="false">
      <c r="A690" s="0" t="s">
        <v>392</v>
      </c>
      <c r="B690" s="6" t="n">
        <v>43094</v>
      </c>
      <c r="C690" s="7" t="s">
        <v>55</v>
      </c>
      <c r="D690" s="7" t="s">
        <v>76</v>
      </c>
      <c r="E690" s="7" t="s">
        <v>31</v>
      </c>
      <c r="F690" s="0" t="n">
        <v>191.984</v>
      </c>
      <c r="G690" s="0" t="n">
        <v>4.7996</v>
      </c>
      <c r="H690" s="0" t="n">
        <v>0.2</v>
      </c>
      <c r="I690" s="7" t="n">
        <f aca="false">YEAR(B690)</f>
        <v>2017</v>
      </c>
      <c r="J690" s="0" t="str">
        <f aca="false">I690&amp;"-Q"&amp;ROUNDUP(MONTH(B690)/3,0)</f>
        <v>2017-Q4</v>
      </c>
    </row>
    <row r="691" customFormat="false" ht="15" hidden="false" customHeight="false" outlineLevel="0" collapsed="false">
      <c r="A691" s="0" t="s">
        <v>393</v>
      </c>
      <c r="B691" s="6" t="n">
        <v>41811</v>
      </c>
      <c r="C691" s="7" t="s">
        <v>29</v>
      </c>
      <c r="D691" s="7" t="s">
        <v>83</v>
      </c>
      <c r="E691" s="7" t="s">
        <v>31</v>
      </c>
      <c r="F691" s="0" t="n">
        <v>104.01</v>
      </c>
      <c r="G691" s="0" t="n">
        <v>14.5614</v>
      </c>
      <c r="H691" s="0" t="n">
        <v>0</v>
      </c>
      <c r="I691" s="7" t="n">
        <f aca="false">YEAR(B691)</f>
        <v>2014</v>
      </c>
      <c r="J691" s="0" t="str">
        <f aca="false">I691&amp;"-Q"&amp;ROUNDUP(MONTH(B691)/3,0)</f>
        <v>2014-Q2</v>
      </c>
    </row>
    <row r="692" customFormat="false" ht="15" hidden="false" customHeight="false" outlineLevel="0" collapsed="false">
      <c r="A692" s="0" t="s">
        <v>393</v>
      </c>
      <c r="B692" s="6" t="n">
        <v>41811</v>
      </c>
      <c r="C692" s="7" t="s">
        <v>29</v>
      </c>
      <c r="D692" s="7" t="s">
        <v>83</v>
      </c>
      <c r="E692" s="7" t="s">
        <v>39</v>
      </c>
      <c r="F692" s="0" t="n">
        <v>284.82</v>
      </c>
      <c r="G692" s="0" t="n">
        <v>74.0532</v>
      </c>
      <c r="H692" s="0" t="n">
        <v>0</v>
      </c>
      <c r="I692" s="7" t="n">
        <f aca="false">YEAR(B692)</f>
        <v>2014</v>
      </c>
      <c r="J692" s="0" t="str">
        <f aca="false">I692&amp;"-Q"&amp;ROUNDUP(MONTH(B692)/3,0)</f>
        <v>2014-Q2</v>
      </c>
    </row>
    <row r="693" customFormat="false" ht="15" hidden="false" customHeight="false" outlineLevel="0" collapsed="false">
      <c r="A693" s="0" t="s">
        <v>393</v>
      </c>
      <c r="B693" s="6" t="n">
        <v>41811</v>
      </c>
      <c r="C693" s="7" t="s">
        <v>29</v>
      </c>
      <c r="D693" s="7" t="s">
        <v>83</v>
      </c>
      <c r="E693" s="7" t="s">
        <v>35</v>
      </c>
      <c r="F693" s="0" t="n">
        <v>36.84</v>
      </c>
      <c r="G693" s="0" t="n">
        <v>10.3152</v>
      </c>
      <c r="H693" s="0" t="n">
        <v>0</v>
      </c>
      <c r="I693" s="7" t="n">
        <f aca="false">YEAR(B693)</f>
        <v>2014</v>
      </c>
      <c r="J693" s="0" t="str">
        <f aca="false">I693&amp;"-Q"&amp;ROUNDUP(MONTH(B693)/3,0)</f>
        <v>2014-Q2</v>
      </c>
    </row>
    <row r="694" customFormat="false" ht="15" hidden="false" customHeight="false" outlineLevel="0" collapsed="false">
      <c r="A694" s="0" t="s">
        <v>394</v>
      </c>
      <c r="B694" s="6" t="n">
        <v>42091</v>
      </c>
      <c r="C694" s="7" t="s">
        <v>33</v>
      </c>
      <c r="D694" s="7" t="s">
        <v>34</v>
      </c>
      <c r="E694" s="7" t="s">
        <v>39</v>
      </c>
      <c r="F694" s="0" t="n">
        <v>166.24</v>
      </c>
      <c r="G694" s="0" t="n">
        <v>24.936</v>
      </c>
      <c r="H694" s="0" t="n">
        <v>0</v>
      </c>
      <c r="I694" s="7" t="n">
        <f aca="false">YEAR(B694)</f>
        <v>2015</v>
      </c>
      <c r="J694" s="0" t="str">
        <f aca="false">I694&amp;"-Q"&amp;ROUNDUP(MONTH(B694)/3,0)</f>
        <v>2015-Q1</v>
      </c>
    </row>
    <row r="695" customFormat="false" ht="15" hidden="false" customHeight="false" outlineLevel="0" collapsed="false">
      <c r="A695" s="0" t="s">
        <v>394</v>
      </c>
      <c r="B695" s="6" t="n">
        <v>42091</v>
      </c>
      <c r="C695" s="7" t="s">
        <v>33</v>
      </c>
      <c r="D695" s="7" t="s">
        <v>34</v>
      </c>
      <c r="E695" s="7" t="s">
        <v>35</v>
      </c>
      <c r="F695" s="0" t="n">
        <v>33.4</v>
      </c>
      <c r="G695" s="0" t="n">
        <v>16.032</v>
      </c>
      <c r="H695" s="0" t="n">
        <v>0</v>
      </c>
      <c r="I695" s="7" t="n">
        <f aca="false">YEAR(B695)</f>
        <v>2015</v>
      </c>
      <c r="J695" s="0" t="str">
        <f aca="false">I695&amp;"-Q"&amp;ROUNDUP(MONTH(B695)/3,0)</f>
        <v>2015-Q1</v>
      </c>
    </row>
    <row r="696" customFormat="false" ht="15" hidden="false" customHeight="false" outlineLevel="0" collapsed="false">
      <c r="A696" s="0" t="s">
        <v>395</v>
      </c>
      <c r="B696" s="6" t="n">
        <v>42138</v>
      </c>
      <c r="C696" s="7" t="s">
        <v>55</v>
      </c>
      <c r="D696" s="7" t="s">
        <v>56</v>
      </c>
      <c r="E696" s="7" t="s">
        <v>35</v>
      </c>
      <c r="F696" s="0" t="n">
        <v>198.272</v>
      </c>
      <c r="G696" s="0" t="n">
        <v>17.3488</v>
      </c>
      <c r="H696" s="0" t="n">
        <v>0.2</v>
      </c>
      <c r="I696" s="7" t="n">
        <f aca="false">YEAR(B696)</f>
        <v>2015</v>
      </c>
      <c r="J696" s="0" t="str">
        <f aca="false">I696&amp;"-Q"&amp;ROUNDUP(MONTH(B696)/3,0)</f>
        <v>2015-Q2</v>
      </c>
    </row>
    <row r="697" customFormat="false" ht="15" hidden="false" customHeight="false" outlineLevel="0" collapsed="false">
      <c r="A697" s="0" t="s">
        <v>395</v>
      </c>
      <c r="B697" s="6" t="n">
        <v>42138</v>
      </c>
      <c r="C697" s="7" t="s">
        <v>55</v>
      </c>
      <c r="D697" s="7" t="s">
        <v>56</v>
      </c>
      <c r="E697" s="7" t="s">
        <v>35</v>
      </c>
      <c r="F697" s="0" t="n">
        <v>47.36</v>
      </c>
      <c r="G697" s="0" t="n">
        <v>17.76</v>
      </c>
      <c r="H697" s="0" t="n">
        <v>0.2</v>
      </c>
      <c r="I697" s="7" t="n">
        <f aca="false">YEAR(B697)</f>
        <v>2015</v>
      </c>
      <c r="J697" s="0" t="str">
        <f aca="false">I697&amp;"-Q"&amp;ROUNDUP(MONTH(B697)/3,0)</f>
        <v>2015-Q2</v>
      </c>
    </row>
    <row r="698" customFormat="false" ht="15" hidden="false" customHeight="false" outlineLevel="0" collapsed="false">
      <c r="A698" s="0" t="s">
        <v>395</v>
      </c>
      <c r="B698" s="6" t="n">
        <v>42138</v>
      </c>
      <c r="C698" s="7" t="s">
        <v>55</v>
      </c>
      <c r="D698" s="7" t="s">
        <v>56</v>
      </c>
      <c r="E698" s="7" t="s">
        <v>35</v>
      </c>
      <c r="F698" s="0" t="n">
        <v>200.984</v>
      </c>
      <c r="G698" s="0" t="n">
        <v>62.8075</v>
      </c>
      <c r="H698" s="0" t="n">
        <v>0.2</v>
      </c>
      <c r="I698" s="7" t="n">
        <f aca="false">YEAR(B698)</f>
        <v>2015</v>
      </c>
      <c r="J698" s="0" t="str">
        <f aca="false">I698&amp;"-Q"&amp;ROUNDUP(MONTH(B698)/3,0)</f>
        <v>2015-Q2</v>
      </c>
    </row>
    <row r="699" customFormat="false" ht="15" hidden="false" customHeight="false" outlineLevel="0" collapsed="false">
      <c r="A699" s="0" t="s">
        <v>395</v>
      </c>
      <c r="B699" s="6" t="n">
        <v>42138</v>
      </c>
      <c r="C699" s="7" t="s">
        <v>55</v>
      </c>
      <c r="D699" s="7" t="s">
        <v>56</v>
      </c>
      <c r="E699" s="7" t="s">
        <v>35</v>
      </c>
      <c r="F699" s="0" t="n">
        <v>97.696</v>
      </c>
      <c r="G699" s="0" t="n">
        <v>31.7512</v>
      </c>
      <c r="H699" s="0" t="n">
        <v>0.2</v>
      </c>
      <c r="I699" s="7" t="n">
        <f aca="false">YEAR(B699)</f>
        <v>2015</v>
      </c>
      <c r="J699" s="0" t="str">
        <f aca="false">I699&amp;"-Q"&amp;ROUNDUP(MONTH(B699)/3,0)</f>
        <v>2015-Q2</v>
      </c>
    </row>
    <row r="700" customFormat="false" ht="15" hidden="false" customHeight="false" outlineLevel="0" collapsed="false">
      <c r="A700" s="0" t="s">
        <v>395</v>
      </c>
      <c r="B700" s="6" t="n">
        <v>42138</v>
      </c>
      <c r="C700" s="7" t="s">
        <v>55</v>
      </c>
      <c r="D700" s="7" t="s">
        <v>56</v>
      </c>
      <c r="E700" s="7" t="s">
        <v>35</v>
      </c>
      <c r="F700" s="0" t="n">
        <v>2.696</v>
      </c>
      <c r="G700" s="0" t="n">
        <v>0.8088</v>
      </c>
      <c r="H700" s="0" t="n">
        <v>0.2</v>
      </c>
      <c r="I700" s="7" t="n">
        <f aca="false">YEAR(B700)</f>
        <v>2015</v>
      </c>
      <c r="J700" s="0" t="str">
        <f aca="false">I700&amp;"-Q"&amp;ROUNDUP(MONTH(B700)/3,0)</f>
        <v>2015-Q2</v>
      </c>
    </row>
    <row r="701" customFormat="false" ht="15" hidden="false" customHeight="false" outlineLevel="0" collapsed="false">
      <c r="A701" s="0" t="s">
        <v>395</v>
      </c>
      <c r="B701" s="6" t="n">
        <v>42138</v>
      </c>
      <c r="C701" s="7" t="s">
        <v>55</v>
      </c>
      <c r="D701" s="7" t="s">
        <v>56</v>
      </c>
      <c r="E701" s="7" t="s">
        <v>35</v>
      </c>
      <c r="F701" s="0" t="n">
        <v>18.588</v>
      </c>
      <c r="G701" s="0" t="n">
        <v>-13.6312</v>
      </c>
      <c r="H701" s="0" t="n">
        <v>0.7</v>
      </c>
      <c r="I701" s="7" t="n">
        <f aca="false">YEAR(B701)</f>
        <v>2015</v>
      </c>
      <c r="J701" s="0" t="str">
        <f aca="false">I701&amp;"-Q"&amp;ROUNDUP(MONTH(B701)/3,0)</f>
        <v>2015-Q2</v>
      </c>
    </row>
    <row r="702" customFormat="false" ht="15" hidden="false" customHeight="false" outlineLevel="0" collapsed="false">
      <c r="A702" s="0" t="s">
        <v>395</v>
      </c>
      <c r="B702" s="6" t="n">
        <v>42138</v>
      </c>
      <c r="C702" s="7" t="s">
        <v>55</v>
      </c>
      <c r="D702" s="7" t="s">
        <v>56</v>
      </c>
      <c r="E702" s="7" t="s">
        <v>35</v>
      </c>
      <c r="F702" s="0" t="n">
        <v>4.896</v>
      </c>
      <c r="G702" s="0" t="n">
        <v>-3.4272</v>
      </c>
      <c r="H702" s="0" t="n">
        <v>0.7</v>
      </c>
      <c r="I702" s="7" t="n">
        <f aca="false">YEAR(B702)</f>
        <v>2015</v>
      </c>
      <c r="J702" s="0" t="str">
        <f aca="false">I702&amp;"-Q"&amp;ROUNDUP(MONTH(B702)/3,0)</f>
        <v>2015-Q2</v>
      </c>
    </row>
    <row r="703" customFormat="false" ht="15" hidden="false" customHeight="false" outlineLevel="0" collapsed="false">
      <c r="A703" s="0" t="s">
        <v>396</v>
      </c>
      <c r="B703" s="6" t="n">
        <v>42980</v>
      </c>
      <c r="C703" s="7" t="s">
        <v>55</v>
      </c>
      <c r="D703" s="7" t="s">
        <v>116</v>
      </c>
      <c r="E703" s="7" t="s">
        <v>31</v>
      </c>
      <c r="F703" s="0" t="n">
        <v>15.072</v>
      </c>
      <c r="G703" s="0" t="n">
        <v>4.1448</v>
      </c>
      <c r="H703" s="0" t="n">
        <v>0.2</v>
      </c>
      <c r="I703" s="7" t="n">
        <f aca="false">YEAR(B703)</f>
        <v>2017</v>
      </c>
      <c r="J703" s="0" t="str">
        <f aca="false">I703&amp;"-Q"&amp;ROUNDUP(MONTH(B703)/3,0)</f>
        <v>2017-Q3</v>
      </c>
    </row>
    <row r="704" customFormat="false" ht="15" hidden="false" customHeight="false" outlineLevel="0" collapsed="false">
      <c r="A704" s="0" t="s">
        <v>397</v>
      </c>
      <c r="B704" s="6" t="n">
        <v>42678</v>
      </c>
      <c r="C704" s="7" t="s">
        <v>33</v>
      </c>
      <c r="D704" s="7" t="s">
        <v>43</v>
      </c>
      <c r="E704" s="7" t="s">
        <v>31</v>
      </c>
      <c r="F704" s="0" t="n">
        <v>209.88</v>
      </c>
      <c r="G704" s="0" t="n">
        <v>35.6796</v>
      </c>
      <c r="H704" s="0" t="n">
        <v>0</v>
      </c>
      <c r="I704" s="7" t="n">
        <f aca="false">YEAR(B704)</f>
        <v>2016</v>
      </c>
      <c r="J704" s="0" t="str">
        <f aca="false">I704&amp;"-Q"&amp;ROUNDUP(MONTH(B704)/3,0)</f>
        <v>2016-Q4</v>
      </c>
    </row>
    <row r="705" customFormat="false" ht="15" hidden="false" customHeight="false" outlineLevel="0" collapsed="false">
      <c r="A705" s="0" t="s">
        <v>398</v>
      </c>
      <c r="B705" s="6" t="n">
        <v>42103</v>
      </c>
      <c r="C705" s="7" t="s">
        <v>33</v>
      </c>
      <c r="D705" s="7" t="s">
        <v>34</v>
      </c>
      <c r="E705" s="7" t="s">
        <v>31</v>
      </c>
      <c r="F705" s="0" t="n">
        <v>369.912</v>
      </c>
      <c r="G705" s="0" t="n">
        <v>-13.8717</v>
      </c>
      <c r="H705" s="0" t="n">
        <v>0.2</v>
      </c>
      <c r="I705" s="7" t="n">
        <f aca="false">YEAR(B705)</f>
        <v>2015</v>
      </c>
      <c r="J705" s="0" t="str">
        <f aca="false">I705&amp;"-Q"&amp;ROUNDUP(MONTH(B705)/3,0)</f>
        <v>2015-Q2</v>
      </c>
    </row>
    <row r="706" customFormat="false" ht="15" hidden="false" customHeight="false" outlineLevel="0" collapsed="false">
      <c r="A706" s="0" t="s">
        <v>399</v>
      </c>
      <c r="B706" s="6" t="n">
        <v>41894</v>
      </c>
      <c r="C706" s="7" t="s">
        <v>29</v>
      </c>
      <c r="D706" s="7" t="s">
        <v>41</v>
      </c>
      <c r="E706" s="7" t="s">
        <v>35</v>
      </c>
      <c r="F706" s="0" t="n">
        <v>10.368</v>
      </c>
      <c r="G706" s="0" t="n">
        <v>3.6288</v>
      </c>
      <c r="H706" s="0" t="n">
        <v>0.2</v>
      </c>
      <c r="I706" s="7" t="n">
        <f aca="false">YEAR(B706)</f>
        <v>2014</v>
      </c>
      <c r="J706" s="0" t="str">
        <f aca="false">I706&amp;"-Q"&amp;ROUNDUP(MONTH(B706)/3,0)</f>
        <v>2014-Q3</v>
      </c>
    </row>
    <row r="707" customFormat="false" ht="15" hidden="false" customHeight="false" outlineLevel="0" collapsed="false">
      <c r="A707" s="0" t="s">
        <v>399</v>
      </c>
      <c r="B707" s="6" t="n">
        <v>41894</v>
      </c>
      <c r="C707" s="7" t="s">
        <v>29</v>
      </c>
      <c r="D707" s="7" t="s">
        <v>41</v>
      </c>
      <c r="E707" s="7" t="s">
        <v>35</v>
      </c>
      <c r="F707" s="0" t="n">
        <v>166.84</v>
      </c>
      <c r="G707" s="0" t="n">
        <v>18.7695</v>
      </c>
      <c r="H707" s="0" t="n">
        <v>0.2</v>
      </c>
      <c r="I707" s="7" t="n">
        <f aca="false">YEAR(B707)</f>
        <v>2014</v>
      </c>
      <c r="J707" s="0" t="str">
        <f aca="false">I707&amp;"-Q"&amp;ROUNDUP(MONTH(B707)/3,0)</f>
        <v>2014-Q3</v>
      </c>
    </row>
    <row r="708" customFormat="false" ht="15" hidden="false" customHeight="false" outlineLevel="0" collapsed="false">
      <c r="A708" s="0" t="s">
        <v>399</v>
      </c>
      <c r="B708" s="6" t="n">
        <v>41894</v>
      </c>
      <c r="C708" s="7" t="s">
        <v>29</v>
      </c>
      <c r="D708" s="7" t="s">
        <v>41</v>
      </c>
      <c r="E708" s="7" t="s">
        <v>39</v>
      </c>
      <c r="F708" s="0" t="n">
        <v>15.216</v>
      </c>
      <c r="G708" s="0" t="n">
        <v>2.2824</v>
      </c>
      <c r="H708" s="0" t="n">
        <v>0.2</v>
      </c>
      <c r="I708" s="7" t="n">
        <f aca="false">YEAR(B708)</f>
        <v>2014</v>
      </c>
      <c r="J708" s="0" t="str">
        <f aca="false">I708&amp;"-Q"&amp;ROUNDUP(MONTH(B708)/3,0)</f>
        <v>2014-Q3</v>
      </c>
    </row>
    <row r="709" customFormat="false" ht="15" hidden="false" customHeight="false" outlineLevel="0" collapsed="false">
      <c r="A709" s="0" t="s">
        <v>400</v>
      </c>
      <c r="B709" s="6" t="n">
        <v>41975</v>
      </c>
      <c r="C709" s="7" t="s">
        <v>55</v>
      </c>
      <c r="D709" s="7" t="s">
        <v>76</v>
      </c>
      <c r="E709" s="7" t="s">
        <v>39</v>
      </c>
      <c r="F709" s="0" t="n">
        <v>119.96</v>
      </c>
      <c r="G709" s="0" t="n">
        <v>52.7824</v>
      </c>
      <c r="H709" s="0" t="n">
        <v>0</v>
      </c>
      <c r="I709" s="7" t="n">
        <f aca="false">YEAR(B709)</f>
        <v>2014</v>
      </c>
      <c r="J709" s="0" t="str">
        <f aca="false">I709&amp;"-Q"&amp;ROUNDUP(MONTH(B709)/3,0)</f>
        <v>2014-Q4</v>
      </c>
    </row>
    <row r="710" customFormat="false" ht="15" hidden="false" customHeight="false" outlineLevel="0" collapsed="false">
      <c r="A710" s="0" t="s">
        <v>400</v>
      </c>
      <c r="B710" s="6" t="n">
        <v>41975</v>
      </c>
      <c r="C710" s="7" t="s">
        <v>55</v>
      </c>
      <c r="D710" s="7" t="s">
        <v>76</v>
      </c>
      <c r="E710" s="7" t="s">
        <v>31</v>
      </c>
      <c r="F710" s="0" t="n">
        <v>883.92</v>
      </c>
      <c r="G710" s="0" t="n">
        <v>-110.49</v>
      </c>
      <c r="H710" s="0" t="n">
        <v>0.2</v>
      </c>
      <c r="I710" s="7" t="n">
        <f aca="false">YEAR(B710)</f>
        <v>2014</v>
      </c>
      <c r="J710" s="0" t="str">
        <f aca="false">I710&amp;"-Q"&amp;ROUNDUP(MONTH(B710)/3,0)</f>
        <v>2014-Q4</v>
      </c>
    </row>
    <row r="711" customFormat="false" ht="15" hidden="false" customHeight="false" outlineLevel="0" collapsed="false">
      <c r="A711" s="0" t="s">
        <v>400</v>
      </c>
      <c r="B711" s="6" t="n">
        <v>41975</v>
      </c>
      <c r="C711" s="7" t="s">
        <v>55</v>
      </c>
      <c r="D711" s="7" t="s">
        <v>76</v>
      </c>
      <c r="E711" s="7" t="s">
        <v>35</v>
      </c>
      <c r="F711" s="0" t="n">
        <v>46.72</v>
      </c>
      <c r="G711" s="0" t="n">
        <v>15.768</v>
      </c>
      <c r="H711" s="0" t="n">
        <v>0.2</v>
      </c>
      <c r="I711" s="7" t="n">
        <f aca="false">YEAR(B711)</f>
        <v>2014</v>
      </c>
      <c r="J711" s="0" t="str">
        <f aca="false">I711&amp;"-Q"&amp;ROUNDUP(MONTH(B711)/3,0)</f>
        <v>2014-Q4</v>
      </c>
    </row>
    <row r="712" customFormat="false" ht="15" hidden="false" customHeight="false" outlineLevel="0" collapsed="false">
      <c r="A712" s="0" t="s">
        <v>401</v>
      </c>
      <c r="B712" s="6" t="n">
        <v>41734</v>
      </c>
      <c r="C712" s="7" t="s">
        <v>55</v>
      </c>
      <c r="D712" s="7" t="s">
        <v>76</v>
      </c>
      <c r="E712" s="7" t="s">
        <v>35</v>
      </c>
      <c r="F712" s="0" t="n">
        <v>55.48</v>
      </c>
      <c r="G712" s="0" t="n">
        <v>26.6304</v>
      </c>
      <c r="H712" s="0" t="n">
        <v>0</v>
      </c>
      <c r="I712" s="7" t="n">
        <f aca="false">YEAR(B712)</f>
        <v>2014</v>
      </c>
      <c r="J712" s="0" t="str">
        <f aca="false">I712&amp;"-Q"&amp;ROUNDUP(MONTH(B712)/3,0)</f>
        <v>2014-Q2</v>
      </c>
    </row>
    <row r="713" customFormat="false" ht="15" hidden="false" customHeight="false" outlineLevel="0" collapsed="false">
      <c r="A713" s="0" t="s">
        <v>402</v>
      </c>
      <c r="B713" s="6" t="n">
        <v>42981</v>
      </c>
      <c r="C713" s="7" t="s">
        <v>29</v>
      </c>
      <c r="D713" s="7" t="s">
        <v>37</v>
      </c>
      <c r="E713" s="7" t="s">
        <v>35</v>
      </c>
      <c r="F713" s="0" t="n">
        <v>24.448</v>
      </c>
      <c r="G713" s="0" t="n">
        <v>8.8624</v>
      </c>
      <c r="H713" s="0" t="n">
        <v>0.2</v>
      </c>
      <c r="I713" s="7" t="n">
        <f aca="false">YEAR(B713)</f>
        <v>2017</v>
      </c>
      <c r="J713" s="0" t="str">
        <f aca="false">I713&amp;"-Q"&amp;ROUNDUP(MONTH(B713)/3,0)</f>
        <v>2017-Q3</v>
      </c>
    </row>
    <row r="714" customFormat="false" ht="15" hidden="false" customHeight="false" outlineLevel="0" collapsed="false">
      <c r="A714" s="0" t="s">
        <v>403</v>
      </c>
      <c r="B714" s="6" t="n">
        <v>42874</v>
      </c>
      <c r="C714" s="7" t="s">
        <v>55</v>
      </c>
      <c r="D714" s="7" t="s">
        <v>76</v>
      </c>
      <c r="E714" s="7" t="s">
        <v>35</v>
      </c>
      <c r="F714" s="0" t="n">
        <v>281.34</v>
      </c>
      <c r="G714" s="0" t="n">
        <v>109.7226</v>
      </c>
      <c r="H714" s="0" t="n">
        <v>0</v>
      </c>
      <c r="I714" s="7" t="n">
        <f aca="false">YEAR(B714)</f>
        <v>2017</v>
      </c>
      <c r="J714" s="0" t="str">
        <f aca="false">I714&amp;"-Q"&amp;ROUNDUP(MONTH(B714)/3,0)</f>
        <v>2017-Q2</v>
      </c>
    </row>
    <row r="715" customFormat="false" ht="15" hidden="false" customHeight="false" outlineLevel="0" collapsed="false">
      <c r="A715" s="0" t="s">
        <v>403</v>
      </c>
      <c r="B715" s="6" t="n">
        <v>42874</v>
      </c>
      <c r="C715" s="7" t="s">
        <v>55</v>
      </c>
      <c r="D715" s="7" t="s">
        <v>76</v>
      </c>
      <c r="E715" s="7" t="s">
        <v>39</v>
      </c>
      <c r="F715" s="0" t="n">
        <v>307.98</v>
      </c>
      <c r="G715" s="0" t="n">
        <v>89.3142</v>
      </c>
      <c r="H715" s="0" t="n">
        <v>0</v>
      </c>
      <c r="I715" s="7" t="n">
        <f aca="false">YEAR(B715)</f>
        <v>2017</v>
      </c>
      <c r="J715" s="0" t="str">
        <f aca="false">I715&amp;"-Q"&amp;ROUNDUP(MONTH(B715)/3,0)</f>
        <v>2017-Q2</v>
      </c>
    </row>
    <row r="716" customFormat="false" ht="15" hidden="false" customHeight="false" outlineLevel="0" collapsed="false">
      <c r="A716" s="0" t="s">
        <v>403</v>
      </c>
      <c r="B716" s="6" t="n">
        <v>42874</v>
      </c>
      <c r="C716" s="7" t="s">
        <v>55</v>
      </c>
      <c r="D716" s="7" t="s">
        <v>76</v>
      </c>
      <c r="E716" s="7" t="s">
        <v>39</v>
      </c>
      <c r="F716" s="0" t="n">
        <v>299.97</v>
      </c>
      <c r="G716" s="0" t="n">
        <v>113.9886</v>
      </c>
      <c r="H716" s="0" t="n">
        <v>0</v>
      </c>
      <c r="I716" s="7" t="n">
        <f aca="false">YEAR(B716)</f>
        <v>2017</v>
      </c>
      <c r="J716" s="0" t="str">
        <f aca="false">I716&amp;"-Q"&amp;ROUNDUP(MONTH(B716)/3,0)</f>
        <v>2017-Q2</v>
      </c>
    </row>
    <row r="717" customFormat="false" ht="15" hidden="false" customHeight="false" outlineLevel="0" collapsed="false">
      <c r="A717" s="0" t="s">
        <v>404</v>
      </c>
      <c r="B717" s="6" t="n">
        <v>41821</v>
      </c>
      <c r="C717" s="7" t="s">
        <v>33</v>
      </c>
      <c r="D717" s="7" t="s">
        <v>43</v>
      </c>
      <c r="E717" s="7" t="s">
        <v>35</v>
      </c>
      <c r="F717" s="0" t="n">
        <v>19.92</v>
      </c>
      <c r="G717" s="0" t="n">
        <v>6.972</v>
      </c>
      <c r="H717" s="0" t="n">
        <v>0.2</v>
      </c>
      <c r="I717" s="7" t="n">
        <f aca="false">YEAR(B717)</f>
        <v>2014</v>
      </c>
      <c r="J717" s="0" t="str">
        <f aca="false">I717&amp;"-Q"&amp;ROUNDUP(MONTH(B717)/3,0)</f>
        <v>2014-Q3</v>
      </c>
    </row>
    <row r="718" customFormat="false" ht="15" hidden="false" customHeight="false" outlineLevel="0" collapsed="false">
      <c r="A718" s="0" t="s">
        <v>405</v>
      </c>
      <c r="B718" s="6" t="n">
        <v>41650</v>
      </c>
      <c r="C718" s="7" t="s">
        <v>55</v>
      </c>
      <c r="D718" s="7" t="s">
        <v>72</v>
      </c>
      <c r="E718" s="7" t="s">
        <v>31</v>
      </c>
      <c r="F718" s="0" t="n">
        <v>9.94</v>
      </c>
      <c r="G718" s="0" t="n">
        <v>3.0814</v>
      </c>
      <c r="H718" s="0" t="n">
        <v>0</v>
      </c>
      <c r="I718" s="7" t="n">
        <f aca="false">YEAR(B718)</f>
        <v>2014</v>
      </c>
      <c r="J718" s="0" t="str">
        <f aca="false">I718&amp;"-Q"&amp;ROUNDUP(MONTH(B718)/3,0)</f>
        <v>2014-Q1</v>
      </c>
    </row>
    <row r="719" customFormat="false" ht="15" hidden="false" customHeight="false" outlineLevel="0" collapsed="false">
      <c r="A719" s="0" t="s">
        <v>406</v>
      </c>
      <c r="B719" s="6" t="n">
        <v>43002</v>
      </c>
      <c r="C719" s="7" t="s">
        <v>55</v>
      </c>
      <c r="D719" s="7" t="s">
        <v>116</v>
      </c>
      <c r="E719" s="7" t="s">
        <v>31</v>
      </c>
      <c r="F719" s="0" t="n">
        <v>103.056</v>
      </c>
      <c r="G719" s="0" t="n">
        <v>24.4758</v>
      </c>
      <c r="H719" s="0" t="n">
        <v>0.2</v>
      </c>
      <c r="I719" s="7" t="n">
        <f aca="false">YEAR(B719)</f>
        <v>2017</v>
      </c>
      <c r="J719" s="0" t="str">
        <f aca="false">I719&amp;"-Q"&amp;ROUNDUP(MONTH(B719)/3,0)</f>
        <v>2017-Q3</v>
      </c>
    </row>
    <row r="720" customFormat="false" ht="15" hidden="false" customHeight="false" outlineLevel="0" collapsed="false">
      <c r="A720" s="0" t="s">
        <v>407</v>
      </c>
      <c r="B720" s="6" t="n">
        <v>41792</v>
      </c>
      <c r="C720" s="7" t="s">
        <v>33</v>
      </c>
      <c r="D720" s="7" t="s">
        <v>50</v>
      </c>
      <c r="E720" s="7" t="s">
        <v>35</v>
      </c>
      <c r="F720" s="0" t="n">
        <v>59.808</v>
      </c>
      <c r="G720" s="0" t="n">
        <v>19.4376</v>
      </c>
      <c r="H720" s="0" t="n">
        <v>0.2</v>
      </c>
      <c r="I720" s="7" t="n">
        <f aca="false">YEAR(B720)</f>
        <v>2014</v>
      </c>
      <c r="J720" s="0" t="str">
        <f aca="false">I720&amp;"-Q"&amp;ROUNDUP(MONTH(B720)/3,0)</f>
        <v>2014-Q2</v>
      </c>
    </row>
    <row r="721" customFormat="false" ht="15" hidden="false" customHeight="false" outlineLevel="0" collapsed="false">
      <c r="A721" s="0" t="s">
        <v>407</v>
      </c>
      <c r="B721" s="6" t="n">
        <v>41792</v>
      </c>
      <c r="C721" s="7" t="s">
        <v>33</v>
      </c>
      <c r="D721" s="7" t="s">
        <v>50</v>
      </c>
      <c r="E721" s="7" t="s">
        <v>31</v>
      </c>
      <c r="F721" s="0" t="n">
        <v>73.32</v>
      </c>
      <c r="G721" s="0" t="n">
        <v>21.996</v>
      </c>
      <c r="H721" s="0" t="n">
        <v>0</v>
      </c>
      <c r="I721" s="7" t="n">
        <f aca="false">YEAR(B721)</f>
        <v>2014</v>
      </c>
      <c r="J721" s="0" t="str">
        <f aca="false">I721&amp;"-Q"&amp;ROUNDUP(MONTH(B721)/3,0)</f>
        <v>2014-Q2</v>
      </c>
    </row>
    <row r="722" customFormat="false" ht="15" hidden="false" customHeight="false" outlineLevel="0" collapsed="false">
      <c r="A722" s="0" t="s">
        <v>408</v>
      </c>
      <c r="B722" s="6" t="n">
        <v>42413</v>
      </c>
      <c r="C722" s="7" t="s">
        <v>33</v>
      </c>
      <c r="D722" s="7" t="s">
        <v>34</v>
      </c>
      <c r="E722" s="7" t="s">
        <v>35</v>
      </c>
      <c r="F722" s="0" t="n">
        <v>146.82</v>
      </c>
      <c r="G722" s="0" t="n">
        <v>73.41</v>
      </c>
      <c r="H722" s="0" t="n">
        <v>0</v>
      </c>
      <c r="I722" s="7" t="n">
        <f aca="false">YEAR(B722)</f>
        <v>2016</v>
      </c>
      <c r="J722" s="0" t="str">
        <f aca="false">I722&amp;"-Q"&amp;ROUNDUP(MONTH(B722)/3,0)</f>
        <v>2016-Q1</v>
      </c>
    </row>
    <row r="723" customFormat="false" ht="15" hidden="false" customHeight="false" outlineLevel="0" collapsed="false">
      <c r="A723" s="0" t="s">
        <v>409</v>
      </c>
      <c r="B723" s="6" t="n">
        <v>42719</v>
      </c>
      <c r="C723" s="7" t="s">
        <v>45</v>
      </c>
      <c r="D723" s="7" t="s">
        <v>70</v>
      </c>
      <c r="E723" s="7" t="s">
        <v>31</v>
      </c>
      <c r="F723" s="0" t="n">
        <v>1652.94</v>
      </c>
      <c r="G723" s="0" t="n">
        <v>231.4116</v>
      </c>
      <c r="H723" s="0" t="n">
        <v>0</v>
      </c>
      <c r="I723" s="7" t="n">
        <f aca="false">YEAR(B723)</f>
        <v>2016</v>
      </c>
      <c r="J723" s="0" t="str">
        <f aca="false">I723&amp;"-Q"&amp;ROUNDUP(MONTH(B723)/3,0)</f>
        <v>2016-Q4</v>
      </c>
    </row>
    <row r="724" customFormat="false" ht="15" hidden="false" customHeight="false" outlineLevel="0" collapsed="false">
      <c r="A724" s="0" t="s">
        <v>409</v>
      </c>
      <c r="B724" s="6" t="n">
        <v>42719</v>
      </c>
      <c r="C724" s="7" t="s">
        <v>45</v>
      </c>
      <c r="D724" s="7" t="s">
        <v>70</v>
      </c>
      <c r="E724" s="7" t="s">
        <v>35</v>
      </c>
      <c r="F724" s="0" t="n">
        <v>296.37</v>
      </c>
      <c r="G724" s="0" t="n">
        <v>80.0199</v>
      </c>
      <c r="H724" s="0" t="n">
        <v>0</v>
      </c>
      <c r="I724" s="7" t="n">
        <f aca="false">YEAR(B724)</f>
        <v>2016</v>
      </c>
      <c r="J724" s="0" t="str">
        <f aca="false">I724&amp;"-Q"&amp;ROUNDUP(MONTH(B724)/3,0)</f>
        <v>2016-Q4</v>
      </c>
    </row>
    <row r="725" customFormat="false" ht="15" hidden="false" customHeight="false" outlineLevel="0" collapsed="false">
      <c r="A725" s="0" t="s">
        <v>410</v>
      </c>
      <c r="B725" s="6" t="n">
        <v>41919</v>
      </c>
      <c r="C725" s="7" t="s">
        <v>55</v>
      </c>
      <c r="D725" s="7" t="s">
        <v>56</v>
      </c>
      <c r="E725" s="7" t="s">
        <v>31</v>
      </c>
      <c r="F725" s="0" t="n">
        <v>129.92</v>
      </c>
      <c r="G725" s="0" t="n">
        <v>21.112</v>
      </c>
      <c r="H725" s="0" t="n">
        <v>0.2</v>
      </c>
      <c r="I725" s="7" t="n">
        <f aca="false">YEAR(B725)</f>
        <v>2014</v>
      </c>
      <c r="J725" s="0" t="str">
        <f aca="false">I725&amp;"-Q"&amp;ROUNDUP(MONTH(B725)/3,0)</f>
        <v>2014-Q4</v>
      </c>
    </row>
    <row r="726" customFormat="false" ht="15" hidden="false" customHeight="false" outlineLevel="0" collapsed="false">
      <c r="A726" s="0" t="s">
        <v>411</v>
      </c>
      <c r="B726" s="6" t="n">
        <v>42558</v>
      </c>
      <c r="C726" s="7" t="s">
        <v>29</v>
      </c>
      <c r="D726" s="7" t="s">
        <v>37</v>
      </c>
      <c r="E726" s="7" t="s">
        <v>35</v>
      </c>
      <c r="F726" s="0" t="n">
        <v>45.584</v>
      </c>
      <c r="G726" s="0" t="n">
        <v>5.1282</v>
      </c>
      <c r="H726" s="0" t="n">
        <v>0.2</v>
      </c>
      <c r="I726" s="7" t="n">
        <f aca="false">YEAR(B726)</f>
        <v>2016</v>
      </c>
      <c r="J726" s="0" t="str">
        <f aca="false">I726&amp;"-Q"&amp;ROUNDUP(MONTH(B726)/3,0)</f>
        <v>2016-Q3</v>
      </c>
    </row>
    <row r="727" customFormat="false" ht="15" hidden="false" customHeight="false" outlineLevel="0" collapsed="false">
      <c r="A727" s="0" t="s">
        <v>412</v>
      </c>
      <c r="B727" s="6" t="n">
        <v>42994</v>
      </c>
      <c r="C727" s="7" t="s">
        <v>45</v>
      </c>
      <c r="D727" s="7" t="s">
        <v>46</v>
      </c>
      <c r="E727" s="7" t="s">
        <v>35</v>
      </c>
      <c r="F727" s="0" t="n">
        <v>17.568</v>
      </c>
      <c r="G727" s="0" t="n">
        <v>6.3684</v>
      </c>
      <c r="H727" s="0" t="n">
        <v>0.2</v>
      </c>
      <c r="I727" s="7" t="n">
        <f aca="false">YEAR(B727)</f>
        <v>2017</v>
      </c>
      <c r="J727" s="0" t="str">
        <f aca="false">I727&amp;"-Q"&amp;ROUNDUP(MONTH(B727)/3,0)</f>
        <v>2017-Q3</v>
      </c>
    </row>
    <row r="728" customFormat="false" ht="15" hidden="false" customHeight="false" outlineLevel="0" collapsed="false">
      <c r="A728" s="0" t="s">
        <v>412</v>
      </c>
      <c r="B728" s="6" t="n">
        <v>42994</v>
      </c>
      <c r="C728" s="7" t="s">
        <v>45</v>
      </c>
      <c r="D728" s="7" t="s">
        <v>46</v>
      </c>
      <c r="E728" s="7" t="s">
        <v>39</v>
      </c>
      <c r="F728" s="0" t="n">
        <v>55.992</v>
      </c>
      <c r="G728" s="0" t="n">
        <v>5.5992</v>
      </c>
      <c r="H728" s="0" t="n">
        <v>0.2</v>
      </c>
      <c r="I728" s="7" t="n">
        <f aca="false">YEAR(B728)</f>
        <v>2017</v>
      </c>
      <c r="J728" s="0" t="str">
        <f aca="false">I728&amp;"-Q"&amp;ROUNDUP(MONTH(B728)/3,0)</f>
        <v>2017-Q3</v>
      </c>
    </row>
    <row r="729" customFormat="false" ht="15" hidden="false" customHeight="false" outlineLevel="0" collapsed="false">
      <c r="A729" s="0" t="s">
        <v>413</v>
      </c>
      <c r="B729" s="6" t="n">
        <v>42707</v>
      </c>
      <c r="C729" s="7" t="s">
        <v>55</v>
      </c>
      <c r="D729" s="7" t="s">
        <v>76</v>
      </c>
      <c r="E729" s="7" t="s">
        <v>35</v>
      </c>
      <c r="F729" s="0" t="n">
        <v>182.72</v>
      </c>
      <c r="G729" s="0" t="n">
        <v>84.0512</v>
      </c>
      <c r="H729" s="0" t="n">
        <v>0</v>
      </c>
      <c r="I729" s="7" t="n">
        <f aca="false">YEAR(B729)</f>
        <v>2016</v>
      </c>
      <c r="J729" s="0" t="str">
        <f aca="false">I729&amp;"-Q"&amp;ROUNDUP(MONTH(B729)/3,0)</f>
        <v>2016-Q4</v>
      </c>
    </row>
    <row r="730" customFormat="false" ht="15" hidden="false" customHeight="false" outlineLevel="0" collapsed="false">
      <c r="A730" s="0" t="s">
        <v>413</v>
      </c>
      <c r="B730" s="6" t="n">
        <v>42707</v>
      </c>
      <c r="C730" s="7" t="s">
        <v>55</v>
      </c>
      <c r="D730" s="7" t="s">
        <v>76</v>
      </c>
      <c r="E730" s="7" t="s">
        <v>31</v>
      </c>
      <c r="F730" s="0" t="n">
        <v>400.032</v>
      </c>
      <c r="G730" s="0" t="n">
        <v>-153.3456</v>
      </c>
      <c r="H730" s="0" t="n">
        <v>0.4</v>
      </c>
      <c r="I730" s="7" t="n">
        <f aca="false">YEAR(B730)</f>
        <v>2016</v>
      </c>
      <c r="J730" s="0" t="str">
        <f aca="false">I730&amp;"-Q"&amp;ROUNDUP(MONTH(B730)/3,0)</f>
        <v>2016-Q4</v>
      </c>
    </row>
    <row r="731" customFormat="false" ht="15" hidden="false" customHeight="false" outlineLevel="0" collapsed="false">
      <c r="A731" s="0" t="s">
        <v>413</v>
      </c>
      <c r="B731" s="6" t="n">
        <v>42707</v>
      </c>
      <c r="C731" s="7" t="s">
        <v>55</v>
      </c>
      <c r="D731" s="7" t="s">
        <v>76</v>
      </c>
      <c r="E731" s="7" t="s">
        <v>35</v>
      </c>
      <c r="F731" s="0" t="n">
        <v>33.63</v>
      </c>
      <c r="G731" s="0" t="n">
        <v>10.089</v>
      </c>
      <c r="H731" s="0" t="n">
        <v>0</v>
      </c>
      <c r="I731" s="7" t="n">
        <f aca="false">YEAR(B731)</f>
        <v>2016</v>
      </c>
      <c r="J731" s="0" t="str">
        <f aca="false">I731&amp;"-Q"&amp;ROUNDUP(MONTH(B731)/3,0)</f>
        <v>2016-Q4</v>
      </c>
    </row>
    <row r="732" customFormat="false" ht="15" hidden="false" customHeight="false" outlineLevel="0" collapsed="false">
      <c r="A732" s="0" t="s">
        <v>413</v>
      </c>
      <c r="B732" s="6" t="n">
        <v>42707</v>
      </c>
      <c r="C732" s="7" t="s">
        <v>55</v>
      </c>
      <c r="D732" s="7" t="s">
        <v>76</v>
      </c>
      <c r="E732" s="7" t="s">
        <v>31</v>
      </c>
      <c r="F732" s="0" t="n">
        <v>542.646</v>
      </c>
      <c r="G732" s="0" t="n">
        <v>102.4998</v>
      </c>
      <c r="H732" s="0" t="n">
        <v>0.1</v>
      </c>
      <c r="I732" s="7" t="n">
        <f aca="false">YEAR(B732)</f>
        <v>2016</v>
      </c>
      <c r="J732" s="0" t="str">
        <f aca="false">I732&amp;"-Q"&amp;ROUNDUP(MONTH(B732)/3,0)</f>
        <v>2016-Q4</v>
      </c>
    </row>
    <row r="733" customFormat="false" ht="15" hidden="false" customHeight="false" outlineLevel="0" collapsed="false">
      <c r="A733" s="0" t="s">
        <v>413</v>
      </c>
      <c r="B733" s="6" t="n">
        <v>42707</v>
      </c>
      <c r="C733" s="7" t="s">
        <v>55</v>
      </c>
      <c r="D733" s="7" t="s">
        <v>76</v>
      </c>
      <c r="E733" s="7" t="s">
        <v>35</v>
      </c>
      <c r="F733" s="0" t="n">
        <v>6.3</v>
      </c>
      <c r="G733" s="0" t="n">
        <v>3.024</v>
      </c>
      <c r="H733" s="0" t="n">
        <v>0</v>
      </c>
      <c r="I733" s="7" t="n">
        <f aca="false">YEAR(B733)</f>
        <v>2016</v>
      </c>
      <c r="J733" s="0" t="str">
        <f aca="false">I733&amp;"-Q"&amp;ROUNDUP(MONTH(B733)/3,0)</f>
        <v>2016-Q4</v>
      </c>
    </row>
    <row r="734" customFormat="false" ht="15" hidden="false" customHeight="false" outlineLevel="0" collapsed="false">
      <c r="A734" s="0" t="s">
        <v>414</v>
      </c>
      <c r="B734" s="6" t="n">
        <v>42756</v>
      </c>
      <c r="C734" s="7" t="s">
        <v>33</v>
      </c>
      <c r="D734" s="7" t="s">
        <v>43</v>
      </c>
      <c r="E734" s="7" t="s">
        <v>35</v>
      </c>
      <c r="F734" s="0" t="n">
        <v>242.94</v>
      </c>
      <c r="G734" s="0" t="n">
        <v>9.7176</v>
      </c>
      <c r="H734" s="0" t="n">
        <v>0</v>
      </c>
      <c r="I734" s="7" t="n">
        <f aca="false">YEAR(B734)</f>
        <v>2017</v>
      </c>
      <c r="J734" s="0" t="str">
        <f aca="false">I734&amp;"-Q"&amp;ROUNDUP(MONTH(B734)/3,0)</f>
        <v>2017-Q1</v>
      </c>
    </row>
    <row r="735" customFormat="false" ht="15" hidden="false" customHeight="false" outlineLevel="0" collapsed="false">
      <c r="A735" s="0" t="s">
        <v>414</v>
      </c>
      <c r="B735" s="6" t="n">
        <v>42756</v>
      </c>
      <c r="C735" s="7" t="s">
        <v>33</v>
      </c>
      <c r="D735" s="7" t="s">
        <v>43</v>
      </c>
      <c r="E735" s="7" t="s">
        <v>39</v>
      </c>
      <c r="F735" s="0" t="n">
        <v>179.97</v>
      </c>
      <c r="G735" s="0" t="n">
        <v>86.3856</v>
      </c>
      <c r="H735" s="0" t="n">
        <v>0</v>
      </c>
      <c r="I735" s="7" t="n">
        <f aca="false">YEAR(B735)</f>
        <v>2017</v>
      </c>
      <c r="J735" s="0" t="str">
        <f aca="false">I735&amp;"-Q"&amp;ROUNDUP(MONTH(B735)/3,0)</f>
        <v>2017-Q1</v>
      </c>
    </row>
    <row r="736" customFormat="false" ht="15" hidden="false" customHeight="false" outlineLevel="0" collapsed="false">
      <c r="A736" s="0" t="s">
        <v>414</v>
      </c>
      <c r="B736" s="6" t="n">
        <v>42756</v>
      </c>
      <c r="C736" s="7" t="s">
        <v>33</v>
      </c>
      <c r="D736" s="7" t="s">
        <v>43</v>
      </c>
      <c r="E736" s="7" t="s">
        <v>35</v>
      </c>
      <c r="F736" s="0" t="n">
        <v>99.696</v>
      </c>
      <c r="G736" s="0" t="n">
        <v>33.6474</v>
      </c>
      <c r="H736" s="0" t="n">
        <v>0.2</v>
      </c>
      <c r="I736" s="7" t="n">
        <f aca="false">YEAR(B736)</f>
        <v>2017</v>
      </c>
      <c r="J736" s="0" t="str">
        <f aca="false">I736&amp;"-Q"&amp;ROUNDUP(MONTH(B736)/3,0)</f>
        <v>2017-Q1</v>
      </c>
    </row>
    <row r="737" customFormat="false" ht="15" hidden="false" customHeight="false" outlineLevel="0" collapsed="false">
      <c r="A737" s="0" t="s">
        <v>414</v>
      </c>
      <c r="B737" s="6" t="n">
        <v>42756</v>
      </c>
      <c r="C737" s="7" t="s">
        <v>33</v>
      </c>
      <c r="D737" s="7" t="s">
        <v>43</v>
      </c>
      <c r="E737" s="7" t="s">
        <v>35</v>
      </c>
      <c r="F737" s="0" t="n">
        <v>27.936</v>
      </c>
      <c r="G737" s="0" t="n">
        <v>9.4284</v>
      </c>
      <c r="H737" s="0" t="n">
        <v>0.2</v>
      </c>
      <c r="I737" s="7" t="n">
        <f aca="false">YEAR(B737)</f>
        <v>2017</v>
      </c>
      <c r="J737" s="0" t="str">
        <f aca="false">I737&amp;"-Q"&amp;ROUNDUP(MONTH(B737)/3,0)</f>
        <v>2017-Q1</v>
      </c>
    </row>
    <row r="738" customFormat="false" ht="15" hidden="false" customHeight="false" outlineLevel="0" collapsed="false">
      <c r="A738" s="0" t="s">
        <v>414</v>
      </c>
      <c r="B738" s="6" t="n">
        <v>42756</v>
      </c>
      <c r="C738" s="7" t="s">
        <v>33</v>
      </c>
      <c r="D738" s="7" t="s">
        <v>43</v>
      </c>
      <c r="E738" s="7" t="s">
        <v>31</v>
      </c>
      <c r="F738" s="0" t="n">
        <v>84.98</v>
      </c>
      <c r="G738" s="0" t="n">
        <v>18.6956</v>
      </c>
      <c r="H738" s="0" t="n">
        <v>0</v>
      </c>
      <c r="I738" s="7" t="n">
        <f aca="false">YEAR(B738)</f>
        <v>2017</v>
      </c>
      <c r="J738" s="0" t="str">
        <f aca="false">I738&amp;"-Q"&amp;ROUNDUP(MONTH(B738)/3,0)</f>
        <v>2017-Q1</v>
      </c>
    </row>
    <row r="739" customFormat="false" ht="15" hidden="false" customHeight="false" outlineLevel="0" collapsed="false">
      <c r="A739" s="0" t="s">
        <v>414</v>
      </c>
      <c r="B739" s="6" t="n">
        <v>42756</v>
      </c>
      <c r="C739" s="7" t="s">
        <v>33</v>
      </c>
      <c r="D739" s="7" t="s">
        <v>43</v>
      </c>
      <c r="E739" s="7" t="s">
        <v>35</v>
      </c>
      <c r="F739" s="0" t="n">
        <v>18.72</v>
      </c>
      <c r="G739" s="0" t="n">
        <v>6.552</v>
      </c>
      <c r="H739" s="0" t="n">
        <v>0.2</v>
      </c>
      <c r="I739" s="7" t="n">
        <f aca="false">YEAR(B739)</f>
        <v>2017</v>
      </c>
      <c r="J739" s="0" t="str">
        <f aca="false">I739&amp;"-Q"&amp;ROUNDUP(MONTH(B739)/3,0)</f>
        <v>2017-Q1</v>
      </c>
    </row>
    <row r="740" customFormat="false" ht="15" hidden="false" customHeight="false" outlineLevel="0" collapsed="false">
      <c r="A740" s="0" t="s">
        <v>415</v>
      </c>
      <c r="B740" s="6" t="n">
        <v>41890</v>
      </c>
      <c r="C740" s="7" t="s">
        <v>33</v>
      </c>
      <c r="D740" s="7" t="s">
        <v>34</v>
      </c>
      <c r="E740" s="7" t="s">
        <v>39</v>
      </c>
      <c r="F740" s="0" t="n">
        <v>49.98</v>
      </c>
      <c r="G740" s="0" t="n">
        <v>8.4966</v>
      </c>
      <c r="H740" s="0" t="n">
        <v>0</v>
      </c>
      <c r="I740" s="7" t="n">
        <f aca="false">YEAR(B740)</f>
        <v>2014</v>
      </c>
      <c r="J740" s="0" t="str">
        <f aca="false">I740&amp;"-Q"&amp;ROUNDUP(MONTH(B740)/3,0)</f>
        <v>2014-Q3</v>
      </c>
    </row>
    <row r="741" customFormat="false" ht="15" hidden="false" customHeight="false" outlineLevel="0" collapsed="false">
      <c r="A741" s="0" t="s">
        <v>416</v>
      </c>
      <c r="B741" s="6" t="n">
        <v>41643</v>
      </c>
      <c r="C741" s="7" t="s">
        <v>45</v>
      </c>
      <c r="D741" s="7" t="s">
        <v>64</v>
      </c>
      <c r="E741" s="7" t="s">
        <v>35</v>
      </c>
      <c r="F741" s="0" t="n">
        <v>11.784</v>
      </c>
      <c r="G741" s="0" t="n">
        <v>4.2717</v>
      </c>
      <c r="H741" s="0" t="n">
        <v>0.2</v>
      </c>
      <c r="I741" s="7" t="n">
        <f aca="false">YEAR(B741)</f>
        <v>2014</v>
      </c>
      <c r="J741" s="0" t="str">
        <f aca="false">I741&amp;"-Q"&amp;ROUNDUP(MONTH(B741)/3,0)</f>
        <v>2014-Q1</v>
      </c>
    </row>
    <row r="742" customFormat="false" ht="15" hidden="false" customHeight="false" outlineLevel="0" collapsed="false">
      <c r="A742" s="0" t="s">
        <v>416</v>
      </c>
      <c r="B742" s="6" t="n">
        <v>41643</v>
      </c>
      <c r="C742" s="7" t="s">
        <v>45</v>
      </c>
      <c r="D742" s="7" t="s">
        <v>64</v>
      </c>
      <c r="E742" s="7" t="s">
        <v>35</v>
      </c>
      <c r="F742" s="0" t="n">
        <v>272.736</v>
      </c>
      <c r="G742" s="0" t="n">
        <v>-64.7748</v>
      </c>
      <c r="H742" s="0" t="n">
        <v>0.2</v>
      </c>
      <c r="I742" s="7" t="n">
        <f aca="false">YEAR(B742)</f>
        <v>2014</v>
      </c>
      <c r="J742" s="0" t="str">
        <f aca="false">I742&amp;"-Q"&amp;ROUNDUP(MONTH(B742)/3,0)</f>
        <v>2014-Q1</v>
      </c>
    </row>
    <row r="743" customFormat="false" ht="15" hidden="false" customHeight="false" outlineLevel="0" collapsed="false">
      <c r="A743" s="0" t="s">
        <v>416</v>
      </c>
      <c r="B743" s="6" t="n">
        <v>41643</v>
      </c>
      <c r="C743" s="7" t="s">
        <v>45</v>
      </c>
      <c r="D743" s="7" t="s">
        <v>64</v>
      </c>
      <c r="E743" s="7" t="s">
        <v>35</v>
      </c>
      <c r="F743" s="0" t="n">
        <v>3.54</v>
      </c>
      <c r="G743" s="0" t="n">
        <v>-5.487</v>
      </c>
      <c r="H743" s="0" t="n">
        <v>0.8</v>
      </c>
      <c r="I743" s="7" t="n">
        <f aca="false">YEAR(B743)</f>
        <v>2014</v>
      </c>
      <c r="J743" s="0" t="str">
        <f aca="false">I743&amp;"-Q"&amp;ROUNDUP(MONTH(B743)/3,0)</f>
        <v>2014-Q1</v>
      </c>
    </row>
    <row r="744" customFormat="false" ht="15" hidden="false" customHeight="false" outlineLevel="0" collapsed="false">
      <c r="A744" s="0" t="s">
        <v>417</v>
      </c>
      <c r="B744" s="6" t="n">
        <v>42609</v>
      </c>
      <c r="C744" s="7" t="s">
        <v>45</v>
      </c>
      <c r="D744" s="7" t="s">
        <v>46</v>
      </c>
      <c r="E744" s="7" t="s">
        <v>35</v>
      </c>
      <c r="F744" s="0" t="n">
        <v>51.52</v>
      </c>
      <c r="G744" s="0" t="n">
        <v>-10.948</v>
      </c>
      <c r="H744" s="0" t="n">
        <v>0.2</v>
      </c>
      <c r="I744" s="7" t="n">
        <f aca="false">YEAR(B744)</f>
        <v>2016</v>
      </c>
      <c r="J744" s="0" t="str">
        <f aca="false">I744&amp;"-Q"&amp;ROUNDUP(MONTH(B744)/3,0)</f>
        <v>2016-Q3</v>
      </c>
    </row>
    <row r="745" customFormat="false" ht="15" hidden="false" customHeight="false" outlineLevel="0" collapsed="false">
      <c r="A745" s="0" t="s">
        <v>417</v>
      </c>
      <c r="B745" s="6" t="n">
        <v>42609</v>
      </c>
      <c r="C745" s="7" t="s">
        <v>45</v>
      </c>
      <c r="D745" s="7" t="s">
        <v>46</v>
      </c>
      <c r="E745" s="7" t="s">
        <v>35</v>
      </c>
      <c r="F745" s="0" t="n">
        <v>3.528</v>
      </c>
      <c r="G745" s="0" t="n">
        <v>1.1466</v>
      </c>
      <c r="H745" s="0" t="n">
        <v>0.2</v>
      </c>
      <c r="I745" s="7" t="n">
        <f aca="false">YEAR(B745)</f>
        <v>2016</v>
      </c>
      <c r="J745" s="0" t="str">
        <f aca="false">I745&amp;"-Q"&amp;ROUNDUP(MONTH(B745)/3,0)</f>
        <v>2016-Q3</v>
      </c>
    </row>
    <row r="746" customFormat="false" ht="15" hidden="false" customHeight="false" outlineLevel="0" collapsed="false">
      <c r="A746" s="0" t="s">
        <v>417</v>
      </c>
      <c r="B746" s="6" t="n">
        <v>42609</v>
      </c>
      <c r="C746" s="7" t="s">
        <v>45</v>
      </c>
      <c r="D746" s="7" t="s">
        <v>46</v>
      </c>
      <c r="E746" s="7" t="s">
        <v>35</v>
      </c>
      <c r="F746" s="0" t="n">
        <v>4.624</v>
      </c>
      <c r="G746" s="0" t="n">
        <v>1.6762</v>
      </c>
      <c r="H746" s="0" t="n">
        <v>0.2</v>
      </c>
      <c r="I746" s="7" t="n">
        <f aca="false">YEAR(B746)</f>
        <v>2016</v>
      </c>
      <c r="J746" s="0" t="str">
        <f aca="false">I746&amp;"-Q"&amp;ROUNDUP(MONTH(B746)/3,0)</f>
        <v>2016-Q3</v>
      </c>
    </row>
    <row r="747" customFormat="false" ht="15" hidden="false" customHeight="false" outlineLevel="0" collapsed="false">
      <c r="A747" s="0" t="s">
        <v>417</v>
      </c>
      <c r="B747" s="6" t="n">
        <v>42609</v>
      </c>
      <c r="C747" s="7" t="s">
        <v>45</v>
      </c>
      <c r="D747" s="7" t="s">
        <v>46</v>
      </c>
      <c r="E747" s="7" t="s">
        <v>35</v>
      </c>
      <c r="F747" s="0" t="n">
        <v>55.168</v>
      </c>
      <c r="G747" s="0" t="n">
        <v>6.2064</v>
      </c>
      <c r="H747" s="0" t="n">
        <v>0.2</v>
      </c>
      <c r="I747" s="7" t="n">
        <f aca="false">YEAR(B747)</f>
        <v>2016</v>
      </c>
      <c r="J747" s="0" t="str">
        <f aca="false">I747&amp;"-Q"&amp;ROUNDUP(MONTH(B747)/3,0)</f>
        <v>2016-Q3</v>
      </c>
    </row>
    <row r="748" customFormat="false" ht="15" hidden="false" customHeight="false" outlineLevel="0" collapsed="false">
      <c r="A748" s="0" t="s">
        <v>418</v>
      </c>
      <c r="B748" s="6" t="n">
        <v>41786</v>
      </c>
      <c r="C748" s="7" t="s">
        <v>33</v>
      </c>
      <c r="D748" s="7" t="s">
        <v>34</v>
      </c>
      <c r="E748" s="7" t="s">
        <v>31</v>
      </c>
      <c r="F748" s="0" t="n">
        <v>567.12</v>
      </c>
      <c r="G748" s="0" t="n">
        <v>-28.356</v>
      </c>
      <c r="H748" s="0" t="n">
        <v>0.2</v>
      </c>
      <c r="I748" s="7" t="n">
        <f aca="false">YEAR(B748)</f>
        <v>2014</v>
      </c>
      <c r="J748" s="0" t="str">
        <f aca="false">I748&amp;"-Q"&amp;ROUNDUP(MONTH(B748)/3,0)</f>
        <v>2014-Q2</v>
      </c>
    </row>
    <row r="749" customFormat="false" ht="15" hidden="false" customHeight="false" outlineLevel="0" collapsed="false">
      <c r="A749" s="0" t="s">
        <v>418</v>
      </c>
      <c r="B749" s="6" t="n">
        <v>41786</v>
      </c>
      <c r="C749" s="7" t="s">
        <v>33</v>
      </c>
      <c r="D749" s="7" t="s">
        <v>34</v>
      </c>
      <c r="E749" s="7" t="s">
        <v>35</v>
      </c>
      <c r="F749" s="0" t="n">
        <v>359.32</v>
      </c>
      <c r="G749" s="0" t="n">
        <v>7.1864</v>
      </c>
      <c r="H749" s="0" t="n">
        <v>0</v>
      </c>
      <c r="I749" s="7" t="n">
        <f aca="false">YEAR(B749)</f>
        <v>2014</v>
      </c>
      <c r="J749" s="0" t="str">
        <f aca="false">I749&amp;"-Q"&amp;ROUNDUP(MONTH(B749)/3,0)</f>
        <v>2014-Q2</v>
      </c>
    </row>
    <row r="750" customFormat="false" ht="15" hidden="false" customHeight="false" outlineLevel="0" collapsed="false">
      <c r="A750" s="0" t="s">
        <v>419</v>
      </c>
      <c r="B750" s="6" t="n">
        <v>42449</v>
      </c>
      <c r="C750" s="7" t="s">
        <v>45</v>
      </c>
      <c r="D750" s="7" t="s">
        <v>64</v>
      </c>
      <c r="E750" s="7" t="s">
        <v>39</v>
      </c>
      <c r="F750" s="0" t="n">
        <v>11.992</v>
      </c>
      <c r="G750" s="0" t="n">
        <v>0.8994</v>
      </c>
      <c r="H750" s="0" t="n">
        <v>0.2</v>
      </c>
      <c r="I750" s="7" t="n">
        <f aca="false">YEAR(B750)</f>
        <v>2016</v>
      </c>
      <c r="J750" s="0" t="str">
        <f aca="false">I750&amp;"-Q"&amp;ROUNDUP(MONTH(B750)/3,0)</f>
        <v>2016-Q1</v>
      </c>
    </row>
    <row r="751" customFormat="false" ht="15" hidden="false" customHeight="false" outlineLevel="0" collapsed="false">
      <c r="A751" s="0" t="s">
        <v>420</v>
      </c>
      <c r="B751" s="6" t="n">
        <v>43010</v>
      </c>
      <c r="C751" s="7" t="s">
        <v>45</v>
      </c>
      <c r="D751" s="7" t="s">
        <v>70</v>
      </c>
      <c r="E751" s="7" t="s">
        <v>35</v>
      </c>
      <c r="F751" s="0" t="n">
        <v>58.05</v>
      </c>
      <c r="G751" s="0" t="n">
        <v>26.703</v>
      </c>
      <c r="H751" s="0" t="n">
        <v>0</v>
      </c>
      <c r="I751" s="7" t="n">
        <f aca="false">YEAR(B751)</f>
        <v>2017</v>
      </c>
      <c r="J751" s="0" t="str">
        <f aca="false">I751&amp;"-Q"&amp;ROUNDUP(MONTH(B751)/3,0)</f>
        <v>2017-Q4</v>
      </c>
    </row>
    <row r="752" customFormat="false" ht="15" hidden="false" customHeight="false" outlineLevel="0" collapsed="false">
      <c r="A752" s="0" t="s">
        <v>420</v>
      </c>
      <c r="B752" s="6" t="n">
        <v>43010</v>
      </c>
      <c r="C752" s="7" t="s">
        <v>45</v>
      </c>
      <c r="D752" s="7" t="s">
        <v>70</v>
      </c>
      <c r="E752" s="7" t="s">
        <v>31</v>
      </c>
      <c r="F752" s="0" t="n">
        <v>157.74</v>
      </c>
      <c r="G752" s="0" t="n">
        <v>56.7864</v>
      </c>
      <c r="H752" s="0" t="n">
        <v>0</v>
      </c>
      <c r="I752" s="7" t="n">
        <f aca="false">YEAR(B752)</f>
        <v>2017</v>
      </c>
      <c r="J752" s="0" t="str">
        <f aca="false">I752&amp;"-Q"&amp;ROUNDUP(MONTH(B752)/3,0)</f>
        <v>2017-Q4</v>
      </c>
    </row>
    <row r="753" customFormat="false" ht="15" hidden="false" customHeight="false" outlineLevel="0" collapsed="false">
      <c r="A753" s="0" t="s">
        <v>420</v>
      </c>
      <c r="B753" s="6" t="n">
        <v>43010</v>
      </c>
      <c r="C753" s="7" t="s">
        <v>45</v>
      </c>
      <c r="D753" s="7" t="s">
        <v>70</v>
      </c>
      <c r="E753" s="7" t="s">
        <v>35</v>
      </c>
      <c r="F753" s="0" t="n">
        <v>56.98</v>
      </c>
      <c r="G753" s="0" t="n">
        <v>22.792</v>
      </c>
      <c r="H753" s="0" t="n">
        <v>0</v>
      </c>
      <c r="I753" s="7" t="n">
        <f aca="false">YEAR(B753)</f>
        <v>2017</v>
      </c>
      <c r="J753" s="0" t="str">
        <f aca="false">I753&amp;"-Q"&amp;ROUNDUP(MONTH(B753)/3,0)</f>
        <v>2017-Q4</v>
      </c>
    </row>
    <row r="754" customFormat="false" ht="15" hidden="false" customHeight="false" outlineLevel="0" collapsed="false">
      <c r="A754" s="0" t="s">
        <v>420</v>
      </c>
      <c r="B754" s="6" t="n">
        <v>43010</v>
      </c>
      <c r="C754" s="7" t="s">
        <v>45</v>
      </c>
      <c r="D754" s="7" t="s">
        <v>70</v>
      </c>
      <c r="E754" s="7" t="s">
        <v>35</v>
      </c>
      <c r="F754" s="0" t="n">
        <v>2.88</v>
      </c>
      <c r="G754" s="0" t="n">
        <v>1.4112</v>
      </c>
      <c r="H754" s="0" t="n">
        <v>0</v>
      </c>
      <c r="I754" s="7" t="n">
        <f aca="false">YEAR(B754)</f>
        <v>2017</v>
      </c>
      <c r="J754" s="0" t="str">
        <f aca="false">I754&amp;"-Q"&amp;ROUNDUP(MONTH(B754)/3,0)</f>
        <v>2017-Q4</v>
      </c>
    </row>
    <row r="755" customFormat="false" ht="15" hidden="false" customHeight="false" outlineLevel="0" collapsed="false">
      <c r="A755" s="0" t="s">
        <v>421</v>
      </c>
      <c r="B755" s="6" t="n">
        <v>42467</v>
      </c>
      <c r="C755" s="7" t="s">
        <v>33</v>
      </c>
      <c r="D755" s="7" t="s">
        <v>34</v>
      </c>
      <c r="E755" s="7" t="s">
        <v>39</v>
      </c>
      <c r="F755" s="0" t="n">
        <v>1199.976</v>
      </c>
      <c r="G755" s="0" t="n">
        <v>374.9925</v>
      </c>
      <c r="H755" s="0" t="n">
        <v>0.2</v>
      </c>
      <c r="I755" s="7" t="n">
        <f aca="false">YEAR(B755)</f>
        <v>2016</v>
      </c>
      <c r="J755" s="0" t="str">
        <f aca="false">I755&amp;"-Q"&amp;ROUNDUP(MONTH(B755)/3,0)</f>
        <v>2016-Q2</v>
      </c>
    </row>
    <row r="756" customFormat="false" ht="15" hidden="false" customHeight="false" outlineLevel="0" collapsed="false">
      <c r="A756" s="0" t="s">
        <v>422</v>
      </c>
      <c r="B756" s="6" t="n">
        <v>42345</v>
      </c>
      <c r="C756" s="7" t="s">
        <v>33</v>
      </c>
      <c r="D756" s="7" t="s">
        <v>34</v>
      </c>
      <c r="E756" s="7" t="s">
        <v>31</v>
      </c>
      <c r="F756" s="0" t="n">
        <v>79.92</v>
      </c>
      <c r="G756" s="0" t="n">
        <v>28.7712</v>
      </c>
      <c r="H756" s="0" t="n">
        <v>0</v>
      </c>
      <c r="I756" s="7" t="n">
        <f aca="false">YEAR(B756)</f>
        <v>2015</v>
      </c>
      <c r="J756" s="0" t="str">
        <f aca="false">I756&amp;"-Q"&amp;ROUNDUP(MONTH(B756)/3,0)</f>
        <v>2015-Q4</v>
      </c>
    </row>
    <row r="757" customFormat="false" ht="15" hidden="false" customHeight="false" outlineLevel="0" collapsed="false">
      <c r="A757" s="0" t="s">
        <v>423</v>
      </c>
      <c r="B757" s="6" t="n">
        <v>42631</v>
      </c>
      <c r="C757" s="7" t="s">
        <v>29</v>
      </c>
      <c r="D757" s="7" t="s">
        <v>37</v>
      </c>
      <c r="E757" s="7" t="s">
        <v>31</v>
      </c>
      <c r="F757" s="0" t="n">
        <v>383.438</v>
      </c>
      <c r="G757" s="0" t="n">
        <v>-167.3184</v>
      </c>
      <c r="H757" s="0" t="n">
        <v>0.45</v>
      </c>
      <c r="I757" s="7" t="n">
        <f aca="false">YEAR(B757)</f>
        <v>2016</v>
      </c>
      <c r="J757" s="0" t="str">
        <f aca="false">I757&amp;"-Q"&amp;ROUNDUP(MONTH(B757)/3,0)</f>
        <v>2016-Q3</v>
      </c>
    </row>
    <row r="758" customFormat="false" ht="15" hidden="false" customHeight="false" outlineLevel="0" collapsed="false">
      <c r="A758" s="0" t="s">
        <v>424</v>
      </c>
      <c r="B758" s="6" t="n">
        <v>42002</v>
      </c>
      <c r="C758" s="7" t="s">
        <v>45</v>
      </c>
      <c r="D758" s="7" t="s">
        <v>68</v>
      </c>
      <c r="E758" s="7" t="s">
        <v>35</v>
      </c>
      <c r="F758" s="0" t="n">
        <v>24.56</v>
      </c>
      <c r="G758" s="0" t="n">
        <v>6.8768</v>
      </c>
      <c r="H758" s="0" t="n">
        <v>0</v>
      </c>
      <c r="I758" s="7" t="n">
        <f aca="false">YEAR(B758)</f>
        <v>2014</v>
      </c>
      <c r="J758" s="0" t="str">
        <f aca="false">I758&amp;"-Q"&amp;ROUNDUP(MONTH(B758)/3,0)</f>
        <v>2014-Q4</v>
      </c>
    </row>
    <row r="759" customFormat="false" ht="15" hidden="false" customHeight="false" outlineLevel="0" collapsed="false">
      <c r="A759" s="0" t="s">
        <v>424</v>
      </c>
      <c r="B759" s="6" t="n">
        <v>42002</v>
      </c>
      <c r="C759" s="7" t="s">
        <v>45</v>
      </c>
      <c r="D759" s="7" t="s">
        <v>68</v>
      </c>
      <c r="E759" s="7" t="s">
        <v>39</v>
      </c>
      <c r="F759" s="0" t="n">
        <v>119.8</v>
      </c>
      <c r="G759" s="0" t="n">
        <v>47.92</v>
      </c>
      <c r="H759" s="0" t="n">
        <v>0</v>
      </c>
      <c r="I759" s="7" t="n">
        <f aca="false">YEAR(B759)</f>
        <v>2014</v>
      </c>
      <c r="J759" s="0" t="str">
        <f aca="false">I759&amp;"-Q"&amp;ROUNDUP(MONTH(B759)/3,0)</f>
        <v>2014-Q4</v>
      </c>
    </row>
    <row r="760" customFormat="false" ht="15" hidden="false" customHeight="false" outlineLevel="0" collapsed="false">
      <c r="A760" s="0" t="s">
        <v>425</v>
      </c>
      <c r="B760" s="6" t="n">
        <v>42939</v>
      </c>
      <c r="C760" s="7" t="s">
        <v>55</v>
      </c>
      <c r="D760" s="7" t="s">
        <v>76</v>
      </c>
      <c r="E760" s="7" t="s">
        <v>35</v>
      </c>
      <c r="F760" s="0" t="n">
        <v>13.128</v>
      </c>
      <c r="G760" s="0" t="n">
        <v>4.2666</v>
      </c>
      <c r="H760" s="0" t="n">
        <v>0.2</v>
      </c>
      <c r="I760" s="7" t="n">
        <f aca="false">YEAR(B760)</f>
        <v>2017</v>
      </c>
      <c r="J760" s="0" t="str">
        <f aca="false">I760&amp;"-Q"&amp;ROUNDUP(MONTH(B760)/3,0)</f>
        <v>2017-Q3</v>
      </c>
    </row>
    <row r="761" customFormat="false" ht="15" hidden="false" customHeight="false" outlineLevel="0" collapsed="false">
      <c r="A761" s="0" t="s">
        <v>426</v>
      </c>
      <c r="B761" s="6" t="n">
        <v>42996</v>
      </c>
      <c r="C761" s="7" t="s">
        <v>45</v>
      </c>
      <c r="D761" s="7" t="s">
        <v>48</v>
      </c>
      <c r="E761" s="7" t="s">
        <v>35</v>
      </c>
      <c r="F761" s="0" t="n">
        <v>22.72</v>
      </c>
      <c r="G761" s="0" t="n">
        <v>10.224</v>
      </c>
      <c r="H761" s="0" t="n">
        <v>0</v>
      </c>
      <c r="I761" s="7" t="n">
        <f aca="false">YEAR(B761)</f>
        <v>2017</v>
      </c>
      <c r="J761" s="0" t="str">
        <f aca="false">I761&amp;"-Q"&amp;ROUNDUP(MONTH(B761)/3,0)</f>
        <v>2017-Q3</v>
      </c>
    </row>
    <row r="762" customFormat="false" ht="15" hidden="false" customHeight="false" outlineLevel="0" collapsed="false">
      <c r="A762" s="0" t="s">
        <v>427</v>
      </c>
      <c r="B762" s="6" t="n">
        <v>42247</v>
      </c>
      <c r="C762" s="7" t="s">
        <v>33</v>
      </c>
      <c r="D762" s="7" t="s">
        <v>34</v>
      </c>
      <c r="E762" s="7" t="s">
        <v>35</v>
      </c>
      <c r="F762" s="0" t="n">
        <v>58.32</v>
      </c>
      <c r="G762" s="0" t="n">
        <v>27.9936</v>
      </c>
      <c r="H762" s="0" t="n">
        <v>0</v>
      </c>
      <c r="I762" s="7" t="n">
        <f aca="false">YEAR(B762)</f>
        <v>2015</v>
      </c>
      <c r="J762" s="0" t="str">
        <f aca="false">I762&amp;"-Q"&amp;ROUNDUP(MONTH(B762)/3,0)</f>
        <v>2015-Q3</v>
      </c>
    </row>
    <row r="763" customFormat="false" ht="15" hidden="false" customHeight="false" outlineLevel="0" collapsed="false">
      <c r="A763" s="0" t="s">
        <v>428</v>
      </c>
      <c r="B763" s="6" t="n">
        <v>43042</v>
      </c>
      <c r="C763" s="7" t="s">
        <v>29</v>
      </c>
      <c r="D763" s="7" t="s">
        <v>230</v>
      </c>
      <c r="E763" s="7" t="s">
        <v>35</v>
      </c>
      <c r="F763" s="0" t="n">
        <v>12.39</v>
      </c>
      <c r="G763" s="0" t="n">
        <v>5.6994</v>
      </c>
      <c r="H763" s="0" t="n">
        <v>0</v>
      </c>
      <c r="I763" s="7" t="n">
        <f aca="false">YEAR(B763)</f>
        <v>2017</v>
      </c>
      <c r="J763" s="0" t="str">
        <f aca="false">I763&amp;"-Q"&amp;ROUNDUP(MONTH(B763)/3,0)</f>
        <v>2017-Q4</v>
      </c>
    </row>
    <row r="764" customFormat="false" ht="15" hidden="false" customHeight="false" outlineLevel="0" collapsed="false">
      <c r="A764" s="0" t="s">
        <v>429</v>
      </c>
      <c r="B764" s="6" t="n">
        <v>42043</v>
      </c>
      <c r="C764" s="7" t="s">
        <v>55</v>
      </c>
      <c r="D764" s="7" t="s">
        <v>116</v>
      </c>
      <c r="E764" s="7" t="s">
        <v>39</v>
      </c>
      <c r="F764" s="0" t="n">
        <v>107.982</v>
      </c>
      <c r="G764" s="0" t="n">
        <v>-26.9955</v>
      </c>
      <c r="H764" s="0" t="n">
        <v>0.4</v>
      </c>
      <c r="I764" s="7" t="n">
        <f aca="false">YEAR(B764)</f>
        <v>2015</v>
      </c>
      <c r="J764" s="0" t="str">
        <f aca="false">I764&amp;"-Q"&amp;ROUNDUP(MONTH(B764)/3,0)</f>
        <v>2015-Q1</v>
      </c>
    </row>
    <row r="765" customFormat="false" ht="15" hidden="false" customHeight="false" outlineLevel="0" collapsed="false">
      <c r="A765" s="0" t="s">
        <v>430</v>
      </c>
      <c r="B765" s="6" t="n">
        <v>41652</v>
      </c>
      <c r="C765" s="7" t="s">
        <v>29</v>
      </c>
      <c r="D765" s="7" t="s">
        <v>152</v>
      </c>
      <c r="E765" s="7" t="s">
        <v>35</v>
      </c>
      <c r="F765" s="0" t="n">
        <v>11.36</v>
      </c>
      <c r="G765" s="0" t="n">
        <v>5.3392</v>
      </c>
      <c r="H765" s="0" t="n">
        <v>0</v>
      </c>
      <c r="I765" s="7" t="n">
        <f aca="false">YEAR(B765)</f>
        <v>2014</v>
      </c>
      <c r="J765" s="0" t="str">
        <f aca="false">I765&amp;"-Q"&amp;ROUNDUP(MONTH(B765)/3,0)</f>
        <v>2014-Q1</v>
      </c>
    </row>
    <row r="766" customFormat="false" ht="15" hidden="false" customHeight="false" outlineLevel="0" collapsed="false">
      <c r="A766" s="0" t="s">
        <v>430</v>
      </c>
      <c r="B766" s="6" t="n">
        <v>41652</v>
      </c>
      <c r="C766" s="7" t="s">
        <v>29</v>
      </c>
      <c r="D766" s="7" t="s">
        <v>152</v>
      </c>
      <c r="E766" s="7" t="s">
        <v>35</v>
      </c>
      <c r="F766" s="0" t="n">
        <v>50.94</v>
      </c>
      <c r="G766" s="0" t="n">
        <v>25.47</v>
      </c>
      <c r="H766" s="0" t="n">
        <v>0</v>
      </c>
      <c r="I766" s="7" t="n">
        <f aca="false">YEAR(B766)</f>
        <v>2014</v>
      </c>
      <c r="J766" s="0" t="str">
        <f aca="false">I766&amp;"-Q"&amp;ROUNDUP(MONTH(B766)/3,0)</f>
        <v>2014-Q1</v>
      </c>
    </row>
    <row r="767" customFormat="false" ht="15" hidden="false" customHeight="false" outlineLevel="0" collapsed="false">
      <c r="A767" s="0" t="s">
        <v>430</v>
      </c>
      <c r="B767" s="6" t="n">
        <v>41652</v>
      </c>
      <c r="C767" s="7" t="s">
        <v>29</v>
      </c>
      <c r="D767" s="7" t="s">
        <v>152</v>
      </c>
      <c r="E767" s="7" t="s">
        <v>39</v>
      </c>
      <c r="F767" s="0" t="n">
        <v>646.74</v>
      </c>
      <c r="G767" s="0" t="n">
        <v>258.696</v>
      </c>
      <c r="H767" s="0" t="n">
        <v>0</v>
      </c>
      <c r="I767" s="7" t="n">
        <f aca="false">YEAR(B767)</f>
        <v>2014</v>
      </c>
      <c r="J767" s="0" t="str">
        <f aca="false">I767&amp;"-Q"&amp;ROUNDUP(MONTH(B767)/3,0)</f>
        <v>2014-Q1</v>
      </c>
    </row>
    <row r="768" customFormat="false" ht="15" hidden="false" customHeight="false" outlineLevel="0" collapsed="false">
      <c r="A768" s="0" t="s">
        <v>430</v>
      </c>
      <c r="B768" s="6" t="n">
        <v>41652</v>
      </c>
      <c r="C768" s="7" t="s">
        <v>29</v>
      </c>
      <c r="D768" s="7" t="s">
        <v>152</v>
      </c>
      <c r="E768" s="7" t="s">
        <v>35</v>
      </c>
      <c r="F768" s="0" t="n">
        <v>5.64</v>
      </c>
      <c r="G768" s="0" t="n">
        <v>2.7072</v>
      </c>
      <c r="H768" s="0" t="n">
        <v>0</v>
      </c>
      <c r="I768" s="7" t="n">
        <f aca="false">YEAR(B768)</f>
        <v>2014</v>
      </c>
      <c r="J768" s="0" t="str">
        <f aca="false">I768&amp;"-Q"&amp;ROUNDUP(MONTH(B768)/3,0)</f>
        <v>2014-Q1</v>
      </c>
    </row>
    <row r="769" customFormat="false" ht="15" hidden="false" customHeight="false" outlineLevel="0" collapsed="false">
      <c r="A769" s="0" t="s">
        <v>430</v>
      </c>
      <c r="B769" s="6" t="n">
        <v>41652</v>
      </c>
      <c r="C769" s="7" t="s">
        <v>29</v>
      </c>
      <c r="D769" s="7" t="s">
        <v>152</v>
      </c>
      <c r="E769" s="7" t="s">
        <v>35</v>
      </c>
      <c r="F769" s="0" t="n">
        <v>572.58</v>
      </c>
      <c r="G769" s="0" t="n">
        <v>34.3548</v>
      </c>
      <c r="H769" s="0" t="n">
        <v>0</v>
      </c>
      <c r="I769" s="7" t="n">
        <f aca="false">YEAR(B769)</f>
        <v>2014</v>
      </c>
      <c r="J769" s="0" t="str">
        <f aca="false">I769&amp;"-Q"&amp;ROUNDUP(MONTH(B769)/3,0)</f>
        <v>2014-Q1</v>
      </c>
    </row>
    <row r="770" customFormat="false" ht="15" hidden="false" customHeight="false" outlineLevel="0" collapsed="false">
      <c r="A770" s="0" t="s">
        <v>431</v>
      </c>
      <c r="B770" s="6" t="n">
        <v>41773</v>
      </c>
      <c r="C770" s="7" t="s">
        <v>29</v>
      </c>
      <c r="D770" s="7" t="s">
        <v>37</v>
      </c>
      <c r="E770" s="7" t="s">
        <v>31</v>
      </c>
      <c r="F770" s="0" t="n">
        <v>310.88</v>
      </c>
      <c r="G770" s="0" t="n">
        <v>23.316</v>
      </c>
      <c r="H770" s="0" t="n">
        <v>0.2</v>
      </c>
      <c r="I770" s="7" t="n">
        <f aca="false">YEAR(B770)</f>
        <v>2014</v>
      </c>
      <c r="J770" s="0" t="str">
        <f aca="false">I770&amp;"-Q"&amp;ROUNDUP(MONTH(B770)/3,0)</f>
        <v>2014-Q2</v>
      </c>
    </row>
    <row r="771" customFormat="false" ht="15" hidden="false" customHeight="false" outlineLevel="0" collapsed="false">
      <c r="A771" s="0" t="s">
        <v>432</v>
      </c>
      <c r="B771" s="6" t="n">
        <v>42509</v>
      </c>
      <c r="C771" s="7" t="s">
        <v>29</v>
      </c>
      <c r="D771" s="7" t="s">
        <v>83</v>
      </c>
      <c r="E771" s="7" t="s">
        <v>31</v>
      </c>
      <c r="F771" s="0" t="n">
        <v>641.96</v>
      </c>
      <c r="G771" s="0" t="n">
        <v>179.7488</v>
      </c>
      <c r="H771" s="0" t="n">
        <v>0</v>
      </c>
      <c r="I771" s="7" t="n">
        <f aca="false">YEAR(B771)</f>
        <v>2016</v>
      </c>
      <c r="J771" s="0" t="str">
        <f aca="false">I771&amp;"-Q"&amp;ROUNDUP(MONTH(B771)/3,0)</f>
        <v>2016-Q2</v>
      </c>
    </row>
    <row r="772" customFormat="false" ht="15" hidden="false" customHeight="false" outlineLevel="0" collapsed="false">
      <c r="A772" s="0" t="s">
        <v>433</v>
      </c>
      <c r="B772" s="6" t="n">
        <v>42765</v>
      </c>
      <c r="C772" s="7" t="s">
        <v>45</v>
      </c>
      <c r="D772" s="7" t="s">
        <v>114</v>
      </c>
      <c r="E772" s="7" t="s">
        <v>35</v>
      </c>
      <c r="F772" s="0" t="n">
        <v>18.28</v>
      </c>
      <c r="G772" s="0" t="n">
        <v>9.14</v>
      </c>
      <c r="H772" s="0" t="n">
        <v>0</v>
      </c>
      <c r="I772" s="7" t="n">
        <f aca="false">YEAR(B772)</f>
        <v>2017</v>
      </c>
      <c r="J772" s="0" t="str">
        <f aca="false">I772&amp;"-Q"&amp;ROUNDUP(MONTH(B772)/3,0)</f>
        <v>2017-Q1</v>
      </c>
    </row>
    <row r="773" customFormat="false" ht="15" hidden="false" customHeight="false" outlineLevel="0" collapsed="false">
      <c r="A773" s="0" t="s">
        <v>433</v>
      </c>
      <c r="B773" s="6" t="n">
        <v>42765</v>
      </c>
      <c r="C773" s="7" t="s">
        <v>45</v>
      </c>
      <c r="D773" s="7" t="s">
        <v>114</v>
      </c>
      <c r="E773" s="7" t="s">
        <v>39</v>
      </c>
      <c r="F773" s="0" t="n">
        <v>207</v>
      </c>
      <c r="G773" s="0" t="n">
        <v>51.75</v>
      </c>
      <c r="H773" s="0" t="n">
        <v>0</v>
      </c>
      <c r="I773" s="7" t="n">
        <f aca="false">YEAR(B773)</f>
        <v>2017</v>
      </c>
      <c r="J773" s="0" t="str">
        <f aca="false">I773&amp;"-Q"&amp;ROUNDUP(MONTH(B773)/3,0)</f>
        <v>2017-Q1</v>
      </c>
    </row>
    <row r="774" customFormat="false" ht="15" hidden="false" customHeight="false" outlineLevel="0" collapsed="false">
      <c r="A774" s="0" t="s">
        <v>433</v>
      </c>
      <c r="B774" s="6" t="n">
        <v>42765</v>
      </c>
      <c r="C774" s="7" t="s">
        <v>45</v>
      </c>
      <c r="D774" s="7" t="s">
        <v>114</v>
      </c>
      <c r="E774" s="7" t="s">
        <v>35</v>
      </c>
      <c r="F774" s="0" t="n">
        <v>32.35</v>
      </c>
      <c r="G774" s="0" t="n">
        <v>16.175</v>
      </c>
      <c r="H774" s="0" t="n">
        <v>0</v>
      </c>
      <c r="I774" s="7" t="n">
        <f aca="false">YEAR(B774)</f>
        <v>2017</v>
      </c>
      <c r="J774" s="0" t="str">
        <f aca="false">I774&amp;"-Q"&amp;ROUNDUP(MONTH(B774)/3,0)</f>
        <v>2017-Q1</v>
      </c>
    </row>
    <row r="775" customFormat="false" ht="15" hidden="false" customHeight="false" outlineLevel="0" collapsed="false">
      <c r="A775" s="0" t="s">
        <v>433</v>
      </c>
      <c r="B775" s="6" t="n">
        <v>42765</v>
      </c>
      <c r="C775" s="7" t="s">
        <v>45</v>
      </c>
      <c r="D775" s="7" t="s">
        <v>114</v>
      </c>
      <c r="E775" s="7" t="s">
        <v>35</v>
      </c>
      <c r="F775" s="0" t="n">
        <v>7.71</v>
      </c>
      <c r="G775" s="0" t="n">
        <v>3.4695</v>
      </c>
      <c r="H775" s="0" t="n">
        <v>0</v>
      </c>
      <c r="I775" s="7" t="n">
        <f aca="false">YEAR(B775)</f>
        <v>2017</v>
      </c>
      <c r="J775" s="0" t="str">
        <f aca="false">I775&amp;"-Q"&amp;ROUNDUP(MONTH(B775)/3,0)</f>
        <v>2017-Q1</v>
      </c>
    </row>
    <row r="776" customFormat="false" ht="15" hidden="false" customHeight="false" outlineLevel="0" collapsed="false">
      <c r="A776" s="0" t="s">
        <v>433</v>
      </c>
      <c r="B776" s="6" t="n">
        <v>42765</v>
      </c>
      <c r="C776" s="7" t="s">
        <v>45</v>
      </c>
      <c r="D776" s="7" t="s">
        <v>114</v>
      </c>
      <c r="E776" s="7" t="s">
        <v>35</v>
      </c>
      <c r="F776" s="0" t="n">
        <v>40.3</v>
      </c>
      <c r="G776" s="0" t="n">
        <v>10.881</v>
      </c>
      <c r="H776" s="0" t="n">
        <v>0</v>
      </c>
      <c r="I776" s="7" t="n">
        <f aca="false">YEAR(B776)</f>
        <v>2017</v>
      </c>
      <c r="J776" s="0" t="str">
        <f aca="false">I776&amp;"-Q"&amp;ROUNDUP(MONTH(B776)/3,0)</f>
        <v>2017-Q1</v>
      </c>
    </row>
    <row r="777" customFormat="false" ht="15" hidden="false" customHeight="false" outlineLevel="0" collapsed="false">
      <c r="A777" s="0" t="s">
        <v>433</v>
      </c>
      <c r="B777" s="6" t="n">
        <v>42765</v>
      </c>
      <c r="C777" s="7" t="s">
        <v>45</v>
      </c>
      <c r="D777" s="7" t="s">
        <v>114</v>
      </c>
      <c r="E777" s="7" t="s">
        <v>31</v>
      </c>
      <c r="F777" s="0" t="n">
        <v>34.58</v>
      </c>
      <c r="G777" s="0" t="n">
        <v>14.5236</v>
      </c>
      <c r="H777" s="0" t="n">
        <v>0</v>
      </c>
      <c r="I777" s="7" t="n">
        <f aca="false">YEAR(B777)</f>
        <v>2017</v>
      </c>
      <c r="J777" s="0" t="str">
        <f aca="false">I777&amp;"-Q"&amp;ROUNDUP(MONTH(B777)/3,0)</f>
        <v>2017-Q1</v>
      </c>
    </row>
    <row r="778" customFormat="false" ht="15" hidden="false" customHeight="false" outlineLevel="0" collapsed="false">
      <c r="A778" s="0" t="s">
        <v>434</v>
      </c>
      <c r="B778" s="6" t="n">
        <v>41819</v>
      </c>
      <c r="C778" s="7" t="s">
        <v>55</v>
      </c>
      <c r="D778" s="7" t="s">
        <v>116</v>
      </c>
      <c r="E778" s="7" t="s">
        <v>35</v>
      </c>
      <c r="F778" s="0" t="n">
        <v>32.76</v>
      </c>
      <c r="G778" s="0" t="n">
        <v>3.6855</v>
      </c>
      <c r="H778" s="0" t="n">
        <v>0.2</v>
      </c>
      <c r="I778" s="7" t="n">
        <f aca="false">YEAR(B778)</f>
        <v>2014</v>
      </c>
      <c r="J778" s="0" t="str">
        <f aca="false">I778&amp;"-Q"&amp;ROUNDUP(MONTH(B778)/3,0)</f>
        <v>2014-Q2</v>
      </c>
    </row>
    <row r="779" customFormat="false" ht="15" hidden="false" customHeight="false" outlineLevel="0" collapsed="false">
      <c r="A779" s="0" t="s">
        <v>435</v>
      </c>
      <c r="B779" s="6" t="n">
        <v>42237</v>
      </c>
      <c r="C779" s="7" t="s">
        <v>33</v>
      </c>
      <c r="D779" s="7" t="s">
        <v>34</v>
      </c>
      <c r="E779" s="7" t="s">
        <v>31</v>
      </c>
      <c r="F779" s="0" t="n">
        <v>544.008</v>
      </c>
      <c r="G779" s="0" t="n">
        <v>40.8006</v>
      </c>
      <c r="H779" s="0" t="n">
        <v>0.2</v>
      </c>
      <c r="I779" s="7" t="n">
        <f aca="false">YEAR(B779)</f>
        <v>2015</v>
      </c>
      <c r="J779" s="0" t="str">
        <f aca="false">I779&amp;"-Q"&amp;ROUNDUP(MONTH(B779)/3,0)</f>
        <v>2015-Q3</v>
      </c>
    </row>
    <row r="780" customFormat="false" ht="15" hidden="false" customHeight="false" outlineLevel="0" collapsed="false">
      <c r="A780" s="0" t="s">
        <v>435</v>
      </c>
      <c r="B780" s="6" t="n">
        <v>42237</v>
      </c>
      <c r="C780" s="7" t="s">
        <v>33</v>
      </c>
      <c r="D780" s="7" t="s">
        <v>34</v>
      </c>
      <c r="E780" s="7" t="s">
        <v>35</v>
      </c>
      <c r="F780" s="0" t="n">
        <v>59.94</v>
      </c>
      <c r="G780" s="0" t="n">
        <v>28.1718</v>
      </c>
      <c r="H780" s="0" t="n">
        <v>0</v>
      </c>
      <c r="I780" s="7" t="n">
        <f aca="false">YEAR(B780)</f>
        <v>2015</v>
      </c>
      <c r="J780" s="0" t="str">
        <f aca="false">I780&amp;"-Q"&amp;ROUNDUP(MONTH(B780)/3,0)</f>
        <v>2015-Q3</v>
      </c>
    </row>
    <row r="781" customFormat="false" ht="15" hidden="false" customHeight="false" outlineLevel="0" collapsed="false">
      <c r="A781" s="0" t="s">
        <v>435</v>
      </c>
      <c r="B781" s="6" t="n">
        <v>42237</v>
      </c>
      <c r="C781" s="7" t="s">
        <v>33</v>
      </c>
      <c r="D781" s="7" t="s">
        <v>34</v>
      </c>
      <c r="E781" s="7" t="s">
        <v>35</v>
      </c>
      <c r="F781" s="0" t="n">
        <v>23.92</v>
      </c>
      <c r="G781" s="0" t="n">
        <v>11.7208</v>
      </c>
      <c r="H781" s="0" t="n">
        <v>0</v>
      </c>
      <c r="I781" s="7" t="n">
        <f aca="false">YEAR(B781)</f>
        <v>2015</v>
      </c>
      <c r="J781" s="0" t="str">
        <f aca="false">I781&amp;"-Q"&amp;ROUNDUP(MONTH(B781)/3,0)</f>
        <v>2015-Q3</v>
      </c>
    </row>
    <row r="782" customFormat="false" ht="15" hidden="false" customHeight="false" outlineLevel="0" collapsed="false">
      <c r="A782" s="0" t="s">
        <v>435</v>
      </c>
      <c r="B782" s="6" t="n">
        <v>42237</v>
      </c>
      <c r="C782" s="7" t="s">
        <v>33</v>
      </c>
      <c r="D782" s="7" t="s">
        <v>34</v>
      </c>
      <c r="E782" s="7" t="s">
        <v>35</v>
      </c>
      <c r="F782" s="0" t="n">
        <v>4.28</v>
      </c>
      <c r="G782" s="0" t="n">
        <v>1.926</v>
      </c>
      <c r="H782" s="0" t="n">
        <v>0</v>
      </c>
      <c r="I782" s="7" t="n">
        <f aca="false">YEAR(B782)</f>
        <v>2015</v>
      </c>
      <c r="J782" s="0" t="str">
        <f aca="false">I782&amp;"-Q"&amp;ROUNDUP(MONTH(B782)/3,0)</f>
        <v>2015-Q3</v>
      </c>
    </row>
    <row r="783" customFormat="false" ht="15" hidden="false" customHeight="false" outlineLevel="0" collapsed="false">
      <c r="A783" s="0" t="s">
        <v>436</v>
      </c>
      <c r="B783" s="6" t="n">
        <v>42280</v>
      </c>
      <c r="C783" s="7" t="s">
        <v>55</v>
      </c>
      <c r="D783" s="7" t="s">
        <v>116</v>
      </c>
      <c r="E783" s="7" t="s">
        <v>35</v>
      </c>
      <c r="F783" s="0" t="n">
        <v>32.07</v>
      </c>
      <c r="G783" s="0" t="n">
        <v>-22.449</v>
      </c>
      <c r="H783" s="0" t="n">
        <v>0.7</v>
      </c>
      <c r="I783" s="7" t="n">
        <f aca="false">YEAR(B783)</f>
        <v>2015</v>
      </c>
      <c r="J783" s="0" t="str">
        <f aca="false">I783&amp;"-Q"&amp;ROUNDUP(MONTH(B783)/3,0)</f>
        <v>2015-Q4</v>
      </c>
    </row>
    <row r="784" customFormat="false" ht="15" hidden="false" customHeight="false" outlineLevel="0" collapsed="false">
      <c r="A784" s="0" t="s">
        <v>436</v>
      </c>
      <c r="B784" s="6" t="n">
        <v>42280</v>
      </c>
      <c r="C784" s="7" t="s">
        <v>55</v>
      </c>
      <c r="D784" s="7" t="s">
        <v>116</v>
      </c>
      <c r="E784" s="7" t="s">
        <v>39</v>
      </c>
      <c r="F784" s="0" t="n">
        <v>24</v>
      </c>
      <c r="G784" s="0" t="n">
        <v>-2.7</v>
      </c>
      <c r="H784" s="0" t="n">
        <v>0.2</v>
      </c>
      <c r="I784" s="7" t="n">
        <f aca="false">YEAR(B784)</f>
        <v>2015</v>
      </c>
      <c r="J784" s="0" t="str">
        <f aca="false">I784&amp;"-Q"&amp;ROUNDUP(MONTH(B784)/3,0)</f>
        <v>2015-Q4</v>
      </c>
    </row>
    <row r="785" customFormat="false" ht="15" hidden="false" customHeight="false" outlineLevel="0" collapsed="false">
      <c r="A785" s="0" t="s">
        <v>436</v>
      </c>
      <c r="B785" s="6" t="n">
        <v>42280</v>
      </c>
      <c r="C785" s="7" t="s">
        <v>55</v>
      </c>
      <c r="D785" s="7" t="s">
        <v>116</v>
      </c>
      <c r="E785" s="7" t="s">
        <v>31</v>
      </c>
      <c r="F785" s="0" t="n">
        <v>35.49</v>
      </c>
      <c r="G785" s="0" t="n">
        <v>-15.6156</v>
      </c>
      <c r="H785" s="0" t="n">
        <v>0.5</v>
      </c>
      <c r="I785" s="7" t="n">
        <f aca="false">YEAR(B785)</f>
        <v>2015</v>
      </c>
      <c r="J785" s="0" t="str">
        <f aca="false">I785&amp;"-Q"&amp;ROUNDUP(MONTH(B785)/3,0)</f>
        <v>2015-Q4</v>
      </c>
    </row>
    <row r="786" customFormat="false" ht="15" hidden="false" customHeight="false" outlineLevel="0" collapsed="false">
      <c r="A786" s="0" t="s">
        <v>436</v>
      </c>
      <c r="B786" s="6" t="n">
        <v>42280</v>
      </c>
      <c r="C786" s="7" t="s">
        <v>55</v>
      </c>
      <c r="D786" s="7" t="s">
        <v>116</v>
      </c>
      <c r="E786" s="7" t="s">
        <v>39</v>
      </c>
      <c r="F786" s="0" t="n">
        <v>47.984</v>
      </c>
      <c r="G786" s="0" t="n">
        <v>0.5998</v>
      </c>
      <c r="H786" s="0" t="n">
        <v>0.2</v>
      </c>
      <c r="I786" s="7" t="n">
        <f aca="false">YEAR(B786)</f>
        <v>2015</v>
      </c>
      <c r="J786" s="0" t="str">
        <f aca="false">I786&amp;"-Q"&amp;ROUNDUP(MONTH(B786)/3,0)</f>
        <v>2015-Q4</v>
      </c>
    </row>
    <row r="787" customFormat="false" ht="15" hidden="false" customHeight="false" outlineLevel="0" collapsed="false">
      <c r="A787" s="0" t="s">
        <v>437</v>
      </c>
      <c r="B787" s="6" t="n">
        <v>42147</v>
      </c>
      <c r="C787" s="7" t="s">
        <v>29</v>
      </c>
      <c r="D787" s="7" t="s">
        <v>96</v>
      </c>
      <c r="E787" s="7" t="s">
        <v>35</v>
      </c>
      <c r="F787" s="0" t="n">
        <v>186.69</v>
      </c>
      <c r="G787" s="0" t="n">
        <v>87.7443</v>
      </c>
      <c r="H787" s="0" t="n">
        <v>0</v>
      </c>
      <c r="I787" s="7" t="n">
        <f aca="false">YEAR(B787)</f>
        <v>2015</v>
      </c>
      <c r="J787" s="0" t="str">
        <f aca="false">I787&amp;"-Q"&amp;ROUNDUP(MONTH(B787)/3,0)</f>
        <v>2015-Q2</v>
      </c>
    </row>
    <row r="788" customFormat="false" ht="15" hidden="false" customHeight="false" outlineLevel="0" collapsed="false">
      <c r="A788" s="0" t="s">
        <v>438</v>
      </c>
      <c r="B788" s="6" t="n">
        <v>42811</v>
      </c>
      <c r="C788" s="7" t="s">
        <v>33</v>
      </c>
      <c r="D788" s="7" t="s">
        <v>34</v>
      </c>
      <c r="E788" s="7" t="s">
        <v>35</v>
      </c>
      <c r="F788" s="0" t="n">
        <v>17.456</v>
      </c>
      <c r="G788" s="0" t="n">
        <v>5.8914</v>
      </c>
      <c r="H788" s="0" t="n">
        <v>0.2</v>
      </c>
      <c r="I788" s="7" t="n">
        <f aca="false">YEAR(B788)</f>
        <v>2017</v>
      </c>
      <c r="J788" s="0" t="str">
        <f aca="false">I788&amp;"-Q"&amp;ROUNDUP(MONTH(B788)/3,0)</f>
        <v>2017-Q1</v>
      </c>
    </row>
    <row r="789" customFormat="false" ht="15" hidden="false" customHeight="false" outlineLevel="0" collapsed="false">
      <c r="A789" s="0" t="s">
        <v>439</v>
      </c>
      <c r="B789" s="6" t="n">
        <v>42350</v>
      </c>
      <c r="C789" s="7" t="s">
        <v>33</v>
      </c>
      <c r="D789" s="7" t="s">
        <v>34</v>
      </c>
      <c r="E789" s="7" t="s">
        <v>31</v>
      </c>
      <c r="F789" s="0" t="n">
        <v>348.928</v>
      </c>
      <c r="G789" s="0" t="n">
        <v>34.8928</v>
      </c>
      <c r="H789" s="0" t="n">
        <v>0.2</v>
      </c>
      <c r="I789" s="7" t="n">
        <f aca="false">YEAR(B789)</f>
        <v>2015</v>
      </c>
      <c r="J789" s="0" t="str">
        <f aca="false">I789&amp;"-Q"&amp;ROUNDUP(MONTH(B789)/3,0)</f>
        <v>2015-Q4</v>
      </c>
    </row>
    <row r="790" customFormat="false" ht="15" hidden="false" customHeight="false" outlineLevel="0" collapsed="false">
      <c r="A790" s="0" t="s">
        <v>440</v>
      </c>
      <c r="B790" s="6" t="n">
        <v>42181</v>
      </c>
      <c r="C790" s="7" t="s">
        <v>29</v>
      </c>
      <c r="D790" s="7" t="s">
        <v>83</v>
      </c>
      <c r="E790" s="7" t="s">
        <v>35</v>
      </c>
      <c r="F790" s="0" t="n">
        <v>143.96</v>
      </c>
      <c r="G790" s="0" t="n">
        <v>69.1008</v>
      </c>
      <c r="H790" s="0" t="n">
        <v>0</v>
      </c>
      <c r="I790" s="7" t="n">
        <f aca="false">YEAR(B790)</f>
        <v>2015</v>
      </c>
      <c r="J790" s="0" t="str">
        <f aca="false">I790&amp;"-Q"&amp;ROUNDUP(MONTH(B790)/3,0)</f>
        <v>2015-Q2</v>
      </c>
    </row>
    <row r="791" customFormat="false" ht="15" hidden="false" customHeight="false" outlineLevel="0" collapsed="false">
      <c r="A791" s="0" t="s">
        <v>440</v>
      </c>
      <c r="B791" s="6" t="n">
        <v>42181</v>
      </c>
      <c r="C791" s="7" t="s">
        <v>29</v>
      </c>
      <c r="D791" s="7" t="s">
        <v>83</v>
      </c>
      <c r="E791" s="7" t="s">
        <v>35</v>
      </c>
      <c r="F791" s="0" t="n">
        <v>15.42</v>
      </c>
      <c r="G791" s="0" t="n">
        <v>4.1634</v>
      </c>
      <c r="H791" s="0" t="n">
        <v>0</v>
      </c>
      <c r="I791" s="7" t="n">
        <f aca="false">YEAR(B791)</f>
        <v>2015</v>
      </c>
      <c r="J791" s="0" t="str">
        <f aca="false">I791&amp;"-Q"&amp;ROUNDUP(MONTH(B791)/3,0)</f>
        <v>2015-Q2</v>
      </c>
    </row>
    <row r="792" customFormat="false" ht="15" hidden="false" customHeight="false" outlineLevel="0" collapsed="false">
      <c r="A792" s="0" t="s">
        <v>440</v>
      </c>
      <c r="B792" s="6" t="n">
        <v>42181</v>
      </c>
      <c r="C792" s="7" t="s">
        <v>29</v>
      </c>
      <c r="D792" s="7" t="s">
        <v>83</v>
      </c>
      <c r="E792" s="7" t="s">
        <v>35</v>
      </c>
      <c r="F792" s="0" t="n">
        <v>43.04</v>
      </c>
      <c r="G792" s="0" t="n">
        <v>21.0896</v>
      </c>
      <c r="H792" s="0" t="n">
        <v>0</v>
      </c>
      <c r="I792" s="7" t="n">
        <f aca="false">YEAR(B792)</f>
        <v>2015</v>
      </c>
      <c r="J792" s="0" t="str">
        <f aca="false">I792&amp;"-Q"&amp;ROUNDUP(MONTH(B792)/3,0)</f>
        <v>2015-Q2</v>
      </c>
    </row>
    <row r="793" customFormat="false" ht="15" hidden="false" customHeight="false" outlineLevel="0" collapsed="false">
      <c r="A793" s="0" t="s">
        <v>440</v>
      </c>
      <c r="B793" s="6" t="n">
        <v>42181</v>
      </c>
      <c r="C793" s="7" t="s">
        <v>29</v>
      </c>
      <c r="D793" s="7" t="s">
        <v>83</v>
      </c>
      <c r="E793" s="7" t="s">
        <v>31</v>
      </c>
      <c r="F793" s="0" t="n">
        <v>332.94</v>
      </c>
      <c r="G793" s="0" t="n">
        <v>79.9056</v>
      </c>
      <c r="H793" s="0" t="n">
        <v>0</v>
      </c>
      <c r="I793" s="7" t="n">
        <f aca="false">YEAR(B793)</f>
        <v>2015</v>
      </c>
      <c r="J793" s="0" t="str">
        <f aca="false">I793&amp;"-Q"&amp;ROUNDUP(MONTH(B793)/3,0)</f>
        <v>2015-Q2</v>
      </c>
    </row>
    <row r="794" customFormat="false" ht="15" hidden="false" customHeight="false" outlineLevel="0" collapsed="false">
      <c r="A794" s="0" t="s">
        <v>441</v>
      </c>
      <c r="B794" s="6" t="n">
        <v>42510</v>
      </c>
      <c r="C794" s="7" t="s">
        <v>29</v>
      </c>
      <c r="D794" s="7" t="s">
        <v>41</v>
      </c>
      <c r="E794" s="7" t="s">
        <v>39</v>
      </c>
      <c r="F794" s="0" t="n">
        <v>1363.96</v>
      </c>
      <c r="G794" s="0" t="n">
        <v>85.2475</v>
      </c>
      <c r="H794" s="0" t="n">
        <v>0.2</v>
      </c>
      <c r="I794" s="7" t="n">
        <f aca="false">YEAR(B794)</f>
        <v>2016</v>
      </c>
      <c r="J794" s="0" t="str">
        <f aca="false">I794&amp;"-Q"&amp;ROUNDUP(MONTH(B794)/3,0)</f>
        <v>2016-Q2</v>
      </c>
    </row>
    <row r="795" customFormat="false" ht="15" hidden="false" customHeight="false" outlineLevel="0" collapsed="false">
      <c r="A795" s="0" t="s">
        <v>442</v>
      </c>
      <c r="B795" s="6" t="n">
        <v>41902</v>
      </c>
      <c r="C795" s="7" t="s">
        <v>33</v>
      </c>
      <c r="D795" s="7" t="s">
        <v>34</v>
      </c>
      <c r="E795" s="7" t="s">
        <v>35</v>
      </c>
      <c r="F795" s="0" t="n">
        <v>9.96</v>
      </c>
      <c r="G795" s="0" t="n">
        <v>4.5816</v>
      </c>
      <c r="H795" s="0" t="n">
        <v>0</v>
      </c>
      <c r="I795" s="7" t="n">
        <f aca="false">YEAR(B795)</f>
        <v>2014</v>
      </c>
      <c r="J795" s="0" t="str">
        <f aca="false">I795&amp;"-Q"&amp;ROUNDUP(MONTH(B795)/3,0)</f>
        <v>2014-Q3</v>
      </c>
    </row>
    <row r="796" customFormat="false" ht="15" hidden="false" customHeight="false" outlineLevel="0" collapsed="false">
      <c r="A796" s="0" t="s">
        <v>442</v>
      </c>
      <c r="B796" s="6" t="n">
        <v>41902</v>
      </c>
      <c r="C796" s="7" t="s">
        <v>33</v>
      </c>
      <c r="D796" s="7" t="s">
        <v>34</v>
      </c>
      <c r="E796" s="7" t="s">
        <v>35</v>
      </c>
      <c r="F796" s="0" t="n">
        <v>21.72</v>
      </c>
      <c r="G796" s="0" t="n">
        <v>10.6428</v>
      </c>
      <c r="H796" s="0" t="n">
        <v>0</v>
      </c>
      <c r="I796" s="7" t="n">
        <f aca="false">YEAR(B796)</f>
        <v>2014</v>
      </c>
      <c r="J796" s="0" t="str">
        <f aca="false">I796&amp;"-Q"&amp;ROUNDUP(MONTH(B796)/3,0)</f>
        <v>2014-Q3</v>
      </c>
    </row>
    <row r="797" customFormat="false" ht="15" hidden="false" customHeight="false" outlineLevel="0" collapsed="false">
      <c r="A797" s="0" t="s">
        <v>443</v>
      </c>
      <c r="B797" s="6" t="n">
        <v>42999</v>
      </c>
      <c r="C797" s="7" t="s">
        <v>45</v>
      </c>
      <c r="D797" s="7" t="s">
        <v>68</v>
      </c>
      <c r="E797" s="7" t="s">
        <v>35</v>
      </c>
      <c r="F797" s="0" t="n">
        <v>20.16</v>
      </c>
      <c r="G797" s="0" t="n">
        <v>9.8784</v>
      </c>
      <c r="H797" s="0" t="n">
        <v>0</v>
      </c>
      <c r="I797" s="7" t="n">
        <f aca="false">YEAR(B797)</f>
        <v>2017</v>
      </c>
      <c r="J797" s="0" t="str">
        <f aca="false">I797&amp;"-Q"&amp;ROUNDUP(MONTH(B797)/3,0)</f>
        <v>2017-Q3</v>
      </c>
    </row>
    <row r="798" customFormat="false" ht="15" hidden="false" customHeight="false" outlineLevel="0" collapsed="false">
      <c r="A798" s="0" t="s">
        <v>444</v>
      </c>
      <c r="B798" s="6" t="n">
        <v>42362</v>
      </c>
      <c r="C798" s="7" t="s">
        <v>55</v>
      </c>
      <c r="D798" s="7" t="s">
        <v>76</v>
      </c>
      <c r="E798" s="7" t="s">
        <v>35</v>
      </c>
      <c r="F798" s="0" t="n">
        <v>132.79</v>
      </c>
      <c r="G798" s="0" t="n">
        <v>63.7392</v>
      </c>
      <c r="H798" s="0" t="n">
        <v>0</v>
      </c>
      <c r="I798" s="7" t="n">
        <f aca="false">YEAR(B798)</f>
        <v>2015</v>
      </c>
      <c r="J798" s="0" t="str">
        <f aca="false">I798&amp;"-Q"&amp;ROUNDUP(MONTH(B798)/3,0)</f>
        <v>2015-Q4</v>
      </c>
    </row>
    <row r="799" customFormat="false" ht="15" hidden="false" customHeight="false" outlineLevel="0" collapsed="false">
      <c r="A799" s="0" t="s">
        <v>444</v>
      </c>
      <c r="B799" s="6" t="n">
        <v>42362</v>
      </c>
      <c r="C799" s="7" t="s">
        <v>55</v>
      </c>
      <c r="D799" s="7" t="s">
        <v>76</v>
      </c>
      <c r="E799" s="7" t="s">
        <v>35</v>
      </c>
      <c r="F799" s="0" t="n">
        <v>12.96</v>
      </c>
      <c r="G799" s="0" t="n">
        <v>6.2208</v>
      </c>
      <c r="H799" s="0" t="n">
        <v>0</v>
      </c>
      <c r="I799" s="7" t="n">
        <f aca="false">YEAR(B799)</f>
        <v>2015</v>
      </c>
      <c r="J799" s="0" t="str">
        <f aca="false">I799&amp;"-Q"&amp;ROUNDUP(MONTH(B799)/3,0)</f>
        <v>2015-Q4</v>
      </c>
    </row>
    <row r="800" customFormat="false" ht="15" hidden="false" customHeight="false" outlineLevel="0" collapsed="false">
      <c r="A800" s="0" t="s">
        <v>444</v>
      </c>
      <c r="B800" s="6" t="n">
        <v>42362</v>
      </c>
      <c r="C800" s="7" t="s">
        <v>55</v>
      </c>
      <c r="D800" s="7" t="s">
        <v>76</v>
      </c>
      <c r="E800" s="7" t="s">
        <v>35</v>
      </c>
      <c r="F800" s="0" t="n">
        <v>21.56</v>
      </c>
      <c r="G800" s="0" t="n">
        <v>10.3488</v>
      </c>
      <c r="H800" s="0" t="n">
        <v>0</v>
      </c>
      <c r="I800" s="7" t="n">
        <f aca="false">YEAR(B800)</f>
        <v>2015</v>
      </c>
      <c r="J800" s="0" t="str">
        <f aca="false">I800&amp;"-Q"&amp;ROUNDUP(MONTH(B800)/3,0)</f>
        <v>2015-Q4</v>
      </c>
    </row>
    <row r="801" customFormat="false" ht="15" hidden="false" customHeight="false" outlineLevel="0" collapsed="false">
      <c r="A801" s="0" t="s">
        <v>445</v>
      </c>
      <c r="B801" s="6" t="n">
        <v>42335</v>
      </c>
      <c r="C801" s="7" t="s">
        <v>33</v>
      </c>
      <c r="D801" s="7" t="s">
        <v>34</v>
      </c>
      <c r="E801" s="7" t="s">
        <v>31</v>
      </c>
      <c r="F801" s="0" t="n">
        <v>283.92</v>
      </c>
      <c r="G801" s="0" t="n">
        <v>17.745</v>
      </c>
      <c r="H801" s="0" t="n">
        <v>0.2</v>
      </c>
      <c r="I801" s="7" t="n">
        <f aca="false">YEAR(B801)</f>
        <v>2015</v>
      </c>
      <c r="J801" s="0" t="str">
        <f aca="false">I801&amp;"-Q"&amp;ROUNDUP(MONTH(B801)/3,0)</f>
        <v>2015-Q4</v>
      </c>
    </row>
    <row r="802" customFormat="false" ht="15" hidden="false" customHeight="false" outlineLevel="0" collapsed="false">
      <c r="A802" s="0" t="s">
        <v>446</v>
      </c>
      <c r="B802" s="6" t="n">
        <v>42786</v>
      </c>
      <c r="C802" s="7" t="s">
        <v>33</v>
      </c>
      <c r="D802" s="7" t="s">
        <v>34</v>
      </c>
      <c r="E802" s="7" t="s">
        <v>31</v>
      </c>
      <c r="F802" s="0" t="n">
        <v>22.23</v>
      </c>
      <c r="G802" s="0" t="n">
        <v>7.3359</v>
      </c>
      <c r="H802" s="0" t="n">
        <v>0</v>
      </c>
      <c r="I802" s="7" t="n">
        <f aca="false">YEAR(B802)</f>
        <v>2017</v>
      </c>
      <c r="J802" s="0" t="str">
        <f aca="false">I802&amp;"-Q"&amp;ROUNDUP(MONTH(B802)/3,0)</f>
        <v>2017-Q1</v>
      </c>
    </row>
    <row r="803" customFormat="false" ht="15" hidden="false" customHeight="false" outlineLevel="0" collapsed="false">
      <c r="A803" s="0" t="s">
        <v>446</v>
      </c>
      <c r="B803" s="6" t="n">
        <v>42786</v>
      </c>
      <c r="C803" s="7" t="s">
        <v>33</v>
      </c>
      <c r="D803" s="7" t="s">
        <v>34</v>
      </c>
      <c r="E803" s="7" t="s">
        <v>39</v>
      </c>
      <c r="F803" s="0" t="n">
        <v>215.968</v>
      </c>
      <c r="G803" s="0" t="n">
        <v>18.8972</v>
      </c>
      <c r="H803" s="0" t="n">
        <v>0.2</v>
      </c>
      <c r="I803" s="7" t="n">
        <f aca="false">YEAR(B803)</f>
        <v>2017</v>
      </c>
      <c r="J803" s="0" t="str">
        <f aca="false">I803&amp;"-Q"&amp;ROUNDUP(MONTH(B803)/3,0)</f>
        <v>2017-Q1</v>
      </c>
    </row>
    <row r="804" customFormat="false" ht="15" hidden="false" customHeight="false" outlineLevel="0" collapsed="false">
      <c r="A804" s="0" t="s">
        <v>447</v>
      </c>
      <c r="B804" s="6" t="n">
        <v>42600</v>
      </c>
      <c r="C804" s="7" t="s">
        <v>55</v>
      </c>
      <c r="D804" s="7" t="s">
        <v>76</v>
      </c>
      <c r="E804" s="7" t="s">
        <v>35</v>
      </c>
      <c r="F804" s="0" t="n">
        <v>355.32</v>
      </c>
      <c r="G804" s="0" t="n">
        <v>99.4896</v>
      </c>
      <c r="H804" s="0" t="n">
        <v>0</v>
      </c>
      <c r="I804" s="7" t="n">
        <f aca="false">YEAR(B804)</f>
        <v>2016</v>
      </c>
      <c r="J804" s="0" t="str">
        <f aca="false">I804&amp;"-Q"&amp;ROUNDUP(MONTH(B804)/3,0)</f>
        <v>2016-Q3</v>
      </c>
    </row>
    <row r="805" customFormat="false" ht="15" hidden="false" customHeight="false" outlineLevel="0" collapsed="false">
      <c r="A805" s="0" t="s">
        <v>448</v>
      </c>
      <c r="B805" s="6" t="n">
        <v>42441</v>
      </c>
      <c r="C805" s="7" t="s">
        <v>29</v>
      </c>
      <c r="D805" s="7" t="s">
        <v>152</v>
      </c>
      <c r="E805" s="7" t="s">
        <v>35</v>
      </c>
      <c r="F805" s="0" t="n">
        <v>12.96</v>
      </c>
      <c r="G805" s="0" t="n">
        <v>6.2208</v>
      </c>
      <c r="H805" s="0" t="n">
        <v>0</v>
      </c>
      <c r="I805" s="7" t="n">
        <f aca="false">YEAR(B805)</f>
        <v>2016</v>
      </c>
      <c r="J805" s="0" t="str">
        <f aca="false">I805&amp;"-Q"&amp;ROUNDUP(MONTH(B805)/3,0)</f>
        <v>2016-Q1</v>
      </c>
    </row>
    <row r="806" customFormat="false" ht="15" hidden="false" customHeight="false" outlineLevel="0" collapsed="false">
      <c r="A806" s="0" t="s">
        <v>449</v>
      </c>
      <c r="B806" s="6" t="n">
        <v>42847</v>
      </c>
      <c r="C806" s="7" t="s">
        <v>33</v>
      </c>
      <c r="D806" s="7" t="s">
        <v>34</v>
      </c>
      <c r="E806" s="7" t="s">
        <v>31</v>
      </c>
      <c r="F806" s="0" t="n">
        <v>18.28</v>
      </c>
      <c r="G806" s="0" t="n">
        <v>6.2152</v>
      </c>
      <c r="H806" s="0" t="n">
        <v>0</v>
      </c>
      <c r="I806" s="7" t="n">
        <f aca="false">YEAR(B806)</f>
        <v>2017</v>
      </c>
      <c r="J806" s="0" t="str">
        <f aca="false">I806&amp;"-Q"&amp;ROUNDUP(MONTH(B806)/3,0)</f>
        <v>2017-Q2</v>
      </c>
    </row>
    <row r="807" customFormat="false" ht="15" hidden="false" customHeight="false" outlineLevel="0" collapsed="false">
      <c r="A807" s="0" t="s">
        <v>450</v>
      </c>
      <c r="B807" s="6" t="n">
        <v>41944</v>
      </c>
      <c r="C807" s="7" t="s">
        <v>33</v>
      </c>
      <c r="D807" s="7" t="s">
        <v>109</v>
      </c>
      <c r="E807" s="7" t="s">
        <v>35</v>
      </c>
      <c r="F807" s="0" t="n">
        <v>43.176</v>
      </c>
      <c r="G807" s="0" t="n">
        <v>4.3176</v>
      </c>
      <c r="H807" s="0" t="n">
        <v>0.2</v>
      </c>
      <c r="I807" s="7" t="n">
        <f aca="false">YEAR(B807)</f>
        <v>2014</v>
      </c>
      <c r="J807" s="0" t="str">
        <f aca="false">I807&amp;"-Q"&amp;ROUNDUP(MONTH(B807)/3,0)</f>
        <v>2014-Q4</v>
      </c>
    </row>
    <row r="808" customFormat="false" ht="15" hidden="false" customHeight="false" outlineLevel="0" collapsed="false">
      <c r="A808" s="0" t="s">
        <v>450</v>
      </c>
      <c r="B808" s="6" t="n">
        <v>41944</v>
      </c>
      <c r="C808" s="7" t="s">
        <v>33</v>
      </c>
      <c r="D808" s="7" t="s">
        <v>109</v>
      </c>
      <c r="E808" s="7" t="s">
        <v>39</v>
      </c>
      <c r="F808" s="0" t="n">
        <v>1983.968</v>
      </c>
      <c r="G808" s="0" t="n">
        <v>247.996</v>
      </c>
      <c r="H808" s="0" t="n">
        <v>0.2</v>
      </c>
      <c r="I808" s="7" t="n">
        <f aca="false">YEAR(B808)</f>
        <v>2014</v>
      </c>
      <c r="J808" s="0" t="str">
        <f aca="false">I808&amp;"-Q"&amp;ROUNDUP(MONTH(B808)/3,0)</f>
        <v>2014-Q4</v>
      </c>
    </row>
    <row r="809" customFormat="false" ht="15" hidden="false" customHeight="false" outlineLevel="0" collapsed="false">
      <c r="A809" s="0" t="s">
        <v>451</v>
      </c>
      <c r="B809" s="6" t="n">
        <v>42038</v>
      </c>
      <c r="C809" s="7" t="s">
        <v>45</v>
      </c>
      <c r="D809" s="7" t="s">
        <v>53</v>
      </c>
      <c r="E809" s="7" t="s">
        <v>31</v>
      </c>
      <c r="F809" s="0" t="n">
        <v>28.4</v>
      </c>
      <c r="G809" s="0" t="n">
        <v>11.076</v>
      </c>
      <c r="H809" s="0" t="n">
        <v>0</v>
      </c>
      <c r="I809" s="7" t="n">
        <f aca="false">YEAR(B809)</f>
        <v>2015</v>
      </c>
      <c r="J809" s="0" t="str">
        <f aca="false">I809&amp;"-Q"&amp;ROUNDUP(MONTH(B809)/3,0)</f>
        <v>2015-Q1</v>
      </c>
    </row>
    <row r="810" customFormat="false" ht="15" hidden="false" customHeight="false" outlineLevel="0" collapsed="false">
      <c r="A810" s="0" t="s">
        <v>451</v>
      </c>
      <c r="B810" s="6" t="n">
        <v>42038</v>
      </c>
      <c r="C810" s="7" t="s">
        <v>45</v>
      </c>
      <c r="D810" s="7" t="s">
        <v>53</v>
      </c>
      <c r="E810" s="7" t="s">
        <v>39</v>
      </c>
      <c r="F810" s="0" t="n">
        <v>149.97</v>
      </c>
      <c r="G810" s="0" t="n">
        <v>50.9898</v>
      </c>
      <c r="H810" s="0" t="n">
        <v>0</v>
      </c>
      <c r="I810" s="7" t="n">
        <f aca="false">YEAR(B810)</f>
        <v>2015</v>
      </c>
      <c r="J810" s="0" t="str">
        <f aca="false">I810&amp;"-Q"&amp;ROUNDUP(MONTH(B810)/3,0)</f>
        <v>2015-Q1</v>
      </c>
    </row>
    <row r="811" customFormat="false" ht="15" hidden="false" customHeight="false" outlineLevel="0" collapsed="false">
      <c r="A811" s="0" t="s">
        <v>452</v>
      </c>
      <c r="B811" s="6" t="n">
        <v>41925</v>
      </c>
      <c r="C811" s="7" t="s">
        <v>33</v>
      </c>
      <c r="D811" s="7" t="s">
        <v>43</v>
      </c>
      <c r="E811" s="7" t="s">
        <v>35</v>
      </c>
      <c r="F811" s="0" t="n">
        <v>11.52</v>
      </c>
      <c r="G811" s="0" t="n">
        <v>3.2256</v>
      </c>
      <c r="H811" s="0" t="n">
        <v>0</v>
      </c>
      <c r="I811" s="7" t="n">
        <f aca="false">YEAR(B811)</f>
        <v>2014</v>
      </c>
      <c r="J811" s="0" t="str">
        <f aca="false">I811&amp;"-Q"&amp;ROUNDUP(MONTH(B811)/3,0)</f>
        <v>2014-Q4</v>
      </c>
    </row>
    <row r="812" customFormat="false" ht="15" hidden="false" customHeight="false" outlineLevel="0" collapsed="false">
      <c r="A812" s="0" t="s">
        <v>452</v>
      </c>
      <c r="B812" s="6" t="n">
        <v>41925</v>
      </c>
      <c r="C812" s="7" t="s">
        <v>33</v>
      </c>
      <c r="D812" s="7" t="s">
        <v>43</v>
      </c>
      <c r="E812" s="7" t="s">
        <v>31</v>
      </c>
      <c r="F812" s="0" t="n">
        <v>1298.55</v>
      </c>
      <c r="G812" s="0" t="n">
        <v>311.652</v>
      </c>
      <c r="H812" s="0" t="n">
        <v>0</v>
      </c>
      <c r="I812" s="7" t="n">
        <f aca="false">YEAR(B812)</f>
        <v>2014</v>
      </c>
      <c r="J812" s="0" t="str">
        <f aca="false">I812&amp;"-Q"&amp;ROUNDUP(MONTH(B812)/3,0)</f>
        <v>2014-Q4</v>
      </c>
    </row>
    <row r="813" customFormat="false" ht="15" hidden="false" customHeight="false" outlineLevel="0" collapsed="false">
      <c r="A813" s="0" t="s">
        <v>452</v>
      </c>
      <c r="B813" s="6" t="n">
        <v>41925</v>
      </c>
      <c r="C813" s="7" t="s">
        <v>33</v>
      </c>
      <c r="D813" s="7" t="s">
        <v>43</v>
      </c>
      <c r="E813" s="7" t="s">
        <v>35</v>
      </c>
      <c r="F813" s="0" t="n">
        <v>213.92</v>
      </c>
      <c r="G813" s="0" t="n">
        <v>62.0368</v>
      </c>
      <c r="H813" s="0" t="n">
        <v>0</v>
      </c>
      <c r="I813" s="7" t="n">
        <f aca="false">YEAR(B813)</f>
        <v>2014</v>
      </c>
      <c r="J813" s="0" t="str">
        <f aca="false">I813&amp;"-Q"&amp;ROUNDUP(MONTH(B813)/3,0)</f>
        <v>2014-Q4</v>
      </c>
    </row>
    <row r="814" customFormat="false" ht="15" hidden="false" customHeight="false" outlineLevel="0" collapsed="false">
      <c r="A814" s="0" t="s">
        <v>452</v>
      </c>
      <c r="B814" s="6" t="n">
        <v>41925</v>
      </c>
      <c r="C814" s="7" t="s">
        <v>33</v>
      </c>
      <c r="D814" s="7" t="s">
        <v>43</v>
      </c>
      <c r="E814" s="7" t="s">
        <v>39</v>
      </c>
      <c r="F814" s="0" t="n">
        <v>25.78</v>
      </c>
      <c r="G814" s="0" t="n">
        <v>2.578</v>
      </c>
      <c r="H814" s="0" t="n">
        <v>0</v>
      </c>
      <c r="I814" s="7" t="n">
        <f aca="false">YEAR(B814)</f>
        <v>2014</v>
      </c>
      <c r="J814" s="0" t="str">
        <f aca="false">I814&amp;"-Q"&amp;ROUNDUP(MONTH(B814)/3,0)</f>
        <v>2014-Q4</v>
      </c>
    </row>
    <row r="815" customFormat="false" ht="15" hidden="false" customHeight="false" outlineLevel="0" collapsed="false">
      <c r="A815" s="0" t="s">
        <v>453</v>
      </c>
      <c r="B815" s="6" t="n">
        <v>42869</v>
      </c>
      <c r="C815" s="7" t="s">
        <v>33</v>
      </c>
      <c r="D815" s="7" t="s">
        <v>34</v>
      </c>
      <c r="E815" s="7" t="s">
        <v>31</v>
      </c>
      <c r="F815" s="0" t="n">
        <v>18.28</v>
      </c>
      <c r="G815" s="0" t="n">
        <v>6.2152</v>
      </c>
      <c r="H815" s="0" t="n">
        <v>0</v>
      </c>
      <c r="I815" s="7" t="n">
        <f aca="false">YEAR(B815)</f>
        <v>2017</v>
      </c>
      <c r="J815" s="0" t="str">
        <f aca="false">I815&amp;"-Q"&amp;ROUNDUP(MONTH(B815)/3,0)</f>
        <v>2017-Q2</v>
      </c>
    </row>
    <row r="816" customFormat="false" ht="15" hidden="false" customHeight="false" outlineLevel="0" collapsed="false">
      <c r="A816" s="0" t="s">
        <v>453</v>
      </c>
      <c r="B816" s="6" t="n">
        <v>42869</v>
      </c>
      <c r="C816" s="7" t="s">
        <v>33</v>
      </c>
      <c r="D816" s="7" t="s">
        <v>34</v>
      </c>
      <c r="E816" s="7" t="s">
        <v>39</v>
      </c>
      <c r="F816" s="0" t="n">
        <v>1399.93</v>
      </c>
      <c r="G816" s="0" t="n">
        <v>601.9699</v>
      </c>
      <c r="H816" s="0" t="n">
        <v>0</v>
      </c>
      <c r="I816" s="7" t="n">
        <f aca="false">YEAR(B816)</f>
        <v>2017</v>
      </c>
      <c r="J816" s="0" t="str">
        <f aca="false">I816&amp;"-Q"&amp;ROUNDUP(MONTH(B816)/3,0)</f>
        <v>2017-Q2</v>
      </c>
    </row>
    <row r="817" customFormat="false" ht="15" hidden="false" customHeight="false" outlineLevel="0" collapsed="false">
      <c r="A817" s="0" t="s">
        <v>454</v>
      </c>
      <c r="B817" s="6" t="n">
        <v>42083</v>
      </c>
      <c r="C817" s="7" t="s">
        <v>45</v>
      </c>
      <c r="D817" s="7" t="s">
        <v>48</v>
      </c>
      <c r="E817" s="7" t="s">
        <v>35</v>
      </c>
      <c r="F817" s="0" t="n">
        <v>51.84</v>
      </c>
      <c r="G817" s="0" t="n">
        <v>24.8832</v>
      </c>
      <c r="H817" s="0" t="n">
        <v>0</v>
      </c>
      <c r="I817" s="7" t="n">
        <f aca="false">YEAR(B817)</f>
        <v>2015</v>
      </c>
      <c r="J817" s="0" t="str">
        <f aca="false">I817&amp;"-Q"&amp;ROUNDUP(MONTH(B817)/3,0)</f>
        <v>2015-Q1</v>
      </c>
    </row>
    <row r="818" customFormat="false" ht="15" hidden="false" customHeight="false" outlineLevel="0" collapsed="false">
      <c r="A818" s="0" t="s">
        <v>455</v>
      </c>
      <c r="B818" s="6" t="n">
        <v>42628</v>
      </c>
      <c r="C818" s="7" t="s">
        <v>55</v>
      </c>
      <c r="D818" s="7" t="s">
        <v>56</v>
      </c>
      <c r="E818" s="7" t="s">
        <v>35</v>
      </c>
      <c r="F818" s="0" t="n">
        <v>5.344</v>
      </c>
      <c r="G818" s="0" t="n">
        <v>1.8704</v>
      </c>
      <c r="H818" s="0" t="n">
        <v>0.2</v>
      </c>
      <c r="I818" s="7" t="n">
        <f aca="false">YEAR(B818)</f>
        <v>2016</v>
      </c>
      <c r="J818" s="0" t="str">
        <f aca="false">I818&amp;"-Q"&amp;ROUNDUP(MONTH(B818)/3,0)</f>
        <v>2016-Q3</v>
      </c>
    </row>
    <row r="819" customFormat="false" ht="15" hidden="false" customHeight="false" outlineLevel="0" collapsed="false">
      <c r="A819" s="0" t="s">
        <v>456</v>
      </c>
      <c r="B819" s="6" t="n">
        <v>41818</v>
      </c>
      <c r="C819" s="7" t="s">
        <v>55</v>
      </c>
      <c r="D819" s="7" t="s">
        <v>56</v>
      </c>
      <c r="E819" s="7" t="s">
        <v>35</v>
      </c>
      <c r="F819" s="0" t="n">
        <v>41.472</v>
      </c>
      <c r="G819" s="0" t="n">
        <v>14.5152</v>
      </c>
      <c r="H819" s="0" t="n">
        <v>0.2</v>
      </c>
      <c r="I819" s="7" t="n">
        <f aca="false">YEAR(B819)</f>
        <v>2014</v>
      </c>
      <c r="J819" s="0" t="str">
        <f aca="false">I819&amp;"-Q"&amp;ROUNDUP(MONTH(B819)/3,0)</f>
        <v>2014-Q2</v>
      </c>
    </row>
    <row r="820" customFormat="false" ht="15" hidden="false" customHeight="false" outlineLevel="0" collapsed="false">
      <c r="A820" s="0" t="s">
        <v>456</v>
      </c>
      <c r="B820" s="6" t="n">
        <v>41818</v>
      </c>
      <c r="C820" s="7" t="s">
        <v>55</v>
      </c>
      <c r="D820" s="7" t="s">
        <v>56</v>
      </c>
      <c r="E820" s="7" t="s">
        <v>35</v>
      </c>
      <c r="F820" s="0" t="n">
        <v>3.168</v>
      </c>
      <c r="G820" s="0" t="n">
        <v>-2.4288</v>
      </c>
      <c r="H820" s="0" t="n">
        <v>0.7</v>
      </c>
      <c r="I820" s="7" t="n">
        <f aca="false">YEAR(B820)</f>
        <v>2014</v>
      </c>
      <c r="J820" s="0" t="str">
        <f aca="false">I820&amp;"-Q"&amp;ROUNDUP(MONTH(B820)/3,0)</f>
        <v>2014-Q2</v>
      </c>
    </row>
    <row r="821" customFormat="false" ht="15" hidden="false" customHeight="false" outlineLevel="0" collapsed="false">
      <c r="A821" s="0" t="s">
        <v>456</v>
      </c>
      <c r="B821" s="6" t="n">
        <v>41818</v>
      </c>
      <c r="C821" s="7" t="s">
        <v>55</v>
      </c>
      <c r="D821" s="7" t="s">
        <v>56</v>
      </c>
      <c r="E821" s="7" t="s">
        <v>31</v>
      </c>
      <c r="F821" s="0" t="n">
        <v>1228.465</v>
      </c>
      <c r="G821" s="0" t="n">
        <v>0</v>
      </c>
      <c r="H821" s="0" t="n">
        <v>0.3</v>
      </c>
      <c r="I821" s="7" t="n">
        <f aca="false">YEAR(B821)</f>
        <v>2014</v>
      </c>
      <c r="J821" s="0" t="str">
        <f aca="false">I821&amp;"-Q"&amp;ROUNDUP(MONTH(B821)/3,0)</f>
        <v>2014-Q2</v>
      </c>
    </row>
    <row r="822" customFormat="false" ht="15" hidden="false" customHeight="false" outlineLevel="0" collapsed="false">
      <c r="A822" s="0" t="s">
        <v>456</v>
      </c>
      <c r="B822" s="6" t="n">
        <v>41818</v>
      </c>
      <c r="C822" s="7" t="s">
        <v>55</v>
      </c>
      <c r="D822" s="7" t="s">
        <v>56</v>
      </c>
      <c r="E822" s="7" t="s">
        <v>35</v>
      </c>
      <c r="F822" s="0" t="n">
        <v>31.086</v>
      </c>
      <c r="G822" s="0" t="n">
        <v>-22.7964</v>
      </c>
      <c r="H822" s="0" t="n">
        <v>0.7</v>
      </c>
      <c r="I822" s="7" t="n">
        <f aca="false">YEAR(B822)</f>
        <v>2014</v>
      </c>
      <c r="J822" s="0" t="str">
        <f aca="false">I822&amp;"-Q"&amp;ROUNDUP(MONTH(B822)/3,0)</f>
        <v>2014-Q2</v>
      </c>
    </row>
    <row r="823" customFormat="false" ht="15" hidden="false" customHeight="false" outlineLevel="0" collapsed="false">
      <c r="A823" s="0" t="s">
        <v>456</v>
      </c>
      <c r="B823" s="6" t="n">
        <v>41818</v>
      </c>
      <c r="C823" s="7" t="s">
        <v>55</v>
      </c>
      <c r="D823" s="7" t="s">
        <v>56</v>
      </c>
      <c r="E823" s="7" t="s">
        <v>35</v>
      </c>
      <c r="F823" s="0" t="n">
        <v>335.52</v>
      </c>
      <c r="G823" s="0" t="n">
        <v>117.432</v>
      </c>
      <c r="H823" s="0" t="n">
        <v>0.2</v>
      </c>
      <c r="I823" s="7" t="n">
        <f aca="false">YEAR(B823)</f>
        <v>2014</v>
      </c>
      <c r="J823" s="0" t="str">
        <f aca="false">I823&amp;"-Q"&amp;ROUNDUP(MONTH(B823)/3,0)</f>
        <v>2014-Q2</v>
      </c>
    </row>
    <row r="824" customFormat="false" ht="15" hidden="false" customHeight="false" outlineLevel="0" collapsed="false">
      <c r="A824" s="0" t="s">
        <v>457</v>
      </c>
      <c r="B824" s="6" t="n">
        <v>42906</v>
      </c>
      <c r="C824" s="7" t="s">
        <v>55</v>
      </c>
      <c r="D824" s="7" t="s">
        <v>161</v>
      </c>
      <c r="E824" s="7" t="s">
        <v>39</v>
      </c>
      <c r="F824" s="0" t="n">
        <v>239.97</v>
      </c>
      <c r="G824" s="0" t="n">
        <v>71.991</v>
      </c>
      <c r="H824" s="0" t="n">
        <v>0</v>
      </c>
      <c r="I824" s="7" t="n">
        <f aca="false">YEAR(B824)</f>
        <v>2017</v>
      </c>
      <c r="J824" s="0" t="str">
        <f aca="false">I824&amp;"-Q"&amp;ROUNDUP(MONTH(B824)/3,0)</f>
        <v>2017-Q2</v>
      </c>
    </row>
    <row r="825" customFormat="false" ht="15" hidden="false" customHeight="false" outlineLevel="0" collapsed="false">
      <c r="A825" s="0" t="s">
        <v>457</v>
      </c>
      <c r="B825" s="6" t="n">
        <v>42906</v>
      </c>
      <c r="C825" s="7" t="s">
        <v>55</v>
      </c>
      <c r="D825" s="7" t="s">
        <v>161</v>
      </c>
      <c r="E825" s="7" t="s">
        <v>35</v>
      </c>
      <c r="F825" s="0" t="n">
        <v>9.82</v>
      </c>
      <c r="G825" s="0" t="n">
        <v>4.8118</v>
      </c>
      <c r="H825" s="0" t="n">
        <v>0</v>
      </c>
      <c r="I825" s="7" t="n">
        <f aca="false">YEAR(B825)</f>
        <v>2017</v>
      </c>
      <c r="J825" s="0" t="str">
        <f aca="false">I825&amp;"-Q"&amp;ROUNDUP(MONTH(B825)/3,0)</f>
        <v>2017-Q2</v>
      </c>
    </row>
    <row r="826" customFormat="false" ht="15" hidden="false" customHeight="false" outlineLevel="0" collapsed="false">
      <c r="A826" s="0" t="s">
        <v>458</v>
      </c>
      <c r="B826" s="6" t="n">
        <v>41768</v>
      </c>
      <c r="C826" s="7" t="s">
        <v>33</v>
      </c>
      <c r="D826" s="7" t="s">
        <v>34</v>
      </c>
      <c r="E826" s="7" t="s">
        <v>39</v>
      </c>
      <c r="F826" s="0" t="n">
        <v>67.8</v>
      </c>
      <c r="G826" s="0" t="n">
        <v>4.068</v>
      </c>
      <c r="H826" s="0" t="n">
        <v>0</v>
      </c>
      <c r="I826" s="7" t="n">
        <f aca="false">YEAR(B826)</f>
        <v>2014</v>
      </c>
      <c r="J826" s="0" t="str">
        <f aca="false">I826&amp;"-Q"&amp;ROUNDUP(MONTH(B826)/3,0)</f>
        <v>2014-Q2</v>
      </c>
    </row>
    <row r="827" customFormat="false" ht="15" hidden="false" customHeight="false" outlineLevel="0" collapsed="false">
      <c r="A827" s="0" t="s">
        <v>458</v>
      </c>
      <c r="B827" s="6" t="n">
        <v>41768</v>
      </c>
      <c r="C827" s="7" t="s">
        <v>33</v>
      </c>
      <c r="D827" s="7" t="s">
        <v>34</v>
      </c>
      <c r="E827" s="7" t="s">
        <v>39</v>
      </c>
      <c r="F827" s="0" t="n">
        <v>167.97</v>
      </c>
      <c r="G827" s="0" t="n">
        <v>40.3128</v>
      </c>
      <c r="H827" s="0" t="n">
        <v>0</v>
      </c>
      <c r="I827" s="7" t="n">
        <f aca="false">YEAR(B827)</f>
        <v>2014</v>
      </c>
      <c r="J827" s="0" t="str">
        <f aca="false">I827&amp;"-Q"&amp;ROUNDUP(MONTH(B827)/3,0)</f>
        <v>2014-Q2</v>
      </c>
    </row>
    <row r="828" customFormat="false" ht="15" hidden="false" customHeight="false" outlineLevel="0" collapsed="false">
      <c r="A828" s="0" t="s">
        <v>459</v>
      </c>
      <c r="B828" s="6" t="n">
        <v>42968</v>
      </c>
      <c r="C828" s="7" t="s">
        <v>45</v>
      </c>
      <c r="D828" s="7" t="s">
        <v>68</v>
      </c>
      <c r="E828" s="7" t="s">
        <v>35</v>
      </c>
      <c r="F828" s="0" t="n">
        <v>35</v>
      </c>
      <c r="G828" s="0" t="n">
        <v>16.8</v>
      </c>
      <c r="H828" s="0" t="n">
        <v>0</v>
      </c>
      <c r="I828" s="7" t="n">
        <f aca="false">YEAR(B828)</f>
        <v>2017</v>
      </c>
      <c r="J828" s="0" t="str">
        <f aca="false">I828&amp;"-Q"&amp;ROUNDUP(MONTH(B828)/3,0)</f>
        <v>2017-Q3</v>
      </c>
    </row>
    <row r="829" customFormat="false" ht="15" hidden="false" customHeight="false" outlineLevel="0" collapsed="false">
      <c r="A829" s="0" t="s">
        <v>459</v>
      </c>
      <c r="B829" s="6" t="n">
        <v>42968</v>
      </c>
      <c r="C829" s="7" t="s">
        <v>45</v>
      </c>
      <c r="D829" s="7" t="s">
        <v>68</v>
      </c>
      <c r="E829" s="7" t="s">
        <v>35</v>
      </c>
      <c r="F829" s="0" t="n">
        <v>37.24</v>
      </c>
      <c r="G829" s="0" t="n">
        <v>10.7996</v>
      </c>
      <c r="H829" s="0" t="n">
        <v>0</v>
      </c>
      <c r="I829" s="7" t="n">
        <f aca="false">YEAR(B829)</f>
        <v>2017</v>
      </c>
      <c r="J829" s="0" t="str">
        <f aca="false">I829&amp;"-Q"&amp;ROUNDUP(MONTH(B829)/3,0)</f>
        <v>2017-Q3</v>
      </c>
    </row>
    <row r="830" customFormat="false" ht="15" hidden="false" customHeight="false" outlineLevel="0" collapsed="false">
      <c r="A830" s="0" t="s">
        <v>459</v>
      </c>
      <c r="B830" s="6" t="n">
        <v>42968</v>
      </c>
      <c r="C830" s="7" t="s">
        <v>45</v>
      </c>
      <c r="D830" s="7" t="s">
        <v>68</v>
      </c>
      <c r="E830" s="7" t="s">
        <v>35</v>
      </c>
      <c r="F830" s="0" t="n">
        <v>15.28</v>
      </c>
      <c r="G830" s="0" t="n">
        <v>7.4872</v>
      </c>
      <c r="H830" s="0" t="n">
        <v>0</v>
      </c>
      <c r="I830" s="7" t="n">
        <f aca="false">YEAR(B830)</f>
        <v>2017</v>
      </c>
      <c r="J830" s="0" t="str">
        <f aca="false">I830&amp;"-Q"&amp;ROUNDUP(MONTH(B830)/3,0)</f>
        <v>2017-Q3</v>
      </c>
    </row>
    <row r="831" customFormat="false" ht="15" hidden="false" customHeight="false" outlineLevel="0" collapsed="false">
      <c r="A831" s="0" t="s">
        <v>460</v>
      </c>
      <c r="B831" s="6" t="n">
        <v>42902</v>
      </c>
      <c r="C831" s="7" t="s">
        <v>29</v>
      </c>
      <c r="D831" s="7" t="s">
        <v>30</v>
      </c>
      <c r="E831" s="7" t="s">
        <v>31</v>
      </c>
      <c r="F831" s="0" t="n">
        <v>301.96</v>
      </c>
      <c r="G831" s="0" t="n">
        <v>90.588</v>
      </c>
      <c r="H831" s="0" t="n">
        <v>0</v>
      </c>
      <c r="I831" s="7" t="n">
        <f aca="false">YEAR(B831)</f>
        <v>2017</v>
      </c>
      <c r="J831" s="0" t="str">
        <f aca="false">I831&amp;"-Q"&amp;ROUNDUP(MONTH(B831)/3,0)</f>
        <v>2017-Q2</v>
      </c>
    </row>
    <row r="832" customFormat="false" ht="15" hidden="false" customHeight="false" outlineLevel="0" collapsed="false">
      <c r="A832" s="0" t="s">
        <v>460</v>
      </c>
      <c r="B832" s="6" t="n">
        <v>42902</v>
      </c>
      <c r="C832" s="7" t="s">
        <v>29</v>
      </c>
      <c r="D832" s="7" t="s">
        <v>30</v>
      </c>
      <c r="E832" s="7" t="s">
        <v>35</v>
      </c>
      <c r="F832" s="0" t="n">
        <v>180.66</v>
      </c>
      <c r="G832" s="0" t="n">
        <v>50.5848</v>
      </c>
      <c r="H832" s="0" t="n">
        <v>0</v>
      </c>
      <c r="I832" s="7" t="n">
        <f aca="false">YEAR(B832)</f>
        <v>2017</v>
      </c>
      <c r="J832" s="0" t="str">
        <f aca="false">I832&amp;"-Q"&amp;ROUNDUP(MONTH(B832)/3,0)</f>
        <v>2017-Q2</v>
      </c>
    </row>
    <row r="833" customFormat="false" ht="15" hidden="false" customHeight="false" outlineLevel="0" collapsed="false">
      <c r="A833" s="0" t="s">
        <v>460</v>
      </c>
      <c r="B833" s="6" t="n">
        <v>42902</v>
      </c>
      <c r="C833" s="7" t="s">
        <v>29</v>
      </c>
      <c r="D833" s="7" t="s">
        <v>30</v>
      </c>
      <c r="E833" s="7" t="s">
        <v>39</v>
      </c>
      <c r="F833" s="0" t="n">
        <v>191.98</v>
      </c>
      <c r="G833" s="0" t="n">
        <v>51.8346</v>
      </c>
      <c r="H833" s="0" t="n">
        <v>0</v>
      </c>
      <c r="I833" s="7" t="n">
        <f aca="false">YEAR(B833)</f>
        <v>2017</v>
      </c>
      <c r="J833" s="0" t="str">
        <f aca="false">I833&amp;"-Q"&amp;ROUNDUP(MONTH(B833)/3,0)</f>
        <v>2017-Q2</v>
      </c>
    </row>
    <row r="834" customFormat="false" ht="15" hidden="false" customHeight="false" outlineLevel="0" collapsed="false">
      <c r="A834" s="0" t="s">
        <v>460</v>
      </c>
      <c r="B834" s="6" t="n">
        <v>42902</v>
      </c>
      <c r="C834" s="7" t="s">
        <v>29</v>
      </c>
      <c r="D834" s="7" t="s">
        <v>30</v>
      </c>
      <c r="E834" s="7" t="s">
        <v>39</v>
      </c>
      <c r="F834" s="0" t="n">
        <v>65.99</v>
      </c>
      <c r="G834" s="0" t="n">
        <v>17.1574</v>
      </c>
      <c r="H834" s="0" t="n">
        <v>0</v>
      </c>
      <c r="I834" s="7" t="n">
        <f aca="false">YEAR(B834)</f>
        <v>2017</v>
      </c>
      <c r="J834" s="0" t="str">
        <f aca="false">I834&amp;"-Q"&amp;ROUNDUP(MONTH(B834)/3,0)</f>
        <v>2017-Q2</v>
      </c>
    </row>
    <row r="835" customFormat="false" ht="15" hidden="false" customHeight="false" outlineLevel="0" collapsed="false">
      <c r="A835" s="0" t="s">
        <v>461</v>
      </c>
      <c r="B835" s="6" t="n">
        <v>42574</v>
      </c>
      <c r="C835" s="7" t="s">
        <v>29</v>
      </c>
      <c r="D835" s="7" t="s">
        <v>37</v>
      </c>
      <c r="E835" s="7" t="s">
        <v>35</v>
      </c>
      <c r="F835" s="0" t="n">
        <v>35.216</v>
      </c>
      <c r="G835" s="0" t="n">
        <v>2.6412</v>
      </c>
      <c r="H835" s="0" t="n">
        <v>0.2</v>
      </c>
      <c r="I835" s="7" t="n">
        <f aca="false">YEAR(B835)</f>
        <v>2016</v>
      </c>
      <c r="J835" s="0" t="str">
        <f aca="false">I835&amp;"-Q"&amp;ROUNDUP(MONTH(B835)/3,0)</f>
        <v>2016-Q3</v>
      </c>
    </row>
    <row r="836" customFormat="false" ht="15" hidden="false" customHeight="false" outlineLevel="0" collapsed="false">
      <c r="A836" s="0" t="s">
        <v>461</v>
      </c>
      <c r="B836" s="6" t="n">
        <v>42574</v>
      </c>
      <c r="C836" s="7" t="s">
        <v>29</v>
      </c>
      <c r="D836" s="7" t="s">
        <v>37</v>
      </c>
      <c r="E836" s="7" t="s">
        <v>35</v>
      </c>
      <c r="F836" s="0" t="n">
        <v>23.696</v>
      </c>
      <c r="G836" s="0" t="n">
        <v>6.5164</v>
      </c>
      <c r="H836" s="0" t="n">
        <v>0.2</v>
      </c>
      <c r="I836" s="7" t="n">
        <f aca="false">YEAR(B836)</f>
        <v>2016</v>
      </c>
      <c r="J836" s="0" t="str">
        <f aca="false">I836&amp;"-Q"&amp;ROUNDUP(MONTH(B836)/3,0)</f>
        <v>2016-Q3</v>
      </c>
    </row>
    <row r="837" customFormat="false" ht="15" hidden="false" customHeight="false" outlineLevel="0" collapsed="false">
      <c r="A837" s="0" t="s">
        <v>461</v>
      </c>
      <c r="B837" s="6" t="n">
        <v>42574</v>
      </c>
      <c r="C837" s="7" t="s">
        <v>29</v>
      </c>
      <c r="D837" s="7" t="s">
        <v>37</v>
      </c>
      <c r="E837" s="7" t="s">
        <v>39</v>
      </c>
      <c r="F837" s="0" t="n">
        <v>265.475</v>
      </c>
      <c r="G837" s="0" t="n">
        <v>-111.4995</v>
      </c>
      <c r="H837" s="0" t="n">
        <v>0.5</v>
      </c>
      <c r="I837" s="7" t="n">
        <f aca="false">YEAR(B837)</f>
        <v>2016</v>
      </c>
      <c r="J837" s="0" t="str">
        <f aca="false">I837&amp;"-Q"&amp;ROUNDUP(MONTH(B837)/3,0)</f>
        <v>2016-Q3</v>
      </c>
    </row>
    <row r="838" customFormat="false" ht="15" hidden="false" customHeight="false" outlineLevel="0" collapsed="false">
      <c r="A838" s="0" t="s">
        <v>462</v>
      </c>
      <c r="B838" s="6" t="n">
        <v>41890</v>
      </c>
      <c r="C838" s="7" t="s">
        <v>45</v>
      </c>
      <c r="D838" s="7" t="s">
        <v>46</v>
      </c>
      <c r="E838" s="7" t="s">
        <v>35</v>
      </c>
      <c r="F838" s="0" t="n">
        <v>51.184</v>
      </c>
      <c r="G838" s="0" t="n">
        <v>-79.3352</v>
      </c>
      <c r="H838" s="0" t="n">
        <v>0.8</v>
      </c>
      <c r="I838" s="7" t="n">
        <f aca="false">YEAR(B838)</f>
        <v>2014</v>
      </c>
      <c r="J838" s="0" t="str">
        <f aca="false">I838&amp;"-Q"&amp;ROUNDUP(MONTH(B838)/3,0)</f>
        <v>2014-Q3</v>
      </c>
    </row>
    <row r="839" customFormat="false" ht="15" hidden="false" customHeight="false" outlineLevel="0" collapsed="false">
      <c r="A839" s="0" t="s">
        <v>463</v>
      </c>
      <c r="B839" s="6" t="n">
        <v>43043</v>
      </c>
      <c r="C839" s="7" t="s">
        <v>29</v>
      </c>
      <c r="D839" s="7" t="s">
        <v>87</v>
      </c>
      <c r="E839" s="7" t="s">
        <v>35</v>
      </c>
      <c r="F839" s="0" t="n">
        <v>9.664</v>
      </c>
      <c r="G839" s="0" t="n">
        <v>3.2616</v>
      </c>
      <c r="H839" s="0" t="n">
        <v>0.2</v>
      </c>
      <c r="I839" s="7" t="n">
        <f aca="false">YEAR(B839)</f>
        <v>2017</v>
      </c>
      <c r="J839" s="0" t="str">
        <f aca="false">I839&amp;"-Q"&amp;ROUNDUP(MONTH(B839)/3,0)</f>
        <v>2017-Q4</v>
      </c>
    </row>
    <row r="840" customFormat="false" ht="15" hidden="false" customHeight="false" outlineLevel="0" collapsed="false">
      <c r="A840" s="0" t="s">
        <v>464</v>
      </c>
      <c r="B840" s="6" t="n">
        <v>42436</v>
      </c>
      <c r="C840" s="7" t="s">
        <v>45</v>
      </c>
      <c r="D840" s="7" t="s">
        <v>46</v>
      </c>
      <c r="E840" s="7" t="s">
        <v>39</v>
      </c>
      <c r="F840" s="0" t="n">
        <v>21.072</v>
      </c>
      <c r="G840" s="0" t="n">
        <v>1.5804</v>
      </c>
      <c r="H840" s="0" t="n">
        <v>0.2</v>
      </c>
      <c r="I840" s="7" t="n">
        <f aca="false">YEAR(B840)</f>
        <v>2016</v>
      </c>
      <c r="J840" s="0" t="str">
        <f aca="false">I840&amp;"-Q"&amp;ROUNDUP(MONTH(B840)/3,0)</f>
        <v>2016-Q1</v>
      </c>
    </row>
    <row r="841" customFormat="false" ht="15" hidden="false" customHeight="false" outlineLevel="0" collapsed="false">
      <c r="A841" s="0" t="s">
        <v>465</v>
      </c>
      <c r="B841" s="6" t="n">
        <v>42328</v>
      </c>
      <c r="C841" s="7" t="s">
        <v>55</v>
      </c>
      <c r="D841" s="7" t="s">
        <v>76</v>
      </c>
      <c r="E841" s="7" t="s">
        <v>35</v>
      </c>
      <c r="F841" s="0" t="n">
        <v>60.45</v>
      </c>
      <c r="G841" s="0" t="n">
        <v>16.3215</v>
      </c>
      <c r="H841" s="0" t="n">
        <v>0</v>
      </c>
      <c r="I841" s="7" t="n">
        <f aca="false">YEAR(B841)</f>
        <v>2015</v>
      </c>
      <c r="J841" s="0" t="str">
        <f aca="false">I841&amp;"-Q"&amp;ROUNDUP(MONTH(B841)/3,0)</f>
        <v>2015-Q4</v>
      </c>
    </row>
    <row r="842" customFormat="false" ht="15" hidden="false" customHeight="false" outlineLevel="0" collapsed="false">
      <c r="A842" s="0" t="s">
        <v>465</v>
      </c>
      <c r="B842" s="6" t="n">
        <v>42328</v>
      </c>
      <c r="C842" s="7" t="s">
        <v>55</v>
      </c>
      <c r="D842" s="7" t="s">
        <v>76</v>
      </c>
      <c r="E842" s="7" t="s">
        <v>35</v>
      </c>
      <c r="F842" s="0" t="n">
        <v>11.52</v>
      </c>
      <c r="G842" s="0" t="n">
        <v>3.3408</v>
      </c>
      <c r="H842" s="0" t="n">
        <v>0</v>
      </c>
      <c r="I842" s="7" t="n">
        <f aca="false">YEAR(B842)</f>
        <v>2015</v>
      </c>
      <c r="J842" s="0" t="str">
        <f aca="false">I842&amp;"-Q"&amp;ROUNDUP(MONTH(B842)/3,0)</f>
        <v>2015-Q4</v>
      </c>
    </row>
    <row r="843" customFormat="false" ht="15" hidden="false" customHeight="false" outlineLevel="0" collapsed="false">
      <c r="A843" s="0" t="s">
        <v>465</v>
      </c>
      <c r="B843" s="6" t="n">
        <v>42328</v>
      </c>
      <c r="C843" s="7" t="s">
        <v>55</v>
      </c>
      <c r="D843" s="7" t="s">
        <v>76</v>
      </c>
      <c r="E843" s="7" t="s">
        <v>31</v>
      </c>
      <c r="F843" s="0" t="n">
        <v>186.048</v>
      </c>
      <c r="G843" s="0" t="n">
        <v>9.3024</v>
      </c>
      <c r="H843" s="0" t="n">
        <v>0.2</v>
      </c>
      <c r="I843" s="7" t="n">
        <f aca="false">YEAR(B843)</f>
        <v>2015</v>
      </c>
      <c r="J843" s="0" t="str">
        <f aca="false">I843&amp;"-Q"&amp;ROUNDUP(MONTH(B843)/3,0)</f>
        <v>2015-Q4</v>
      </c>
    </row>
    <row r="844" customFormat="false" ht="15" hidden="false" customHeight="false" outlineLevel="0" collapsed="false">
      <c r="A844" s="0" t="s">
        <v>466</v>
      </c>
      <c r="B844" s="6" t="n">
        <v>42681</v>
      </c>
      <c r="C844" s="7" t="s">
        <v>33</v>
      </c>
      <c r="D844" s="7" t="s">
        <v>34</v>
      </c>
      <c r="E844" s="7" t="s">
        <v>35</v>
      </c>
      <c r="F844" s="0" t="n">
        <v>37.44</v>
      </c>
      <c r="G844" s="0" t="n">
        <v>11.7</v>
      </c>
      <c r="H844" s="0" t="n">
        <v>0.2</v>
      </c>
      <c r="I844" s="7" t="n">
        <f aca="false">YEAR(B844)</f>
        <v>2016</v>
      </c>
      <c r="J844" s="0" t="str">
        <f aca="false">I844&amp;"-Q"&amp;ROUNDUP(MONTH(B844)/3,0)</f>
        <v>2016-Q4</v>
      </c>
    </row>
    <row r="845" customFormat="false" ht="15" hidden="false" customHeight="false" outlineLevel="0" collapsed="false">
      <c r="A845" s="0" t="s">
        <v>466</v>
      </c>
      <c r="B845" s="6" t="n">
        <v>42681</v>
      </c>
      <c r="C845" s="7" t="s">
        <v>33</v>
      </c>
      <c r="D845" s="7" t="s">
        <v>34</v>
      </c>
      <c r="E845" s="7" t="s">
        <v>35</v>
      </c>
      <c r="F845" s="0" t="n">
        <v>26.976</v>
      </c>
      <c r="G845" s="0" t="n">
        <v>8.7672</v>
      </c>
      <c r="H845" s="0" t="n">
        <v>0.2</v>
      </c>
      <c r="I845" s="7" t="n">
        <f aca="false">YEAR(B845)</f>
        <v>2016</v>
      </c>
      <c r="J845" s="0" t="str">
        <f aca="false">I845&amp;"-Q"&amp;ROUNDUP(MONTH(B845)/3,0)</f>
        <v>2016-Q4</v>
      </c>
    </row>
    <row r="846" customFormat="false" ht="15" hidden="false" customHeight="false" outlineLevel="0" collapsed="false">
      <c r="A846" s="0" t="s">
        <v>466</v>
      </c>
      <c r="B846" s="6" t="n">
        <v>42681</v>
      </c>
      <c r="C846" s="7" t="s">
        <v>33</v>
      </c>
      <c r="D846" s="7" t="s">
        <v>34</v>
      </c>
      <c r="E846" s="7" t="s">
        <v>35</v>
      </c>
      <c r="F846" s="0" t="n">
        <v>11.36</v>
      </c>
      <c r="G846" s="0" t="n">
        <v>3.2944</v>
      </c>
      <c r="H846" s="0" t="n">
        <v>0</v>
      </c>
      <c r="I846" s="7" t="n">
        <f aca="false">YEAR(B846)</f>
        <v>2016</v>
      </c>
      <c r="J846" s="0" t="str">
        <f aca="false">I846&amp;"-Q"&amp;ROUNDUP(MONTH(B846)/3,0)</f>
        <v>2016-Q4</v>
      </c>
    </row>
    <row r="847" customFormat="false" ht="15" hidden="false" customHeight="false" outlineLevel="0" collapsed="false">
      <c r="A847" s="0" t="s">
        <v>466</v>
      </c>
      <c r="B847" s="6" t="n">
        <v>42681</v>
      </c>
      <c r="C847" s="7" t="s">
        <v>33</v>
      </c>
      <c r="D847" s="7" t="s">
        <v>34</v>
      </c>
      <c r="E847" s="7" t="s">
        <v>35</v>
      </c>
      <c r="F847" s="0" t="n">
        <v>14.62</v>
      </c>
      <c r="G847" s="0" t="n">
        <v>6.8714</v>
      </c>
      <c r="H847" s="0" t="n">
        <v>0</v>
      </c>
      <c r="I847" s="7" t="n">
        <f aca="false">YEAR(B847)</f>
        <v>2016</v>
      </c>
      <c r="J847" s="0" t="str">
        <f aca="false">I847&amp;"-Q"&amp;ROUNDUP(MONTH(B847)/3,0)</f>
        <v>2016-Q4</v>
      </c>
    </row>
    <row r="848" customFormat="false" ht="15" hidden="false" customHeight="false" outlineLevel="0" collapsed="false">
      <c r="A848" s="0" t="s">
        <v>467</v>
      </c>
      <c r="B848" s="6" t="n">
        <v>42290</v>
      </c>
      <c r="C848" s="7" t="s">
        <v>29</v>
      </c>
      <c r="D848" s="7" t="s">
        <v>30</v>
      </c>
      <c r="E848" s="7" t="s">
        <v>39</v>
      </c>
      <c r="F848" s="0" t="n">
        <v>83.72</v>
      </c>
      <c r="G848" s="0" t="n">
        <v>23.4416</v>
      </c>
      <c r="H848" s="0" t="n">
        <v>0</v>
      </c>
      <c r="I848" s="7" t="n">
        <f aca="false">YEAR(B848)</f>
        <v>2015</v>
      </c>
      <c r="J848" s="0" t="str">
        <f aca="false">I848&amp;"-Q"&amp;ROUNDUP(MONTH(B848)/3,0)</f>
        <v>2015-Q4</v>
      </c>
    </row>
    <row r="849" customFormat="false" ht="15" hidden="false" customHeight="false" outlineLevel="0" collapsed="false">
      <c r="A849" s="0" t="s">
        <v>467</v>
      </c>
      <c r="B849" s="6" t="n">
        <v>42290</v>
      </c>
      <c r="C849" s="7" t="s">
        <v>29</v>
      </c>
      <c r="D849" s="7" t="s">
        <v>30</v>
      </c>
      <c r="E849" s="7" t="s">
        <v>31</v>
      </c>
      <c r="F849" s="0" t="n">
        <v>287.94</v>
      </c>
      <c r="G849" s="0" t="n">
        <v>77.7438</v>
      </c>
      <c r="H849" s="0" t="n">
        <v>0</v>
      </c>
      <c r="I849" s="7" t="n">
        <f aca="false">YEAR(B849)</f>
        <v>2015</v>
      </c>
      <c r="J849" s="0" t="str">
        <f aca="false">I849&amp;"-Q"&amp;ROUNDUP(MONTH(B849)/3,0)</f>
        <v>2015-Q4</v>
      </c>
    </row>
    <row r="850" customFormat="false" ht="15" hidden="false" customHeight="false" outlineLevel="0" collapsed="false">
      <c r="A850" s="0" t="s">
        <v>468</v>
      </c>
      <c r="B850" s="6" t="n">
        <v>42736</v>
      </c>
      <c r="C850" s="7" t="s">
        <v>55</v>
      </c>
      <c r="D850" s="7" t="s">
        <v>116</v>
      </c>
      <c r="E850" s="7" t="s">
        <v>31</v>
      </c>
      <c r="F850" s="0" t="n">
        <v>48.896</v>
      </c>
      <c r="G850" s="0" t="n">
        <v>8.5568</v>
      </c>
      <c r="H850" s="0" t="n">
        <v>0.2</v>
      </c>
      <c r="I850" s="7" t="n">
        <f aca="false">YEAR(B850)</f>
        <v>2017</v>
      </c>
      <c r="J850" s="0" t="str">
        <f aca="false">I850&amp;"-Q"&amp;ROUNDUP(MONTH(B850)/3,0)</f>
        <v>2017-Q1</v>
      </c>
    </row>
    <row r="851" customFormat="false" ht="15" hidden="false" customHeight="false" outlineLevel="0" collapsed="false">
      <c r="A851" s="0" t="s">
        <v>469</v>
      </c>
      <c r="B851" s="6" t="n">
        <v>41677</v>
      </c>
      <c r="C851" s="7" t="s">
        <v>55</v>
      </c>
      <c r="D851" s="7" t="s">
        <v>161</v>
      </c>
      <c r="E851" s="7" t="s">
        <v>39</v>
      </c>
      <c r="F851" s="0" t="n">
        <v>115.36</v>
      </c>
      <c r="G851" s="0" t="n">
        <v>49.6048</v>
      </c>
      <c r="H851" s="0" t="n">
        <v>0</v>
      </c>
      <c r="I851" s="7" t="n">
        <f aca="false">YEAR(B851)</f>
        <v>2014</v>
      </c>
      <c r="J851" s="0" t="str">
        <f aca="false">I851&amp;"-Q"&amp;ROUNDUP(MONTH(B851)/3,0)</f>
        <v>2014-Q1</v>
      </c>
    </row>
    <row r="852" customFormat="false" ht="15" hidden="false" customHeight="false" outlineLevel="0" collapsed="false">
      <c r="A852" s="0" t="s">
        <v>470</v>
      </c>
      <c r="B852" s="6" t="n">
        <v>42541</v>
      </c>
      <c r="C852" s="7" t="s">
        <v>33</v>
      </c>
      <c r="D852" s="7" t="s">
        <v>34</v>
      </c>
      <c r="E852" s="7" t="s">
        <v>35</v>
      </c>
      <c r="F852" s="0" t="n">
        <v>5.16</v>
      </c>
      <c r="G852" s="0" t="n">
        <v>1.3416</v>
      </c>
      <c r="H852" s="0" t="n">
        <v>0</v>
      </c>
      <c r="I852" s="7" t="n">
        <f aca="false">YEAR(B852)</f>
        <v>2016</v>
      </c>
      <c r="J852" s="0" t="str">
        <f aca="false">I852&amp;"-Q"&amp;ROUNDUP(MONTH(B852)/3,0)</f>
        <v>2016-Q2</v>
      </c>
    </row>
    <row r="853" customFormat="false" ht="15" hidden="false" customHeight="false" outlineLevel="0" collapsed="false">
      <c r="A853" s="0" t="s">
        <v>470</v>
      </c>
      <c r="B853" s="6" t="n">
        <v>42541</v>
      </c>
      <c r="C853" s="7" t="s">
        <v>33</v>
      </c>
      <c r="D853" s="7" t="s">
        <v>34</v>
      </c>
      <c r="E853" s="7" t="s">
        <v>35</v>
      </c>
      <c r="F853" s="0" t="n">
        <v>38.88</v>
      </c>
      <c r="G853" s="0" t="n">
        <v>18.6624</v>
      </c>
      <c r="H853" s="0" t="n">
        <v>0</v>
      </c>
      <c r="I853" s="7" t="n">
        <f aca="false">YEAR(B853)</f>
        <v>2016</v>
      </c>
      <c r="J853" s="0" t="str">
        <f aca="false">I853&amp;"-Q"&amp;ROUNDUP(MONTH(B853)/3,0)</f>
        <v>2016-Q2</v>
      </c>
    </row>
    <row r="854" customFormat="false" ht="15" hidden="false" customHeight="false" outlineLevel="0" collapsed="false">
      <c r="A854" s="0" t="s">
        <v>471</v>
      </c>
      <c r="B854" s="6" t="n">
        <v>42518</v>
      </c>
      <c r="C854" s="7" t="s">
        <v>29</v>
      </c>
      <c r="D854" s="7" t="s">
        <v>265</v>
      </c>
      <c r="E854" s="7" t="s">
        <v>35</v>
      </c>
      <c r="F854" s="0" t="n">
        <v>185.88</v>
      </c>
      <c r="G854" s="0" t="n">
        <v>50.1876</v>
      </c>
      <c r="H854" s="0" t="n">
        <v>0</v>
      </c>
      <c r="I854" s="7" t="n">
        <f aca="false">YEAR(B854)</f>
        <v>2016</v>
      </c>
      <c r="J854" s="0" t="str">
        <f aca="false">I854&amp;"-Q"&amp;ROUNDUP(MONTH(B854)/3,0)</f>
        <v>2016-Q2</v>
      </c>
    </row>
    <row r="855" customFormat="false" ht="15" hidden="false" customHeight="false" outlineLevel="0" collapsed="false">
      <c r="A855" s="0" t="s">
        <v>472</v>
      </c>
      <c r="B855" s="6" t="n">
        <v>42419</v>
      </c>
      <c r="C855" s="7" t="s">
        <v>55</v>
      </c>
      <c r="D855" s="7" t="s">
        <v>76</v>
      </c>
      <c r="E855" s="7" t="s">
        <v>31</v>
      </c>
      <c r="F855" s="0" t="n">
        <v>44.46</v>
      </c>
      <c r="G855" s="0" t="n">
        <v>14.6718</v>
      </c>
      <c r="H855" s="0" t="n">
        <v>0</v>
      </c>
      <c r="I855" s="7" t="n">
        <f aca="false">YEAR(B855)</f>
        <v>2016</v>
      </c>
      <c r="J855" s="0" t="str">
        <f aca="false">I855&amp;"-Q"&amp;ROUNDUP(MONTH(B855)/3,0)</f>
        <v>2016-Q1</v>
      </c>
    </row>
    <row r="856" customFormat="false" ht="15" hidden="false" customHeight="false" outlineLevel="0" collapsed="false">
      <c r="A856" s="0" t="s">
        <v>472</v>
      </c>
      <c r="B856" s="6" t="n">
        <v>42419</v>
      </c>
      <c r="C856" s="7" t="s">
        <v>55</v>
      </c>
      <c r="D856" s="7" t="s">
        <v>76</v>
      </c>
      <c r="E856" s="7" t="s">
        <v>35</v>
      </c>
      <c r="F856" s="0" t="n">
        <v>242.94</v>
      </c>
      <c r="G856" s="0" t="n">
        <v>9.7176</v>
      </c>
      <c r="H856" s="0" t="n">
        <v>0</v>
      </c>
      <c r="I856" s="7" t="n">
        <f aca="false">YEAR(B856)</f>
        <v>2016</v>
      </c>
      <c r="J856" s="0" t="str">
        <f aca="false">I856&amp;"-Q"&amp;ROUNDUP(MONTH(B856)/3,0)</f>
        <v>2016-Q1</v>
      </c>
    </row>
    <row r="857" customFormat="false" ht="15" hidden="false" customHeight="false" outlineLevel="0" collapsed="false">
      <c r="A857" s="0" t="s">
        <v>473</v>
      </c>
      <c r="B857" s="6" t="n">
        <v>41854</v>
      </c>
      <c r="C857" s="7" t="s">
        <v>55</v>
      </c>
      <c r="D857" s="7" t="s">
        <v>76</v>
      </c>
      <c r="E857" s="7" t="s">
        <v>35</v>
      </c>
      <c r="F857" s="0" t="n">
        <v>39.96</v>
      </c>
      <c r="G857" s="0" t="n">
        <v>18.7812</v>
      </c>
      <c r="H857" s="0" t="n">
        <v>0</v>
      </c>
      <c r="I857" s="7" t="n">
        <f aca="false">YEAR(B857)</f>
        <v>2014</v>
      </c>
      <c r="J857" s="0" t="str">
        <f aca="false">I857&amp;"-Q"&amp;ROUNDUP(MONTH(B857)/3,0)</f>
        <v>2014-Q3</v>
      </c>
    </row>
    <row r="858" customFormat="false" ht="15" hidden="false" customHeight="false" outlineLevel="0" collapsed="false">
      <c r="A858" s="0" t="s">
        <v>473</v>
      </c>
      <c r="B858" s="6" t="n">
        <v>41854</v>
      </c>
      <c r="C858" s="7" t="s">
        <v>55</v>
      </c>
      <c r="D858" s="7" t="s">
        <v>76</v>
      </c>
      <c r="E858" s="7" t="s">
        <v>35</v>
      </c>
      <c r="F858" s="0" t="n">
        <v>102.3</v>
      </c>
      <c r="G858" s="0" t="n">
        <v>26.598</v>
      </c>
      <c r="H858" s="0" t="n">
        <v>0</v>
      </c>
      <c r="I858" s="7" t="n">
        <f aca="false">YEAR(B858)</f>
        <v>2014</v>
      </c>
      <c r="J858" s="0" t="str">
        <f aca="false">I858&amp;"-Q"&amp;ROUNDUP(MONTH(B858)/3,0)</f>
        <v>2014-Q3</v>
      </c>
    </row>
    <row r="859" customFormat="false" ht="15" hidden="false" customHeight="false" outlineLevel="0" collapsed="false">
      <c r="A859" s="0" t="s">
        <v>473</v>
      </c>
      <c r="B859" s="6" t="n">
        <v>41854</v>
      </c>
      <c r="C859" s="7" t="s">
        <v>55</v>
      </c>
      <c r="D859" s="7" t="s">
        <v>76</v>
      </c>
      <c r="E859" s="7" t="s">
        <v>35</v>
      </c>
      <c r="F859" s="0" t="n">
        <v>21.36</v>
      </c>
      <c r="G859" s="0" t="n">
        <v>5.7672</v>
      </c>
      <c r="H859" s="0" t="n">
        <v>0</v>
      </c>
      <c r="I859" s="7" t="n">
        <f aca="false">YEAR(B859)</f>
        <v>2014</v>
      </c>
      <c r="J859" s="0" t="str">
        <f aca="false">I859&amp;"-Q"&amp;ROUNDUP(MONTH(B859)/3,0)</f>
        <v>2014-Q3</v>
      </c>
    </row>
    <row r="860" customFormat="false" ht="15" hidden="false" customHeight="false" outlineLevel="0" collapsed="false">
      <c r="A860" s="0" t="s">
        <v>474</v>
      </c>
      <c r="B860" s="6" t="n">
        <v>42835</v>
      </c>
      <c r="C860" s="7" t="s">
        <v>55</v>
      </c>
      <c r="D860" s="7" t="s">
        <v>161</v>
      </c>
      <c r="E860" s="7" t="s">
        <v>35</v>
      </c>
      <c r="F860" s="0" t="n">
        <v>7.61</v>
      </c>
      <c r="G860" s="0" t="n">
        <v>3.5767</v>
      </c>
      <c r="H860" s="0" t="n">
        <v>0</v>
      </c>
      <c r="I860" s="7" t="n">
        <f aca="false">YEAR(B860)</f>
        <v>2017</v>
      </c>
      <c r="J860" s="0" t="str">
        <f aca="false">I860&amp;"-Q"&amp;ROUNDUP(MONTH(B860)/3,0)</f>
        <v>2017-Q2</v>
      </c>
    </row>
    <row r="861" customFormat="false" ht="15" hidden="false" customHeight="false" outlineLevel="0" collapsed="false">
      <c r="A861" s="0" t="s">
        <v>474</v>
      </c>
      <c r="B861" s="6" t="n">
        <v>42835</v>
      </c>
      <c r="C861" s="7" t="s">
        <v>55</v>
      </c>
      <c r="D861" s="7" t="s">
        <v>161</v>
      </c>
      <c r="E861" s="7" t="s">
        <v>35</v>
      </c>
      <c r="F861" s="0" t="n">
        <v>7.16</v>
      </c>
      <c r="G861" s="0" t="n">
        <v>3.58</v>
      </c>
      <c r="H861" s="0" t="n">
        <v>0</v>
      </c>
      <c r="I861" s="7" t="n">
        <f aca="false">YEAR(B861)</f>
        <v>2017</v>
      </c>
      <c r="J861" s="0" t="str">
        <f aca="false">I861&amp;"-Q"&amp;ROUNDUP(MONTH(B861)/3,0)</f>
        <v>2017-Q2</v>
      </c>
    </row>
    <row r="862" customFormat="false" ht="15" hidden="false" customHeight="false" outlineLevel="0" collapsed="false">
      <c r="A862" s="0" t="s">
        <v>475</v>
      </c>
      <c r="B862" s="6" t="n">
        <v>41799</v>
      </c>
      <c r="C862" s="7" t="s">
        <v>33</v>
      </c>
      <c r="D862" s="7" t="s">
        <v>34</v>
      </c>
      <c r="E862" s="7" t="s">
        <v>35</v>
      </c>
      <c r="F862" s="0" t="n">
        <v>7.36</v>
      </c>
      <c r="G862" s="0" t="n">
        <v>0.1472</v>
      </c>
      <c r="H862" s="0" t="n">
        <v>0</v>
      </c>
      <c r="I862" s="7" t="n">
        <f aca="false">YEAR(B862)</f>
        <v>2014</v>
      </c>
      <c r="J862" s="0" t="str">
        <f aca="false">I862&amp;"-Q"&amp;ROUNDUP(MONTH(B862)/3,0)</f>
        <v>2014-Q2</v>
      </c>
    </row>
    <row r="863" customFormat="false" ht="15" hidden="false" customHeight="false" outlineLevel="0" collapsed="false">
      <c r="A863" s="0" t="s">
        <v>475</v>
      </c>
      <c r="B863" s="6" t="n">
        <v>41799</v>
      </c>
      <c r="C863" s="7" t="s">
        <v>33</v>
      </c>
      <c r="D863" s="7" t="s">
        <v>34</v>
      </c>
      <c r="E863" s="7" t="s">
        <v>35</v>
      </c>
      <c r="F863" s="0" t="n">
        <v>23.1</v>
      </c>
      <c r="G863" s="0" t="n">
        <v>10.626</v>
      </c>
      <c r="H863" s="0" t="n">
        <v>0</v>
      </c>
      <c r="I863" s="7" t="n">
        <f aca="false">YEAR(B863)</f>
        <v>2014</v>
      </c>
      <c r="J863" s="0" t="str">
        <f aca="false">I863&amp;"-Q"&amp;ROUNDUP(MONTH(B863)/3,0)</f>
        <v>2014-Q2</v>
      </c>
    </row>
    <row r="864" customFormat="false" ht="15" hidden="false" customHeight="false" outlineLevel="0" collapsed="false">
      <c r="A864" s="0" t="s">
        <v>476</v>
      </c>
      <c r="B864" s="6" t="n">
        <v>42374</v>
      </c>
      <c r="C864" s="7" t="s">
        <v>29</v>
      </c>
      <c r="D864" s="7" t="s">
        <v>37</v>
      </c>
      <c r="E864" s="7" t="s">
        <v>39</v>
      </c>
      <c r="F864" s="0" t="n">
        <v>191.472</v>
      </c>
      <c r="G864" s="0" t="n">
        <v>40.6878</v>
      </c>
      <c r="H864" s="0" t="n">
        <v>0.2</v>
      </c>
      <c r="I864" s="7" t="n">
        <f aca="false">YEAR(B864)</f>
        <v>2016</v>
      </c>
      <c r="J864" s="0" t="str">
        <f aca="false">I864&amp;"-Q"&amp;ROUNDUP(MONTH(B864)/3,0)</f>
        <v>2016-Q1</v>
      </c>
    </row>
    <row r="865" customFormat="false" ht="15" hidden="false" customHeight="false" outlineLevel="0" collapsed="false">
      <c r="A865" s="0" t="s">
        <v>476</v>
      </c>
      <c r="B865" s="6" t="n">
        <v>42374</v>
      </c>
      <c r="C865" s="7" t="s">
        <v>29</v>
      </c>
      <c r="D865" s="7" t="s">
        <v>37</v>
      </c>
      <c r="E865" s="7" t="s">
        <v>35</v>
      </c>
      <c r="F865" s="0" t="n">
        <v>5.248</v>
      </c>
      <c r="G865" s="0" t="n">
        <v>0.5904</v>
      </c>
      <c r="H865" s="0" t="n">
        <v>0.2</v>
      </c>
      <c r="I865" s="7" t="n">
        <f aca="false">YEAR(B865)</f>
        <v>2016</v>
      </c>
      <c r="J865" s="0" t="str">
        <f aca="false">I865&amp;"-Q"&amp;ROUNDUP(MONTH(B865)/3,0)</f>
        <v>2016-Q1</v>
      </c>
    </row>
    <row r="866" customFormat="false" ht="15" hidden="false" customHeight="false" outlineLevel="0" collapsed="false">
      <c r="A866" s="0" t="s">
        <v>476</v>
      </c>
      <c r="B866" s="6" t="n">
        <v>42374</v>
      </c>
      <c r="C866" s="7" t="s">
        <v>29</v>
      </c>
      <c r="D866" s="7" t="s">
        <v>37</v>
      </c>
      <c r="E866" s="7" t="s">
        <v>39</v>
      </c>
      <c r="F866" s="0" t="n">
        <v>59.184</v>
      </c>
      <c r="G866" s="0" t="n">
        <v>5.1786</v>
      </c>
      <c r="H866" s="0" t="n">
        <v>0.2</v>
      </c>
      <c r="I866" s="7" t="n">
        <f aca="false">YEAR(B866)</f>
        <v>2016</v>
      </c>
      <c r="J866" s="0" t="str">
        <f aca="false">I866&amp;"-Q"&amp;ROUNDUP(MONTH(B866)/3,0)</f>
        <v>2016-Q1</v>
      </c>
    </row>
    <row r="867" customFormat="false" ht="15" hidden="false" customHeight="false" outlineLevel="0" collapsed="false">
      <c r="A867" s="0" t="s">
        <v>477</v>
      </c>
      <c r="B867" s="6" t="n">
        <v>41649</v>
      </c>
      <c r="C867" s="7" t="s">
        <v>29</v>
      </c>
      <c r="D867" s="7" t="s">
        <v>83</v>
      </c>
      <c r="E867" s="7" t="s">
        <v>35</v>
      </c>
      <c r="F867" s="0" t="n">
        <v>2.89</v>
      </c>
      <c r="G867" s="0" t="n">
        <v>1.3583</v>
      </c>
      <c r="H867" s="0" t="n">
        <v>0</v>
      </c>
      <c r="I867" s="7" t="n">
        <f aca="false">YEAR(B867)</f>
        <v>2014</v>
      </c>
      <c r="J867" s="0" t="str">
        <f aca="false">I867&amp;"-Q"&amp;ROUNDUP(MONTH(B867)/3,0)</f>
        <v>2014-Q1</v>
      </c>
    </row>
    <row r="868" customFormat="false" ht="15" hidden="false" customHeight="false" outlineLevel="0" collapsed="false">
      <c r="A868" s="0" t="s">
        <v>477</v>
      </c>
      <c r="B868" s="6" t="n">
        <v>41649</v>
      </c>
      <c r="C868" s="7" t="s">
        <v>29</v>
      </c>
      <c r="D868" s="7" t="s">
        <v>83</v>
      </c>
      <c r="E868" s="7" t="s">
        <v>31</v>
      </c>
      <c r="F868" s="0" t="n">
        <v>51.94</v>
      </c>
      <c r="G868" s="0" t="n">
        <v>21.2954</v>
      </c>
      <c r="H868" s="0" t="n">
        <v>0</v>
      </c>
      <c r="I868" s="7" t="n">
        <f aca="false">YEAR(B868)</f>
        <v>2014</v>
      </c>
      <c r="J868" s="0" t="str">
        <f aca="false">I868&amp;"-Q"&amp;ROUNDUP(MONTH(B868)/3,0)</f>
        <v>2014-Q1</v>
      </c>
    </row>
    <row r="869" customFormat="false" ht="15" hidden="false" customHeight="false" outlineLevel="0" collapsed="false">
      <c r="A869" s="0" t="s">
        <v>478</v>
      </c>
      <c r="B869" s="6" t="n">
        <v>42642</v>
      </c>
      <c r="C869" s="7" t="s">
        <v>55</v>
      </c>
      <c r="D869" s="7" t="s">
        <v>56</v>
      </c>
      <c r="E869" s="7" t="s">
        <v>35</v>
      </c>
      <c r="F869" s="0" t="n">
        <v>15.936</v>
      </c>
      <c r="G869" s="0" t="n">
        <v>5.1792</v>
      </c>
      <c r="H869" s="0" t="n">
        <v>0.2</v>
      </c>
      <c r="I869" s="7" t="n">
        <f aca="false">YEAR(B869)</f>
        <v>2016</v>
      </c>
      <c r="J869" s="0" t="str">
        <f aca="false">I869&amp;"-Q"&amp;ROUNDUP(MONTH(B869)/3,0)</f>
        <v>2016-Q3</v>
      </c>
    </row>
    <row r="870" customFormat="false" ht="15" hidden="false" customHeight="false" outlineLevel="0" collapsed="false">
      <c r="A870" s="0" t="s">
        <v>479</v>
      </c>
      <c r="B870" s="6" t="n">
        <v>41735</v>
      </c>
      <c r="C870" s="7" t="s">
        <v>55</v>
      </c>
      <c r="D870" s="7" t="s">
        <v>56</v>
      </c>
      <c r="E870" s="7" t="s">
        <v>35</v>
      </c>
      <c r="F870" s="0" t="n">
        <v>44.91</v>
      </c>
      <c r="G870" s="0" t="n">
        <v>-35.928</v>
      </c>
      <c r="H870" s="0" t="n">
        <v>0.7</v>
      </c>
      <c r="I870" s="7" t="n">
        <f aca="false">YEAR(B870)</f>
        <v>2014</v>
      </c>
      <c r="J870" s="0" t="str">
        <f aca="false">I870&amp;"-Q"&amp;ROUNDUP(MONTH(B870)/3,0)</f>
        <v>2014-Q2</v>
      </c>
    </row>
    <row r="871" customFormat="false" ht="15" hidden="false" customHeight="false" outlineLevel="0" collapsed="false">
      <c r="A871" s="0" t="s">
        <v>480</v>
      </c>
      <c r="B871" s="6" t="n">
        <v>42616</v>
      </c>
      <c r="C871" s="7" t="s">
        <v>55</v>
      </c>
      <c r="D871" s="7" t="s">
        <v>56</v>
      </c>
      <c r="E871" s="7" t="s">
        <v>35</v>
      </c>
      <c r="F871" s="0" t="n">
        <v>1141.47</v>
      </c>
      <c r="G871" s="0" t="n">
        <v>-760.98</v>
      </c>
      <c r="H871" s="0" t="n">
        <v>0.7</v>
      </c>
      <c r="I871" s="7" t="n">
        <f aca="false">YEAR(B871)</f>
        <v>2016</v>
      </c>
      <c r="J871" s="0" t="str">
        <f aca="false">I871&amp;"-Q"&amp;ROUNDUP(MONTH(B871)/3,0)</f>
        <v>2016-Q3</v>
      </c>
    </row>
    <row r="872" customFormat="false" ht="15" hidden="false" customHeight="false" outlineLevel="0" collapsed="false">
      <c r="A872" s="0" t="s">
        <v>480</v>
      </c>
      <c r="B872" s="6" t="n">
        <v>42616</v>
      </c>
      <c r="C872" s="7" t="s">
        <v>55</v>
      </c>
      <c r="D872" s="7" t="s">
        <v>56</v>
      </c>
      <c r="E872" s="7" t="s">
        <v>39</v>
      </c>
      <c r="F872" s="0" t="n">
        <v>280.782</v>
      </c>
      <c r="G872" s="0" t="n">
        <v>-46.797</v>
      </c>
      <c r="H872" s="0" t="n">
        <v>0.4</v>
      </c>
      <c r="I872" s="7" t="n">
        <f aca="false">YEAR(B872)</f>
        <v>2016</v>
      </c>
      <c r="J872" s="0" t="str">
        <f aca="false">I872&amp;"-Q"&amp;ROUNDUP(MONTH(B872)/3,0)</f>
        <v>2016-Q3</v>
      </c>
    </row>
    <row r="873" customFormat="false" ht="15" hidden="false" customHeight="false" outlineLevel="0" collapsed="false">
      <c r="A873" s="0" t="s">
        <v>481</v>
      </c>
      <c r="B873" s="6" t="n">
        <v>42296</v>
      </c>
      <c r="C873" s="7" t="s">
        <v>55</v>
      </c>
      <c r="D873" s="7" t="s">
        <v>482</v>
      </c>
      <c r="E873" s="7" t="s">
        <v>35</v>
      </c>
      <c r="F873" s="0" t="n">
        <v>34.44</v>
      </c>
      <c r="G873" s="0" t="n">
        <v>17.22</v>
      </c>
      <c r="H873" s="0" t="n">
        <v>0</v>
      </c>
      <c r="I873" s="7" t="n">
        <f aca="false">YEAR(B873)</f>
        <v>2015</v>
      </c>
      <c r="J873" s="0" t="str">
        <f aca="false">I873&amp;"-Q"&amp;ROUNDUP(MONTH(B873)/3,0)</f>
        <v>2015-Q4</v>
      </c>
    </row>
    <row r="874" customFormat="false" ht="15" hidden="false" customHeight="false" outlineLevel="0" collapsed="false">
      <c r="A874" s="0" t="s">
        <v>483</v>
      </c>
      <c r="B874" s="6" t="n">
        <v>41983</v>
      </c>
      <c r="C874" s="7" t="s">
        <v>55</v>
      </c>
      <c r="D874" s="7" t="s">
        <v>76</v>
      </c>
      <c r="E874" s="7" t="s">
        <v>35</v>
      </c>
      <c r="F874" s="0" t="n">
        <v>11.36</v>
      </c>
      <c r="G874" s="0" t="n">
        <v>5.2256</v>
      </c>
      <c r="H874" s="0" t="n">
        <v>0</v>
      </c>
      <c r="I874" s="7" t="n">
        <f aca="false">YEAR(B874)</f>
        <v>2014</v>
      </c>
      <c r="J874" s="0" t="str">
        <f aca="false">I874&amp;"-Q"&amp;ROUNDUP(MONTH(B874)/3,0)</f>
        <v>2014-Q4</v>
      </c>
    </row>
    <row r="875" customFormat="false" ht="15" hidden="false" customHeight="false" outlineLevel="0" collapsed="false">
      <c r="A875" s="0" t="s">
        <v>483</v>
      </c>
      <c r="B875" s="6" t="n">
        <v>41983</v>
      </c>
      <c r="C875" s="7" t="s">
        <v>55</v>
      </c>
      <c r="D875" s="7" t="s">
        <v>76</v>
      </c>
      <c r="E875" s="7" t="s">
        <v>35</v>
      </c>
      <c r="F875" s="0" t="n">
        <v>106.344</v>
      </c>
      <c r="G875" s="0" t="n">
        <v>37.2204</v>
      </c>
      <c r="H875" s="0" t="n">
        <v>0.2</v>
      </c>
      <c r="I875" s="7" t="n">
        <f aca="false">YEAR(B875)</f>
        <v>2014</v>
      </c>
      <c r="J875" s="0" t="str">
        <f aca="false">I875&amp;"-Q"&amp;ROUNDUP(MONTH(B875)/3,0)</f>
        <v>2014-Q4</v>
      </c>
    </row>
    <row r="876" customFormat="false" ht="15" hidden="false" customHeight="false" outlineLevel="0" collapsed="false">
      <c r="A876" s="0" t="s">
        <v>484</v>
      </c>
      <c r="B876" s="6" t="n">
        <v>42972</v>
      </c>
      <c r="C876" s="7" t="s">
        <v>29</v>
      </c>
      <c r="D876" s="7" t="s">
        <v>41</v>
      </c>
      <c r="E876" s="7" t="s">
        <v>35</v>
      </c>
      <c r="F876" s="0" t="n">
        <v>192.16</v>
      </c>
      <c r="G876" s="0" t="n">
        <v>67.256</v>
      </c>
      <c r="H876" s="0" t="n">
        <v>0.2</v>
      </c>
      <c r="I876" s="7" t="n">
        <f aca="false">YEAR(B876)</f>
        <v>2017</v>
      </c>
      <c r="J876" s="0" t="str">
        <f aca="false">I876&amp;"-Q"&amp;ROUNDUP(MONTH(B876)/3,0)</f>
        <v>2017-Q3</v>
      </c>
    </row>
    <row r="877" customFormat="false" ht="15" hidden="false" customHeight="false" outlineLevel="0" collapsed="false">
      <c r="A877" s="0" t="s">
        <v>485</v>
      </c>
      <c r="B877" s="6" t="n">
        <v>42386</v>
      </c>
      <c r="C877" s="7" t="s">
        <v>55</v>
      </c>
      <c r="D877" s="7" t="s">
        <v>482</v>
      </c>
      <c r="E877" s="7" t="s">
        <v>31</v>
      </c>
      <c r="F877" s="0" t="n">
        <v>322.59</v>
      </c>
      <c r="G877" s="0" t="n">
        <v>64.518</v>
      </c>
      <c r="H877" s="0" t="n">
        <v>0</v>
      </c>
      <c r="I877" s="7" t="n">
        <f aca="false">YEAR(B877)</f>
        <v>2016</v>
      </c>
      <c r="J877" s="0" t="str">
        <f aca="false">I877&amp;"-Q"&amp;ROUNDUP(MONTH(B877)/3,0)</f>
        <v>2016-Q1</v>
      </c>
    </row>
    <row r="878" customFormat="false" ht="15" hidden="false" customHeight="false" outlineLevel="0" collapsed="false">
      <c r="A878" s="0" t="s">
        <v>485</v>
      </c>
      <c r="B878" s="6" t="n">
        <v>42386</v>
      </c>
      <c r="C878" s="7" t="s">
        <v>55</v>
      </c>
      <c r="D878" s="7" t="s">
        <v>482</v>
      </c>
      <c r="E878" s="7" t="s">
        <v>39</v>
      </c>
      <c r="F878" s="0" t="n">
        <v>29.99</v>
      </c>
      <c r="G878" s="0" t="n">
        <v>13.1956</v>
      </c>
      <c r="H878" s="0" t="n">
        <v>0</v>
      </c>
      <c r="I878" s="7" t="n">
        <f aca="false">YEAR(B878)</f>
        <v>2016</v>
      </c>
      <c r="J878" s="0" t="str">
        <f aca="false">I878&amp;"-Q"&amp;ROUNDUP(MONTH(B878)/3,0)</f>
        <v>2016-Q1</v>
      </c>
    </row>
    <row r="879" customFormat="false" ht="15" hidden="false" customHeight="false" outlineLevel="0" collapsed="false">
      <c r="A879" s="0" t="s">
        <v>485</v>
      </c>
      <c r="B879" s="6" t="n">
        <v>42386</v>
      </c>
      <c r="C879" s="7" t="s">
        <v>55</v>
      </c>
      <c r="D879" s="7" t="s">
        <v>482</v>
      </c>
      <c r="E879" s="7" t="s">
        <v>39</v>
      </c>
      <c r="F879" s="0" t="n">
        <v>371.97</v>
      </c>
      <c r="G879" s="0" t="n">
        <v>66.9546</v>
      </c>
      <c r="H879" s="0" t="n">
        <v>0</v>
      </c>
      <c r="I879" s="7" t="n">
        <f aca="false">YEAR(B879)</f>
        <v>2016</v>
      </c>
      <c r="J879" s="0" t="str">
        <f aca="false">I879&amp;"-Q"&amp;ROUNDUP(MONTH(B879)/3,0)</f>
        <v>2016-Q1</v>
      </c>
    </row>
    <row r="880" customFormat="false" ht="15" hidden="false" customHeight="false" outlineLevel="0" collapsed="false">
      <c r="A880" s="0" t="s">
        <v>486</v>
      </c>
      <c r="B880" s="6" t="n">
        <v>41899</v>
      </c>
      <c r="C880" s="7" t="s">
        <v>55</v>
      </c>
      <c r="D880" s="7" t="s">
        <v>56</v>
      </c>
      <c r="E880" s="7" t="s">
        <v>35</v>
      </c>
      <c r="F880" s="0" t="n">
        <v>5.892</v>
      </c>
      <c r="G880" s="0" t="n">
        <v>-4.1244</v>
      </c>
      <c r="H880" s="0" t="n">
        <v>0.7</v>
      </c>
      <c r="I880" s="7" t="n">
        <f aca="false">YEAR(B880)</f>
        <v>2014</v>
      </c>
      <c r="J880" s="0" t="str">
        <f aca="false">I880&amp;"-Q"&amp;ROUNDUP(MONTH(B880)/3,0)</f>
        <v>2014-Q3</v>
      </c>
    </row>
    <row r="881" customFormat="false" ht="15" hidden="false" customHeight="false" outlineLevel="0" collapsed="false">
      <c r="A881" s="0" t="s">
        <v>487</v>
      </c>
      <c r="B881" s="6" t="n">
        <v>43069</v>
      </c>
      <c r="C881" s="7" t="s">
        <v>55</v>
      </c>
      <c r="D881" s="7" t="s">
        <v>76</v>
      </c>
      <c r="E881" s="7" t="s">
        <v>35</v>
      </c>
      <c r="F881" s="0" t="n">
        <v>68.472</v>
      </c>
      <c r="G881" s="0" t="n">
        <v>23.1093</v>
      </c>
      <c r="H881" s="0" t="n">
        <v>0.2</v>
      </c>
      <c r="I881" s="7" t="n">
        <f aca="false">YEAR(B881)</f>
        <v>2017</v>
      </c>
      <c r="J881" s="0" t="str">
        <f aca="false">I881&amp;"-Q"&amp;ROUNDUP(MONTH(B881)/3,0)</f>
        <v>2017-Q4</v>
      </c>
    </row>
    <row r="882" customFormat="false" ht="15" hidden="false" customHeight="false" outlineLevel="0" collapsed="false">
      <c r="A882" s="0" t="s">
        <v>487</v>
      </c>
      <c r="B882" s="6" t="n">
        <v>43069</v>
      </c>
      <c r="C882" s="7" t="s">
        <v>55</v>
      </c>
      <c r="D882" s="7" t="s">
        <v>76</v>
      </c>
      <c r="E882" s="7" t="s">
        <v>31</v>
      </c>
      <c r="F882" s="0" t="n">
        <v>1242.9</v>
      </c>
      <c r="G882" s="0" t="n">
        <v>262.39</v>
      </c>
      <c r="H882" s="0" t="n">
        <v>0.1</v>
      </c>
      <c r="I882" s="7" t="n">
        <f aca="false">YEAR(B882)</f>
        <v>2017</v>
      </c>
      <c r="J882" s="0" t="str">
        <f aca="false">I882&amp;"-Q"&amp;ROUNDUP(MONTH(B882)/3,0)</f>
        <v>2017-Q4</v>
      </c>
    </row>
    <row r="883" customFormat="false" ht="15" hidden="false" customHeight="false" outlineLevel="0" collapsed="false">
      <c r="A883" s="0" t="s">
        <v>488</v>
      </c>
      <c r="B883" s="6" t="n">
        <v>42286</v>
      </c>
      <c r="C883" s="7" t="s">
        <v>29</v>
      </c>
      <c r="D883" s="7" t="s">
        <v>83</v>
      </c>
      <c r="E883" s="7" t="s">
        <v>35</v>
      </c>
      <c r="F883" s="0" t="n">
        <v>30.84</v>
      </c>
      <c r="G883" s="0" t="n">
        <v>8.3268</v>
      </c>
      <c r="H883" s="0" t="n">
        <v>0</v>
      </c>
      <c r="I883" s="7" t="n">
        <f aca="false">YEAR(B883)</f>
        <v>2015</v>
      </c>
      <c r="J883" s="0" t="str">
        <f aca="false">I883&amp;"-Q"&amp;ROUNDUP(MONTH(B883)/3,0)</f>
        <v>2015-Q4</v>
      </c>
    </row>
    <row r="884" customFormat="false" ht="15" hidden="false" customHeight="false" outlineLevel="0" collapsed="false">
      <c r="A884" s="0" t="s">
        <v>489</v>
      </c>
      <c r="B884" s="6" t="n">
        <v>43092</v>
      </c>
      <c r="C884" s="7" t="s">
        <v>33</v>
      </c>
      <c r="D884" s="7" t="s">
        <v>34</v>
      </c>
      <c r="E884" s="7" t="s">
        <v>35</v>
      </c>
      <c r="F884" s="0" t="n">
        <v>13.48</v>
      </c>
      <c r="G884" s="0" t="n">
        <v>5.9312</v>
      </c>
      <c r="H884" s="0" t="n">
        <v>0</v>
      </c>
      <c r="I884" s="7" t="n">
        <f aca="false">YEAR(B884)</f>
        <v>2017</v>
      </c>
      <c r="J884" s="0" t="str">
        <f aca="false">I884&amp;"-Q"&amp;ROUNDUP(MONTH(B884)/3,0)</f>
        <v>2017-Q4</v>
      </c>
    </row>
    <row r="885" customFormat="false" ht="15" hidden="false" customHeight="false" outlineLevel="0" collapsed="false">
      <c r="A885" s="0" t="s">
        <v>490</v>
      </c>
      <c r="B885" s="6" t="n">
        <v>42665</v>
      </c>
      <c r="C885" s="7" t="s">
        <v>45</v>
      </c>
      <c r="D885" s="7" t="s">
        <v>70</v>
      </c>
      <c r="E885" s="7" t="s">
        <v>31</v>
      </c>
      <c r="F885" s="0" t="n">
        <v>31.4</v>
      </c>
      <c r="G885" s="0" t="n">
        <v>10.048</v>
      </c>
      <c r="H885" s="0" t="n">
        <v>0</v>
      </c>
      <c r="I885" s="7" t="n">
        <f aca="false">YEAR(B885)</f>
        <v>2016</v>
      </c>
      <c r="J885" s="0" t="str">
        <f aca="false">I885&amp;"-Q"&amp;ROUNDUP(MONTH(B885)/3,0)</f>
        <v>2016-Q4</v>
      </c>
    </row>
    <row r="886" customFormat="false" ht="15" hidden="false" customHeight="false" outlineLevel="0" collapsed="false">
      <c r="A886" s="0" t="s">
        <v>491</v>
      </c>
      <c r="B886" s="6" t="n">
        <v>41758</v>
      </c>
      <c r="C886" s="7" t="s">
        <v>55</v>
      </c>
      <c r="D886" s="7" t="s">
        <v>76</v>
      </c>
      <c r="E886" s="7" t="s">
        <v>31</v>
      </c>
      <c r="F886" s="0" t="n">
        <v>17.46</v>
      </c>
      <c r="G886" s="0" t="n">
        <v>5.9364</v>
      </c>
      <c r="H886" s="0" t="n">
        <v>0</v>
      </c>
      <c r="I886" s="7" t="n">
        <f aca="false">YEAR(B886)</f>
        <v>2014</v>
      </c>
      <c r="J886" s="0" t="str">
        <f aca="false">I886&amp;"-Q"&amp;ROUNDUP(MONTH(B886)/3,0)</f>
        <v>2014-Q2</v>
      </c>
    </row>
    <row r="887" customFormat="false" ht="15" hidden="false" customHeight="false" outlineLevel="0" collapsed="false">
      <c r="A887" s="0" t="s">
        <v>492</v>
      </c>
      <c r="B887" s="6" t="n">
        <v>42119</v>
      </c>
      <c r="C887" s="7" t="s">
        <v>33</v>
      </c>
      <c r="D887" s="7" t="s">
        <v>34</v>
      </c>
      <c r="E887" s="7" t="s">
        <v>35</v>
      </c>
      <c r="F887" s="0" t="n">
        <v>13.944</v>
      </c>
      <c r="G887" s="0" t="n">
        <v>4.5318</v>
      </c>
      <c r="H887" s="0" t="n">
        <v>0.2</v>
      </c>
      <c r="I887" s="7" t="n">
        <f aca="false">YEAR(B887)</f>
        <v>2015</v>
      </c>
      <c r="J887" s="0" t="str">
        <f aca="false">I887&amp;"-Q"&amp;ROUNDUP(MONTH(B887)/3,0)</f>
        <v>2015-Q2</v>
      </c>
    </row>
    <row r="888" customFormat="false" ht="15" hidden="false" customHeight="false" outlineLevel="0" collapsed="false">
      <c r="A888" s="0" t="s">
        <v>493</v>
      </c>
      <c r="B888" s="6" t="n">
        <v>42912</v>
      </c>
      <c r="C888" s="7" t="s">
        <v>33</v>
      </c>
      <c r="D888" s="7" t="s">
        <v>34</v>
      </c>
      <c r="E888" s="7" t="s">
        <v>35</v>
      </c>
      <c r="F888" s="0" t="n">
        <v>83.76</v>
      </c>
      <c r="G888" s="0" t="n">
        <v>1.6752</v>
      </c>
      <c r="H888" s="0" t="n">
        <v>0</v>
      </c>
      <c r="I888" s="7" t="n">
        <f aca="false">YEAR(B888)</f>
        <v>2017</v>
      </c>
      <c r="J888" s="0" t="str">
        <f aca="false">I888&amp;"-Q"&amp;ROUNDUP(MONTH(B888)/3,0)</f>
        <v>2017-Q2</v>
      </c>
    </row>
    <row r="889" customFormat="false" ht="15" hidden="false" customHeight="false" outlineLevel="0" collapsed="false">
      <c r="A889" s="0" t="s">
        <v>494</v>
      </c>
      <c r="B889" s="6" t="n">
        <v>43022</v>
      </c>
      <c r="C889" s="7" t="s">
        <v>55</v>
      </c>
      <c r="D889" s="7" t="s">
        <v>495</v>
      </c>
      <c r="E889" s="7" t="s">
        <v>35</v>
      </c>
      <c r="F889" s="0" t="n">
        <v>37.66</v>
      </c>
      <c r="G889" s="0" t="n">
        <v>18.4534</v>
      </c>
      <c r="H889" s="0" t="n">
        <v>0</v>
      </c>
      <c r="I889" s="7" t="n">
        <f aca="false">YEAR(B889)</f>
        <v>2017</v>
      </c>
      <c r="J889" s="0" t="str">
        <f aca="false">I889&amp;"-Q"&amp;ROUNDUP(MONTH(B889)/3,0)</f>
        <v>2017-Q4</v>
      </c>
    </row>
    <row r="890" customFormat="false" ht="15" hidden="false" customHeight="false" outlineLevel="0" collapsed="false">
      <c r="A890" s="0" t="s">
        <v>496</v>
      </c>
      <c r="B890" s="6" t="n">
        <v>41982</v>
      </c>
      <c r="C890" s="7" t="s">
        <v>33</v>
      </c>
      <c r="D890" s="7" t="s">
        <v>34</v>
      </c>
      <c r="E890" s="7" t="s">
        <v>35</v>
      </c>
      <c r="F890" s="0" t="n">
        <v>34.68</v>
      </c>
      <c r="G890" s="0" t="n">
        <v>16.9932</v>
      </c>
      <c r="H890" s="0" t="n">
        <v>0</v>
      </c>
      <c r="I890" s="7" t="n">
        <f aca="false">YEAR(B890)</f>
        <v>2014</v>
      </c>
      <c r="J890" s="0" t="str">
        <f aca="false">I890&amp;"-Q"&amp;ROUNDUP(MONTH(B890)/3,0)</f>
        <v>2014-Q4</v>
      </c>
    </row>
    <row r="891" customFormat="false" ht="15" hidden="false" customHeight="false" outlineLevel="0" collapsed="false">
      <c r="A891" s="0" t="s">
        <v>497</v>
      </c>
      <c r="B891" s="6" t="n">
        <v>42906</v>
      </c>
      <c r="C891" s="7" t="s">
        <v>55</v>
      </c>
      <c r="D891" s="7" t="s">
        <v>76</v>
      </c>
      <c r="E891" s="7" t="s">
        <v>39</v>
      </c>
      <c r="F891" s="0" t="n">
        <v>149.95</v>
      </c>
      <c r="G891" s="0" t="n">
        <v>14.995</v>
      </c>
      <c r="H891" s="0" t="n">
        <v>0</v>
      </c>
      <c r="I891" s="7" t="n">
        <f aca="false">YEAR(B891)</f>
        <v>2017</v>
      </c>
      <c r="J891" s="0" t="str">
        <f aca="false">I891&amp;"-Q"&amp;ROUNDUP(MONTH(B891)/3,0)</f>
        <v>2017-Q2</v>
      </c>
    </row>
    <row r="892" customFormat="false" ht="15" hidden="false" customHeight="false" outlineLevel="0" collapsed="false">
      <c r="A892" s="0" t="s">
        <v>497</v>
      </c>
      <c r="B892" s="6" t="n">
        <v>42906</v>
      </c>
      <c r="C892" s="7" t="s">
        <v>55</v>
      </c>
      <c r="D892" s="7" t="s">
        <v>76</v>
      </c>
      <c r="E892" s="7" t="s">
        <v>35</v>
      </c>
      <c r="F892" s="0" t="n">
        <v>51.312</v>
      </c>
      <c r="G892" s="0" t="n">
        <v>18.6006</v>
      </c>
      <c r="H892" s="0" t="n">
        <v>0.2</v>
      </c>
      <c r="I892" s="7" t="n">
        <f aca="false">YEAR(B892)</f>
        <v>2017</v>
      </c>
      <c r="J892" s="0" t="str">
        <f aca="false">I892&amp;"-Q"&amp;ROUNDUP(MONTH(B892)/3,0)</f>
        <v>2017-Q2</v>
      </c>
    </row>
    <row r="893" customFormat="false" ht="15" hidden="false" customHeight="false" outlineLevel="0" collapsed="false">
      <c r="A893" s="0" t="s">
        <v>498</v>
      </c>
      <c r="B893" s="6" t="n">
        <v>42912</v>
      </c>
      <c r="C893" s="7" t="s">
        <v>45</v>
      </c>
      <c r="D893" s="7" t="s">
        <v>70</v>
      </c>
      <c r="E893" s="7" t="s">
        <v>35</v>
      </c>
      <c r="F893" s="0" t="n">
        <v>4.54</v>
      </c>
      <c r="G893" s="0" t="n">
        <v>2.043</v>
      </c>
      <c r="H893" s="0" t="n">
        <v>0</v>
      </c>
      <c r="I893" s="7" t="n">
        <f aca="false">YEAR(B893)</f>
        <v>2017</v>
      </c>
      <c r="J893" s="0" t="str">
        <f aca="false">I893&amp;"-Q"&amp;ROUNDUP(MONTH(B893)/3,0)</f>
        <v>2017-Q2</v>
      </c>
    </row>
    <row r="894" customFormat="false" ht="15" hidden="false" customHeight="false" outlineLevel="0" collapsed="false">
      <c r="A894" s="0" t="s">
        <v>498</v>
      </c>
      <c r="B894" s="6" t="n">
        <v>42912</v>
      </c>
      <c r="C894" s="7" t="s">
        <v>45</v>
      </c>
      <c r="D894" s="7" t="s">
        <v>70</v>
      </c>
      <c r="E894" s="7" t="s">
        <v>35</v>
      </c>
      <c r="F894" s="0" t="n">
        <v>15.92</v>
      </c>
      <c r="G894" s="0" t="n">
        <v>5.4128</v>
      </c>
      <c r="H894" s="0" t="n">
        <v>0</v>
      </c>
      <c r="I894" s="7" t="n">
        <f aca="false">YEAR(B894)</f>
        <v>2017</v>
      </c>
      <c r="J894" s="0" t="str">
        <f aca="false">I894&amp;"-Q"&amp;ROUNDUP(MONTH(B894)/3,0)</f>
        <v>2017-Q2</v>
      </c>
    </row>
    <row r="895" customFormat="false" ht="15" hidden="false" customHeight="false" outlineLevel="0" collapsed="false">
      <c r="A895" s="0" t="s">
        <v>498</v>
      </c>
      <c r="B895" s="6" t="n">
        <v>42912</v>
      </c>
      <c r="C895" s="7" t="s">
        <v>45</v>
      </c>
      <c r="D895" s="7" t="s">
        <v>70</v>
      </c>
      <c r="E895" s="7" t="s">
        <v>39</v>
      </c>
      <c r="F895" s="0" t="n">
        <v>543.92</v>
      </c>
      <c r="G895" s="0" t="n">
        <v>135.98</v>
      </c>
      <c r="H895" s="0" t="n">
        <v>0</v>
      </c>
      <c r="I895" s="7" t="n">
        <f aca="false">YEAR(B895)</f>
        <v>2017</v>
      </c>
      <c r="J895" s="0" t="str">
        <f aca="false">I895&amp;"-Q"&amp;ROUNDUP(MONTH(B895)/3,0)</f>
        <v>2017-Q2</v>
      </c>
    </row>
    <row r="896" customFormat="false" ht="15" hidden="false" customHeight="false" outlineLevel="0" collapsed="false">
      <c r="A896" s="0" t="s">
        <v>499</v>
      </c>
      <c r="B896" s="6" t="n">
        <v>42684</v>
      </c>
      <c r="C896" s="7" t="s">
        <v>33</v>
      </c>
      <c r="D896" s="7" t="s">
        <v>34</v>
      </c>
      <c r="E896" s="7" t="s">
        <v>35</v>
      </c>
      <c r="F896" s="0" t="n">
        <v>155.82</v>
      </c>
      <c r="G896" s="0" t="n">
        <v>42.0714</v>
      </c>
      <c r="H896" s="0" t="n">
        <v>0</v>
      </c>
      <c r="I896" s="7" t="n">
        <f aca="false">YEAR(B896)</f>
        <v>2016</v>
      </c>
      <c r="J896" s="0" t="str">
        <f aca="false">I896&amp;"-Q"&amp;ROUNDUP(MONTH(B896)/3,0)</f>
        <v>2016-Q4</v>
      </c>
    </row>
    <row r="897" customFormat="false" ht="15" hidden="false" customHeight="false" outlineLevel="0" collapsed="false">
      <c r="A897" s="0" t="s">
        <v>499</v>
      </c>
      <c r="B897" s="6" t="n">
        <v>42684</v>
      </c>
      <c r="C897" s="7" t="s">
        <v>33</v>
      </c>
      <c r="D897" s="7" t="s">
        <v>34</v>
      </c>
      <c r="E897" s="7" t="s">
        <v>35</v>
      </c>
      <c r="F897" s="0" t="n">
        <v>70.008</v>
      </c>
      <c r="G897" s="0" t="n">
        <v>24.5028</v>
      </c>
      <c r="H897" s="0" t="n">
        <v>0.2</v>
      </c>
      <c r="I897" s="7" t="n">
        <f aca="false">YEAR(B897)</f>
        <v>2016</v>
      </c>
      <c r="J897" s="0" t="str">
        <f aca="false">I897&amp;"-Q"&amp;ROUNDUP(MONTH(B897)/3,0)</f>
        <v>2016-Q4</v>
      </c>
    </row>
    <row r="898" customFormat="false" ht="15" hidden="false" customHeight="false" outlineLevel="0" collapsed="false">
      <c r="A898" s="0" t="s">
        <v>500</v>
      </c>
      <c r="B898" s="6" t="n">
        <v>42646</v>
      </c>
      <c r="C898" s="7" t="s">
        <v>45</v>
      </c>
      <c r="D898" s="7" t="s">
        <v>46</v>
      </c>
      <c r="E898" s="7" t="s">
        <v>35</v>
      </c>
      <c r="F898" s="0" t="n">
        <v>15.648</v>
      </c>
      <c r="G898" s="0" t="n">
        <v>5.0856</v>
      </c>
      <c r="H898" s="0" t="n">
        <v>0.2</v>
      </c>
      <c r="I898" s="7" t="n">
        <f aca="false">YEAR(B898)</f>
        <v>2016</v>
      </c>
      <c r="J898" s="0" t="str">
        <f aca="false">I898&amp;"-Q"&amp;ROUNDUP(MONTH(B898)/3,0)</f>
        <v>2016-Q4</v>
      </c>
    </row>
    <row r="899" customFormat="false" ht="15" hidden="false" customHeight="false" outlineLevel="0" collapsed="false">
      <c r="A899" s="0" t="s">
        <v>501</v>
      </c>
      <c r="B899" s="6" t="n">
        <v>41891</v>
      </c>
      <c r="C899" s="7" t="s">
        <v>45</v>
      </c>
      <c r="D899" s="7" t="s">
        <v>70</v>
      </c>
      <c r="E899" s="7" t="s">
        <v>35</v>
      </c>
      <c r="F899" s="0" t="n">
        <v>103.6</v>
      </c>
      <c r="G899" s="0" t="n">
        <v>51.8</v>
      </c>
      <c r="H899" s="0" t="n">
        <v>0</v>
      </c>
      <c r="I899" s="7" t="n">
        <f aca="false">YEAR(B899)</f>
        <v>2014</v>
      </c>
      <c r="J899" s="0" t="str">
        <f aca="false">I899&amp;"-Q"&amp;ROUNDUP(MONTH(B899)/3,0)</f>
        <v>2014-Q3</v>
      </c>
    </row>
    <row r="900" customFormat="false" ht="15" hidden="false" customHeight="false" outlineLevel="0" collapsed="false">
      <c r="A900" s="0" t="s">
        <v>502</v>
      </c>
      <c r="B900" s="6" t="n">
        <v>43037</v>
      </c>
      <c r="C900" s="7" t="s">
        <v>55</v>
      </c>
      <c r="D900" s="7" t="s">
        <v>76</v>
      </c>
      <c r="E900" s="7" t="s">
        <v>35</v>
      </c>
      <c r="F900" s="0" t="n">
        <v>46.96</v>
      </c>
      <c r="G900" s="0" t="n">
        <v>22.5408</v>
      </c>
      <c r="H900" s="0" t="n">
        <v>0</v>
      </c>
      <c r="I900" s="7" t="n">
        <f aca="false">YEAR(B900)</f>
        <v>2017</v>
      </c>
      <c r="J900" s="0" t="str">
        <f aca="false">I900&amp;"-Q"&amp;ROUNDUP(MONTH(B900)/3,0)</f>
        <v>2017-Q4</v>
      </c>
    </row>
    <row r="901" customFormat="false" ht="15" hidden="false" customHeight="false" outlineLevel="0" collapsed="false">
      <c r="A901" s="0" t="s">
        <v>503</v>
      </c>
      <c r="B901" s="6" t="n">
        <v>42470</v>
      </c>
      <c r="C901" s="7" t="s">
        <v>55</v>
      </c>
      <c r="D901" s="7" t="s">
        <v>116</v>
      </c>
      <c r="E901" s="7" t="s">
        <v>35</v>
      </c>
      <c r="F901" s="0" t="n">
        <v>8.904</v>
      </c>
      <c r="G901" s="0" t="n">
        <v>-6.5296</v>
      </c>
      <c r="H901" s="0" t="n">
        <v>0.7</v>
      </c>
      <c r="I901" s="7" t="n">
        <f aca="false">YEAR(B901)</f>
        <v>2016</v>
      </c>
      <c r="J901" s="0" t="str">
        <f aca="false">I901&amp;"-Q"&amp;ROUNDUP(MONTH(B901)/3,0)</f>
        <v>2016-Q2</v>
      </c>
    </row>
    <row r="902" customFormat="false" ht="15" hidden="false" customHeight="false" outlineLevel="0" collapsed="false">
      <c r="A902" s="0" t="s">
        <v>504</v>
      </c>
      <c r="B902" s="6" t="n">
        <v>43050</v>
      </c>
      <c r="C902" s="7" t="s">
        <v>45</v>
      </c>
      <c r="D902" s="7" t="s">
        <v>46</v>
      </c>
      <c r="E902" s="7" t="s">
        <v>35</v>
      </c>
      <c r="F902" s="0" t="n">
        <v>10.44</v>
      </c>
      <c r="G902" s="0" t="n">
        <v>3.393</v>
      </c>
      <c r="H902" s="0" t="n">
        <v>0.2</v>
      </c>
      <c r="I902" s="7" t="n">
        <f aca="false">YEAR(B902)</f>
        <v>2017</v>
      </c>
      <c r="J902" s="0" t="str">
        <f aca="false">I902&amp;"-Q"&amp;ROUNDUP(MONTH(B902)/3,0)</f>
        <v>2017-Q4</v>
      </c>
    </row>
    <row r="903" customFormat="false" ht="15" hidden="false" customHeight="false" outlineLevel="0" collapsed="false">
      <c r="A903" s="0" t="s">
        <v>504</v>
      </c>
      <c r="B903" s="6" t="n">
        <v>43050</v>
      </c>
      <c r="C903" s="7" t="s">
        <v>45</v>
      </c>
      <c r="D903" s="7" t="s">
        <v>46</v>
      </c>
      <c r="E903" s="7" t="s">
        <v>35</v>
      </c>
      <c r="F903" s="0" t="n">
        <v>18.336</v>
      </c>
      <c r="G903" s="0" t="n">
        <v>-32.088</v>
      </c>
      <c r="H903" s="0" t="n">
        <v>0.8</v>
      </c>
      <c r="I903" s="7" t="n">
        <f aca="false">YEAR(B903)</f>
        <v>2017</v>
      </c>
      <c r="J903" s="0" t="str">
        <f aca="false">I903&amp;"-Q"&amp;ROUNDUP(MONTH(B903)/3,0)</f>
        <v>2017-Q4</v>
      </c>
    </row>
    <row r="904" customFormat="false" ht="15" hidden="false" customHeight="false" outlineLevel="0" collapsed="false">
      <c r="A904" s="0" t="s">
        <v>505</v>
      </c>
      <c r="B904" s="6" t="n">
        <v>42993</v>
      </c>
      <c r="C904" s="7" t="s">
        <v>45</v>
      </c>
      <c r="D904" s="7" t="s">
        <v>64</v>
      </c>
      <c r="E904" s="7" t="s">
        <v>39</v>
      </c>
      <c r="F904" s="0" t="n">
        <v>323.976</v>
      </c>
      <c r="G904" s="0" t="n">
        <v>20.2485</v>
      </c>
      <c r="H904" s="0" t="n">
        <v>0.2</v>
      </c>
      <c r="I904" s="7" t="n">
        <f aca="false">YEAR(B904)</f>
        <v>2017</v>
      </c>
      <c r="J904" s="0" t="str">
        <f aca="false">I904&amp;"-Q"&amp;ROUNDUP(MONTH(B904)/3,0)</f>
        <v>2017-Q3</v>
      </c>
    </row>
    <row r="905" customFormat="false" ht="15" hidden="false" customHeight="false" outlineLevel="0" collapsed="false">
      <c r="A905" s="0" t="s">
        <v>506</v>
      </c>
      <c r="B905" s="6" t="n">
        <v>42468</v>
      </c>
      <c r="C905" s="7" t="s">
        <v>33</v>
      </c>
      <c r="D905" s="7" t="s">
        <v>34</v>
      </c>
      <c r="E905" s="7" t="s">
        <v>35</v>
      </c>
      <c r="F905" s="0" t="n">
        <v>20.04</v>
      </c>
      <c r="G905" s="0" t="n">
        <v>9.6192</v>
      </c>
      <c r="H905" s="0" t="n">
        <v>0</v>
      </c>
      <c r="I905" s="7" t="n">
        <f aca="false">YEAR(B905)</f>
        <v>2016</v>
      </c>
      <c r="J905" s="0" t="str">
        <f aca="false">I905&amp;"-Q"&amp;ROUNDUP(MONTH(B905)/3,0)</f>
        <v>2016-Q2</v>
      </c>
    </row>
    <row r="906" customFormat="false" ht="15" hidden="false" customHeight="false" outlineLevel="0" collapsed="false">
      <c r="A906" s="0" t="s">
        <v>506</v>
      </c>
      <c r="B906" s="6" t="n">
        <v>42468</v>
      </c>
      <c r="C906" s="7" t="s">
        <v>33</v>
      </c>
      <c r="D906" s="7" t="s">
        <v>34</v>
      </c>
      <c r="E906" s="7" t="s">
        <v>35</v>
      </c>
      <c r="F906" s="0" t="n">
        <v>64.96</v>
      </c>
      <c r="G906" s="0" t="n">
        <v>2.5984</v>
      </c>
      <c r="H906" s="0" t="n">
        <v>0</v>
      </c>
      <c r="I906" s="7" t="n">
        <f aca="false">YEAR(B906)</f>
        <v>2016</v>
      </c>
      <c r="J906" s="0" t="str">
        <f aca="false">I906&amp;"-Q"&amp;ROUNDUP(MONTH(B906)/3,0)</f>
        <v>2016-Q2</v>
      </c>
    </row>
    <row r="907" customFormat="false" ht="15" hidden="false" customHeight="false" outlineLevel="0" collapsed="false">
      <c r="A907" s="0" t="s">
        <v>506</v>
      </c>
      <c r="B907" s="6" t="n">
        <v>42468</v>
      </c>
      <c r="C907" s="7" t="s">
        <v>33</v>
      </c>
      <c r="D907" s="7" t="s">
        <v>34</v>
      </c>
      <c r="E907" s="7" t="s">
        <v>35</v>
      </c>
      <c r="F907" s="0" t="n">
        <v>12.96</v>
      </c>
      <c r="G907" s="0" t="n">
        <v>6.2208</v>
      </c>
      <c r="H907" s="0" t="n">
        <v>0</v>
      </c>
      <c r="I907" s="7" t="n">
        <f aca="false">YEAR(B907)</f>
        <v>2016</v>
      </c>
      <c r="J907" s="0" t="str">
        <f aca="false">I907&amp;"-Q"&amp;ROUNDUP(MONTH(B907)/3,0)</f>
        <v>2016-Q2</v>
      </c>
    </row>
    <row r="908" customFormat="false" ht="15" hidden="false" customHeight="false" outlineLevel="0" collapsed="false">
      <c r="A908" s="0" t="s">
        <v>507</v>
      </c>
      <c r="B908" s="6" t="n">
        <v>43099</v>
      </c>
      <c r="C908" s="7" t="s">
        <v>55</v>
      </c>
      <c r="D908" s="7" t="s">
        <v>76</v>
      </c>
      <c r="E908" s="7" t="s">
        <v>31</v>
      </c>
      <c r="F908" s="0" t="n">
        <v>323.136</v>
      </c>
      <c r="G908" s="0" t="n">
        <v>12.1176</v>
      </c>
      <c r="H908" s="0" t="n">
        <v>0.2</v>
      </c>
      <c r="I908" s="7" t="n">
        <f aca="false">YEAR(B908)</f>
        <v>2017</v>
      </c>
      <c r="J908" s="0" t="str">
        <f aca="false">I908&amp;"-Q"&amp;ROUNDUP(MONTH(B908)/3,0)</f>
        <v>2017-Q4</v>
      </c>
    </row>
    <row r="909" customFormat="false" ht="15" hidden="false" customHeight="false" outlineLevel="0" collapsed="false">
      <c r="A909" s="0" t="s">
        <v>507</v>
      </c>
      <c r="B909" s="6" t="n">
        <v>43099</v>
      </c>
      <c r="C909" s="7" t="s">
        <v>55</v>
      </c>
      <c r="D909" s="7" t="s">
        <v>76</v>
      </c>
      <c r="E909" s="7" t="s">
        <v>39</v>
      </c>
      <c r="F909" s="0" t="n">
        <v>90.93</v>
      </c>
      <c r="G909" s="0" t="n">
        <v>2.7279</v>
      </c>
      <c r="H909" s="0" t="n">
        <v>0</v>
      </c>
      <c r="I909" s="7" t="n">
        <f aca="false">YEAR(B909)</f>
        <v>2017</v>
      </c>
      <c r="J909" s="0" t="str">
        <f aca="false">I909&amp;"-Q"&amp;ROUNDUP(MONTH(B909)/3,0)</f>
        <v>2017-Q4</v>
      </c>
    </row>
    <row r="910" customFormat="false" ht="15" hidden="false" customHeight="false" outlineLevel="0" collapsed="false">
      <c r="A910" s="0" t="s">
        <v>507</v>
      </c>
      <c r="B910" s="6" t="n">
        <v>43099</v>
      </c>
      <c r="C910" s="7" t="s">
        <v>55</v>
      </c>
      <c r="D910" s="7" t="s">
        <v>76</v>
      </c>
      <c r="E910" s="7" t="s">
        <v>35</v>
      </c>
      <c r="F910" s="0" t="n">
        <v>52.776</v>
      </c>
      <c r="G910" s="0" t="n">
        <v>19.791</v>
      </c>
      <c r="H910" s="0" t="n">
        <v>0.2</v>
      </c>
      <c r="I910" s="7" t="n">
        <f aca="false">YEAR(B910)</f>
        <v>2017</v>
      </c>
      <c r="J910" s="0" t="str">
        <f aca="false">I910&amp;"-Q"&amp;ROUNDUP(MONTH(B910)/3,0)</f>
        <v>2017-Q4</v>
      </c>
    </row>
    <row r="911" customFormat="false" ht="15" hidden="false" customHeight="false" outlineLevel="0" collapsed="false">
      <c r="A911" s="0" t="s">
        <v>508</v>
      </c>
      <c r="B911" s="6" t="n">
        <v>42980</v>
      </c>
      <c r="C911" s="7" t="s">
        <v>45</v>
      </c>
      <c r="D911" s="7" t="s">
        <v>70</v>
      </c>
      <c r="E911" s="7" t="s">
        <v>39</v>
      </c>
      <c r="F911" s="0" t="n">
        <v>1199.8</v>
      </c>
      <c r="G911" s="0" t="n">
        <v>323.946</v>
      </c>
      <c r="H911" s="0" t="n">
        <v>0</v>
      </c>
      <c r="I911" s="7" t="n">
        <f aca="false">YEAR(B911)</f>
        <v>2017</v>
      </c>
      <c r="J911" s="0" t="str">
        <f aca="false">I911&amp;"-Q"&amp;ROUNDUP(MONTH(B911)/3,0)</f>
        <v>2017-Q3</v>
      </c>
    </row>
    <row r="912" customFormat="false" ht="15" hidden="false" customHeight="false" outlineLevel="0" collapsed="false">
      <c r="A912" s="0" t="s">
        <v>508</v>
      </c>
      <c r="B912" s="6" t="n">
        <v>42980</v>
      </c>
      <c r="C912" s="7" t="s">
        <v>45</v>
      </c>
      <c r="D912" s="7" t="s">
        <v>70</v>
      </c>
      <c r="E912" s="7" t="s">
        <v>39</v>
      </c>
      <c r="F912" s="0" t="n">
        <v>1928.78</v>
      </c>
      <c r="G912" s="0" t="n">
        <v>829.3754</v>
      </c>
      <c r="H912" s="0" t="n">
        <v>0</v>
      </c>
      <c r="I912" s="7" t="n">
        <f aca="false">YEAR(B912)</f>
        <v>2017</v>
      </c>
      <c r="J912" s="0" t="str">
        <f aca="false">I912&amp;"-Q"&amp;ROUNDUP(MONTH(B912)/3,0)</f>
        <v>2017-Q3</v>
      </c>
    </row>
    <row r="913" customFormat="false" ht="15" hidden="false" customHeight="false" outlineLevel="0" collapsed="false">
      <c r="A913" s="0" t="s">
        <v>508</v>
      </c>
      <c r="B913" s="6" t="n">
        <v>42980</v>
      </c>
      <c r="C913" s="7" t="s">
        <v>45</v>
      </c>
      <c r="D913" s="7" t="s">
        <v>70</v>
      </c>
      <c r="E913" s="7" t="s">
        <v>35</v>
      </c>
      <c r="F913" s="0" t="n">
        <v>352.38</v>
      </c>
      <c r="G913" s="0" t="n">
        <v>81.0474</v>
      </c>
      <c r="H913" s="0" t="n">
        <v>0</v>
      </c>
      <c r="I913" s="7" t="n">
        <f aca="false">YEAR(B913)</f>
        <v>2017</v>
      </c>
      <c r="J913" s="0" t="str">
        <f aca="false">I913&amp;"-Q"&amp;ROUNDUP(MONTH(B913)/3,0)</f>
        <v>2017-Q3</v>
      </c>
    </row>
    <row r="914" customFormat="false" ht="15" hidden="false" customHeight="false" outlineLevel="0" collapsed="false">
      <c r="A914" s="0" t="s">
        <v>509</v>
      </c>
      <c r="B914" s="6" t="n">
        <v>42155</v>
      </c>
      <c r="C914" s="7" t="s">
        <v>55</v>
      </c>
      <c r="D914" s="7" t="s">
        <v>154</v>
      </c>
      <c r="E914" s="7" t="s">
        <v>31</v>
      </c>
      <c r="F914" s="0" t="n">
        <v>22.2</v>
      </c>
      <c r="G914" s="0" t="n">
        <v>9.102</v>
      </c>
      <c r="H914" s="0" t="n">
        <v>0</v>
      </c>
      <c r="I914" s="7" t="n">
        <f aca="false">YEAR(B914)</f>
        <v>2015</v>
      </c>
      <c r="J914" s="0" t="str">
        <f aca="false">I914&amp;"-Q"&amp;ROUNDUP(MONTH(B914)/3,0)</f>
        <v>2015-Q2</v>
      </c>
    </row>
    <row r="915" customFormat="false" ht="15" hidden="false" customHeight="false" outlineLevel="0" collapsed="false">
      <c r="A915" s="0" t="s">
        <v>510</v>
      </c>
      <c r="B915" s="6" t="n">
        <v>43066</v>
      </c>
      <c r="C915" s="7" t="s">
        <v>45</v>
      </c>
      <c r="D915" s="7" t="s">
        <v>48</v>
      </c>
      <c r="E915" s="7" t="s">
        <v>31</v>
      </c>
      <c r="F915" s="0" t="n">
        <v>46.94</v>
      </c>
      <c r="G915" s="0" t="n">
        <v>19.2454</v>
      </c>
      <c r="H915" s="0" t="n">
        <v>0</v>
      </c>
      <c r="I915" s="7" t="n">
        <f aca="false">YEAR(B915)</f>
        <v>2017</v>
      </c>
      <c r="J915" s="0" t="str">
        <f aca="false">I915&amp;"-Q"&amp;ROUNDUP(MONTH(B915)/3,0)</f>
        <v>2017-Q4</v>
      </c>
    </row>
    <row r="916" customFormat="false" ht="15" hidden="false" customHeight="false" outlineLevel="0" collapsed="false">
      <c r="A916" s="0" t="s">
        <v>510</v>
      </c>
      <c r="B916" s="6" t="n">
        <v>43066</v>
      </c>
      <c r="C916" s="7" t="s">
        <v>45</v>
      </c>
      <c r="D916" s="7" t="s">
        <v>48</v>
      </c>
      <c r="E916" s="7" t="s">
        <v>39</v>
      </c>
      <c r="F916" s="0" t="n">
        <v>143.73</v>
      </c>
      <c r="G916" s="0" t="n">
        <v>56.0547</v>
      </c>
      <c r="H916" s="0" t="n">
        <v>0</v>
      </c>
      <c r="I916" s="7" t="n">
        <f aca="false">YEAR(B916)</f>
        <v>2017</v>
      </c>
      <c r="J916" s="0" t="str">
        <f aca="false">I916&amp;"-Q"&amp;ROUNDUP(MONTH(B916)/3,0)</f>
        <v>2017-Q4</v>
      </c>
    </row>
    <row r="917" customFormat="false" ht="15" hidden="false" customHeight="false" outlineLevel="0" collapsed="false">
      <c r="A917" s="0" t="s">
        <v>511</v>
      </c>
      <c r="B917" s="6" t="n">
        <v>41805</v>
      </c>
      <c r="C917" s="7" t="s">
        <v>45</v>
      </c>
      <c r="D917" s="7" t="s">
        <v>46</v>
      </c>
      <c r="E917" s="7" t="s">
        <v>31</v>
      </c>
      <c r="F917" s="0" t="n">
        <v>99.918</v>
      </c>
      <c r="G917" s="0" t="n">
        <v>-18.5562</v>
      </c>
      <c r="H917" s="0" t="n">
        <v>0.3</v>
      </c>
      <c r="I917" s="7" t="n">
        <f aca="false">YEAR(B917)</f>
        <v>2014</v>
      </c>
      <c r="J917" s="0" t="str">
        <f aca="false">I917&amp;"-Q"&amp;ROUNDUP(MONTH(B917)/3,0)</f>
        <v>2014-Q2</v>
      </c>
    </row>
    <row r="918" customFormat="false" ht="15" hidden="false" customHeight="false" outlineLevel="0" collapsed="false">
      <c r="A918" s="0" t="s">
        <v>511</v>
      </c>
      <c r="B918" s="6" t="n">
        <v>41805</v>
      </c>
      <c r="C918" s="7" t="s">
        <v>45</v>
      </c>
      <c r="D918" s="7" t="s">
        <v>46</v>
      </c>
      <c r="E918" s="7" t="s">
        <v>31</v>
      </c>
      <c r="F918" s="0" t="n">
        <v>797.944</v>
      </c>
      <c r="G918" s="0" t="n">
        <v>-56.996</v>
      </c>
      <c r="H918" s="0" t="n">
        <v>0.3</v>
      </c>
      <c r="I918" s="7" t="n">
        <f aca="false">YEAR(B918)</f>
        <v>2014</v>
      </c>
      <c r="J918" s="0" t="str">
        <f aca="false">I918&amp;"-Q"&amp;ROUNDUP(MONTH(B918)/3,0)</f>
        <v>2014-Q2</v>
      </c>
    </row>
    <row r="919" customFormat="false" ht="15" hidden="false" customHeight="false" outlineLevel="0" collapsed="false">
      <c r="A919" s="0" t="s">
        <v>511</v>
      </c>
      <c r="B919" s="6" t="n">
        <v>41805</v>
      </c>
      <c r="C919" s="7" t="s">
        <v>45</v>
      </c>
      <c r="D919" s="7" t="s">
        <v>46</v>
      </c>
      <c r="E919" s="7" t="s">
        <v>35</v>
      </c>
      <c r="F919" s="0" t="n">
        <v>8.568</v>
      </c>
      <c r="G919" s="0" t="n">
        <v>-14.5656</v>
      </c>
      <c r="H919" s="0" t="n">
        <v>0.8</v>
      </c>
      <c r="I919" s="7" t="n">
        <f aca="false">YEAR(B919)</f>
        <v>2014</v>
      </c>
      <c r="J919" s="0" t="str">
        <f aca="false">I919&amp;"-Q"&amp;ROUNDUP(MONTH(B919)/3,0)</f>
        <v>2014-Q2</v>
      </c>
    </row>
    <row r="920" customFormat="false" ht="15" hidden="false" customHeight="false" outlineLevel="0" collapsed="false">
      <c r="A920" s="0" t="s">
        <v>512</v>
      </c>
      <c r="B920" s="6" t="n">
        <v>42434</v>
      </c>
      <c r="C920" s="7" t="s">
        <v>45</v>
      </c>
      <c r="D920" s="7" t="s">
        <v>46</v>
      </c>
      <c r="E920" s="7" t="s">
        <v>35</v>
      </c>
      <c r="F920" s="0" t="n">
        <v>149.352</v>
      </c>
      <c r="G920" s="0" t="n">
        <v>50.4063</v>
      </c>
      <c r="H920" s="0" t="n">
        <v>0.2</v>
      </c>
      <c r="I920" s="7" t="n">
        <f aca="false">YEAR(B920)</f>
        <v>2016</v>
      </c>
      <c r="J920" s="0" t="str">
        <f aca="false">I920&amp;"-Q"&amp;ROUNDUP(MONTH(B920)/3,0)</f>
        <v>2016-Q1</v>
      </c>
    </row>
    <row r="921" customFormat="false" ht="15" hidden="false" customHeight="false" outlineLevel="0" collapsed="false">
      <c r="A921" s="0" t="s">
        <v>512</v>
      </c>
      <c r="B921" s="6" t="n">
        <v>42434</v>
      </c>
      <c r="C921" s="7" t="s">
        <v>45</v>
      </c>
      <c r="D921" s="7" t="s">
        <v>46</v>
      </c>
      <c r="E921" s="7" t="s">
        <v>35</v>
      </c>
      <c r="F921" s="0" t="n">
        <v>12.992</v>
      </c>
      <c r="G921" s="0" t="n">
        <v>-0.812</v>
      </c>
      <c r="H921" s="0" t="n">
        <v>0.2</v>
      </c>
      <c r="I921" s="7" t="n">
        <f aca="false">YEAR(B921)</f>
        <v>2016</v>
      </c>
      <c r="J921" s="0" t="str">
        <f aca="false">I921&amp;"-Q"&amp;ROUNDUP(MONTH(B921)/3,0)</f>
        <v>2016-Q1</v>
      </c>
    </row>
    <row r="922" customFormat="false" ht="15" hidden="false" customHeight="false" outlineLevel="0" collapsed="false">
      <c r="A922" s="0" t="s">
        <v>513</v>
      </c>
      <c r="B922" s="6" t="n">
        <v>41978</v>
      </c>
      <c r="C922" s="7" t="s">
        <v>29</v>
      </c>
      <c r="D922" s="7" t="s">
        <v>83</v>
      </c>
      <c r="E922" s="7" t="s">
        <v>35</v>
      </c>
      <c r="F922" s="0" t="n">
        <v>24.56</v>
      </c>
      <c r="G922" s="0" t="n">
        <v>6.8768</v>
      </c>
      <c r="H922" s="0" t="n">
        <v>0</v>
      </c>
      <c r="I922" s="7" t="n">
        <f aca="false">YEAR(B922)</f>
        <v>2014</v>
      </c>
      <c r="J922" s="0" t="str">
        <f aca="false">I922&amp;"-Q"&amp;ROUNDUP(MONTH(B922)/3,0)</f>
        <v>2014-Q4</v>
      </c>
    </row>
    <row r="923" customFormat="false" ht="15" hidden="false" customHeight="false" outlineLevel="0" collapsed="false">
      <c r="A923" s="0" t="s">
        <v>514</v>
      </c>
      <c r="B923" s="6" t="n">
        <v>42105</v>
      </c>
      <c r="C923" s="7" t="s">
        <v>55</v>
      </c>
      <c r="D923" s="7" t="s">
        <v>76</v>
      </c>
      <c r="E923" s="7" t="s">
        <v>39</v>
      </c>
      <c r="F923" s="0" t="n">
        <v>85.14</v>
      </c>
      <c r="G923" s="0" t="n">
        <v>34.9074</v>
      </c>
      <c r="H923" s="0" t="n">
        <v>0</v>
      </c>
      <c r="I923" s="7" t="n">
        <f aca="false">YEAR(B923)</f>
        <v>2015</v>
      </c>
      <c r="J923" s="0" t="str">
        <f aca="false">I923&amp;"-Q"&amp;ROUNDUP(MONTH(B923)/3,0)</f>
        <v>2015-Q2</v>
      </c>
    </row>
    <row r="924" customFormat="false" ht="15" hidden="false" customHeight="false" outlineLevel="0" collapsed="false">
      <c r="A924" s="0" t="s">
        <v>514</v>
      </c>
      <c r="B924" s="6" t="n">
        <v>42105</v>
      </c>
      <c r="C924" s="7" t="s">
        <v>55</v>
      </c>
      <c r="D924" s="7" t="s">
        <v>76</v>
      </c>
      <c r="E924" s="7" t="s">
        <v>39</v>
      </c>
      <c r="F924" s="0" t="n">
        <v>21.99</v>
      </c>
      <c r="G924" s="0" t="n">
        <v>10.5552</v>
      </c>
      <c r="H924" s="0" t="n">
        <v>0</v>
      </c>
      <c r="I924" s="7" t="n">
        <f aca="false">YEAR(B924)</f>
        <v>2015</v>
      </c>
      <c r="J924" s="0" t="str">
        <f aca="false">I924&amp;"-Q"&amp;ROUNDUP(MONTH(B924)/3,0)</f>
        <v>2015-Q2</v>
      </c>
    </row>
    <row r="925" customFormat="false" ht="15" hidden="false" customHeight="false" outlineLevel="0" collapsed="false">
      <c r="A925" s="0" t="s">
        <v>514</v>
      </c>
      <c r="B925" s="6" t="n">
        <v>42105</v>
      </c>
      <c r="C925" s="7" t="s">
        <v>55</v>
      </c>
      <c r="D925" s="7" t="s">
        <v>76</v>
      </c>
      <c r="E925" s="7" t="s">
        <v>35</v>
      </c>
      <c r="F925" s="0" t="n">
        <v>406.6</v>
      </c>
      <c r="G925" s="0" t="n">
        <v>113.848</v>
      </c>
      <c r="H925" s="0" t="n">
        <v>0</v>
      </c>
      <c r="I925" s="7" t="n">
        <f aca="false">YEAR(B925)</f>
        <v>2015</v>
      </c>
      <c r="J925" s="0" t="str">
        <f aca="false">I925&amp;"-Q"&amp;ROUNDUP(MONTH(B925)/3,0)</f>
        <v>2015-Q2</v>
      </c>
    </row>
    <row r="926" customFormat="false" ht="15" hidden="false" customHeight="false" outlineLevel="0" collapsed="false">
      <c r="A926" s="0" t="s">
        <v>515</v>
      </c>
      <c r="B926" s="6" t="n">
        <v>42628</v>
      </c>
      <c r="C926" s="7" t="s">
        <v>55</v>
      </c>
      <c r="D926" s="7" t="s">
        <v>76</v>
      </c>
      <c r="E926" s="7" t="s">
        <v>35</v>
      </c>
      <c r="F926" s="0" t="n">
        <v>841.568</v>
      </c>
      <c r="G926" s="0" t="n">
        <v>294.5488</v>
      </c>
      <c r="H926" s="0" t="n">
        <v>0.2</v>
      </c>
      <c r="I926" s="7" t="n">
        <f aca="false">YEAR(B926)</f>
        <v>2016</v>
      </c>
      <c r="J926" s="0" t="str">
        <f aca="false">I926&amp;"-Q"&amp;ROUNDUP(MONTH(B926)/3,0)</f>
        <v>2016-Q3</v>
      </c>
    </row>
    <row r="927" customFormat="false" ht="15" hidden="false" customHeight="false" outlineLevel="0" collapsed="false">
      <c r="A927" s="0" t="s">
        <v>516</v>
      </c>
      <c r="B927" s="6" t="n">
        <v>41895</v>
      </c>
      <c r="C927" s="7" t="s">
        <v>55</v>
      </c>
      <c r="D927" s="7" t="s">
        <v>56</v>
      </c>
      <c r="E927" s="7" t="s">
        <v>35</v>
      </c>
      <c r="F927" s="0" t="n">
        <v>15.552</v>
      </c>
      <c r="G927" s="0" t="n">
        <v>5.4432</v>
      </c>
      <c r="H927" s="0" t="n">
        <v>0.2</v>
      </c>
      <c r="I927" s="7" t="n">
        <f aca="false">YEAR(B927)</f>
        <v>2014</v>
      </c>
      <c r="J927" s="0" t="str">
        <f aca="false">I927&amp;"-Q"&amp;ROUNDUP(MONTH(B927)/3,0)</f>
        <v>2014-Q3</v>
      </c>
    </row>
    <row r="928" customFormat="false" ht="15" hidden="false" customHeight="false" outlineLevel="0" collapsed="false">
      <c r="A928" s="0" t="s">
        <v>516</v>
      </c>
      <c r="B928" s="6" t="n">
        <v>41895</v>
      </c>
      <c r="C928" s="7" t="s">
        <v>55</v>
      </c>
      <c r="D928" s="7" t="s">
        <v>56</v>
      </c>
      <c r="E928" s="7" t="s">
        <v>39</v>
      </c>
      <c r="F928" s="0" t="n">
        <v>252</v>
      </c>
      <c r="G928" s="0" t="n">
        <v>53.55</v>
      </c>
      <c r="H928" s="0" t="n">
        <v>0.2</v>
      </c>
      <c r="I928" s="7" t="n">
        <f aca="false">YEAR(B928)</f>
        <v>2014</v>
      </c>
      <c r="J928" s="0" t="str">
        <f aca="false">I928&amp;"-Q"&amp;ROUNDUP(MONTH(B928)/3,0)</f>
        <v>2014-Q3</v>
      </c>
    </row>
    <row r="929" customFormat="false" ht="15" hidden="false" customHeight="false" outlineLevel="0" collapsed="false">
      <c r="A929" s="0" t="s">
        <v>517</v>
      </c>
      <c r="B929" s="6" t="n">
        <v>42282</v>
      </c>
      <c r="C929" s="7" t="s">
        <v>29</v>
      </c>
      <c r="D929" s="7" t="s">
        <v>83</v>
      </c>
      <c r="E929" s="7" t="s">
        <v>35</v>
      </c>
      <c r="F929" s="0" t="n">
        <v>46.2</v>
      </c>
      <c r="G929" s="0" t="n">
        <v>12.936</v>
      </c>
      <c r="H929" s="0" t="n">
        <v>0</v>
      </c>
      <c r="I929" s="7" t="n">
        <f aca="false">YEAR(B929)</f>
        <v>2015</v>
      </c>
      <c r="J929" s="0" t="str">
        <f aca="false">I929&amp;"-Q"&amp;ROUNDUP(MONTH(B929)/3,0)</f>
        <v>2015-Q4</v>
      </c>
    </row>
    <row r="930" customFormat="false" ht="15" hidden="false" customHeight="false" outlineLevel="0" collapsed="false">
      <c r="A930" s="0" t="s">
        <v>517</v>
      </c>
      <c r="B930" s="6" t="n">
        <v>42282</v>
      </c>
      <c r="C930" s="7" t="s">
        <v>29</v>
      </c>
      <c r="D930" s="7" t="s">
        <v>83</v>
      </c>
      <c r="E930" s="7" t="s">
        <v>35</v>
      </c>
      <c r="F930" s="0" t="n">
        <v>28.84</v>
      </c>
      <c r="G930" s="0" t="n">
        <v>9.5172</v>
      </c>
      <c r="H930" s="0" t="n">
        <v>0</v>
      </c>
      <c r="I930" s="7" t="n">
        <f aca="false">YEAR(B930)</f>
        <v>2015</v>
      </c>
      <c r="J930" s="0" t="str">
        <f aca="false">I930&amp;"-Q"&amp;ROUNDUP(MONTH(B930)/3,0)</f>
        <v>2015-Q4</v>
      </c>
    </row>
    <row r="931" customFormat="false" ht="15" hidden="false" customHeight="false" outlineLevel="0" collapsed="false">
      <c r="A931" s="0" t="s">
        <v>518</v>
      </c>
      <c r="B931" s="6" t="n">
        <v>42839</v>
      </c>
      <c r="C931" s="7" t="s">
        <v>55</v>
      </c>
      <c r="D931" s="7" t="s">
        <v>116</v>
      </c>
      <c r="E931" s="7" t="s">
        <v>35</v>
      </c>
      <c r="F931" s="0" t="n">
        <v>14.592</v>
      </c>
      <c r="G931" s="0" t="n">
        <v>2.5536</v>
      </c>
      <c r="H931" s="0" t="n">
        <v>0.2</v>
      </c>
      <c r="I931" s="7" t="n">
        <f aca="false">YEAR(B931)</f>
        <v>2017</v>
      </c>
      <c r="J931" s="0" t="str">
        <f aca="false">I931&amp;"-Q"&amp;ROUNDUP(MONTH(B931)/3,0)</f>
        <v>2017-Q2</v>
      </c>
    </row>
    <row r="932" customFormat="false" ht="15" hidden="false" customHeight="false" outlineLevel="0" collapsed="false">
      <c r="A932" s="0" t="s">
        <v>518</v>
      </c>
      <c r="B932" s="6" t="n">
        <v>42839</v>
      </c>
      <c r="C932" s="7" t="s">
        <v>55</v>
      </c>
      <c r="D932" s="7" t="s">
        <v>116</v>
      </c>
      <c r="E932" s="7" t="s">
        <v>35</v>
      </c>
      <c r="F932" s="0" t="n">
        <v>89.856</v>
      </c>
      <c r="G932" s="0" t="n">
        <v>21.3408</v>
      </c>
      <c r="H932" s="0" t="n">
        <v>0.2</v>
      </c>
      <c r="I932" s="7" t="n">
        <f aca="false">YEAR(B932)</f>
        <v>2017</v>
      </c>
      <c r="J932" s="0" t="str">
        <f aca="false">I932&amp;"-Q"&amp;ROUNDUP(MONTH(B932)/3,0)</f>
        <v>2017-Q2</v>
      </c>
    </row>
    <row r="933" customFormat="false" ht="15" hidden="false" customHeight="false" outlineLevel="0" collapsed="false">
      <c r="A933" s="0" t="s">
        <v>518</v>
      </c>
      <c r="B933" s="6" t="n">
        <v>42839</v>
      </c>
      <c r="C933" s="7" t="s">
        <v>55</v>
      </c>
      <c r="D933" s="7" t="s">
        <v>116</v>
      </c>
      <c r="E933" s="7" t="s">
        <v>35</v>
      </c>
      <c r="F933" s="0" t="n">
        <v>13.872</v>
      </c>
      <c r="G933" s="0" t="n">
        <v>5.0286</v>
      </c>
      <c r="H933" s="0" t="n">
        <v>0.2</v>
      </c>
      <c r="I933" s="7" t="n">
        <f aca="false">YEAR(B933)</f>
        <v>2017</v>
      </c>
      <c r="J933" s="0" t="str">
        <f aca="false">I933&amp;"-Q"&amp;ROUNDUP(MONTH(B933)/3,0)</f>
        <v>2017-Q2</v>
      </c>
    </row>
    <row r="934" customFormat="false" ht="15" hidden="false" customHeight="false" outlineLevel="0" collapsed="false">
      <c r="A934" s="0" t="s">
        <v>519</v>
      </c>
      <c r="B934" s="6" t="n">
        <v>42980</v>
      </c>
      <c r="C934" s="7" t="s">
        <v>55</v>
      </c>
      <c r="D934" s="7" t="s">
        <v>56</v>
      </c>
      <c r="E934" s="7" t="s">
        <v>35</v>
      </c>
      <c r="F934" s="0" t="n">
        <v>12.192</v>
      </c>
      <c r="G934" s="0" t="n">
        <v>4.1148</v>
      </c>
      <c r="H934" s="0" t="n">
        <v>0.2</v>
      </c>
      <c r="I934" s="7" t="n">
        <f aca="false">YEAR(B934)</f>
        <v>2017</v>
      </c>
      <c r="J934" s="0" t="str">
        <f aca="false">I934&amp;"-Q"&amp;ROUNDUP(MONTH(B934)/3,0)</f>
        <v>2017-Q3</v>
      </c>
    </row>
    <row r="935" customFormat="false" ht="15" hidden="false" customHeight="false" outlineLevel="0" collapsed="false">
      <c r="A935" s="0" t="s">
        <v>520</v>
      </c>
      <c r="B935" s="6" t="n">
        <v>42541</v>
      </c>
      <c r="C935" s="7" t="s">
        <v>55</v>
      </c>
      <c r="D935" s="7" t="s">
        <v>56</v>
      </c>
      <c r="E935" s="7" t="s">
        <v>35</v>
      </c>
      <c r="F935" s="0" t="n">
        <v>45.056</v>
      </c>
      <c r="G935" s="0" t="n">
        <v>15.2064</v>
      </c>
      <c r="H935" s="0" t="n">
        <v>0.2</v>
      </c>
      <c r="I935" s="7" t="n">
        <f aca="false">YEAR(B935)</f>
        <v>2016</v>
      </c>
      <c r="J935" s="0" t="str">
        <f aca="false">I935&amp;"-Q"&amp;ROUNDUP(MONTH(B935)/3,0)</f>
        <v>2016-Q2</v>
      </c>
    </row>
    <row r="936" customFormat="false" ht="15" hidden="false" customHeight="false" outlineLevel="0" collapsed="false">
      <c r="A936" s="0" t="s">
        <v>520</v>
      </c>
      <c r="B936" s="6" t="n">
        <v>42541</v>
      </c>
      <c r="C936" s="7" t="s">
        <v>55</v>
      </c>
      <c r="D936" s="7" t="s">
        <v>56</v>
      </c>
      <c r="E936" s="7" t="s">
        <v>35</v>
      </c>
      <c r="F936" s="0" t="n">
        <v>29.718</v>
      </c>
      <c r="G936" s="0" t="n">
        <v>-21.7932</v>
      </c>
      <c r="H936" s="0" t="n">
        <v>0.7</v>
      </c>
      <c r="I936" s="7" t="n">
        <f aca="false">YEAR(B936)</f>
        <v>2016</v>
      </c>
      <c r="J936" s="0" t="str">
        <f aca="false">I936&amp;"-Q"&amp;ROUNDUP(MONTH(B936)/3,0)</f>
        <v>2016-Q2</v>
      </c>
    </row>
    <row r="937" customFormat="false" ht="15" hidden="false" customHeight="false" outlineLevel="0" collapsed="false">
      <c r="A937" s="0" t="s">
        <v>520</v>
      </c>
      <c r="B937" s="6" t="n">
        <v>42541</v>
      </c>
      <c r="C937" s="7" t="s">
        <v>55</v>
      </c>
      <c r="D937" s="7" t="s">
        <v>56</v>
      </c>
      <c r="E937" s="7" t="s">
        <v>35</v>
      </c>
      <c r="F937" s="0" t="n">
        <v>15.552</v>
      </c>
      <c r="G937" s="0" t="n">
        <v>5.4432</v>
      </c>
      <c r="H937" s="0" t="n">
        <v>0.2</v>
      </c>
      <c r="I937" s="7" t="n">
        <f aca="false">YEAR(B937)</f>
        <v>2016</v>
      </c>
      <c r="J937" s="0" t="str">
        <f aca="false">I937&amp;"-Q"&amp;ROUNDUP(MONTH(B937)/3,0)</f>
        <v>2016-Q2</v>
      </c>
    </row>
    <row r="938" customFormat="false" ht="15" hidden="false" customHeight="false" outlineLevel="0" collapsed="false">
      <c r="A938" s="0" t="s">
        <v>520</v>
      </c>
      <c r="B938" s="6" t="n">
        <v>42541</v>
      </c>
      <c r="C938" s="7" t="s">
        <v>55</v>
      </c>
      <c r="D938" s="7" t="s">
        <v>56</v>
      </c>
      <c r="E938" s="7" t="s">
        <v>35</v>
      </c>
      <c r="F938" s="0" t="n">
        <v>447.696</v>
      </c>
      <c r="G938" s="0" t="n">
        <v>33.5772</v>
      </c>
      <c r="H938" s="0" t="n">
        <v>0.2</v>
      </c>
      <c r="I938" s="7" t="n">
        <f aca="false">YEAR(B938)</f>
        <v>2016</v>
      </c>
      <c r="J938" s="0" t="str">
        <f aca="false">I938&amp;"-Q"&amp;ROUNDUP(MONTH(B938)/3,0)</f>
        <v>2016-Q2</v>
      </c>
    </row>
    <row r="939" customFormat="false" ht="15" hidden="false" customHeight="false" outlineLevel="0" collapsed="false">
      <c r="A939" s="0" t="s">
        <v>521</v>
      </c>
      <c r="B939" s="6" t="n">
        <v>43044</v>
      </c>
      <c r="C939" s="7" t="s">
        <v>33</v>
      </c>
      <c r="D939" s="7" t="s">
        <v>142</v>
      </c>
      <c r="E939" s="7" t="s">
        <v>39</v>
      </c>
      <c r="F939" s="0" t="n">
        <v>159.99</v>
      </c>
      <c r="G939" s="0" t="n">
        <v>54.3966</v>
      </c>
      <c r="H939" s="0" t="n">
        <v>0</v>
      </c>
      <c r="I939" s="7" t="n">
        <f aca="false">YEAR(B939)</f>
        <v>2017</v>
      </c>
      <c r="J939" s="0" t="str">
        <f aca="false">I939&amp;"-Q"&amp;ROUNDUP(MONTH(B939)/3,0)</f>
        <v>2017-Q4</v>
      </c>
    </row>
    <row r="940" customFormat="false" ht="15" hidden="false" customHeight="false" outlineLevel="0" collapsed="false">
      <c r="A940" s="0" t="s">
        <v>522</v>
      </c>
      <c r="B940" s="6" t="n">
        <v>42351</v>
      </c>
      <c r="C940" s="7" t="s">
        <v>33</v>
      </c>
      <c r="D940" s="7" t="s">
        <v>34</v>
      </c>
      <c r="E940" s="7" t="s">
        <v>35</v>
      </c>
      <c r="F940" s="0" t="n">
        <v>12.96</v>
      </c>
      <c r="G940" s="0" t="n">
        <v>6.2208</v>
      </c>
      <c r="H940" s="0" t="n">
        <v>0</v>
      </c>
      <c r="I940" s="7" t="n">
        <f aca="false">YEAR(B940)</f>
        <v>2015</v>
      </c>
      <c r="J940" s="0" t="str">
        <f aca="false">I940&amp;"-Q"&amp;ROUNDUP(MONTH(B940)/3,0)</f>
        <v>2015-Q4</v>
      </c>
    </row>
    <row r="941" customFormat="false" ht="15" hidden="false" customHeight="false" outlineLevel="0" collapsed="false">
      <c r="A941" s="0" t="s">
        <v>522</v>
      </c>
      <c r="B941" s="6" t="n">
        <v>42351</v>
      </c>
      <c r="C941" s="7" t="s">
        <v>33</v>
      </c>
      <c r="D941" s="7" t="s">
        <v>34</v>
      </c>
      <c r="E941" s="7" t="s">
        <v>35</v>
      </c>
      <c r="F941" s="0" t="n">
        <v>134.48</v>
      </c>
      <c r="G941" s="0" t="n">
        <v>34.9648</v>
      </c>
      <c r="H941" s="0" t="n">
        <v>0</v>
      </c>
      <c r="I941" s="7" t="n">
        <f aca="false">YEAR(B941)</f>
        <v>2015</v>
      </c>
      <c r="J941" s="0" t="str">
        <f aca="false">I941&amp;"-Q"&amp;ROUNDUP(MONTH(B941)/3,0)</f>
        <v>2015-Q4</v>
      </c>
    </row>
    <row r="942" customFormat="false" ht="15" hidden="false" customHeight="false" outlineLevel="0" collapsed="false">
      <c r="A942" s="0" t="s">
        <v>523</v>
      </c>
      <c r="B942" s="6" t="n">
        <v>42540</v>
      </c>
      <c r="C942" s="7" t="s">
        <v>33</v>
      </c>
      <c r="D942" s="7" t="s">
        <v>34</v>
      </c>
      <c r="E942" s="7" t="s">
        <v>35</v>
      </c>
      <c r="F942" s="0" t="n">
        <v>17.12</v>
      </c>
      <c r="G942" s="0" t="n">
        <v>8.0464</v>
      </c>
      <c r="H942" s="0" t="n">
        <v>0</v>
      </c>
      <c r="I942" s="7" t="n">
        <f aca="false">YEAR(B942)</f>
        <v>2016</v>
      </c>
      <c r="J942" s="0" t="str">
        <f aca="false">I942&amp;"-Q"&amp;ROUNDUP(MONTH(B942)/3,0)</f>
        <v>2016-Q2</v>
      </c>
    </row>
    <row r="943" customFormat="false" ht="15" hidden="false" customHeight="false" outlineLevel="0" collapsed="false">
      <c r="A943" s="0" t="s">
        <v>524</v>
      </c>
      <c r="B943" s="6" t="n">
        <v>42717</v>
      </c>
      <c r="C943" s="7" t="s">
        <v>33</v>
      </c>
      <c r="D943" s="7" t="s">
        <v>34</v>
      </c>
      <c r="E943" s="7" t="s">
        <v>35</v>
      </c>
      <c r="F943" s="0" t="n">
        <v>6.096</v>
      </c>
      <c r="G943" s="0" t="n">
        <v>2.2098</v>
      </c>
      <c r="H943" s="0" t="n">
        <v>0.2</v>
      </c>
      <c r="I943" s="7" t="n">
        <f aca="false">YEAR(B943)</f>
        <v>2016</v>
      </c>
      <c r="J943" s="0" t="str">
        <f aca="false">I943&amp;"-Q"&amp;ROUNDUP(MONTH(B943)/3,0)</f>
        <v>2016-Q4</v>
      </c>
    </row>
    <row r="944" customFormat="false" ht="15" hidden="false" customHeight="false" outlineLevel="0" collapsed="false">
      <c r="A944" s="0" t="s">
        <v>524</v>
      </c>
      <c r="B944" s="6" t="n">
        <v>42717</v>
      </c>
      <c r="C944" s="7" t="s">
        <v>33</v>
      </c>
      <c r="D944" s="7" t="s">
        <v>34</v>
      </c>
      <c r="E944" s="7" t="s">
        <v>31</v>
      </c>
      <c r="F944" s="0" t="n">
        <v>1114.272</v>
      </c>
      <c r="G944" s="0" t="n">
        <v>41.7852</v>
      </c>
      <c r="H944" s="0" t="n">
        <v>0.2</v>
      </c>
      <c r="I944" s="7" t="n">
        <f aca="false">YEAR(B944)</f>
        <v>2016</v>
      </c>
      <c r="J944" s="0" t="str">
        <f aca="false">I944&amp;"-Q"&amp;ROUNDUP(MONTH(B944)/3,0)</f>
        <v>2016-Q4</v>
      </c>
    </row>
    <row r="945" customFormat="false" ht="15" hidden="false" customHeight="false" outlineLevel="0" collapsed="false">
      <c r="A945" s="0" t="s">
        <v>525</v>
      </c>
      <c r="B945" s="6" t="n">
        <v>42153</v>
      </c>
      <c r="C945" s="7" t="s">
        <v>33</v>
      </c>
      <c r="D945" s="7" t="s">
        <v>43</v>
      </c>
      <c r="E945" s="7" t="s">
        <v>35</v>
      </c>
      <c r="F945" s="0" t="n">
        <v>32.4</v>
      </c>
      <c r="G945" s="0" t="n">
        <v>15.552</v>
      </c>
      <c r="H945" s="0" t="n">
        <v>0</v>
      </c>
      <c r="I945" s="7" t="n">
        <f aca="false">YEAR(B945)</f>
        <v>2015</v>
      </c>
      <c r="J945" s="0" t="str">
        <f aca="false">I945&amp;"-Q"&amp;ROUNDUP(MONTH(B945)/3,0)</f>
        <v>2015-Q2</v>
      </c>
    </row>
    <row r="946" customFormat="false" ht="15" hidden="false" customHeight="false" outlineLevel="0" collapsed="false">
      <c r="A946" s="0" t="s">
        <v>525</v>
      </c>
      <c r="B946" s="6" t="n">
        <v>42153</v>
      </c>
      <c r="C946" s="7" t="s">
        <v>33</v>
      </c>
      <c r="D946" s="7" t="s">
        <v>43</v>
      </c>
      <c r="E946" s="7" t="s">
        <v>35</v>
      </c>
      <c r="F946" s="0" t="n">
        <v>540.57</v>
      </c>
      <c r="G946" s="0" t="n">
        <v>140.5482</v>
      </c>
      <c r="H946" s="0" t="n">
        <v>0</v>
      </c>
      <c r="I946" s="7" t="n">
        <f aca="false">YEAR(B946)</f>
        <v>2015</v>
      </c>
      <c r="J946" s="0" t="str">
        <f aca="false">I946&amp;"-Q"&amp;ROUNDUP(MONTH(B946)/3,0)</f>
        <v>2015-Q2</v>
      </c>
    </row>
    <row r="947" customFormat="false" ht="15" hidden="false" customHeight="false" outlineLevel="0" collapsed="false">
      <c r="A947" s="0" t="s">
        <v>525</v>
      </c>
      <c r="B947" s="6" t="n">
        <v>42153</v>
      </c>
      <c r="C947" s="7" t="s">
        <v>33</v>
      </c>
      <c r="D947" s="7" t="s">
        <v>43</v>
      </c>
      <c r="E947" s="7" t="s">
        <v>35</v>
      </c>
      <c r="F947" s="0" t="n">
        <v>167.76</v>
      </c>
      <c r="G947" s="0" t="n">
        <v>62.91</v>
      </c>
      <c r="H947" s="0" t="n">
        <v>0.2</v>
      </c>
      <c r="I947" s="7" t="n">
        <f aca="false">YEAR(B947)</f>
        <v>2015</v>
      </c>
      <c r="J947" s="0" t="str">
        <f aca="false">I947&amp;"-Q"&amp;ROUNDUP(MONTH(B947)/3,0)</f>
        <v>2015-Q2</v>
      </c>
    </row>
    <row r="948" customFormat="false" ht="15" hidden="false" customHeight="false" outlineLevel="0" collapsed="false">
      <c r="A948" s="0" t="s">
        <v>526</v>
      </c>
      <c r="B948" s="6" t="n">
        <v>42211</v>
      </c>
      <c r="C948" s="7" t="s">
        <v>33</v>
      </c>
      <c r="D948" s="7" t="s">
        <v>81</v>
      </c>
      <c r="E948" s="7" t="s">
        <v>31</v>
      </c>
      <c r="F948" s="0" t="n">
        <v>393.165</v>
      </c>
      <c r="G948" s="0" t="n">
        <v>-204.4458</v>
      </c>
      <c r="H948" s="0" t="n">
        <v>0.5</v>
      </c>
      <c r="I948" s="7" t="n">
        <f aca="false">YEAR(B948)</f>
        <v>2015</v>
      </c>
      <c r="J948" s="0" t="str">
        <f aca="false">I948&amp;"-Q"&amp;ROUNDUP(MONTH(B948)/3,0)</f>
        <v>2015-Q3</v>
      </c>
    </row>
    <row r="949" customFormat="false" ht="15" hidden="false" customHeight="false" outlineLevel="0" collapsed="false">
      <c r="A949" s="0" t="s">
        <v>527</v>
      </c>
      <c r="B949" s="6" t="n">
        <v>43067</v>
      </c>
      <c r="C949" s="7" t="s">
        <v>55</v>
      </c>
      <c r="D949" s="7" t="s">
        <v>56</v>
      </c>
      <c r="E949" s="7" t="s">
        <v>31</v>
      </c>
      <c r="F949" s="0" t="n">
        <v>516.488</v>
      </c>
      <c r="G949" s="0" t="n">
        <v>-12.9122</v>
      </c>
      <c r="H949" s="0" t="n">
        <v>0.2</v>
      </c>
      <c r="I949" s="7" t="n">
        <f aca="false">YEAR(B949)</f>
        <v>2017</v>
      </c>
      <c r="J949" s="0" t="str">
        <f aca="false">I949&amp;"-Q"&amp;ROUNDUP(MONTH(B949)/3,0)</f>
        <v>2017-Q4</v>
      </c>
    </row>
    <row r="950" customFormat="false" ht="15" hidden="false" customHeight="false" outlineLevel="0" collapsed="false">
      <c r="A950" s="0" t="s">
        <v>527</v>
      </c>
      <c r="B950" s="6" t="n">
        <v>43067</v>
      </c>
      <c r="C950" s="7" t="s">
        <v>55</v>
      </c>
      <c r="D950" s="7" t="s">
        <v>56</v>
      </c>
      <c r="E950" s="7" t="s">
        <v>31</v>
      </c>
      <c r="F950" s="0" t="n">
        <v>1007.232</v>
      </c>
      <c r="G950" s="0" t="n">
        <v>75.5424</v>
      </c>
      <c r="H950" s="0" t="n">
        <v>0.2</v>
      </c>
      <c r="I950" s="7" t="n">
        <f aca="false">YEAR(B950)</f>
        <v>2017</v>
      </c>
      <c r="J950" s="0" t="str">
        <f aca="false">I950&amp;"-Q"&amp;ROUNDUP(MONTH(B950)/3,0)</f>
        <v>2017-Q4</v>
      </c>
    </row>
    <row r="951" customFormat="false" ht="15" hidden="false" customHeight="false" outlineLevel="0" collapsed="false">
      <c r="A951" s="0" t="s">
        <v>527</v>
      </c>
      <c r="B951" s="6" t="n">
        <v>43067</v>
      </c>
      <c r="C951" s="7" t="s">
        <v>55</v>
      </c>
      <c r="D951" s="7" t="s">
        <v>56</v>
      </c>
      <c r="E951" s="7" t="s">
        <v>31</v>
      </c>
      <c r="F951" s="0" t="n">
        <v>2065.32</v>
      </c>
      <c r="G951" s="0" t="n">
        <v>-619.596</v>
      </c>
      <c r="H951" s="0" t="n">
        <v>0.4</v>
      </c>
      <c r="I951" s="7" t="n">
        <f aca="false">YEAR(B951)</f>
        <v>2017</v>
      </c>
      <c r="J951" s="0" t="str">
        <f aca="false">I951&amp;"-Q"&amp;ROUNDUP(MONTH(B951)/3,0)</f>
        <v>2017-Q4</v>
      </c>
    </row>
    <row r="952" customFormat="false" ht="15" hidden="false" customHeight="false" outlineLevel="0" collapsed="false">
      <c r="A952" s="0" t="s">
        <v>527</v>
      </c>
      <c r="B952" s="6" t="n">
        <v>43067</v>
      </c>
      <c r="C952" s="7" t="s">
        <v>55</v>
      </c>
      <c r="D952" s="7" t="s">
        <v>56</v>
      </c>
      <c r="E952" s="7" t="s">
        <v>35</v>
      </c>
      <c r="F952" s="0" t="n">
        <v>15.552</v>
      </c>
      <c r="G952" s="0" t="n">
        <v>5.4432</v>
      </c>
      <c r="H952" s="0" t="n">
        <v>0.2</v>
      </c>
      <c r="I952" s="7" t="n">
        <f aca="false">YEAR(B952)</f>
        <v>2017</v>
      </c>
      <c r="J952" s="0" t="str">
        <f aca="false">I952&amp;"-Q"&amp;ROUNDUP(MONTH(B952)/3,0)</f>
        <v>2017-Q4</v>
      </c>
    </row>
    <row r="953" customFormat="false" ht="15" hidden="false" customHeight="false" outlineLevel="0" collapsed="false">
      <c r="A953" s="0" t="s">
        <v>527</v>
      </c>
      <c r="B953" s="6" t="n">
        <v>43067</v>
      </c>
      <c r="C953" s="7" t="s">
        <v>55</v>
      </c>
      <c r="D953" s="7" t="s">
        <v>56</v>
      </c>
      <c r="E953" s="7" t="s">
        <v>35</v>
      </c>
      <c r="F953" s="0" t="n">
        <v>25.344</v>
      </c>
      <c r="G953" s="0" t="n">
        <v>7.92</v>
      </c>
      <c r="H953" s="0" t="n">
        <v>0.2</v>
      </c>
      <c r="I953" s="7" t="n">
        <f aca="false">YEAR(B953)</f>
        <v>2017</v>
      </c>
      <c r="J953" s="0" t="str">
        <f aca="false">I953&amp;"-Q"&amp;ROUNDUP(MONTH(B953)/3,0)</f>
        <v>2017-Q4</v>
      </c>
    </row>
    <row r="954" customFormat="false" ht="15" hidden="false" customHeight="false" outlineLevel="0" collapsed="false">
      <c r="A954" s="0" t="s">
        <v>528</v>
      </c>
      <c r="B954" s="6" t="n">
        <v>42828</v>
      </c>
      <c r="C954" s="7" t="s">
        <v>55</v>
      </c>
      <c r="D954" s="7" t="s">
        <v>56</v>
      </c>
      <c r="E954" s="7" t="s">
        <v>31</v>
      </c>
      <c r="F954" s="0" t="n">
        <v>25.472</v>
      </c>
      <c r="G954" s="0" t="n">
        <v>7.6416</v>
      </c>
      <c r="H954" s="0" t="n">
        <v>0.2</v>
      </c>
      <c r="I954" s="7" t="n">
        <f aca="false">YEAR(B954)</f>
        <v>2017</v>
      </c>
      <c r="J954" s="0" t="str">
        <f aca="false">I954&amp;"-Q"&amp;ROUNDUP(MONTH(B954)/3,0)</f>
        <v>2017-Q2</v>
      </c>
    </row>
    <row r="955" customFormat="false" ht="15" hidden="false" customHeight="false" outlineLevel="0" collapsed="false">
      <c r="A955" s="0" t="s">
        <v>529</v>
      </c>
      <c r="B955" s="6" t="n">
        <v>43097</v>
      </c>
      <c r="C955" s="7" t="s">
        <v>45</v>
      </c>
      <c r="D955" s="7" t="s">
        <v>46</v>
      </c>
      <c r="E955" s="7" t="s">
        <v>35</v>
      </c>
      <c r="F955" s="0" t="n">
        <v>27.168</v>
      </c>
      <c r="G955" s="0" t="n">
        <v>2.7168</v>
      </c>
      <c r="H955" s="0" t="n">
        <v>0.2</v>
      </c>
      <c r="I955" s="7" t="n">
        <f aca="false">YEAR(B955)</f>
        <v>2017</v>
      </c>
      <c r="J955" s="0" t="str">
        <f aca="false">I955&amp;"-Q"&amp;ROUNDUP(MONTH(B955)/3,0)</f>
        <v>2017-Q4</v>
      </c>
    </row>
    <row r="956" customFormat="false" ht="15" hidden="false" customHeight="false" outlineLevel="0" collapsed="false">
      <c r="A956" s="0" t="s">
        <v>529</v>
      </c>
      <c r="B956" s="6" t="n">
        <v>43097</v>
      </c>
      <c r="C956" s="7" t="s">
        <v>45</v>
      </c>
      <c r="D956" s="7" t="s">
        <v>46</v>
      </c>
      <c r="E956" s="7" t="s">
        <v>31</v>
      </c>
      <c r="F956" s="0" t="n">
        <v>78.8528</v>
      </c>
      <c r="G956" s="0" t="n">
        <v>-11.596</v>
      </c>
      <c r="H956" s="0" t="n">
        <v>0.32</v>
      </c>
      <c r="I956" s="7" t="n">
        <f aca="false">YEAR(B956)</f>
        <v>2017</v>
      </c>
      <c r="J956" s="0" t="str">
        <f aca="false">I956&amp;"-Q"&amp;ROUNDUP(MONTH(B956)/3,0)</f>
        <v>2017-Q4</v>
      </c>
    </row>
    <row r="957" customFormat="false" ht="15" hidden="false" customHeight="false" outlineLevel="0" collapsed="false">
      <c r="A957" s="0" t="s">
        <v>530</v>
      </c>
      <c r="B957" s="6" t="n">
        <v>43069</v>
      </c>
      <c r="C957" s="7" t="s">
        <v>29</v>
      </c>
      <c r="D957" s="7" t="s">
        <v>265</v>
      </c>
      <c r="E957" s="7" t="s">
        <v>35</v>
      </c>
      <c r="F957" s="0" t="n">
        <v>173.8</v>
      </c>
      <c r="G957" s="0" t="n">
        <v>43.45</v>
      </c>
      <c r="H957" s="0" t="n">
        <v>0</v>
      </c>
      <c r="I957" s="7" t="n">
        <f aca="false">YEAR(B957)</f>
        <v>2017</v>
      </c>
      <c r="J957" s="0" t="str">
        <f aca="false">I957&amp;"-Q"&amp;ROUNDUP(MONTH(B957)/3,0)</f>
        <v>2017-Q4</v>
      </c>
    </row>
    <row r="958" customFormat="false" ht="15" hidden="false" customHeight="false" outlineLevel="0" collapsed="false">
      <c r="A958" s="0" t="s">
        <v>531</v>
      </c>
      <c r="B958" s="6" t="n">
        <v>42870</v>
      </c>
      <c r="C958" s="7" t="s">
        <v>33</v>
      </c>
      <c r="D958" s="7" t="s">
        <v>81</v>
      </c>
      <c r="E958" s="7" t="s">
        <v>39</v>
      </c>
      <c r="F958" s="0" t="n">
        <v>29.592</v>
      </c>
      <c r="G958" s="0" t="n">
        <v>2.5893</v>
      </c>
      <c r="H958" s="0" t="n">
        <v>0.2</v>
      </c>
      <c r="I958" s="7" t="n">
        <f aca="false">YEAR(B958)</f>
        <v>2017</v>
      </c>
      <c r="J958" s="0" t="str">
        <f aca="false">I958&amp;"-Q"&amp;ROUNDUP(MONTH(B958)/3,0)</f>
        <v>2017-Q2</v>
      </c>
    </row>
    <row r="959" customFormat="false" ht="15" hidden="false" customHeight="false" outlineLevel="0" collapsed="false">
      <c r="A959" s="0" t="s">
        <v>531</v>
      </c>
      <c r="B959" s="6" t="n">
        <v>42870</v>
      </c>
      <c r="C959" s="7" t="s">
        <v>33</v>
      </c>
      <c r="D959" s="7" t="s">
        <v>81</v>
      </c>
      <c r="E959" s="7" t="s">
        <v>35</v>
      </c>
      <c r="F959" s="0" t="n">
        <v>4.752</v>
      </c>
      <c r="G959" s="0" t="n">
        <v>-3.168</v>
      </c>
      <c r="H959" s="0" t="n">
        <v>0.7</v>
      </c>
      <c r="I959" s="7" t="n">
        <f aca="false">YEAR(B959)</f>
        <v>2017</v>
      </c>
      <c r="J959" s="0" t="str">
        <f aca="false">I959&amp;"-Q"&amp;ROUNDUP(MONTH(B959)/3,0)</f>
        <v>2017-Q2</v>
      </c>
    </row>
    <row r="960" customFormat="false" ht="15" hidden="false" customHeight="false" outlineLevel="0" collapsed="false">
      <c r="A960" s="0" t="s">
        <v>531</v>
      </c>
      <c r="B960" s="6" t="n">
        <v>42870</v>
      </c>
      <c r="C960" s="7" t="s">
        <v>33</v>
      </c>
      <c r="D960" s="7" t="s">
        <v>81</v>
      </c>
      <c r="E960" s="7" t="s">
        <v>35</v>
      </c>
      <c r="F960" s="0" t="n">
        <v>15.552</v>
      </c>
      <c r="G960" s="0" t="n">
        <v>5.6376</v>
      </c>
      <c r="H960" s="0" t="n">
        <v>0.2</v>
      </c>
      <c r="I960" s="7" t="n">
        <f aca="false">YEAR(B960)</f>
        <v>2017</v>
      </c>
      <c r="J960" s="0" t="str">
        <f aca="false">I960&amp;"-Q"&amp;ROUNDUP(MONTH(B960)/3,0)</f>
        <v>2017-Q2</v>
      </c>
    </row>
    <row r="961" customFormat="false" ht="15" hidden="false" customHeight="false" outlineLevel="0" collapsed="false">
      <c r="A961" s="0" t="s">
        <v>532</v>
      </c>
      <c r="B961" s="6" t="n">
        <v>42269</v>
      </c>
      <c r="C961" s="7" t="s">
        <v>33</v>
      </c>
      <c r="D961" s="7" t="s">
        <v>34</v>
      </c>
      <c r="E961" s="7" t="s">
        <v>31</v>
      </c>
      <c r="F961" s="0" t="n">
        <v>204.6</v>
      </c>
      <c r="G961" s="0" t="n">
        <v>53.196</v>
      </c>
      <c r="H961" s="0" t="n">
        <v>0</v>
      </c>
      <c r="I961" s="7" t="n">
        <f aca="false">YEAR(B961)</f>
        <v>2015</v>
      </c>
      <c r="J961" s="0" t="str">
        <f aca="false">I961&amp;"-Q"&amp;ROUNDUP(MONTH(B961)/3,0)</f>
        <v>2015-Q3</v>
      </c>
    </row>
    <row r="962" customFormat="false" ht="15" hidden="false" customHeight="false" outlineLevel="0" collapsed="false">
      <c r="A962" s="0" t="s">
        <v>533</v>
      </c>
      <c r="B962" s="6" t="n">
        <v>43053</v>
      </c>
      <c r="C962" s="7" t="s">
        <v>33</v>
      </c>
      <c r="D962" s="7" t="s">
        <v>34</v>
      </c>
      <c r="E962" s="7" t="s">
        <v>31</v>
      </c>
      <c r="F962" s="0" t="n">
        <v>321.568</v>
      </c>
      <c r="G962" s="0" t="n">
        <v>28.1372</v>
      </c>
      <c r="H962" s="0" t="n">
        <v>0.2</v>
      </c>
      <c r="I962" s="7" t="n">
        <f aca="false">YEAR(B962)</f>
        <v>2017</v>
      </c>
      <c r="J962" s="0" t="str">
        <f aca="false">I962&amp;"-Q"&amp;ROUNDUP(MONTH(B962)/3,0)</f>
        <v>2017-Q4</v>
      </c>
    </row>
    <row r="963" customFormat="false" ht="15" hidden="false" customHeight="false" outlineLevel="0" collapsed="false">
      <c r="A963" s="0" t="s">
        <v>534</v>
      </c>
      <c r="B963" s="6" t="n">
        <v>42335</v>
      </c>
      <c r="C963" s="7" t="s">
        <v>29</v>
      </c>
      <c r="D963" s="7" t="s">
        <v>301</v>
      </c>
      <c r="E963" s="7" t="s">
        <v>35</v>
      </c>
      <c r="F963" s="0" t="n">
        <v>6.24</v>
      </c>
      <c r="G963" s="0" t="n">
        <v>3.0576</v>
      </c>
      <c r="H963" s="0" t="n">
        <v>0</v>
      </c>
      <c r="I963" s="7" t="n">
        <f aca="false">YEAR(B963)</f>
        <v>2015</v>
      </c>
      <c r="J963" s="0" t="str">
        <f aca="false">I963&amp;"-Q"&amp;ROUNDUP(MONTH(B963)/3,0)</f>
        <v>2015-Q4</v>
      </c>
    </row>
    <row r="964" customFormat="false" ht="15" hidden="false" customHeight="false" outlineLevel="0" collapsed="false">
      <c r="A964" s="0" t="s">
        <v>535</v>
      </c>
      <c r="B964" s="6" t="n">
        <v>42614</v>
      </c>
      <c r="C964" s="7" t="s">
        <v>33</v>
      </c>
      <c r="D964" s="7" t="s">
        <v>34</v>
      </c>
      <c r="E964" s="7" t="s">
        <v>35</v>
      </c>
      <c r="F964" s="0" t="n">
        <v>21.88</v>
      </c>
      <c r="G964" s="0" t="n">
        <v>10.94</v>
      </c>
      <c r="H964" s="0" t="n">
        <v>0</v>
      </c>
      <c r="I964" s="7" t="n">
        <f aca="false">YEAR(B964)</f>
        <v>2016</v>
      </c>
      <c r="J964" s="0" t="str">
        <f aca="false">I964&amp;"-Q"&amp;ROUNDUP(MONTH(B964)/3,0)</f>
        <v>2016-Q3</v>
      </c>
    </row>
    <row r="965" customFormat="false" ht="15" hidden="false" customHeight="false" outlineLevel="0" collapsed="false">
      <c r="A965" s="0" t="s">
        <v>536</v>
      </c>
      <c r="B965" s="6" t="n">
        <v>41904</v>
      </c>
      <c r="C965" s="7" t="s">
        <v>29</v>
      </c>
      <c r="D965" s="7" t="s">
        <v>37</v>
      </c>
      <c r="E965" s="7" t="s">
        <v>35</v>
      </c>
      <c r="F965" s="0" t="n">
        <v>4.608</v>
      </c>
      <c r="G965" s="0" t="n">
        <v>1.6704</v>
      </c>
      <c r="H965" s="0" t="n">
        <v>0.2</v>
      </c>
      <c r="I965" s="7" t="n">
        <f aca="false">YEAR(B965)</f>
        <v>2014</v>
      </c>
      <c r="J965" s="0" t="str">
        <f aca="false">I965&amp;"-Q"&amp;ROUNDUP(MONTH(B965)/3,0)</f>
        <v>2014-Q3</v>
      </c>
    </row>
    <row r="966" customFormat="false" ht="15" hidden="false" customHeight="false" outlineLevel="0" collapsed="false">
      <c r="A966" s="0" t="s">
        <v>537</v>
      </c>
      <c r="B966" s="6" t="n">
        <v>42834</v>
      </c>
      <c r="C966" s="7" t="s">
        <v>55</v>
      </c>
      <c r="D966" s="7" t="s">
        <v>76</v>
      </c>
      <c r="E966" s="7" t="s">
        <v>35</v>
      </c>
      <c r="F966" s="0" t="n">
        <v>9.82</v>
      </c>
      <c r="G966" s="0" t="n">
        <v>4.8118</v>
      </c>
      <c r="H966" s="0" t="n">
        <v>0</v>
      </c>
      <c r="I966" s="7" t="n">
        <f aca="false">YEAR(B966)</f>
        <v>2017</v>
      </c>
      <c r="J966" s="0" t="str">
        <f aca="false">I966&amp;"-Q"&amp;ROUNDUP(MONTH(B966)/3,0)</f>
        <v>2017-Q2</v>
      </c>
    </row>
    <row r="967" customFormat="false" ht="15" hidden="false" customHeight="false" outlineLevel="0" collapsed="false">
      <c r="A967" s="0" t="s">
        <v>537</v>
      </c>
      <c r="B967" s="6" t="n">
        <v>42834</v>
      </c>
      <c r="C967" s="7" t="s">
        <v>55</v>
      </c>
      <c r="D967" s="7" t="s">
        <v>76</v>
      </c>
      <c r="E967" s="7" t="s">
        <v>35</v>
      </c>
      <c r="F967" s="0" t="n">
        <v>35.97</v>
      </c>
      <c r="G967" s="0" t="n">
        <v>9.7119</v>
      </c>
      <c r="H967" s="0" t="n">
        <v>0</v>
      </c>
      <c r="I967" s="7" t="n">
        <f aca="false">YEAR(B967)</f>
        <v>2017</v>
      </c>
      <c r="J967" s="0" t="str">
        <f aca="false">I967&amp;"-Q"&amp;ROUNDUP(MONTH(B967)/3,0)</f>
        <v>2017-Q2</v>
      </c>
    </row>
    <row r="968" customFormat="false" ht="15" hidden="false" customHeight="false" outlineLevel="0" collapsed="false">
      <c r="A968" s="0" t="s">
        <v>537</v>
      </c>
      <c r="B968" s="6" t="n">
        <v>42834</v>
      </c>
      <c r="C968" s="7" t="s">
        <v>55</v>
      </c>
      <c r="D968" s="7" t="s">
        <v>76</v>
      </c>
      <c r="E968" s="7" t="s">
        <v>35</v>
      </c>
      <c r="F968" s="0" t="n">
        <v>12.96</v>
      </c>
      <c r="G968" s="0" t="n">
        <v>6.2208</v>
      </c>
      <c r="H968" s="0" t="n">
        <v>0</v>
      </c>
      <c r="I968" s="7" t="n">
        <f aca="false">YEAR(B968)</f>
        <v>2017</v>
      </c>
      <c r="J968" s="0" t="str">
        <f aca="false">I968&amp;"-Q"&amp;ROUNDUP(MONTH(B968)/3,0)</f>
        <v>2017-Q2</v>
      </c>
    </row>
    <row r="969" customFormat="false" ht="15" hidden="false" customHeight="false" outlineLevel="0" collapsed="false">
      <c r="A969" s="0" t="s">
        <v>537</v>
      </c>
      <c r="B969" s="6" t="n">
        <v>42834</v>
      </c>
      <c r="C969" s="7" t="s">
        <v>55</v>
      </c>
      <c r="D969" s="7" t="s">
        <v>76</v>
      </c>
      <c r="E969" s="7" t="s">
        <v>35</v>
      </c>
      <c r="F969" s="0" t="n">
        <v>191.6</v>
      </c>
      <c r="G969" s="0" t="n">
        <v>91.968</v>
      </c>
      <c r="H969" s="0" t="n">
        <v>0</v>
      </c>
      <c r="I969" s="7" t="n">
        <f aca="false">YEAR(B969)</f>
        <v>2017</v>
      </c>
      <c r="J969" s="0" t="str">
        <f aca="false">I969&amp;"-Q"&amp;ROUNDUP(MONTH(B969)/3,0)</f>
        <v>2017-Q2</v>
      </c>
    </row>
    <row r="970" customFormat="false" ht="15" hidden="false" customHeight="false" outlineLevel="0" collapsed="false">
      <c r="A970" s="0" t="s">
        <v>537</v>
      </c>
      <c r="B970" s="6" t="n">
        <v>42834</v>
      </c>
      <c r="C970" s="7" t="s">
        <v>55</v>
      </c>
      <c r="D970" s="7" t="s">
        <v>76</v>
      </c>
      <c r="E970" s="7" t="s">
        <v>35</v>
      </c>
      <c r="F970" s="0" t="n">
        <v>8.64</v>
      </c>
      <c r="G970" s="0" t="n">
        <v>4.2336</v>
      </c>
      <c r="H970" s="0" t="n">
        <v>0</v>
      </c>
      <c r="I970" s="7" t="n">
        <f aca="false">YEAR(B970)</f>
        <v>2017</v>
      </c>
      <c r="J970" s="0" t="str">
        <f aca="false">I970&amp;"-Q"&amp;ROUNDUP(MONTH(B970)/3,0)</f>
        <v>2017-Q2</v>
      </c>
    </row>
    <row r="971" customFormat="false" ht="15" hidden="false" customHeight="false" outlineLevel="0" collapsed="false">
      <c r="A971" s="0" t="s">
        <v>537</v>
      </c>
      <c r="B971" s="6" t="n">
        <v>42834</v>
      </c>
      <c r="C971" s="7" t="s">
        <v>55</v>
      </c>
      <c r="D971" s="7" t="s">
        <v>76</v>
      </c>
      <c r="E971" s="7" t="s">
        <v>35</v>
      </c>
      <c r="F971" s="0" t="n">
        <v>501.81</v>
      </c>
      <c r="G971" s="0" t="n">
        <v>0</v>
      </c>
      <c r="H971" s="0" t="n">
        <v>0</v>
      </c>
      <c r="I971" s="7" t="n">
        <f aca="false">YEAR(B971)</f>
        <v>2017</v>
      </c>
      <c r="J971" s="0" t="str">
        <f aca="false">I971&amp;"-Q"&amp;ROUNDUP(MONTH(B971)/3,0)</f>
        <v>2017-Q2</v>
      </c>
    </row>
    <row r="972" customFormat="false" ht="15" hidden="false" customHeight="false" outlineLevel="0" collapsed="false">
      <c r="A972" s="0" t="s">
        <v>538</v>
      </c>
      <c r="B972" s="6" t="n">
        <v>41655</v>
      </c>
      <c r="C972" s="7" t="s">
        <v>55</v>
      </c>
      <c r="D972" s="7" t="s">
        <v>56</v>
      </c>
      <c r="E972" s="7" t="s">
        <v>31</v>
      </c>
      <c r="F972" s="0" t="n">
        <v>127.104</v>
      </c>
      <c r="G972" s="0" t="n">
        <v>28.5984</v>
      </c>
      <c r="H972" s="0" t="n">
        <v>0.2</v>
      </c>
      <c r="I972" s="7" t="n">
        <f aca="false">YEAR(B972)</f>
        <v>2014</v>
      </c>
      <c r="J972" s="0" t="str">
        <f aca="false">I972&amp;"-Q"&amp;ROUNDUP(MONTH(B972)/3,0)</f>
        <v>2014-Q1</v>
      </c>
    </row>
    <row r="973" customFormat="false" ht="15" hidden="false" customHeight="false" outlineLevel="0" collapsed="false">
      <c r="A973" s="0" t="s">
        <v>538</v>
      </c>
      <c r="B973" s="6" t="n">
        <v>41655</v>
      </c>
      <c r="C973" s="7" t="s">
        <v>55</v>
      </c>
      <c r="D973" s="7" t="s">
        <v>56</v>
      </c>
      <c r="E973" s="7" t="s">
        <v>39</v>
      </c>
      <c r="F973" s="0" t="n">
        <v>124.2</v>
      </c>
      <c r="G973" s="0" t="n">
        <v>-31.05</v>
      </c>
      <c r="H973" s="0" t="n">
        <v>0.4</v>
      </c>
      <c r="I973" s="7" t="n">
        <f aca="false">YEAR(B973)</f>
        <v>2014</v>
      </c>
      <c r="J973" s="0" t="str">
        <f aca="false">I973&amp;"-Q"&amp;ROUNDUP(MONTH(B973)/3,0)</f>
        <v>2014-Q1</v>
      </c>
    </row>
    <row r="974" customFormat="false" ht="15" hidden="false" customHeight="false" outlineLevel="0" collapsed="false">
      <c r="A974" s="0" t="s">
        <v>538</v>
      </c>
      <c r="B974" s="6" t="n">
        <v>41655</v>
      </c>
      <c r="C974" s="7" t="s">
        <v>55</v>
      </c>
      <c r="D974" s="7" t="s">
        <v>56</v>
      </c>
      <c r="E974" s="7" t="s">
        <v>35</v>
      </c>
      <c r="F974" s="0" t="n">
        <v>18.588</v>
      </c>
      <c r="G974" s="0" t="n">
        <v>-13.6312</v>
      </c>
      <c r="H974" s="0" t="n">
        <v>0.7</v>
      </c>
      <c r="I974" s="7" t="n">
        <f aca="false">YEAR(B974)</f>
        <v>2014</v>
      </c>
      <c r="J974" s="0" t="str">
        <f aca="false">I974&amp;"-Q"&amp;ROUNDUP(MONTH(B974)/3,0)</f>
        <v>2014-Q1</v>
      </c>
    </row>
    <row r="975" customFormat="false" ht="15" hidden="false" customHeight="false" outlineLevel="0" collapsed="false">
      <c r="A975" s="0" t="s">
        <v>538</v>
      </c>
      <c r="B975" s="6" t="n">
        <v>41655</v>
      </c>
      <c r="C975" s="7" t="s">
        <v>55</v>
      </c>
      <c r="D975" s="7" t="s">
        <v>56</v>
      </c>
      <c r="E975" s="7" t="s">
        <v>35</v>
      </c>
      <c r="F975" s="0" t="n">
        <v>30.072</v>
      </c>
      <c r="G975" s="0" t="n">
        <v>10.1493</v>
      </c>
      <c r="H975" s="0" t="n">
        <v>0.2</v>
      </c>
      <c r="I975" s="7" t="n">
        <f aca="false">YEAR(B975)</f>
        <v>2014</v>
      </c>
      <c r="J975" s="0" t="str">
        <f aca="false">I975&amp;"-Q"&amp;ROUNDUP(MONTH(B975)/3,0)</f>
        <v>2014-Q1</v>
      </c>
    </row>
    <row r="976" customFormat="false" ht="15" hidden="false" customHeight="false" outlineLevel="0" collapsed="false">
      <c r="A976" s="0" t="s">
        <v>539</v>
      </c>
      <c r="B976" s="6" t="n">
        <v>43013</v>
      </c>
      <c r="C976" s="7" t="s">
        <v>55</v>
      </c>
      <c r="D976" s="7" t="s">
        <v>76</v>
      </c>
      <c r="E976" s="7" t="s">
        <v>39</v>
      </c>
      <c r="F976" s="0" t="n">
        <v>160.93</v>
      </c>
      <c r="G976" s="0" t="n">
        <v>3.2186</v>
      </c>
      <c r="H976" s="0" t="n">
        <v>0</v>
      </c>
      <c r="I976" s="7" t="n">
        <f aca="false">YEAR(B976)</f>
        <v>2017</v>
      </c>
      <c r="J976" s="0" t="str">
        <f aca="false">I976&amp;"-Q"&amp;ROUNDUP(MONTH(B976)/3,0)</f>
        <v>2017-Q4</v>
      </c>
    </row>
    <row r="977" customFormat="false" ht="15" hidden="false" customHeight="false" outlineLevel="0" collapsed="false">
      <c r="A977" s="0" t="s">
        <v>539</v>
      </c>
      <c r="B977" s="6" t="n">
        <v>43013</v>
      </c>
      <c r="C977" s="7" t="s">
        <v>55</v>
      </c>
      <c r="D977" s="7" t="s">
        <v>76</v>
      </c>
      <c r="E977" s="7" t="s">
        <v>35</v>
      </c>
      <c r="F977" s="0" t="n">
        <v>75.792</v>
      </c>
      <c r="G977" s="0" t="n">
        <v>25.5798</v>
      </c>
      <c r="H977" s="0" t="n">
        <v>0.2</v>
      </c>
      <c r="I977" s="7" t="n">
        <f aca="false">YEAR(B977)</f>
        <v>2017</v>
      </c>
      <c r="J977" s="0" t="str">
        <f aca="false">I977&amp;"-Q"&amp;ROUNDUP(MONTH(B977)/3,0)</f>
        <v>2017-Q4</v>
      </c>
    </row>
    <row r="978" customFormat="false" ht="15" hidden="false" customHeight="false" outlineLevel="0" collapsed="false">
      <c r="A978" s="0" t="s">
        <v>540</v>
      </c>
      <c r="B978" s="6" t="n">
        <v>42925</v>
      </c>
      <c r="C978" s="7" t="s">
        <v>33</v>
      </c>
      <c r="D978" s="7" t="s">
        <v>102</v>
      </c>
      <c r="E978" s="7" t="s">
        <v>35</v>
      </c>
      <c r="F978" s="0" t="n">
        <v>1.08</v>
      </c>
      <c r="G978" s="0" t="n">
        <v>-0.792</v>
      </c>
      <c r="H978" s="0" t="n">
        <v>0.7</v>
      </c>
      <c r="I978" s="7" t="n">
        <f aca="false">YEAR(B978)</f>
        <v>2017</v>
      </c>
      <c r="J978" s="0" t="str">
        <f aca="false">I978&amp;"-Q"&amp;ROUNDUP(MONTH(B978)/3,0)</f>
        <v>2017-Q3</v>
      </c>
    </row>
    <row r="979" customFormat="false" ht="15" hidden="false" customHeight="false" outlineLevel="0" collapsed="false">
      <c r="A979" s="0" t="s">
        <v>541</v>
      </c>
      <c r="B979" s="6" t="n">
        <v>42742</v>
      </c>
      <c r="C979" s="7" t="s">
        <v>45</v>
      </c>
      <c r="D979" s="7" t="s">
        <v>70</v>
      </c>
      <c r="E979" s="7" t="s">
        <v>39</v>
      </c>
      <c r="F979" s="0" t="n">
        <v>3059.982</v>
      </c>
      <c r="G979" s="0" t="n">
        <v>679.996</v>
      </c>
      <c r="H979" s="0" t="n">
        <v>0.1</v>
      </c>
      <c r="I979" s="7" t="n">
        <f aca="false">YEAR(B979)</f>
        <v>2017</v>
      </c>
      <c r="J979" s="0" t="str">
        <f aca="false">I979&amp;"-Q"&amp;ROUNDUP(MONTH(B979)/3,0)</f>
        <v>2017-Q1</v>
      </c>
    </row>
    <row r="980" customFormat="false" ht="15" hidden="false" customHeight="false" outlineLevel="0" collapsed="false">
      <c r="A980" s="0" t="s">
        <v>542</v>
      </c>
      <c r="B980" s="6" t="n">
        <v>42520</v>
      </c>
      <c r="C980" s="7" t="s">
        <v>29</v>
      </c>
      <c r="D980" s="7" t="s">
        <v>41</v>
      </c>
      <c r="E980" s="7" t="s">
        <v>35</v>
      </c>
      <c r="F980" s="0" t="n">
        <v>3.282</v>
      </c>
      <c r="G980" s="0" t="n">
        <v>-2.6256</v>
      </c>
      <c r="H980" s="0" t="n">
        <v>0.7</v>
      </c>
      <c r="I980" s="7" t="n">
        <f aca="false">YEAR(B980)</f>
        <v>2016</v>
      </c>
      <c r="J980" s="0" t="str">
        <f aca="false">I980&amp;"-Q"&amp;ROUNDUP(MONTH(B980)/3,0)</f>
        <v>2016-Q2</v>
      </c>
    </row>
    <row r="981" customFormat="false" ht="15" hidden="false" customHeight="false" outlineLevel="0" collapsed="false">
      <c r="A981" s="0" t="s">
        <v>543</v>
      </c>
      <c r="B981" s="6" t="n">
        <v>42347</v>
      </c>
      <c r="C981" s="7" t="s">
        <v>45</v>
      </c>
      <c r="D981" s="7" t="s">
        <v>74</v>
      </c>
      <c r="E981" s="7" t="s">
        <v>35</v>
      </c>
      <c r="F981" s="0" t="n">
        <v>34.02</v>
      </c>
      <c r="G981" s="0" t="n">
        <v>16.6698</v>
      </c>
      <c r="H981" s="0" t="n">
        <v>0</v>
      </c>
      <c r="I981" s="7" t="n">
        <f aca="false">YEAR(B981)</f>
        <v>2015</v>
      </c>
      <c r="J981" s="0" t="str">
        <f aca="false">I981&amp;"-Q"&amp;ROUNDUP(MONTH(B981)/3,0)</f>
        <v>2015-Q4</v>
      </c>
    </row>
    <row r="982" customFormat="false" ht="15" hidden="false" customHeight="false" outlineLevel="0" collapsed="false">
      <c r="A982" s="0" t="s">
        <v>544</v>
      </c>
      <c r="B982" s="6" t="n">
        <v>42646</v>
      </c>
      <c r="C982" s="7" t="s">
        <v>55</v>
      </c>
      <c r="D982" s="7" t="s">
        <v>76</v>
      </c>
      <c r="E982" s="7" t="s">
        <v>31</v>
      </c>
      <c r="F982" s="0" t="n">
        <v>599.292</v>
      </c>
      <c r="G982" s="0" t="n">
        <v>93.2232</v>
      </c>
      <c r="H982" s="0" t="n">
        <v>0.1</v>
      </c>
      <c r="I982" s="7" t="n">
        <f aca="false">YEAR(B982)</f>
        <v>2016</v>
      </c>
      <c r="J982" s="0" t="str">
        <f aca="false">I982&amp;"-Q"&amp;ROUNDUP(MONTH(B982)/3,0)</f>
        <v>2016-Q4</v>
      </c>
    </row>
    <row r="983" customFormat="false" ht="15" hidden="false" customHeight="false" outlineLevel="0" collapsed="false">
      <c r="A983" s="0" t="s">
        <v>545</v>
      </c>
      <c r="B983" s="6" t="n">
        <v>41954</v>
      </c>
      <c r="C983" s="7" t="s">
        <v>33</v>
      </c>
      <c r="D983" s="7" t="s">
        <v>109</v>
      </c>
      <c r="E983" s="7" t="s">
        <v>35</v>
      </c>
      <c r="F983" s="0" t="n">
        <v>3.392</v>
      </c>
      <c r="G983" s="0" t="n">
        <v>0.8056</v>
      </c>
      <c r="H983" s="0" t="n">
        <v>0.2</v>
      </c>
      <c r="I983" s="7" t="n">
        <f aca="false">YEAR(B983)</f>
        <v>2014</v>
      </c>
      <c r="J983" s="0" t="str">
        <f aca="false">I983&amp;"-Q"&amp;ROUNDUP(MONTH(B983)/3,0)</f>
        <v>2014-Q4</v>
      </c>
    </row>
    <row r="984" customFormat="false" ht="15" hidden="false" customHeight="false" outlineLevel="0" collapsed="false">
      <c r="A984" s="0" t="s">
        <v>545</v>
      </c>
      <c r="B984" s="6" t="n">
        <v>41954</v>
      </c>
      <c r="C984" s="7" t="s">
        <v>33</v>
      </c>
      <c r="D984" s="7" t="s">
        <v>109</v>
      </c>
      <c r="E984" s="7" t="s">
        <v>39</v>
      </c>
      <c r="F984" s="0" t="n">
        <v>559.984</v>
      </c>
      <c r="G984" s="0" t="n">
        <v>55.9984</v>
      </c>
      <c r="H984" s="0" t="n">
        <v>0.2</v>
      </c>
      <c r="I984" s="7" t="n">
        <f aca="false">YEAR(B984)</f>
        <v>2014</v>
      </c>
      <c r="J984" s="0" t="str">
        <f aca="false">I984&amp;"-Q"&amp;ROUNDUP(MONTH(B984)/3,0)</f>
        <v>2014-Q4</v>
      </c>
    </row>
    <row r="985" customFormat="false" ht="15" hidden="false" customHeight="false" outlineLevel="0" collapsed="false">
      <c r="A985" s="0" t="s">
        <v>545</v>
      </c>
      <c r="B985" s="6" t="n">
        <v>41954</v>
      </c>
      <c r="C985" s="7" t="s">
        <v>33</v>
      </c>
      <c r="D985" s="7" t="s">
        <v>109</v>
      </c>
      <c r="E985" s="7" t="s">
        <v>31</v>
      </c>
      <c r="F985" s="0" t="n">
        <v>603.92</v>
      </c>
      <c r="G985" s="0" t="n">
        <v>75.49</v>
      </c>
      <c r="H985" s="0" t="n">
        <v>0.2</v>
      </c>
      <c r="I985" s="7" t="n">
        <f aca="false">YEAR(B985)</f>
        <v>2014</v>
      </c>
      <c r="J985" s="0" t="str">
        <f aca="false">I985&amp;"-Q"&amp;ROUNDUP(MONTH(B985)/3,0)</f>
        <v>2014-Q4</v>
      </c>
    </row>
    <row r="986" customFormat="false" ht="15" hidden="false" customHeight="false" outlineLevel="0" collapsed="false">
      <c r="A986" s="0" t="s">
        <v>546</v>
      </c>
      <c r="B986" s="6" t="n">
        <v>43007</v>
      </c>
      <c r="C986" s="7" t="s">
        <v>45</v>
      </c>
      <c r="D986" s="7" t="s">
        <v>46</v>
      </c>
      <c r="E986" s="7" t="s">
        <v>35</v>
      </c>
      <c r="F986" s="0" t="n">
        <v>7.968</v>
      </c>
      <c r="G986" s="0" t="n">
        <v>2.5896</v>
      </c>
      <c r="H986" s="0" t="n">
        <v>0.2</v>
      </c>
      <c r="I986" s="7" t="n">
        <f aca="false">YEAR(B986)</f>
        <v>2017</v>
      </c>
      <c r="J986" s="0" t="str">
        <f aca="false">I986&amp;"-Q"&amp;ROUNDUP(MONTH(B986)/3,0)</f>
        <v>2017-Q3</v>
      </c>
    </row>
    <row r="987" customFormat="false" ht="15" hidden="false" customHeight="false" outlineLevel="0" collapsed="false">
      <c r="A987" s="0" t="s">
        <v>546</v>
      </c>
      <c r="B987" s="6" t="n">
        <v>43007</v>
      </c>
      <c r="C987" s="7" t="s">
        <v>45</v>
      </c>
      <c r="D987" s="7" t="s">
        <v>46</v>
      </c>
      <c r="E987" s="7" t="s">
        <v>35</v>
      </c>
      <c r="F987" s="0" t="n">
        <v>27.968</v>
      </c>
      <c r="G987" s="0" t="n">
        <v>9.4392</v>
      </c>
      <c r="H987" s="0" t="n">
        <v>0.2</v>
      </c>
      <c r="I987" s="7" t="n">
        <f aca="false">YEAR(B987)</f>
        <v>2017</v>
      </c>
      <c r="J987" s="0" t="str">
        <f aca="false">I987&amp;"-Q"&amp;ROUNDUP(MONTH(B987)/3,0)</f>
        <v>2017-Q3</v>
      </c>
    </row>
    <row r="988" customFormat="false" ht="15" hidden="false" customHeight="false" outlineLevel="0" collapsed="false">
      <c r="A988" s="0" t="s">
        <v>546</v>
      </c>
      <c r="B988" s="6" t="n">
        <v>43007</v>
      </c>
      <c r="C988" s="7" t="s">
        <v>45</v>
      </c>
      <c r="D988" s="7" t="s">
        <v>46</v>
      </c>
      <c r="E988" s="7" t="s">
        <v>39</v>
      </c>
      <c r="F988" s="0" t="n">
        <v>336.51</v>
      </c>
      <c r="G988" s="0" t="n">
        <v>44.868</v>
      </c>
      <c r="H988" s="0" t="n">
        <v>0.4</v>
      </c>
      <c r="I988" s="7" t="n">
        <f aca="false">YEAR(B988)</f>
        <v>2017</v>
      </c>
      <c r="J988" s="0" t="str">
        <f aca="false">I988&amp;"-Q"&amp;ROUNDUP(MONTH(B988)/3,0)</f>
        <v>2017-Q3</v>
      </c>
    </row>
    <row r="989" customFormat="false" ht="15" hidden="false" customHeight="false" outlineLevel="0" collapsed="false">
      <c r="A989" s="0" t="s">
        <v>547</v>
      </c>
      <c r="B989" s="6" t="n">
        <v>42073</v>
      </c>
      <c r="C989" s="7" t="s">
        <v>45</v>
      </c>
      <c r="D989" s="7" t="s">
        <v>46</v>
      </c>
      <c r="E989" s="7" t="s">
        <v>35</v>
      </c>
      <c r="F989" s="0" t="n">
        <v>1.112</v>
      </c>
      <c r="G989" s="0" t="n">
        <v>-1.8904</v>
      </c>
      <c r="H989" s="0" t="n">
        <v>0.8</v>
      </c>
      <c r="I989" s="7" t="n">
        <f aca="false">YEAR(B989)</f>
        <v>2015</v>
      </c>
      <c r="J989" s="0" t="str">
        <f aca="false">I989&amp;"-Q"&amp;ROUNDUP(MONTH(B989)/3,0)</f>
        <v>2015-Q1</v>
      </c>
    </row>
    <row r="990" customFormat="false" ht="15" hidden="false" customHeight="false" outlineLevel="0" collapsed="false">
      <c r="A990" s="0" t="s">
        <v>548</v>
      </c>
      <c r="B990" s="6" t="n">
        <v>42876</v>
      </c>
      <c r="C990" s="7" t="s">
        <v>55</v>
      </c>
      <c r="D990" s="7" t="s">
        <v>76</v>
      </c>
      <c r="E990" s="7" t="s">
        <v>31</v>
      </c>
      <c r="F990" s="0" t="n">
        <v>520.05</v>
      </c>
      <c r="G990" s="0" t="n">
        <v>72.807</v>
      </c>
      <c r="H990" s="0" t="n">
        <v>0</v>
      </c>
      <c r="I990" s="7" t="n">
        <f aca="false">YEAR(B990)</f>
        <v>2017</v>
      </c>
      <c r="J990" s="0" t="str">
        <f aca="false">I990&amp;"-Q"&amp;ROUNDUP(MONTH(B990)/3,0)</f>
        <v>2017-Q2</v>
      </c>
    </row>
    <row r="991" customFormat="false" ht="15" hidden="false" customHeight="false" outlineLevel="0" collapsed="false">
      <c r="A991" s="0" t="s">
        <v>548</v>
      </c>
      <c r="B991" s="6" t="n">
        <v>42876</v>
      </c>
      <c r="C991" s="7" t="s">
        <v>55</v>
      </c>
      <c r="D991" s="7" t="s">
        <v>76</v>
      </c>
      <c r="E991" s="7" t="s">
        <v>35</v>
      </c>
      <c r="F991" s="0" t="n">
        <v>17.97</v>
      </c>
      <c r="G991" s="0" t="n">
        <v>5.2113</v>
      </c>
      <c r="H991" s="0" t="n">
        <v>0</v>
      </c>
      <c r="I991" s="7" t="n">
        <f aca="false">YEAR(B991)</f>
        <v>2017</v>
      </c>
      <c r="J991" s="0" t="str">
        <f aca="false">I991&amp;"-Q"&amp;ROUNDUP(MONTH(B991)/3,0)</f>
        <v>2017-Q2</v>
      </c>
    </row>
    <row r="992" customFormat="false" ht="15" hidden="false" customHeight="false" outlineLevel="0" collapsed="false">
      <c r="A992" s="0" t="s">
        <v>549</v>
      </c>
      <c r="B992" s="6" t="n">
        <v>42092</v>
      </c>
      <c r="C992" s="7" t="s">
        <v>29</v>
      </c>
      <c r="D992" s="7" t="s">
        <v>37</v>
      </c>
      <c r="E992" s="7" t="s">
        <v>31</v>
      </c>
      <c r="F992" s="0" t="n">
        <v>1166.92</v>
      </c>
      <c r="G992" s="0" t="n">
        <v>131.2785</v>
      </c>
      <c r="H992" s="0" t="n">
        <v>0.2</v>
      </c>
      <c r="I992" s="7" t="n">
        <f aca="false">YEAR(B992)</f>
        <v>2015</v>
      </c>
      <c r="J992" s="0" t="str">
        <f aca="false">I992&amp;"-Q"&amp;ROUNDUP(MONTH(B992)/3,0)</f>
        <v>2015-Q1</v>
      </c>
    </row>
    <row r="993" customFormat="false" ht="15" hidden="false" customHeight="false" outlineLevel="0" collapsed="false">
      <c r="A993" s="0" t="s">
        <v>550</v>
      </c>
      <c r="B993" s="6" t="n">
        <v>42622</v>
      </c>
      <c r="C993" s="7" t="s">
        <v>55</v>
      </c>
      <c r="D993" s="7" t="s">
        <v>76</v>
      </c>
      <c r="E993" s="7" t="s">
        <v>35</v>
      </c>
      <c r="F993" s="0" t="n">
        <v>14.624</v>
      </c>
      <c r="G993" s="0" t="n">
        <v>5.484</v>
      </c>
      <c r="H993" s="0" t="n">
        <v>0.2</v>
      </c>
      <c r="I993" s="7" t="n">
        <f aca="false">YEAR(B993)</f>
        <v>2016</v>
      </c>
      <c r="J993" s="0" t="str">
        <f aca="false">I993&amp;"-Q"&amp;ROUNDUP(MONTH(B993)/3,0)</f>
        <v>2016-Q3</v>
      </c>
    </row>
    <row r="994" customFormat="false" ht="15" hidden="false" customHeight="false" outlineLevel="0" collapsed="false">
      <c r="A994" s="0" t="s">
        <v>551</v>
      </c>
      <c r="B994" s="6" t="n">
        <v>42608</v>
      </c>
      <c r="C994" s="7" t="s">
        <v>33</v>
      </c>
      <c r="D994" s="7" t="s">
        <v>34</v>
      </c>
      <c r="E994" s="7" t="s">
        <v>35</v>
      </c>
      <c r="F994" s="0" t="n">
        <v>10.23</v>
      </c>
      <c r="G994" s="0" t="n">
        <v>4.9104</v>
      </c>
      <c r="H994" s="0" t="n">
        <v>0</v>
      </c>
      <c r="I994" s="7" t="n">
        <f aca="false">YEAR(B994)</f>
        <v>2016</v>
      </c>
      <c r="J994" s="0" t="str">
        <f aca="false">I994&amp;"-Q"&amp;ROUNDUP(MONTH(B994)/3,0)</f>
        <v>2016-Q3</v>
      </c>
    </row>
    <row r="995" customFormat="false" ht="15" hidden="false" customHeight="false" outlineLevel="0" collapsed="false">
      <c r="A995" s="0" t="s">
        <v>551</v>
      </c>
      <c r="B995" s="6" t="n">
        <v>42608</v>
      </c>
      <c r="C995" s="7" t="s">
        <v>33</v>
      </c>
      <c r="D995" s="7" t="s">
        <v>34</v>
      </c>
      <c r="E995" s="7" t="s">
        <v>35</v>
      </c>
      <c r="F995" s="0" t="n">
        <v>154.9</v>
      </c>
      <c r="G995" s="0" t="n">
        <v>69.705</v>
      </c>
      <c r="H995" s="0" t="n">
        <v>0</v>
      </c>
      <c r="I995" s="7" t="n">
        <f aca="false">YEAR(B995)</f>
        <v>2016</v>
      </c>
      <c r="J995" s="0" t="str">
        <f aca="false">I995&amp;"-Q"&amp;ROUNDUP(MONTH(B995)/3,0)</f>
        <v>2016-Q3</v>
      </c>
    </row>
    <row r="996" customFormat="false" ht="15" hidden="false" customHeight="false" outlineLevel="0" collapsed="false">
      <c r="A996" s="0" t="s">
        <v>552</v>
      </c>
      <c r="B996" s="6" t="n">
        <v>41780</v>
      </c>
      <c r="C996" s="7" t="s">
        <v>29</v>
      </c>
      <c r="D996" s="7" t="s">
        <v>83</v>
      </c>
      <c r="E996" s="7" t="s">
        <v>35</v>
      </c>
      <c r="F996" s="0" t="n">
        <v>2715.93</v>
      </c>
      <c r="G996" s="0" t="n">
        <v>1276.4871</v>
      </c>
      <c r="H996" s="0" t="n">
        <v>0</v>
      </c>
      <c r="I996" s="7" t="n">
        <f aca="false">YEAR(B996)</f>
        <v>2014</v>
      </c>
      <c r="J996" s="0" t="str">
        <f aca="false">I996&amp;"-Q"&amp;ROUNDUP(MONTH(B996)/3,0)</f>
        <v>2014-Q2</v>
      </c>
    </row>
    <row r="997" customFormat="false" ht="15" hidden="false" customHeight="false" outlineLevel="0" collapsed="false">
      <c r="A997" s="0" t="s">
        <v>552</v>
      </c>
      <c r="B997" s="6" t="n">
        <v>41780</v>
      </c>
      <c r="C997" s="7" t="s">
        <v>29</v>
      </c>
      <c r="D997" s="7" t="s">
        <v>83</v>
      </c>
      <c r="E997" s="7" t="s">
        <v>39</v>
      </c>
      <c r="F997" s="0" t="n">
        <v>617.97</v>
      </c>
      <c r="G997" s="0" t="n">
        <v>173.0316</v>
      </c>
      <c r="H997" s="0" t="n">
        <v>0</v>
      </c>
      <c r="I997" s="7" t="n">
        <f aca="false">YEAR(B997)</f>
        <v>2014</v>
      </c>
      <c r="J997" s="0" t="str">
        <f aca="false">I997&amp;"-Q"&amp;ROUNDUP(MONTH(B997)/3,0)</f>
        <v>2014-Q2</v>
      </c>
    </row>
    <row r="998" customFormat="false" ht="15" hidden="false" customHeight="false" outlineLevel="0" collapsed="false">
      <c r="A998" s="0" t="s">
        <v>553</v>
      </c>
      <c r="B998" s="6" t="n">
        <v>42305</v>
      </c>
      <c r="C998" s="7" t="s">
        <v>29</v>
      </c>
      <c r="D998" s="7" t="s">
        <v>30</v>
      </c>
      <c r="E998" s="7" t="s">
        <v>35</v>
      </c>
      <c r="F998" s="0" t="n">
        <v>10.67</v>
      </c>
      <c r="G998" s="0" t="n">
        <v>4.9082</v>
      </c>
      <c r="H998" s="0" t="n">
        <v>0</v>
      </c>
      <c r="I998" s="7" t="n">
        <f aca="false">YEAR(B998)</f>
        <v>2015</v>
      </c>
      <c r="J998" s="0" t="str">
        <f aca="false">I998&amp;"-Q"&amp;ROUNDUP(MONTH(B998)/3,0)</f>
        <v>2015-Q4</v>
      </c>
    </row>
    <row r="999" customFormat="false" ht="15" hidden="false" customHeight="false" outlineLevel="0" collapsed="false">
      <c r="A999" s="0" t="s">
        <v>553</v>
      </c>
      <c r="B999" s="6" t="n">
        <v>42305</v>
      </c>
      <c r="C999" s="7" t="s">
        <v>29</v>
      </c>
      <c r="D999" s="7" t="s">
        <v>30</v>
      </c>
      <c r="E999" s="7" t="s">
        <v>35</v>
      </c>
      <c r="F999" s="0" t="n">
        <v>36.63</v>
      </c>
      <c r="G999" s="0" t="n">
        <v>9.8901</v>
      </c>
      <c r="H999" s="0" t="n">
        <v>0</v>
      </c>
      <c r="I999" s="7" t="n">
        <f aca="false">YEAR(B999)</f>
        <v>2015</v>
      </c>
      <c r="J999" s="0" t="str">
        <f aca="false">I999&amp;"-Q"&amp;ROUNDUP(MONTH(B999)/3,0)</f>
        <v>2015-Q4</v>
      </c>
    </row>
    <row r="1000" customFormat="false" ht="15" hidden="false" customHeight="false" outlineLevel="0" collapsed="false">
      <c r="A1000" s="0" t="s">
        <v>553</v>
      </c>
      <c r="B1000" s="6" t="n">
        <v>42305</v>
      </c>
      <c r="C1000" s="7" t="s">
        <v>29</v>
      </c>
      <c r="D1000" s="7" t="s">
        <v>30</v>
      </c>
      <c r="E1000" s="7" t="s">
        <v>31</v>
      </c>
      <c r="F1000" s="0" t="n">
        <v>24.1</v>
      </c>
      <c r="G1000" s="0" t="n">
        <v>9.158</v>
      </c>
      <c r="H1000" s="0" t="n">
        <v>0</v>
      </c>
      <c r="I1000" s="7" t="n">
        <f aca="false">YEAR(B1000)</f>
        <v>2015</v>
      </c>
      <c r="J1000" s="0" t="str">
        <f aca="false">I1000&amp;"-Q"&amp;ROUNDUP(MONTH(B1000)/3,0)</f>
        <v>2015-Q4</v>
      </c>
    </row>
    <row r="1001" customFormat="false" ht="15" hidden="false" customHeight="false" outlineLevel="0" collapsed="false">
      <c r="A1001" s="0" t="s">
        <v>553</v>
      </c>
      <c r="B1001" s="6" t="n">
        <v>42305</v>
      </c>
      <c r="C1001" s="7" t="s">
        <v>29</v>
      </c>
      <c r="D1001" s="7" t="s">
        <v>30</v>
      </c>
      <c r="E1001" s="7" t="s">
        <v>31</v>
      </c>
      <c r="F1001" s="0" t="n">
        <v>33.11</v>
      </c>
      <c r="G1001" s="0" t="n">
        <v>12.9129</v>
      </c>
      <c r="H1001" s="0" t="n">
        <v>0</v>
      </c>
      <c r="I1001" s="7" t="n">
        <f aca="false">YEAR(B1001)</f>
        <v>2015</v>
      </c>
      <c r="J1001" s="0" t="str">
        <f aca="false">I1001&amp;"-Q"&amp;ROUNDUP(MONTH(B1001)/3,0)</f>
        <v>2015-Q4</v>
      </c>
    </row>
    <row r="1002" customFormat="false" ht="15" hidden="false" customHeight="false" outlineLevel="0" collapsed="false">
      <c r="A1002" s="0" t="s">
        <v>554</v>
      </c>
      <c r="B1002" s="6" t="n">
        <v>42687</v>
      </c>
      <c r="C1002" s="7" t="s">
        <v>33</v>
      </c>
      <c r="D1002" s="7" t="s">
        <v>43</v>
      </c>
      <c r="E1002" s="7" t="s">
        <v>35</v>
      </c>
      <c r="F1002" s="0" t="n">
        <v>44.02</v>
      </c>
      <c r="G1002" s="0" t="n">
        <v>11.4452</v>
      </c>
      <c r="H1002" s="0" t="n">
        <v>0</v>
      </c>
      <c r="I1002" s="7" t="n">
        <f aca="false">YEAR(B1002)</f>
        <v>2016</v>
      </c>
      <c r="J1002" s="0" t="str">
        <f aca="false">I1002&amp;"-Q"&amp;ROUNDUP(MONTH(B1002)/3,0)</f>
        <v>2016-Q4</v>
      </c>
    </row>
    <row r="1003" customFormat="false" ht="15" hidden="false" customHeight="false" outlineLevel="0" collapsed="false">
      <c r="A1003" s="0" t="s">
        <v>555</v>
      </c>
      <c r="B1003" s="6" t="n">
        <v>42216</v>
      </c>
      <c r="C1003" s="7" t="s">
        <v>55</v>
      </c>
      <c r="D1003" s="7" t="s">
        <v>76</v>
      </c>
      <c r="E1003" s="7" t="s">
        <v>39</v>
      </c>
      <c r="F1003" s="0" t="n">
        <v>2309.65</v>
      </c>
      <c r="G1003" s="0" t="n">
        <v>762.1845</v>
      </c>
      <c r="H1003" s="0" t="n">
        <v>0</v>
      </c>
      <c r="I1003" s="7" t="n">
        <f aca="false">YEAR(B1003)</f>
        <v>2015</v>
      </c>
      <c r="J1003" s="0" t="str">
        <f aca="false">I1003&amp;"-Q"&amp;ROUNDUP(MONTH(B1003)/3,0)</f>
        <v>2015-Q3</v>
      </c>
    </row>
    <row r="1004" customFormat="false" ht="15" hidden="false" customHeight="false" outlineLevel="0" collapsed="false">
      <c r="A1004" s="0" t="s">
        <v>555</v>
      </c>
      <c r="B1004" s="6" t="n">
        <v>42216</v>
      </c>
      <c r="C1004" s="7" t="s">
        <v>55</v>
      </c>
      <c r="D1004" s="7" t="s">
        <v>76</v>
      </c>
      <c r="E1004" s="7" t="s">
        <v>31</v>
      </c>
      <c r="F1004" s="0" t="n">
        <v>1090.782</v>
      </c>
      <c r="G1004" s="0" t="n">
        <v>-290.8752</v>
      </c>
      <c r="H1004" s="0" t="n">
        <v>0.4</v>
      </c>
      <c r="I1004" s="7" t="n">
        <f aca="false">YEAR(B1004)</f>
        <v>2015</v>
      </c>
      <c r="J1004" s="0" t="str">
        <f aca="false">I1004&amp;"-Q"&amp;ROUNDUP(MONTH(B1004)/3,0)</f>
        <v>2015-Q3</v>
      </c>
    </row>
    <row r="1005" customFormat="false" ht="15" hidden="false" customHeight="false" outlineLevel="0" collapsed="false">
      <c r="A1005" s="0" t="s">
        <v>555</v>
      </c>
      <c r="B1005" s="6" t="n">
        <v>42216</v>
      </c>
      <c r="C1005" s="7" t="s">
        <v>55</v>
      </c>
      <c r="D1005" s="7" t="s">
        <v>76</v>
      </c>
      <c r="E1005" s="7" t="s">
        <v>35</v>
      </c>
      <c r="F1005" s="0" t="n">
        <v>19.44</v>
      </c>
      <c r="G1005" s="0" t="n">
        <v>9.3312</v>
      </c>
      <c r="H1005" s="0" t="n">
        <v>0</v>
      </c>
      <c r="I1005" s="7" t="n">
        <f aca="false">YEAR(B1005)</f>
        <v>2015</v>
      </c>
      <c r="J1005" s="0" t="str">
        <f aca="false">I1005&amp;"-Q"&amp;ROUNDUP(MONTH(B1005)/3,0)</f>
        <v>2015-Q3</v>
      </c>
    </row>
    <row r="1006" customFormat="false" ht="15" hidden="false" customHeight="false" outlineLevel="0" collapsed="false">
      <c r="A1006" s="0" t="s">
        <v>556</v>
      </c>
      <c r="B1006" s="6" t="n">
        <v>42243</v>
      </c>
      <c r="C1006" s="7" t="s">
        <v>33</v>
      </c>
      <c r="D1006" s="7" t="s">
        <v>34</v>
      </c>
      <c r="E1006" s="7" t="s">
        <v>35</v>
      </c>
      <c r="F1006" s="0" t="n">
        <v>484.65</v>
      </c>
      <c r="G1006" s="0" t="n">
        <v>92.0835</v>
      </c>
      <c r="H1006" s="0" t="n">
        <v>0</v>
      </c>
      <c r="I1006" s="7" t="n">
        <f aca="false">YEAR(B1006)</f>
        <v>2015</v>
      </c>
      <c r="J1006" s="0" t="str">
        <f aca="false">I1006&amp;"-Q"&amp;ROUNDUP(MONTH(B1006)/3,0)</f>
        <v>2015-Q3</v>
      </c>
    </row>
    <row r="1007" customFormat="false" ht="15" hidden="false" customHeight="false" outlineLevel="0" collapsed="false">
      <c r="A1007" s="0" t="s">
        <v>557</v>
      </c>
      <c r="B1007" s="6" t="n">
        <v>42321</v>
      </c>
      <c r="C1007" s="7" t="s">
        <v>29</v>
      </c>
      <c r="D1007" s="7" t="s">
        <v>41</v>
      </c>
      <c r="E1007" s="7" t="s">
        <v>35</v>
      </c>
      <c r="F1007" s="0" t="n">
        <v>115.296</v>
      </c>
      <c r="G1007" s="0" t="n">
        <v>40.3536</v>
      </c>
      <c r="H1007" s="0" t="n">
        <v>0.2</v>
      </c>
      <c r="I1007" s="7" t="n">
        <f aca="false">YEAR(B1007)</f>
        <v>2015</v>
      </c>
      <c r="J1007" s="0" t="str">
        <f aca="false">I1007&amp;"-Q"&amp;ROUNDUP(MONTH(B1007)/3,0)</f>
        <v>2015-Q4</v>
      </c>
    </row>
    <row r="1008" customFormat="false" ht="15" hidden="false" customHeight="false" outlineLevel="0" collapsed="false">
      <c r="A1008" s="0" t="s">
        <v>558</v>
      </c>
      <c r="B1008" s="6" t="n">
        <v>42314</v>
      </c>
      <c r="C1008" s="7" t="s">
        <v>33</v>
      </c>
      <c r="D1008" s="7" t="s">
        <v>81</v>
      </c>
      <c r="E1008" s="7" t="s">
        <v>35</v>
      </c>
      <c r="F1008" s="0" t="n">
        <v>7.08</v>
      </c>
      <c r="G1008" s="0" t="n">
        <v>2.478</v>
      </c>
      <c r="H1008" s="0" t="n">
        <v>0.2</v>
      </c>
      <c r="I1008" s="7" t="n">
        <f aca="false">YEAR(B1008)</f>
        <v>2015</v>
      </c>
      <c r="J1008" s="0" t="str">
        <f aca="false">I1008&amp;"-Q"&amp;ROUNDUP(MONTH(B1008)/3,0)</f>
        <v>2015-Q4</v>
      </c>
    </row>
    <row r="1009" customFormat="false" ht="15" hidden="false" customHeight="false" outlineLevel="0" collapsed="false">
      <c r="A1009" s="0" t="s">
        <v>558</v>
      </c>
      <c r="B1009" s="6" t="n">
        <v>42314</v>
      </c>
      <c r="C1009" s="7" t="s">
        <v>33</v>
      </c>
      <c r="D1009" s="7" t="s">
        <v>81</v>
      </c>
      <c r="E1009" s="7" t="s">
        <v>35</v>
      </c>
      <c r="F1009" s="0" t="n">
        <v>4.401</v>
      </c>
      <c r="G1009" s="0" t="n">
        <v>-3.5208</v>
      </c>
      <c r="H1009" s="0" t="n">
        <v>0.7</v>
      </c>
      <c r="I1009" s="7" t="n">
        <f aca="false">YEAR(B1009)</f>
        <v>2015</v>
      </c>
      <c r="J1009" s="0" t="str">
        <f aca="false">I1009&amp;"-Q"&amp;ROUNDUP(MONTH(B1009)/3,0)</f>
        <v>2015-Q4</v>
      </c>
    </row>
    <row r="1010" customFormat="false" ht="15" hidden="false" customHeight="false" outlineLevel="0" collapsed="false">
      <c r="A1010" s="0" t="s">
        <v>559</v>
      </c>
      <c r="B1010" s="6" t="n">
        <v>43095</v>
      </c>
      <c r="C1010" s="7" t="s">
        <v>45</v>
      </c>
      <c r="D1010" s="7" t="s">
        <v>114</v>
      </c>
      <c r="E1010" s="7" t="s">
        <v>35</v>
      </c>
      <c r="F1010" s="0" t="n">
        <v>44.75</v>
      </c>
      <c r="G1010" s="0" t="n">
        <v>20.585</v>
      </c>
      <c r="H1010" s="0" t="n">
        <v>0</v>
      </c>
      <c r="I1010" s="7" t="n">
        <f aca="false">YEAR(B1010)</f>
        <v>2017</v>
      </c>
      <c r="J1010" s="0" t="str">
        <f aca="false">I1010&amp;"-Q"&amp;ROUNDUP(MONTH(B1010)/3,0)</f>
        <v>2017-Q4</v>
      </c>
    </row>
    <row r="1011" customFormat="false" ht="15" hidden="false" customHeight="false" outlineLevel="0" collapsed="false">
      <c r="A1011" s="0" t="s">
        <v>560</v>
      </c>
      <c r="B1011" s="6" t="n">
        <v>42948</v>
      </c>
      <c r="C1011" s="7" t="s">
        <v>45</v>
      </c>
      <c r="D1011" s="7" t="s">
        <v>64</v>
      </c>
      <c r="E1011" s="7" t="s">
        <v>39</v>
      </c>
      <c r="F1011" s="0" t="n">
        <v>95.984</v>
      </c>
      <c r="G1011" s="0" t="n">
        <v>5.999</v>
      </c>
      <c r="H1011" s="0" t="n">
        <v>0.2</v>
      </c>
      <c r="I1011" s="7" t="n">
        <f aca="false">YEAR(B1011)</f>
        <v>2017</v>
      </c>
      <c r="J1011" s="0" t="str">
        <f aca="false">I1011&amp;"-Q"&amp;ROUNDUP(MONTH(B1011)/3,0)</f>
        <v>2017-Q3</v>
      </c>
    </row>
    <row r="1012" customFormat="false" ht="15" hidden="false" customHeight="false" outlineLevel="0" collapsed="false">
      <c r="A1012" s="0" t="s">
        <v>561</v>
      </c>
      <c r="B1012" s="6" t="n">
        <v>41967</v>
      </c>
      <c r="C1012" s="7" t="s">
        <v>33</v>
      </c>
      <c r="D1012" s="7" t="s">
        <v>34</v>
      </c>
      <c r="E1012" s="7" t="s">
        <v>31</v>
      </c>
      <c r="F1012" s="0" t="n">
        <v>151.72</v>
      </c>
      <c r="G1012" s="0" t="n">
        <v>27.3096</v>
      </c>
      <c r="H1012" s="0" t="n">
        <v>0</v>
      </c>
      <c r="I1012" s="7" t="n">
        <f aca="false">YEAR(B1012)</f>
        <v>2014</v>
      </c>
      <c r="J1012" s="0" t="str">
        <f aca="false">I1012&amp;"-Q"&amp;ROUNDUP(MONTH(B1012)/3,0)</f>
        <v>2014-Q4</v>
      </c>
    </row>
    <row r="1013" customFormat="false" ht="15" hidden="false" customHeight="false" outlineLevel="0" collapsed="false">
      <c r="A1013" s="0" t="s">
        <v>562</v>
      </c>
      <c r="B1013" s="6" t="n">
        <v>42903</v>
      </c>
      <c r="C1013" s="7" t="s">
        <v>33</v>
      </c>
      <c r="D1013" s="7" t="s">
        <v>43</v>
      </c>
      <c r="E1013" s="7" t="s">
        <v>31</v>
      </c>
      <c r="F1013" s="0" t="n">
        <v>155.25</v>
      </c>
      <c r="G1013" s="0" t="n">
        <v>46.575</v>
      </c>
      <c r="H1013" s="0" t="n">
        <v>0</v>
      </c>
      <c r="I1013" s="7" t="n">
        <f aca="false">YEAR(B1013)</f>
        <v>2017</v>
      </c>
      <c r="J1013" s="0" t="str">
        <f aca="false">I1013&amp;"-Q"&amp;ROUNDUP(MONTH(B1013)/3,0)</f>
        <v>2017-Q2</v>
      </c>
    </row>
    <row r="1014" customFormat="false" ht="15" hidden="false" customHeight="false" outlineLevel="0" collapsed="false">
      <c r="A1014" s="0" t="s">
        <v>562</v>
      </c>
      <c r="B1014" s="6" t="n">
        <v>42903</v>
      </c>
      <c r="C1014" s="7" t="s">
        <v>33</v>
      </c>
      <c r="D1014" s="7" t="s">
        <v>43</v>
      </c>
      <c r="E1014" s="7" t="s">
        <v>35</v>
      </c>
      <c r="F1014" s="0" t="n">
        <v>14.03</v>
      </c>
      <c r="G1014" s="0" t="n">
        <v>4.0687</v>
      </c>
      <c r="H1014" s="0" t="n">
        <v>0</v>
      </c>
      <c r="I1014" s="7" t="n">
        <f aca="false">YEAR(B1014)</f>
        <v>2017</v>
      </c>
      <c r="J1014" s="0" t="str">
        <f aca="false">I1014&amp;"-Q"&amp;ROUNDUP(MONTH(B1014)/3,0)</f>
        <v>2017-Q2</v>
      </c>
    </row>
    <row r="1015" customFormat="false" ht="15" hidden="false" customHeight="false" outlineLevel="0" collapsed="false">
      <c r="A1015" s="0" t="s">
        <v>563</v>
      </c>
      <c r="B1015" s="6" t="n">
        <v>42359</v>
      </c>
      <c r="C1015" s="7" t="s">
        <v>33</v>
      </c>
      <c r="D1015" s="7" t="s">
        <v>43</v>
      </c>
      <c r="E1015" s="7" t="s">
        <v>31</v>
      </c>
      <c r="F1015" s="0" t="n">
        <v>1618.37</v>
      </c>
      <c r="G1015" s="0" t="n">
        <v>356.0414</v>
      </c>
      <c r="H1015" s="0" t="n">
        <v>0</v>
      </c>
      <c r="I1015" s="7" t="n">
        <f aca="false">YEAR(B1015)</f>
        <v>2015</v>
      </c>
      <c r="J1015" s="0" t="str">
        <f aca="false">I1015&amp;"-Q"&amp;ROUNDUP(MONTH(B1015)/3,0)</f>
        <v>2015-Q4</v>
      </c>
    </row>
    <row r="1016" customFormat="false" ht="15" hidden="false" customHeight="false" outlineLevel="0" collapsed="false">
      <c r="A1016" s="0" t="s">
        <v>563</v>
      </c>
      <c r="B1016" s="6" t="n">
        <v>42359</v>
      </c>
      <c r="C1016" s="7" t="s">
        <v>33</v>
      </c>
      <c r="D1016" s="7" t="s">
        <v>43</v>
      </c>
      <c r="E1016" s="7" t="s">
        <v>39</v>
      </c>
      <c r="F1016" s="0" t="n">
        <v>99.6</v>
      </c>
      <c r="G1016" s="0" t="n">
        <v>36.852</v>
      </c>
      <c r="H1016" s="0" t="n">
        <v>0</v>
      </c>
      <c r="I1016" s="7" t="n">
        <f aca="false">YEAR(B1016)</f>
        <v>2015</v>
      </c>
      <c r="J1016" s="0" t="str">
        <f aca="false">I1016&amp;"-Q"&amp;ROUNDUP(MONTH(B1016)/3,0)</f>
        <v>2015-Q4</v>
      </c>
    </row>
    <row r="1017" customFormat="false" ht="15" hidden="false" customHeight="false" outlineLevel="0" collapsed="false">
      <c r="A1017" s="0" t="s">
        <v>564</v>
      </c>
      <c r="B1017" s="6" t="n">
        <v>42264</v>
      </c>
      <c r="C1017" s="7" t="s">
        <v>33</v>
      </c>
      <c r="D1017" s="7" t="s">
        <v>34</v>
      </c>
      <c r="E1017" s="7" t="s">
        <v>35</v>
      </c>
      <c r="F1017" s="0" t="n">
        <v>32.4</v>
      </c>
      <c r="G1017" s="0" t="n">
        <v>15.552</v>
      </c>
      <c r="H1017" s="0" t="n">
        <v>0</v>
      </c>
      <c r="I1017" s="7" t="n">
        <f aca="false">YEAR(B1017)</f>
        <v>2015</v>
      </c>
      <c r="J1017" s="0" t="str">
        <f aca="false">I1017&amp;"-Q"&amp;ROUNDUP(MONTH(B1017)/3,0)</f>
        <v>2015-Q3</v>
      </c>
    </row>
    <row r="1018" customFormat="false" ht="15" hidden="false" customHeight="false" outlineLevel="0" collapsed="false">
      <c r="A1018" s="0" t="s">
        <v>565</v>
      </c>
      <c r="B1018" s="6" t="n">
        <v>42191</v>
      </c>
      <c r="C1018" s="7" t="s">
        <v>55</v>
      </c>
      <c r="D1018" s="7" t="s">
        <v>76</v>
      </c>
      <c r="E1018" s="7" t="s">
        <v>31</v>
      </c>
      <c r="F1018" s="0" t="n">
        <v>13.96</v>
      </c>
      <c r="G1018" s="0" t="n">
        <v>6.7008</v>
      </c>
      <c r="H1018" s="0" t="n">
        <v>0</v>
      </c>
      <c r="I1018" s="7" t="n">
        <f aca="false">YEAR(B1018)</f>
        <v>2015</v>
      </c>
      <c r="J1018" s="0" t="str">
        <f aca="false">I1018&amp;"-Q"&amp;ROUNDUP(MONTH(B1018)/3,0)</f>
        <v>2015-Q3</v>
      </c>
    </row>
    <row r="1019" customFormat="false" ht="15" hidden="false" customHeight="false" outlineLevel="0" collapsed="false">
      <c r="A1019" s="0" t="s">
        <v>565</v>
      </c>
      <c r="B1019" s="6" t="n">
        <v>42191</v>
      </c>
      <c r="C1019" s="7" t="s">
        <v>55</v>
      </c>
      <c r="D1019" s="7" t="s">
        <v>76</v>
      </c>
      <c r="E1019" s="7" t="s">
        <v>31</v>
      </c>
      <c r="F1019" s="0" t="n">
        <v>155.82</v>
      </c>
      <c r="G1019" s="0" t="n">
        <v>63.8862</v>
      </c>
      <c r="H1019" s="0" t="n">
        <v>0</v>
      </c>
      <c r="I1019" s="7" t="n">
        <f aca="false">YEAR(B1019)</f>
        <v>2015</v>
      </c>
      <c r="J1019" s="0" t="str">
        <f aca="false">I1019&amp;"-Q"&amp;ROUNDUP(MONTH(B1019)/3,0)</f>
        <v>2015-Q3</v>
      </c>
    </row>
    <row r="1020" customFormat="false" ht="15" hidden="false" customHeight="false" outlineLevel="0" collapsed="false">
      <c r="A1020" s="0" t="s">
        <v>565</v>
      </c>
      <c r="B1020" s="6" t="n">
        <v>42191</v>
      </c>
      <c r="C1020" s="7" t="s">
        <v>55</v>
      </c>
      <c r="D1020" s="7" t="s">
        <v>76</v>
      </c>
      <c r="E1020" s="7" t="s">
        <v>39</v>
      </c>
      <c r="F1020" s="0" t="n">
        <v>124.95</v>
      </c>
      <c r="G1020" s="0" t="n">
        <v>2.499</v>
      </c>
      <c r="H1020" s="0" t="n">
        <v>0</v>
      </c>
      <c r="I1020" s="7" t="n">
        <f aca="false">YEAR(B1020)</f>
        <v>2015</v>
      </c>
      <c r="J1020" s="0" t="str">
        <f aca="false">I1020&amp;"-Q"&amp;ROUNDUP(MONTH(B1020)/3,0)</f>
        <v>2015-Q3</v>
      </c>
    </row>
    <row r="1021" customFormat="false" ht="15" hidden="false" customHeight="false" outlineLevel="0" collapsed="false">
      <c r="A1021" s="0" t="s">
        <v>565</v>
      </c>
      <c r="B1021" s="6" t="n">
        <v>42191</v>
      </c>
      <c r="C1021" s="7" t="s">
        <v>55</v>
      </c>
      <c r="D1021" s="7" t="s">
        <v>76</v>
      </c>
      <c r="E1021" s="7" t="s">
        <v>35</v>
      </c>
      <c r="F1021" s="0" t="n">
        <v>601.65</v>
      </c>
      <c r="G1021" s="0" t="n">
        <v>156.429</v>
      </c>
      <c r="H1021" s="0" t="n">
        <v>0</v>
      </c>
      <c r="I1021" s="7" t="n">
        <f aca="false">YEAR(B1021)</f>
        <v>2015</v>
      </c>
      <c r="J1021" s="0" t="str">
        <f aca="false">I1021&amp;"-Q"&amp;ROUNDUP(MONTH(B1021)/3,0)</f>
        <v>2015-Q3</v>
      </c>
    </row>
    <row r="1022" customFormat="false" ht="15" hidden="false" customHeight="false" outlineLevel="0" collapsed="false">
      <c r="A1022" s="0" t="s">
        <v>566</v>
      </c>
      <c r="B1022" s="6" t="n">
        <v>42121</v>
      </c>
      <c r="C1022" s="7" t="s">
        <v>55</v>
      </c>
      <c r="D1022" s="7" t="s">
        <v>567</v>
      </c>
      <c r="E1022" s="7" t="s">
        <v>35</v>
      </c>
      <c r="F1022" s="0" t="n">
        <v>22.74</v>
      </c>
      <c r="G1022" s="0" t="n">
        <v>8.8686</v>
      </c>
      <c r="H1022" s="0" t="n">
        <v>0</v>
      </c>
      <c r="I1022" s="7" t="n">
        <f aca="false">YEAR(B1022)</f>
        <v>2015</v>
      </c>
      <c r="J1022" s="0" t="str">
        <f aca="false">I1022&amp;"-Q"&amp;ROUNDUP(MONTH(B1022)/3,0)</f>
        <v>2015-Q2</v>
      </c>
    </row>
    <row r="1023" customFormat="false" ht="15" hidden="false" customHeight="false" outlineLevel="0" collapsed="false">
      <c r="A1023" s="0" t="s">
        <v>566</v>
      </c>
      <c r="B1023" s="6" t="n">
        <v>42121</v>
      </c>
      <c r="C1023" s="7" t="s">
        <v>55</v>
      </c>
      <c r="D1023" s="7" t="s">
        <v>567</v>
      </c>
      <c r="E1023" s="7" t="s">
        <v>31</v>
      </c>
      <c r="F1023" s="0" t="n">
        <v>1267.53</v>
      </c>
      <c r="G1023" s="0" t="n">
        <v>316.8825</v>
      </c>
      <c r="H1023" s="0" t="n">
        <v>0</v>
      </c>
      <c r="I1023" s="7" t="n">
        <f aca="false">YEAR(B1023)</f>
        <v>2015</v>
      </c>
      <c r="J1023" s="0" t="str">
        <f aca="false">I1023&amp;"-Q"&amp;ROUNDUP(MONTH(B1023)/3,0)</f>
        <v>2015-Q2</v>
      </c>
    </row>
    <row r="1024" customFormat="false" ht="15" hidden="false" customHeight="false" outlineLevel="0" collapsed="false">
      <c r="A1024" s="0" t="s">
        <v>566</v>
      </c>
      <c r="B1024" s="6" t="n">
        <v>42121</v>
      </c>
      <c r="C1024" s="7" t="s">
        <v>55</v>
      </c>
      <c r="D1024" s="7" t="s">
        <v>567</v>
      </c>
      <c r="E1024" s="7" t="s">
        <v>39</v>
      </c>
      <c r="F1024" s="0" t="n">
        <v>1379.92</v>
      </c>
      <c r="G1024" s="0" t="n">
        <v>648.5624</v>
      </c>
      <c r="H1024" s="0" t="n">
        <v>0</v>
      </c>
      <c r="I1024" s="7" t="n">
        <f aca="false">YEAR(B1024)</f>
        <v>2015</v>
      </c>
      <c r="J1024" s="0" t="str">
        <f aca="false">I1024&amp;"-Q"&amp;ROUNDUP(MONTH(B1024)/3,0)</f>
        <v>2015-Q2</v>
      </c>
    </row>
    <row r="1025" customFormat="false" ht="15" hidden="false" customHeight="false" outlineLevel="0" collapsed="false">
      <c r="A1025" s="0" t="s">
        <v>568</v>
      </c>
      <c r="B1025" s="6" t="n">
        <v>42171</v>
      </c>
      <c r="C1025" s="7" t="s">
        <v>55</v>
      </c>
      <c r="D1025" s="7" t="s">
        <v>56</v>
      </c>
      <c r="E1025" s="7" t="s">
        <v>35</v>
      </c>
      <c r="F1025" s="0" t="n">
        <v>6.208</v>
      </c>
      <c r="G1025" s="0" t="n">
        <v>2.1728</v>
      </c>
      <c r="H1025" s="0" t="n">
        <v>0.2</v>
      </c>
      <c r="I1025" s="7" t="n">
        <f aca="false">YEAR(B1025)</f>
        <v>2015</v>
      </c>
      <c r="J1025" s="0" t="str">
        <f aca="false">I1025&amp;"-Q"&amp;ROUNDUP(MONTH(B1025)/3,0)</f>
        <v>2015-Q2</v>
      </c>
    </row>
    <row r="1026" customFormat="false" ht="15" hidden="false" customHeight="false" outlineLevel="0" collapsed="false">
      <c r="A1026" s="0" t="s">
        <v>569</v>
      </c>
      <c r="B1026" s="6" t="n">
        <v>43086</v>
      </c>
      <c r="C1026" s="7" t="s">
        <v>33</v>
      </c>
      <c r="D1026" s="7" t="s">
        <v>34</v>
      </c>
      <c r="E1026" s="7" t="s">
        <v>35</v>
      </c>
      <c r="F1026" s="0" t="n">
        <v>11.808</v>
      </c>
      <c r="G1026" s="0" t="n">
        <v>4.2804</v>
      </c>
      <c r="H1026" s="0" t="n">
        <v>0.2</v>
      </c>
      <c r="I1026" s="7" t="n">
        <f aca="false">YEAR(B1026)</f>
        <v>2017</v>
      </c>
      <c r="J1026" s="0" t="str">
        <f aca="false">I1026&amp;"-Q"&amp;ROUNDUP(MONTH(B1026)/3,0)</f>
        <v>2017-Q4</v>
      </c>
    </row>
    <row r="1027" customFormat="false" ht="15" hidden="false" customHeight="false" outlineLevel="0" collapsed="false">
      <c r="A1027" s="0" t="s">
        <v>570</v>
      </c>
      <c r="B1027" s="6" t="n">
        <v>42380</v>
      </c>
      <c r="C1027" s="7" t="s">
        <v>55</v>
      </c>
      <c r="D1027" s="7" t="s">
        <v>116</v>
      </c>
      <c r="E1027" s="7" t="s">
        <v>35</v>
      </c>
      <c r="F1027" s="0" t="n">
        <v>15.552</v>
      </c>
      <c r="G1027" s="0" t="n">
        <v>5.4432</v>
      </c>
      <c r="H1027" s="0" t="n">
        <v>0.2</v>
      </c>
      <c r="I1027" s="7" t="n">
        <f aca="false">YEAR(B1027)</f>
        <v>2016</v>
      </c>
      <c r="J1027" s="0" t="str">
        <f aca="false">I1027&amp;"-Q"&amp;ROUNDUP(MONTH(B1027)/3,0)</f>
        <v>2016-Q1</v>
      </c>
    </row>
    <row r="1028" customFormat="false" ht="15" hidden="false" customHeight="false" outlineLevel="0" collapsed="false">
      <c r="A1028" s="0" t="s">
        <v>570</v>
      </c>
      <c r="B1028" s="6" t="n">
        <v>42380</v>
      </c>
      <c r="C1028" s="7" t="s">
        <v>55</v>
      </c>
      <c r="D1028" s="7" t="s">
        <v>116</v>
      </c>
      <c r="E1028" s="7" t="s">
        <v>35</v>
      </c>
      <c r="F1028" s="0" t="n">
        <v>63.312</v>
      </c>
      <c r="G1028" s="0" t="n">
        <v>20.5764</v>
      </c>
      <c r="H1028" s="0" t="n">
        <v>0.2</v>
      </c>
      <c r="I1028" s="7" t="n">
        <f aca="false">YEAR(B1028)</f>
        <v>2016</v>
      </c>
      <c r="J1028" s="0" t="str">
        <f aca="false">I1028&amp;"-Q"&amp;ROUNDUP(MONTH(B1028)/3,0)</f>
        <v>2016-Q1</v>
      </c>
    </row>
    <row r="1029" customFormat="false" ht="15" hidden="false" customHeight="false" outlineLevel="0" collapsed="false">
      <c r="A1029" s="0" t="s">
        <v>570</v>
      </c>
      <c r="B1029" s="6" t="n">
        <v>42380</v>
      </c>
      <c r="C1029" s="7" t="s">
        <v>55</v>
      </c>
      <c r="D1029" s="7" t="s">
        <v>116</v>
      </c>
      <c r="E1029" s="7" t="s">
        <v>39</v>
      </c>
      <c r="F1029" s="0" t="n">
        <v>15.588</v>
      </c>
      <c r="G1029" s="0" t="n">
        <v>-9.8724</v>
      </c>
      <c r="H1029" s="0" t="n">
        <v>0.4</v>
      </c>
      <c r="I1029" s="7" t="n">
        <f aca="false">YEAR(B1029)</f>
        <v>2016</v>
      </c>
      <c r="J1029" s="0" t="str">
        <f aca="false">I1029&amp;"-Q"&amp;ROUNDUP(MONTH(B1029)/3,0)</f>
        <v>2016-Q1</v>
      </c>
    </row>
    <row r="1030" customFormat="false" ht="15" hidden="false" customHeight="false" outlineLevel="0" collapsed="false">
      <c r="A1030" s="0" t="s">
        <v>571</v>
      </c>
      <c r="B1030" s="6" t="n">
        <v>41831</v>
      </c>
      <c r="C1030" s="7" t="s">
        <v>55</v>
      </c>
      <c r="D1030" s="7" t="s">
        <v>161</v>
      </c>
      <c r="E1030" s="7" t="s">
        <v>35</v>
      </c>
      <c r="F1030" s="0" t="n">
        <v>177.2</v>
      </c>
      <c r="G1030" s="0" t="n">
        <v>83.284</v>
      </c>
      <c r="H1030" s="0" t="n">
        <v>0</v>
      </c>
      <c r="I1030" s="7" t="n">
        <f aca="false">YEAR(B1030)</f>
        <v>2014</v>
      </c>
      <c r="J1030" s="0" t="str">
        <f aca="false">I1030&amp;"-Q"&amp;ROUNDUP(MONTH(B1030)/3,0)</f>
        <v>2014-Q3</v>
      </c>
    </row>
    <row r="1031" customFormat="false" ht="15" hidden="false" customHeight="false" outlineLevel="0" collapsed="false">
      <c r="A1031" s="0" t="s">
        <v>571</v>
      </c>
      <c r="B1031" s="6" t="n">
        <v>41831</v>
      </c>
      <c r="C1031" s="7" t="s">
        <v>55</v>
      </c>
      <c r="D1031" s="7" t="s">
        <v>161</v>
      </c>
      <c r="E1031" s="7" t="s">
        <v>39</v>
      </c>
      <c r="F1031" s="0" t="n">
        <v>197.97</v>
      </c>
      <c r="G1031" s="0" t="n">
        <v>57.4113</v>
      </c>
      <c r="H1031" s="0" t="n">
        <v>0</v>
      </c>
      <c r="I1031" s="7" t="n">
        <f aca="false">YEAR(B1031)</f>
        <v>2014</v>
      </c>
      <c r="J1031" s="0" t="str">
        <f aca="false">I1031&amp;"-Q"&amp;ROUNDUP(MONTH(B1031)/3,0)</f>
        <v>2014-Q3</v>
      </c>
    </row>
    <row r="1032" customFormat="false" ht="15" hidden="false" customHeight="false" outlineLevel="0" collapsed="false">
      <c r="A1032" s="0" t="s">
        <v>571</v>
      </c>
      <c r="B1032" s="6" t="n">
        <v>41831</v>
      </c>
      <c r="C1032" s="7" t="s">
        <v>55</v>
      </c>
      <c r="D1032" s="7" t="s">
        <v>161</v>
      </c>
      <c r="E1032" s="7" t="s">
        <v>31</v>
      </c>
      <c r="F1032" s="0" t="n">
        <v>854.94</v>
      </c>
      <c r="G1032" s="0" t="n">
        <v>213.735</v>
      </c>
      <c r="H1032" s="0" t="n">
        <v>0</v>
      </c>
      <c r="I1032" s="7" t="n">
        <f aca="false">YEAR(B1032)</f>
        <v>2014</v>
      </c>
      <c r="J1032" s="0" t="str">
        <f aca="false">I1032&amp;"-Q"&amp;ROUNDUP(MONTH(B1032)/3,0)</f>
        <v>2014-Q3</v>
      </c>
    </row>
    <row r="1033" customFormat="false" ht="15" hidden="false" customHeight="false" outlineLevel="0" collapsed="false">
      <c r="A1033" s="0" t="s">
        <v>571</v>
      </c>
      <c r="B1033" s="6" t="n">
        <v>41831</v>
      </c>
      <c r="C1033" s="7" t="s">
        <v>55</v>
      </c>
      <c r="D1033" s="7" t="s">
        <v>161</v>
      </c>
      <c r="E1033" s="7" t="s">
        <v>31</v>
      </c>
      <c r="F1033" s="0" t="n">
        <v>124.11</v>
      </c>
      <c r="G1033" s="0" t="n">
        <v>52.1262</v>
      </c>
      <c r="H1033" s="0" t="n">
        <v>0</v>
      </c>
      <c r="I1033" s="7" t="n">
        <f aca="false">YEAR(B1033)</f>
        <v>2014</v>
      </c>
      <c r="J1033" s="0" t="str">
        <f aca="false">I1033&amp;"-Q"&amp;ROUNDUP(MONTH(B1033)/3,0)</f>
        <v>2014-Q3</v>
      </c>
    </row>
    <row r="1034" customFormat="false" ht="15" hidden="false" customHeight="false" outlineLevel="0" collapsed="false">
      <c r="A1034" s="0" t="s">
        <v>571</v>
      </c>
      <c r="B1034" s="6" t="n">
        <v>41831</v>
      </c>
      <c r="C1034" s="7" t="s">
        <v>55</v>
      </c>
      <c r="D1034" s="7" t="s">
        <v>161</v>
      </c>
      <c r="E1034" s="7" t="s">
        <v>35</v>
      </c>
      <c r="F1034" s="0" t="n">
        <v>14.4</v>
      </c>
      <c r="G1034" s="0" t="n">
        <v>7.056</v>
      </c>
      <c r="H1034" s="0" t="n">
        <v>0</v>
      </c>
      <c r="I1034" s="7" t="n">
        <f aca="false">YEAR(B1034)</f>
        <v>2014</v>
      </c>
      <c r="J1034" s="0" t="str">
        <f aca="false">I1034&amp;"-Q"&amp;ROUNDUP(MONTH(B1034)/3,0)</f>
        <v>2014-Q3</v>
      </c>
    </row>
    <row r="1035" customFormat="false" ht="15" hidden="false" customHeight="false" outlineLevel="0" collapsed="false">
      <c r="A1035" s="0" t="s">
        <v>572</v>
      </c>
      <c r="B1035" s="6" t="n">
        <v>42694</v>
      </c>
      <c r="C1035" s="7" t="s">
        <v>55</v>
      </c>
      <c r="D1035" s="7" t="s">
        <v>116</v>
      </c>
      <c r="E1035" s="7" t="s">
        <v>35</v>
      </c>
      <c r="F1035" s="0" t="n">
        <v>15.696</v>
      </c>
      <c r="G1035" s="0" t="n">
        <v>5.1012</v>
      </c>
      <c r="H1035" s="0" t="n">
        <v>0.2</v>
      </c>
      <c r="I1035" s="7" t="n">
        <f aca="false">YEAR(B1035)</f>
        <v>2016</v>
      </c>
      <c r="J1035" s="0" t="str">
        <f aca="false">I1035&amp;"-Q"&amp;ROUNDUP(MONTH(B1035)/3,0)</f>
        <v>2016-Q4</v>
      </c>
    </row>
    <row r="1036" customFormat="false" ht="15" hidden="false" customHeight="false" outlineLevel="0" collapsed="false">
      <c r="A1036" s="0" t="s">
        <v>572</v>
      </c>
      <c r="B1036" s="6" t="n">
        <v>42694</v>
      </c>
      <c r="C1036" s="7" t="s">
        <v>55</v>
      </c>
      <c r="D1036" s="7" t="s">
        <v>116</v>
      </c>
      <c r="E1036" s="7" t="s">
        <v>35</v>
      </c>
      <c r="F1036" s="0" t="n">
        <v>2.628</v>
      </c>
      <c r="G1036" s="0" t="n">
        <v>-1.9272</v>
      </c>
      <c r="H1036" s="0" t="n">
        <v>0.7</v>
      </c>
      <c r="I1036" s="7" t="n">
        <f aca="false">YEAR(B1036)</f>
        <v>2016</v>
      </c>
      <c r="J1036" s="0" t="str">
        <f aca="false">I1036&amp;"-Q"&amp;ROUNDUP(MONTH(B1036)/3,0)</f>
        <v>2016-Q4</v>
      </c>
    </row>
    <row r="1037" customFormat="false" ht="15" hidden="false" customHeight="false" outlineLevel="0" collapsed="false">
      <c r="A1037" s="0" t="s">
        <v>572</v>
      </c>
      <c r="B1037" s="6" t="n">
        <v>42694</v>
      </c>
      <c r="C1037" s="7" t="s">
        <v>55</v>
      </c>
      <c r="D1037" s="7" t="s">
        <v>116</v>
      </c>
      <c r="E1037" s="7" t="s">
        <v>35</v>
      </c>
      <c r="F1037" s="0" t="n">
        <v>14.427</v>
      </c>
      <c r="G1037" s="0" t="n">
        <v>-10.5798</v>
      </c>
      <c r="H1037" s="0" t="n">
        <v>0.7</v>
      </c>
      <c r="I1037" s="7" t="n">
        <f aca="false">YEAR(B1037)</f>
        <v>2016</v>
      </c>
      <c r="J1037" s="0" t="str">
        <f aca="false">I1037&amp;"-Q"&amp;ROUNDUP(MONTH(B1037)/3,0)</f>
        <v>2016-Q4</v>
      </c>
    </row>
    <row r="1038" customFormat="false" ht="15" hidden="false" customHeight="false" outlineLevel="0" collapsed="false">
      <c r="A1038" s="0" t="s">
        <v>573</v>
      </c>
      <c r="B1038" s="6" t="n">
        <v>42482</v>
      </c>
      <c r="C1038" s="7" t="s">
        <v>45</v>
      </c>
      <c r="D1038" s="7" t="s">
        <v>129</v>
      </c>
      <c r="E1038" s="7" t="s">
        <v>31</v>
      </c>
      <c r="F1038" s="0" t="n">
        <v>86.62</v>
      </c>
      <c r="G1038" s="0" t="n">
        <v>8.662</v>
      </c>
      <c r="H1038" s="0" t="n">
        <v>0</v>
      </c>
      <c r="I1038" s="7" t="n">
        <f aca="false">YEAR(B1038)</f>
        <v>2016</v>
      </c>
      <c r="J1038" s="0" t="str">
        <f aca="false">I1038&amp;"-Q"&amp;ROUNDUP(MONTH(B1038)/3,0)</f>
        <v>2016-Q2</v>
      </c>
    </row>
    <row r="1039" customFormat="false" ht="15" hidden="false" customHeight="false" outlineLevel="0" collapsed="false">
      <c r="A1039" s="0" t="s">
        <v>574</v>
      </c>
      <c r="B1039" s="6" t="n">
        <v>42168</v>
      </c>
      <c r="C1039" s="7" t="s">
        <v>33</v>
      </c>
      <c r="D1039" s="7" t="s">
        <v>34</v>
      </c>
      <c r="E1039" s="7" t="s">
        <v>35</v>
      </c>
      <c r="F1039" s="0" t="n">
        <v>36.624</v>
      </c>
      <c r="G1039" s="0" t="n">
        <v>13.734</v>
      </c>
      <c r="H1039" s="0" t="n">
        <v>0.2</v>
      </c>
      <c r="I1039" s="7" t="n">
        <f aca="false">YEAR(B1039)</f>
        <v>2015</v>
      </c>
      <c r="J1039" s="0" t="str">
        <f aca="false">I1039&amp;"-Q"&amp;ROUNDUP(MONTH(B1039)/3,0)</f>
        <v>2015-Q2</v>
      </c>
    </row>
    <row r="1040" customFormat="false" ht="15" hidden="false" customHeight="false" outlineLevel="0" collapsed="false">
      <c r="A1040" s="0" t="s">
        <v>575</v>
      </c>
      <c r="B1040" s="6" t="n">
        <v>43059</v>
      </c>
      <c r="C1040" s="7" t="s">
        <v>29</v>
      </c>
      <c r="D1040" s="7" t="s">
        <v>41</v>
      </c>
      <c r="E1040" s="7" t="s">
        <v>35</v>
      </c>
      <c r="F1040" s="0" t="n">
        <v>23.968</v>
      </c>
      <c r="G1040" s="0" t="n">
        <v>2.6964</v>
      </c>
      <c r="H1040" s="0" t="n">
        <v>0.2</v>
      </c>
      <c r="I1040" s="7" t="n">
        <f aca="false">YEAR(B1040)</f>
        <v>2017</v>
      </c>
      <c r="J1040" s="0" t="str">
        <f aca="false">I1040&amp;"-Q"&amp;ROUNDUP(MONTH(B1040)/3,0)</f>
        <v>2017-Q4</v>
      </c>
    </row>
    <row r="1041" customFormat="false" ht="15" hidden="false" customHeight="false" outlineLevel="0" collapsed="false">
      <c r="A1041" s="0" t="s">
        <v>575</v>
      </c>
      <c r="B1041" s="6" t="n">
        <v>43059</v>
      </c>
      <c r="C1041" s="7" t="s">
        <v>29</v>
      </c>
      <c r="D1041" s="7" t="s">
        <v>41</v>
      </c>
      <c r="E1041" s="7" t="s">
        <v>35</v>
      </c>
      <c r="F1041" s="0" t="n">
        <v>28.728</v>
      </c>
      <c r="G1041" s="0" t="n">
        <v>1.7955</v>
      </c>
      <c r="H1041" s="0" t="n">
        <v>0.2</v>
      </c>
      <c r="I1041" s="7" t="n">
        <f aca="false">YEAR(B1041)</f>
        <v>2017</v>
      </c>
      <c r="J1041" s="0" t="str">
        <f aca="false">I1041&amp;"-Q"&amp;ROUNDUP(MONTH(B1041)/3,0)</f>
        <v>2017-Q4</v>
      </c>
    </row>
    <row r="1042" customFormat="false" ht="15" hidden="false" customHeight="false" outlineLevel="0" collapsed="false">
      <c r="A1042" s="0" t="s">
        <v>576</v>
      </c>
      <c r="B1042" s="6" t="n">
        <v>42449</v>
      </c>
      <c r="C1042" s="7" t="s">
        <v>45</v>
      </c>
      <c r="D1042" s="7" t="s">
        <v>129</v>
      </c>
      <c r="E1042" s="7" t="s">
        <v>31</v>
      </c>
      <c r="F1042" s="0" t="n">
        <v>697.16</v>
      </c>
      <c r="G1042" s="0" t="n">
        <v>146.4036</v>
      </c>
      <c r="H1042" s="0" t="n">
        <v>0</v>
      </c>
      <c r="I1042" s="7" t="n">
        <f aca="false">YEAR(B1042)</f>
        <v>2016</v>
      </c>
      <c r="J1042" s="0" t="str">
        <f aca="false">I1042&amp;"-Q"&amp;ROUNDUP(MONTH(B1042)/3,0)</f>
        <v>2016-Q1</v>
      </c>
    </row>
    <row r="1043" customFormat="false" ht="15" hidden="false" customHeight="false" outlineLevel="0" collapsed="false">
      <c r="A1043" s="0" t="s">
        <v>577</v>
      </c>
      <c r="B1043" s="6" t="n">
        <v>42619</v>
      </c>
      <c r="C1043" s="7" t="s">
        <v>55</v>
      </c>
      <c r="D1043" s="7" t="s">
        <v>76</v>
      </c>
      <c r="E1043" s="7" t="s">
        <v>39</v>
      </c>
      <c r="F1043" s="0" t="n">
        <v>31.86</v>
      </c>
      <c r="G1043" s="0" t="n">
        <v>11.151</v>
      </c>
      <c r="H1043" s="0" t="n">
        <v>0</v>
      </c>
      <c r="I1043" s="7" t="n">
        <f aca="false">YEAR(B1043)</f>
        <v>2016</v>
      </c>
      <c r="J1043" s="0" t="str">
        <f aca="false">I1043&amp;"-Q"&amp;ROUNDUP(MONTH(B1043)/3,0)</f>
        <v>2016-Q3</v>
      </c>
    </row>
    <row r="1044" customFormat="false" ht="15" hidden="false" customHeight="false" outlineLevel="0" collapsed="false">
      <c r="A1044" s="0" t="s">
        <v>577</v>
      </c>
      <c r="B1044" s="6" t="n">
        <v>42619</v>
      </c>
      <c r="C1044" s="7" t="s">
        <v>55</v>
      </c>
      <c r="D1044" s="7" t="s">
        <v>76</v>
      </c>
      <c r="E1044" s="7" t="s">
        <v>31</v>
      </c>
      <c r="F1044" s="0" t="n">
        <v>722.352</v>
      </c>
      <c r="G1044" s="0" t="n">
        <v>90.294</v>
      </c>
      <c r="H1044" s="0" t="n">
        <v>0.2</v>
      </c>
      <c r="I1044" s="7" t="n">
        <f aca="false">YEAR(B1044)</f>
        <v>2016</v>
      </c>
      <c r="J1044" s="0" t="str">
        <f aca="false">I1044&amp;"-Q"&amp;ROUNDUP(MONTH(B1044)/3,0)</f>
        <v>2016-Q3</v>
      </c>
    </row>
    <row r="1045" customFormat="false" ht="15" hidden="false" customHeight="false" outlineLevel="0" collapsed="false">
      <c r="A1045" s="0" t="s">
        <v>578</v>
      </c>
      <c r="B1045" s="6" t="n">
        <v>42925</v>
      </c>
      <c r="C1045" s="7" t="s">
        <v>45</v>
      </c>
      <c r="D1045" s="7" t="s">
        <v>64</v>
      </c>
      <c r="E1045" s="7" t="s">
        <v>35</v>
      </c>
      <c r="F1045" s="0" t="n">
        <v>8.84</v>
      </c>
      <c r="G1045" s="0" t="n">
        <v>2.9835</v>
      </c>
      <c r="H1045" s="0" t="n">
        <v>0.2</v>
      </c>
      <c r="I1045" s="7" t="n">
        <f aca="false">YEAR(B1045)</f>
        <v>2017</v>
      </c>
      <c r="J1045" s="0" t="str">
        <f aca="false">I1045&amp;"-Q"&amp;ROUNDUP(MONTH(B1045)/3,0)</f>
        <v>2017-Q3</v>
      </c>
    </row>
    <row r="1046" customFormat="false" ht="15" hidden="false" customHeight="false" outlineLevel="0" collapsed="false">
      <c r="A1046" s="0" t="s">
        <v>578</v>
      </c>
      <c r="B1046" s="6" t="n">
        <v>42925</v>
      </c>
      <c r="C1046" s="7" t="s">
        <v>45</v>
      </c>
      <c r="D1046" s="7" t="s">
        <v>64</v>
      </c>
      <c r="E1046" s="7" t="s">
        <v>35</v>
      </c>
      <c r="F1046" s="0" t="n">
        <v>58.464</v>
      </c>
      <c r="G1046" s="0" t="n">
        <v>-146.16</v>
      </c>
      <c r="H1046" s="0" t="n">
        <v>0.8</v>
      </c>
      <c r="I1046" s="7" t="n">
        <f aca="false">YEAR(B1046)</f>
        <v>2017</v>
      </c>
      <c r="J1046" s="0" t="str">
        <f aca="false">I1046&amp;"-Q"&amp;ROUNDUP(MONTH(B1046)/3,0)</f>
        <v>2017-Q3</v>
      </c>
    </row>
    <row r="1047" customFormat="false" ht="15" hidden="false" customHeight="false" outlineLevel="0" collapsed="false">
      <c r="A1047" s="0" t="s">
        <v>579</v>
      </c>
      <c r="B1047" s="6" t="n">
        <v>43020</v>
      </c>
      <c r="C1047" s="7" t="s">
        <v>45</v>
      </c>
      <c r="D1047" s="7" t="s">
        <v>64</v>
      </c>
      <c r="E1047" s="7" t="s">
        <v>31</v>
      </c>
      <c r="F1047" s="0" t="n">
        <v>254.604</v>
      </c>
      <c r="G1047" s="0" t="n">
        <v>-18.186</v>
      </c>
      <c r="H1047" s="0" t="n">
        <v>0.3</v>
      </c>
      <c r="I1047" s="7" t="n">
        <f aca="false">YEAR(B1047)</f>
        <v>2017</v>
      </c>
      <c r="J1047" s="0" t="str">
        <f aca="false">I1047&amp;"-Q"&amp;ROUNDUP(MONTH(B1047)/3,0)</f>
        <v>2017-Q4</v>
      </c>
    </row>
    <row r="1048" customFormat="false" ht="15" hidden="false" customHeight="false" outlineLevel="0" collapsed="false">
      <c r="A1048" s="0" t="s">
        <v>580</v>
      </c>
      <c r="B1048" s="6" t="n">
        <v>42437</v>
      </c>
      <c r="C1048" s="7" t="s">
        <v>29</v>
      </c>
      <c r="D1048" s="7" t="s">
        <v>37</v>
      </c>
      <c r="E1048" s="7" t="s">
        <v>39</v>
      </c>
      <c r="F1048" s="0" t="n">
        <v>1363.96</v>
      </c>
      <c r="G1048" s="0" t="n">
        <v>85.2475</v>
      </c>
      <c r="H1048" s="0" t="n">
        <v>0.2</v>
      </c>
      <c r="I1048" s="7" t="n">
        <f aca="false">YEAR(B1048)</f>
        <v>2016</v>
      </c>
      <c r="J1048" s="0" t="str">
        <f aca="false">I1048&amp;"-Q"&amp;ROUNDUP(MONTH(B1048)/3,0)</f>
        <v>2016-Q1</v>
      </c>
    </row>
    <row r="1049" customFormat="false" ht="15" hidden="false" customHeight="false" outlineLevel="0" collapsed="false">
      <c r="A1049" s="0" t="s">
        <v>580</v>
      </c>
      <c r="B1049" s="6" t="n">
        <v>42437</v>
      </c>
      <c r="C1049" s="7" t="s">
        <v>29</v>
      </c>
      <c r="D1049" s="7" t="s">
        <v>37</v>
      </c>
      <c r="E1049" s="7" t="s">
        <v>31</v>
      </c>
      <c r="F1049" s="0" t="n">
        <v>102.36</v>
      </c>
      <c r="G1049" s="0" t="n">
        <v>-3.8385</v>
      </c>
      <c r="H1049" s="0" t="n">
        <v>0.2</v>
      </c>
      <c r="I1049" s="7" t="n">
        <f aca="false">YEAR(B1049)</f>
        <v>2016</v>
      </c>
      <c r="J1049" s="0" t="str">
        <f aca="false">I1049&amp;"-Q"&amp;ROUNDUP(MONTH(B1049)/3,0)</f>
        <v>2016-Q1</v>
      </c>
    </row>
    <row r="1050" customFormat="false" ht="15" hidden="false" customHeight="false" outlineLevel="0" collapsed="false">
      <c r="A1050" s="0" t="s">
        <v>581</v>
      </c>
      <c r="B1050" s="6" t="n">
        <v>41786</v>
      </c>
      <c r="C1050" s="7" t="s">
        <v>33</v>
      </c>
      <c r="D1050" s="7" t="s">
        <v>34</v>
      </c>
      <c r="E1050" s="7" t="s">
        <v>39</v>
      </c>
      <c r="F1050" s="0" t="n">
        <v>1113.504</v>
      </c>
      <c r="G1050" s="0" t="n">
        <v>125.2692</v>
      </c>
      <c r="H1050" s="0" t="n">
        <v>0.2</v>
      </c>
      <c r="I1050" s="7" t="n">
        <f aca="false">YEAR(B1050)</f>
        <v>2014</v>
      </c>
      <c r="J1050" s="0" t="str">
        <f aca="false">I1050&amp;"-Q"&amp;ROUNDUP(MONTH(B1050)/3,0)</f>
        <v>2014-Q2</v>
      </c>
    </row>
    <row r="1051" customFormat="false" ht="15" hidden="false" customHeight="false" outlineLevel="0" collapsed="false">
      <c r="A1051" s="0" t="s">
        <v>581</v>
      </c>
      <c r="B1051" s="6" t="n">
        <v>41786</v>
      </c>
      <c r="C1051" s="7" t="s">
        <v>33</v>
      </c>
      <c r="D1051" s="7" t="s">
        <v>34</v>
      </c>
      <c r="E1051" s="7" t="s">
        <v>39</v>
      </c>
      <c r="F1051" s="0" t="n">
        <v>99.99</v>
      </c>
      <c r="G1051" s="0" t="n">
        <v>37.9962</v>
      </c>
      <c r="H1051" s="0" t="n">
        <v>0</v>
      </c>
      <c r="I1051" s="7" t="n">
        <f aca="false">YEAR(B1051)</f>
        <v>2014</v>
      </c>
      <c r="J1051" s="0" t="str">
        <f aca="false">I1051&amp;"-Q"&amp;ROUNDUP(MONTH(B1051)/3,0)</f>
        <v>2014-Q2</v>
      </c>
    </row>
    <row r="1052" customFormat="false" ht="15" hidden="false" customHeight="false" outlineLevel="0" collapsed="false">
      <c r="A1052" s="0" t="s">
        <v>582</v>
      </c>
      <c r="B1052" s="6" t="n">
        <v>42188</v>
      </c>
      <c r="C1052" s="7" t="s">
        <v>55</v>
      </c>
      <c r="D1052" s="7" t="s">
        <v>56</v>
      </c>
      <c r="E1052" s="7" t="s">
        <v>31</v>
      </c>
      <c r="F1052" s="0" t="n">
        <v>168.464</v>
      </c>
      <c r="G1052" s="0" t="n">
        <v>-29.4812</v>
      </c>
      <c r="H1052" s="0" t="n">
        <v>0.2</v>
      </c>
      <c r="I1052" s="7" t="n">
        <f aca="false">YEAR(B1052)</f>
        <v>2015</v>
      </c>
      <c r="J1052" s="0" t="str">
        <f aca="false">I1052&amp;"-Q"&amp;ROUNDUP(MONTH(B1052)/3,0)</f>
        <v>2015-Q3</v>
      </c>
    </row>
    <row r="1053" customFormat="false" ht="15" hidden="false" customHeight="false" outlineLevel="0" collapsed="false">
      <c r="A1053" s="0" t="s">
        <v>582</v>
      </c>
      <c r="B1053" s="6" t="n">
        <v>42188</v>
      </c>
      <c r="C1053" s="7" t="s">
        <v>55</v>
      </c>
      <c r="D1053" s="7" t="s">
        <v>56</v>
      </c>
      <c r="E1053" s="7" t="s">
        <v>35</v>
      </c>
      <c r="F1053" s="0" t="n">
        <v>6.72</v>
      </c>
      <c r="G1053" s="0" t="n">
        <v>2.436</v>
      </c>
      <c r="H1053" s="0" t="n">
        <v>0.2</v>
      </c>
      <c r="I1053" s="7" t="n">
        <f aca="false">YEAR(B1053)</f>
        <v>2015</v>
      </c>
      <c r="J1053" s="0" t="str">
        <f aca="false">I1053&amp;"-Q"&amp;ROUNDUP(MONTH(B1053)/3,0)</f>
        <v>2015-Q3</v>
      </c>
    </row>
    <row r="1054" customFormat="false" ht="15" hidden="false" customHeight="false" outlineLevel="0" collapsed="false">
      <c r="A1054" s="0" t="s">
        <v>582</v>
      </c>
      <c r="B1054" s="6" t="n">
        <v>42188</v>
      </c>
      <c r="C1054" s="7" t="s">
        <v>55</v>
      </c>
      <c r="D1054" s="7" t="s">
        <v>56</v>
      </c>
      <c r="E1054" s="7" t="s">
        <v>31</v>
      </c>
      <c r="F1054" s="0" t="n">
        <v>282.888</v>
      </c>
      <c r="G1054" s="0" t="n">
        <v>56.5776</v>
      </c>
      <c r="H1054" s="0" t="n">
        <v>0.2</v>
      </c>
      <c r="I1054" s="7" t="n">
        <f aca="false">YEAR(B1054)</f>
        <v>2015</v>
      </c>
      <c r="J1054" s="0" t="str">
        <f aca="false">I1054&amp;"-Q"&amp;ROUNDUP(MONTH(B1054)/3,0)</f>
        <v>2015-Q3</v>
      </c>
    </row>
    <row r="1055" customFormat="false" ht="15" hidden="false" customHeight="false" outlineLevel="0" collapsed="false">
      <c r="A1055" s="0" t="s">
        <v>583</v>
      </c>
      <c r="B1055" s="6" t="n">
        <v>42098</v>
      </c>
      <c r="C1055" s="7" t="s">
        <v>55</v>
      </c>
      <c r="D1055" s="7" t="s">
        <v>76</v>
      </c>
      <c r="E1055" s="7" t="s">
        <v>35</v>
      </c>
      <c r="F1055" s="0" t="n">
        <v>11.16</v>
      </c>
      <c r="G1055" s="0" t="n">
        <v>4.3524</v>
      </c>
      <c r="H1055" s="0" t="n">
        <v>0</v>
      </c>
      <c r="I1055" s="7" t="n">
        <f aca="false">YEAR(B1055)</f>
        <v>2015</v>
      </c>
      <c r="J1055" s="0" t="str">
        <f aca="false">I1055&amp;"-Q"&amp;ROUNDUP(MONTH(B1055)/3,0)</f>
        <v>2015-Q2</v>
      </c>
    </row>
    <row r="1056" customFormat="false" ht="15" hidden="false" customHeight="false" outlineLevel="0" collapsed="false">
      <c r="A1056" s="0" t="s">
        <v>583</v>
      </c>
      <c r="B1056" s="6" t="n">
        <v>42098</v>
      </c>
      <c r="C1056" s="7" t="s">
        <v>55</v>
      </c>
      <c r="D1056" s="7" t="s">
        <v>76</v>
      </c>
      <c r="E1056" s="7" t="s">
        <v>31</v>
      </c>
      <c r="F1056" s="0" t="n">
        <v>108.4</v>
      </c>
      <c r="G1056" s="0" t="n">
        <v>22.764</v>
      </c>
      <c r="H1056" s="0" t="n">
        <v>0</v>
      </c>
      <c r="I1056" s="7" t="n">
        <f aca="false">YEAR(B1056)</f>
        <v>2015</v>
      </c>
      <c r="J1056" s="0" t="str">
        <f aca="false">I1056&amp;"-Q"&amp;ROUNDUP(MONTH(B1056)/3,0)</f>
        <v>2015-Q2</v>
      </c>
    </row>
    <row r="1057" customFormat="false" ht="15" hidden="false" customHeight="false" outlineLevel="0" collapsed="false">
      <c r="A1057" s="0" t="s">
        <v>583</v>
      </c>
      <c r="B1057" s="6" t="n">
        <v>42098</v>
      </c>
      <c r="C1057" s="7" t="s">
        <v>55</v>
      </c>
      <c r="D1057" s="7" t="s">
        <v>76</v>
      </c>
      <c r="E1057" s="7" t="s">
        <v>35</v>
      </c>
      <c r="F1057" s="0" t="n">
        <v>82.344</v>
      </c>
      <c r="G1057" s="0" t="n">
        <v>27.7911</v>
      </c>
      <c r="H1057" s="0" t="n">
        <v>0.2</v>
      </c>
      <c r="I1057" s="7" t="n">
        <f aca="false">YEAR(B1057)</f>
        <v>2015</v>
      </c>
      <c r="J1057" s="0" t="str">
        <f aca="false">I1057&amp;"-Q"&amp;ROUNDUP(MONTH(B1057)/3,0)</f>
        <v>2015-Q2</v>
      </c>
    </row>
    <row r="1058" customFormat="false" ht="15" hidden="false" customHeight="false" outlineLevel="0" collapsed="false">
      <c r="A1058" s="0" t="s">
        <v>583</v>
      </c>
      <c r="B1058" s="6" t="n">
        <v>42098</v>
      </c>
      <c r="C1058" s="7" t="s">
        <v>55</v>
      </c>
      <c r="D1058" s="7" t="s">
        <v>76</v>
      </c>
      <c r="E1058" s="7" t="s">
        <v>35</v>
      </c>
      <c r="F1058" s="0" t="n">
        <v>9.088</v>
      </c>
      <c r="G1058" s="0" t="n">
        <v>3.2944</v>
      </c>
      <c r="H1058" s="0" t="n">
        <v>0.2</v>
      </c>
      <c r="I1058" s="7" t="n">
        <f aca="false">YEAR(B1058)</f>
        <v>2015</v>
      </c>
      <c r="J1058" s="0" t="str">
        <f aca="false">I1058&amp;"-Q"&amp;ROUNDUP(MONTH(B1058)/3,0)</f>
        <v>2015-Q2</v>
      </c>
    </row>
    <row r="1059" customFormat="false" ht="15" hidden="false" customHeight="false" outlineLevel="0" collapsed="false">
      <c r="A1059" s="0" t="s">
        <v>584</v>
      </c>
      <c r="B1059" s="6" t="n">
        <v>43079</v>
      </c>
      <c r="C1059" s="7" t="s">
        <v>33</v>
      </c>
      <c r="D1059" s="7" t="s">
        <v>34</v>
      </c>
      <c r="E1059" s="7" t="s">
        <v>35</v>
      </c>
      <c r="F1059" s="0" t="n">
        <v>19.936</v>
      </c>
      <c r="G1059" s="0" t="n">
        <v>7.2268</v>
      </c>
      <c r="H1059" s="0" t="n">
        <v>0.2</v>
      </c>
      <c r="I1059" s="7" t="n">
        <f aca="false">YEAR(B1059)</f>
        <v>2017</v>
      </c>
      <c r="J1059" s="0" t="str">
        <f aca="false">I1059&amp;"-Q"&amp;ROUNDUP(MONTH(B1059)/3,0)</f>
        <v>2017-Q4</v>
      </c>
    </row>
    <row r="1060" customFormat="false" ht="15" hidden="false" customHeight="false" outlineLevel="0" collapsed="false">
      <c r="A1060" s="0" t="s">
        <v>584</v>
      </c>
      <c r="B1060" s="6" t="n">
        <v>43079</v>
      </c>
      <c r="C1060" s="7" t="s">
        <v>33</v>
      </c>
      <c r="D1060" s="7" t="s">
        <v>34</v>
      </c>
      <c r="E1060" s="7" t="s">
        <v>35</v>
      </c>
      <c r="F1060" s="0" t="n">
        <v>65.568</v>
      </c>
      <c r="G1060" s="0" t="n">
        <v>22.9488</v>
      </c>
      <c r="H1060" s="0" t="n">
        <v>0.2</v>
      </c>
      <c r="I1060" s="7" t="n">
        <f aca="false">YEAR(B1060)</f>
        <v>2017</v>
      </c>
      <c r="J1060" s="0" t="str">
        <f aca="false">I1060&amp;"-Q"&amp;ROUNDUP(MONTH(B1060)/3,0)</f>
        <v>2017-Q4</v>
      </c>
    </row>
    <row r="1061" customFormat="false" ht="15" hidden="false" customHeight="false" outlineLevel="0" collapsed="false">
      <c r="A1061" s="0" t="s">
        <v>585</v>
      </c>
      <c r="B1061" s="6" t="n">
        <v>42698</v>
      </c>
      <c r="C1061" s="7" t="s">
        <v>55</v>
      </c>
      <c r="D1061" s="7" t="s">
        <v>56</v>
      </c>
      <c r="E1061" s="7" t="s">
        <v>35</v>
      </c>
      <c r="F1061" s="0" t="n">
        <v>4.416</v>
      </c>
      <c r="G1061" s="0" t="n">
        <v>1.6008</v>
      </c>
      <c r="H1061" s="0" t="n">
        <v>0.2</v>
      </c>
      <c r="I1061" s="7" t="n">
        <f aca="false">YEAR(B1061)</f>
        <v>2016</v>
      </c>
      <c r="J1061" s="0" t="str">
        <f aca="false">I1061&amp;"-Q"&amp;ROUNDUP(MONTH(B1061)/3,0)</f>
        <v>2016-Q4</v>
      </c>
    </row>
    <row r="1062" customFormat="false" ht="15" hidden="false" customHeight="false" outlineLevel="0" collapsed="false">
      <c r="A1062" s="0" t="s">
        <v>586</v>
      </c>
      <c r="B1062" s="6" t="n">
        <v>42086</v>
      </c>
      <c r="C1062" s="7" t="s">
        <v>45</v>
      </c>
      <c r="D1062" s="7" t="s">
        <v>46</v>
      </c>
      <c r="E1062" s="7" t="s">
        <v>31</v>
      </c>
      <c r="F1062" s="0" t="n">
        <v>107.772</v>
      </c>
      <c r="G1062" s="0" t="n">
        <v>-29.2524</v>
      </c>
      <c r="H1062" s="0" t="n">
        <v>0.3</v>
      </c>
      <c r="I1062" s="7" t="n">
        <f aca="false">YEAR(B1062)</f>
        <v>2015</v>
      </c>
      <c r="J1062" s="0" t="str">
        <f aca="false">I1062&amp;"-Q"&amp;ROUNDUP(MONTH(B1062)/3,0)</f>
        <v>2015-Q1</v>
      </c>
    </row>
    <row r="1063" customFormat="false" ht="15" hidden="false" customHeight="false" outlineLevel="0" collapsed="false">
      <c r="A1063" s="0" t="s">
        <v>587</v>
      </c>
      <c r="B1063" s="6" t="n">
        <v>42110</v>
      </c>
      <c r="C1063" s="7" t="s">
        <v>55</v>
      </c>
      <c r="D1063" s="7" t="s">
        <v>116</v>
      </c>
      <c r="E1063" s="7" t="s">
        <v>35</v>
      </c>
      <c r="F1063" s="0" t="n">
        <v>45.216</v>
      </c>
      <c r="G1063" s="0" t="n">
        <v>4.5216</v>
      </c>
      <c r="H1063" s="0" t="n">
        <v>0.2</v>
      </c>
      <c r="I1063" s="7" t="n">
        <f aca="false">YEAR(B1063)</f>
        <v>2015</v>
      </c>
      <c r="J1063" s="0" t="str">
        <f aca="false">I1063&amp;"-Q"&amp;ROUNDUP(MONTH(B1063)/3,0)</f>
        <v>2015-Q2</v>
      </c>
    </row>
    <row r="1064" customFormat="false" ht="15" hidden="false" customHeight="false" outlineLevel="0" collapsed="false">
      <c r="A1064" s="0" t="s">
        <v>587</v>
      </c>
      <c r="B1064" s="6" t="n">
        <v>42110</v>
      </c>
      <c r="C1064" s="7" t="s">
        <v>55</v>
      </c>
      <c r="D1064" s="7" t="s">
        <v>116</v>
      </c>
      <c r="E1064" s="7" t="s">
        <v>35</v>
      </c>
      <c r="F1064" s="0" t="n">
        <v>10.416</v>
      </c>
      <c r="G1064" s="0" t="n">
        <v>-2.2134</v>
      </c>
      <c r="H1064" s="0" t="n">
        <v>0.2</v>
      </c>
      <c r="I1064" s="7" t="n">
        <f aca="false">YEAR(B1064)</f>
        <v>2015</v>
      </c>
      <c r="J1064" s="0" t="str">
        <f aca="false">I1064&amp;"-Q"&amp;ROUNDUP(MONTH(B1064)/3,0)</f>
        <v>2015-Q2</v>
      </c>
    </row>
    <row r="1065" customFormat="false" ht="15" hidden="false" customHeight="false" outlineLevel="0" collapsed="false">
      <c r="A1065" s="0" t="s">
        <v>587</v>
      </c>
      <c r="B1065" s="6" t="n">
        <v>42110</v>
      </c>
      <c r="C1065" s="7" t="s">
        <v>55</v>
      </c>
      <c r="D1065" s="7" t="s">
        <v>116</v>
      </c>
      <c r="E1065" s="7" t="s">
        <v>35</v>
      </c>
      <c r="F1065" s="0" t="n">
        <v>7.872</v>
      </c>
      <c r="G1065" s="0" t="n">
        <v>1.2792</v>
      </c>
      <c r="H1065" s="0" t="n">
        <v>0.2</v>
      </c>
      <c r="I1065" s="7" t="n">
        <f aca="false">YEAR(B1065)</f>
        <v>2015</v>
      </c>
      <c r="J1065" s="0" t="str">
        <f aca="false">I1065&amp;"-Q"&amp;ROUNDUP(MONTH(B1065)/3,0)</f>
        <v>2015-Q2</v>
      </c>
    </row>
    <row r="1066" customFormat="false" ht="15" hidden="false" customHeight="false" outlineLevel="0" collapsed="false">
      <c r="A1066" s="0" t="s">
        <v>587</v>
      </c>
      <c r="B1066" s="6" t="n">
        <v>42110</v>
      </c>
      <c r="C1066" s="7" t="s">
        <v>55</v>
      </c>
      <c r="D1066" s="7" t="s">
        <v>116</v>
      </c>
      <c r="E1066" s="7" t="s">
        <v>39</v>
      </c>
      <c r="F1066" s="0" t="n">
        <v>118.782</v>
      </c>
      <c r="G1066" s="0" t="n">
        <v>-27.7158</v>
      </c>
      <c r="H1066" s="0" t="n">
        <v>0.4</v>
      </c>
      <c r="I1066" s="7" t="n">
        <f aca="false">YEAR(B1066)</f>
        <v>2015</v>
      </c>
      <c r="J1066" s="0" t="str">
        <f aca="false">I1066&amp;"-Q"&amp;ROUNDUP(MONTH(B1066)/3,0)</f>
        <v>2015-Q2</v>
      </c>
    </row>
    <row r="1067" customFormat="false" ht="15" hidden="false" customHeight="false" outlineLevel="0" collapsed="false">
      <c r="A1067" s="0" t="s">
        <v>587</v>
      </c>
      <c r="B1067" s="6" t="n">
        <v>42110</v>
      </c>
      <c r="C1067" s="7" t="s">
        <v>55</v>
      </c>
      <c r="D1067" s="7" t="s">
        <v>116</v>
      </c>
      <c r="E1067" s="7" t="s">
        <v>35</v>
      </c>
      <c r="F1067" s="0" t="n">
        <v>1.448</v>
      </c>
      <c r="G1067" s="0" t="n">
        <v>0.2353</v>
      </c>
      <c r="H1067" s="0" t="n">
        <v>0.2</v>
      </c>
      <c r="I1067" s="7" t="n">
        <f aca="false">YEAR(B1067)</f>
        <v>2015</v>
      </c>
      <c r="J1067" s="0" t="str">
        <f aca="false">I1067&amp;"-Q"&amp;ROUNDUP(MONTH(B1067)/3,0)</f>
        <v>2015-Q2</v>
      </c>
    </row>
    <row r="1068" customFormat="false" ht="15" hidden="false" customHeight="false" outlineLevel="0" collapsed="false">
      <c r="A1068" s="0" t="s">
        <v>587</v>
      </c>
      <c r="B1068" s="6" t="n">
        <v>42110</v>
      </c>
      <c r="C1068" s="7" t="s">
        <v>55</v>
      </c>
      <c r="D1068" s="7" t="s">
        <v>116</v>
      </c>
      <c r="E1068" s="7" t="s">
        <v>35</v>
      </c>
      <c r="F1068" s="0" t="n">
        <v>55.47</v>
      </c>
      <c r="G1068" s="0" t="n">
        <v>-46.225</v>
      </c>
      <c r="H1068" s="0" t="n">
        <v>0.7</v>
      </c>
      <c r="I1068" s="7" t="n">
        <f aca="false">YEAR(B1068)</f>
        <v>2015</v>
      </c>
      <c r="J1068" s="0" t="str">
        <f aca="false">I1068&amp;"-Q"&amp;ROUNDUP(MONTH(B1068)/3,0)</f>
        <v>2015-Q2</v>
      </c>
    </row>
    <row r="1069" customFormat="false" ht="15" hidden="false" customHeight="false" outlineLevel="0" collapsed="false">
      <c r="A1069" s="0" t="s">
        <v>588</v>
      </c>
      <c r="B1069" s="6" t="n">
        <v>42644</v>
      </c>
      <c r="C1069" s="7" t="s">
        <v>33</v>
      </c>
      <c r="D1069" s="7" t="s">
        <v>34</v>
      </c>
      <c r="E1069" s="7" t="s">
        <v>31</v>
      </c>
      <c r="F1069" s="0" t="n">
        <v>194.848</v>
      </c>
      <c r="G1069" s="0" t="n">
        <v>12.178</v>
      </c>
      <c r="H1069" s="0" t="n">
        <v>0.2</v>
      </c>
      <c r="I1069" s="7" t="n">
        <f aca="false">YEAR(B1069)</f>
        <v>2016</v>
      </c>
      <c r="J1069" s="0" t="str">
        <f aca="false">I1069&amp;"-Q"&amp;ROUNDUP(MONTH(B1069)/3,0)</f>
        <v>2016-Q4</v>
      </c>
    </row>
    <row r="1070" customFormat="false" ht="15" hidden="false" customHeight="false" outlineLevel="0" collapsed="false">
      <c r="A1070" s="0" t="s">
        <v>589</v>
      </c>
      <c r="B1070" s="6" t="n">
        <v>43006</v>
      </c>
      <c r="C1070" s="7" t="s">
        <v>45</v>
      </c>
      <c r="D1070" s="7" t="s">
        <v>46</v>
      </c>
      <c r="E1070" s="7" t="s">
        <v>35</v>
      </c>
      <c r="F1070" s="0" t="n">
        <v>1.744</v>
      </c>
      <c r="G1070" s="0" t="n">
        <v>-0.3488</v>
      </c>
      <c r="H1070" s="0" t="n">
        <v>0.2</v>
      </c>
      <c r="I1070" s="7" t="n">
        <f aca="false">YEAR(B1070)</f>
        <v>2017</v>
      </c>
      <c r="J1070" s="0" t="str">
        <f aca="false">I1070&amp;"-Q"&amp;ROUNDUP(MONTH(B1070)/3,0)</f>
        <v>2017-Q3</v>
      </c>
    </row>
    <row r="1071" customFormat="false" ht="15" hidden="false" customHeight="false" outlineLevel="0" collapsed="false">
      <c r="A1071" s="0" t="s">
        <v>590</v>
      </c>
      <c r="B1071" s="6" t="n">
        <v>42210</v>
      </c>
      <c r="C1071" s="7" t="s">
        <v>55</v>
      </c>
      <c r="D1071" s="7" t="s">
        <v>56</v>
      </c>
      <c r="E1071" s="7" t="s">
        <v>35</v>
      </c>
      <c r="F1071" s="0" t="n">
        <v>25.176</v>
      </c>
      <c r="G1071" s="0" t="n">
        <v>-18.4624</v>
      </c>
      <c r="H1071" s="0" t="n">
        <v>0.7</v>
      </c>
      <c r="I1071" s="7" t="n">
        <f aca="false">YEAR(B1071)</f>
        <v>2015</v>
      </c>
      <c r="J1071" s="0" t="str">
        <f aca="false">I1071&amp;"-Q"&amp;ROUNDUP(MONTH(B1071)/3,0)</f>
        <v>2015-Q3</v>
      </c>
    </row>
    <row r="1072" customFormat="false" ht="15" hidden="false" customHeight="false" outlineLevel="0" collapsed="false">
      <c r="A1072" s="0" t="s">
        <v>591</v>
      </c>
      <c r="B1072" s="6" t="n">
        <v>42328</v>
      </c>
      <c r="C1072" s="7" t="s">
        <v>33</v>
      </c>
      <c r="D1072" s="7" t="s">
        <v>34</v>
      </c>
      <c r="E1072" s="7" t="s">
        <v>35</v>
      </c>
      <c r="F1072" s="0" t="n">
        <v>19.46</v>
      </c>
      <c r="G1072" s="0" t="n">
        <v>5.0596</v>
      </c>
      <c r="H1072" s="0" t="n">
        <v>0</v>
      </c>
      <c r="I1072" s="7" t="n">
        <f aca="false">YEAR(B1072)</f>
        <v>2015</v>
      </c>
      <c r="J1072" s="0" t="str">
        <f aca="false">I1072&amp;"-Q"&amp;ROUNDUP(MONTH(B1072)/3,0)</f>
        <v>2015-Q4</v>
      </c>
    </row>
    <row r="1073" customFormat="false" ht="15" hidden="false" customHeight="false" outlineLevel="0" collapsed="false">
      <c r="A1073" s="0" t="s">
        <v>592</v>
      </c>
      <c r="B1073" s="6" t="n">
        <v>42488</v>
      </c>
      <c r="C1073" s="7" t="s">
        <v>33</v>
      </c>
      <c r="D1073" s="7" t="s">
        <v>109</v>
      </c>
      <c r="E1073" s="7" t="s">
        <v>35</v>
      </c>
      <c r="F1073" s="0" t="n">
        <v>29.472</v>
      </c>
      <c r="G1073" s="0" t="n">
        <v>9.9468</v>
      </c>
      <c r="H1073" s="0" t="n">
        <v>0.2</v>
      </c>
      <c r="I1073" s="7" t="n">
        <f aca="false">YEAR(B1073)</f>
        <v>2016</v>
      </c>
      <c r="J1073" s="0" t="str">
        <f aca="false">I1073&amp;"-Q"&amp;ROUNDUP(MONTH(B1073)/3,0)</f>
        <v>2016-Q2</v>
      </c>
    </row>
    <row r="1074" customFormat="false" ht="15" hidden="false" customHeight="false" outlineLevel="0" collapsed="false">
      <c r="A1074" s="0" t="s">
        <v>593</v>
      </c>
      <c r="B1074" s="6" t="n">
        <v>43053</v>
      </c>
      <c r="C1074" s="7" t="s">
        <v>55</v>
      </c>
      <c r="D1074" s="7" t="s">
        <v>76</v>
      </c>
      <c r="E1074" s="7" t="s">
        <v>35</v>
      </c>
      <c r="F1074" s="0" t="n">
        <v>8.64</v>
      </c>
      <c r="G1074" s="0" t="n">
        <v>3.024</v>
      </c>
      <c r="H1074" s="0" t="n">
        <v>0.2</v>
      </c>
      <c r="I1074" s="7" t="n">
        <f aca="false">YEAR(B1074)</f>
        <v>2017</v>
      </c>
      <c r="J1074" s="0" t="str">
        <f aca="false">I1074&amp;"-Q"&amp;ROUNDUP(MONTH(B1074)/3,0)</f>
        <v>2017-Q4</v>
      </c>
    </row>
    <row r="1075" customFormat="false" ht="15" hidden="false" customHeight="false" outlineLevel="0" collapsed="false">
      <c r="A1075" s="0" t="s">
        <v>594</v>
      </c>
      <c r="B1075" s="6" t="n">
        <v>42686</v>
      </c>
      <c r="C1075" s="7" t="s">
        <v>33</v>
      </c>
      <c r="D1075" s="7" t="s">
        <v>81</v>
      </c>
      <c r="E1075" s="7" t="s">
        <v>35</v>
      </c>
      <c r="F1075" s="0" t="n">
        <v>6.27</v>
      </c>
      <c r="G1075" s="0" t="n">
        <v>-4.598</v>
      </c>
      <c r="H1075" s="0" t="n">
        <v>0.7</v>
      </c>
      <c r="I1075" s="7" t="n">
        <f aca="false">YEAR(B1075)</f>
        <v>2016</v>
      </c>
      <c r="J1075" s="0" t="str">
        <f aca="false">I1075&amp;"-Q"&amp;ROUNDUP(MONTH(B1075)/3,0)</f>
        <v>2016-Q4</v>
      </c>
    </row>
    <row r="1076" customFormat="false" ht="15" hidden="false" customHeight="false" outlineLevel="0" collapsed="false">
      <c r="A1076" s="0" t="s">
        <v>594</v>
      </c>
      <c r="B1076" s="6" t="n">
        <v>42686</v>
      </c>
      <c r="C1076" s="7" t="s">
        <v>33</v>
      </c>
      <c r="D1076" s="7" t="s">
        <v>81</v>
      </c>
      <c r="E1076" s="7" t="s">
        <v>35</v>
      </c>
      <c r="F1076" s="0" t="n">
        <v>4.368</v>
      </c>
      <c r="G1076" s="0" t="n">
        <v>-3.3488</v>
      </c>
      <c r="H1076" s="0" t="n">
        <v>0.7</v>
      </c>
      <c r="I1076" s="7" t="n">
        <f aca="false">YEAR(B1076)</f>
        <v>2016</v>
      </c>
      <c r="J1076" s="0" t="str">
        <f aca="false">I1076&amp;"-Q"&amp;ROUNDUP(MONTH(B1076)/3,0)</f>
        <v>2016-Q4</v>
      </c>
    </row>
    <row r="1077" customFormat="false" ht="15" hidden="false" customHeight="false" outlineLevel="0" collapsed="false">
      <c r="A1077" s="0" t="s">
        <v>594</v>
      </c>
      <c r="B1077" s="6" t="n">
        <v>42686</v>
      </c>
      <c r="C1077" s="7" t="s">
        <v>33</v>
      </c>
      <c r="D1077" s="7" t="s">
        <v>81</v>
      </c>
      <c r="E1077" s="7" t="s">
        <v>39</v>
      </c>
      <c r="F1077" s="0" t="n">
        <v>31.984</v>
      </c>
      <c r="G1077" s="0" t="n">
        <v>1.999</v>
      </c>
      <c r="H1077" s="0" t="n">
        <v>0.2</v>
      </c>
      <c r="I1077" s="7" t="n">
        <f aca="false">YEAR(B1077)</f>
        <v>2016</v>
      </c>
      <c r="J1077" s="0" t="str">
        <f aca="false">I1077&amp;"-Q"&amp;ROUNDUP(MONTH(B1077)/3,0)</f>
        <v>2016-Q4</v>
      </c>
    </row>
    <row r="1078" customFormat="false" ht="15" hidden="false" customHeight="false" outlineLevel="0" collapsed="false">
      <c r="A1078" s="0" t="s">
        <v>595</v>
      </c>
      <c r="B1078" s="6" t="n">
        <v>42642</v>
      </c>
      <c r="C1078" s="7" t="s">
        <v>45</v>
      </c>
      <c r="D1078" s="7" t="s">
        <v>74</v>
      </c>
      <c r="E1078" s="7" t="s">
        <v>35</v>
      </c>
      <c r="F1078" s="0" t="n">
        <v>40.88</v>
      </c>
      <c r="G1078" s="0" t="n">
        <v>10.6288</v>
      </c>
      <c r="H1078" s="0" t="n">
        <v>0</v>
      </c>
      <c r="I1078" s="7" t="n">
        <f aca="false">YEAR(B1078)</f>
        <v>2016</v>
      </c>
      <c r="J1078" s="0" t="str">
        <f aca="false">I1078&amp;"-Q"&amp;ROUNDUP(MONTH(B1078)/3,0)</f>
        <v>2016-Q3</v>
      </c>
    </row>
    <row r="1079" customFormat="false" ht="15" hidden="false" customHeight="false" outlineLevel="0" collapsed="false">
      <c r="A1079" s="0" t="s">
        <v>596</v>
      </c>
      <c r="B1079" s="6" t="n">
        <v>43001</v>
      </c>
      <c r="C1079" s="7" t="s">
        <v>33</v>
      </c>
      <c r="D1079" s="7" t="s">
        <v>43</v>
      </c>
      <c r="E1079" s="7" t="s">
        <v>35</v>
      </c>
      <c r="F1079" s="0" t="n">
        <v>119.96</v>
      </c>
      <c r="G1079" s="0" t="n">
        <v>33.5888</v>
      </c>
      <c r="H1079" s="0" t="n">
        <v>0</v>
      </c>
      <c r="I1079" s="7" t="n">
        <f aca="false">YEAR(B1079)</f>
        <v>2017</v>
      </c>
      <c r="J1079" s="0" t="str">
        <f aca="false">I1079&amp;"-Q"&amp;ROUNDUP(MONTH(B1079)/3,0)</f>
        <v>2017-Q3</v>
      </c>
    </row>
    <row r="1080" customFormat="false" ht="15" hidden="false" customHeight="false" outlineLevel="0" collapsed="false">
      <c r="A1080" s="0" t="s">
        <v>596</v>
      </c>
      <c r="B1080" s="6" t="n">
        <v>43001</v>
      </c>
      <c r="C1080" s="7" t="s">
        <v>33</v>
      </c>
      <c r="D1080" s="7" t="s">
        <v>43</v>
      </c>
      <c r="E1080" s="7" t="s">
        <v>35</v>
      </c>
      <c r="F1080" s="0" t="n">
        <v>31.44</v>
      </c>
      <c r="G1080" s="0" t="n">
        <v>8.4888</v>
      </c>
      <c r="H1080" s="0" t="n">
        <v>0</v>
      </c>
      <c r="I1080" s="7" t="n">
        <f aca="false">YEAR(B1080)</f>
        <v>2017</v>
      </c>
      <c r="J1080" s="0" t="str">
        <f aca="false">I1080&amp;"-Q"&amp;ROUNDUP(MONTH(B1080)/3,0)</f>
        <v>2017-Q3</v>
      </c>
    </row>
    <row r="1081" customFormat="false" ht="15" hidden="false" customHeight="false" outlineLevel="0" collapsed="false">
      <c r="A1081" s="0" t="s">
        <v>596</v>
      </c>
      <c r="B1081" s="6" t="n">
        <v>43001</v>
      </c>
      <c r="C1081" s="7" t="s">
        <v>33</v>
      </c>
      <c r="D1081" s="7" t="s">
        <v>43</v>
      </c>
      <c r="E1081" s="7" t="s">
        <v>35</v>
      </c>
      <c r="F1081" s="0" t="n">
        <v>6.88</v>
      </c>
      <c r="G1081" s="0" t="n">
        <v>2.322</v>
      </c>
      <c r="H1081" s="0" t="n">
        <v>0.2</v>
      </c>
      <c r="I1081" s="7" t="n">
        <f aca="false">YEAR(B1081)</f>
        <v>2017</v>
      </c>
      <c r="J1081" s="0" t="str">
        <f aca="false">I1081&amp;"-Q"&amp;ROUNDUP(MONTH(B1081)/3,0)</f>
        <v>2017-Q3</v>
      </c>
    </row>
    <row r="1082" customFormat="false" ht="15" hidden="false" customHeight="false" outlineLevel="0" collapsed="false">
      <c r="A1082" s="0" t="s">
        <v>597</v>
      </c>
      <c r="B1082" s="6" t="n">
        <v>42337</v>
      </c>
      <c r="C1082" s="7" t="s">
        <v>45</v>
      </c>
      <c r="D1082" s="7" t="s">
        <v>70</v>
      </c>
      <c r="E1082" s="7" t="s">
        <v>35</v>
      </c>
      <c r="F1082" s="0" t="n">
        <v>19.92</v>
      </c>
      <c r="G1082" s="0" t="n">
        <v>9.3624</v>
      </c>
      <c r="H1082" s="0" t="n">
        <v>0</v>
      </c>
      <c r="I1082" s="7" t="n">
        <f aca="false">YEAR(B1082)</f>
        <v>2015</v>
      </c>
      <c r="J1082" s="0" t="str">
        <f aca="false">I1082&amp;"-Q"&amp;ROUNDUP(MONTH(B1082)/3,0)</f>
        <v>2015-Q4</v>
      </c>
    </row>
    <row r="1083" customFormat="false" ht="15" hidden="false" customHeight="false" outlineLevel="0" collapsed="false">
      <c r="A1083" s="0" t="s">
        <v>597</v>
      </c>
      <c r="B1083" s="6" t="n">
        <v>42337</v>
      </c>
      <c r="C1083" s="7" t="s">
        <v>45</v>
      </c>
      <c r="D1083" s="7" t="s">
        <v>70</v>
      </c>
      <c r="E1083" s="7" t="s">
        <v>31</v>
      </c>
      <c r="F1083" s="0" t="n">
        <v>1106.91</v>
      </c>
      <c r="G1083" s="0" t="n">
        <v>121.7601</v>
      </c>
      <c r="H1083" s="0" t="n">
        <v>0</v>
      </c>
      <c r="I1083" s="7" t="n">
        <f aca="false">YEAR(B1083)</f>
        <v>2015</v>
      </c>
      <c r="J1083" s="0" t="str">
        <f aca="false">I1083&amp;"-Q"&amp;ROUNDUP(MONTH(B1083)/3,0)</f>
        <v>2015-Q4</v>
      </c>
    </row>
    <row r="1084" customFormat="false" ht="15" hidden="false" customHeight="false" outlineLevel="0" collapsed="false">
      <c r="A1084" s="0" t="s">
        <v>598</v>
      </c>
      <c r="B1084" s="6" t="n">
        <v>42430</v>
      </c>
      <c r="C1084" s="7" t="s">
        <v>55</v>
      </c>
      <c r="D1084" s="7" t="s">
        <v>76</v>
      </c>
      <c r="E1084" s="7" t="s">
        <v>31</v>
      </c>
      <c r="F1084" s="0" t="n">
        <v>836.592</v>
      </c>
      <c r="G1084" s="0" t="n">
        <v>-264.9208</v>
      </c>
      <c r="H1084" s="0" t="n">
        <v>0.4</v>
      </c>
      <c r="I1084" s="7" t="n">
        <f aca="false">YEAR(B1084)</f>
        <v>2016</v>
      </c>
      <c r="J1084" s="0" t="str">
        <f aca="false">I1084&amp;"-Q"&amp;ROUNDUP(MONTH(B1084)/3,0)</f>
        <v>2016-Q1</v>
      </c>
    </row>
    <row r="1085" customFormat="false" ht="15" hidden="false" customHeight="false" outlineLevel="0" collapsed="false">
      <c r="A1085" s="0" t="s">
        <v>598</v>
      </c>
      <c r="B1085" s="6" t="n">
        <v>42430</v>
      </c>
      <c r="C1085" s="7" t="s">
        <v>55</v>
      </c>
      <c r="D1085" s="7" t="s">
        <v>76</v>
      </c>
      <c r="E1085" s="7" t="s">
        <v>35</v>
      </c>
      <c r="F1085" s="0" t="n">
        <v>26.38</v>
      </c>
      <c r="G1085" s="0" t="n">
        <v>12.1348</v>
      </c>
      <c r="H1085" s="0" t="n">
        <v>0</v>
      </c>
      <c r="I1085" s="7" t="n">
        <f aca="false">YEAR(B1085)</f>
        <v>2016</v>
      </c>
      <c r="J1085" s="0" t="str">
        <f aca="false">I1085&amp;"-Q"&amp;ROUNDUP(MONTH(B1085)/3,0)</f>
        <v>2016-Q1</v>
      </c>
    </row>
    <row r="1086" customFormat="false" ht="15" hidden="false" customHeight="false" outlineLevel="0" collapsed="false">
      <c r="A1086" s="0" t="s">
        <v>598</v>
      </c>
      <c r="B1086" s="6" t="n">
        <v>42430</v>
      </c>
      <c r="C1086" s="7" t="s">
        <v>55</v>
      </c>
      <c r="D1086" s="7" t="s">
        <v>76</v>
      </c>
      <c r="E1086" s="7" t="s">
        <v>35</v>
      </c>
      <c r="F1086" s="0" t="n">
        <v>362.92</v>
      </c>
      <c r="G1086" s="0" t="n">
        <v>105.2468</v>
      </c>
      <c r="H1086" s="0" t="n">
        <v>0</v>
      </c>
      <c r="I1086" s="7" t="n">
        <f aca="false">YEAR(B1086)</f>
        <v>2016</v>
      </c>
      <c r="J1086" s="0" t="str">
        <f aca="false">I1086&amp;"-Q"&amp;ROUNDUP(MONTH(B1086)/3,0)</f>
        <v>2016-Q1</v>
      </c>
    </row>
    <row r="1087" customFormat="false" ht="15" hidden="false" customHeight="false" outlineLevel="0" collapsed="false">
      <c r="A1087" s="0" t="s">
        <v>598</v>
      </c>
      <c r="B1087" s="6" t="n">
        <v>42430</v>
      </c>
      <c r="C1087" s="7" t="s">
        <v>55</v>
      </c>
      <c r="D1087" s="7" t="s">
        <v>76</v>
      </c>
      <c r="E1087" s="7" t="s">
        <v>39</v>
      </c>
      <c r="F1087" s="0" t="n">
        <v>4899.93</v>
      </c>
      <c r="G1087" s="0" t="n">
        <v>2400.9657</v>
      </c>
      <c r="H1087" s="0" t="n">
        <v>0</v>
      </c>
      <c r="I1087" s="7" t="n">
        <f aca="false">YEAR(B1087)</f>
        <v>2016</v>
      </c>
      <c r="J1087" s="0" t="str">
        <f aca="false">I1087&amp;"-Q"&amp;ROUNDUP(MONTH(B1087)/3,0)</f>
        <v>2016-Q1</v>
      </c>
    </row>
    <row r="1088" customFormat="false" ht="15" hidden="false" customHeight="false" outlineLevel="0" collapsed="false">
      <c r="A1088" s="0" t="s">
        <v>599</v>
      </c>
      <c r="B1088" s="6" t="n">
        <v>42594</v>
      </c>
      <c r="C1088" s="7" t="s">
        <v>45</v>
      </c>
      <c r="D1088" s="7" t="s">
        <v>114</v>
      </c>
      <c r="E1088" s="7" t="s">
        <v>35</v>
      </c>
      <c r="F1088" s="0" t="n">
        <v>6.48</v>
      </c>
      <c r="G1088" s="0" t="n">
        <v>3.1104</v>
      </c>
      <c r="H1088" s="0" t="n">
        <v>0</v>
      </c>
      <c r="I1088" s="7" t="n">
        <f aca="false">YEAR(B1088)</f>
        <v>2016</v>
      </c>
      <c r="J1088" s="0" t="str">
        <f aca="false">I1088&amp;"-Q"&amp;ROUNDUP(MONTH(B1088)/3,0)</f>
        <v>2016-Q3</v>
      </c>
    </row>
    <row r="1089" customFormat="false" ht="15" hidden="false" customHeight="false" outlineLevel="0" collapsed="false">
      <c r="A1089" s="0" t="s">
        <v>600</v>
      </c>
      <c r="B1089" s="6" t="n">
        <v>42597</v>
      </c>
      <c r="C1089" s="7" t="s">
        <v>33</v>
      </c>
      <c r="D1089" s="7" t="s">
        <v>34</v>
      </c>
      <c r="E1089" s="7" t="s">
        <v>39</v>
      </c>
      <c r="F1089" s="0" t="n">
        <v>71.976</v>
      </c>
      <c r="G1089" s="0" t="n">
        <v>7.1976</v>
      </c>
      <c r="H1089" s="0" t="n">
        <v>0.2</v>
      </c>
      <c r="I1089" s="7" t="n">
        <f aca="false">YEAR(B1089)</f>
        <v>2016</v>
      </c>
      <c r="J1089" s="0" t="str">
        <f aca="false">I1089&amp;"-Q"&amp;ROUNDUP(MONTH(B1089)/3,0)</f>
        <v>2016-Q3</v>
      </c>
    </row>
    <row r="1090" customFormat="false" ht="15" hidden="false" customHeight="false" outlineLevel="0" collapsed="false">
      <c r="A1090" s="0" t="s">
        <v>600</v>
      </c>
      <c r="B1090" s="6" t="n">
        <v>42597</v>
      </c>
      <c r="C1090" s="7" t="s">
        <v>33</v>
      </c>
      <c r="D1090" s="7" t="s">
        <v>34</v>
      </c>
      <c r="E1090" s="7" t="s">
        <v>35</v>
      </c>
      <c r="F1090" s="0" t="n">
        <v>3.15</v>
      </c>
      <c r="G1090" s="0" t="n">
        <v>1.512</v>
      </c>
      <c r="H1090" s="0" t="n">
        <v>0</v>
      </c>
      <c r="I1090" s="7" t="n">
        <f aca="false">YEAR(B1090)</f>
        <v>2016</v>
      </c>
      <c r="J1090" s="0" t="str">
        <f aca="false">I1090&amp;"-Q"&amp;ROUNDUP(MONTH(B1090)/3,0)</f>
        <v>2016-Q3</v>
      </c>
    </row>
    <row r="1091" customFormat="false" ht="15" hidden="false" customHeight="false" outlineLevel="0" collapsed="false">
      <c r="A1091" s="0" t="s">
        <v>601</v>
      </c>
      <c r="B1091" s="6" t="n">
        <v>42890</v>
      </c>
      <c r="C1091" s="7" t="s">
        <v>29</v>
      </c>
      <c r="D1091" s="7" t="s">
        <v>41</v>
      </c>
      <c r="E1091" s="7" t="s">
        <v>31</v>
      </c>
      <c r="F1091" s="0" t="n">
        <v>31.984</v>
      </c>
      <c r="G1091" s="0" t="n">
        <v>1.999</v>
      </c>
      <c r="H1091" s="0" t="n">
        <v>0.2</v>
      </c>
      <c r="I1091" s="7" t="n">
        <f aca="false">YEAR(B1091)</f>
        <v>2017</v>
      </c>
      <c r="J1091" s="0" t="str">
        <f aca="false">I1091&amp;"-Q"&amp;ROUNDUP(MONTH(B1091)/3,0)</f>
        <v>2017-Q2</v>
      </c>
    </row>
    <row r="1092" customFormat="false" ht="15" hidden="false" customHeight="false" outlineLevel="0" collapsed="false">
      <c r="A1092" s="0" t="s">
        <v>601</v>
      </c>
      <c r="B1092" s="6" t="n">
        <v>42890</v>
      </c>
      <c r="C1092" s="7" t="s">
        <v>29</v>
      </c>
      <c r="D1092" s="7" t="s">
        <v>41</v>
      </c>
      <c r="E1092" s="7" t="s">
        <v>39</v>
      </c>
      <c r="F1092" s="0" t="n">
        <v>71.984</v>
      </c>
      <c r="G1092" s="0" t="n">
        <v>25.1944</v>
      </c>
      <c r="H1092" s="0" t="n">
        <v>0.2</v>
      </c>
      <c r="I1092" s="7" t="n">
        <f aca="false">YEAR(B1092)</f>
        <v>2017</v>
      </c>
      <c r="J1092" s="0" t="str">
        <f aca="false">I1092&amp;"-Q"&amp;ROUNDUP(MONTH(B1092)/3,0)</f>
        <v>2017-Q2</v>
      </c>
    </row>
    <row r="1093" customFormat="false" ht="15" hidden="false" customHeight="false" outlineLevel="0" collapsed="false">
      <c r="A1093" s="0" t="s">
        <v>602</v>
      </c>
      <c r="B1093" s="6" t="n">
        <v>42344</v>
      </c>
      <c r="C1093" s="7" t="s">
        <v>33</v>
      </c>
      <c r="D1093" s="7" t="s">
        <v>34</v>
      </c>
      <c r="E1093" s="7" t="s">
        <v>35</v>
      </c>
      <c r="F1093" s="0" t="n">
        <v>120.15</v>
      </c>
      <c r="G1093" s="0" t="n">
        <v>33.642</v>
      </c>
      <c r="H1093" s="0" t="n">
        <v>0</v>
      </c>
      <c r="I1093" s="7" t="n">
        <f aca="false">YEAR(B1093)</f>
        <v>2015</v>
      </c>
      <c r="J1093" s="0" t="str">
        <f aca="false">I1093&amp;"-Q"&amp;ROUNDUP(MONTH(B1093)/3,0)</f>
        <v>2015-Q4</v>
      </c>
    </row>
    <row r="1094" customFormat="false" ht="15" hidden="false" customHeight="false" outlineLevel="0" collapsed="false">
      <c r="A1094" s="0" t="s">
        <v>602</v>
      </c>
      <c r="B1094" s="6" t="n">
        <v>42344</v>
      </c>
      <c r="C1094" s="7" t="s">
        <v>33</v>
      </c>
      <c r="D1094" s="7" t="s">
        <v>34</v>
      </c>
      <c r="E1094" s="7" t="s">
        <v>39</v>
      </c>
      <c r="F1094" s="0" t="n">
        <v>219.184</v>
      </c>
      <c r="G1094" s="0" t="n">
        <v>19.1786</v>
      </c>
      <c r="H1094" s="0" t="n">
        <v>0.2</v>
      </c>
      <c r="I1094" s="7" t="n">
        <f aca="false">YEAR(B1094)</f>
        <v>2015</v>
      </c>
      <c r="J1094" s="0" t="str">
        <f aca="false">I1094&amp;"-Q"&amp;ROUNDUP(MONTH(B1094)/3,0)</f>
        <v>2015-Q4</v>
      </c>
    </row>
    <row r="1095" customFormat="false" ht="15" hidden="false" customHeight="false" outlineLevel="0" collapsed="false">
      <c r="A1095" s="0" t="s">
        <v>603</v>
      </c>
      <c r="B1095" s="6" t="n">
        <v>42365</v>
      </c>
      <c r="C1095" s="7" t="s">
        <v>55</v>
      </c>
      <c r="D1095" s="7" t="s">
        <v>495</v>
      </c>
      <c r="E1095" s="7" t="s">
        <v>35</v>
      </c>
      <c r="F1095" s="0" t="n">
        <v>28.9</v>
      </c>
      <c r="G1095" s="0" t="n">
        <v>14.161</v>
      </c>
      <c r="H1095" s="0" t="n">
        <v>0</v>
      </c>
      <c r="I1095" s="7" t="n">
        <f aca="false">YEAR(B1095)</f>
        <v>2015</v>
      </c>
      <c r="J1095" s="0" t="str">
        <f aca="false">I1095&amp;"-Q"&amp;ROUNDUP(MONTH(B1095)/3,0)</f>
        <v>2015-Q4</v>
      </c>
    </row>
    <row r="1096" customFormat="false" ht="15" hidden="false" customHeight="false" outlineLevel="0" collapsed="false">
      <c r="A1096" s="0" t="s">
        <v>603</v>
      </c>
      <c r="B1096" s="6" t="n">
        <v>42365</v>
      </c>
      <c r="C1096" s="7" t="s">
        <v>55</v>
      </c>
      <c r="D1096" s="7" t="s">
        <v>495</v>
      </c>
      <c r="E1096" s="7" t="s">
        <v>35</v>
      </c>
      <c r="F1096" s="0" t="n">
        <v>355.96</v>
      </c>
      <c r="G1096" s="0" t="n">
        <v>103.2284</v>
      </c>
      <c r="H1096" s="0" t="n">
        <v>0</v>
      </c>
      <c r="I1096" s="7" t="n">
        <f aca="false">YEAR(B1096)</f>
        <v>2015</v>
      </c>
      <c r="J1096" s="0" t="str">
        <f aca="false">I1096&amp;"-Q"&amp;ROUNDUP(MONTH(B1096)/3,0)</f>
        <v>2015-Q4</v>
      </c>
    </row>
    <row r="1097" customFormat="false" ht="15" hidden="false" customHeight="false" outlineLevel="0" collapsed="false">
      <c r="A1097" s="0" t="s">
        <v>604</v>
      </c>
      <c r="B1097" s="6" t="n">
        <v>42756</v>
      </c>
      <c r="C1097" s="7" t="s">
        <v>29</v>
      </c>
      <c r="D1097" s="7" t="s">
        <v>41</v>
      </c>
      <c r="E1097" s="7" t="s">
        <v>35</v>
      </c>
      <c r="F1097" s="0" t="n">
        <v>348.208</v>
      </c>
      <c r="G1097" s="0" t="n">
        <v>30.4682</v>
      </c>
      <c r="H1097" s="0" t="n">
        <v>0.2</v>
      </c>
      <c r="I1097" s="7" t="n">
        <f aca="false">YEAR(B1097)</f>
        <v>2017</v>
      </c>
      <c r="J1097" s="0" t="str">
        <f aca="false">I1097&amp;"-Q"&amp;ROUNDUP(MONTH(B1097)/3,0)</f>
        <v>2017-Q1</v>
      </c>
    </row>
    <row r="1098" customFormat="false" ht="15" hidden="false" customHeight="false" outlineLevel="0" collapsed="false">
      <c r="A1098" s="0" t="s">
        <v>604</v>
      </c>
      <c r="B1098" s="6" t="n">
        <v>42756</v>
      </c>
      <c r="C1098" s="7" t="s">
        <v>29</v>
      </c>
      <c r="D1098" s="7" t="s">
        <v>41</v>
      </c>
      <c r="E1098" s="7" t="s">
        <v>35</v>
      </c>
      <c r="F1098" s="0" t="n">
        <v>35.784</v>
      </c>
      <c r="G1098" s="0" t="n">
        <v>-28.6272</v>
      </c>
      <c r="H1098" s="0" t="n">
        <v>0.7</v>
      </c>
      <c r="I1098" s="7" t="n">
        <f aca="false">YEAR(B1098)</f>
        <v>2017</v>
      </c>
      <c r="J1098" s="0" t="str">
        <f aca="false">I1098&amp;"-Q"&amp;ROUNDUP(MONTH(B1098)/3,0)</f>
        <v>2017-Q1</v>
      </c>
    </row>
    <row r="1099" customFormat="false" ht="15" hidden="false" customHeight="false" outlineLevel="0" collapsed="false">
      <c r="A1099" s="0" t="s">
        <v>605</v>
      </c>
      <c r="B1099" s="6" t="n">
        <v>41815</v>
      </c>
      <c r="C1099" s="7" t="s">
        <v>33</v>
      </c>
      <c r="D1099" s="7" t="s">
        <v>34</v>
      </c>
      <c r="E1099" s="7" t="s">
        <v>31</v>
      </c>
      <c r="F1099" s="0" t="n">
        <v>447.84</v>
      </c>
      <c r="G1099" s="0" t="n">
        <v>11.196</v>
      </c>
      <c r="H1099" s="0" t="n">
        <v>0.2</v>
      </c>
      <c r="I1099" s="7" t="n">
        <f aca="false">YEAR(B1099)</f>
        <v>2014</v>
      </c>
      <c r="J1099" s="0" t="str">
        <f aca="false">I1099&amp;"-Q"&amp;ROUNDUP(MONTH(B1099)/3,0)</f>
        <v>2014-Q2</v>
      </c>
    </row>
    <row r="1100" customFormat="false" ht="15" hidden="false" customHeight="false" outlineLevel="0" collapsed="false">
      <c r="A1100" s="0" t="s">
        <v>606</v>
      </c>
      <c r="B1100" s="6" t="n">
        <v>42535</v>
      </c>
      <c r="C1100" s="7" t="s">
        <v>33</v>
      </c>
      <c r="D1100" s="7" t="s">
        <v>34</v>
      </c>
      <c r="E1100" s="7" t="s">
        <v>35</v>
      </c>
      <c r="F1100" s="0" t="n">
        <v>7.04</v>
      </c>
      <c r="G1100" s="0" t="n">
        <v>2.0416</v>
      </c>
      <c r="H1100" s="0" t="n">
        <v>0</v>
      </c>
      <c r="I1100" s="7" t="n">
        <f aca="false">YEAR(B1100)</f>
        <v>2016</v>
      </c>
      <c r="J1100" s="0" t="str">
        <f aca="false">I1100&amp;"-Q"&amp;ROUNDUP(MONTH(B1100)/3,0)</f>
        <v>2016-Q2</v>
      </c>
    </row>
    <row r="1101" customFormat="false" ht="15" hidden="false" customHeight="false" outlineLevel="0" collapsed="false">
      <c r="A1101" s="0" t="s">
        <v>606</v>
      </c>
      <c r="B1101" s="6" t="n">
        <v>42535</v>
      </c>
      <c r="C1101" s="7" t="s">
        <v>33</v>
      </c>
      <c r="D1101" s="7" t="s">
        <v>34</v>
      </c>
      <c r="E1101" s="7" t="s">
        <v>31</v>
      </c>
      <c r="F1101" s="0" t="n">
        <v>8.73</v>
      </c>
      <c r="G1101" s="0" t="n">
        <v>4.1031</v>
      </c>
      <c r="H1101" s="0" t="n">
        <v>0</v>
      </c>
      <c r="I1101" s="7" t="n">
        <f aca="false">YEAR(B1101)</f>
        <v>2016</v>
      </c>
      <c r="J1101" s="0" t="str">
        <f aca="false">I1101&amp;"-Q"&amp;ROUNDUP(MONTH(B1101)/3,0)</f>
        <v>2016-Q2</v>
      </c>
    </row>
    <row r="1102" customFormat="false" ht="15" hidden="false" customHeight="false" outlineLevel="0" collapsed="false">
      <c r="A1102" s="0" t="s">
        <v>606</v>
      </c>
      <c r="B1102" s="6" t="n">
        <v>42535</v>
      </c>
      <c r="C1102" s="7" t="s">
        <v>33</v>
      </c>
      <c r="D1102" s="7" t="s">
        <v>34</v>
      </c>
      <c r="E1102" s="7" t="s">
        <v>39</v>
      </c>
      <c r="F1102" s="0" t="n">
        <v>29.29</v>
      </c>
      <c r="G1102" s="0" t="n">
        <v>9.6657</v>
      </c>
      <c r="H1102" s="0" t="n">
        <v>0</v>
      </c>
      <c r="I1102" s="7" t="n">
        <f aca="false">YEAR(B1102)</f>
        <v>2016</v>
      </c>
      <c r="J1102" s="0" t="str">
        <f aca="false">I1102&amp;"-Q"&amp;ROUNDUP(MONTH(B1102)/3,0)</f>
        <v>2016-Q2</v>
      </c>
    </row>
    <row r="1103" customFormat="false" ht="15" hidden="false" customHeight="false" outlineLevel="0" collapsed="false">
      <c r="A1103" s="0" t="s">
        <v>606</v>
      </c>
      <c r="B1103" s="6" t="n">
        <v>42535</v>
      </c>
      <c r="C1103" s="7" t="s">
        <v>33</v>
      </c>
      <c r="D1103" s="7" t="s">
        <v>34</v>
      </c>
      <c r="E1103" s="7" t="s">
        <v>35</v>
      </c>
      <c r="F1103" s="0" t="n">
        <v>8.64</v>
      </c>
      <c r="G1103" s="0" t="n">
        <v>2.5056</v>
      </c>
      <c r="H1103" s="0" t="n">
        <v>0</v>
      </c>
      <c r="I1103" s="7" t="n">
        <f aca="false">YEAR(B1103)</f>
        <v>2016</v>
      </c>
      <c r="J1103" s="0" t="str">
        <f aca="false">I1103&amp;"-Q"&amp;ROUNDUP(MONTH(B1103)/3,0)</f>
        <v>2016-Q2</v>
      </c>
    </row>
    <row r="1104" customFormat="false" ht="15" hidden="false" customHeight="false" outlineLevel="0" collapsed="false">
      <c r="A1104" s="0" t="s">
        <v>607</v>
      </c>
      <c r="B1104" s="6" t="n">
        <v>42846</v>
      </c>
      <c r="C1104" s="7" t="s">
        <v>45</v>
      </c>
      <c r="D1104" s="7" t="s">
        <v>46</v>
      </c>
      <c r="E1104" s="7" t="s">
        <v>35</v>
      </c>
      <c r="F1104" s="0" t="n">
        <v>2.694</v>
      </c>
      <c r="G1104" s="0" t="n">
        <v>-4.7145</v>
      </c>
      <c r="H1104" s="0" t="n">
        <v>0.8</v>
      </c>
      <c r="I1104" s="7" t="n">
        <f aca="false">YEAR(B1104)</f>
        <v>2017</v>
      </c>
      <c r="J1104" s="0" t="str">
        <f aca="false">I1104&amp;"-Q"&amp;ROUNDUP(MONTH(B1104)/3,0)</f>
        <v>2017-Q2</v>
      </c>
    </row>
    <row r="1105" customFormat="false" ht="15" hidden="false" customHeight="false" outlineLevel="0" collapsed="false">
      <c r="A1105" s="0" t="s">
        <v>607</v>
      </c>
      <c r="B1105" s="6" t="n">
        <v>42846</v>
      </c>
      <c r="C1105" s="7" t="s">
        <v>45</v>
      </c>
      <c r="D1105" s="7" t="s">
        <v>46</v>
      </c>
      <c r="E1105" s="7" t="s">
        <v>35</v>
      </c>
      <c r="F1105" s="0" t="n">
        <v>2.934</v>
      </c>
      <c r="G1105" s="0" t="n">
        <v>-4.9878</v>
      </c>
      <c r="H1105" s="0" t="n">
        <v>0.8</v>
      </c>
      <c r="I1105" s="7" t="n">
        <f aca="false">YEAR(B1105)</f>
        <v>2017</v>
      </c>
      <c r="J1105" s="0" t="str">
        <f aca="false">I1105&amp;"-Q"&amp;ROUNDUP(MONTH(B1105)/3,0)</f>
        <v>2017-Q2</v>
      </c>
    </row>
    <row r="1106" customFormat="false" ht="15" hidden="false" customHeight="false" outlineLevel="0" collapsed="false">
      <c r="A1106" s="0" t="s">
        <v>608</v>
      </c>
      <c r="B1106" s="6" t="n">
        <v>42664</v>
      </c>
      <c r="C1106" s="7" t="s">
        <v>33</v>
      </c>
      <c r="D1106" s="7" t="s">
        <v>34</v>
      </c>
      <c r="E1106" s="7" t="s">
        <v>35</v>
      </c>
      <c r="F1106" s="0" t="n">
        <v>22.92</v>
      </c>
      <c r="G1106" s="0" t="n">
        <v>11.2308</v>
      </c>
      <c r="H1106" s="0" t="n">
        <v>0</v>
      </c>
      <c r="I1106" s="7" t="n">
        <f aca="false">YEAR(B1106)</f>
        <v>2016</v>
      </c>
      <c r="J1106" s="0" t="str">
        <f aca="false">I1106&amp;"-Q"&amp;ROUNDUP(MONTH(B1106)/3,0)</f>
        <v>2016-Q4</v>
      </c>
    </row>
    <row r="1107" customFormat="false" ht="15" hidden="false" customHeight="false" outlineLevel="0" collapsed="false">
      <c r="A1107" s="0" t="s">
        <v>609</v>
      </c>
      <c r="B1107" s="6" t="n">
        <v>42693</v>
      </c>
      <c r="C1107" s="7" t="s">
        <v>45</v>
      </c>
      <c r="D1107" s="7" t="s">
        <v>46</v>
      </c>
      <c r="E1107" s="7" t="s">
        <v>35</v>
      </c>
      <c r="F1107" s="0" t="n">
        <v>100.704</v>
      </c>
      <c r="G1107" s="0" t="n">
        <v>-16.3644</v>
      </c>
      <c r="H1107" s="0" t="n">
        <v>0.2</v>
      </c>
      <c r="I1107" s="7" t="n">
        <f aca="false">YEAR(B1107)</f>
        <v>2016</v>
      </c>
      <c r="J1107" s="0" t="str">
        <f aca="false">I1107&amp;"-Q"&amp;ROUNDUP(MONTH(B1107)/3,0)</f>
        <v>2016-Q4</v>
      </c>
    </row>
    <row r="1108" customFormat="false" ht="15" hidden="false" customHeight="false" outlineLevel="0" collapsed="false">
      <c r="A1108" s="0" t="s">
        <v>609</v>
      </c>
      <c r="B1108" s="6" t="n">
        <v>42693</v>
      </c>
      <c r="C1108" s="7" t="s">
        <v>45</v>
      </c>
      <c r="D1108" s="7" t="s">
        <v>46</v>
      </c>
      <c r="E1108" s="7" t="s">
        <v>31</v>
      </c>
      <c r="F1108" s="0" t="n">
        <v>2.328</v>
      </c>
      <c r="G1108" s="0" t="n">
        <v>-0.7566</v>
      </c>
      <c r="H1108" s="0" t="n">
        <v>0.6</v>
      </c>
      <c r="I1108" s="7" t="n">
        <f aca="false">YEAR(B1108)</f>
        <v>2016</v>
      </c>
      <c r="J1108" s="0" t="str">
        <f aca="false">I1108&amp;"-Q"&amp;ROUNDUP(MONTH(B1108)/3,0)</f>
        <v>2016-Q4</v>
      </c>
    </row>
    <row r="1109" customFormat="false" ht="15" hidden="false" customHeight="false" outlineLevel="0" collapsed="false">
      <c r="A1109" s="0" t="s">
        <v>609</v>
      </c>
      <c r="B1109" s="6" t="n">
        <v>42693</v>
      </c>
      <c r="C1109" s="7" t="s">
        <v>45</v>
      </c>
      <c r="D1109" s="7" t="s">
        <v>46</v>
      </c>
      <c r="E1109" s="7" t="s">
        <v>35</v>
      </c>
      <c r="F1109" s="0" t="n">
        <v>10.78</v>
      </c>
      <c r="G1109" s="0" t="n">
        <v>-17.248</v>
      </c>
      <c r="H1109" s="0" t="n">
        <v>0.8</v>
      </c>
      <c r="I1109" s="7" t="n">
        <f aca="false">YEAR(B1109)</f>
        <v>2016</v>
      </c>
      <c r="J1109" s="0" t="str">
        <f aca="false">I1109&amp;"-Q"&amp;ROUNDUP(MONTH(B1109)/3,0)</f>
        <v>2016-Q4</v>
      </c>
    </row>
    <row r="1110" customFormat="false" ht="15" hidden="false" customHeight="false" outlineLevel="0" collapsed="false">
      <c r="A1110" s="0" t="s">
        <v>609</v>
      </c>
      <c r="B1110" s="6" t="n">
        <v>42693</v>
      </c>
      <c r="C1110" s="7" t="s">
        <v>45</v>
      </c>
      <c r="D1110" s="7" t="s">
        <v>46</v>
      </c>
      <c r="E1110" s="7" t="s">
        <v>35</v>
      </c>
      <c r="F1110" s="0" t="n">
        <v>58.368</v>
      </c>
      <c r="G1110" s="0" t="n">
        <v>21.888</v>
      </c>
      <c r="H1110" s="0" t="n">
        <v>0.2</v>
      </c>
      <c r="I1110" s="7" t="n">
        <f aca="false">YEAR(B1110)</f>
        <v>2016</v>
      </c>
      <c r="J1110" s="0" t="str">
        <f aca="false">I1110&amp;"-Q"&amp;ROUNDUP(MONTH(B1110)/3,0)</f>
        <v>2016-Q4</v>
      </c>
    </row>
    <row r="1111" customFormat="false" ht="15" hidden="false" customHeight="false" outlineLevel="0" collapsed="false">
      <c r="A1111" s="0" t="s">
        <v>609</v>
      </c>
      <c r="B1111" s="6" t="n">
        <v>42693</v>
      </c>
      <c r="C1111" s="7" t="s">
        <v>45</v>
      </c>
      <c r="D1111" s="7" t="s">
        <v>46</v>
      </c>
      <c r="E1111" s="7" t="s">
        <v>35</v>
      </c>
      <c r="F1111" s="0" t="n">
        <v>40.968</v>
      </c>
      <c r="G1111" s="0" t="n">
        <v>13.8267</v>
      </c>
      <c r="H1111" s="0" t="n">
        <v>0.2</v>
      </c>
      <c r="I1111" s="7" t="n">
        <f aca="false">YEAR(B1111)</f>
        <v>2016</v>
      </c>
      <c r="J1111" s="0" t="str">
        <f aca="false">I1111&amp;"-Q"&amp;ROUNDUP(MONTH(B1111)/3,0)</f>
        <v>2016-Q4</v>
      </c>
    </row>
    <row r="1112" customFormat="false" ht="15" hidden="false" customHeight="false" outlineLevel="0" collapsed="false">
      <c r="A1112" s="0" t="s">
        <v>609</v>
      </c>
      <c r="B1112" s="6" t="n">
        <v>42693</v>
      </c>
      <c r="C1112" s="7" t="s">
        <v>45</v>
      </c>
      <c r="D1112" s="7" t="s">
        <v>46</v>
      </c>
      <c r="E1112" s="7" t="s">
        <v>39</v>
      </c>
      <c r="F1112" s="0" t="n">
        <v>71.96</v>
      </c>
      <c r="G1112" s="0" t="n">
        <v>25.186</v>
      </c>
      <c r="H1112" s="0" t="n">
        <v>0.2</v>
      </c>
      <c r="I1112" s="7" t="n">
        <f aca="false">YEAR(B1112)</f>
        <v>2016</v>
      </c>
      <c r="J1112" s="0" t="str">
        <f aca="false">I1112&amp;"-Q"&amp;ROUNDUP(MONTH(B1112)/3,0)</f>
        <v>2016-Q4</v>
      </c>
    </row>
    <row r="1113" customFormat="false" ht="15" hidden="false" customHeight="false" outlineLevel="0" collapsed="false">
      <c r="A1113" s="0" t="s">
        <v>609</v>
      </c>
      <c r="B1113" s="6" t="n">
        <v>42693</v>
      </c>
      <c r="C1113" s="7" t="s">
        <v>45</v>
      </c>
      <c r="D1113" s="7" t="s">
        <v>46</v>
      </c>
      <c r="E1113" s="7" t="s">
        <v>35</v>
      </c>
      <c r="F1113" s="0" t="n">
        <v>10.368</v>
      </c>
      <c r="G1113" s="0" t="n">
        <v>3.6288</v>
      </c>
      <c r="H1113" s="0" t="n">
        <v>0.2</v>
      </c>
      <c r="I1113" s="7" t="n">
        <f aca="false">YEAR(B1113)</f>
        <v>2016</v>
      </c>
      <c r="J1113" s="0" t="str">
        <f aca="false">I1113&amp;"-Q"&amp;ROUNDUP(MONTH(B1113)/3,0)</f>
        <v>2016-Q4</v>
      </c>
    </row>
    <row r="1114" customFormat="false" ht="15" hidden="false" customHeight="false" outlineLevel="0" collapsed="false">
      <c r="A1114" s="0" t="s">
        <v>609</v>
      </c>
      <c r="B1114" s="6" t="n">
        <v>42693</v>
      </c>
      <c r="C1114" s="7" t="s">
        <v>45</v>
      </c>
      <c r="D1114" s="7" t="s">
        <v>46</v>
      </c>
      <c r="E1114" s="7" t="s">
        <v>35</v>
      </c>
      <c r="F1114" s="0" t="n">
        <v>1.192</v>
      </c>
      <c r="G1114" s="0" t="n">
        <v>-2.0264</v>
      </c>
      <c r="H1114" s="0" t="n">
        <v>0.8</v>
      </c>
      <c r="I1114" s="7" t="n">
        <f aca="false">YEAR(B1114)</f>
        <v>2016</v>
      </c>
      <c r="J1114" s="0" t="str">
        <f aca="false">I1114&amp;"-Q"&amp;ROUNDUP(MONTH(B1114)/3,0)</f>
        <v>2016-Q4</v>
      </c>
    </row>
    <row r="1115" customFormat="false" ht="15" hidden="false" customHeight="false" outlineLevel="0" collapsed="false">
      <c r="A1115" s="0" t="s">
        <v>610</v>
      </c>
      <c r="B1115" s="6" t="n">
        <v>43087</v>
      </c>
      <c r="C1115" s="7" t="s">
        <v>33</v>
      </c>
      <c r="D1115" s="7" t="s">
        <v>34</v>
      </c>
      <c r="E1115" s="7" t="s">
        <v>35</v>
      </c>
      <c r="F1115" s="0" t="n">
        <v>46.672</v>
      </c>
      <c r="G1115" s="0" t="n">
        <v>16.3352</v>
      </c>
      <c r="H1115" s="0" t="n">
        <v>0.2</v>
      </c>
      <c r="I1115" s="7" t="n">
        <f aca="false">YEAR(B1115)</f>
        <v>2017</v>
      </c>
      <c r="J1115" s="0" t="str">
        <f aca="false">I1115&amp;"-Q"&amp;ROUNDUP(MONTH(B1115)/3,0)</f>
        <v>2017-Q4</v>
      </c>
    </row>
    <row r="1116" customFormat="false" ht="15" hidden="false" customHeight="false" outlineLevel="0" collapsed="false">
      <c r="A1116" s="0" t="s">
        <v>610</v>
      </c>
      <c r="B1116" s="6" t="n">
        <v>43087</v>
      </c>
      <c r="C1116" s="7" t="s">
        <v>33</v>
      </c>
      <c r="D1116" s="7" t="s">
        <v>34</v>
      </c>
      <c r="E1116" s="7" t="s">
        <v>31</v>
      </c>
      <c r="F1116" s="0" t="n">
        <v>119.833</v>
      </c>
      <c r="G1116" s="0" t="n">
        <v>-12.6882</v>
      </c>
      <c r="H1116" s="0" t="n">
        <v>0.15</v>
      </c>
      <c r="I1116" s="7" t="n">
        <f aca="false">YEAR(B1116)</f>
        <v>2017</v>
      </c>
      <c r="J1116" s="0" t="str">
        <f aca="false">I1116&amp;"-Q"&amp;ROUNDUP(MONTH(B1116)/3,0)</f>
        <v>2017-Q4</v>
      </c>
    </row>
    <row r="1117" customFormat="false" ht="15" hidden="false" customHeight="false" outlineLevel="0" collapsed="false">
      <c r="A1117" s="0" t="s">
        <v>610</v>
      </c>
      <c r="B1117" s="6" t="n">
        <v>43087</v>
      </c>
      <c r="C1117" s="7" t="s">
        <v>33</v>
      </c>
      <c r="D1117" s="7" t="s">
        <v>34</v>
      </c>
      <c r="E1117" s="7" t="s">
        <v>39</v>
      </c>
      <c r="F1117" s="0" t="n">
        <v>119.98</v>
      </c>
      <c r="G1117" s="0" t="n">
        <v>57.5904</v>
      </c>
      <c r="H1117" s="0" t="n">
        <v>0</v>
      </c>
      <c r="I1117" s="7" t="n">
        <f aca="false">YEAR(B1117)</f>
        <v>2017</v>
      </c>
      <c r="J1117" s="0" t="str">
        <f aca="false">I1117&amp;"-Q"&amp;ROUNDUP(MONTH(B1117)/3,0)</f>
        <v>2017-Q4</v>
      </c>
    </row>
    <row r="1118" customFormat="false" ht="15" hidden="false" customHeight="false" outlineLevel="0" collapsed="false">
      <c r="A1118" s="0" t="s">
        <v>611</v>
      </c>
      <c r="B1118" s="6" t="n">
        <v>42573</v>
      </c>
      <c r="C1118" s="7" t="s">
        <v>33</v>
      </c>
      <c r="D1118" s="7" t="s">
        <v>34</v>
      </c>
      <c r="E1118" s="7" t="s">
        <v>35</v>
      </c>
      <c r="F1118" s="0" t="n">
        <v>6.3</v>
      </c>
      <c r="G1118" s="0" t="n">
        <v>3.024</v>
      </c>
      <c r="H1118" s="0" t="n">
        <v>0</v>
      </c>
      <c r="I1118" s="7" t="n">
        <f aca="false">YEAR(B1118)</f>
        <v>2016</v>
      </c>
      <c r="J1118" s="0" t="str">
        <f aca="false">I1118&amp;"-Q"&amp;ROUNDUP(MONTH(B1118)/3,0)</f>
        <v>2016-Q3</v>
      </c>
    </row>
    <row r="1119" customFormat="false" ht="15" hidden="false" customHeight="false" outlineLevel="0" collapsed="false">
      <c r="A1119" s="0" t="s">
        <v>612</v>
      </c>
      <c r="B1119" s="6" t="n">
        <v>42251</v>
      </c>
      <c r="C1119" s="7" t="s">
        <v>29</v>
      </c>
      <c r="D1119" s="7" t="s">
        <v>230</v>
      </c>
      <c r="E1119" s="7" t="s">
        <v>35</v>
      </c>
      <c r="F1119" s="0" t="n">
        <v>279.9</v>
      </c>
      <c r="G1119" s="0" t="n">
        <v>137.151</v>
      </c>
      <c r="H1119" s="0" t="n">
        <v>0</v>
      </c>
      <c r="I1119" s="7" t="n">
        <f aca="false">YEAR(B1119)</f>
        <v>2015</v>
      </c>
      <c r="J1119" s="0" t="str">
        <f aca="false">I1119&amp;"-Q"&amp;ROUNDUP(MONTH(B1119)/3,0)</f>
        <v>2015-Q3</v>
      </c>
    </row>
    <row r="1120" customFormat="false" ht="15" hidden="false" customHeight="false" outlineLevel="0" collapsed="false">
      <c r="A1120" s="0" t="s">
        <v>612</v>
      </c>
      <c r="B1120" s="6" t="n">
        <v>42251</v>
      </c>
      <c r="C1120" s="7" t="s">
        <v>29</v>
      </c>
      <c r="D1120" s="7" t="s">
        <v>230</v>
      </c>
      <c r="E1120" s="7" t="s">
        <v>39</v>
      </c>
      <c r="F1120" s="0" t="n">
        <v>619.95</v>
      </c>
      <c r="G1120" s="0" t="n">
        <v>111.591</v>
      </c>
      <c r="H1120" s="0" t="n">
        <v>0</v>
      </c>
      <c r="I1120" s="7" t="n">
        <f aca="false">YEAR(B1120)</f>
        <v>2015</v>
      </c>
      <c r="J1120" s="0" t="str">
        <f aca="false">I1120&amp;"-Q"&amp;ROUNDUP(MONTH(B1120)/3,0)</f>
        <v>2015-Q3</v>
      </c>
    </row>
    <row r="1121" customFormat="false" ht="15" hidden="false" customHeight="false" outlineLevel="0" collapsed="false">
      <c r="A1121" s="0" t="s">
        <v>612</v>
      </c>
      <c r="B1121" s="6" t="n">
        <v>42251</v>
      </c>
      <c r="C1121" s="7" t="s">
        <v>29</v>
      </c>
      <c r="D1121" s="7" t="s">
        <v>230</v>
      </c>
      <c r="E1121" s="7" t="s">
        <v>35</v>
      </c>
      <c r="F1121" s="0" t="n">
        <v>4.36</v>
      </c>
      <c r="G1121" s="0" t="n">
        <v>2.0492</v>
      </c>
      <c r="H1121" s="0" t="n">
        <v>0</v>
      </c>
      <c r="I1121" s="7" t="n">
        <f aca="false">YEAR(B1121)</f>
        <v>2015</v>
      </c>
      <c r="J1121" s="0" t="str">
        <f aca="false">I1121&amp;"-Q"&amp;ROUNDUP(MONTH(B1121)/3,0)</f>
        <v>2015-Q3</v>
      </c>
    </row>
    <row r="1122" customFormat="false" ht="15" hidden="false" customHeight="false" outlineLevel="0" collapsed="false">
      <c r="A1122" s="0" t="s">
        <v>612</v>
      </c>
      <c r="B1122" s="6" t="n">
        <v>42251</v>
      </c>
      <c r="C1122" s="7" t="s">
        <v>29</v>
      </c>
      <c r="D1122" s="7" t="s">
        <v>230</v>
      </c>
      <c r="E1122" s="7" t="s">
        <v>35</v>
      </c>
      <c r="F1122" s="0" t="n">
        <v>15.28</v>
      </c>
      <c r="G1122" s="0" t="n">
        <v>7.4872</v>
      </c>
      <c r="H1122" s="0" t="n">
        <v>0</v>
      </c>
      <c r="I1122" s="7" t="n">
        <f aca="false">YEAR(B1122)</f>
        <v>2015</v>
      </c>
      <c r="J1122" s="0" t="str">
        <f aca="false">I1122&amp;"-Q"&amp;ROUNDUP(MONTH(B1122)/3,0)</f>
        <v>2015-Q3</v>
      </c>
    </row>
    <row r="1123" customFormat="false" ht="15" hidden="false" customHeight="false" outlineLevel="0" collapsed="false">
      <c r="A1123" s="0" t="s">
        <v>613</v>
      </c>
      <c r="B1123" s="6" t="n">
        <v>41659</v>
      </c>
      <c r="C1123" s="7" t="s">
        <v>29</v>
      </c>
      <c r="D1123" s="7" t="s">
        <v>301</v>
      </c>
      <c r="E1123" s="7" t="s">
        <v>39</v>
      </c>
      <c r="F1123" s="0" t="n">
        <v>699.93</v>
      </c>
      <c r="G1123" s="0" t="n">
        <v>181.9818</v>
      </c>
      <c r="H1123" s="0" t="n">
        <v>0</v>
      </c>
      <c r="I1123" s="7" t="n">
        <f aca="false">YEAR(B1123)</f>
        <v>2014</v>
      </c>
      <c r="J1123" s="0" t="str">
        <f aca="false">I1123&amp;"-Q"&amp;ROUNDUP(MONTH(B1123)/3,0)</f>
        <v>2014-Q1</v>
      </c>
    </row>
    <row r="1124" customFormat="false" ht="15" hidden="false" customHeight="false" outlineLevel="0" collapsed="false">
      <c r="A1124" s="0" t="s">
        <v>613</v>
      </c>
      <c r="B1124" s="6" t="n">
        <v>41659</v>
      </c>
      <c r="C1124" s="7" t="s">
        <v>29</v>
      </c>
      <c r="D1124" s="7" t="s">
        <v>301</v>
      </c>
      <c r="E1124" s="7" t="s">
        <v>35</v>
      </c>
      <c r="F1124" s="0" t="n">
        <v>22.96</v>
      </c>
      <c r="G1124" s="0" t="n">
        <v>6.6584</v>
      </c>
      <c r="H1124" s="0" t="n">
        <v>0</v>
      </c>
      <c r="I1124" s="7" t="n">
        <f aca="false">YEAR(B1124)</f>
        <v>2014</v>
      </c>
      <c r="J1124" s="0" t="str">
        <f aca="false">I1124&amp;"-Q"&amp;ROUNDUP(MONTH(B1124)/3,0)</f>
        <v>2014-Q1</v>
      </c>
    </row>
    <row r="1125" customFormat="false" ht="15" hidden="false" customHeight="false" outlineLevel="0" collapsed="false">
      <c r="A1125" s="0" t="s">
        <v>613</v>
      </c>
      <c r="B1125" s="6" t="n">
        <v>41659</v>
      </c>
      <c r="C1125" s="7" t="s">
        <v>29</v>
      </c>
      <c r="D1125" s="7" t="s">
        <v>301</v>
      </c>
      <c r="E1125" s="7" t="s">
        <v>31</v>
      </c>
      <c r="F1125" s="0" t="n">
        <v>38.6</v>
      </c>
      <c r="G1125" s="0" t="n">
        <v>11.58</v>
      </c>
      <c r="H1125" s="0" t="n">
        <v>0</v>
      </c>
      <c r="I1125" s="7" t="n">
        <f aca="false">YEAR(B1125)</f>
        <v>2014</v>
      </c>
      <c r="J1125" s="0" t="str">
        <f aca="false">I1125&amp;"-Q"&amp;ROUNDUP(MONTH(B1125)/3,0)</f>
        <v>2014-Q1</v>
      </c>
    </row>
    <row r="1126" customFormat="false" ht="15" hidden="false" customHeight="false" outlineLevel="0" collapsed="false">
      <c r="A1126" s="0" t="s">
        <v>613</v>
      </c>
      <c r="B1126" s="6" t="n">
        <v>41659</v>
      </c>
      <c r="C1126" s="7" t="s">
        <v>29</v>
      </c>
      <c r="D1126" s="7" t="s">
        <v>301</v>
      </c>
      <c r="E1126" s="7" t="s">
        <v>35</v>
      </c>
      <c r="F1126" s="0" t="n">
        <v>6.63</v>
      </c>
      <c r="G1126" s="0" t="n">
        <v>1.7901</v>
      </c>
      <c r="H1126" s="0" t="n">
        <v>0</v>
      </c>
      <c r="I1126" s="7" t="n">
        <f aca="false">YEAR(B1126)</f>
        <v>2014</v>
      </c>
      <c r="J1126" s="0" t="str">
        <f aca="false">I1126&amp;"-Q"&amp;ROUNDUP(MONTH(B1126)/3,0)</f>
        <v>2014-Q1</v>
      </c>
    </row>
    <row r="1127" customFormat="false" ht="15" hidden="false" customHeight="false" outlineLevel="0" collapsed="false">
      <c r="A1127" s="0" t="s">
        <v>613</v>
      </c>
      <c r="B1127" s="6" t="n">
        <v>41659</v>
      </c>
      <c r="C1127" s="7" t="s">
        <v>29</v>
      </c>
      <c r="D1127" s="7" t="s">
        <v>301</v>
      </c>
      <c r="E1127" s="7" t="s">
        <v>35</v>
      </c>
      <c r="F1127" s="0" t="n">
        <v>23.34</v>
      </c>
      <c r="G1127" s="0" t="n">
        <v>10.9698</v>
      </c>
      <c r="H1127" s="0" t="n">
        <v>0</v>
      </c>
      <c r="I1127" s="7" t="n">
        <f aca="false">YEAR(B1127)</f>
        <v>2014</v>
      </c>
      <c r="J1127" s="0" t="str">
        <f aca="false">I1127&amp;"-Q"&amp;ROUNDUP(MONTH(B1127)/3,0)</f>
        <v>2014-Q1</v>
      </c>
    </row>
    <row r="1128" customFormat="false" ht="15" hidden="false" customHeight="false" outlineLevel="0" collapsed="false">
      <c r="A1128" s="0" t="s">
        <v>613</v>
      </c>
      <c r="B1128" s="6" t="n">
        <v>41659</v>
      </c>
      <c r="C1128" s="7" t="s">
        <v>29</v>
      </c>
      <c r="D1128" s="7" t="s">
        <v>301</v>
      </c>
      <c r="E1128" s="7" t="s">
        <v>31</v>
      </c>
      <c r="F1128" s="0" t="n">
        <v>1067.94</v>
      </c>
      <c r="G1128" s="0" t="n">
        <v>224.2674</v>
      </c>
      <c r="H1128" s="0" t="n">
        <v>0</v>
      </c>
      <c r="I1128" s="7" t="n">
        <f aca="false">YEAR(B1128)</f>
        <v>2014</v>
      </c>
      <c r="J1128" s="0" t="str">
        <f aca="false">I1128&amp;"-Q"&amp;ROUNDUP(MONTH(B1128)/3,0)</f>
        <v>2014-Q1</v>
      </c>
    </row>
    <row r="1129" customFormat="false" ht="15" hidden="false" customHeight="false" outlineLevel="0" collapsed="false">
      <c r="A1129" s="0" t="s">
        <v>614</v>
      </c>
      <c r="B1129" s="6" t="n">
        <v>42065</v>
      </c>
      <c r="C1129" s="7" t="s">
        <v>45</v>
      </c>
      <c r="D1129" s="7" t="s">
        <v>74</v>
      </c>
      <c r="E1129" s="7" t="s">
        <v>35</v>
      </c>
      <c r="F1129" s="0" t="n">
        <v>10.16</v>
      </c>
      <c r="G1129" s="0" t="n">
        <v>2.6416</v>
      </c>
      <c r="H1129" s="0" t="n">
        <v>0</v>
      </c>
      <c r="I1129" s="7" t="n">
        <f aca="false">YEAR(B1129)</f>
        <v>2015</v>
      </c>
      <c r="J1129" s="0" t="str">
        <f aca="false">I1129&amp;"-Q"&amp;ROUNDUP(MONTH(B1129)/3,0)</f>
        <v>2015-Q1</v>
      </c>
    </row>
    <row r="1130" customFormat="false" ht="15" hidden="false" customHeight="false" outlineLevel="0" collapsed="false">
      <c r="A1130" s="0" t="s">
        <v>614</v>
      </c>
      <c r="B1130" s="6" t="n">
        <v>42065</v>
      </c>
      <c r="C1130" s="7" t="s">
        <v>45</v>
      </c>
      <c r="D1130" s="7" t="s">
        <v>74</v>
      </c>
      <c r="E1130" s="7" t="s">
        <v>35</v>
      </c>
      <c r="F1130" s="0" t="n">
        <v>101.88</v>
      </c>
      <c r="G1130" s="0" t="n">
        <v>50.94</v>
      </c>
      <c r="H1130" s="0" t="n">
        <v>0</v>
      </c>
      <c r="I1130" s="7" t="n">
        <f aca="false">YEAR(B1130)</f>
        <v>2015</v>
      </c>
      <c r="J1130" s="0" t="str">
        <f aca="false">I1130&amp;"-Q"&amp;ROUNDUP(MONTH(B1130)/3,0)</f>
        <v>2015-Q1</v>
      </c>
    </row>
    <row r="1131" customFormat="false" ht="15" hidden="false" customHeight="false" outlineLevel="0" collapsed="false">
      <c r="A1131" s="0" t="s">
        <v>615</v>
      </c>
      <c r="B1131" s="6" t="n">
        <v>42472</v>
      </c>
      <c r="C1131" s="7" t="s">
        <v>29</v>
      </c>
      <c r="D1131" s="7" t="s">
        <v>83</v>
      </c>
      <c r="E1131" s="7" t="s">
        <v>31</v>
      </c>
      <c r="F1131" s="0" t="n">
        <v>343.92</v>
      </c>
      <c r="G1131" s="0" t="n">
        <v>75.6624</v>
      </c>
      <c r="H1131" s="0" t="n">
        <v>0</v>
      </c>
      <c r="I1131" s="7" t="n">
        <f aca="false">YEAR(B1131)</f>
        <v>2016</v>
      </c>
      <c r="J1131" s="0" t="str">
        <f aca="false">I1131&amp;"-Q"&amp;ROUNDUP(MONTH(B1131)/3,0)</f>
        <v>2016-Q2</v>
      </c>
    </row>
    <row r="1132" customFormat="false" ht="15" hidden="false" customHeight="false" outlineLevel="0" collapsed="false">
      <c r="A1132" s="0" t="s">
        <v>615</v>
      </c>
      <c r="B1132" s="6" t="n">
        <v>42472</v>
      </c>
      <c r="C1132" s="7" t="s">
        <v>29</v>
      </c>
      <c r="D1132" s="7" t="s">
        <v>83</v>
      </c>
      <c r="E1132" s="7" t="s">
        <v>35</v>
      </c>
      <c r="F1132" s="0" t="n">
        <v>40.99</v>
      </c>
      <c r="G1132" s="0" t="n">
        <v>20.0851</v>
      </c>
      <c r="H1132" s="0" t="n">
        <v>0</v>
      </c>
      <c r="I1132" s="7" t="n">
        <f aca="false">YEAR(B1132)</f>
        <v>2016</v>
      </c>
      <c r="J1132" s="0" t="str">
        <f aca="false">I1132&amp;"-Q"&amp;ROUNDUP(MONTH(B1132)/3,0)</f>
        <v>2016-Q2</v>
      </c>
    </row>
    <row r="1133" customFormat="false" ht="15" hidden="false" customHeight="false" outlineLevel="0" collapsed="false">
      <c r="A1133" s="0" t="s">
        <v>615</v>
      </c>
      <c r="B1133" s="6" t="n">
        <v>42472</v>
      </c>
      <c r="C1133" s="7" t="s">
        <v>29</v>
      </c>
      <c r="D1133" s="7" t="s">
        <v>83</v>
      </c>
      <c r="E1133" s="7" t="s">
        <v>35</v>
      </c>
      <c r="F1133" s="0" t="n">
        <v>63.9</v>
      </c>
      <c r="G1133" s="0" t="n">
        <v>28.755</v>
      </c>
      <c r="H1133" s="0" t="n">
        <v>0</v>
      </c>
      <c r="I1133" s="7" t="n">
        <f aca="false">YEAR(B1133)</f>
        <v>2016</v>
      </c>
      <c r="J1133" s="0" t="str">
        <f aca="false">I1133&amp;"-Q"&amp;ROUNDUP(MONTH(B1133)/3,0)</f>
        <v>2016-Q2</v>
      </c>
    </row>
    <row r="1134" customFormat="false" ht="15" hidden="false" customHeight="false" outlineLevel="0" collapsed="false">
      <c r="A1134" s="0" t="s">
        <v>616</v>
      </c>
      <c r="B1134" s="6" t="n">
        <v>42710</v>
      </c>
      <c r="C1134" s="7" t="s">
        <v>33</v>
      </c>
      <c r="D1134" s="7" t="s">
        <v>34</v>
      </c>
      <c r="E1134" s="7" t="s">
        <v>35</v>
      </c>
      <c r="F1134" s="0" t="n">
        <v>19.44</v>
      </c>
      <c r="G1134" s="0" t="n">
        <v>9.3312</v>
      </c>
      <c r="H1134" s="0" t="n">
        <v>0</v>
      </c>
      <c r="I1134" s="7" t="n">
        <f aca="false">YEAR(B1134)</f>
        <v>2016</v>
      </c>
      <c r="J1134" s="0" t="str">
        <f aca="false">I1134&amp;"-Q"&amp;ROUNDUP(MONTH(B1134)/3,0)</f>
        <v>2016-Q4</v>
      </c>
    </row>
    <row r="1135" customFormat="false" ht="15" hidden="false" customHeight="false" outlineLevel="0" collapsed="false">
      <c r="A1135" s="0" t="s">
        <v>617</v>
      </c>
      <c r="B1135" s="6" t="n">
        <v>42526</v>
      </c>
      <c r="C1135" s="7" t="s">
        <v>55</v>
      </c>
      <c r="D1135" s="7" t="s">
        <v>56</v>
      </c>
      <c r="E1135" s="7" t="s">
        <v>35</v>
      </c>
      <c r="F1135" s="0" t="n">
        <v>124.608</v>
      </c>
      <c r="G1135" s="0" t="n">
        <v>-23.364</v>
      </c>
      <c r="H1135" s="0" t="n">
        <v>0.2</v>
      </c>
      <c r="I1135" s="7" t="n">
        <f aca="false">YEAR(B1135)</f>
        <v>2016</v>
      </c>
      <c r="J1135" s="0" t="str">
        <f aca="false">I1135&amp;"-Q"&amp;ROUNDUP(MONTH(B1135)/3,0)</f>
        <v>2016-Q2</v>
      </c>
    </row>
    <row r="1136" customFormat="false" ht="15" hidden="false" customHeight="false" outlineLevel="0" collapsed="false">
      <c r="A1136" s="0" t="s">
        <v>617</v>
      </c>
      <c r="B1136" s="6" t="n">
        <v>42526</v>
      </c>
      <c r="C1136" s="7" t="s">
        <v>55</v>
      </c>
      <c r="D1136" s="7" t="s">
        <v>56</v>
      </c>
      <c r="E1136" s="7" t="s">
        <v>35</v>
      </c>
      <c r="F1136" s="0" t="n">
        <v>7.56</v>
      </c>
      <c r="G1136" s="0" t="n">
        <v>2.646</v>
      </c>
      <c r="H1136" s="0" t="n">
        <v>0.2</v>
      </c>
      <c r="I1136" s="7" t="n">
        <f aca="false">YEAR(B1136)</f>
        <v>2016</v>
      </c>
      <c r="J1136" s="0" t="str">
        <f aca="false">I1136&amp;"-Q"&amp;ROUNDUP(MONTH(B1136)/3,0)</f>
        <v>2016-Q2</v>
      </c>
    </row>
    <row r="1137" customFormat="false" ht="15" hidden="false" customHeight="false" outlineLevel="0" collapsed="false">
      <c r="A1137" s="0" t="s">
        <v>618</v>
      </c>
      <c r="B1137" s="6" t="n">
        <v>42715</v>
      </c>
      <c r="C1137" s="7" t="s">
        <v>29</v>
      </c>
      <c r="D1137" s="7" t="s">
        <v>37</v>
      </c>
      <c r="E1137" s="7" t="s">
        <v>35</v>
      </c>
      <c r="F1137" s="0" t="n">
        <v>85.224</v>
      </c>
      <c r="G1137" s="0" t="n">
        <v>7.4571</v>
      </c>
      <c r="H1137" s="0" t="n">
        <v>0.2</v>
      </c>
      <c r="I1137" s="7" t="n">
        <f aca="false">YEAR(B1137)</f>
        <v>2016</v>
      </c>
      <c r="J1137" s="0" t="str">
        <f aca="false">I1137&amp;"-Q"&amp;ROUNDUP(MONTH(B1137)/3,0)</f>
        <v>2016-Q4</v>
      </c>
    </row>
    <row r="1138" customFormat="false" ht="15" hidden="false" customHeight="false" outlineLevel="0" collapsed="false">
      <c r="A1138" s="0" t="s">
        <v>619</v>
      </c>
      <c r="B1138" s="6" t="n">
        <v>42686</v>
      </c>
      <c r="C1138" s="7" t="s">
        <v>45</v>
      </c>
      <c r="D1138" s="7" t="s">
        <v>74</v>
      </c>
      <c r="E1138" s="7" t="s">
        <v>35</v>
      </c>
      <c r="F1138" s="0" t="n">
        <v>287.52</v>
      </c>
      <c r="G1138" s="0" t="n">
        <v>129.384</v>
      </c>
      <c r="H1138" s="0" t="n">
        <v>0</v>
      </c>
      <c r="I1138" s="7" t="n">
        <f aca="false">YEAR(B1138)</f>
        <v>2016</v>
      </c>
      <c r="J1138" s="0" t="str">
        <f aca="false">I1138&amp;"-Q"&amp;ROUNDUP(MONTH(B1138)/3,0)</f>
        <v>2016-Q4</v>
      </c>
    </row>
    <row r="1139" customFormat="false" ht="15" hidden="false" customHeight="false" outlineLevel="0" collapsed="false">
      <c r="A1139" s="0" t="s">
        <v>619</v>
      </c>
      <c r="B1139" s="6" t="n">
        <v>42686</v>
      </c>
      <c r="C1139" s="7" t="s">
        <v>45</v>
      </c>
      <c r="D1139" s="7" t="s">
        <v>74</v>
      </c>
      <c r="E1139" s="7" t="s">
        <v>35</v>
      </c>
      <c r="F1139" s="0" t="n">
        <v>37.68</v>
      </c>
      <c r="G1139" s="0" t="n">
        <v>10.5504</v>
      </c>
      <c r="H1139" s="0" t="n">
        <v>0</v>
      </c>
      <c r="I1139" s="7" t="n">
        <f aca="false">YEAR(B1139)</f>
        <v>2016</v>
      </c>
      <c r="J1139" s="0" t="str">
        <f aca="false">I1139&amp;"-Q"&amp;ROUNDUP(MONTH(B1139)/3,0)</f>
        <v>2016-Q4</v>
      </c>
    </row>
    <row r="1140" customFormat="false" ht="15" hidden="false" customHeight="false" outlineLevel="0" collapsed="false">
      <c r="A1140" s="0" t="s">
        <v>619</v>
      </c>
      <c r="B1140" s="6" t="n">
        <v>42686</v>
      </c>
      <c r="C1140" s="7" t="s">
        <v>45</v>
      </c>
      <c r="D1140" s="7" t="s">
        <v>74</v>
      </c>
      <c r="E1140" s="7" t="s">
        <v>35</v>
      </c>
      <c r="F1140" s="0" t="n">
        <v>19.98</v>
      </c>
      <c r="G1140" s="0" t="n">
        <v>8.991</v>
      </c>
      <c r="H1140" s="0" t="n">
        <v>0</v>
      </c>
      <c r="I1140" s="7" t="n">
        <f aca="false">YEAR(B1140)</f>
        <v>2016</v>
      </c>
      <c r="J1140" s="0" t="str">
        <f aca="false">I1140&amp;"-Q"&amp;ROUNDUP(MONTH(B1140)/3,0)</f>
        <v>2016-Q4</v>
      </c>
    </row>
    <row r="1141" customFormat="false" ht="15" hidden="false" customHeight="false" outlineLevel="0" collapsed="false">
      <c r="A1141" s="0" t="s">
        <v>619</v>
      </c>
      <c r="B1141" s="6" t="n">
        <v>42686</v>
      </c>
      <c r="C1141" s="7" t="s">
        <v>45</v>
      </c>
      <c r="D1141" s="7" t="s">
        <v>74</v>
      </c>
      <c r="E1141" s="7" t="s">
        <v>35</v>
      </c>
      <c r="F1141" s="0" t="n">
        <v>20.58</v>
      </c>
      <c r="G1141" s="0" t="n">
        <v>5.5566</v>
      </c>
      <c r="H1141" s="0" t="n">
        <v>0</v>
      </c>
      <c r="I1141" s="7" t="n">
        <f aca="false">YEAR(B1141)</f>
        <v>2016</v>
      </c>
      <c r="J1141" s="0" t="str">
        <f aca="false">I1141&amp;"-Q"&amp;ROUNDUP(MONTH(B1141)/3,0)</f>
        <v>2016-Q4</v>
      </c>
    </row>
    <row r="1142" customFormat="false" ht="15" hidden="false" customHeight="false" outlineLevel="0" collapsed="false">
      <c r="A1142" s="0" t="s">
        <v>619</v>
      </c>
      <c r="B1142" s="6" t="n">
        <v>42686</v>
      </c>
      <c r="C1142" s="7" t="s">
        <v>45</v>
      </c>
      <c r="D1142" s="7" t="s">
        <v>74</v>
      </c>
      <c r="E1142" s="7" t="s">
        <v>35</v>
      </c>
      <c r="F1142" s="0" t="n">
        <v>17.38</v>
      </c>
      <c r="G1142" s="0" t="n">
        <v>8.69</v>
      </c>
      <c r="H1142" s="0" t="n">
        <v>0</v>
      </c>
      <c r="I1142" s="7" t="n">
        <f aca="false">YEAR(B1142)</f>
        <v>2016</v>
      </c>
      <c r="J1142" s="0" t="str">
        <f aca="false">I1142&amp;"-Q"&amp;ROUNDUP(MONTH(B1142)/3,0)</f>
        <v>2016-Q4</v>
      </c>
    </row>
    <row r="1143" customFormat="false" ht="15" hidden="false" customHeight="false" outlineLevel="0" collapsed="false">
      <c r="A1143" s="0" t="s">
        <v>620</v>
      </c>
      <c r="B1143" s="6" t="n">
        <v>41911</v>
      </c>
      <c r="C1143" s="7" t="s">
        <v>33</v>
      </c>
      <c r="D1143" s="7" t="s">
        <v>34</v>
      </c>
      <c r="E1143" s="7" t="s">
        <v>31</v>
      </c>
      <c r="F1143" s="0" t="n">
        <v>204.6</v>
      </c>
      <c r="G1143" s="0" t="n">
        <v>53.196</v>
      </c>
      <c r="H1143" s="0" t="n">
        <v>0</v>
      </c>
      <c r="I1143" s="7" t="n">
        <f aca="false">YEAR(B1143)</f>
        <v>2014</v>
      </c>
      <c r="J1143" s="0" t="str">
        <f aca="false">I1143&amp;"-Q"&amp;ROUNDUP(MONTH(B1143)/3,0)</f>
        <v>2014-Q3</v>
      </c>
    </row>
    <row r="1144" customFormat="false" ht="15" hidden="false" customHeight="false" outlineLevel="0" collapsed="false">
      <c r="A1144" s="0" t="s">
        <v>620</v>
      </c>
      <c r="B1144" s="6" t="n">
        <v>41911</v>
      </c>
      <c r="C1144" s="7" t="s">
        <v>33</v>
      </c>
      <c r="D1144" s="7" t="s">
        <v>34</v>
      </c>
      <c r="E1144" s="7" t="s">
        <v>35</v>
      </c>
      <c r="F1144" s="0" t="n">
        <v>8.72</v>
      </c>
      <c r="G1144" s="0" t="n">
        <v>2.8776</v>
      </c>
      <c r="H1144" s="0" t="n">
        <v>0</v>
      </c>
      <c r="I1144" s="7" t="n">
        <f aca="false">YEAR(B1144)</f>
        <v>2014</v>
      </c>
      <c r="J1144" s="0" t="str">
        <f aca="false">I1144&amp;"-Q"&amp;ROUNDUP(MONTH(B1144)/3,0)</f>
        <v>2014-Q3</v>
      </c>
    </row>
    <row r="1145" customFormat="false" ht="15" hidden="false" customHeight="false" outlineLevel="0" collapsed="false">
      <c r="A1145" s="0" t="s">
        <v>620</v>
      </c>
      <c r="B1145" s="6" t="n">
        <v>41911</v>
      </c>
      <c r="C1145" s="7" t="s">
        <v>33</v>
      </c>
      <c r="D1145" s="7" t="s">
        <v>34</v>
      </c>
      <c r="E1145" s="7" t="s">
        <v>35</v>
      </c>
      <c r="F1145" s="0" t="n">
        <v>6.48</v>
      </c>
      <c r="G1145" s="0" t="n">
        <v>3.1104</v>
      </c>
      <c r="H1145" s="0" t="n">
        <v>0</v>
      </c>
      <c r="I1145" s="7" t="n">
        <f aca="false">YEAR(B1145)</f>
        <v>2014</v>
      </c>
      <c r="J1145" s="0" t="str">
        <f aca="false">I1145&amp;"-Q"&amp;ROUNDUP(MONTH(B1145)/3,0)</f>
        <v>2014-Q3</v>
      </c>
    </row>
    <row r="1146" customFormat="false" ht="15" hidden="false" customHeight="false" outlineLevel="0" collapsed="false">
      <c r="A1146" s="0" t="s">
        <v>620</v>
      </c>
      <c r="B1146" s="6" t="n">
        <v>41911</v>
      </c>
      <c r="C1146" s="7" t="s">
        <v>33</v>
      </c>
      <c r="D1146" s="7" t="s">
        <v>34</v>
      </c>
      <c r="E1146" s="7" t="s">
        <v>39</v>
      </c>
      <c r="F1146" s="0" t="n">
        <v>686.32</v>
      </c>
      <c r="G1146" s="0" t="n">
        <v>223.054</v>
      </c>
      <c r="H1146" s="0" t="n">
        <v>0.2</v>
      </c>
      <c r="I1146" s="7" t="n">
        <f aca="false">YEAR(B1146)</f>
        <v>2014</v>
      </c>
      <c r="J1146" s="0" t="str">
        <f aca="false">I1146&amp;"-Q"&amp;ROUNDUP(MONTH(B1146)/3,0)</f>
        <v>2014-Q3</v>
      </c>
    </row>
    <row r="1147" customFormat="false" ht="15" hidden="false" customHeight="false" outlineLevel="0" collapsed="false">
      <c r="A1147" s="0" t="s">
        <v>620</v>
      </c>
      <c r="B1147" s="6" t="n">
        <v>41911</v>
      </c>
      <c r="C1147" s="7" t="s">
        <v>33</v>
      </c>
      <c r="D1147" s="7" t="s">
        <v>34</v>
      </c>
      <c r="E1147" s="7" t="s">
        <v>35</v>
      </c>
      <c r="F1147" s="0" t="n">
        <v>62.18</v>
      </c>
      <c r="G1147" s="0" t="n">
        <v>16.7886</v>
      </c>
      <c r="H1147" s="0" t="n">
        <v>0</v>
      </c>
      <c r="I1147" s="7" t="n">
        <f aca="false">YEAR(B1147)</f>
        <v>2014</v>
      </c>
      <c r="J1147" s="0" t="str">
        <f aca="false">I1147&amp;"-Q"&amp;ROUNDUP(MONTH(B1147)/3,0)</f>
        <v>2014-Q3</v>
      </c>
    </row>
    <row r="1148" customFormat="false" ht="15" hidden="false" customHeight="false" outlineLevel="0" collapsed="false">
      <c r="A1148" s="0" t="s">
        <v>621</v>
      </c>
      <c r="B1148" s="6" t="n">
        <v>42098</v>
      </c>
      <c r="C1148" s="7" t="s">
        <v>45</v>
      </c>
      <c r="D1148" s="7" t="s">
        <v>70</v>
      </c>
      <c r="E1148" s="7" t="s">
        <v>35</v>
      </c>
      <c r="F1148" s="0" t="n">
        <v>644.076</v>
      </c>
      <c r="G1148" s="0" t="n">
        <v>107.346</v>
      </c>
      <c r="H1148" s="0" t="n">
        <v>0.1</v>
      </c>
      <c r="I1148" s="7" t="n">
        <f aca="false">YEAR(B1148)</f>
        <v>2015</v>
      </c>
      <c r="J1148" s="0" t="str">
        <f aca="false">I1148&amp;"-Q"&amp;ROUNDUP(MONTH(B1148)/3,0)</f>
        <v>2015-Q2</v>
      </c>
    </row>
    <row r="1149" customFormat="false" ht="15" hidden="false" customHeight="false" outlineLevel="0" collapsed="false">
      <c r="A1149" s="0" t="s">
        <v>621</v>
      </c>
      <c r="B1149" s="6" t="n">
        <v>42098</v>
      </c>
      <c r="C1149" s="7" t="s">
        <v>45</v>
      </c>
      <c r="D1149" s="7" t="s">
        <v>70</v>
      </c>
      <c r="E1149" s="7" t="s">
        <v>35</v>
      </c>
      <c r="F1149" s="0" t="n">
        <v>5.84</v>
      </c>
      <c r="G1149" s="0" t="n">
        <v>2.628</v>
      </c>
      <c r="H1149" s="0" t="n">
        <v>0</v>
      </c>
      <c r="I1149" s="7" t="n">
        <f aca="false">YEAR(B1149)</f>
        <v>2015</v>
      </c>
      <c r="J1149" s="0" t="str">
        <f aca="false">I1149&amp;"-Q"&amp;ROUNDUP(MONTH(B1149)/3,0)</f>
        <v>2015-Q2</v>
      </c>
    </row>
    <row r="1150" customFormat="false" ht="15" hidden="false" customHeight="false" outlineLevel="0" collapsed="false">
      <c r="A1150" s="0" t="s">
        <v>621</v>
      </c>
      <c r="B1150" s="6" t="n">
        <v>42098</v>
      </c>
      <c r="C1150" s="7" t="s">
        <v>45</v>
      </c>
      <c r="D1150" s="7" t="s">
        <v>70</v>
      </c>
      <c r="E1150" s="7" t="s">
        <v>35</v>
      </c>
      <c r="F1150" s="0" t="n">
        <v>12.76</v>
      </c>
      <c r="G1150" s="0" t="n">
        <v>5.8696</v>
      </c>
      <c r="H1150" s="0" t="n">
        <v>0</v>
      </c>
      <c r="I1150" s="7" t="n">
        <f aca="false">YEAR(B1150)</f>
        <v>2015</v>
      </c>
      <c r="J1150" s="0" t="str">
        <f aca="false">I1150&amp;"-Q"&amp;ROUNDUP(MONTH(B1150)/3,0)</f>
        <v>2015-Q2</v>
      </c>
    </row>
    <row r="1151" customFormat="false" ht="15" hidden="false" customHeight="false" outlineLevel="0" collapsed="false">
      <c r="A1151" s="0" t="s">
        <v>621</v>
      </c>
      <c r="B1151" s="6" t="n">
        <v>42098</v>
      </c>
      <c r="C1151" s="7" t="s">
        <v>45</v>
      </c>
      <c r="D1151" s="7" t="s">
        <v>70</v>
      </c>
      <c r="E1151" s="7" t="s">
        <v>39</v>
      </c>
      <c r="F1151" s="0" t="n">
        <v>10.95</v>
      </c>
      <c r="G1151" s="0" t="n">
        <v>0.438</v>
      </c>
      <c r="H1151" s="0" t="n">
        <v>0</v>
      </c>
      <c r="I1151" s="7" t="n">
        <f aca="false">YEAR(B1151)</f>
        <v>2015</v>
      </c>
      <c r="J1151" s="0" t="str">
        <f aca="false">I1151&amp;"-Q"&amp;ROUNDUP(MONTH(B1151)/3,0)</f>
        <v>2015-Q2</v>
      </c>
    </row>
    <row r="1152" customFormat="false" ht="15" hidden="false" customHeight="false" outlineLevel="0" collapsed="false">
      <c r="A1152" s="0" t="s">
        <v>621</v>
      </c>
      <c r="B1152" s="6" t="n">
        <v>42098</v>
      </c>
      <c r="C1152" s="7" t="s">
        <v>45</v>
      </c>
      <c r="D1152" s="7" t="s">
        <v>70</v>
      </c>
      <c r="E1152" s="7" t="s">
        <v>39</v>
      </c>
      <c r="F1152" s="0" t="n">
        <v>599.98</v>
      </c>
      <c r="G1152" s="0" t="n">
        <v>209.993</v>
      </c>
      <c r="H1152" s="0" t="n">
        <v>0</v>
      </c>
      <c r="I1152" s="7" t="n">
        <f aca="false">YEAR(B1152)</f>
        <v>2015</v>
      </c>
      <c r="J1152" s="0" t="str">
        <f aca="false">I1152&amp;"-Q"&amp;ROUNDUP(MONTH(B1152)/3,0)</f>
        <v>2015-Q2</v>
      </c>
    </row>
    <row r="1153" customFormat="false" ht="15" hidden="false" customHeight="false" outlineLevel="0" collapsed="false">
      <c r="A1153" s="0" t="s">
        <v>622</v>
      </c>
      <c r="B1153" s="6" t="n">
        <v>42132</v>
      </c>
      <c r="C1153" s="7" t="s">
        <v>55</v>
      </c>
      <c r="D1153" s="7" t="s">
        <v>116</v>
      </c>
      <c r="E1153" s="7" t="s">
        <v>31</v>
      </c>
      <c r="F1153" s="0" t="n">
        <v>8.352</v>
      </c>
      <c r="G1153" s="0" t="n">
        <v>1.2528</v>
      </c>
      <c r="H1153" s="0" t="n">
        <v>0.2</v>
      </c>
      <c r="I1153" s="7" t="n">
        <f aca="false">YEAR(B1153)</f>
        <v>2015</v>
      </c>
      <c r="J1153" s="0" t="str">
        <f aca="false">I1153&amp;"-Q"&amp;ROUNDUP(MONTH(B1153)/3,0)</f>
        <v>2015-Q2</v>
      </c>
    </row>
    <row r="1154" customFormat="false" ht="15" hidden="false" customHeight="false" outlineLevel="0" collapsed="false">
      <c r="A1154" s="0" t="s">
        <v>623</v>
      </c>
      <c r="B1154" s="6" t="n">
        <v>42735</v>
      </c>
      <c r="C1154" s="7" t="s">
        <v>33</v>
      </c>
      <c r="D1154" s="7" t="s">
        <v>248</v>
      </c>
      <c r="E1154" s="7" t="s">
        <v>35</v>
      </c>
      <c r="F1154" s="0" t="n">
        <v>3.64</v>
      </c>
      <c r="G1154" s="0" t="n">
        <v>1.638</v>
      </c>
      <c r="H1154" s="0" t="n">
        <v>0</v>
      </c>
      <c r="I1154" s="7" t="n">
        <f aca="false">YEAR(B1154)</f>
        <v>2016</v>
      </c>
      <c r="J1154" s="0" t="str">
        <f aca="false">I1154&amp;"-Q"&amp;ROUNDUP(MONTH(B1154)/3,0)</f>
        <v>2016-Q4</v>
      </c>
    </row>
    <row r="1155" customFormat="false" ht="15" hidden="false" customHeight="false" outlineLevel="0" collapsed="false">
      <c r="A1155" s="0" t="s">
        <v>623</v>
      </c>
      <c r="B1155" s="6" t="n">
        <v>42735</v>
      </c>
      <c r="C1155" s="7" t="s">
        <v>33</v>
      </c>
      <c r="D1155" s="7" t="s">
        <v>248</v>
      </c>
      <c r="E1155" s="7" t="s">
        <v>35</v>
      </c>
      <c r="F1155" s="0" t="n">
        <v>159.768</v>
      </c>
      <c r="G1155" s="0" t="n">
        <v>53.9217</v>
      </c>
      <c r="H1155" s="0" t="n">
        <v>0.2</v>
      </c>
      <c r="I1155" s="7" t="n">
        <f aca="false">YEAR(B1155)</f>
        <v>2016</v>
      </c>
      <c r="J1155" s="0" t="str">
        <f aca="false">I1155&amp;"-Q"&amp;ROUNDUP(MONTH(B1155)/3,0)</f>
        <v>2016-Q4</v>
      </c>
    </row>
    <row r="1156" customFormat="false" ht="15" hidden="false" customHeight="false" outlineLevel="0" collapsed="false">
      <c r="A1156" s="0" t="s">
        <v>624</v>
      </c>
      <c r="B1156" s="6" t="n">
        <v>41993</v>
      </c>
      <c r="C1156" s="7" t="s">
        <v>29</v>
      </c>
      <c r="D1156" s="7" t="s">
        <v>83</v>
      </c>
      <c r="E1156" s="7" t="s">
        <v>35</v>
      </c>
      <c r="F1156" s="0" t="n">
        <v>122.48</v>
      </c>
      <c r="G1156" s="0" t="n">
        <v>0</v>
      </c>
      <c r="H1156" s="0" t="n">
        <v>0</v>
      </c>
      <c r="I1156" s="7" t="n">
        <f aca="false">YEAR(B1156)</f>
        <v>2014</v>
      </c>
      <c r="J1156" s="0" t="str">
        <f aca="false">I1156&amp;"-Q"&amp;ROUNDUP(MONTH(B1156)/3,0)</f>
        <v>2014-Q4</v>
      </c>
    </row>
    <row r="1157" customFormat="false" ht="15" hidden="false" customHeight="false" outlineLevel="0" collapsed="false">
      <c r="A1157" s="0" t="s">
        <v>624</v>
      </c>
      <c r="B1157" s="6" t="n">
        <v>41993</v>
      </c>
      <c r="C1157" s="7" t="s">
        <v>29</v>
      </c>
      <c r="D1157" s="7" t="s">
        <v>83</v>
      </c>
      <c r="E1157" s="7" t="s">
        <v>31</v>
      </c>
      <c r="F1157" s="0" t="n">
        <v>2244.48</v>
      </c>
      <c r="G1157" s="0" t="n">
        <v>493.7856</v>
      </c>
      <c r="H1157" s="0" t="n">
        <v>0</v>
      </c>
      <c r="I1157" s="7" t="n">
        <f aca="false">YEAR(B1157)</f>
        <v>2014</v>
      </c>
      <c r="J1157" s="0" t="str">
        <f aca="false">I1157&amp;"-Q"&amp;ROUNDUP(MONTH(B1157)/3,0)</f>
        <v>2014-Q4</v>
      </c>
    </row>
    <row r="1158" customFormat="false" ht="15" hidden="false" customHeight="false" outlineLevel="0" collapsed="false">
      <c r="A1158" s="0" t="s">
        <v>624</v>
      </c>
      <c r="B1158" s="6" t="n">
        <v>41993</v>
      </c>
      <c r="C1158" s="7" t="s">
        <v>29</v>
      </c>
      <c r="D1158" s="7" t="s">
        <v>83</v>
      </c>
      <c r="E1158" s="7" t="s">
        <v>35</v>
      </c>
      <c r="F1158" s="0" t="n">
        <v>62.31</v>
      </c>
      <c r="G1158" s="0" t="n">
        <v>29.2857</v>
      </c>
      <c r="H1158" s="0" t="n">
        <v>0</v>
      </c>
      <c r="I1158" s="7" t="n">
        <f aca="false">YEAR(B1158)</f>
        <v>2014</v>
      </c>
      <c r="J1158" s="0" t="str">
        <f aca="false">I1158&amp;"-Q"&amp;ROUNDUP(MONTH(B1158)/3,0)</f>
        <v>2014-Q4</v>
      </c>
    </row>
    <row r="1159" customFormat="false" ht="15" hidden="false" customHeight="false" outlineLevel="0" collapsed="false">
      <c r="A1159" s="0" t="s">
        <v>624</v>
      </c>
      <c r="B1159" s="6" t="n">
        <v>41993</v>
      </c>
      <c r="C1159" s="7" t="s">
        <v>29</v>
      </c>
      <c r="D1159" s="7" t="s">
        <v>83</v>
      </c>
      <c r="E1159" s="7" t="s">
        <v>31</v>
      </c>
      <c r="F1159" s="0" t="n">
        <v>455.1</v>
      </c>
      <c r="G1159" s="0" t="n">
        <v>100.122</v>
      </c>
      <c r="H1159" s="0" t="n">
        <v>0</v>
      </c>
      <c r="I1159" s="7" t="n">
        <f aca="false">YEAR(B1159)</f>
        <v>2014</v>
      </c>
      <c r="J1159" s="0" t="str">
        <f aca="false">I1159&amp;"-Q"&amp;ROUNDUP(MONTH(B1159)/3,0)</f>
        <v>2014-Q4</v>
      </c>
    </row>
    <row r="1160" customFormat="false" ht="15" hidden="false" customHeight="false" outlineLevel="0" collapsed="false">
      <c r="A1160" s="0" t="s">
        <v>625</v>
      </c>
      <c r="B1160" s="6" t="n">
        <v>42553</v>
      </c>
      <c r="C1160" s="7" t="s">
        <v>33</v>
      </c>
      <c r="D1160" s="7" t="s">
        <v>34</v>
      </c>
      <c r="E1160" s="7" t="s">
        <v>31</v>
      </c>
      <c r="F1160" s="0" t="n">
        <v>195.184</v>
      </c>
      <c r="G1160" s="0" t="n">
        <v>19.5184</v>
      </c>
      <c r="H1160" s="0" t="n">
        <v>0.2</v>
      </c>
      <c r="I1160" s="7" t="n">
        <f aca="false">YEAR(B1160)</f>
        <v>2016</v>
      </c>
      <c r="J1160" s="0" t="str">
        <f aca="false">I1160&amp;"-Q"&amp;ROUNDUP(MONTH(B1160)/3,0)</f>
        <v>2016-Q3</v>
      </c>
    </row>
    <row r="1161" customFormat="false" ht="15" hidden="false" customHeight="false" outlineLevel="0" collapsed="false">
      <c r="A1161" s="0" t="s">
        <v>626</v>
      </c>
      <c r="B1161" s="6" t="n">
        <v>42915</v>
      </c>
      <c r="C1161" s="7" t="s">
        <v>45</v>
      </c>
      <c r="D1161" s="7" t="s">
        <v>68</v>
      </c>
      <c r="E1161" s="7" t="s">
        <v>35</v>
      </c>
      <c r="F1161" s="0" t="n">
        <v>362.94</v>
      </c>
      <c r="G1161" s="0" t="n">
        <v>90.735</v>
      </c>
      <c r="H1161" s="0" t="n">
        <v>0</v>
      </c>
      <c r="I1161" s="7" t="n">
        <f aca="false">YEAR(B1161)</f>
        <v>2017</v>
      </c>
      <c r="J1161" s="0" t="str">
        <f aca="false">I1161&amp;"-Q"&amp;ROUNDUP(MONTH(B1161)/3,0)</f>
        <v>2017-Q2</v>
      </c>
    </row>
    <row r="1162" customFormat="false" ht="15" hidden="false" customHeight="false" outlineLevel="0" collapsed="false">
      <c r="A1162" s="0" t="s">
        <v>626</v>
      </c>
      <c r="B1162" s="6" t="n">
        <v>42915</v>
      </c>
      <c r="C1162" s="7" t="s">
        <v>45</v>
      </c>
      <c r="D1162" s="7" t="s">
        <v>68</v>
      </c>
      <c r="E1162" s="7" t="s">
        <v>35</v>
      </c>
      <c r="F1162" s="0" t="n">
        <v>11.54</v>
      </c>
      <c r="G1162" s="0" t="n">
        <v>5.77</v>
      </c>
      <c r="H1162" s="0" t="n">
        <v>0</v>
      </c>
      <c r="I1162" s="7" t="n">
        <f aca="false">YEAR(B1162)</f>
        <v>2017</v>
      </c>
      <c r="J1162" s="0" t="str">
        <f aca="false">I1162&amp;"-Q"&amp;ROUNDUP(MONTH(B1162)/3,0)</f>
        <v>2017-Q2</v>
      </c>
    </row>
    <row r="1163" customFormat="false" ht="15" hidden="false" customHeight="false" outlineLevel="0" collapsed="false">
      <c r="A1163" s="0" t="s">
        <v>627</v>
      </c>
      <c r="B1163" s="6" t="n">
        <v>41883</v>
      </c>
      <c r="C1163" s="7" t="s">
        <v>33</v>
      </c>
      <c r="D1163" s="7" t="s">
        <v>34</v>
      </c>
      <c r="E1163" s="7" t="s">
        <v>35</v>
      </c>
      <c r="F1163" s="0" t="n">
        <v>53.94</v>
      </c>
      <c r="G1163" s="0" t="n">
        <v>15.6426</v>
      </c>
      <c r="H1163" s="0" t="n">
        <v>0</v>
      </c>
      <c r="I1163" s="7" t="n">
        <f aca="false">YEAR(B1163)</f>
        <v>2014</v>
      </c>
      <c r="J1163" s="0" t="str">
        <f aca="false">I1163&amp;"-Q"&amp;ROUNDUP(MONTH(B1163)/3,0)</f>
        <v>2014-Q3</v>
      </c>
    </row>
    <row r="1164" customFormat="false" ht="15" hidden="false" customHeight="false" outlineLevel="0" collapsed="false">
      <c r="A1164" s="0" t="s">
        <v>628</v>
      </c>
      <c r="B1164" s="6" t="n">
        <v>41701</v>
      </c>
      <c r="C1164" s="7" t="s">
        <v>55</v>
      </c>
      <c r="D1164" s="7" t="s">
        <v>76</v>
      </c>
      <c r="E1164" s="7" t="s">
        <v>39</v>
      </c>
      <c r="F1164" s="0" t="n">
        <v>9.99</v>
      </c>
      <c r="G1164" s="0" t="n">
        <v>4.5954</v>
      </c>
      <c r="H1164" s="0" t="n">
        <v>0</v>
      </c>
      <c r="I1164" s="7" t="n">
        <f aca="false">YEAR(B1164)</f>
        <v>2014</v>
      </c>
      <c r="J1164" s="0" t="str">
        <f aca="false">I1164&amp;"-Q"&amp;ROUNDUP(MONTH(B1164)/3,0)</f>
        <v>2014-Q1</v>
      </c>
    </row>
    <row r="1165" customFormat="false" ht="15" hidden="false" customHeight="false" outlineLevel="0" collapsed="false">
      <c r="A1165" s="0" t="s">
        <v>628</v>
      </c>
      <c r="B1165" s="6" t="n">
        <v>41701</v>
      </c>
      <c r="C1165" s="7" t="s">
        <v>55</v>
      </c>
      <c r="D1165" s="7" t="s">
        <v>76</v>
      </c>
      <c r="E1165" s="7" t="s">
        <v>35</v>
      </c>
      <c r="F1165" s="0" t="n">
        <v>125.76</v>
      </c>
      <c r="G1165" s="0" t="n">
        <v>40.872</v>
      </c>
      <c r="H1165" s="0" t="n">
        <v>0.2</v>
      </c>
      <c r="I1165" s="7" t="n">
        <f aca="false">YEAR(B1165)</f>
        <v>2014</v>
      </c>
      <c r="J1165" s="0" t="str">
        <f aca="false">I1165&amp;"-Q"&amp;ROUNDUP(MONTH(B1165)/3,0)</f>
        <v>2014-Q1</v>
      </c>
    </row>
    <row r="1166" customFormat="false" ht="15" hidden="false" customHeight="false" outlineLevel="0" collapsed="false">
      <c r="A1166" s="0" t="s">
        <v>628</v>
      </c>
      <c r="B1166" s="6" t="n">
        <v>41701</v>
      </c>
      <c r="C1166" s="7" t="s">
        <v>55</v>
      </c>
      <c r="D1166" s="7" t="s">
        <v>76</v>
      </c>
      <c r="E1166" s="7" t="s">
        <v>35</v>
      </c>
      <c r="F1166" s="0" t="n">
        <v>25.32</v>
      </c>
      <c r="G1166" s="0" t="n">
        <v>9.1785</v>
      </c>
      <c r="H1166" s="0" t="n">
        <v>0.2</v>
      </c>
      <c r="I1166" s="7" t="n">
        <f aca="false">YEAR(B1166)</f>
        <v>2014</v>
      </c>
      <c r="J1166" s="0" t="str">
        <f aca="false">I1166&amp;"-Q"&amp;ROUNDUP(MONTH(B1166)/3,0)</f>
        <v>2014-Q1</v>
      </c>
    </row>
    <row r="1167" customFormat="false" ht="15" hidden="false" customHeight="false" outlineLevel="0" collapsed="false">
      <c r="A1167" s="0" t="s">
        <v>629</v>
      </c>
      <c r="B1167" s="6" t="n">
        <v>41763</v>
      </c>
      <c r="C1167" s="7" t="s">
        <v>45</v>
      </c>
      <c r="D1167" s="7" t="s">
        <v>70</v>
      </c>
      <c r="E1167" s="7" t="s">
        <v>35</v>
      </c>
      <c r="F1167" s="0" t="n">
        <v>46.8</v>
      </c>
      <c r="G1167" s="0" t="n">
        <v>21.06</v>
      </c>
      <c r="H1167" s="0" t="n">
        <v>0</v>
      </c>
      <c r="I1167" s="7" t="n">
        <f aca="false">YEAR(B1167)</f>
        <v>2014</v>
      </c>
      <c r="J1167" s="0" t="str">
        <f aca="false">I1167&amp;"-Q"&amp;ROUNDUP(MONTH(B1167)/3,0)</f>
        <v>2014-Q2</v>
      </c>
    </row>
    <row r="1168" customFormat="false" ht="15" hidden="false" customHeight="false" outlineLevel="0" collapsed="false">
      <c r="A1168" s="0" t="s">
        <v>630</v>
      </c>
      <c r="B1168" s="6" t="n">
        <v>42310</v>
      </c>
      <c r="C1168" s="7" t="s">
        <v>33</v>
      </c>
      <c r="D1168" s="7" t="s">
        <v>43</v>
      </c>
      <c r="E1168" s="7" t="s">
        <v>39</v>
      </c>
      <c r="F1168" s="0" t="n">
        <v>447.93</v>
      </c>
      <c r="G1168" s="0" t="n">
        <v>49.2723</v>
      </c>
      <c r="H1168" s="0" t="n">
        <v>0</v>
      </c>
      <c r="I1168" s="7" t="n">
        <f aca="false">YEAR(B1168)</f>
        <v>2015</v>
      </c>
      <c r="J1168" s="0" t="str">
        <f aca="false">I1168&amp;"-Q"&amp;ROUNDUP(MONTH(B1168)/3,0)</f>
        <v>2015-Q4</v>
      </c>
    </row>
    <row r="1169" customFormat="false" ht="15" hidden="false" customHeight="false" outlineLevel="0" collapsed="false">
      <c r="A1169" s="0" t="s">
        <v>631</v>
      </c>
      <c r="B1169" s="6" t="n">
        <v>43077</v>
      </c>
      <c r="C1169" s="7" t="s">
        <v>55</v>
      </c>
      <c r="D1169" s="7" t="s">
        <v>76</v>
      </c>
      <c r="E1169" s="7" t="s">
        <v>31</v>
      </c>
      <c r="F1169" s="0" t="n">
        <v>109.48</v>
      </c>
      <c r="G1169" s="0" t="n">
        <v>33.9388</v>
      </c>
      <c r="H1169" s="0" t="n">
        <v>0</v>
      </c>
      <c r="I1169" s="7" t="n">
        <f aca="false">YEAR(B1169)</f>
        <v>2017</v>
      </c>
      <c r="J1169" s="0" t="str">
        <f aca="false">I1169&amp;"-Q"&amp;ROUNDUP(MONTH(B1169)/3,0)</f>
        <v>2017-Q4</v>
      </c>
    </row>
    <row r="1170" customFormat="false" ht="15" hidden="false" customHeight="false" outlineLevel="0" collapsed="false">
      <c r="A1170" s="0" t="s">
        <v>631</v>
      </c>
      <c r="B1170" s="6" t="n">
        <v>43077</v>
      </c>
      <c r="C1170" s="7" t="s">
        <v>55</v>
      </c>
      <c r="D1170" s="7" t="s">
        <v>76</v>
      </c>
      <c r="E1170" s="7" t="s">
        <v>35</v>
      </c>
      <c r="F1170" s="0" t="n">
        <v>272.94</v>
      </c>
      <c r="G1170" s="0" t="n">
        <v>0</v>
      </c>
      <c r="H1170" s="0" t="n">
        <v>0</v>
      </c>
      <c r="I1170" s="7" t="n">
        <f aca="false">YEAR(B1170)</f>
        <v>2017</v>
      </c>
      <c r="J1170" s="0" t="str">
        <f aca="false">I1170&amp;"-Q"&amp;ROUNDUP(MONTH(B1170)/3,0)</f>
        <v>2017-Q4</v>
      </c>
    </row>
    <row r="1171" customFormat="false" ht="15" hidden="false" customHeight="false" outlineLevel="0" collapsed="false">
      <c r="A1171" s="0" t="s">
        <v>631</v>
      </c>
      <c r="B1171" s="6" t="n">
        <v>43077</v>
      </c>
      <c r="C1171" s="7" t="s">
        <v>55</v>
      </c>
      <c r="D1171" s="7" t="s">
        <v>76</v>
      </c>
      <c r="E1171" s="7" t="s">
        <v>35</v>
      </c>
      <c r="F1171" s="0" t="n">
        <v>19.44</v>
      </c>
      <c r="G1171" s="0" t="n">
        <v>9.3312</v>
      </c>
      <c r="H1171" s="0" t="n">
        <v>0</v>
      </c>
      <c r="I1171" s="7" t="n">
        <f aca="false">YEAR(B1171)</f>
        <v>2017</v>
      </c>
      <c r="J1171" s="0" t="str">
        <f aca="false">I1171&amp;"-Q"&amp;ROUNDUP(MONTH(B1171)/3,0)</f>
        <v>2017-Q4</v>
      </c>
    </row>
    <row r="1172" customFormat="false" ht="15" hidden="false" customHeight="false" outlineLevel="0" collapsed="false">
      <c r="A1172" s="0" t="s">
        <v>631</v>
      </c>
      <c r="B1172" s="6" t="n">
        <v>43077</v>
      </c>
      <c r="C1172" s="7" t="s">
        <v>55</v>
      </c>
      <c r="D1172" s="7" t="s">
        <v>76</v>
      </c>
      <c r="E1172" s="7" t="s">
        <v>35</v>
      </c>
      <c r="F1172" s="0" t="n">
        <v>31.92</v>
      </c>
      <c r="G1172" s="0" t="n">
        <v>8.2992</v>
      </c>
      <c r="H1172" s="0" t="n">
        <v>0</v>
      </c>
      <c r="I1172" s="7" t="n">
        <f aca="false">YEAR(B1172)</f>
        <v>2017</v>
      </c>
      <c r="J1172" s="0" t="str">
        <f aca="false">I1172&amp;"-Q"&amp;ROUNDUP(MONTH(B1172)/3,0)</f>
        <v>2017-Q4</v>
      </c>
    </row>
    <row r="1173" customFormat="false" ht="15" hidden="false" customHeight="false" outlineLevel="0" collapsed="false">
      <c r="A1173" s="0" t="s">
        <v>632</v>
      </c>
      <c r="B1173" s="6" t="n">
        <v>41708</v>
      </c>
      <c r="C1173" s="7" t="s">
        <v>45</v>
      </c>
      <c r="D1173" s="7" t="s">
        <v>70</v>
      </c>
      <c r="E1173" s="7" t="s">
        <v>35</v>
      </c>
      <c r="F1173" s="0" t="n">
        <v>22.38</v>
      </c>
      <c r="G1173" s="0" t="n">
        <v>10.7424</v>
      </c>
      <c r="H1173" s="0" t="n">
        <v>0</v>
      </c>
      <c r="I1173" s="7" t="n">
        <f aca="false">YEAR(B1173)</f>
        <v>2014</v>
      </c>
      <c r="J1173" s="0" t="str">
        <f aca="false">I1173&amp;"-Q"&amp;ROUNDUP(MONTH(B1173)/3,0)</f>
        <v>2014-Q1</v>
      </c>
    </row>
    <row r="1174" customFormat="false" ht="15" hidden="false" customHeight="false" outlineLevel="0" collapsed="false">
      <c r="A1174" s="0" t="s">
        <v>633</v>
      </c>
      <c r="B1174" s="6" t="n">
        <v>41750</v>
      </c>
      <c r="C1174" s="7" t="s">
        <v>33</v>
      </c>
      <c r="D1174" s="7" t="s">
        <v>34</v>
      </c>
      <c r="E1174" s="7" t="s">
        <v>35</v>
      </c>
      <c r="F1174" s="0" t="n">
        <v>16.52</v>
      </c>
      <c r="G1174" s="0" t="n">
        <v>5.5755</v>
      </c>
      <c r="H1174" s="0" t="n">
        <v>0.2</v>
      </c>
      <c r="I1174" s="7" t="n">
        <f aca="false">YEAR(B1174)</f>
        <v>2014</v>
      </c>
      <c r="J1174" s="0" t="str">
        <f aca="false">I1174&amp;"-Q"&amp;ROUNDUP(MONTH(B1174)/3,0)</f>
        <v>2014-Q2</v>
      </c>
    </row>
    <row r="1175" customFormat="false" ht="15" hidden="false" customHeight="false" outlineLevel="0" collapsed="false">
      <c r="A1175" s="0" t="s">
        <v>634</v>
      </c>
      <c r="B1175" s="6" t="n">
        <v>42299</v>
      </c>
      <c r="C1175" s="7" t="s">
        <v>45</v>
      </c>
      <c r="D1175" s="7" t="s">
        <v>64</v>
      </c>
      <c r="E1175" s="7" t="s">
        <v>35</v>
      </c>
      <c r="F1175" s="0" t="n">
        <v>5.176</v>
      </c>
      <c r="G1175" s="0" t="n">
        <v>-7.764</v>
      </c>
      <c r="H1175" s="0" t="n">
        <v>0.8</v>
      </c>
      <c r="I1175" s="7" t="n">
        <f aca="false">YEAR(B1175)</f>
        <v>2015</v>
      </c>
      <c r="J1175" s="0" t="str">
        <f aca="false">I1175&amp;"-Q"&amp;ROUNDUP(MONTH(B1175)/3,0)</f>
        <v>2015-Q4</v>
      </c>
    </row>
    <row r="1176" customFormat="false" ht="15" hidden="false" customHeight="false" outlineLevel="0" collapsed="false">
      <c r="A1176" s="0" t="s">
        <v>635</v>
      </c>
      <c r="B1176" s="6" t="n">
        <v>42238</v>
      </c>
      <c r="C1176" s="7" t="s">
        <v>55</v>
      </c>
      <c r="D1176" s="7" t="s">
        <v>76</v>
      </c>
      <c r="E1176" s="7" t="s">
        <v>35</v>
      </c>
      <c r="F1176" s="0" t="n">
        <v>50.112</v>
      </c>
      <c r="G1176" s="0" t="n">
        <v>16.2864</v>
      </c>
      <c r="H1176" s="0" t="n">
        <v>0.2</v>
      </c>
      <c r="I1176" s="7" t="n">
        <f aca="false">YEAR(B1176)</f>
        <v>2015</v>
      </c>
      <c r="J1176" s="0" t="str">
        <f aca="false">I1176&amp;"-Q"&amp;ROUNDUP(MONTH(B1176)/3,0)</f>
        <v>2015-Q3</v>
      </c>
    </row>
    <row r="1177" customFormat="false" ht="15" hidden="false" customHeight="false" outlineLevel="0" collapsed="false">
      <c r="A1177" s="0" t="s">
        <v>636</v>
      </c>
      <c r="B1177" s="6" t="n">
        <v>42611</v>
      </c>
      <c r="C1177" s="7" t="s">
        <v>55</v>
      </c>
      <c r="D1177" s="7" t="s">
        <v>482</v>
      </c>
      <c r="E1177" s="7" t="s">
        <v>35</v>
      </c>
      <c r="F1177" s="0" t="n">
        <v>27.93</v>
      </c>
      <c r="G1177" s="0" t="n">
        <v>8.0997</v>
      </c>
      <c r="H1177" s="0" t="n">
        <v>0</v>
      </c>
      <c r="I1177" s="7" t="n">
        <f aca="false">YEAR(B1177)</f>
        <v>2016</v>
      </c>
      <c r="J1177" s="0" t="str">
        <f aca="false">I1177&amp;"-Q"&amp;ROUNDUP(MONTH(B1177)/3,0)</f>
        <v>2016-Q3</v>
      </c>
    </row>
    <row r="1178" customFormat="false" ht="15" hidden="false" customHeight="false" outlineLevel="0" collapsed="false">
      <c r="A1178" s="0" t="s">
        <v>637</v>
      </c>
      <c r="B1178" s="6" t="n">
        <v>42000</v>
      </c>
      <c r="C1178" s="7" t="s">
        <v>33</v>
      </c>
      <c r="D1178" s="7" t="s">
        <v>34</v>
      </c>
      <c r="E1178" s="7" t="s">
        <v>35</v>
      </c>
      <c r="F1178" s="0" t="n">
        <v>11.56</v>
      </c>
      <c r="G1178" s="0" t="n">
        <v>5.4332</v>
      </c>
      <c r="H1178" s="0" t="n">
        <v>0</v>
      </c>
      <c r="I1178" s="7" t="n">
        <f aca="false">YEAR(B1178)</f>
        <v>2014</v>
      </c>
      <c r="J1178" s="0" t="str">
        <f aca="false">I1178&amp;"-Q"&amp;ROUNDUP(MONTH(B1178)/3,0)</f>
        <v>2014-Q4</v>
      </c>
    </row>
    <row r="1179" customFormat="false" ht="15" hidden="false" customHeight="false" outlineLevel="0" collapsed="false">
      <c r="A1179" s="0" t="s">
        <v>638</v>
      </c>
      <c r="B1179" s="6" t="n">
        <v>42705</v>
      </c>
      <c r="C1179" s="7" t="s">
        <v>55</v>
      </c>
      <c r="D1179" s="7" t="s">
        <v>495</v>
      </c>
      <c r="E1179" s="7" t="s">
        <v>31</v>
      </c>
      <c r="F1179" s="0" t="n">
        <v>172.5</v>
      </c>
      <c r="G1179" s="0" t="n">
        <v>51.75</v>
      </c>
      <c r="H1179" s="0" t="n">
        <v>0</v>
      </c>
      <c r="I1179" s="7" t="n">
        <f aca="false">YEAR(B1179)</f>
        <v>2016</v>
      </c>
      <c r="J1179" s="0" t="str">
        <f aca="false">I1179&amp;"-Q"&amp;ROUNDUP(MONTH(B1179)/3,0)</f>
        <v>2016-Q4</v>
      </c>
    </row>
    <row r="1180" customFormat="false" ht="15" hidden="false" customHeight="false" outlineLevel="0" collapsed="false">
      <c r="A1180" s="0" t="s">
        <v>638</v>
      </c>
      <c r="B1180" s="6" t="n">
        <v>42705</v>
      </c>
      <c r="C1180" s="7" t="s">
        <v>55</v>
      </c>
      <c r="D1180" s="7" t="s">
        <v>495</v>
      </c>
      <c r="E1180" s="7" t="s">
        <v>39</v>
      </c>
      <c r="F1180" s="0" t="n">
        <v>179.97</v>
      </c>
      <c r="G1180" s="0" t="n">
        <v>44.9925</v>
      </c>
      <c r="H1180" s="0" t="n">
        <v>0</v>
      </c>
      <c r="I1180" s="7" t="n">
        <f aca="false">YEAR(B1180)</f>
        <v>2016</v>
      </c>
      <c r="J1180" s="0" t="str">
        <f aca="false">I1180&amp;"-Q"&amp;ROUNDUP(MONTH(B1180)/3,0)</f>
        <v>2016-Q4</v>
      </c>
    </row>
    <row r="1181" customFormat="false" ht="15" hidden="false" customHeight="false" outlineLevel="0" collapsed="false">
      <c r="A1181" s="0" t="s">
        <v>639</v>
      </c>
      <c r="B1181" s="6" t="n">
        <v>42484</v>
      </c>
      <c r="C1181" s="7" t="s">
        <v>45</v>
      </c>
      <c r="D1181" s="7" t="s">
        <v>46</v>
      </c>
      <c r="E1181" s="7" t="s">
        <v>39</v>
      </c>
      <c r="F1181" s="0" t="n">
        <v>258.696</v>
      </c>
      <c r="G1181" s="0" t="n">
        <v>64.674</v>
      </c>
      <c r="H1181" s="0" t="n">
        <v>0.2</v>
      </c>
      <c r="I1181" s="7" t="n">
        <f aca="false">YEAR(B1181)</f>
        <v>2016</v>
      </c>
      <c r="J1181" s="0" t="str">
        <f aca="false">I1181&amp;"-Q"&amp;ROUNDUP(MONTH(B1181)/3,0)</f>
        <v>2016-Q2</v>
      </c>
    </row>
    <row r="1182" customFormat="false" ht="15" hidden="false" customHeight="false" outlineLevel="0" collapsed="false">
      <c r="A1182" s="0" t="s">
        <v>640</v>
      </c>
      <c r="B1182" s="6" t="n">
        <v>41811</v>
      </c>
      <c r="C1182" s="7" t="s">
        <v>55</v>
      </c>
      <c r="D1182" s="7" t="s">
        <v>161</v>
      </c>
      <c r="E1182" s="7" t="s">
        <v>39</v>
      </c>
      <c r="F1182" s="0" t="n">
        <v>1322.93</v>
      </c>
      <c r="G1182" s="0" t="n">
        <v>357.1911</v>
      </c>
      <c r="H1182" s="0" t="n">
        <v>0</v>
      </c>
      <c r="I1182" s="7" t="n">
        <f aca="false">YEAR(B1182)</f>
        <v>2014</v>
      </c>
      <c r="J1182" s="0" t="str">
        <f aca="false">I1182&amp;"-Q"&amp;ROUNDUP(MONTH(B1182)/3,0)</f>
        <v>2014-Q2</v>
      </c>
    </row>
    <row r="1183" customFormat="false" ht="15" hidden="false" customHeight="false" outlineLevel="0" collapsed="false">
      <c r="A1183" s="0" t="s">
        <v>640</v>
      </c>
      <c r="B1183" s="6" t="n">
        <v>41811</v>
      </c>
      <c r="C1183" s="7" t="s">
        <v>55</v>
      </c>
      <c r="D1183" s="7" t="s">
        <v>161</v>
      </c>
      <c r="E1183" s="7" t="s">
        <v>35</v>
      </c>
      <c r="F1183" s="0" t="n">
        <v>3.76</v>
      </c>
      <c r="G1183" s="0" t="n">
        <v>1.0904</v>
      </c>
      <c r="H1183" s="0" t="n">
        <v>0</v>
      </c>
      <c r="I1183" s="7" t="n">
        <f aca="false">YEAR(B1183)</f>
        <v>2014</v>
      </c>
      <c r="J1183" s="0" t="str">
        <f aca="false">I1183&amp;"-Q"&amp;ROUNDUP(MONTH(B1183)/3,0)</f>
        <v>2014-Q2</v>
      </c>
    </row>
    <row r="1184" customFormat="false" ht="15" hidden="false" customHeight="false" outlineLevel="0" collapsed="false">
      <c r="A1184" s="0" t="s">
        <v>641</v>
      </c>
      <c r="B1184" s="6" t="n">
        <v>42749</v>
      </c>
      <c r="C1184" s="7" t="s">
        <v>29</v>
      </c>
      <c r="D1184" s="7" t="s">
        <v>41</v>
      </c>
      <c r="E1184" s="7" t="s">
        <v>35</v>
      </c>
      <c r="F1184" s="0" t="n">
        <v>21.744</v>
      </c>
      <c r="G1184" s="0" t="n">
        <v>7.3386</v>
      </c>
      <c r="H1184" s="0" t="n">
        <v>0.2</v>
      </c>
      <c r="I1184" s="7" t="n">
        <f aca="false">YEAR(B1184)</f>
        <v>2017</v>
      </c>
      <c r="J1184" s="0" t="str">
        <f aca="false">I1184&amp;"-Q"&amp;ROUNDUP(MONTH(B1184)/3,0)</f>
        <v>2017-Q1</v>
      </c>
    </row>
    <row r="1185" customFormat="false" ht="15" hidden="false" customHeight="false" outlineLevel="0" collapsed="false">
      <c r="A1185" s="0" t="s">
        <v>641</v>
      </c>
      <c r="B1185" s="6" t="n">
        <v>42749</v>
      </c>
      <c r="C1185" s="7" t="s">
        <v>29</v>
      </c>
      <c r="D1185" s="7" t="s">
        <v>41</v>
      </c>
      <c r="E1185" s="7" t="s">
        <v>39</v>
      </c>
      <c r="F1185" s="0" t="n">
        <v>7.92</v>
      </c>
      <c r="G1185" s="0" t="n">
        <v>0.693</v>
      </c>
      <c r="H1185" s="0" t="n">
        <v>0.2</v>
      </c>
      <c r="I1185" s="7" t="n">
        <f aca="false">YEAR(B1185)</f>
        <v>2017</v>
      </c>
      <c r="J1185" s="0" t="str">
        <f aca="false">I1185&amp;"-Q"&amp;ROUNDUP(MONTH(B1185)/3,0)</f>
        <v>2017-Q1</v>
      </c>
    </row>
    <row r="1186" customFormat="false" ht="15" hidden="false" customHeight="false" outlineLevel="0" collapsed="false">
      <c r="A1186" s="0" t="s">
        <v>642</v>
      </c>
      <c r="B1186" s="6" t="n">
        <v>41967</v>
      </c>
      <c r="C1186" s="7" t="s">
        <v>33</v>
      </c>
      <c r="D1186" s="7" t="s">
        <v>43</v>
      </c>
      <c r="E1186" s="7" t="s">
        <v>35</v>
      </c>
      <c r="F1186" s="0" t="n">
        <v>12.096</v>
      </c>
      <c r="G1186" s="0" t="n">
        <v>4.2336</v>
      </c>
      <c r="H1186" s="0" t="n">
        <v>0.2</v>
      </c>
      <c r="I1186" s="7" t="n">
        <f aca="false">YEAR(B1186)</f>
        <v>2014</v>
      </c>
      <c r="J1186" s="0" t="str">
        <f aca="false">I1186&amp;"-Q"&amp;ROUNDUP(MONTH(B1186)/3,0)</f>
        <v>2014-Q4</v>
      </c>
    </row>
    <row r="1187" customFormat="false" ht="15" hidden="false" customHeight="false" outlineLevel="0" collapsed="false">
      <c r="A1187" s="0" t="s">
        <v>642</v>
      </c>
      <c r="B1187" s="6" t="n">
        <v>41967</v>
      </c>
      <c r="C1187" s="7" t="s">
        <v>33</v>
      </c>
      <c r="D1187" s="7" t="s">
        <v>43</v>
      </c>
      <c r="E1187" s="7" t="s">
        <v>35</v>
      </c>
      <c r="F1187" s="0" t="n">
        <v>485.88</v>
      </c>
      <c r="G1187" s="0" t="n">
        <v>9.7176</v>
      </c>
      <c r="H1187" s="0" t="n">
        <v>0</v>
      </c>
      <c r="I1187" s="7" t="n">
        <f aca="false">YEAR(B1187)</f>
        <v>2014</v>
      </c>
      <c r="J1187" s="0" t="str">
        <f aca="false">I1187&amp;"-Q"&amp;ROUNDUP(MONTH(B1187)/3,0)</f>
        <v>2014-Q4</v>
      </c>
    </row>
    <row r="1188" customFormat="false" ht="15" hidden="false" customHeight="false" outlineLevel="0" collapsed="false">
      <c r="A1188" s="0" t="s">
        <v>642</v>
      </c>
      <c r="B1188" s="6" t="n">
        <v>41967</v>
      </c>
      <c r="C1188" s="7" t="s">
        <v>33</v>
      </c>
      <c r="D1188" s="7" t="s">
        <v>43</v>
      </c>
      <c r="E1188" s="7" t="s">
        <v>35</v>
      </c>
      <c r="F1188" s="0" t="n">
        <v>25.92</v>
      </c>
      <c r="G1188" s="0" t="n">
        <v>12.4416</v>
      </c>
      <c r="H1188" s="0" t="n">
        <v>0</v>
      </c>
      <c r="I1188" s="7" t="n">
        <f aca="false">YEAR(B1188)</f>
        <v>2014</v>
      </c>
      <c r="J1188" s="0" t="str">
        <f aca="false">I1188&amp;"-Q"&amp;ROUNDUP(MONTH(B1188)/3,0)</f>
        <v>2014-Q4</v>
      </c>
    </row>
    <row r="1189" customFormat="false" ht="15" hidden="false" customHeight="false" outlineLevel="0" collapsed="false">
      <c r="A1189" s="0" t="s">
        <v>642</v>
      </c>
      <c r="B1189" s="6" t="n">
        <v>41967</v>
      </c>
      <c r="C1189" s="7" t="s">
        <v>33</v>
      </c>
      <c r="D1189" s="7" t="s">
        <v>43</v>
      </c>
      <c r="E1189" s="7" t="s">
        <v>35</v>
      </c>
      <c r="F1189" s="0" t="n">
        <v>197.58</v>
      </c>
      <c r="G1189" s="0" t="n">
        <v>53.3466</v>
      </c>
      <c r="H1189" s="0" t="n">
        <v>0</v>
      </c>
      <c r="I1189" s="7" t="n">
        <f aca="false">YEAR(B1189)</f>
        <v>2014</v>
      </c>
      <c r="J1189" s="0" t="str">
        <f aca="false">I1189&amp;"-Q"&amp;ROUNDUP(MONTH(B1189)/3,0)</f>
        <v>2014-Q4</v>
      </c>
    </row>
    <row r="1190" customFormat="false" ht="15" hidden="false" customHeight="false" outlineLevel="0" collapsed="false">
      <c r="A1190" s="0" t="s">
        <v>643</v>
      </c>
      <c r="B1190" s="6" t="n">
        <v>42792</v>
      </c>
      <c r="C1190" s="7" t="s">
        <v>33</v>
      </c>
      <c r="D1190" s="7" t="s">
        <v>34</v>
      </c>
      <c r="E1190" s="7" t="s">
        <v>35</v>
      </c>
      <c r="F1190" s="0" t="n">
        <v>81.92</v>
      </c>
      <c r="G1190" s="0" t="n">
        <v>22.1184</v>
      </c>
      <c r="H1190" s="0" t="n">
        <v>0</v>
      </c>
      <c r="I1190" s="7" t="n">
        <f aca="false">YEAR(B1190)</f>
        <v>2017</v>
      </c>
      <c r="J1190" s="0" t="str">
        <f aca="false">I1190&amp;"-Q"&amp;ROUNDUP(MONTH(B1190)/3,0)</f>
        <v>2017-Q1</v>
      </c>
    </row>
    <row r="1191" customFormat="false" ht="15" hidden="false" customHeight="false" outlineLevel="0" collapsed="false">
      <c r="A1191" s="0" t="s">
        <v>643</v>
      </c>
      <c r="B1191" s="6" t="n">
        <v>42792</v>
      </c>
      <c r="C1191" s="7" t="s">
        <v>33</v>
      </c>
      <c r="D1191" s="7" t="s">
        <v>34</v>
      </c>
      <c r="E1191" s="7" t="s">
        <v>39</v>
      </c>
      <c r="F1191" s="0" t="n">
        <v>889.536</v>
      </c>
      <c r="G1191" s="0" t="n">
        <v>66.7152</v>
      </c>
      <c r="H1191" s="0" t="n">
        <v>0.2</v>
      </c>
      <c r="I1191" s="7" t="n">
        <f aca="false">YEAR(B1191)</f>
        <v>2017</v>
      </c>
      <c r="J1191" s="0" t="str">
        <f aca="false">I1191&amp;"-Q"&amp;ROUNDUP(MONTH(B1191)/3,0)</f>
        <v>2017-Q1</v>
      </c>
    </row>
    <row r="1192" customFormat="false" ht="15" hidden="false" customHeight="false" outlineLevel="0" collapsed="false">
      <c r="A1192" s="0" t="s">
        <v>643</v>
      </c>
      <c r="B1192" s="6" t="n">
        <v>42792</v>
      </c>
      <c r="C1192" s="7" t="s">
        <v>33</v>
      </c>
      <c r="D1192" s="7" t="s">
        <v>34</v>
      </c>
      <c r="E1192" s="7" t="s">
        <v>31</v>
      </c>
      <c r="F1192" s="0" t="n">
        <v>892.224</v>
      </c>
      <c r="G1192" s="0" t="n">
        <v>89.2224</v>
      </c>
      <c r="H1192" s="0" t="n">
        <v>0.2</v>
      </c>
      <c r="I1192" s="7" t="n">
        <f aca="false">YEAR(B1192)</f>
        <v>2017</v>
      </c>
      <c r="J1192" s="0" t="str">
        <f aca="false">I1192&amp;"-Q"&amp;ROUNDUP(MONTH(B1192)/3,0)</f>
        <v>2017-Q1</v>
      </c>
    </row>
    <row r="1193" customFormat="false" ht="15" hidden="false" customHeight="false" outlineLevel="0" collapsed="false">
      <c r="A1193" s="0" t="s">
        <v>643</v>
      </c>
      <c r="B1193" s="6" t="n">
        <v>42792</v>
      </c>
      <c r="C1193" s="7" t="s">
        <v>33</v>
      </c>
      <c r="D1193" s="7" t="s">
        <v>34</v>
      </c>
      <c r="E1193" s="7" t="s">
        <v>35</v>
      </c>
      <c r="F1193" s="0" t="n">
        <v>223.92</v>
      </c>
      <c r="G1193" s="0" t="n">
        <v>109.7208</v>
      </c>
      <c r="H1193" s="0" t="n">
        <v>0</v>
      </c>
      <c r="I1193" s="7" t="n">
        <f aca="false">YEAR(B1193)</f>
        <v>2017</v>
      </c>
      <c r="J1193" s="0" t="str">
        <f aca="false">I1193&amp;"-Q"&amp;ROUNDUP(MONTH(B1193)/3,0)</f>
        <v>2017-Q1</v>
      </c>
    </row>
    <row r="1194" customFormat="false" ht="15" hidden="false" customHeight="false" outlineLevel="0" collapsed="false">
      <c r="A1194" s="0" t="s">
        <v>643</v>
      </c>
      <c r="B1194" s="6" t="n">
        <v>42792</v>
      </c>
      <c r="C1194" s="7" t="s">
        <v>33</v>
      </c>
      <c r="D1194" s="7" t="s">
        <v>34</v>
      </c>
      <c r="E1194" s="7" t="s">
        <v>35</v>
      </c>
      <c r="F1194" s="0" t="n">
        <v>23.12</v>
      </c>
      <c r="G1194" s="0" t="n">
        <v>11.3288</v>
      </c>
      <c r="H1194" s="0" t="n">
        <v>0</v>
      </c>
      <c r="I1194" s="7" t="n">
        <f aca="false">YEAR(B1194)</f>
        <v>2017</v>
      </c>
      <c r="J1194" s="0" t="str">
        <f aca="false">I1194&amp;"-Q"&amp;ROUNDUP(MONTH(B1194)/3,0)</f>
        <v>2017-Q1</v>
      </c>
    </row>
    <row r="1195" customFormat="false" ht="15" hidden="false" customHeight="false" outlineLevel="0" collapsed="false">
      <c r="A1195" s="0" t="s">
        <v>644</v>
      </c>
      <c r="B1195" s="6" t="n">
        <v>42262</v>
      </c>
      <c r="C1195" s="7" t="s">
        <v>29</v>
      </c>
      <c r="D1195" s="7" t="s">
        <v>37</v>
      </c>
      <c r="E1195" s="7" t="s">
        <v>35</v>
      </c>
      <c r="F1195" s="0" t="n">
        <v>15.552</v>
      </c>
      <c r="G1195" s="0" t="n">
        <v>5.4432</v>
      </c>
      <c r="H1195" s="0" t="n">
        <v>0.2</v>
      </c>
      <c r="I1195" s="7" t="n">
        <f aca="false">YEAR(B1195)</f>
        <v>2015</v>
      </c>
      <c r="J1195" s="0" t="str">
        <f aca="false">I1195&amp;"-Q"&amp;ROUNDUP(MONTH(B1195)/3,0)</f>
        <v>2015-Q3</v>
      </c>
    </row>
    <row r="1196" customFormat="false" ht="15" hidden="false" customHeight="false" outlineLevel="0" collapsed="false">
      <c r="A1196" s="0" t="s">
        <v>644</v>
      </c>
      <c r="B1196" s="6" t="n">
        <v>42262</v>
      </c>
      <c r="C1196" s="7" t="s">
        <v>29</v>
      </c>
      <c r="D1196" s="7" t="s">
        <v>37</v>
      </c>
      <c r="E1196" s="7" t="s">
        <v>31</v>
      </c>
      <c r="F1196" s="0" t="n">
        <v>15.712</v>
      </c>
      <c r="G1196" s="0" t="n">
        <v>2.5532</v>
      </c>
      <c r="H1196" s="0" t="n">
        <v>0.2</v>
      </c>
      <c r="I1196" s="7" t="n">
        <f aca="false">YEAR(B1196)</f>
        <v>2015</v>
      </c>
      <c r="J1196" s="0" t="str">
        <f aca="false">I1196&amp;"-Q"&amp;ROUNDUP(MONTH(B1196)/3,0)</f>
        <v>2015-Q3</v>
      </c>
    </row>
    <row r="1197" customFormat="false" ht="15" hidden="false" customHeight="false" outlineLevel="0" collapsed="false">
      <c r="A1197" s="0" t="s">
        <v>644</v>
      </c>
      <c r="B1197" s="6" t="n">
        <v>42262</v>
      </c>
      <c r="C1197" s="7" t="s">
        <v>29</v>
      </c>
      <c r="D1197" s="7" t="s">
        <v>37</v>
      </c>
      <c r="E1197" s="7" t="s">
        <v>35</v>
      </c>
      <c r="F1197" s="0" t="n">
        <v>24.672</v>
      </c>
      <c r="G1197" s="0" t="n">
        <v>2.1588</v>
      </c>
      <c r="H1197" s="0" t="n">
        <v>0.2</v>
      </c>
      <c r="I1197" s="7" t="n">
        <f aca="false">YEAR(B1197)</f>
        <v>2015</v>
      </c>
      <c r="J1197" s="0" t="str">
        <f aca="false">I1197&amp;"-Q"&amp;ROUNDUP(MONTH(B1197)/3,0)</f>
        <v>2015-Q3</v>
      </c>
    </row>
    <row r="1198" customFormat="false" ht="15" hidden="false" customHeight="false" outlineLevel="0" collapsed="false">
      <c r="A1198" s="0" t="s">
        <v>644</v>
      </c>
      <c r="B1198" s="6" t="n">
        <v>42262</v>
      </c>
      <c r="C1198" s="7" t="s">
        <v>29</v>
      </c>
      <c r="D1198" s="7" t="s">
        <v>37</v>
      </c>
      <c r="E1198" s="7" t="s">
        <v>31</v>
      </c>
      <c r="F1198" s="0" t="n">
        <v>55.968</v>
      </c>
      <c r="G1198" s="0" t="n">
        <v>-2.0988</v>
      </c>
      <c r="H1198" s="0" t="n">
        <v>0.2</v>
      </c>
      <c r="I1198" s="7" t="n">
        <f aca="false">YEAR(B1198)</f>
        <v>2015</v>
      </c>
      <c r="J1198" s="0" t="str">
        <f aca="false">I1198&amp;"-Q"&amp;ROUNDUP(MONTH(B1198)/3,0)</f>
        <v>2015-Q3</v>
      </c>
    </row>
    <row r="1199" customFormat="false" ht="15" hidden="false" customHeight="false" outlineLevel="0" collapsed="false">
      <c r="A1199" s="0" t="s">
        <v>645</v>
      </c>
      <c r="B1199" s="6" t="n">
        <v>42468</v>
      </c>
      <c r="C1199" s="7" t="s">
        <v>45</v>
      </c>
      <c r="D1199" s="7" t="s">
        <v>46</v>
      </c>
      <c r="E1199" s="7" t="s">
        <v>39</v>
      </c>
      <c r="F1199" s="0" t="n">
        <v>431.928</v>
      </c>
      <c r="G1199" s="0" t="n">
        <v>64.7892</v>
      </c>
      <c r="H1199" s="0" t="n">
        <v>0.2</v>
      </c>
      <c r="I1199" s="7" t="n">
        <f aca="false">YEAR(B1199)</f>
        <v>2016</v>
      </c>
      <c r="J1199" s="0" t="str">
        <f aca="false">I1199&amp;"-Q"&amp;ROUNDUP(MONTH(B1199)/3,0)</f>
        <v>2016-Q2</v>
      </c>
    </row>
    <row r="1200" customFormat="false" ht="15" hidden="false" customHeight="false" outlineLevel="0" collapsed="false">
      <c r="A1200" s="0" t="s">
        <v>645</v>
      </c>
      <c r="B1200" s="6" t="n">
        <v>42468</v>
      </c>
      <c r="C1200" s="7" t="s">
        <v>45</v>
      </c>
      <c r="D1200" s="7" t="s">
        <v>46</v>
      </c>
      <c r="E1200" s="7" t="s">
        <v>31</v>
      </c>
      <c r="F1200" s="0" t="n">
        <v>95.984</v>
      </c>
      <c r="G1200" s="0" t="n">
        <v>-4.1136</v>
      </c>
      <c r="H1200" s="0" t="n">
        <v>0.3</v>
      </c>
      <c r="I1200" s="7" t="n">
        <f aca="false">YEAR(B1200)</f>
        <v>2016</v>
      </c>
      <c r="J1200" s="0" t="str">
        <f aca="false">I1200&amp;"-Q"&amp;ROUNDUP(MONTH(B1200)/3,0)</f>
        <v>2016-Q2</v>
      </c>
    </row>
    <row r="1201" customFormat="false" ht="15" hidden="false" customHeight="false" outlineLevel="0" collapsed="false">
      <c r="A1201" s="0" t="s">
        <v>645</v>
      </c>
      <c r="B1201" s="6" t="n">
        <v>42468</v>
      </c>
      <c r="C1201" s="7" t="s">
        <v>45</v>
      </c>
      <c r="D1201" s="7" t="s">
        <v>46</v>
      </c>
      <c r="E1201" s="7" t="s">
        <v>35</v>
      </c>
      <c r="F1201" s="0" t="n">
        <v>1088.792</v>
      </c>
      <c r="G1201" s="0" t="n">
        <v>-1850.9464</v>
      </c>
      <c r="H1201" s="0" t="n">
        <v>0.8</v>
      </c>
      <c r="I1201" s="7" t="n">
        <f aca="false">YEAR(B1201)</f>
        <v>2016</v>
      </c>
      <c r="J1201" s="0" t="str">
        <f aca="false">I1201&amp;"-Q"&amp;ROUNDUP(MONTH(B1201)/3,0)</f>
        <v>2016-Q2</v>
      </c>
    </row>
    <row r="1202" customFormat="false" ht="15" hidden="false" customHeight="false" outlineLevel="0" collapsed="false">
      <c r="A1202" s="0" t="s">
        <v>646</v>
      </c>
      <c r="B1202" s="6" t="n">
        <v>42569</v>
      </c>
      <c r="C1202" s="7" t="s">
        <v>33</v>
      </c>
      <c r="D1202" s="7" t="s">
        <v>109</v>
      </c>
      <c r="E1202" s="7" t="s">
        <v>31</v>
      </c>
      <c r="F1202" s="0" t="n">
        <v>544.008</v>
      </c>
      <c r="G1202" s="0" t="n">
        <v>40.8006</v>
      </c>
      <c r="H1202" s="0" t="n">
        <v>0.2</v>
      </c>
      <c r="I1202" s="7" t="n">
        <f aca="false">YEAR(B1202)</f>
        <v>2016</v>
      </c>
      <c r="J1202" s="0" t="str">
        <f aca="false">I1202&amp;"-Q"&amp;ROUNDUP(MONTH(B1202)/3,0)</f>
        <v>2016-Q3</v>
      </c>
    </row>
    <row r="1203" customFormat="false" ht="15" hidden="false" customHeight="false" outlineLevel="0" collapsed="false">
      <c r="A1203" s="0" t="s">
        <v>646</v>
      </c>
      <c r="B1203" s="6" t="n">
        <v>42569</v>
      </c>
      <c r="C1203" s="7" t="s">
        <v>33</v>
      </c>
      <c r="D1203" s="7" t="s">
        <v>109</v>
      </c>
      <c r="E1203" s="7" t="s">
        <v>35</v>
      </c>
      <c r="F1203" s="0" t="n">
        <v>1.872</v>
      </c>
      <c r="G1203" s="0" t="n">
        <v>-1.4352</v>
      </c>
      <c r="H1203" s="0" t="n">
        <v>0.7</v>
      </c>
      <c r="I1203" s="7" t="n">
        <f aca="false">YEAR(B1203)</f>
        <v>2016</v>
      </c>
      <c r="J1203" s="0" t="str">
        <f aca="false">I1203&amp;"-Q"&amp;ROUNDUP(MONTH(B1203)/3,0)</f>
        <v>2016-Q3</v>
      </c>
    </row>
    <row r="1204" customFormat="false" ht="15" hidden="false" customHeight="false" outlineLevel="0" collapsed="false">
      <c r="A1204" s="0" t="s">
        <v>646</v>
      </c>
      <c r="B1204" s="6" t="n">
        <v>42569</v>
      </c>
      <c r="C1204" s="7" t="s">
        <v>33</v>
      </c>
      <c r="D1204" s="7" t="s">
        <v>109</v>
      </c>
      <c r="E1204" s="7" t="s">
        <v>31</v>
      </c>
      <c r="F1204" s="0" t="n">
        <v>854.352</v>
      </c>
      <c r="G1204" s="0" t="n">
        <v>10.6794</v>
      </c>
      <c r="H1204" s="0" t="n">
        <v>0.2</v>
      </c>
      <c r="I1204" s="7" t="n">
        <f aca="false">YEAR(B1204)</f>
        <v>2016</v>
      </c>
      <c r="J1204" s="0" t="str">
        <f aca="false">I1204&amp;"-Q"&amp;ROUNDUP(MONTH(B1204)/3,0)</f>
        <v>2016-Q3</v>
      </c>
    </row>
    <row r="1205" customFormat="false" ht="15" hidden="false" customHeight="false" outlineLevel="0" collapsed="false">
      <c r="A1205" s="0" t="s">
        <v>646</v>
      </c>
      <c r="B1205" s="6" t="n">
        <v>42569</v>
      </c>
      <c r="C1205" s="7" t="s">
        <v>33</v>
      </c>
      <c r="D1205" s="7" t="s">
        <v>109</v>
      </c>
      <c r="E1205" s="7" t="s">
        <v>35</v>
      </c>
      <c r="F1205" s="0" t="n">
        <v>593.568</v>
      </c>
      <c r="G1205" s="0" t="n">
        <v>0</v>
      </c>
      <c r="H1205" s="0" t="n">
        <v>0.2</v>
      </c>
      <c r="I1205" s="7" t="n">
        <f aca="false">YEAR(B1205)</f>
        <v>2016</v>
      </c>
      <c r="J1205" s="0" t="str">
        <f aca="false">I1205&amp;"-Q"&amp;ROUNDUP(MONTH(B1205)/3,0)</f>
        <v>2016-Q3</v>
      </c>
    </row>
    <row r="1206" customFormat="false" ht="15" hidden="false" customHeight="false" outlineLevel="0" collapsed="false">
      <c r="A1206" s="0" t="s">
        <v>646</v>
      </c>
      <c r="B1206" s="6" t="n">
        <v>42569</v>
      </c>
      <c r="C1206" s="7" t="s">
        <v>33</v>
      </c>
      <c r="D1206" s="7" t="s">
        <v>109</v>
      </c>
      <c r="E1206" s="7" t="s">
        <v>35</v>
      </c>
      <c r="F1206" s="0" t="n">
        <v>338.04</v>
      </c>
      <c r="G1206" s="0" t="n">
        <v>-33.804</v>
      </c>
      <c r="H1206" s="0" t="n">
        <v>0.2</v>
      </c>
      <c r="I1206" s="7" t="n">
        <f aca="false">YEAR(B1206)</f>
        <v>2016</v>
      </c>
      <c r="J1206" s="0" t="str">
        <f aca="false">I1206&amp;"-Q"&amp;ROUNDUP(MONTH(B1206)/3,0)</f>
        <v>2016-Q3</v>
      </c>
    </row>
    <row r="1207" customFormat="false" ht="15" hidden="false" customHeight="false" outlineLevel="0" collapsed="false">
      <c r="A1207" s="0" t="s">
        <v>647</v>
      </c>
      <c r="B1207" s="6" t="n">
        <v>42948</v>
      </c>
      <c r="C1207" s="7" t="s">
        <v>29</v>
      </c>
      <c r="D1207" s="7" t="s">
        <v>41</v>
      </c>
      <c r="E1207" s="7" t="s">
        <v>39</v>
      </c>
      <c r="F1207" s="0" t="n">
        <v>271.96</v>
      </c>
      <c r="G1207" s="0" t="n">
        <v>16.9975</v>
      </c>
      <c r="H1207" s="0" t="n">
        <v>0.2</v>
      </c>
      <c r="I1207" s="7" t="n">
        <f aca="false">YEAR(B1207)</f>
        <v>2017</v>
      </c>
      <c r="J1207" s="0" t="str">
        <f aca="false">I1207&amp;"-Q"&amp;ROUNDUP(MONTH(B1207)/3,0)</f>
        <v>2017-Q3</v>
      </c>
    </row>
    <row r="1208" customFormat="false" ht="15" hidden="false" customHeight="false" outlineLevel="0" collapsed="false">
      <c r="A1208" s="0" t="s">
        <v>648</v>
      </c>
      <c r="B1208" s="6" t="n">
        <v>42565</v>
      </c>
      <c r="C1208" s="7" t="s">
        <v>55</v>
      </c>
      <c r="D1208" s="7" t="s">
        <v>76</v>
      </c>
      <c r="E1208" s="7" t="s">
        <v>35</v>
      </c>
      <c r="F1208" s="0" t="n">
        <v>11.21</v>
      </c>
      <c r="G1208" s="0" t="n">
        <v>3.363</v>
      </c>
      <c r="H1208" s="0" t="n">
        <v>0</v>
      </c>
      <c r="I1208" s="7" t="n">
        <f aca="false">YEAR(B1208)</f>
        <v>2016</v>
      </c>
      <c r="J1208" s="0" t="str">
        <f aca="false">I1208&amp;"-Q"&amp;ROUNDUP(MONTH(B1208)/3,0)</f>
        <v>2016-Q3</v>
      </c>
    </row>
    <row r="1209" customFormat="false" ht="15" hidden="false" customHeight="false" outlineLevel="0" collapsed="false">
      <c r="A1209" s="0" t="s">
        <v>648</v>
      </c>
      <c r="B1209" s="6" t="n">
        <v>42565</v>
      </c>
      <c r="C1209" s="7" t="s">
        <v>55</v>
      </c>
      <c r="D1209" s="7" t="s">
        <v>76</v>
      </c>
      <c r="E1209" s="7" t="s">
        <v>35</v>
      </c>
      <c r="F1209" s="0" t="n">
        <v>9.144</v>
      </c>
      <c r="G1209" s="0" t="n">
        <v>3.2004</v>
      </c>
      <c r="H1209" s="0" t="n">
        <v>0.2</v>
      </c>
      <c r="I1209" s="7" t="n">
        <f aca="false">YEAR(B1209)</f>
        <v>2016</v>
      </c>
      <c r="J1209" s="0" t="str">
        <f aca="false">I1209&amp;"-Q"&amp;ROUNDUP(MONTH(B1209)/3,0)</f>
        <v>2016-Q3</v>
      </c>
    </row>
    <row r="1210" customFormat="false" ht="15" hidden="false" customHeight="false" outlineLevel="0" collapsed="false">
      <c r="A1210" s="0" t="s">
        <v>648</v>
      </c>
      <c r="B1210" s="6" t="n">
        <v>42565</v>
      </c>
      <c r="C1210" s="7" t="s">
        <v>55</v>
      </c>
      <c r="D1210" s="7" t="s">
        <v>76</v>
      </c>
      <c r="E1210" s="7" t="s">
        <v>35</v>
      </c>
      <c r="F1210" s="0" t="n">
        <v>14.07</v>
      </c>
      <c r="G1210" s="0" t="n">
        <v>6.8943</v>
      </c>
      <c r="H1210" s="0" t="n">
        <v>0</v>
      </c>
      <c r="I1210" s="7" t="n">
        <f aca="false">YEAR(B1210)</f>
        <v>2016</v>
      </c>
      <c r="J1210" s="0" t="str">
        <f aca="false">I1210&amp;"-Q"&amp;ROUNDUP(MONTH(B1210)/3,0)</f>
        <v>2016-Q3</v>
      </c>
    </row>
    <row r="1211" customFormat="false" ht="15" hidden="false" customHeight="false" outlineLevel="0" collapsed="false">
      <c r="A1211" s="0" t="s">
        <v>648</v>
      </c>
      <c r="B1211" s="6" t="n">
        <v>42565</v>
      </c>
      <c r="C1211" s="7" t="s">
        <v>55</v>
      </c>
      <c r="D1211" s="7" t="s">
        <v>76</v>
      </c>
      <c r="E1211" s="7" t="s">
        <v>35</v>
      </c>
      <c r="F1211" s="0" t="n">
        <v>41.86</v>
      </c>
      <c r="G1211" s="0" t="n">
        <v>10.465</v>
      </c>
      <c r="H1211" s="0" t="n">
        <v>0</v>
      </c>
      <c r="I1211" s="7" t="n">
        <f aca="false">YEAR(B1211)</f>
        <v>2016</v>
      </c>
      <c r="J1211" s="0" t="str">
        <f aca="false">I1211&amp;"-Q"&amp;ROUNDUP(MONTH(B1211)/3,0)</f>
        <v>2016-Q3</v>
      </c>
    </row>
    <row r="1212" customFormat="false" ht="15" hidden="false" customHeight="false" outlineLevel="0" collapsed="false">
      <c r="A1212" s="0" t="s">
        <v>648</v>
      </c>
      <c r="B1212" s="6" t="n">
        <v>42565</v>
      </c>
      <c r="C1212" s="7" t="s">
        <v>55</v>
      </c>
      <c r="D1212" s="7" t="s">
        <v>76</v>
      </c>
      <c r="E1212" s="7" t="s">
        <v>35</v>
      </c>
      <c r="F1212" s="0" t="n">
        <v>8.544</v>
      </c>
      <c r="G1212" s="0" t="n">
        <v>2.8836</v>
      </c>
      <c r="H1212" s="0" t="n">
        <v>0.2</v>
      </c>
      <c r="I1212" s="7" t="n">
        <f aca="false">YEAR(B1212)</f>
        <v>2016</v>
      </c>
      <c r="J1212" s="0" t="str">
        <f aca="false">I1212&amp;"-Q"&amp;ROUNDUP(MONTH(B1212)/3,0)</f>
        <v>2016-Q3</v>
      </c>
    </row>
    <row r="1213" customFormat="false" ht="15" hidden="false" customHeight="false" outlineLevel="0" collapsed="false">
      <c r="A1213" s="0" t="s">
        <v>648</v>
      </c>
      <c r="B1213" s="6" t="n">
        <v>42565</v>
      </c>
      <c r="C1213" s="7" t="s">
        <v>55</v>
      </c>
      <c r="D1213" s="7" t="s">
        <v>76</v>
      </c>
      <c r="E1213" s="7" t="s">
        <v>31</v>
      </c>
      <c r="F1213" s="0" t="n">
        <v>579.136</v>
      </c>
      <c r="G1213" s="0" t="n">
        <v>21.7176</v>
      </c>
      <c r="H1213" s="0" t="n">
        <v>0.2</v>
      </c>
      <c r="I1213" s="7" t="n">
        <f aca="false">YEAR(B1213)</f>
        <v>2016</v>
      </c>
      <c r="J1213" s="0" t="str">
        <f aca="false">I1213&amp;"-Q"&amp;ROUNDUP(MONTH(B1213)/3,0)</f>
        <v>2016-Q3</v>
      </c>
    </row>
    <row r="1214" customFormat="false" ht="15" hidden="false" customHeight="false" outlineLevel="0" collapsed="false">
      <c r="A1214" s="0" t="s">
        <v>649</v>
      </c>
      <c r="B1214" s="6" t="n">
        <v>42987</v>
      </c>
      <c r="C1214" s="7" t="s">
        <v>55</v>
      </c>
      <c r="D1214" s="7" t="s">
        <v>56</v>
      </c>
      <c r="E1214" s="7" t="s">
        <v>31</v>
      </c>
      <c r="F1214" s="0" t="n">
        <v>141.372</v>
      </c>
      <c r="G1214" s="0" t="n">
        <v>-48.4704</v>
      </c>
      <c r="H1214" s="0" t="n">
        <v>0.3</v>
      </c>
      <c r="I1214" s="7" t="n">
        <f aca="false">YEAR(B1214)</f>
        <v>2017</v>
      </c>
      <c r="J1214" s="0" t="str">
        <f aca="false">I1214&amp;"-Q"&amp;ROUNDUP(MONTH(B1214)/3,0)</f>
        <v>2017-Q3</v>
      </c>
    </row>
    <row r="1215" customFormat="false" ht="15" hidden="false" customHeight="false" outlineLevel="0" collapsed="false">
      <c r="A1215" s="0" t="s">
        <v>649</v>
      </c>
      <c r="B1215" s="6" t="n">
        <v>42987</v>
      </c>
      <c r="C1215" s="7" t="s">
        <v>55</v>
      </c>
      <c r="D1215" s="7" t="s">
        <v>56</v>
      </c>
      <c r="E1215" s="7" t="s">
        <v>35</v>
      </c>
      <c r="F1215" s="0" t="n">
        <v>3.036</v>
      </c>
      <c r="G1215" s="0" t="n">
        <v>-2.3276</v>
      </c>
      <c r="H1215" s="0" t="n">
        <v>0.7</v>
      </c>
      <c r="I1215" s="7" t="n">
        <f aca="false">YEAR(B1215)</f>
        <v>2017</v>
      </c>
      <c r="J1215" s="0" t="str">
        <f aca="false">I1215&amp;"-Q"&amp;ROUNDUP(MONTH(B1215)/3,0)</f>
        <v>2017-Q3</v>
      </c>
    </row>
    <row r="1216" customFormat="false" ht="15" hidden="false" customHeight="false" outlineLevel="0" collapsed="false">
      <c r="A1216" s="0" t="s">
        <v>649</v>
      </c>
      <c r="B1216" s="6" t="n">
        <v>42987</v>
      </c>
      <c r="C1216" s="7" t="s">
        <v>55</v>
      </c>
      <c r="D1216" s="7" t="s">
        <v>56</v>
      </c>
      <c r="E1216" s="7" t="s">
        <v>35</v>
      </c>
      <c r="F1216" s="0" t="n">
        <v>4.503</v>
      </c>
      <c r="G1216" s="0" t="n">
        <v>-3.6024</v>
      </c>
      <c r="H1216" s="0" t="n">
        <v>0.7</v>
      </c>
      <c r="I1216" s="7" t="n">
        <f aca="false">YEAR(B1216)</f>
        <v>2017</v>
      </c>
      <c r="J1216" s="0" t="str">
        <f aca="false">I1216&amp;"-Q"&amp;ROUNDUP(MONTH(B1216)/3,0)</f>
        <v>2017-Q3</v>
      </c>
    </row>
    <row r="1217" customFormat="false" ht="15" hidden="false" customHeight="false" outlineLevel="0" collapsed="false">
      <c r="A1217" s="0" t="s">
        <v>649</v>
      </c>
      <c r="B1217" s="6" t="n">
        <v>42987</v>
      </c>
      <c r="C1217" s="7" t="s">
        <v>55</v>
      </c>
      <c r="D1217" s="7" t="s">
        <v>56</v>
      </c>
      <c r="E1217" s="7" t="s">
        <v>35</v>
      </c>
      <c r="F1217" s="0" t="n">
        <v>4.672</v>
      </c>
      <c r="G1217" s="0" t="n">
        <v>1.5768</v>
      </c>
      <c r="H1217" s="0" t="n">
        <v>0.2</v>
      </c>
      <c r="I1217" s="7" t="n">
        <f aca="false">YEAR(B1217)</f>
        <v>2017</v>
      </c>
      <c r="J1217" s="0" t="str">
        <f aca="false">I1217&amp;"-Q"&amp;ROUNDUP(MONTH(B1217)/3,0)</f>
        <v>2017-Q3</v>
      </c>
    </row>
    <row r="1218" customFormat="false" ht="15" hidden="false" customHeight="false" outlineLevel="0" collapsed="false">
      <c r="A1218" s="0" t="s">
        <v>649</v>
      </c>
      <c r="B1218" s="6" t="n">
        <v>42987</v>
      </c>
      <c r="C1218" s="7" t="s">
        <v>55</v>
      </c>
      <c r="D1218" s="7" t="s">
        <v>56</v>
      </c>
      <c r="E1218" s="7" t="s">
        <v>39</v>
      </c>
      <c r="F1218" s="0" t="n">
        <v>95.88</v>
      </c>
      <c r="G1218" s="0" t="n">
        <v>28.764</v>
      </c>
      <c r="H1218" s="0" t="n">
        <v>0.2</v>
      </c>
      <c r="I1218" s="7" t="n">
        <f aca="false">YEAR(B1218)</f>
        <v>2017</v>
      </c>
      <c r="J1218" s="0" t="str">
        <f aca="false">I1218&amp;"-Q"&amp;ROUNDUP(MONTH(B1218)/3,0)</f>
        <v>2017-Q3</v>
      </c>
    </row>
    <row r="1219" customFormat="false" ht="15" hidden="false" customHeight="false" outlineLevel="0" collapsed="false">
      <c r="A1219" s="0" t="s">
        <v>649</v>
      </c>
      <c r="B1219" s="6" t="n">
        <v>42987</v>
      </c>
      <c r="C1219" s="7" t="s">
        <v>55</v>
      </c>
      <c r="D1219" s="7" t="s">
        <v>56</v>
      </c>
      <c r="E1219" s="7" t="s">
        <v>31</v>
      </c>
      <c r="F1219" s="0" t="n">
        <v>17.024</v>
      </c>
      <c r="G1219" s="0" t="n">
        <v>1.7024</v>
      </c>
      <c r="H1219" s="0" t="n">
        <v>0.2</v>
      </c>
      <c r="I1219" s="7" t="n">
        <f aca="false">YEAR(B1219)</f>
        <v>2017</v>
      </c>
      <c r="J1219" s="0" t="str">
        <f aca="false">I1219&amp;"-Q"&amp;ROUNDUP(MONTH(B1219)/3,0)</f>
        <v>2017-Q3</v>
      </c>
    </row>
    <row r="1220" customFormat="false" ht="15" hidden="false" customHeight="false" outlineLevel="0" collapsed="false">
      <c r="A1220" s="0" t="s">
        <v>649</v>
      </c>
      <c r="B1220" s="6" t="n">
        <v>42987</v>
      </c>
      <c r="C1220" s="7" t="s">
        <v>55</v>
      </c>
      <c r="D1220" s="7" t="s">
        <v>56</v>
      </c>
      <c r="E1220" s="7" t="s">
        <v>39</v>
      </c>
      <c r="F1220" s="0" t="n">
        <v>258.696</v>
      </c>
      <c r="G1220" s="0" t="n">
        <v>64.674</v>
      </c>
      <c r="H1220" s="0" t="n">
        <v>0.2</v>
      </c>
      <c r="I1220" s="7" t="n">
        <f aca="false">YEAR(B1220)</f>
        <v>2017</v>
      </c>
      <c r="J1220" s="0" t="str">
        <f aca="false">I1220&amp;"-Q"&amp;ROUNDUP(MONTH(B1220)/3,0)</f>
        <v>2017-Q3</v>
      </c>
    </row>
    <row r="1221" customFormat="false" ht="15" hidden="false" customHeight="false" outlineLevel="0" collapsed="false">
      <c r="A1221" s="0" t="s">
        <v>649</v>
      </c>
      <c r="B1221" s="6" t="n">
        <v>42987</v>
      </c>
      <c r="C1221" s="7" t="s">
        <v>55</v>
      </c>
      <c r="D1221" s="7" t="s">
        <v>56</v>
      </c>
      <c r="E1221" s="7" t="s">
        <v>39</v>
      </c>
      <c r="F1221" s="0" t="n">
        <v>1931.958</v>
      </c>
      <c r="G1221" s="0" t="n">
        <v>-386.3916</v>
      </c>
      <c r="H1221" s="0" t="n">
        <v>0.4</v>
      </c>
      <c r="I1221" s="7" t="n">
        <f aca="false">YEAR(B1221)</f>
        <v>2017</v>
      </c>
      <c r="J1221" s="0" t="str">
        <f aca="false">I1221&amp;"-Q"&amp;ROUNDUP(MONTH(B1221)/3,0)</f>
        <v>2017-Q3</v>
      </c>
    </row>
    <row r="1222" customFormat="false" ht="15" hidden="false" customHeight="false" outlineLevel="0" collapsed="false">
      <c r="A1222" s="0" t="s">
        <v>650</v>
      </c>
      <c r="B1222" s="6" t="n">
        <v>41832</v>
      </c>
      <c r="C1222" s="7" t="s">
        <v>33</v>
      </c>
      <c r="D1222" s="7" t="s">
        <v>34</v>
      </c>
      <c r="E1222" s="7" t="s">
        <v>35</v>
      </c>
      <c r="F1222" s="0" t="n">
        <v>249.75</v>
      </c>
      <c r="G1222" s="0" t="n">
        <v>44.955</v>
      </c>
      <c r="H1222" s="0" t="n">
        <v>0</v>
      </c>
      <c r="I1222" s="7" t="n">
        <f aca="false">YEAR(B1222)</f>
        <v>2014</v>
      </c>
      <c r="J1222" s="0" t="str">
        <f aca="false">I1222&amp;"-Q"&amp;ROUNDUP(MONTH(B1222)/3,0)</f>
        <v>2014-Q3</v>
      </c>
    </row>
    <row r="1223" customFormat="false" ht="15" hidden="false" customHeight="false" outlineLevel="0" collapsed="false">
      <c r="A1223" s="0" t="s">
        <v>650</v>
      </c>
      <c r="B1223" s="6" t="n">
        <v>41832</v>
      </c>
      <c r="C1223" s="7" t="s">
        <v>33</v>
      </c>
      <c r="D1223" s="7" t="s">
        <v>34</v>
      </c>
      <c r="E1223" s="7" t="s">
        <v>39</v>
      </c>
      <c r="F1223" s="0" t="n">
        <v>255.936</v>
      </c>
      <c r="G1223" s="0" t="n">
        <v>28.7928</v>
      </c>
      <c r="H1223" s="0" t="n">
        <v>0.2</v>
      </c>
      <c r="I1223" s="7" t="n">
        <f aca="false">YEAR(B1223)</f>
        <v>2014</v>
      </c>
      <c r="J1223" s="0" t="str">
        <f aca="false">I1223&amp;"-Q"&amp;ROUNDUP(MONTH(B1223)/3,0)</f>
        <v>2014-Q3</v>
      </c>
    </row>
    <row r="1224" customFormat="false" ht="15" hidden="false" customHeight="false" outlineLevel="0" collapsed="false">
      <c r="A1224" s="0" t="s">
        <v>651</v>
      </c>
      <c r="B1224" s="6" t="n">
        <v>42708</v>
      </c>
      <c r="C1224" s="7" t="s">
        <v>55</v>
      </c>
      <c r="D1224" s="7" t="s">
        <v>76</v>
      </c>
      <c r="E1224" s="7" t="s">
        <v>31</v>
      </c>
      <c r="F1224" s="0" t="n">
        <v>113.79</v>
      </c>
      <c r="G1224" s="0" t="n">
        <v>20.4822</v>
      </c>
      <c r="H1224" s="0" t="n">
        <v>0</v>
      </c>
      <c r="I1224" s="7" t="n">
        <f aca="false">YEAR(B1224)</f>
        <v>2016</v>
      </c>
      <c r="J1224" s="0" t="str">
        <f aca="false">I1224&amp;"-Q"&amp;ROUNDUP(MONTH(B1224)/3,0)</f>
        <v>2016-Q4</v>
      </c>
    </row>
    <row r="1225" customFormat="false" ht="15" hidden="false" customHeight="false" outlineLevel="0" collapsed="false">
      <c r="A1225" s="0" t="s">
        <v>651</v>
      </c>
      <c r="B1225" s="6" t="n">
        <v>42708</v>
      </c>
      <c r="C1225" s="7" t="s">
        <v>55</v>
      </c>
      <c r="D1225" s="7" t="s">
        <v>76</v>
      </c>
      <c r="E1225" s="7" t="s">
        <v>39</v>
      </c>
      <c r="F1225" s="0" t="n">
        <v>78.15</v>
      </c>
      <c r="G1225" s="0" t="n">
        <v>34.386</v>
      </c>
      <c r="H1225" s="0" t="n">
        <v>0</v>
      </c>
      <c r="I1225" s="7" t="n">
        <f aca="false">YEAR(B1225)</f>
        <v>2016</v>
      </c>
      <c r="J1225" s="0" t="str">
        <f aca="false">I1225&amp;"-Q"&amp;ROUNDUP(MONTH(B1225)/3,0)</f>
        <v>2016-Q4</v>
      </c>
    </row>
    <row r="1226" customFormat="false" ht="15" hidden="false" customHeight="false" outlineLevel="0" collapsed="false">
      <c r="A1226" s="0" t="s">
        <v>651</v>
      </c>
      <c r="B1226" s="6" t="n">
        <v>42708</v>
      </c>
      <c r="C1226" s="7" t="s">
        <v>55</v>
      </c>
      <c r="D1226" s="7" t="s">
        <v>76</v>
      </c>
      <c r="E1226" s="7" t="s">
        <v>35</v>
      </c>
      <c r="F1226" s="0" t="n">
        <v>1.728</v>
      </c>
      <c r="G1226" s="0" t="n">
        <v>0.6048</v>
      </c>
      <c r="H1226" s="0" t="n">
        <v>0.2</v>
      </c>
      <c r="I1226" s="7" t="n">
        <f aca="false">YEAR(B1226)</f>
        <v>2016</v>
      </c>
      <c r="J1226" s="0" t="str">
        <f aca="false">I1226&amp;"-Q"&amp;ROUNDUP(MONTH(B1226)/3,0)</f>
        <v>2016-Q4</v>
      </c>
    </row>
    <row r="1227" customFormat="false" ht="15" hidden="false" customHeight="false" outlineLevel="0" collapsed="false">
      <c r="A1227" s="0" t="s">
        <v>651</v>
      </c>
      <c r="B1227" s="6" t="n">
        <v>42708</v>
      </c>
      <c r="C1227" s="7" t="s">
        <v>55</v>
      </c>
      <c r="D1227" s="7" t="s">
        <v>76</v>
      </c>
      <c r="E1227" s="7" t="s">
        <v>35</v>
      </c>
      <c r="F1227" s="0" t="n">
        <v>40.56</v>
      </c>
      <c r="G1227" s="0" t="n">
        <v>19.8744</v>
      </c>
      <c r="H1227" s="0" t="n">
        <v>0</v>
      </c>
      <c r="I1227" s="7" t="n">
        <f aca="false">YEAR(B1227)</f>
        <v>2016</v>
      </c>
      <c r="J1227" s="0" t="str">
        <f aca="false">I1227&amp;"-Q"&amp;ROUNDUP(MONTH(B1227)/3,0)</f>
        <v>2016-Q4</v>
      </c>
    </row>
    <row r="1228" customFormat="false" ht="15" hidden="false" customHeight="false" outlineLevel="0" collapsed="false">
      <c r="A1228" s="0" t="s">
        <v>651</v>
      </c>
      <c r="B1228" s="6" t="n">
        <v>42708</v>
      </c>
      <c r="C1228" s="7" t="s">
        <v>55</v>
      </c>
      <c r="D1228" s="7" t="s">
        <v>76</v>
      </c>
      <c r="E1228" s="7" t="s">
        <v>35</v>
      </c>
      <c r="F1228" s="0" t="n">
        <v>182.94</v>
      </c>
      <c r="G1228" s="0" t="n">
        <v>3.6588</v>
      </c>
      <c r="H1228" s="0" t="n">
        <v>0</v>
      </c>
      <c r="I1228" s="7" t="n">
        <f aca="false">YEAR(B1228)</f>
        <v>2016</v>
      </c>
      <c r="J1228" s="0" t="str">
        <f aca="false">I1228&amp;"-Q"&amp;ROUNDUP(MONTH(B1228)/3,0)</f>
        <v>2016-Q4</v>
      </c>
    </row>
    <row r="1229" customFormat="false" ht="15" hidden="false" customHeight="false" outlineLevel="0" collapsed="false">
      <c r="A1229" s="0" t="s">
        <v>651</v>
      </c>
      <c r="B1229" s="6" t="n">
        <v>42708</v>
      </c>
      <c r="C1229" s="7" t="s">
        <v>55</v>
      </c>
      <c r="D1229" s="7" t="s">
        <v>76</v>
      </c>
      <c r="E1229" s="7" t="s">
        <v>35</v>
      </c>
      <c r="F1229" s="0" t="n">
        <v>193.86</v>
      </c>
      <c r="G1229" s="0" t="n">
        <v>11.6316</v>
      </c>
      <c r="H1229" s="0" t="n">
        <v>0</v>
      </c>
      <c r="I1229" s="7" t="n">
        <f aca="false">YEAR(B1229)</f>
        <v>2016</v>
      </c>
      <c r="J1229" s="0" t="str">
        <f aca="false">I1229&amp;"-Q"&amp;ROUNDUP(MONTH(B1229)/3,0)</f>
        <v>2016-Q4</v>
      </c>
    </row>
    <row r="1230" customFormat="false" ht="15" hidden="false" customHeight="false" outlineLevel="0" collapsed="false">
      <c r="A1230" s="0" t="s">
        <v>652</v>
      </c>
      <c r="B1230" s="6" t="n">
        <v>43045</v>
      </c>
      <c r="C1230" s="7" t="s">
        <v>33</v>
      </c>
      <c r="D1230" s="7" t="s">
        <v>34</v>
      </c>
      <c r="E1230" s="7" t="s">
        <v>35</v>
      </c>
      <c r="F1230" s="0" t="n">
        <v>15.28</v>
      </c>
      <c r="G1230" s="0" t="n">
        <v>7.4872</v>
      </c>
      <c r="H1230" s="0" t="n">
        <v>0</v>
      </c>
      <c r="I1230" s="7" t="n">
        <f aca="false">YEAR(B1230)</f>
        <v>2017</v>
      </c>
      <c r="J1230" s="0" t="str">
        <f aca="false">I1230&amp;"-Q"&amp;ROUNDUP(MONTH(B1230)/3,0)</f>
        <v>2017-Q4</v>
      </c>
    </row>
    <row r="1231" customFormat="false" ht="15" hidden="false" customHeight="false" outlineLevel="0" collapsed="false">
      <c r="A1231" s="0" t="s">
        <v>652</v>
      </c>
      <c r="B1231" s="6" t="n">
        <v>43045</v>
      </c>
      <c r="C1231" s="7" t="s">
        <v>33</v>
      </c>
      <c r="D1231" s="7" t="s">
        <v>34</v>
      </c>
      <c r="E1231" s="7" t="s">
        <v>31</v>
      </c>
      <c r="F1231" s="0" t="n">
        <v>8.73</v>
      </c>
      <c r="G1231" s="0" t="n">
        <v>2.9682</v>
      </c>
      <c r="H1231" s="0" t="n">
        <v>0</v>
      </c>
      <c r="I1231" s="7" t="n">
        <f aca="false">YEAR(B1231)</f>
        <v>2017</v>
      </c>
      <c r="J1231" s="0" t="str">
        <f aca="false">I1231&amp;"-Q"&amp;ROUNDUP(MONTH(B1231)/3,0)</f>
        <v>2017-Q4</v>
      </c>
    </row>
    <row r="1232" customFormat="false" ht="15" hidden="false" customHeight="false" outlineLevel="0" collapsed="false">
      <c r="A1232" s="0" t="s">
        <v>652</v>
      </c>
      <c r="B1232" s="6" t="n">
        <v>43045</v>
      </c>
      <c r="C1232" s="7" t="s">
        <v>33</v>
      </c>
      <c r="D1232" s="7" t="s">
        <v>34</v>
      </c>
      <c r="E1232" s="7" t="s">
        <v>35</v>
      </c>
      <c r="F1232" s="0" t="n">
        <v>5.68</v>
      </c>
      <c r="G1232" s="0" t="n">
        <v>1.7608</v>
      </c>
      <c r="H1232" s="0" t="n">
        <v>0</v>
      </c>
      <c r="I1232" s="7" t="n">
        <f aca="false">YEAR(B1232)</f>
        <v>2017</v>
      </c>
      <c r="J1232" s="0" t="str">
        <f aca="false">I1232&amp;"-Q"&amp;ROUNDUP(MONTH(B1232)/3,0)</f>
        <v>2017-Q4</v>
      </c>
    </row>
    <row r="1233" customFormat="false" ht="15" hidden="false" customHeight="false" outlineLevel="0" collapsed="false">
      <c r="A1233" s="0" t="s">
        <v>653</v>
      </c>
      <c r="B1233" s="6" t="n">
        <v>42308</v>
      </c>
      <c r="C1233" s="7" t="s">
        <v>55</v>
      </c>
      <c r="D1233" s="7" t="s">
        <v>76</v>
      </c>
      <c r="E1233" s="7" t="s">
        <v>35</v>
      </c>
      <c r="F1233" s="0" t="n">
        <v>2.78</v>
      </c>
      <c r="G1233" s="0" t="n">
        <v>0.7228</v>
      </c>
      <c r="H1233" s="0" t="n">
        <v>0</v>
      </c>
      <c r="I1233" s="7" t="n">
        <f aca="false">YEAR(B1233)</f>
        <v>2015</v>
      </c>
      <c r="J1233" s="0" t="str">
        <f aca="false">I1233&amp;"-Q"&amp;ROUNDUP(MONTH(B1233)/3,0)</f>
        <v>2015-Q4</v>
      </c>
    </row>
    <row r="1234" customFormat="false" ht="15" hidden="false" customHeight="false" outlineLevel="0" collapsed="false">
      <c r="A1234" s="0" t="s">
        <v>653</v>
      </c>
      <c r="B1234" s="6" t="n">
        <v>42308</v>
      </c>
      <c r="C1234" s="7" t="s">
        <v>55</v>
      </c>
      <c r="D1234" s="7" t="s">
        <v>76</v>
      </c>
      <c r="E1234" s="7" t="s">
        <v>35</v>
      </c>
      <c r="F1234" s="0" t="n">
        <v>79.96</v>
      </c>
      <c r="G1234" s="0" t="n">
        <v>35.982</v>
      </c>
      <c r="H1234" s="0" t="n">
        <v>0</v>
      </c>
      <c r="I1234" s="7" t="n">
        <f aca="false">YEAR(B1234)</f>
        <v>2015</v>
      </c>
      <c r="J1234" s="0" t="str">
        <f aca="false">I1234&amp;"-Q"&amp;ROUNDUP(MONTH(B1234)/3,0)</f>
        <v>2015-Q4</v>
      </c>
    </row>
    <row r="1235" customFormat="false" ht="15" hidden="false" customHeight="false" outlineLevel="0" collapsed="false">
      <c r="A1235" s="0" t="s">
        <v>654</v>
      </c>
      <c r="B1235" s="6" t="n">
        <v>42520</v>
      </c>
      <c r="C1235" s="7" t="s">
        <v>55</v>
      </c>
      <c r="D1235" s="7" t="s">
        <v>116</v>
      </c>
      <c r="E1235" s="7" t="s">
        <v>39</v>
      </c>
      <c r="F1235" s="0" t="n">
        <v>839.988</v>
      </c>
      <c r="G1235" s="0" t="n">
        <v>69.999</v>
      </c>
      <c r="H1235" s="0" t="n">
        <v>0.4</v>
      </c>
      <c r="I1235" s="7" t="n">
        <f aca="false">YEAR(B1235)</f>
        <v>2016</v>
      </c>
      <c r="J1235" s="0" t="str">
        <f aca="false">I1235&amp;"-Q"&amp;ROUNDUP(MONTH(B1235)/3,0)</f>
        <v>2016-Q2</v>
      </c>
    </row>
    <row r="1236" customFormat="false" ht="15" hidden="false" customHeight="false" outlineLevel="0" collapsed="false">
      <c r="A1236" s="0" t="s">
        <v>655</v>
      </c>
      <c r="B1236" s="6" t="n">
        <v>42671</v>
      </c>
      <c r="C1236" s="7" t="s">
        <v>29</v>
      </c>
      <c r="D1236" s="7" t="s">
        <v>37</v>
      </c>
      <c r="E1236" s="7" t="s">
        <v>31</v>
      </c>
      <c r="F1236" s="0" t="n">
        <v>47.952</v>
      </c>
      <c r="G1236" s="0" t="n">
        <v>13.7862</v>
      </c>
      <c r="H1236" s="0" t="n">
        <v>0.2</v>
      </c>
      <c r="I1236" s="7" t="n">
        <f aca="false">YEAR(B1236)</f>
        <v>2016</v>
      </c>
      <c r="J1236" s="0" t="str">
        <f aca="false">I1236&amp;"-Q"&amp;ROUNDUP(MONTH(B1236)/3,0)</f>
        <v>2016-Q4</v>
      </c>
    </row>
    <row r="1237" customFormat="false" ht="15" hidden="false" customHeight="false" outlineLevel="0" collapsed="false">
      <c r="A1237" s="0" t="s">
        <v>655</v>
      </c>
      <c r="B1237" s="6" t="n">
        <v>42671</v>
      </c>
      <c r="C1237" s="7" t="s">
        <v>29</v>
      </c>
      <c r="D1237" s="7" t="s">
        <v>37</v>
      </c>
      <c r="E1237" s="7" t="s">
        <v>35</v>
      </c>
      <c r="F1237" s="0" t="n">
        <v>37.425</v>
      </c>
      <c r="G1237" s="0" t="n">
        <v>-29.94</v>
      </c>
      <c r="H1237" s="0" t="n">
        <v>0.7</v>
      </c>
      <c r="I1237" s="7" t="n">
        <f aca="false">YEAR(B1237)</f>
        <v>2016</v>
      </c>
      <c r="J1237" s="0" t="str">
        <f aca="false">I1237&amp;"-Q"&amp;ROUNDUP(MONTH(B1237)/3,0)</f>
        <v>2016-Q4</v>
      </c>
    </row>
    <row r="1238" customFormat="false" ht="15" hidden="false" customHeight="false" outlineLevel="0" collapsed="false">
      <c r="A1238" s="0" t="s">
        <v>655</v>
      </c>
      <c r="B1238" s="6" t="n">
        <v>42671</v>
      </c>
      <c r="C1238" s="7" t="s">
        <v>29</v>
      </c>
      <c r="D1238" s="7" t="s">
        <v>37</v>
      </c>
      <c r="E1238" s="7" t="s">
        <v>31</v>
      </c>
      <c r="F1238" s="0" t="n">
        <v>63.968</v>
      </c>
      <c r="G1238" s="0" t="n">
        <v>0</v>
      </c>
      <c r="H1238" s="0" t="n">
        <v>0.2</v>
      </c>
      <c r="I1238" s="7" t="n">
        <f aca="false">YEAR(B1238)</f>
        <v>2016</v>
      </c>
      <c r="J1238" s="0" t="str">
        <f aca="false">I1238&amp;"-Q"&amp;ROUNDUP(MONTH(B1238)/3,0)</f>
        <v>2016-Q4</v>
      </c>
    </row>
    <row r="1239" customFormat="false" ht="15" hidden="false" customHeight="false" outlineLevel="0" collapsed="false">
      <c r="A1239" s="0" t="s">
        <v>655</v>
      </c>
      <c r="B1239" s="6" t="n">
        <v>42671</v>
      </c>
      <c r="C1239" s="7" t="s">
        <v>29</v>
      </c>
      <c r="D1239" s="7" t="s">
        <v>37</v>
      </c>
      <c r="E1239" s="7" t="s">
        <v>31</v>
      </c>
      <c r="F1239" s="0" t="n">
        <v>165.048</v>
      </c>
      <c r="G1239" s="0" t="n">
        <v>41.262</v>
      </c>
      <c r="H1239" s="0" t="n">
        <v>0.2</v>
      </c>
      <c r="I1239" s="7" t="n">
        <f aca="false">YEAR(B1239)</f>
        <v>2016</v>
      </c>
      <c r="J1239" s="0" t="str">
        <f aca="false">I1239&amp;"-Q"&amp;ROUNDUP(MONTH(B1239)/3,0)</f>
        <v>2016-Q4</v>
      </c>
    </row>
    <row r="1240" customFormat="false" ht="15" hidden="false" customHeight="false" outlineLevel="0" collapsed="false">
      <c r="A1240" s="0" t="s">
        <v>656</v>
      </c>
      <c r="B1240" s="6" t="n">
        <v>41862</v>
      </c>
      <c r="C1240" s="7" t="s">
        <v>33</v>
      </c>
      <c r="D1240" s="7" t="s">
        <v>43</v>
      </c>
      <c r="E1240" s="7" t="s">
        <v>31</v>
      </c>
      <c r="F1240" s="0" t="n">
        <v>12.35</v>
      </c>
      <c r="G1240" s="0" t="n">
        <v>5.434</v>
      </c>
      <c r="H1240" s="0" t="n">
        <v>0</v>
      </c>
      <c r="I1240" s="7" t="n">
        <f aca="false">YEAR(B1240)</f>
        <v>2014</v>
      </c>
      <c r="J1240" s="0" t="str">
        <f aca="false">I1240&amp;"-Q"&amp;ROUNDUP(MONTH(B1240)/3,0)</f>
        <v>2014-Q3</v>
      </c>
    </row>
    <row r="1241" customFormat="false" ht="15" hidden="false" customHeight="false" outlineLevel="0" collapsed="false">
      <c r="A1241" s="0" t="s">
        <v>656</v>
      </c>
      <c r="B1241" s="6" t="n">
        <v>41862</v>
      </c>
      <c r="C1241" s="7" t="s">
        <v>33</v>
      </c>
      <c r="D1241" s="7" t="s">
        <v>43</v>
      </c>
      <c r="E1241" s="7" t="s">
        <v>35</v>
      </c>
      <c r="F1241" s="0" t="n">
        <v>40.97</v>
      </c>
      <c r="G1241" s="0" t="n">
        <v>10.6522</v>
      </c>
      <c r="H1241" s="0" t="n">
        <v>0</v>
      </c>
      <c r="I1241" s="7" t="n">
        <f aca="false">YEAR(B1241)</f>
        <v>2014</v>
      </c>
      <c r="J1241" s="0" t="str">
        <f aca="false">I1241&amp;"-Q"&amp;ROUNDUP(MONTH(B1241)/3,0)</f>
        <v>2014-Q3</v>
      </c>
    </row>
    <row r="1242" customFormat="false" ht="15" hidden="false" customHeight="false" outlineLevel="0" collapsed="false">
      <c r="A1242" s="0" t="s">
        <v>656</v>
      </c>
      <c r="B1242" s="6" t="n">
        <v>41862</v>
      </c>
      <c r="C1242" s="7" t="s">
        <v>33</v>
      </c>
      <c r="D1242" s="7" t="s">
        <v>43</v>
      </c>
      <c r="E1242" s="7" t="s">
        <v>35</v>
      </c>
      <c r="F1242" s="0" t="n">
        <v>22.96</v>
      </c>
      <c r="G1242" s="0" t="n">
        <v>10.7912</v>
      </c>
      <c r="H1242" s="0" t="n">
        <v>0</v>
      </c>
      <c r="I1242" s="7" t="n">
        <f aca="false">YEAR(B1242)</f>
        <v>2014</v>
      </c>
      <c r="J1242" s="0" t="str">
        <f aca="false">I1242&amp;"-Q"&amp;ROUNDUP(MONTH(B1242)/3,0)</f>
        <v>2014-Q3</v>
      </c>
    </row>
    <row r="1243" customFormat="false" ht="15" hidden="false" customHeight="false" outlineLevel="0" collapsed="false">
      <c r="A1243" s="0" t="s">
        <v>657</v>
      </c>
      <c r="B1243" s="6" t="n">
        <v>42611</v>
      </c>
      <c r="C1243" s="7" t="s">
        <v>55</v>
      </c>
      <c r="D1243" s="7" t="s">
        <v>76</v>
      </c>
      <c r="E1243" s="7" t="s">
        <v>39</v>
      </c>
      <c r="F1243" s="0" t="n">
        <v>22</v>
      </c>
      <c r="G1243" s="0" t="n">
        <v>5.5</v>
      </c>
      <c r="H1243" s="0" t="n">
        <v>0</v>
      </c>
      <c r="I1243" s="7" t="n">
        <f aca="false">YEAR(B1243)</f>
        <v>2016</v>
      </c>
      <c r="J1243" s="0" t="str">
        <f aca="false">I1243&amp;"-Q"&amp;ROUNDUP(MONTH(B1243)/3,0)</f>
        <v>2016-Q3</v>
      </c>
    </row>
    <row r="1244" customFormat="false" ht="15" hidden="false" customHeight="false" outlineLevel="0" collapsed="false">
      <c r="A1244" s="0" t="s">
        <v>658</v>
      </c>
      <c r="B1244" s="6" t="n">
        <v>42415</v>
      </c>
      <c r="C1244" s="7" t="s">
        <v>55</v>
      </c>
      <c r="D1244" s="7" t="s">
        <v>76</v>
      </c>
      <c r="E1244" s="7" t="s">
        <v>35</v>
      </c>
      <c r="F1244" s="0" t="n">
        <v>398.352</v>
      </c>
      <c r="G1244" s="0" t="n">
        <v>124.485</v>
      </c>
      <c r="H1244" s="0" t="n">
        <v>0.2</v>
      </c>
      <c r="I1244" s="7" t="n">
        <f aca="false">YEAR(B1244)</f>
        <v>2016</v>
      </c>
      <c r="J1244" s="0" t="str">
        <f aca="false">I1244&amp;"-Q"&amp;ROUNDUP(MONTH(B1244)/3,0)</f>
        <v>2016-Q1</v>
      </c>
    </row>
    <row r="1245" customFormat="false" ht="15" hidden="false" customHeight="false" outlineLevel="0" collapsed="false">
      <c r="A1245" s="0" t="s">
        <v>658</v>
      </c>
      <c r="B1245" s="6" t="n">
        <v>42415</v>
      </c>
      <c r="C1245" s="7" t="s">
        <v>55</v>
      </c>
      <c r="D1245" s="7" t="s">
        <v>76</v>
      </c>
      <c r="E1245" s="7" t="s">
        <v>35</v>
      </c>
      <c r="F1245" s="0" t="n">
        <v>8.72</v>
      </c>
      <c r="G1245" s="0" t="n">
        <v>3.5752</v>
      </c>
      <c r="H1245" s="0" t="n">
        <v>0</v>
      </c>
      <c r="I1245" s="7" t="n">
        <f aca="false">YEAR(B1245)</f>
        <v>2016</v>
      </c>
      <c r="J1245" s="0" t="str">
        <f aca="false">I1245&amp;"-Q"&amp;ROUNDUP(MONTH(B1245)/3,0)</f>
        <v>2016-Q1</v>
      </c>
    </row>
    <row r="1246" customFormat="false" ht="15" hidden="false" customHeight="false" outlineLevel="0" collapsed="false">
      <c r="A1246" s="0" t="s">
        <v>659</v>
      </c>
      <c r="B1246" s="6" t="n">
        <v>42869</v>
      </c>
      <c r="C1246" s="7" t="s">
        <v>29</v>
      </c>
      <c r="D1246" s="7" t="s">
        <v>265</v>
      </c>
      <c r="E1246" s="7" t="s">
        <v>35</v>
      </c>
      <c r="F1246" s="0" t="n">
        <v>48.69</v>
      </c>
      <c r="G1246" s="0" t="n">
        <v>23.8581</v>
      </c>
      <c r="H1246" s="0" t="n">
        <v>0</v>
      </c>
      <c r="I1246" s="7" t="n">
        <f aca="false">YEAR(B1246)</f>
        <v>2017</v>
      </c>
      <c r="J1246" s="0" t="str">
        <f aca="false">I1246&amp;"-Q"&amp;ROUNDUP(MONTH(B1246)/3,0)</f>
        <v>2017-Q2</v>
      </c>
    </row>
    <row r="1247" customFormat="false" ht="15" hidden="false" customHeight="false" outlineLevel="0" collapsed="false">
      <c r="A1247" s="0" t="s">
        <v>660</v>
      </c>
      <c r="B1247" s="6" t="n">
        <v>41985</v>
      </c>
      <c r="C1247" s="7" t="s">
        <v>33</v>
      </c>
      <c r="D1247" s="7" t="s">
        <v>34</v>
      </c>
      <c r="E1247" s="7" t="s">
        <v>31</v>
      </c>
      <c r="F1247" s="0" t="n">
        <v>764.688</v>
      </c>
      <c r="G1247" s="0" t="n">
        <v>95.586</v>
      </c>
      <c r="H1247" s="0" t="n">
        <v>0.2</v>
      </c>
      <c r="I1247" s="7" t="n">
        <f aca="false">YEAR(B1247)</f>
        <v>2014</v>
      </c>
      <c r="J1247" s="0" t="str">
        <f aca="false">I1247&amp;"-Q"&amp;ROUNDUP(MONTH(B1247)/3,0)</f>
        <v>2014-Q4</v>
      </c>
    </row>
    <row r="1248" customFormat="false" ht="15" hidden="false" customHeight="false" outlineLevel="0" collapsed="false">
      <c r="A1248" s="0" t="s">
        <v>660</v>
      </c>
      <c r="B1248" s="6" t="n">
        <v>41985</v>
      </c>
      <c r="C1248" s="7" t="s">
        <v>33</v>
      </c>
      <c r="D1248" s="7" t="s">
        <v>34</v>
      </c>
      <c r="E1248" s="7" t="s">
        <v>31</v>
      </c>
      <c r="F1248" s="0" t="n">
        <v>3610.848</v>
      </c>
      <c r="G1248" s="0" t="n">
        <v>135.4068</v>
      </c>
      <c r="H1248" s="0" t="n">
        <v>0.2</v>
      </c>
      <c r="I1248" s="7" t="n">
        <f aca="false">YEAR(B1248)</f>
        <v>2014</v>
      </c>
      <c r="J1248" s="0" t="str">
        <f aca="false">I1248&amp;"-Q"&amp;ROUNDUP(MONTH(B1248)/3,0)</f>
        <v>2014-Q4</v>
      </c>
    </row>
    <row r="1249" customFormat="false" ht="15" hidden="false" customHeight="false" outlineLevel="0" collapsed="false">
      <c r="A1249" s="0" t="s">
        <v>660</v>
      </c>
      <c r="B1249" s="6" t="n">
        <v>41985</v>
      </c>
      <c r="C1249" s="7" t="s">
        <v>33</v>
      </c>
      <c r="D1249" s="7" t="s">
        <v>34</v>
      </c>
      <c r="E1249" s="7" t="s">
        <v>31</v>
      </c>
      <c r="F1249" s="0" t="n">
        <v>254.9745</v>
      </c>
      <c r="G1249" s="0" t="n">
        <v>11.9988</v>
      </c>
      <c r="H1249" s="0" t="n">
        <v>0.15</v>
      </c>
      <c r="I1249" s="7" t="n">
        <f aca="false">YEAR(B1249)</f>
        <v>2014</v>
      </c>
      <c r="J1249" s="0" t="str">
        <f aca="false">I1249&amp;"-Q"&amp;ROUNDUP(MONTH(B1249)/3,0)</f>
        <v>2014-Q4</v>
      </c>
    </row>
    <row r="1250" customFormat="false" ht="15" hidden="false" customHeight="false" outlineLevel="0" collapsed="false">
      <c r="A1250" s="0" t="s">
        <v>661</v>
      </c>
      <c r="B1250" s="6" t="n">
        <v>43087</v>
      </c>
      <c r="C1250" s="7" t="s">
        <v>55</v>
      </c>
      <c r="D1250" s="7" t="s">
        <v>76</v>
      </c>
      <c r="E1250" s="7" t="s">
        <v>35</v>
      </c>
      <c r="F1250" s="0" t="n">
        <v>38.82</v>
      </c>
      <c r="G1250" s="0" t="n">
        <v>17.469</v>
      </c>
      <c r="H1250" s="0" t="n">
        <v>0</v>
      </c>
      <c r="I1250" s="7" t="n">
        <f aca="false">YEAR(B1250)</f>
        <v>2017</v>
      </c>
      <c r="J1250" s="0" t="str">
        <f aca="false">I1250&amp;"-Q"&amp;ROUNDUP(MONTH(B1250)/3,0)</f>
        <v>2017-Q4</v>
      </c>
    </row>
    <row r="1251" customFormat="false" ht="15" hidden="false" customHeight="false" outlineLevel="0" collapsed="false">
      <c r="A1251" s="0" t="s">
        <v>661</v>
      </c>
      <c r="B1251" s="6" t="n">
        <v>43087</v>
      </c>
      <c r="C1251" s="7" t="s">
        <v>55</v>
      </c>
      <c r="D1251" s="7" t="s">
        <v>76</v>
      </c>
      <c r="E1251" s="7" t="s">
        <v>31</v>
      </c>
      <c r="F1251" s="0" t="n">
        <v>1141.938</v>
      </c>
      <c r="G1251" s="0" t="n">
        <v>139.5702</v>
      </c>
      <c r="H1251" s="0" t="n">
        <v>0.1</v>
      </c>
      <c r="I1251" s="7" t="n">
        <f aca="false">YEAR(B1251)</f>
        <v>2017</v>
      </c>
      <c r="J1251" s="0" t="str">
        <f aca="false">I1251&amp;"-Q"&amp;ROUNDUP(MONTH(B1251)/3,0)</f>
        <v>2017-Q4</v>
      </c>
    </row>
    <row r="1252" customFormat="false" ht="15" hidden="false" customHeight="false" outlineLevel="0" collapsed="false">
      <c r="A1252" s="0" t="s">
        <v>661</v>
      </c>
      <c r="B1252" s="6" t="n">
        <v>43087</v>
      </c>
      <c r="C1252" s="7" t="s">
        <v>55</v>
      </c>
      <c r="D1252" s="7" t="s">
        <v>76</v>
      </c>
      <c r="E1252" s="7" t="s">
        <v>35</v>
      </c>
      <c r="F1252" s="0" t="n">
        <v>1704.56</v>
      </c>
      <c r="G1252" s="0" t="n">
        <v>511.368</v>
      </c>
      <c r="H1252" s="0" t="n">
        <v>0</v>
      </c>
      <c r="I1252" s="7" t="n">
        <f aca="false">YEAR(B1252)</f>
        <v>2017</v>
      </c>
      <c r="J1252" s="0" t="str">
        <f aca="false">I1252&amp;"-Q"&amp;ROUNDUP(MONTH(B1252)/3,0)</f>
        <v>2017-Q4</v>
      </c>
    </row>
    <row r="1253" customFormat="false" ht="15" hidden="false" customHeight="false" outlineLevel="0" collapsed="false">
      <c r="A1253" s="0" t="s">
        <v>661</v>
      </c>
      <c r="B1253" s="6" t="n">
        <v>43087</v>
      </c>
      <c r="C1253" s="7" t="s">
        <v>55</v>
      </c>
      <c r="D1253" s="7" t="s">
        <v>76</v>
      </c>
      <c r="E1253" s="7" t="s">
        <v>35</v>
      </c>
      <c r="F1253" s="0" t="n">
        <v>3.2</v>
      </c>
      <c r="G1253" s="0" t="n">
        <v>1.376</v>
      </c>
      <c r="H1253" s="0" t="n">
        <v>0</v>
      </c>
      <c r="I1253" s="7" t="n">
        <f aca="false">YEAR(B1253)</f>
        <v>2017</v>
      </c>
      <c r="J1253" s="0" t="str">
        <f aca="false">I1253&amp;"-Q"&amp;ROUNDUP(MONTH(B1253)/3,0)</f>
        <v>2017-Q4</v>
      </c>
    </row>
    <row r="1254" customFormat="false" ht="15" hidden="false" customHeight="false" outlineLevel="0" collapsed="false">
      <c r="A1254" s="0" t="s">
        <v>662</v>
      </c>
      <c r="B1254" s="6" t="n">
        <v>42189</v>
      </c>
      <c r="C1254" s="7" t="s">
        <v>45</v>
      </c>
      <c r="D1254" s="7" t="s">
        <v>48</v>
      </c>
      <c r="E1254" s="7" t="s">
        <v>39</v>
      </c>
      <c r="F1254" s="0" t="n">
        <v>1099.96</v>
      </c>
      <c r="G1254" s="0" t="n">
        <v>285.9896</v>
      </c>
      <c r="H1254" s="0" t="n">
        <v>0</v>
      </c>
      <c r="I1254" s="7" t="n">
        <f aca="false">YEAR(B1254)</f>
        <v>2015</v>
      </c>
      <c r="J1254" s="0" t="str">
        <f aca="false">I1254&amp;"-Q"&amp;ROUNDUP(MONTH(B1254)/3,0)</f>
        <v>2015-Q3</v>
      </c>
    </row>
    <row r="1255" customFormat="false" ht="15" hidden="false" customHeight="false" outlineLevel="0" collapsed="false">
      <c r="A1255" s="0" t="s">
        <v>663</v>
      </c>
      <c r="B1255" s="6" t="n">
        <v>42804</v>
      </c>
      <c r="C1255" s="7" t="s">
        <v>55</v>
      </c>
      <c r="D1255" s="7" t="s">
        <v>56</v>
      </c>
      <c r="E1255" s="7" t="s">
        <v>35</v>
      </c>
      <c r="F1255" s="0" t="n">
        <v>5.248</v>
      </c>
      <c r="G1255" s="0" t="n">
        <v>0.5904</v>
      </c>
      <c r="H1255" s="0" t="n">
        <v>0.2</v>
      </c>
      <c r="I1255" s="7" t="n">
        <f aca="false">YEAR(B1255)</f>
        <v>2017</v>
      </c>
      <c r="J1255" s="0" t="str">
        <f aca="false">I1255&amp;"-Q"&amp;ROUNDUP(MONTH(B1255)/3,0)</f>
        <v>2017-Q1</v>
      </c>
    </row>
    <row r="1256" customFormat="false" ht="15" hidden="false" customHeight="false" outlineLevel="0" collapsed="false">
      <c r="A1256" s="0" t="s">
        <v>663</v>
      </c>
      <c r="B1256" s="6" t="n">
        <v>42804</v>
      </c>
      <c r="C1256" s="7" t="s">
        <v>55</v>
      </c>
      <c r="D1256" s="7" t="s">
        <v>56</v>
      </c>
      <c r="E1256" s="7" t="s">
        <v>39</v>
      </c>
      <c r="F1256" s="0" t="n">
        <v>35.91</v>
      </c>
      <c r="G1256" s="0" t="n">
        <v>-8.379</v>
      </c>
      <c r="H1256" s="0" t="n">
        <v>0.4</v>
      </c>
      <c r="I1256" s="7" t="n">
        <f aca="false">YEAR(B1256)</f>
        <v>2017</v>
      </c>
      <c r="J1256" s="0" t="str">
        <f aca="false">I1256&amp;"-Q"&amp;ROUNDUP(MONTH(B1256)/3,0)</f>
        <v>2017-Q1</v>
      </c>
    </row>
    <row r="1257" customFormat="false" ht="15" hidden="false" customHeight="false" outlineLevel="0" collapsed="false">
      <c r="A1257" s="0" t="s">
        <v>663</v>
      </c>
      <c r="B1257" s="6" t="n">
        <v>42804</v>
      </c>
      <c r="C1257" s="7" t="s">
        <v>55</v>
      </c>
      <c r="D1257" s="7" t="s">
        <v>56</v>
      </c>
      <c r="E1257" s="7" t="s">
        <v>31</v>
      </c>
      <c r="F1257" s="0" t="n">
        <v>6.696</v>
      </c>
      <c r="G1257" s="0" t="n">
        <v>0.5022</v>
      </c>
      <c r="H1257" s="0" t="n">
        <v>0.2</v>
      </c>
      <c r="I1257" s="7" t="n">
        <f aca="false">YEAR(B1257)</f>
        <v>2017</v>
      </c>
      <c r="J1257" s="0" t="str">
        <f aca="false">I1257&amp;"-Q"&amp;ROUNDUP(MONTH(B1257)/3,0)</f>
        <v>2017-Q1</v>
      </c>
    </row>
    <row r="1258" customFormat="false" ht="15" hidden="false" customHeight="false" outlineLevel="0" collapsed="false">
      <c r="A1258" s="0" t="s">
        <v>663</v>
      </c>
      <c r="B1258" s="6" t="n">
        <v>42804</v>
      </c>
      <c r="C1258" s="7" t="s">
        <v>55</v>
      </c>
      <c r="D1258" s="7" t="s">
        <v>56</v>
      </c>
      <c r="E1258" s="7" t="s">
        <v>31</v>
      </c>
      <c r="F1258" s="0" t="n">
        <v>43.872</v>
      </c>
      <c r="G1258" s="0" t="n">
        <v>11.5164</v>
      </c>
      <c r="H1258" s="0" t="n">
        <v>0.2</v>
      </c>
      <c r="I1258" s="7" t="n">
        <f aca="false">YEAR(B1258)</f>
        <v>2017</v>
      </c>
      <c r="J1258" s="0" t="str">
        <f aca="false">I1258&amp;"-Q"&amp;ROUNDUP(MONTH(B1258)/3,0)</f>
        <v>2017-Q1</v>
      </c>
    </row>
    <row r="1259" customFormat="false" ht="15" hidden="false" customHeight="false" outlineLevel="0" collapsed="false">
      <c r="A1259" s="0" t="s">
        <v>664</v>
      </c>
      <c r="B1259" s="6" t="n">
        <v>42728</v>
      </c>
      <c r="C1259" s="7" t="s">
        <v>29</v>
      </c>
      <c r="D1259" s="7" t="s">
        <v>41</v>
      </c>
      <c r="E1259" s="7" t="s">
        <v>35</v>
      </c>
      <c r="F1259" s="0" t="n">
        <v>27.882</v>
      </c>
      <c r="G1259" s="0" t="n">
        <v>-20.4468</v>
      </c>
      <c r="H1259" s="0" t="n">
        <v>0.7</v>
      </c>
      <c r="I1259" s="7" t="n">
        <f aca="false">YEAR(B1259)</f>
        <v>2016</v>
      </c>
      <c r="J1259" s="0" t="str">
        <f aca="false">I1259&amp;"-Q"&amp;ROUNDUP(MONTH(B1259)/3,0)</f>
        <v>2016-Q4</v>
      </c>
    </row>
    <row r="1260" customFormat="false" ht="15" hidden="false" customHeight="false" outlineLevel="0" collapsed="false">
      <c r="A1260" s="0" t="s">
        <v>664</v>
      </c>
      <c r="B1260" s="6" t="n">
        <v>42728</v>
      </c>
      <c r="C1260" s="7" t="s">
        <v>29</v>
      </c>
      <c r="D1260" s="7" t="s">
        <v>41</v>
      </c>
      <c r="E1260" s="7" t="s">
        <v>35</v>
      </c>
      <c r="F1260" s="0" t="n">
        <v>540.048</v>
      </c>
      <c r="G1260" s="0" t="n">
        <v>-47.2542</v>
      </c>
      <c r="H1260" s="0" t="n">
        <v>0.2</v>
      </c>
      <c r="I1260" s="7" t="n">
        <f aca="false">YEAR(B1260)</f>
        <v>2016</v>
      </c>
      <c r="J1260" s="0" t="str">
        <f aca="false">I1260&amp;"-Q"&amp;ROUNDUP(MONTH(B1260)/3,0)</f>
        <v>2016-Q4</v>
      </c>
    </row>
    <row r="1261" customFormat="false" ht="15" hidden="false" customHeight="false" outlineLevel="0" collapsed="false">
      <c r="A1261" s="0" t="s">
        <v>664</v>
      </c>
      <c r="B1261" s="6" t="n">
        <v>42728</v>
      </c>
      <c r="C1261" s="7" t="s">
        <v>29</v>
      </c>
      <c r="D1261" s="7" t="s">
        <v>41</v>
      </c>
      <c r="E1261" s="7" t="s">
        <v>39</v>
      </c>
      <c r="F1261" s="0" t="n">
        <v>255.68</v>
      </c>
      <c r="G1261" s="0" t="n">
        <v>76.704</v>
      </c>
      <c r="H1261" s="0" t="n">
        <v>0.2</v>
      </c>
      <c r="I1261" s="7" t="n">
        <f aca="false">YEAR(B1261)</f>
        <v>2016</v>
      </c>
      <c r="J1261" s="0" t="str">
        <f aca="false">I1261&amp;"-Q"&amp;ROUNDUP(MONTH(B1261)/3,0)</f>
        <v>2016-Q4</v>
      </c>
    </row>
    <row r="1262" customFormat="false" ht="15" hidden="false" customHeight="false" outlineLevel="0" collapsed="false">
      <c r="A1262" s="0" t="s">
        <v>665</v>
      </c>
      <c r="B1262" s="6" t="n">
        <v>43031</v>
      </c>
      <c r="C1262" s="7" t="s">
        <v>29</v>
      </c>
      <c r="D1262" s="7" t="s">
        <v>37</v>
      </c>
      <c r="E1262" s="7" t="s">
        <v>39</v>
      </c>
      <c r="F1262" s="0" t="n">
        <v>863.88</v>
      </c>
      <c r="G1262" s="0" t="n">
        <v>107.985</v>
      </c>
      <c r="H1262" s="0" t="n">
        <v>0.2</v>
      </c>
      <c r="I1262" s="7" t="n">
        <f aca="false">YEAR(B1262)</f>
        <v>2017</v>
      </c>
      <c r="J1262" s="0" t="str">
        <f aca="false">I1262&amp;"-Q"&amp;ROUNDUP(MONTH(B1262)/3,0)</f>
        <v>2017-Q4</v>
      </c>
    </row>
    <row r="1263" customFormat="false" ht="15" hidden="false" customHeight="false" outlineLevel="0" collapsed="false">
      <c r="A1263" s="0" t="s">
        <v>666</v>
      </c>
      <c r="B1263" s="6" t="n">
        <v>42671</v>
      </c>
      <c r="C1263" s="7" t="s">
        <v>29</v>
      </c>
      <c r="D1263" s="7" t="s">
        <v>41</v>
      </c>
      <c r="E1263" s="7" t="s">
        <v>35</v>
      </c>
      <c r="F1263" s="0" t="n">
        <v>17.616</v>
      </c>
      <c r="G1263" s="0" t="n">
        <v>-14.0928</v>
      </c>
      <c r="H1263" s="0" t="n">
        <v>0.7</v>
      </c>
      <c r="I1263" s="7" t="n">
        <f aca="false">YEAR(B1263)</f>
        <v>2016</v>
      </c>
      <c r="J1263" s="0" t="str">
        <f aca="false">I1263&amp;"-Q"&amp;ROUNDUP(MONTH(B1263)/3,0)</f>
        <v>2016-Q4</v>
      </c>
    </row>
    <row r="1264" customFormat="false" ht="15" hidden="false" customHeight="false" outlineLevel="0" collapsed="false">
      <c r="A1264" s="0" t="s">
        <v>667</v>
      </c>
      <c r="B1264" s="6" t="n">
        <v>42923</v>
      </c>
      <c r="C1264" s="7" t="s">
        <v>55</v>
      </c>
      <c r="D1264" s="7" t="s">
        <v>76</v>
      </c>
      <c r="E1264" s="7" t="s">
        <v>35</v>
      </c>
      <c r="F1264" s="0" t="n">
        <v>17.472</v>
      </c>
      <c r="G1264" s="0" t="n">
        <v>6.3336</v>
      </c>
      <c r="H1264" s="0" t="n">
        <v>0.2</v>
      </c>
      <c r="I1264" s="7" t="n">
        <f aca="false">YEAR(B1264)</f>
        <v>2017</v>
      </c>
      <c r="J1264" s="0" t="str">
        <f aca="false">I1264&amp;"-Q"&amp;ROUNDUP(MONTH(B1264)/3,0)</f>
        <v>2017-Q3</v>
      </c>
    </row>
    <row r="1265" customFormat="false" ht="15" hidden="false" customHeight="false" outlineLevel="0" collapsed="false">
      <c r="A1265" s="0" t="s">
        <v>668</v>
      </c>
      <c r="B1265" s="6" t="n">
        <v>42644</v>
      </c>
      <c r="C1265" s="7" t="s">
        <v>45</v>
      </c>
      <c r="D1265" s="7" t="s">
        <v>74</v>
      </c>
      <c r="E1265" s="7" t="s">
        <v>39</v>
      </c>
      <c r="F1265" s="0" t="n">
        <v>69.9</v>
      </c>
      <c r="G1265" s="0" t="n">
        <v>18.873</v>
      </c>
      <c r="H1265" s="0" t="n">
        <v>0</v>
      </c>
      <c r="I1265" s="7" t="n">
        <f aca="false">YEAR(B1265)</f>
        <v>2016</v>
      </c>
      <c r="J1265" s="0" t="str">
        <f aca="false">I1265&amp;"-Q"&amp;ROUNDUP(MONTH(B1265)/3,0)</f>
        <v>2016-Q4</v>
      </c>
    </row>
    <row r="1266" customFormat="false" ht="15" hidden="false" customHeight="false" outlineLevel="0" collapsed="false">
      <c r="A1266" s="0" t="s">
        <v>668</v>
      </c>
      <c r="B1266" s="6" t="n">
        <v>42644</v>
      </c>
      <c r="C1266" s="7" t="s">
        <v>45</v>
      </c>
      <c r="D1266" s="7" t="s">
        <v>74</v>
      </c>
      <c r="E1266" s="7" t="s">
        <v>31</v>
      </c>
      <c r="F1266" s="0" t="n">
        <v>41.85</v>
      </c>
      <c r="G1266" s="0" t="n">
        <v>10.881</v>
      </c>
      <c r="H1266" s="0" t="n">
        <v>0</v>
      </c>
      <c r="I1266" s="7" t="n">
        <f aca="false">YEAR(B1266)</f>
        <v>2016</v>
      </c>
      <c r="J1266" s="0" t="str">
        <f aca="false">I1266&amp;"-Q"&amp;ROUNDUP(MONTH(B1266)/3,0)</f>
        <v>2016-Q4</v>
      </c>
    </row>
    <row r="1267" customFormat="false" ht="15" hidden="false" customHeight="false" outlineLevel="0" collapsed="false">
      <c r="A1267" s="0" t="s">
        <v>669</v>
      </c>
      <c r="B1267" s="6" t="n">
        <v>42980</v>
      </c>
      <c r="C1267" s="7" t="s">
        <v>33</v>
      </c>
      <c r="D1267" s="7" t="s">
        <v>34</v>
      </c>
      <c r="E1267" s="7" t="s">
        <v>35</v>
      </c>
      <c r="F1267" s="0" t="n">
        <v>6.57</v>
      </c>
      <c r="G1267" s="0" t="n">
        <v>1.7739</v>
      </c>
      <c r="H1267" s="0" t="n">
        <v>0</v>
      </c>
      <c r="I1267" s="7" t="n">
        <f aca="false">YEAR(B1267)</f>
        <v>2017</v>
      </c>
      <c r="J1267" s="0" t="str">
        <f aca="false">I1267&amp;"-Q"&amp;ROUNDUP(MONTH(B1267)/3,0)</f>
        <v>2017-Q3</v>
      </c>
    </row>
    <row r="1268" customFormat="false" ht="15" hidden="false" customHeight="false" outlineLevel="0" collapsed="false">
      <c r="A1268" s="0" t="s">
        <v>670</v>
      </c>
      <c r="B1268" s="6" t="n">
        <v>41997</v>
      </c>
      <c r="C1268" s="7" t="s">
        <v>33</v>
      </c>
      <c r="D1268" s="7" t="s">
        <v>34</v>
      </c>
      <c r="E1268" s="7" t="s">
        <v>35</v>
      </c>
      <c r="F1268" s="0" t="n">
        <v>142.86</v>
      </c>
      <c r="G1268" s="0" t="n">
        <v>41.4294</v>
      </c>
      <c r="H1268" s="0" t="n">
        <v>0</v>
      </c>
      <c r="I1268" s="7" t="n">
        <f aca="false">YEAR(B1268)</f>
        <v>2014</v>
      </c>
      <c r="J1268" s="0" t="str">
        <f aca="false">I1268&amp;"-Q"&amp;ROUNDUP(MONTH(B1268)/3,0)</f>
        <v>2014-Q4</v>
      </c>
    </row>
    <row r="1269" customFormat="false" ht="15" hidden="false" customHeight="false" outlineLevel="0" collapsed="false">
      <c r="A1269" s="0" t="s">
        <v>670</v>
      </c>
      <c r="B1269" s="6" t="n">
        <v>41997</v>
      </c>
      <c r="C1269" s="7" t="s">
        <v>33</v>
      </c>
      <c r="D1269" s="7" t="s">
        <v>34</v>
      </c>
      <c r="E1269" s="7" t="s">
        <v>31</v>
      </c>
      <c r="F1269" s="0" t="n">
        <v>292.272</v>
      </c>
      <c r="G1269" s="0" t="n">
        <v>18.267</v>
      </c>
      <c r="H1269" s="0" t="n">
        <v>0.2</v>
      </c>
      <c r="I1269" s="7" t="n">
        <f aca="false">YEAR(B1269)</f>
        <v>2014</v>
      </c>
      <c r="J1269" s="0" t="str">
        <f aca="false">I1269&amp;"-Q"&amp;ROUNDUP(MONTH(B1269)/3,0)</f>
        <v>2014-Q4</v>
      </c>
    </row>
    <row r="1270" customFormat="false" ht="15" hidden="false" customHeight="false" outlineLevel="0" collapsed="false">
      <c r="A1270" s="0" t="s">
        <v>671</v>
      </c>
      <c r="B1270" s="6" t="n">
        <v>43001</v>
      </c>
      <c r="C1270" s="7" t="s">
        <v>33</v>
      </c>
      <c r="D1270" s="7" t="s">
        <v>109</v>
      </c>
      <c r="E1270" s="7" t="s">
        <v>31</v>
      </c>
      <c r="F1270" s="0" t="n">
        <v>29.328</v>
      </c>
      <c r="G1270" s="0" t="n">
        <v>3.666</v>
      </c>
      <c r="H1270" s="0" t="n">
        <v>0.2</v>
      </c>
      <c r="I1270" s="7" t="n">
        <f aca="false">YEAR(B1270)</f>
        <v>2017</v>
      </c>
      <c r="J1270" s="0" t="str">
        <f aca="false">I1270&amp;"-Q"&amp;ROUNDUP(MONTH(B1270)/3,0)</f>
        <v>2017-Q3</v>
      </c>
    </row>
    <row r="1271" customFormat="false" ht="15" hidden="false" customHeight="false" outlineLevel="0" collapsed="false">
      <c r="A1271" s="0" t="s">
        <v>672</v>
      </c>
      <c r="B1271" s="6" t="n">
        <v>42890</v>
      </c>
      <c r="C1271" s="7" t="s">
        <v>29</v>
      </c>
      <c r="D1271" s="7" t="s">
        <v>91</v>
      </c>
      <c r="E1271" s="7" t="s">
        <v>35</v>
      </c>
      <c r="F1271" s="0" t="n">
        <v>12.48</v>
      </c>
      <c r="G1271" s="0" t="n">
        <v>5.616</v>
      </c>
      <c r="H1271" s="0" t="n">
        <v>0</v>
      </c>
      <c r="I1271" s="7" t="n">
        <f aca="false">YEAR(B1271)</f>
        <v>2017</v>
      </c>
      <c r="J1271" s="0" t="str">
        <f aca="false">I1271&amp;"-Q"&amp;ROUNDUP(MONTH(B1271)/3,0)</f>
        <v>2017-Q2</v>
      </c>
    </row>
    <row r="1272" customFormat="false" ht="15" hidden="false" customHeight="false" outlineLevel="0" collapsed="false">
      <c r="A1272" s="0" t="s">
        <v>673</v>
      </c>
      <c r="B1272" s="6" t="n">
        <v>42481</v>
      </c>
      <c r="C1272" s="7" t="s">
        <v>45</v>
      </c>
      <c r="D1272" s="7" t="s">
        <v>64</v>
      </c>
      <c r="E1272" s="7" t="s">
        <v>35</v>
      </c>
      <c r="F1272" s="0" t="n">
        <v>102.336</v>
      </c>
      <c r="G1272" s="0" t="n">
        <v>-12.792</v>
      </c>
      <c r="H1272" s="0" t="n">
        <v>0.2</v>
      </c>
      <c r="I1272" s="7" t="n">
        <f aca="false">YEAR(B1272)</f>
        <v>2016</v>
      </c>
      <c r="J1272" s="0" t="str">
        <f aca="false">I1272&amp;"-Q"&amp;ROUNDUP(MONTH(B1272)/3,0)</f>
        <v>2016-Q2</v>
      </c>
    </row>
    <row r="1273" customFormat="false" ht="15" hidden="false" customHeight="false" outlineLevel="0" collapsed="false">
      <c r="A1273" s="0" t="s">
        <v>673</v>
      </c>
      <c r="B1273" s="6" t="n">
        <v>42481</v>
      </c>
      <c r="C1273" s="7" t="s">
        <v>45</v>
      </c>
      <c r="D1273" s="7" t="s">
        <v>64</v>
      </c>
      <c r="E1273" s="7" t="s">
        <v>35</v>
      </c>
      <c r="F1273" s="0" t="n">
        <v>48.792</v>
      </c>
      <c r="G1273" s="0" t="n">
        <v>-126.8592</v>
      </c>
      <c r="H1273" s="0" t="n">
        <v>0.8</v>
      </c>
      <c r="I1273" s="7" t="n">
        <f aca="false">YEAR(B1273)</f>
        <v>2016</v>
      </c>
      <c r="J1273" s="0" t="str">
        <f aca="false">I1273&amp;"-Q"&amp;ROUNDUP(MONTH(B1273)/3,0)</f>
        <v>2016-Q2</v>
      </c>
    </row>
    <row r="1274" customFormat="false" ht="15" hidden="false" customHeight="false" outlineLevel="0" collapsed="false">
      <c r="A1274" s="0" t="s">
        <v>673</v>
      </c>
      <c r="B1274" s="6" t="n">
        <v>42481</v>
      </c>
      <c r="C1274" s="7" t="s">
        <v>45</v>
      </c>
      <c r="D1274" s="7" t="s">
        <v>64</v>
      </c>
      <c r="E1274" s="7" t="s">
        <v>35</v>
      </c>
      <c r="F1274" s="0" t="n">
        <v>44.848</v>
      </c>
      <c r="G1274" s="0" t="n">
        <v>-67.272</v>
      </c>
      <c r="H1274" s="0" t="n">
        <v>0.8</v>
      </c>
      <c r="I1274" s="7" t="n">
        <f aca="false">YEAR(B1274)</f>
        <v>2016</v>
      </c>
      <c r="J1274" s="0" t="str">
        <f aca="false">I1274&amp;"-Q"&amp;ROUNDUP(MONTH(B1274)/3,0)</f>
        <v>2016-Q2</v>
      </c>
    </row>
    <row r="1275" customFormat="false" ht="15" hidden="false" customHeight="false" outlineLevel="0" collapsed="false">
      <c r="A1275" s="0" t="s">
        <v>674</v>
      </c>
      <c r="B1275" s="6" t="n">
        <v>42516</v>
      </c>
      <c r="C1275" s="7" t="s">
        <v>45</v>
      </c>
      <c r="D1275" s="7" t="s">
        <v>46</v>
      </c>
      <c r="E1275" s="7" t="s">
        <v>35</v>
      </c>
      <c r="F1275" s="0" t="n">
        <v>10.368</v>
      </c>
      <c r="G1275" s="0" t="n">
        <v>3.6288</v>
      </c>
      <c r="H1275" s="0" t="n">
        <v>0.2</v>
      </c>
      <c r="I1275" s="7" t="n">
        <f aca="false">YEAR(B1275)</f>
        <v>2016</v>
      </c>
      <c r="J1275" s="0" t="str">
        <f aca="false">I1275&amp;"-Q"&amp;ROUNDUP(MONTH(B1275)/3,0)</f>
        <v>2016-Q2</v>
      </c>
    </row>
    <row r="1276" customFormat="false" ht="15" hidden="false" customHeight="false" outlineLevel="0" collapsed="false">
      <c r="A1276" s="0" t="s">
        <v>674</v>
      </c>
      <c r="B1276" s="6" t="n">
        <v>42516</v>
      </c>
      <c r="C1276" s="7" t="s">
        <v>45</v>
      </c>
      <c r="D1276" s="7" t="s">
        <v>46</v>
      </c>
      <c r="E1276" s="7" t="s">
        <v>31</v>
      </c>
      <c r="F1276" s="0" t="n">
        <v>388.43</v>
      </c>
      <c r="G1276" s="0" t="n">
        <v>-88.784</v>
      </c>
      <c r="H1276" s="0" t="n">
        <v>0.3</v>
      </c>
      <c r="I1276" s="7" t="n">
        <f aca="false">YEAR(B1276)</f>
        <v>2016</v>
      </c>
      <c r="J1276" s="0" t="str">
        <f aca="false">I1276&amp;"-Q"&amp;ROUNDUP(MONTH(B1276)/3,0)</f>
        <v>2016-Q2</v>
      </c>
    </row>
    <row r="1277" customFormat="false" ht="15" hidden="false" customHeight="false" outlineLevel="0" collapsed="false">
      <c r="A1277" s="0" t="s">
        <v>674</v>
      </c>
      <c r="B1277" s="6" t="n">
        <v>42516</v>
      </c>
      <c r="C1277" s="7" t="s">
        <v>45</v>
      </c>
      <c r="D1277" s="7" t="s">
        <v>46</v>
      </c>
      <c r="E1277" s="7" t="s">
        <v>35</v>
      </c>
      <c r="F1277" s="0" t="n">
        <v>14.352</v>
      </c>
      <c r="G1277" s="0" t="n">
        <v>5.2026</v>
      </c>
      <c r="H1277" s="0" t="n">
        <v>0.2</v>
      </c>
      <c r="I1277" s="7" t="n">
        <f aca="false">YEAR(B1277)</f>
        <v>2016</v>
      </c>
      <c r="J1277" s="0" t="str">
        <f aca="false">I1277&amp;"-Q"&amp;ROUNDUP(MONTH(B1277)/3,0)</f>
        <v>2016-Q2</v>
      </c>
    </row>
    <row r="1278" customFormat="false" ht="15" hidden="false" customHeight="false" outlineLevel="0" collapsed="false">
      <c r="A1278" s="0" t="s">
        <v>674</v>
      </c>
      <c r="B1278" s="6" t="n">
        <v>42516</v>
      </c>
      <c r="C1278" s="7" t="s">
        <v>45</v>
      </c>
      <c r="D1278" s="7" t="s">
        <v>46</v>
      </c>
      <c r="E1278" s="7" t="s">
        <v>39</v>
      </c>
      <c r="F1278" s="0" t="n">
        <v>63.992</v>
      </c>
      <c r="G1278" s="0" t="n">
        <v>-7.1991</v>
      </c>
      <c r="H1278" s="0" t="n">
        <v>0.2</v>
      </c>
      <c r="I1278" s="7" t="n">
        <f aca="false">YEAR(B1278)</f>
        <v>2016</v>
      </c>
      <c r="J1278" s="0" t="str">
        <f aca="false">I1278&amp;"-Q"&amp;ROUNDUP(MONTH(B1278)/3,0)</f>
        <v>2016-Q2</v>
      </c>
    </row>
    <row r="1279" customFormat="false" ht="15" hidden="false" customHeight="false" outlineLevel="0" collapsed="false">
      <c r="A1279" s="0" t="s">
        <v>675</v>
      </c>
      <c r="B1279" s="6" t="n">
        <v>42492</v>
      </c>
      <c r="C1279" s="7" t="s">
        <v>45</v>
      </c>
      <c r="D1279" s="7" t="s">
        <v>46</v>
      </c>
      <c r="E1279" s="7" t="s">
        <v>35</v>
      </c>
      <c r="F1279" s="0" t="n">
        <v>86.352</v>
      </c>
      <c r="G1279" s="0" t="n">
        <v>5.397</v>
      </c>
      <c r="H1279" s="0" t="n">
        <v>0.2</v>
      </c>
      <c r="I1279" s="7" t="n">
        <f aca="false">YEAR(B1279)</f>
        <v>2016</v>
      </c>
      <c r="J1279" s="0" t="str">
        <f aca="false">I1279&amp;"-Q"&amp;ROUNDUP(MONTH(B1279)/3,0)</f>
        <v>2016-Q2</v>
      </c>
    </row>
    <row r="1280" customFormat="false" ht="15" hidden="false" customHeight="false" outlineLevel="0" collapsed="false">
      <c r="A1280" s="0" t="s">
        <v>676</v>
      </c>
      <c r="B1280" s="6" t="n">
        <v>41890</v>
      </c>
      <c r="C1280" s="7" t="s">
        <v>29</v>
      </c>
      <c r="D1280" s="7" t="s">
        <v>230</v>
      </c>
      <c r="E1280" s="7" t="s">
        <v>39</v>
      </c>
      <c r="F1280" s="0" t="n">
        <v>32.97</v>
      </c>
      <c r="G1280" s="0" t="n">
        <v>12.8583</v>
      </c>
      <c r="H1280" s="0" t="n">
        <v>0</v>
      </c>
      <c r="I1280" s="7" t="n">
        <f aca="false">YEAR(B1280)</f>
        <v>2014</v>
      </c>
      <c r="J1280" s="0" t="str">
        <f aca="false">I1280&amp;"-Q"&amp;ROUNDUP(MONTH(B1280)/3,0)</f>
        <v>2014-Q3</v>
      </c>
    </row>
    <row r="1281" customFormat="false" ht="15" hidden="false" customHeight="false" outlineLevel="0" collapsed="false">
      <c r="A1281" s="0" t="s">
        <v>676</v>
      </c>
      <c r="B1281" s="6" t="n">
        <v>41890</v>
      </c>
      <c r="C1281" s="7" t="s">
        <v>29</v>
      </c>
      <c r="D1281" s="7" t="s">
        <v>230</v>
      </c>
      <c r="E1281" s="7" t="s">
        <v>39</v>
      </c>
      <c r="F1281" s="0" t="n">
        <v>83.88</v>
      </c>
      <c r="G1281" s="0" t="n">
        <v>30.1968</v>
      </c>
      <c r="H1281" s="0" t="n">
        <v>0</v>
      </c>
      <c r="I1281" s="7" t="n">
        <f aca="false">YEAR(B1281)</f>
        <v>2014</v>
      </c>
      <c r="J1281" s="0" t="str">
        <f aca="false">I1281&amp;"-Q"&amp;ROUNDUP(MONTH(B1281)/3,0)</f>
        <v>2014-Q3</v>
      </c>
    </row>
    <row r="1282" customFormat="false" ht="15" hidden="false" customHeight="false" outlineLevel="0" collapsed="false">
      <c r="A1282" s="0" t="s">
        <v>677</v>
      </c>
      <c r="B1282" s="6" t="n">
        <v>42618</v>
      </c>
      <c r="C1282" s="7" t="s">
        <v>45</v>
      </c>
      <c r="D1282" s="7" t="s">
        <v>114</v>
      </c>
      <c r="E1282" s="7" t="s">
        <v>39</v>
      </c>
      <c r="F1282" s="0" t="n">
        <v>278.4</v>
      </c>
      <c r="G1282" s="0" t="n">
        <v>80.736</v>
      </c>
      <c r="H1282" s="0" t="n">
        <v>0</v>
      </c>
      <c r="I1282" s="7" t="n">
        <f aca="false">YEAR(B1282)</f>
        <v>2016</v>
      </c>
      <c r="J1282" s="0" t="str">
        <f aca="false">I1282&amp;"-Q"&amp;ROUNDUP(MONTH(B1282)/3,0)</f>
        <v>2016-Q3</v>
      </c>
    </row>
    <row r="1283" customFormat="false" ht="15" hidden="false" customHeight="false" outlineLevel="0" collapsed="false">
      <c r="A1283" s="0" t="s">
        <v>678</v>
      </c>
      <c r="B1283" s="6" t="n">
        <v>42834</v>
      </c>
      <c r="C1283" s="7" t="s">
        <v>29</v>
      </c>
      <c r="D1283" s="7" t="s">
        <v>37</v>
      </c>
      <c r="E1283" s="7" t="s">
        <v>35</v>
      </c>
      <c r="F1283" s="0" t="n">
        <v>15.12</v>
      </c>
      <c r="G1283" s="0" t="n">
        <v>4.914</v>
      </c>
      <c r="H1283" s="0" t="n">
        <v>0.2</v>
      </c>
      <c r="I1283" s="7" t="n">
        <f aca="false">YEAR(B1283)</f>
        <v>2017</v>
      </c>
      <c r="J1283" s="0" t="str">
        <f aca="false">I1283&amp;"-Q"&amp;ROUNDUP(MONTH(B1283)/3,0)</f>
        <v>2017-Q2</v>
      </c>
    </row>
    <row r="1284" customFormat="false" ht="15" hidden="false" customHeight="false" outlineLevel="0" collapsed="false">
      <c r="A1284" s="0" t="s">
        <v>678</v>
      </c>
      <c r="B1284" s="6" t="n">
        <v>42834</v>
      </c>
      <c r="C1284" s="7" t="s">
        <v>29</v>
      </c>
      <c r="D1284" s="7" t="s">
        <v>37</v>
      </c>
      <c r="E1284" s="7" t="s">
        <v>35</v>
      </c>
      <c r="F1284" s="0" t="n">
        <v>17.43</v>
      </c>
      <c r="G1284" s="0" t="n">
        <v>-13.363</v>
      </c>
      <c r="H1284" s="0" t="n">
        <v>0.7</v>
      </c>
      <c r="I1284" s="7" t="n">
        <f aca="false">YEAR(B1284)</f>
        <v>2017</v>
      </c>
      <c r="J1284" s="0" t="str">
        <f aca="false">I1284&amp;"-Q"&amp;ROUNDUP(MONTH(B1284)/3,0)</f>
        <v>2017-Q2</v>
      </c>
    </row>
    <row r="1285" customFormat="false" ht="15" hidden="false" customHeight="false" outlineLevel="0" collapsed="false">
      <c r="A1285" s="0" t="s">
        <v>678</v>
      </c>
      <c r="B1285" s="6" t="n">
        <v>42834</v>
      </c>
      <c r="C1285" s="7" t="s">
        <v>29</v>
      </c>
      <c r="D1285" s="7" t="s">
        <v>37</v>
      </c>
      <c r="E1285" s="7" t="s">
        <v>35</v>
      </c>
      <c r="F1285" s="0" t="n">
        <v>251.64</v>
      </c>
      <c r="G1285" s="0" t="n">
        <v>88.074</v>
      </c>
      <c r="H1285" s="0" t="n">
        <v>0.2</v>
      </c>
      <c r="I1285" s="7" t="n">
        <f aca="false">YEAR(B1285)</f>
        <v>2017</v>
      </c>
      <c r="J1285" s="0" t="str">
        <f aca="false">I1285&amp;"-Q"&amp;ROUNDUP(MONTH(B1285)/3,0)</f>
        <v>2017-Q2</v>
      </c>
    </row>
    <row r="1286" customFormat="false" ht="15" hidden="false" customHeight="false" outlineLevel="0" collapsed="false">
      <c r="A1286" s="0" t="s">
        <v>679</v>
      </c>
      <c r="B1286" s="6" t="n">
        <v>42344</v>
      </c>
      <c r="C1286" s="7" t="s">
        <v>45</v>
      </c>
      <c r="D1286" s="7" t="s">
        <v>46</v>
      </c>
      <c r="E1286" s="7" t="s">
        <v>35</v>
      </c>
      <c r="F1286" s="0" t="n">
        <v>2.772</v>
      </c>
      <c r="G1286" s="0" t="n">
        <v>-4.851</v>
      </c>
      <c r="H1286" s="0" t="n">
        <v>0.8</v>
      </c>
      <c r="I1286" s="7" t="n">
        <f aca="false">YEAR(B1286)</f>
        <v>2015</v>
      </c>
      <c r="J1286" s="0" t="str">
        <f aca="false">I1286&amp;"-Q"&amp;ROUNDUP(MONTH(B1286)/3,0)</f>
        <v>2015-Q4</v>
      </c>
    </row>
    <row r="1287" customFormat="false" ht="15" hidden="false" customHeight="false" outlineLevel="0" collapsed="false">
      <c r="A1287" s="0" t="s">
        <v>680</v>
      </c>
      <c r="B1287" s="6" t="n">
        <v>42547</v>
      </c>
      <c r="C1287" s="7" t="s">
        <v>55</v>
      </c>
      <c r="D1287" s="7" t="s">
        <v>250</v>
      </c>
      <c r="E1287" s="7" t="s">
        <v>35</v>
      </c>
      <c r="F1287" s="0" t="n">
        <v>14.9</v>
      </c>
      <c r="G1287" s="0" t="n">
        <v>1.043</v>
      </c>
      <c r="H1287" s="0" t="n">
        <v>0</v>
      </c>
      <c r="I1287" s="7" t="n">
        <f aca="false">YEAR(B1287)</f>
        <v>2016</v>
      </c>
      <c r="J1287" s="0" t="str">
        <f aca="false">I1287&amp;"-Q"&amp;ROUNDUP(MONTH(B1287)/3,0)</f>
        <v>2016-Q2</v>
      </c>
    </row>
    <row r="1288" customFormat="false" ht="15" hidden="false" customHeight="false" outlineLevel="0" collapsed="false">
      <c r="A1288" s="0" t="s">
        <v>681</v>
      </c>
      <c r="B1288" s="6" t="n">
        <v>42189</v>
      </c>
      <c r="C1288" s="7" t="s">
        <v>55</v>
      </c>
      <c r="D1288" s="7" t="s">
        <v>76</v>
      </c>
      <c r="E1288" s="7" t="s">
        <v>35</v>
      </c>
      <c r="F1288" s="0" t="n">
        <v>15.48</v>
      </c>
      <c r="G1288" s="0" t="n">
        <v>4.4892</v>
      </c>
      <c r="H1288" s="0" t="n">
        <v>0</v>
      </c>
      <c r="I1288" s="7" t="n">
        <f aca="false">YEAR(B1288)</f>
        <v>2015</v>
      </c>
      <c r="J1288" s="0" t="str">
        <f aca="false">I1288&amp;"-Q"&amp;ROUNDUP(MONTH(B1288)/3,0)</f>
        <v>2015-Q3</v>
      </c>
    </row>
    <row r="1289" customFormat="false" ht="15" hidden="false" customHeight="false" outlineLevel="0" collapsed="false">
      <c r="A1289" s="0" t="s">
        <v>682</v>
      </c>
      <c r="B1289" s="6" t="n">
        <v>42696</v>
      </c>
      <c r="C1289" s="7" t="s">
        <v>55</v>
      </c>
      <c r="D1289" s="7" t="s">
        <v>76</v>
      </c>
      <c r="E1289" s="7" t="s">
        <v>31</v>
      </c>
      <c r="F1289" s="0" t="n">
        <v>39.88</v>
      </c>
      <c r="G1289" s="0" t="n">
        <v>11.1664</v>
      </c>
      <c r="H1289" s="0" t="n">
        <v>0</v>
      </c>
      <c r="I1289" s="7" t="n">
        <f aca="false">YEAR(B1289)</f>
        <v>2016</v>
      </c>
      <c r="J1289" s="0" t="str">
        <f aca="false">I1289&amp;"-Q"&amp;ROUNDUP(MONTH(B1289)/3,0)</f>
        <v>2016-Q4</v>
      </c>
    </row>
    <row r="1290" customFormat="false" ht="15" hidden="false" customHeight="false" outlineLevel="0" collapsed="false">
      <c r="A1290" s="0" t="s">
        <v>682</v>
      </c>
      <c r="B1290" s="6" t="n">
        <v>42696</v>
      </c>
      <c r="C1290" s="7" t="s">
        <v>55</v>
      </c>
      <c r="D1290" s="7" t="s">
        <v>76</v>
      </c>
      <c r="E1290" s="7" t="s">
        <v>35</v>
      </c>
      <c r="F1290" s="0" t="n">
        <v>12.192</v>
      </c>
      <c r="G1290" s="0" t="n">
        <v>4.1148</v>
      </c>
      <c r="H1290" s="0" t="n">
        <v>0.2</v>
      </c>
      <c r="I1290" s="7" t="n">
        <f aca="false">YEAR(B1290)</f>
        <v>2016</v>
      </c>
      <c r="J1290" s="0" t="str">
        <f aca="false">I1290&amp;"-Q"&amp;ROUNDUP(MONTH(B1290)/3,0)</f>
        <v>2016-Q4</v>
      </c>
    </row>
    <row r="1291" customFormat="false" ht="15" hidden="false" customHeight="false" outlineLevel="0" collapsed="false">
      <c r="A1291" s="0" t="s">
        <v>682</v>
      </c>
      <c r="B1291" s="6" t="n">
        <v>42696</v>
      </c>
      <c r="C1291" s="7" t="s">
        <v>55</v>
      </c>
      <c r="D1291" s="7" t="s">
        <v>76</v>
      </c>
      <c r="E1291" s="7" t="s">
        <v>35</v>
      </c>
      <c r="F1291" s="0" t="n">
        <v>20.82</v>
      </c>
      <c r="G1291" s="0" t="n">
        <v>7.4952</v>
      </c>
      <c r="H1291" s="0" t="n">
        <v>0</v>
      </c>
      <c r="I1291" s="7" t="n">
        <f aca="false">YEAR(B1291)</f>
        <v>2016</v>
      </c>
      <c r="J1291" s="0" t="str">
        <f aca="false">I1291&amp;"-Q"&amp;ROUNDUP(MONTH(B1291)/3,0)</f>
        <v>2016-Q4</v>
      </c>
    </row>
    <row r="1292" customFormat="false" ht="15" hidden="false" customHeight="false" outlineLevel="0" collapsed="false">
      <c r="A1292" s="0" t="s">
        <v>683</v>
      </c>
      <c r="B1292" s="6" t="n">
        <v>42684</v>
      </c>
      <c r="C1292" s="7" t="s">
        <v>33</v>
      </c>
      <c r="D1292" s="7" t="s">
        <v>34</v>
      </c>
      <c r="E1292" s="7" t="s">
        <v>35</v>
      </c>
      <c r="F1292" s="0" t="n">
        <v>13.216</v>
      </c>
      <c r="G1292" s="0" t="n">
        <v>4.4604</v>
      </c>
      <c r="H1292" s="0" t="n">
        <v>0.2</v>
      </c>
      <c r="I1292" s="7" t="n">
        <f aca="false">YEAR(B1292)</f>
        <v>2016</v>
      </c>
      <c r="J1292" s="0" t="str">
        <f aca="false">I1292&amp;"-Q"&amp;ROUNDUP(MONTH(B1292)/3,0)</f>
        <v>2016-Q4</v>
      </c>
    </row>
    <row r="1293" customFormat="false" ht="15" hidden="false" customHeight="false" outlineLevel="0" collapsed="false">
      <c r="A1293" s="0" t="s">
        <v>683</v>
      </c>
      <c r="B1293" s="6" t="n">
        <v>42684</v>
      </c>
      <c r="C1293" s="7" t="s">
        <v>33</v>
      </c>
      <c r="D1293" s="7" t="s">
        <v>34</v>
      </c>
      <c r="E1293" s="7" t="s">
        <v>35</v>
      </c>
      <c r="F1293" s="0" t="n">
        <v>32.4</v>
      </c>
      <c r="G1293" s="0" t="n">
        <v>15.552</v>
      </c>
      <c r="H1293" s="0" t="n">
        <v>0</v>
      </c>
      <c r="I1293" s="7" t="n">
        <f aca="false">YEAR(B1293)</f>
        <v>2016</v>
      </c>
      <c r="J1293" s="0" t="str">
        <f aca="false">I1293&amp;"-Q"&amp;ROUNDUP(MONTH(B1293)/3,0)</f>
        <v>2016-Q4</v>
      </c>
    </row>
    <row r="1294" customFormat="false" ht="15" hidden="false" customHeight="false" outlineLevel="0" collapsed="false">
      <c r="A1294" s="0" t="s">
        <v>684</v>
      </c>
      <c r="B1294" s="6" t="n">
        <v>42243</v>
      </c>
      <c r="C1294" s="7" t="s">
        <v>33</v>
      </c>
      <c r="D1294" s="7" t="s">
        <v>34</v>
      </c>
      <c r="E1294" s="7" t="s">
        <v>35</v>
      </c>
      <c r="F1294" s="0" t="n">
        <v>32.94</v>
      </c>
      <c r="G1294" s="0" t="n">
        <v>9.2232</v>
      </c>
      <c r="H1294" s="0" t="n">
        <v>0</v>
      </c>
      <c r="I1294" s="7" t="n">
        <f aca="false">YEAR(B1294)</f>
        <v>2015</v>
      </c>
      <c r="J1294" s="0" t="str">
        <f aca="false">I1294&amp;"-Q"&amp;ROUNDUP(MONTH(B1294)/3,0)</f>
        <v>2015-Q3</v>
      </c>
    </row>
    <row r="1295" customFormat="false" ht="15" hidden="false" customHeight="false" outlineLevel="0" collapsed="false">
      <c r="A1295" s="0" t="s">
        <v>684</v>
      </c>
      <c r="B1295" s="6" t="n">
        <v>42243</v>
      </c>
      <c r="C1295" s="7" t="s">
        <v>33</v>
      </c>
      <c r="D1295" s="7" t="s">
        <v>34</v>
      </c>
      <c r="E1295" s="7" t="s">
        <v>35</v>
      </c>
      <c r="F1295" s="0" t="n">
        <v>114.2</v>
      </c>
      <c r="G1295" s="0" t="n">
        <v>52.532</v>
      </c>
      <c r="H1295" s="0" t="n">
        <v>0</v>
      </c>
      <c r="I1295" s="7" t="n">
        <f aca="false">YEAR(B1295)</f>
        <v>2015</v>
      </c>
      <c r="J1295" s="0" t="str">
        <f aca="false">I1295&amp;"-Q"&amp;ROUNDUP(MONTH(B1295)/3,0)</f>
        <v>2015-Q3</v>
      </c>
    </row>
    <row r="1296" customFormat="false" ht="15" hidden="false" customHeight="false" outlineLevel="0" collapsed="false">
      <c r="A1296" s="0" t="s">
        <v>684</v>
      </c>
      <c r="B1296" s="6" t="n">
        <v>42243</v>
      </c>
      <c r="C1296" s="7" t="s">
        <v>33</v>
      </c>
      <c r="D1296" s="7" t="s">
        <v>34</v>
      </c>
      <c r="E1296" s="7" t="s">
        <v>35</v>
      </c>
      <c r="F1296" s="0" t="n">
        <v>3.08</v>
      </c>
      <c r="G1296" s="0" t="n">
        <v>1.4784</v>
      </c>
      <c r="H1296" s="0" t="n">
        <v>0</v>
      </c>
      <c r="I1296" s="7" t="n">
        <f aca="false">YEAR(B1296)</f>
        <v>2015</v>
      </c>
      <c r="J1296" s="0" t="str">
        <f aca="false">I1296&amp;"-Q"&amp;ROUNDUP(MONTH(B1296)/3,0)</f>
        <v>2015-Q3</v>
      </c>
    </row>
    <row r="1297" customFormat="false" ht="15" hidden="false" customHeight="false" outlineLevel="0" collapsed="false">
      <c r="A1297" s="0" t="s">
        <v>685</v>
      </c>
      <c r="B1297" s="6" t="n">
        <v>42149</v>
      </c>
      <c r="C1297" s="7" t="s">
        <v>33</v>
      </c>
      <c r="D1297" s="7" t="s">
        <v>109</v>
      </c>
      <c r="E1297" s="7" t="s">
        <v>35</v>
      </c>
      <c r="F1297" s="0" t="n">
        <v>845.728</v>
      </c>
      <c r="G1297" s="0" t="n">
        <v>84.5728</v>
      </c>
      <c r="H1297" s="0" t="n">
        <v>0.2</v>
      </c>
      <c r="I1297" s="7" t="n">
        <f aca="false">YEAR(B1297)</f>
        <v>2015</v>
      </c>
      <c r="J1297" s="0" t="str">
        <f aca="false">I1297&amp;"-Q"&amp;ROUNDUP(MONTH(B1297)/3,0)</f>
        <v>2015-Q2</v>
      </c>
    </row>
    <row r="1298" customFormat="false" ht="15" hidden="false" customHeight="false" outlineLevel="0" collapsed="false">
      <c r="A1298" s="0" t="s">
        <v>686</v>
      </c>
      <c r="B1298" s="6" t="n">
        <v>43099</v>
      </c>
      <c r="C1298" s="7" t="s">
        <v>33</v>
      </c>
      <c r="D1298" s="7" t="s">
        <v>34</v>
      </c>
      <c r="E1298" s="7" t="s">
        <v>35</v>
      </c>
      <c r="F1298" s="0" t="n">
        <v>13.904</v>
      </c>
      <c r="G1298" s="0" t="n">
        <v>4.5188</v>
      </c>
      <c r="H1298" s="0" t="n">
        <v>0.2</v>
      </c>
      <c r="I1298" s="7" t="n">
        <f aca="false">YEAR(B1298)</f>
        <v>2017</v>
      </c>
      <c r="J1298" s="0" t="str">
        <f aca="false">I1298&amp;"-Q"&amp;ROUNDUP(MONTH(B1298)/3,0)</f>
        <v>2017-Q4</v>
      </c>
    </row>
    <row r="1299" customFormat="false" ht="15" hidden="false" customHeight="false" outlineLevel="0" collapsed="false">
      <c r="A1299" s="0" t="s">
        <v>686</v>
      </c>
      <c r="B1299" s="6" t="n">
        <v>43099</v>
      </c>
      <c r="C1299" s="7" t="s">
        <v>33</v>
      </c>
      <c r="D1299" s="7" t="s">
        <v>34</v>
      </c>
      <c r="E1299" s="7" t="s">
        <v>35</v>
      </c>
      <c r="F1299" s="0" t="n">
        <v>20.72</v>
      </c>
      <c r="G1299" s="0" t="n">
        <v>6.475</v>
      </c>
      <c r="H1299" s="0" t="n">
        <v>0.2</v>
      </c>
      <c r="I1299" s="7" t="n">
        <f aca="false">YEAR(B1299)</f>
        <v>2017</v>
      </c>
      <c r="J1299" s="0" t="str">
        <f aca="false">I1299&amp;"-Q"&amp;ROUNDUP(MONTH(B1299)/3,0)</f>
        <v>2017-Q4</v>
      </c>
    </row>
    <row r="1300" customFormat="false" ht="15" hidden="false" customHeight="false" outlineLevel="0" collapsed="false">
      <c r="A1300" s="0" t="s">
        <v>687</v>
      </c>
      <c r="B1300" s="6" t="n">
        <v>42712</v>
      </c>
      <c r="C1300" s="7" t="s">
        <v>45</v>
      </c>
      <c r="D1300" s="7" t="s">
        <v>68</v>
      </c>
      <c r="E1300" s="7" t="s">
        <v>39</v>
      </c>
      <c r="F1300" s="0" t="n">
        <v>114.95</v>
      </c>
      <c r="G1300" s="0" t="n">
        <v>2.299</v>
      </c>
      <c r="H1300" s="0" t="n">
        <v>0</v>
      </c>
      <c r="I1300" s="7" t="n">
        <f aca="false">YEAR(B1300)</f>
        <v>2016</v>
      </c>
      <c r="J1300" s="0" t="str">
        <f aca="false">I1300&amp;"-Q"&amp;ROUNDUP(MONTH(B1300)/3,0)</f>
        <v>2016-Q4</v>
      </c>
    </row>
    <row r="1301" customFormat="false" ht="15" hidden="false" customHeight="false" outlineLevel="0" collapsed="false">
      <c r="A1301" s="0" t="s">
        <v>688</v>
      </c>
      <c r="B1301" s="6" t="n">
        <v>42281</v>
      </c>
      <c r="C1301" s="7" t="s">
        <v>33</v>
      </c>
      <c r="D1301" s="7" t="s">
        <v>34</v>
      </c>
      <c r="E1301" s="7" t="s">
        <v>35</v>
      </c>
      <c r="F1301" s="0" t="n">
        <v>26.96</v>
      </c>
      <c r="G1301" s="0" t="n">
        <v>7.0096</v>
      </c>
      <c r="H1301" s="0" t="n">
        <v>0</v>
      </c>
      <c r="I1301" s="7" t="n">
        <f aca="false">YEAR(B1301)</f>
        <v>2015</v>
      </c>
      <c r="J1301" s="0" t="str">
        <f aca="false">I1301&amp;"-Q"&amp;ROUNDUP(MONTH(B1301)/3,0)</f>
        <v>2015-Q4</v>
      </c>
    </row>
    <row r="1302" customFormat="false" ht="15" hidden="false" customHeight="false" outlineLevel="0" collapsed="false">
      <c r="A1302" s="0" t="s">
        <v>689</v>
      </c>
      <c r="B1302" s="6" t="n">
        <v>42727</v>
      </c>
      <c r="C1302" s="7" t="s">
        <v>29</v>
      </c>
      <c r="D1302" s="7" t="s">
        <v>83</v>
      </c>
      <c r="E1302" s="7" t="s">
        <v>31</v>
      </c>
      <c r="F1302" s="0" t="n">
        <v>572.76</v>
      </c>
      <c r="G1302" s="0" t="n">
        <v>166.1004</v>
      </c>
      <c r="H1302" s="0" t="n">
        <v>0</v>
      </c>
      <c r="I1302" s="7" t="n">
        <f aca="false">YEAR(B1302)</f>
        <v>2016</v>
      </c>
      <c r="J1302" s="0" t="str">
        <f aca="false">I1302&amp;"-Q"&amp;ROUNDUP(MONTH(B1302)/3,0)</f>
        <v>2016-Q4</v>
      </c>
    </row>
    <row r="1303" customFormat="false" ht="15" hidden="false" customHeight="false" outlineLevel="0" collapsed="false">
      <c r="A1303" s="0" t="s">
        <v>689</v>
      </c>
      <c r="B1303" s="6" t="n">
        <v>42727</v>
      </c>
      <c r="C1303" s="7" t="s">
        <v>29</v>
      </c>
      <c r="D1303" s="7" t="s">
        <v>83</v>
      </c>
      <c r="E1303" s="7" t="s">
        <v>31</v>
      </c>
      <c r="F1303" s="0" t="n">
        <v>286.38</v>
      </c>
      <c r="G1303" s="0" t="n">
        <v>83.0502</v>
      </c>
      <c r="H1303" s="0" t="n">
        <v>0</v>
      </c>
      <c r="I1303" s="7" t="n">
        <f aca="false">YEAR(B1303)</f>
        <v>2016</v>
      </c>
      <c r="J1303" s="0" t="str">
        <f aca="false">I1303&amp;"-Q"&amp;ROUNDUP(MONTH(B1303)/3,0)</f>
        <v>2016-Q4</v>
      </c>
    </row>
    <row r="1304" customFormat="false" ht="15" hidden="false" customHeight="false" outlineLevel="0" collapsed="false">
      <c r="A1304" s="0" t="s">
        <v>690</v>
      </c>
      <c r="B1304" s="6" t="n">
        <v>42266</v>
      </c>
      <c r="C1304" s="7" t="s">
        <v>29</v>
      </c>
      <c r="D1304" s="7" t="s">
        <v>83</v>
      </c>
      <c r="E1304" s="7" t="s">
        <v>31</v>
      </c>
      <c r="F1304" s="0" t="n">
        <v>61.96</v>
      </c>
      <c r="G1304" s="0" t="n">
        <v>4.3372</v>
      </c>
      <c r="H1304" s="0" t="n">
        <v>0</v>
      </c>
      <c r="I1304" s="7" t="n">
        <f aca="false">YEAR(B1304)</f>
        <v>2015</v>
      </c>
      <c r="J1304" s="0" t="str">
        <f aca="false">I1304&amp;"-Q"&amp;ROUNDUP(MONTH(B1304)/3,0)</f>
        <v>2015-Q3</v>
      </c>
    </row>
    <row r="1305" customFormat="false" ht="15" hidden="false" customHeight="false" outlineLevel="0" collapsed="false">
      <c r="A1305" s="0" t="s">
        <v>691</v>
      </c>
      <c r="B1305" s="6" t="n">
        <v>42919</v>
      </c>
      <c r="C1305" s="7" t="s">
        <v>29</v>
      </c>
      <c r="D1305" s="7" t="s">
        <v>230</v>
      </c>
      <c r="E1305" s="7" t="s">
        <v>31</v>
      </c>
      <c r="F1305" s="0" t="n">
        <v>23.99</v>
      </c>
      <c r="G1305" s="0" t="n">
        <v>5.5177</v>
      </c>
      <c r="H1305" s="0" t="n">
        <v>0</v>
      </c>
      <c r="I1305" s="7" t="n">
        <f aca="false">YEAR(B1305)</f>
        <v>2017</v>
      </c>
      <c r="J1305" s="0" t="str">
        <f aca="false">I1305&amp;"-Q"&amp;ROUNDUP(MONTH(B1305)/3,0)</f>
        <v>2017-Q3</v>
      </c>
    </row>
    <row r="1306" customFormat="false" ht="15" hidden="false" customHeight="false" outlineLevel="0" collapsed="false">
      <c r="A1306" s="0" t="s">
        <v>691</v>
      </c>
      <c r="B1306" s="6" t="n">
        <v>42919</v>
      </c>
      <c r="C1306" s="7" t="s">
        <v>29</v>
      </c>
      <c r="D1306" s="7" t="s">
        <v>230</v>
      </c>
      <c r="E1306" s="7" t="s">
        <v>39</v>
      </c>
      <c r="F1306" s="0" t="n">
        <v>287.97</v>
      </c>
      <c r="G1306" s="0" t="n">
        <v>77.7519</v>
      </c>
      <c r="H1306" s="0" t="n">
        <v>0</v>
      </c>
      <c r="I1306" s="7" t="n">
        <f aca="false">YEAR(B1306)</f>
        <v>2017</v>
      </c>
      <c r="J1306" s="0" t="str">
        <f aca="false">I1306&amp;"-Q"&amp;ROUNDUP(MONTH(B1306)/3,0)</f>
        <v>2017-Q3</v>
      </c>
    </row>
    <row r="1307" customFormat="false" ht="15" hidden="false" customHeight="false" outlineLevel="0" collapsed="false">
      <c r="A1307" s="0" t="s">
        <v>692</v>
      </c>
      <c r="B1307" s="6" t="n">
        <v>42565</v>
      </c>
      <c r="C1307" s="7" t="s">
        <v>45</v>
      </c>
      <c r="D1307" s="7" t="s">
        <v>46</v>
      </c>
      <c r="E1307" s="7" t="s">
        <v>39</v>
      </c>
      <c r="F1307" s="0" t="n">
        <v>419.944</v>
      </c>
      <c r="G1307" s="0" t="n">
        <v>52.493</v>
      </c>
      <c r="H1307" s="0" t="n">
        <v>0.2</v>
      </c>
      <c r="I1307" s="7" t="n">
        <f aca="false">YEAR(B1307)</f>
        <v>2016</v>
      </c>
      <c r="J1307" s="0" t="str">
        <f aca="false">I1307&amp;"-Q"&amp;ROUNDUP(MONTH(B1307)/3,0)</f>
        <v>2016-Q3</v>
      </c>
    </row>
    <row r="1308" customFormat="false" ht="15" hidden="false" customHeight="false" outlineLevel="0" collapsed="false">
      <c r="A1308" s="0" t="s">
        <v>693</v>
      </c>
      <c r="B1308" s="6" t="n">
        <v>42541</v>
      </c>
      <c r="C1308" s="7" t="s">
        <v>33</v>
      </c>
      <c r="D1308" s="7" t="s">
        <v>34</v>
      </c>
      <c r="E1308" s="7" t="s">
        <v>35</v>
      </c>
      <c r="F1308" s="0" t="n">
        <v>46.76</v>
      </c>
      <c r="G1308" s="0" t="n">
        <v>22.4448</v>
      </c>
      <c r="H1308" s="0" t="n">
        <v>0</v>
      </c>
      <c r="I1308" s="7" t="n">
        <f aca="false">YEAR(B1308)</f>
        <v>2016</v>
      </c>
      <c r="J1308" s="0" t="str">
        <f aca="false">I1308&amp;"-Q"&amp;ROUNDUP(MONTH(B1308)/3,0)</f>
        <v>2016-Q2</v>
      </c>
    </row>
    <row r="1309" customFormat="false" ht="15" hidden="false" customHeight="false" outlineLevel="0" collapsed="false">
      <c r="A1309" s="0" t="s">
        <v>693</v>
      </c>
      <c r="B1309" s="6" t="n">
        <v>42541</v>
      </c>
      <c r="C1309" s="7" t="s">
        <v>33</v>
      </c>
      <c r="D1309" s="7" t="s">
        <v>34</v>
      </c>
      <c r="E1309" s="7" t="s">
        <v>35</v>
      </c>
      <c r="F1309" s="0" t="n">
        <v>17.712</v>
      </c>
      <c r="G1309" s="0" t="n">
        <v>6.4206</v>
      </c>
      <c r="H1309" s="0" t="n">
        <v>0.2</v>
      </c>
      <c r="I1309" s="7" t="n">
        <f aca="false">YEAR(B1309)</f>
        <v>2016</v>
      </c>
      <c r="J1309" s="0" t="str">
        <f aca="false">I1309&amp;"-Q"&amp;ROUNDUP(MONTH(B1309)/3,0)</f>
        <v>2016-Q2</v>
      </c>
    </row>
    <row r="1310" customFormat="false" ht="15" hidden="false" customHeight="false" outlineLevel="0" collapsed="false">
      <c r="A1310" s="0" t="s">
        <v>693</v>
      </c>
      <c r="B1310" s="6" t="n">
        <v>42541</v>
      </c>
      <c r="C1310" s="7" t="s">
        <v>33</v>
      </c>
      <c r="D1310" s="7" t="s">
        <v>34</v>
      </c>
      <c r="E1310" s="7" t="s">
        <v>35</v>
      </c>
      <c r="F1310" s="0" t="n">
        <v>21.78</v>
      </c>
      <c r="G1310" s="0" t="n">
        <v>5.6628</v>
      </c>
      <c r="H1310" s="0" t="n">
        <v>0</v>
      </c>
      <c r="I1310" s="7" t="n">
        <f aca="false">YEAR(B1310)</f>
        <v>2016</v>
      </c>
      <c r="J1310" s="0" t="str">
        <f aca="false">I1310&amp;"-Q"&amp;ROUNDUP(MONTH(B1310)/3,0)</f>
        <v>2016-Q2</v>
      </c>
    </row>
    <row r="1311" customFormat="false" ht="15" hidden="false" customHeight="false" outlineLevel="0" collapsed="false">
      <c r="A1311" s="0" t="s">
        <v>693</v>
      </c>
      <c r="B1311" s="6" t="n">
        <v>42541</v>
      </c>
      <c r="C1311" s="7" t="s">
        <v>33</v>
      </c>
      <c r="D1311" s="7" t="s">
        <v>34</v>
      </c>
      <c r="E1311" s="7" t="s">
        <v>35</v>
      </c>
      <c r="F1311" s="0" t="n">
        <v>161.94</v>
      </c>
      <c r="G1311" s="0" t="n">
        <v>9.7164</v>
      </c>
      <c r="H1311" s="0" t="n">
        <v>0</v>
      </c>
      <c r="I1311" s="7" t="n">
        <f aca="false">YEAR(B1311)</f>
        <v>2016</v>
      </c>
      <c r="J1311" s="0" t="str">
        <f aca="false">I1311&amp;"-Q"&amp;ROUNDUP(MONTH(B1311)/3,0)</f>
        <v>2016-Q2</v>
      </c>
    </row>
    <row r="1312" customFormat="false" ht="15" hidden="false" customHeight="false" outlineLevel="0" collapsed="false">
      <c r="A1312" s="0" t="s">
        <v>693</v>
      </c>
      <c r="B1312" s="6" t="n">
        <v>42541</v>
      </c>
      <c r="C1312" s="7" t="s">
        <v>33</v>
      </c>
      <c r="D1312" s="7" t="s">
        <v>34</v>
      </c>
      <c r="E1312" s="7" t="s">
        <v>31</v>
      </c>
      <c r="F1312" s="0" t="n">
        <v>161.568</v>
      </c>
      <c r="G1312" s="0" t="n">
        <v>-8.0784</v>
      </c>
      <c r="H1312" s="0" t="n">
        <v>0.2</v>
      </c>
      <c r="I1312" s="7" t="n">
        <f aca="false">YEAR(B1312)</f>
        <v>2016</v>
      </c>
      <c r="J1312" s="0" t="str">
        <f aca="false">I1312&amp;"-Q"&amp;ROUNDUP(MONTH(B1312)/3,0)</f>
        <v>2016-Q2</v>
      </c>
    </row>
    <row r="1313" customFormat="false" ht="15" hidden="false" customHeight="false" outlineLevel="0" collapsed="false">
      <c r="A1313" s="0" t="s">
        <v>694</v>
      </c>
      <c r="B1313" s="6" t="n">
        <v>42713</v>
      </c>
      <c r="C1313" s="7" t="s">
        <v>55</v>
      </c>
      <c r="D1313" s="7" t="s">
        <v>225</v>
      </c>
      <c r="E1313" s="7" t="s">
        <v>35</v>
      </c>
      <c r="F1313" s="0" t="n">
        <v>3.69</v>
      </c>
      <c r="G1313" s="0" t="n">
        <v>1.7343</v>
      </c>
      <c r="H1313" s="0" t="n">
        <v>0</v>
      </c>
      <c r="I1313" s="7" t="n">
        <f aca="false">YEAR(B1313)</f>
        <v>2016</v>
      </c>
      <c r="J1313" s="0" t="str">
        <f aca="false">I1313&amp;"-Q"&amp;ROUNDUP(MONTH(B1313)/3,0)</f>
        <v>2016-Q4</v>
      </c>
    </row>
    <row r="1314" customFormat="false" ht="15" hidden="false" customHeight="false" outlineLevel="0" collapsed="false">
      <c r="A1314" s="0" t="s">
        <v>694</v>
      </c>
      <c r="B1314" s="6" t="n">
        <v>42713</v>
      </c>
      <c r="C1314" s="7" t="s">
        <v>55</v>
      </c>
      <c r="D1314" s="7" t="s">
        <v>225</v>
      </c>
      <c r="E1314" s="7" t="s">
        <v>35</v>
      </c>
      <c r="F1314" s="0" t="n">
        <v>122.12</v>
      </c>
      <c r="G1314" s="0" t="n">
        <v>56.1752</v>
      </c>
      <c r="H1314" s="0" t="n">
        <v>0</v>
      </c>
      <c r="I1314" s="7" t="n">
        <f aca="false">YEAR(B1314)</f>
        <v>2016</v>
      </c>
      <c r="J1314" s="0" t="str">
        <f aca="false">I1314&amp;"-Q"&amp;ROUNDUP(MONTH(B1314)/3,0)</f>
        <v>2016-Q4</v>
      </c>
    </row>
    <row r="1315" customFormat="false" ht="15" hidden="false" customHeight="false" outlineLevel="0" collapsed="false">
      <c r="A1315" s="0" t="s">
        <v>695</v>
      </c>
      <c r="B1315" s="6" t="n">
        <v>42637</v>
      </c>
      <c r="C1315" s="7" t="s">
        <v>55</v>
      </c>
      <c r="D1315" s="7" t="s">
        <v>116</v>
      </c>
      <c r="E1315" s="7" t="s">
        <v>31</v>
      </c>
      <c r="F1315" s="0" t="n">
        <v>155.372</v>
      </c>
      <c r="G1315" s="0" t="n">
        <v>-13.3176</v>
      </c>
      <c r="H1315" s="0" t="n">
        <v>0.3</v>
      </c>
      <c r="I1315" s="7" t="n">
        <f aca="false">YEAR(B1315)</f>
        <v>2016</v>
      </c>
      <c r="J1315" s="0" t="str">
        <f aca="false">I1315&amp;"-Q"&amp;ROUNDUP(MONTH(B1315)/3,0)</f>
        <v>2016-Q3</v>
      </c>
    </row>
    <row r="1316" customFormat="false" ht="15" hidden="false" customHeight="false" outlineLevel="0" collapsed="false">
      <c r="A1316" s="0" t="s">
        <v>696</v>
      </c>
      <c r="B1316" s="6" t="n">
        <v>42722</v>
      </c>
      <c r="C1316" s="7" t="s">
        <v>33</v>
      </c>
      <c r="D1316" s="7" t="s">
        <v>34</v>
      </c>
      <c r="E1316" s="7" t="s">
        <v>35</v>
      </c>
      <c r="F1316" s="0" t="n">
        <v>38.88</v>
      </c>
      <c r="G1316" s="0" t="n">
        <v>18.6624</v>
      </c>
      <c r="H1316" s="0" t="n">
        <v>0</v>
      </c>
      <c r="I1316" s="7" t="n">
        <f aca="false">YEAR(B1316)</f>
        <v>2016</v>
      </c>
      <c r="J1316" s="0" t="str">
        <f aca="false">I1316&amp;"-Q"&amp;ROUNDUP(MONTH(B1316)/3,0)</f>
        <v>2016-Q4</v>
      </c>
    </row>
    <row r="1317" customFormat="false" ht="15" hidden="false" customHeight="false" outlineLevel="0" collapsed="false">
      <c r="A1317" s="0" t="s">
        <v>696</v>
      </c>
      <c r="B1317" s="6" t="n">
        <v>42722</v>
      </c>
      <c r="C1317" s="7" t="s">
        <v>33</v>
      </c>
      <c r="D1317" s="7" t="s">
        <v>34</v>
      </c>
      <c r="E1317" s="7" t="s">
        <v>31</v>
      </c>
      <c r="F1317" s="0" t="n">
        <v>183.84</v>
      </c>
      <c r="G1317" s="0" t="n">
        <v>62.5056</v>
      </c>
      <c r="H1317" s="0" t="n">
        <v>0</v>
      </c>
      <c r="I1317" s="7" t="n">
        <f aca="false">YEAR(B1317)</f>
        <v>2016</v>
      </c>
      <c r="J1317" s="0" t="str">
        <f aca="false">I1317&amp;"-Q"&amp;ROUNDUP(MONTH(B1317)/3,0)</f>
        <v>2016-Q4</v>
      </c>
    </row>
    <row r="1318" customFormat="false" ht="15" hidden="false" customHeight="false" outlineLevel="0" collapsed="false">
      <c r="A1318" s="0" t="s">
        <v>696</v>
      </c>
      <c r="B1318" s="6" t="n">
        <v>42722</v>
      </c>
      <c r="C1318" s="7" t="s">
        <v>33</v>
      </c>
      <c r="D1318" s="7" t="s">
        <v>34</v>
      </c>
      <c r="E1318" s="7" t="s">
        <v>35</v>
      </c>
      <c r="F1318" s="0" t="n">
        <v>579.3</v>
      </c>
      <c r="G1318" s="0" t="n">
        <v>28.965</v>
      </c>
      <c r="H1318" s="0" t="n">
        <v>0</v>
      </c>
      <c r="I1318" s="7" t="n">
        <f aca="false">YEAR(B1318)</f>
        <v>2016</v>
      </c>
      <c r="J1318" s="0" t="str">
        <f aca="false">I1318&amp;"-Q"&amp;ROUNDUP(MONTH(B1318)/3,0)</f>
        <v>2016-Q4</v>
      </c>
    </row>
    <row r="1319" customFormat="false" ht="15" hidden="false" customHeight="false" outlineLevel="0" collapsed="false">
      <c r="A1319" s="0" t="s">
        <v>697</v>
      </c>
      <c r="B1319" s="6" t="n">
        <v>43079</v>
      </c>
      <c r="C1319" s="7" t="s">
        <v>55</v>
      </c>
      <c r="D1319" s="7" t="s">
        <v>56</v>
      </c>
      <c r="E1319" s="7" t="s">
        <v>39</v>
      </c>
      <c r="F1319" s="0" t="n">
        <v>14.2</v>
      </c>
      <c r="G1319" s="0" t="n">
        <v>3.3725</v>
      </c>
      <c r="H1319" s="0" t="n">
        <v>0.2</v>
      </c>
      <c r="I1319" s="7" t="n">
        <f aca="false">YEAR(B1319)</f>
        <v>2017</v>
      </c>
      <c r="J1319" s="0" t="str">
        <f aca="false">I1319&amp;"-Q"&amp;ROUNDUP(MONTH(B1319)/3,0)</f>
        <v>2017-Q4</v>
      </c>
    </row>
    <row r="1320" customFormat="false" ht="15" hidden="false" customHeight="false" outlineLevel="0" collapsed="false">
      <c r="A1320" s="0" t="s">
        <v>698</v>
      </c>
      <c r="B1320" s="6" t="n">
        <v>41821</v>
      </c>
      <c r="C1320" s="7" t="s">
        <v>29</v>
      </c>
      <c r="D1320" s="7" t="s">
        <v>37</v>
      </c>
      <c r="E1320" s="7" t="s">
        <v>39</v>
      </c>
      <c r="F1320" s="0" t="n">
        <v>575.92</v>
      </c>
      <c r="G1320" s="0" t="n">
        <v>71.99</v>
      </c>
      <c r="H1320" s="0" t="n">
        <v>0.2</v>
      </c>
      <c r="I1320" s="7" t="n">
        <f aca="false">YEAR(B1320)</f>
        <v>2014</v>
      </c>
      <c r="J1320" s="0" t="str">
        <f aca="false">I1320&amp;"-Q"&amp;ROUNDUP(MONTH(B1320)/3,0)</f>
        <v>2014-Q3</v>
      </c>
    </row>
    <row r="1321" customFormat="false" ht="15" hidden="false" customHeight="false" outlineLevel="0" collapsed="false">
      <c r="A1321" s="0" t="s">
        <v>698</v>
      </c>
      <c r="B1321" s="6" t="n">
        <v>41821</v>
      </c>
      <c r="C1321" s="7" t="s">
        <v>29</v>
      </c>
      <c r="D1321" s="7" t="s">
        <v>37</v>
      </c>
      <c r="E1321" s="7" t="s">
        <v>35</v>
      </c>
      <c r="F1321" s="0" t="n">
        <v>5.184</v>
      </c>
      <c r="G1321" s="0" t="n">
        <v>-3.6288</v>
      </c>
      <c r="H1321" s="0" t="n">
        <v>0.7</v>
      </c>
      <c r="I1321" s="7" t="n">
        <f aca="false">YEAR(B1321)</f>
        <v>2014</v>
      </c>
      <c r="J1321" s="0" t="str">
        <f aca="false">I1321&amp;"-Q"&amp;ROUNDUP(MONTH(B1321)/3,0)</f>
        <v>2014-Q3</v>
      </c>
    </row>
    <row r="1322" customFormat="false" ht="15" hidden="false" customHeight="false" outlineLevel="0" collapsed="false">
      <c r="A1322" s="0" t="s">
        <v>699</v>
      </c>
      <c r="B1322" s="6" t="n">
        <v>42769</v>
      </c>
      <c r="C1322" s="7" t="s">
        <v>55</v>
      </c>
      <c r="D1322" s="7" t="s">
        <v>116</v>
      </c>
      <c r="E1322" s="7" t="s">
        <v>35</v>
      </c>
      <c r="F1322" s="0" t="n">
        <v>5.229</v>
      </c>
      <c r="G1322" s="0" t="n">
        <v>-4.1832</v>
      </c>
      <c r="H1322" s="0" t="n">
        <v>0.7</v>
      </c>
      <c r="I1322" s="7" t="n">
        <f aca="false">YEAR(B1322)</f>
        <v>2017</v>
      </c>
      <c r="J1322" s="0" t="str">
        <f aca="false">I1322&amp;"-Q"&amp;ROUNDUP(MONTH(B1322)/3,0)</f>
        <v>2017-Q1</v>
      </c>
    </row>
    <row r="1323" customFormat="false" ht="15" hidden="false" customHeight="false" outlineLevel="0" collapsed="false">
      <c r="A1323" s="0" t="s">
        <v>699</v>
      </c>
      <c r="B1323" s="6" t="n">
        <v>42769</v>
      </c>
      <c r="C1323" s="7" t="s">
        <v>55</v>
      </c>
      <c r="D1323" s="7" t="s">
        <v>116</v>
      </c>
      <c r="E1323" s="7" t="s">
        <v>35</v>
      </c>
      <c r="F1323" s="0" t="n">
        <v>285.552</v>
      </c>
      <c r="G1323" s="0" t="n">
        <v>35.694</v>
      </c>
      <c r="H1323" s="0" t="n">
        <v>0.2</v>
      </c>
      <c r="I1323" s="7" t="n">
        <f aca="false">YEAR(B1323)</f>
        <v>2017</v>
      </c>
      <c r="J1323" s="0" t="str">
        <f aca="false">I1323&amp;"-Q"&amp;ROUNDUP(MONTH(B1323)/3,0)</f>
        <v>2017-Q1</v>
      </c>
    </row>
    <row r="1324" customFormat="false" ht="15" hidden="false" customHeight="false" outlineLevel="0" collapsed="false">
      <c r="A1324" s="0" t="s">
        <v>700</v>
      </c>
      <c r="B1324" s="6" t="n">
        <v>42797</v>
      </c>
      <c r="C1324" s="7" t="s">
        <v>29</v>
      </c>
      <c r="D1324" s="7" t="s">
        <v>30</v>
      </c>
      <c r="E1324" s="7" t="s">
        <v>35</v>
      </c>
      <c r="F1324" s="0" t="n">
        <v>72.8</v>
      </c>
      <c r="G1324" s="0" t="n">
        <v>19.656</v>
      </c>
      <c r="H1324" s="0" t="n">
        <v>0</v>
      </c>
      <c r="I1324" s="7" t="n">
        <f aca="false">YEAR(B1324)</f>
        <v>2017</v>
      </c>
      <c r="J1324" s="0" t="str">
        <f aca="false">I1324&amp;"-Q"&amp;ROUNDUP(MONTH(B1324)/3,0)</f>
        <v>2017-Q1</v>
      </c>
    </row>
    <row r="1325" customFormat="false" ht="15" hidden="false" customHeight="false" outlineLevel="0" collapsed="false">
      <c r="A1325" s="0" t="s">
        <v>701</v>
      </c>
      <c r="B1325" s="6" t="n">
        <v>43017</v>
      </c>
      <c r="C1325" s="7" t="s">
        <v>29</v>
      </c>
      <c r="D1325" s="7" t="s">
        <v>41</v>
      </c>
      <c r="E1325" s="7" t="s">
        <v>35</v>
      </c>
      <c r="F1325" s="0" t="n">
        <v>10.816</v>
      </c>
      <c r="G1325" s="0" t="n">
        <v>3.5152</v>
      </c>
      <c r="H1325" s="0" t="n">
        <v>0.2</v>
      </c>
      <c r="I1325" s="7" t="n">
        <f aca="false">YEAR(B1325)</f>
        <v>2017</v>
      </c>
      <c r="J1325" s="0" t="str">
        <f aca="false">I1325&amp;"-Q"&amp;ROUNDUP(MONTH(B1325)/3,0)</f>
        <v>2017-Q4</v>
      </c>
    </row>
    <row r="1326" customFormat="false" ht="15" hidden="false" customHeight="false" outlineLevel="0" collapsed="false">
      <c r="A1326" s="0" t="s">
        <v>702</v>
      </c>
      <c r="B1326" s="6" t="n">
        <v>41910</v>
      </c>
      <c r="C1326" s="7" t="s">
        <v>55</v>
      </c>
      <c r="D1326" s="7" t="s">
        <v>225</v>
      </c>
      <c r="E1326" s="7" t="s">
        <v>35</v>
      </c>
      <c r="F1326" s="0" t="n">
        <v>46.26</v>
      </c>
      <c r="G1326" s="0" t="n">
        <v>12.4902</v>
      </c>
      <c r="H1326" s="0" t="n">
        <v>0</v>
      </c>
      <c r="I1326" s="7" t="n">
        <f aca="false">YEAR(B1326)</f>
        <v>2014</v>
      </c>
      <c r="J1326" s="0" t="str">
        <f aca="false">I1326&amp;"-Q"&amp;ROUNDUP(MONTH(B1326)/3,0)</f>
        <v>2014-Q3</v>
      </c>
    </row>
    <row r="1327" customFormat="false" ht="15" hidden="false" customHeight="false" outlineLevel="0" collapsed="false">
      <c r="A1327" s="0" t="s">
        <v>703</v>
      </c>
      <c r="B1327" s="6" t="n">
        <v>41786</v>
      </c>
      <c r="C1327" s="7" t="s">
        <v>45</v>
      </c>
      <c r="D1327" s="7" t="s">
        <v>64</v>
      </c>
      <c r="E1327" s="7" t="s">
        <v>35</v>
      </c>
      <c r="F1327" s="0" t="n">
        <v>17.46</v>
      </c>
      <c r="G1327" s="0" t="n">
        <v>-30.555</v>
      </c>
      <c r="H1327" s="0" t="n">
        <v>0.8</v>
      </c>
      <c r="I1327" s="7" t="n">
        <f aca="false">YEAR(B1327)</f>
        <v>2014</v>
      </c>
      <c r="J1327" s="0" t="str">
        <f aca="false">I1327&amp;"-Q"&amp;ROUNDUP(MONTH(B1327)/3,0)</f>
        <v>2014-Q2</v>
      </c>
    </row>
    <row r="1328" customFormat="false" ht="15" hidden="false" customHeight="false" outlineLevel="0" collapsed="false">
      <c r="A1328" s="0" t="s">
        <v>704</v>
      </c>
      <c r="B1328" s="6" t="n">
        <v>42169</v>
      </c>
      <c r="C1328" s="7" t="s">
        <v>55</v>
      </c>
      <c r="D1328" s="7" t="s">
        <v>56</v>
      </c>
      <c r="E1328" s="7" t="s">
        <v>31</v>
      </c>
      <c r="F1328" s="0" t="n">
        <v>51.072</v>
      </c>
      <c r="G1328" s="0" t="n">
        <v>5.1072</v>
      </c>
      <c r="H1328" s="0" t="n">
        <v>0.2</v>
      </c>
      <c r="I1328" s="7" t="n">
        <f aca="false">YEAR(B1328)</f>
        <v>2015</v>
      </c>
      <c r="J1328" s="0" t="str">
        <f aca="false">I1328&amp;"-Q"&amp;ROUNDUP(MONTH(B1328)/3,0)</f>
        <v>2015-Q2</v>
      </c>
    </row>
    <row r="1329" customFormat="false" ht="15" hidden="false" customHeight="false" outlineLevel="0" collapsed="false">
      <c r="A1329" s="0" t="s">
        <v>705</v>
      </c>
      <c r="B1329" s="6" t="n">
        <v>42459</v>
      </c>
      <c r="C1329" s="7" t="s">
        <v>55</v>
      </c>
      <c r="D1329" s="7" t="s">
        <v>154</v>
      </c>
      <c r="E1329" s="7" t="s">
        <v>35</v>
      </c>
      <c r="F1329" s="0" t="n">
        <v>11.34</v>
      </c>
      <c r="G1329" s="0" t="n">
        <v>5.5566</v>
      </c>
      <c r="H1329" s="0" t="n">
        <v>0</v>
      </c>
      <c r="I1329" s="7" t="n">
        <f aca="false">YEAR(B1329)</f>
        <v>2016</v>
      </c>
      <c r="J1329" s="0" t="str">
        <f aca="false">I1329&amp;"-Q"&amp;ROUNDUP(MONTH(B1329)/3,0)</f>
        <v>2016-Q1</v>
      </c>
    </row>
    <row r="1330" customFormat="false" ht="15" hidden="false" customHeight="false" outlineLevel="0" collapsed="false">
      <c r="A1330" s="0" t="s">
        <v>706</v>
      </c>
      <c r="B1330" s="6" t="n">
        <v>43023</v>
      </c>
      <c r="C1330" s="7" t="s">
        <v>33</v>
      </c>
      <c r="D1330" s="7" t="s">
        <v>34</v>
      </c>
      <c r="E1330" s="7" t="s">
        <v>35</v>
      </c>
      <c r="F1330" s="0" t="n">
        <v>87.92</v>
      </c>
      <c r="G1330" s="0" t="n">
        <v>26.376</v>
      </c>
      <c r="H1330" s="0" t="n">
        <v>0</v>
      </c>
      <c r="I1330" s="7" t="n">
        <f aca="false">YEAR(B1330)</f>
        <v>2017</v>
      </c>
      <c r="J1330" s="0" t="str">
        <f aca="false">I1330&amp;"-Q"&amp;ROUNDUP(MONTH(B1330)/3,0)</f>
        <v>2017-Q4</v>
      </c>
    </row>
    <row r="1331" customFormat="false" ht="15" hidden="false" customHeight="false" outlineLevel="0" collapsed="false">
      <c r="A1331" s="0" t="s">
        <v>707</v>
      </c>
      <c r="B1331" s="6" t="n">
        <v>42513</v>
      </c>
      <c r="C1331" s="7" t="s">
        <v>33</v>
      </c>
      <c r="D1331" s="7" t="s">
        <v>34</v>
      </c>
      <c r="E1331" s="7" t="s">
        <v>31</v>
      </c>
      <c r="F1331" s="0" t="n">
        <v>37.05</v>
      </c>
      <c r="G1331" s="0" t="n">
        <v>16.302</v>
      </c>
      <c r="H1331" s="0" t="n">
        <v>0</v>
      </c>
      <c r="I1331" s="7" t="n">
        <f aca="false">YEAR(B1331)</f>
        <v>2016</v>
      </c>
      <c r="J1331" s="0" t="str">
        <f aca="false">I1331&amp;"-Q"&amp;ROUNDUP(MONTH(B1331)/3,0)</f>
        <v>2016-Q2</v>
      </c>
    </row>
    <row r="1332" customFormat="false" ht="15" hidden="false" customHeight="false" outlineLevel="0" collapsed="false">
      <c r="A1332" s="0" t="s">
        <v>708</v>
      </c>
      <c r="B1332" s="6" t="n">
        <v>42888</v>
      </c>
      <c r="C1332" s="7" t="s">
        <v>55</v>
      </c>
      <c r="D1332" s="7" t="s">
        <v>116</v>
      </c>
      <c r="E1332" s="7" t="s">
        <v>39</v>
      </c>
      <c r="F1332" s="0" t="n">
        <v>2.97</v>
      </c>
      <c r="G1332" s="0" t="n">
        <v>-0.6435</v>
      </c>
      <c r="H1332" s="0" t="n">
        <v>0.4</v>
      </c>
      <c r="I1332" s="7" t="n">
        <f aca="false">YEAR(B1332)</f>
        <v>2017</v>
      </c>
      <c r="J1332" s="0" t="str">
        <f aca="false">I1332&amp;"-Q"&amp;ROUNDUP(MONTH(B1332)/3,0)</f>
        <v>2017-Q2</v>
      </c>
    </row>
    <row r="1333" customFormat="false" ht="15" hidden="false" customHeight="false" outlineLevel="0" collapsed="false">
      <c r="A1333" s="0" t="s">
        <v>708</v>
      </c>
      <c r="B1333" s="6" t="n">
        <v>42888</v>
      </c>
      <c r="C1333" s="7" t="s">
        <v>55</v>
      </c>
      <c r="D1333" s="7" t="s">
        <v>116</v>
      </c>
      <c r="E1333" s="7" t="s">
        <v>35</v>
      </c>
      <c r="F1333" s="0" t="n">
        <v>27.44</v>
      </c>
      <c r="G1333" s="0" t="n">
        <v>2.401</v>
      </c>
      <c r="H1333" s="0" t="n">
        <v>0.2</v>
      </c>
      <c r="I1333" s="7" t="n">
        <f aca="false">YEAR(B1333)</f>
        <v>2017</v>
      </c>
      <c r="J1333" s="0" t="str">
        <f aca="false">I1333&amp;"-Q"&amp;ROUNDUP(MONTH(B1333)/3,0)</f>
        <v>2017-Q2</v>
      </c>
    </row>
    <row r="1334" customFormat="false" ht="15" hidden="false" customHeight="false" outlineLevel="0" collapsed="false">
      <c r="A1334" s="0" t="s">
        <v>709</v>
      </c>
      <c r="B1334" s="6" t="n">
        <v>41686</v>
      </c>
      <c r="C1334" s="7" t="s">
        <v>45</v>
      </c>
      <c r="D1334" s="7" t="s">
        <v>46</v>
      </c>
      <c r="E1334" s="7" t="s">
        <v>35</v>
      </c>
      <c r="F1334" s="0" t="n">
        <v>1.08</v>
      </c>
      <c r="G1334" s="0" t="n">
        <v>-1.728</v>
      </c>
      <c r="H1334" s="0" t="n">
        <v>0.8</v>
      </c>
      <c r="I1334" s="7" t="n">
        <f aca="false">YEAR(B1334)</f>
        <v>2014</v>
      </c>
      <c r="J1334" s="0" t="str">
        <f aca="false">I1334&amp;"-Q"&amp;ROUNDUP(MONTH(B1334)/3,0)</f>
        <v>2014-Q1</v>
      </c>
    </row>
    <row r="1335" customFormat="false" ht="15" hidden="false" customHeight="false" outlineLevel="0" collapsed="false">
      <c r="A1335" s="0" t="s">
        <v>709</v>
      </c>
      <c r="B1335" s="6" t="n">
        <v>41686</v>
      </c>
      <c r="C1335" s="7" t="s">
        <v>45</v>
      </c>
      <c r="D1335" s="7" t="s">
        <v>46</v>
      </c>
      <c r="E1335" s="7" t="s">
        <v>35</v>
      </c>
      <c r="F1335" s="0" t="n">
        <v>7.96</v>
      </c>
      <c r="G1335" s="0" t="n">
        <v>-13.93</v>
      </c>
      <c r="H1335" s="0" t="n">
        <v>0.8</v>
      </c>
      <c r="I1335" s="7" t="n">
        <f aca="false">YEAR(B1335)</f>
        <v>2014</v>
      </c>
      <c r="J1335" s="0" t="str">
        <f aca="false">I1335&amp;"-Q"&amp;ROUNDUP(MONTH(B1335)/3,0)</f>
        <v>2014-Q1</v>
      </c>
    </row>
    <row r="1336" customFormat="false" ht="15" hidden="false" customHeight="false" outlineLevel="0" collapsed="false">
      <c r="A1336" s="0" t="s">
        <v>710</v>
      </c>
      <c r="B1336" s="6" t="n">
        <v>41765</v>
      </c>
      <c r="C1336" s="7" t="s">
        <v>33</v>
      </c>
      <c r="D1336" s="7" t="s">
        <v>34</v>
      </c>
      <c r="E1336" s="7" t="s">
        <v>35</v>
      </c>
      <c r="F1336" s="0" t="n">
        <v>140.736</v>
      </c>
      <c r="G1336" s="0" t="n">
        <v>52.776</v>
      </c>
      <c r="H1336" s="0" t="n">
        <v>0.2</v>
      </c>
      <c r="I1336" s="7" t="n">
        <f aca="false">YEAR(B1336)</f>
        <v>2014</v>
      </c>
      <c r="J1336" s="0" t="str">
        <f aca="false">I1336&amp;"-Q"&amp;ROUNDUP(MONTH(B1336)/3,0)</f>
        <v>2014-Q2</v>
      </c>
    </row>
    <row r="1337" customFormat="false" ht="15" hidden="false" customHeight="false" outlineLevel="0" collapsed="false">
      <c r="A1337" s="0" t="s">
        <v>711</v>
      </c>
      <c r="B1337" s="6" t="n">
        <v>42506</v>
      </c>
      <c r="C1337" s="7" t="s">
        <v>55</v>
      </c>
      <c r="D1337" s="7" t="s">
        <v>154</v>
      </c>
      <c r="E1337" s="7" t="s">
        <v>35</v>
      </c>
      <c r="F1337" s="0" t="n">
        <v>552.56</v>
      </c>
      <c r="G1337" s="0" t="n">
        <v>0</v>
      </c>
      <c r="H1337" s="0" t="n">
        <v>0</v>
      </c>
      <c r="I1337" s="7" t="n">
        <f aca="false">YEAR(B1337)</f>
        <v>2016</v>
      </c>
      <c r="J1337" s="0" t="str">
        <f aca="false">I1337&amp;"-Q"&amp;ROUNDUP(MONTH(B1337)/3,0)</f>
        <v>2016-Q2</v>
      </c>
    </row>
    <row r="1338" customFormat="false" ht="15" hidden="false" customHeight="false" outlineLevel="0" collapsed="false">
      <c r="A1338" s="0" t="s">
        <v>712</v>
      </c>
      <c r="B1338" s="6" t="n">
        <v>42827</v>
      </c>
      <c r="C1338" s="7" t="s">
        <v>33</v>
      </c>
      <c r="D1338" s="7" t="s">
        <v>34</v>
      </c>
      <c r="E1338" s="7" t="s">
        <v>31</v>
      </c>
      <c r="F1338" s="0" t="n">
        <v>25.11</v>
      </c>
      <c r="G1338" s="0" t="n">
        <v>6.5286</v>
      </c>
      <c r="H1338" s="0" t="n">
        <v>0</v>
      </c>
      <c r="I1338" s="7" t="n">
        <f aca="false">YEAR(B1338)</f>
        <v>2017</v>
      </c>
      <c r="J1338" s="0" t="str">
        <f aca="false">I1338&amp;"-Q"&amp;ROUNDUP(MONTH(B1338)/3,0)</f>
        <v>2017-Q2</v>
      </c>
    </row>
    <row r="1339" customFormat="false" ht="15" hidden="false" customHeight="false" outlineLevel="0" collapsed="false">
      <c r="A1339" s="0" t="s">
        <v>713</v>
      </c>
      <c r="B1339" s="6" t="n">
        <v>42825</v>
      </c>
      <c r="C1339" s="7" t="s">
        <v>55</v>
      </c>
      <c r="D1339" s="7" t="s">
        <v>76</v>
      </c>
      <c r="E1339" s="7" t="s">
        <v>31</v>
      </c>
      <c r="F1339" s="0" t="n">
        <v>29.78</v>
      </c>
      <c r="G1339" s="0" t="n">
        <v>8.0406</v>
      </c>
      <c r="H1339" s="0" t="n">
        <v>0</v>
      </c>
      <c r="I1339" s="7" t="n">
        <f aca="false">YEAR(B1339)</f>
        <v>2017</v>
      </c>
      <c r="J1339" s="0" t="str">
        <f aca="false">I1339&amp;"-Q"&amp;ROUNDUP(MONTH(B1339)/3,0)</f>
        <v>2017-Q1</v>
      </c>
    </row>
    <row r="1340" customFormat="false" ht="15" hidden="false" customHeight="false" outlineLevel="0" collapsed="false">
      <c r="A1340" s="0" t="s">
        <v>713</v>
      </c>
      <c r="B1340" s="6" t="n">
        <v>42825</v>
      </c>
      <c r="C1340" s="7" t="s">
        <v>55</v>
      </c>
      <c r="D1340" s="7" t="s">
        <v>76</v>
      </c>
      <c r="E1340" s="7" t="s">
        <v>39</v>
      </c>
      <c r="F1340" s="0" t="n">
        <v>677.58</v>
      </c>
      <c r="G1340" s="0" t="n">
        <v>176.1708</v>
      </c>
      <c r="H1340" s="0" t="n">
        <v>0</v>
      </c>
      <c r="I1340" s="7" t="n">
        <f aca="false">YEAR(B1340)</f>
        <v>2017</v>
      </c>
      <c r="J1340" s="0" t="str">
        <f aca="false">I1340&amp;"-Q"&amp;ROUNDUP(MONTH(B1340)/3,0)</f>
        <v>2017-Q1</v>
      </c>
    </row>
    <row r="1341" customFormat="false" ht="15" hidden="false" customHeight="false" outlineLevel="0" collapsed="false">
      <c r="A1341" s="0" t="s">
        <v>713</v>
      </c>
      <c r="B1341" s="6" t="n">
        <v>42825</v>
      </c>
      <c r="C1341" s="7" t="s">
        <v>55</v>
      </c>
      <c r="D1341" s="7" t="s">
        <v>76</v>
      </c>
      <c r="E1341" s="7" t="s">
        <v>35</v>
      </c>
      <c r="F1341" s="0" t="n">
        <v>75.04</v>
      </c>
      <c r="G1341" s="0" t="n">
        <v>36.0192</v>
      </c>
      <c r="H1341" s="0" t="n">
        <v>0</v>
      </c>
      <c r="I1341" s="7" t="n">
        <f aca="false">YEAR(B1341)</f>
        <v>2017</v>
      </c>
      <c r="J1341" s="0" t="str">
        <f aca="false">I1341&amp;"-Q"&amp;ROUNDUP(MONTH(B1341)/3,0)</f>
        <v>2017-Q1</v>
      </c>
    </row>
    <row r="1342" customFormat="false" ht="15" hidden="false" customHeight="false" outlineLevel="0" collapsed="false">
      <c r="A1342" s="0" t="s">
        <v>714</v>
      </c>
      <c r="B1342" s="6" t="n">
        <v>42737</v>
      </c>
      <c r="C1342" s="7" t="s">
        <v>29</v>
      </c>
      <c r="D1342" s="7" t="s">
        <v>41</v>
      </c>
      <c r="E1342" s="7" t="s">
        <v>39</v>
      </c>
      <c r="F1342" s="0" t="n">
        <v>695.7</v>
      </c>
      <c r="G1342" s="0" t="n">
        <v>-27.828</v>
      </c>
      <c r="H1342" s="0" t="n">
        <v>0.5</v>
      </c>
      <c r="I1342" s="7" t="n">
        <f aca="false">YEAR(B1342)</f>
        <v>2017</v>
      </c>
      <c r="J1342" s="0" t="str">
        <f aca="false">I1342&amp;"-Q"&amp;ROUNDUP(MONTH(B1342)/3,0)</f>
        <v>2017-Q1</v>
      </c>
    </row>
    <row r="1343" customFormat="false" ht="15" hidden="false" customHeight="false" outlineLevel="0" collapsed="false">
      <c r="A1343" s="0" t="s">
        <v>714</v>
      </c>
      <c r="B1343" s="6" t="n">
        <v>42737</v>
      </c>
      <c r="C1343" s="7" t="s">
        <v>29</v>
      </c>
      <c r="D1343" s="7" t="s">
        <v>41</v>
      </c>
      <c r="E1343" s="7" t="s">
        <v>35</v>
      </c>
      <c r="F1343" s="0" t="n">
        <v>15.66</v>
      </c>
      <c r="G1343" s="0" t="n">
        <v>-12.528</v>
      </c>
      <c r="H1343" s="0" t="n">
        <v>0.7</v>
      </c>
      <c r="I1343" s="7" t="n">
        <f aca="false">YEAR(B1343)</f>
        <v>2017</v>
      </c>
      <c r="J1343" s="0" t="str">
        <f aca="false">I1343&amp;"-Q"&amp;ROUNDUP(MONTH(B1343)/3,0)</f>
        <v>2017-Q1</v>
      </c>
    </row>
    <row r="1344" customFormat="false" ht="15" hidden="false" customHeight="false" outlineLevel="0" collapsed="false">
      <c r="A1344" s="0" t="s">
        <v>714</v>
      </c>
      <c r="B1344" s="6" t="n">
        <v>42737</v>
      </c>
      <c r="C1344" s="7" t="s">
        <v>29</v>
      </c>
      <c r="D1344" s="7" t="s">
        <v>41</v>
      </c>
      <c r="E1344" s="7" t="s">
        <v>35</v>
      </c>
      <c r="F1344" s="0" t="n">
        <v>28.854</v>
      </c>
      <c r="G1344" s="0" t="n">
        <v>-21.1596</v>
      </c>
      <c r="H1344" s="0" t="n">
        <v>0.7</v>
      </c>
      <c r="I1344" s="7" t="n">
        <f aca="false">YEAR(B1344)</f>
        <v>2017</v>
      </c>
      <c r="J1344" s="0" t="str">
        <f aca="false">I1344&amp;"-Q"&amp;ROUNDUP(MONTH(B1344)/3,0)</f>
        <v>2017-Q1</v>
      </c>
    </row>
    <row r="1345" customFormat="false" ht="15" hidden="false" customHeight="false" outlineLevel="0" collapsed="false">
      <c r="A1345" s="0" t="s">
        <v>715</v>
      </c>
      <c r="B1345" s="6" t="n">
        <v>42152</v>
      </c>
      <c r="C1345" s="7" t="s">
        <v>55</v>
      </c>
      <c r="D1345" s="7" t="s">
        <v>76</v>
      </c>
      <c r="E1345" s="7" t="s">
        <v>35</v>
      </c>
      <c r="F1345" s="0" t="n">
        <v>47.82</v>
      </c>
      <c r="G1345" s="0" t="n">
        <v>14.346</v>
      </c>
      <c r="H1345" s="0" t="n">
        <v>0</v>
      </c>
      <c r="I1345" s="7" t="n">
        <f aca="false">YEAR(B1345)</f>
        <v>2015</v>
      </c>
      <c r="J1345" s="0" t="str">
        <f aca="false">I1345&amp;"-Q"&amp;ROUNDUP(MONTH(B1345)/3,0)</f>
        <v>2015-Q2</v>
      </c>
    </row>
    <row r="1346" customFormat="false" ht="15" hidden="false" customHeight="false" outlineLevel="0" collapsed="false">
      <c r="A1346" s="0" t="s">
        <v>715</v>
      </c>
      <c r="B1346" s="6" t="n">
        <v>42152</v>
      </c>
      <c r="C1346" s="7" t="s">
        <v>55</v>
      </c>
      <c r="D1346" s="7" t="s">
        <v>76</v>
      </c>
      <c r="E1346" s="7" t="s">
        <v>35</v>
      </c>
      <c r="F1346" s="0" t="n">
        <v>13.05</v>
      </c>
      <c r="G1346" s="0" t="n">
        <v>6.003</v>
      </c>
      <c r="H1346" s="0" t="n">
        <v>0</v>
      </c>
      <c r="I1346" s="7" t="n">
        <f aca="false">YEAR(B1346)</f>
        <v>2015</v>
      </c>
      <c r="J1346" s="0" t="str">
        <f aca="false">I1346&amp;"-Q"&amp;ROUNDUP(MONTH(B1346)/3,0)</f>
        <v>2015-Q2</v>
      </c>
    </row>
    <row r="1347" customFormat="false" ht="15" hidden="false" customHeight="false" outlineLevel="0" collapsed="false">
      <c r="A1347" s="0" t="s">
        <v>716</v>
      </c>
      <c r="B1347" s="6" t="n">
        <v>41715</v>
      </c>
      <c r="C1347" s="7" t="s">
        <v>45</v>
      </c>
      <c r="D1347" s="7" t="s">
        <v>68</v>
      </c>
      <c r="E1347" s="7" t="s">
        <v>35</v>
      </c>
      <c r="F1347" s="0" t="n">
        <v>93.78</v>
      </c>
      <c r="G1347" s="0" t="n">
        <v>36.5742</v>
      </c>
      <c r="H1347" s="0" t="n">
        <v>0</v>
      </c>
      <c r="I1347" s="7" t="n">
        <f aca="false">YEAR(B1347)</f>
        <v>2014</v>
      </c>
      <c r="J1347" s="0" t="str">
        <f aca="false">I1347&amp;"-Q"&amp;ROUNDUP(MONTH(B1347)/3,0)</f>
        <v>2014-Q1</v>
      </c>
    </row>
    <row r="1348" customFormat="false" ht="15" hidden="false" customHeight="false" outlineLevel="0" collapsed="false">
      <c r="A1348" s="0" t="s">
        <v>716</v>
      </c>
      <c r="B1348" s="6" t="n">
        <v>41715</v>
      </c>
      <c r="C1348" s="7" t="s">
        <v>45</v>
      </c>
      <c r="D1348" s="7" t="s">
        <v>68</v>
      </c>
      <c r="E1348" s="7" t="s">
        <v>35</v>
      </c>
      <c r="F1348" s="0" t="n">
        <v>47.18</v>
      </c>
      <c r="G1348" s="0" t="n">
        <v>23.59</v>
      </c>
      <c r="H1348" s="0" t="n">
        <v>0</v>
      </c>
      <c r="I1348" s="7" t="n">
        <f aca="false">YEAR(B1348)</f>
        <v>2014</v>
      </c>
      <c r="J1348" s="0" t="str">
        <f aca="false">I1348&amp;"-Q"&amp;ROUNDUP(MONTH(B1348)/3,0)</f>
        <v>2014-Q1</v>
      </c>
    </row>
    <row r="1349" customFormat="false" ht="15" hidden="false" customHeight="false" outlineLevel="0" collapsed="false">
      <c r="A1349" s="0" t="s">
        <v>716</v>
      </c>
      <c r="B1349" s="6" t="n">
        <v>41715</v>
      </c>
      <c r="C1349" s="7" t="s">
        <v>45</v>
      </c>
      <c r="D1349" s="7" t="s">
        <v>68</v>
      </c>
      <c r="E1349" s="7" t="s">
        <v>35</v>
      </c>
      <c r="F1349" s="0" t="n">
        <v>19.68</v>
      </c>
      <c r="G1349" s="0" t="n">
        <v>5.7072</v>
      </c>
      <c r="H1349" s="0" t="n">
        <v>0</v>
      </c>
      <c r="I1349" s="7" t="n">
        <f aca="false">YEAR(B1349)</f>
        <v>2014</v>
      </c>
      <c r="J1349" s="0" t="str">
        <f aca="false">I1349&amp;"-Q"&amp;ROUNDUP(MONTH(B1349)/3,0)</f>
        <v>2014-Q1</v>
      </c>
    </row>
    <row r="1350" customFormat="false" ht="15" hidden="false" customHeight="false" outlineLevel="0" collapsed="false">
      <c r="A1350" s="0" t="s">
        <v>716</v>
      </c>
      <c r="B1350" s="6" t="n">
        <v>41715</v>
      </c>
      <c r="C1350" s="7" t="s">
        <v>45</v>
      </c>
      <c r="D1350" s="7" t="s">
        <v>68</v>
      </c>
      <c r="E1350" s="7" t="s">
        <v>35</v>
      </c>
      <c r="F1350" s="0" t="n">
        <v>53.4</v>
      </c>
      <c r="G1350" s="0" t="n">
        <v>25.098</v>
      </c>
      <c r="H1350" s="0" t="n">
        <v>0</v>
      </c>
      <c r="I1350" s="7" t="n">
        <f aca="false">YEAR(B1350)</f>
        <v>2014</v>
      </c>
      <c r="J1350" s="0" t="str">
        <f aca="false">I1350&amp;"-Q"&amp;ROUNDUP(MONTH(B1350)/3,0)</f>
        <v>2014-Q1</v>
      </c>
    </row>
    <row r="1351" customFormat="false" ht="15" hidden="false" customHeight="false" outlineLevel="0" collapsed="false">
      <c r="A1351" s="0" t="s">
        <v>716</v>
      </c>
      <c r="B1351" s="6" t="n">
        <v>41715</v>
      </c>
      <c r="C1351" s="7" t="s">
        <v>45</v>
      </c>
      <c r="D1351" s="7" t="s">
        <v>68</v>
      </c>
      <c r="E1351" s="7" t="s">
        <v>35</v>
      </c>
      <c r="F1351" s="0" t="n">
        <v>35.88</v>
      </c>
      <c r="G1351" s="0" t="n">
        <v>17.2224</v>
      </c>
      <c r="H1351" s="0" t="n">
        <v>0</v>
      </c>
      <c r="I1351" s="7" t="n">
        <f aca="false">YEAR(B1351)</f>
        <v>2014</v>
      </c>
      <c r="J1351" s="0" t="str">
        <f aca="false">I1351&amp;"-Q"&amp;ROUNDUP(MONTH(B1351)/3,0)</f>
        <v>2014-Q1</v>
      </c>
    </row>
    <row r="1352" customFormat="false" ht="15" hidden="false" customHeight="false" outlineLevel="0" collapsed="false">
      <c r="A1352" s="0" t="s">
        <v>717</v>
      </c>
      <c r="B1352" s="6" t="n">
        <v>41915</v>
      </c>
      <c r="C1352" s="7" t="s">
        <v>45</v>
      </c>
      <c r="D1352" s="7" t="s">
        <v>64</v>
      </c>
      <c r="E1352" s="7" t="s">
        <v>31</v>
      </c>
      <c r="F1352" s="0" t="n">
        <v>258.279</v>
      </c>
      <c r="G1352" s="0" t="n">
        <v>-70.1043</v>
      </c>
      <c r="H1352" s="0" t="n">
        <v>0.3</v>
      </c>
      <c r="I1352" s="7" t="n">
        <f aca="false">YEAR(B1352)</f>
        <v>2014</v>
      </c>
      <c r="J1352" s="0" t="str">
        <f aca="false">I1352&amp;"-Q"&amp;ROUNDUP(MONTH(B1352)/3,0)</f>
        <v>2014-Q4</v>
      </c>
    </row>
    <row r="1353" customFormat="false" ht="15" hidden="false" customHeight="false" outlineLevel="0" collapsed="false">
      <c r="A1353" s="0" t="s">
        <v>718</v>
      </c>
      <c r="B1353" s="6" t="n">
        <v>42457</v>
      </c>
      <c r="C1353" s="7" t="s">
        <v>29</v>
      </c>
      <c r="D1353" s="7" t="s">
        <v>83</v>
      </c>
      <c r="E1353" s="7" t="s">
        <v>35</v>
      </c>
      <c r="F1353" s="0" t="n">
        <v>31.4</v>
      </c>
      <c r="G1353" s="0" t="n">
        <v>7.85</v>
      </c>
      <c r="H1353" s="0" t="n">
        <v>0</v>
      </c>
      <c r="I1353" s="7" t="n">
        <f aca="false">YEAR(B1353)</f>
        <v>2016</v>
      </c>
      <c r="J1353" s="0" t="str">
        <f aca="false">I1353&amp;"-Q"&amp;ROUNDUP(MONTH(B1353)/3,0)</f>
        <v>2016-Q1</v>
      </c>
    </row>
    <row r="1354" customFormat="false" ht="15" hidden="false" customHeight="false" outlineLevel="0" collapsed="false">
      <c r="A1354" s="0" t="s">
        <v>719</v>
      </c>
      <c r="B1354" s="6" t="n">
        <v>42859</v>
      </c>
      <c r="C1354" s="7" t="s">
        <v>33</v>
      </c>
      <c r="D1354" s="7" t="s">
        <v>34</v>
      </c>
      <c r="E1354" s="7" t="s">
        <v>39</v>
      </c>
      <c r="F1354" s="0" t="n">
        <v>183.96</v>
      </c>
      <c r="G1354" s="0" t="n">
        <v>20.6955</v>
      </c>
      <c r="H1354" s="0" t="n">
        <v>0.2</v>
      </c>
      <c r="I1354" s="7" t="n">
        <f aca="false">YEAR(B1354)</f>
        <v>2017</v>
      </c>
      <c r="J1354" s="0" t="str">
        <f aca="false">I1354&amp;"-Q"&amp;ROUNDUP(MONTH(B1354)/3,0)</f>
        <v>2017-Q2</v>
      </c>
    </row>
    <row r="1355" customFormat="false" ht="15" hidden="false" customHeight="false" outlineLevel="0" collapsed="false">
      <c r="A1355" s="0" t="s">
        <v>719</v>
      </c>
      <c r="B1355" s="6" t="n">
        <v>42859</v>
      </c>
      <c r="C1355" s="7" t="s">
        <v>33</v>
      </c>
      <c r="D1355" s="7" t="s">
        <v>34</v>
      </c>
      <c r="E1355" s="7" t="s">
        <v>35</v>
      </c>
      <c r="F1355" s="0" t="n">
        <v>17.61</v>
      </c>
      <c r="G1355" s="0" t="n">
        <v>8.4528</v>
      </c>
      <c r="H1355" s="0" t="n">
        <v>0</v>
      </c>
      <c r="I1355" s="7" t="n">
        <f aca="false">YEAR(B1355)</f>
        <v>2017</v>
      </c>
      <c r="J1355" s="0" t="str">
        <f aca="false">I1355&amp;"-Q"&amp;ROUNDUP(MONTH(B1355)/3,0)</f>
        <v>2017-Q2</v>
      </c>
    </row>
    <row r="1356" customFormat="false" ht="15" hidden="false" customHeight="false" outlineLevel="0" collapsed="false">
      <c r="A1356" s="0" t="s">
        <v>719</v>
      </c>
      <c r="B1356" s="6" t="n">
        <v>42859</v>
      </c>
      <c r="C1356" s="7" t="s">
        <v>33</v>
      </c>
      <c r="D1356" s="7" t="s">
        <v>34</v>
      </c>
      <c r="E1356" s="7" t="s">
        <v>31</v>
      </c>
      <c r="F1356" s="0" t="n">
        <v>300.904</v>
      </c>
      <c r="G1356" s="0" t="n">
        <v>11.2839</v>
      </c>
      <c r="H1356" s="0" t="n">
        <v>0.2</v>
      </c>
      <c r="I1356" s="7" t="n">
        <f aca="false">YEAR(B1356)</f>
        <v>2017</v>
      </c>
      <c r="J1356" s="0" t="str">
        <f aca="false">I1356&amp;"-Q"&amp;ROUNDUP(MONTH(B1356)/3,0)</f>
        <v>2017-Q2</v>
      </c>
    </row>
    <row r="1357" customFormat="false" ht="15" hidden="false" customHeight="false" outlineLevel="0" collapsed="false">
      <c r="A1357" s="0" t="s">
        <v>720</v>
      </c>
      <c r="B1357" s="6" t="n">
        <v>41825</v>
      </c>
      <c r="C1357" s="7" t="s">
        <v>45</v>
      </c>
      <c r="D1357" s="7" t="s">
        <v>46</v>
      </c>
      <c r="E1357" s="7" t="s">
        <v>35</v>
      </c>
      <c r="F1357" s="0" t="n">
        <v>220.776</v>
      </c>
      <c r="G1357" s="0" t="n">
        <v>-44.1552</v>
      </c>
      <c r="H1357" s="0" t="n">
        <v>0.2</v>
      </c>
      <c r="I1357" s="7" t="n">
        <f aca="false">YEAR(B1357)</f>
        <v>2014</v>
      </c>
      <c r="J1357" s="0" t="str">
        <f aca="false">I1357&amp;"-Q"&amp;ROUNDUP(MONTH(B1357)/3,0)</f>
        <v>2014-Q3</v>
      </c>
    </row>
    <row r="1358" customFormat="false" ht="15" hidden="false" customHeight="false" outlineLevel="0" collapsed="false">
      <c r="A1358" s="0" t="s">
        <v>720</v>
      </c>
      <c r="B1358" s="6" t="n">
        <v>41825</v>
      </c>
      <c r="C1358" s="7" t="s">
        <v>45</v>
      </c>
      <c r="D1358" s="7" t="s">
        <v>46</v>
      </c>
      <c r="E1358" s="7" t="s">
        <v>35</v>
      </c>
      <c r="F1358" s="0" t="n">
        <v>281.424</v>
      </c>
      <c r="G1358" s="0" t="n">
        <v>-35.178</v>
      </c>
      <c r="H1358" s="0" t="n">
        <v>0.2</v>
      </c>
      <c r="I1358" s="7" t="n">
        <f aca="false">YEAR(B1358)</f>
        <v>2014</v>
      </c>
      <c r="J1358" s="0" t="str">
        <f aca="false">I1358&amp;"-Q"&amp;ROUNDUP(MONTH(B1358)/3,0)</f>
        <v>2014-Q3</v>
      </c>
    </row>
    <row r="1359" customFormat="false" ht="15" hidden="false" customHeight="false" outlineLevel="0" collapsed="false">
      <c r="A1359" s="0" t="s">
        <v>721</v>
      </c>
      <c r="B1359" s="6" t="n">
        <v>42495</v>
      </c>
      <c r="C1359" s="7" t="s">
        <v>29</v>
      </c>
      <c r="D1359" s="7" t="s">
        <v>30</v>
      </c>
      <c r="E1359" s="7" t="s">
        <v>35</v>
      </c>
      <c r="F1359" s="0" t="n">
        <v>79.14</v>
      </c>
      <c r="G1359" s="0" t="n">
        <v>36.4044</v>
      </c>
      <c r="H1359" s="0" t="n">
        <v>0</v>
      </c>
      <c r="I1359" s="7" t="n">
        <f aca="false">YEAR(B1359)</f>
        <v>2016</v>
      </c>
      <c r="J1359" s="0" t="str">
        <f aca="false">I1359&amp;"-Q"&amp;ROUNDUP(MONTH(B1359)/3,0)</f>
        <v>2016-Q2</v>
      </c>
    </row>
    <row r="1360" customFormat="false" ht="15" hidden="false" customHeight="false" outlineLevel="0" collapsed="false">
      <c r="A1360" s="0" t="s">
        <v>722</v>
      </c>
      <c r="B1360" s="6" t="n">
        <v>42851</v>
      </c>
      <c r="C1360" s="7" t="s">
        <v>45</v>
      </c>
      <c r="D1360" s="7" t="s">
        <v>46</v>
      </c>
      <c r="E1360" s="7" t="s">
        <v>31</v>
      </c>
      <c r="F1360" s="0" t="n">
        <v>1.988</v>
      </c>
      <c r="G1360" s="0" t="n">
        <v>-1.4413</v>
      </c>
      <c r="H1360" s="0" t="n">
        <v>0.6</v>
      </c>
      <c r="I1360" s="7" t="n">
        <f aca="false">YEAR(B1360)</f>
        <v>2017</v>
      </c>
      <c r="J1360" s="0" t="str">
        <f aca="false">I1360&amp;"-Q"&amp;ROUNDUP(MONTH(B1360)/3,0)</f>
        <v>2017-Q2</v>
      </c>
    </row>
    <row r="1361" customFormat="false" ht="15" hidden="false" customHeight="false" outlineLevel="0" collapsed="false">
      <c r="A1361" s="0" t="s">
        <v>723</v>
      </c>
      <c r="B1361" s="6" t="n">
        <v>41908</v>
      </c>
      <c r="C1361" s="7" t="s">
        <v>33</v>
      </c>
      <c r="D1361" s="7" t="s">
        <v>34</v>
      </c>
      <c r="E1361" s="7" t="s">
        <v>31</v>
      </c>
      <c r="F1361" s="0" t="n">
        <v>145.568</v>
      </c>
      <c r="G1361" s="0" t="n">
        <v>0</v>
      </c>
      <c r="H1361" s="0" t="n">
        <v>0.2</v>
      </c>
      <c r="I1361" s="7" t="n">
        <f aca="false">YEAR(B1361)</f>
        <v>2014</v>
      </c>
      <c r="J1361" s="0" t="str">
        <f aca="false">I1361&amp;"-Q"&amp;ROUNDUP(MONTH(B1361)/3,0)</f>
        <v>2014-Q3</v>
      </c>
    </row>
    <row r="1362" customFormat="false" ht="15" hidden="false" customHeight="false" outlineLevel="0" collapsed="false">
      <c r="A1362" s="0" t="s">
        <v>724</v>
      </c>
      <c r="B1362" s="6" t="n">
        <v>43027</v>
      </c>
      <c r="C1362" s="7" t="s">
        <v>55</v>
      </c>
      <c r="D1362" s="7" t="s">
        <v>56</v>
      </c>
      <c r="E1362" s="7" t="s">
        <v>35</v>
      </c>
      <c r="F1362" s="0" t="n">
        <v>123.256</v>
      </c>
      <c r="G1362" s="0" t="n">
        <v>9.2442</v>
      </c>
      <c r="H1362" s="0" t="n">
        <v>0.2</v>
      </c>
      <c r="I1362" s="7" t="n">
        <f aca="false">YEAR(B1362)</f>
        <v>2017</v>
      </c>
      <c r="J1362" s="0" t="str">
        <f aca="false">I1362&amp;"-Q"&amp;ROUNDUP(MONTH(B1362)/3,0)</f>
        <v>2017-Q4</v>
      </c>
    </row>
    <row r="1363" customFormat="false" ht="15" hidden="false" customHeight="false" outlineLevel="0" collapsed="false">
      <c r="A1363" s="0" t="s">
        <v>724</v>
      </c>
      <c r="B1363" s="6" t="n">
        <v>43027</v>
      </c>
      <c r="C1363" s="7" t="s">
        <v>55</v>
      </c>
      <c r="D1363" s="7" t="s">
        <v>56</v>
      </c>
      <c r="E1363" s="7" t="s">
        <v>35</v>
      </c>
      <c r="F1363" s="0" t="n">
        <v>23.68</v>
      </c>
      <c r="G1363" s="0" t="n">
        <v>7.4</v>
      </c>
      <c r="H1363" s="0" t="n">
        <v>0.2</v>
      </c>
      <c r="I1363" s="7" t="n">
        <f aca="false">YEAR(B1363)</f>
        <v>2017</v>
      </c>
      <c r="J1363" s="0" t="str">
        <f aca="false">I1363&amp;"-Q"&amp;ROUNDUP(MONTH(B1363)/3,0)</f>
        <v>2017-Q4</v>
      </c>
    </row>
    <row r="1364" customFormat="false" ht="15" hidden="false" customHeight="false" outlineLevel="0" collapsed="false">
      <c r="A1364" s="0" t="s">
        <v>724</v>
      </c>
      <c r="B1364" s="6" t="n">
        <v>43027</v>
      </c>
      <c r="C1364" s="7" t="s">
        <v>55</v>
      </c>
      <c r="D1364" s="7" t="s">
        <v>56</v>
      </c>
      <c r="E1364" s="7" t="s">
        <v>39</v>
      </c>
      <c r="F1364" s="0" t="n">
        <v>309.576</v>
      </c>
      <c r="G1364" s="0" t="n">
        <v>-56.7556</v>
      </c>
      <c r="H1364" s="0" t="n">
        <v>0.4</v>
      </c>
      <c r="I1364" s="7" t="n">
        <f aca="false">YEAR(B1364)</f>
        <v>2017</v>
      </c>
      <c r="J1364" s="0" t="str">
        <f aca="false">I1364&amp;"-Q"&amp;ROUNDUP(MONTH(B1364)/3,0)</f>
        <v>2017-Q4</v>
      </c>
    </row>
    <row r="1365" customFormat="false" ht="15" hidden="false" customHeight="false" outlineLevel="0" collapsed="false">
      <c r="A1365" s="0" t="s">
        <v>725</v>
      </c>
      <c r="B1365" s="6" t="n">
        <v>43049</v>
      </c>
      <c r="C1365" s="7" t="s">
        <v>33</v>
      </c>
      <c r="D1365" s="7" t="s">
        <v>81</v>
      </c>
      <c r="E1365" s="7" t="s">
        <v>35</v>
      </c>
      <c r="F1365" s="0" t="n">
        <v>38.388</v>
      </c>
      <c r="G1365" s="0" t="n">
        <v>-25.592</v>
      </c>
      <c r="H1365" s="0" t="n">
        <v>0.7</v>
      </c>
      <c r="I1365" s="7" t="n">
        <f aca="false">YEAR(B1365)</f>
        <v>2017</v>
      </c>
      <c r="J1365" s="0" t="str">
        <f aca="false">I1365&amp;"-Q"&amp;ROUNDUP(MONTH(B1365)/3,0)</f>
        <v>2017-Q4</v>
      </c>
    </row>
    <row r="1366" customFormat="false" ht="15" hidden="false" customHeight="false" outlineLevel="0" collapsed="false">
      <c r="A1366" s="0" t="s">
        <v>725</v>
      </c>
      <c r="B1366" s="6" t="n">
        <v>43049</v>
      </c>
      <c r="C1366" s="7" t="s">
        <v>33</v>
      </c>
      <c r="D1366" s="7" t="s">
        <v>81</v>
      </c>
      <c r="E1366" s="7" t="s">
        <v>39</v>
      </c>
      <c r="F1366" s="0" t="n">
        <v>95.994</v>
      </c>
      <c r="G1366" s="0" t="n">
        <v>-63.996</v>
      </c>
      <c r="H1366" s="0" t="n">
        <v>0.7</v>
      </c>
      <c r="I1366" s="7" t="n">
        <f aca="false">YEAR(B1366)</f>
        <v>2017</v>
      </c>
      <c r="J1366" s="0" t="str">
        <f aca="false">I1366&amp;"-Q"&amp;ROUNDUP(MONTH(B1366)/3,0)</f>
        <v>2017-Q4</v>
      </c>
    </row>
    <row r="1367" customFormat="false" ht="15" hidden="false" customHeight="false" outlineLevel="0" collapsed="false">
      <c r="A1367" s="0" t="s">
        <v>725</v>
      </c>
      <c r="B1367" s="6" t="n">
        <v>43049</v>
      </c>
      <c r="C1367" s="7" t="s">
        <v>33</v>
      </c>
      <c r="D1367" s="7" t="s">
        <v>81</v>
      </c>
      <c r="E1367" s="7" t="s">
        <v>39</v>
      </c>
      <c r="F1367" s="0" t="n">
        <v>239.952</v>
      </c>
      <c r="G1367" s="0" t="n">
        <v>-35.9928</v>
      </c>
      <c r="H1367" s="0" t="n">
        <v>0.2</v>
      </c>
      <c r="I1367" s="7" t="n">
        <f aca="false">YEAR(B1367)</f>
        <v>2017</v>
      </c>
      <c r="J1367" s="0" t="str">
        <f aca="false">I1367&amp;"-Q"&amp;ROUNDUP(MONTH(B1367)/3,0)</f>
        <v>2017-Q4</v>
      </c>
    </row>
    <row r="1368" customFormat="false" ht="15" hidden="false" customHeight="false" outlineLevel="0" collapsed="false">
      <c r="A1368" s="0" t="s">
        <v>725</v>
      </c>
      <c r="B1368" s="6" t="n">
        <v>43049</v>
      </c>
      <c r="C1368" s="7" t="s">
        <v>33</v>
      </c>
      <c r="D1368" s="7" t="s">
        <v>81</v>
      </c>
      <c r="E1368" s="7" t="s">
        <v>39</v>
      </c>
      <c r="F1368" s="0" t="n">
        <v>201.584</v>
      </c>
      <c r="G1368" s="0" t="n">
        <v>15.1188</v>
      </c>
      <c r="H1368" s="0" t="n">
        <v>0.2</v>
      </c>
      <c r="I1368" s="7" t="n">
        <f aca="false">YEAR(B1368)</f>
        <v>2017</v>
      </c>
      <c r="J1368" s="0" t="str">
        <f aca="false">I1368&amp;"-Q"&amp;ROUNDUP(MONTH(B1368)/3,0)</f>
        <v>2017-Q4</v>
      </c>
    </row>
    <row r="1369" customFormat="false" ht="15" hidden="false" customHeight="false" outlineLevel="0" collapsed="false">
      <c r="A1369" s="0" t="s">
        <v>725</v>
      </c>
      <c r="B1369" s="6" t="n">
        <v>43049</v>
      </c>
      <c r="C1369" s="7" t="s">
        <v>33</v>
      </c>
      <c r="D1369" s="7" t="s">
        <v>81</v>
      </c>
      <c r="E1369" s="7" t="s">
        <v>31</v>
      </c>
      <c r="F1369" s="0" t="n">
        <v>899.136</v>
      </c>
      <c r="G1369" s="0" t="n">
        <v>-146.1096</v>
      </c>
      <c r="H1369" s="0" t="n">
        <v>0.2</v>
      </c>
      <c r="I1369" s="7" t="n">
        <f aca="false">YEAR(B1369)</f>
        <v>2017</v>
      </c>
      <c r="J1369" s="0" t="str">
        <f aca="false">I1369&amp;"-Q"&amp;ROUNDUP(MONTH(B1369)/3,0)</f>
        <v>2017-Q4</v>
      </c>
    </row>
    <row r="1370" customFormat="false" ht="15" hidden="false" customHeight="false" outlineLevel="0" collapsed="false">
      <c r="A1370" s="0" t="s">
        <v>726</v>
      </c>
      <c r="B1370" s="6" t="n">
        <v>42924</v>
      </c>
      <c r="C1370" s="7" t="s">
        <v>33</v>
      </c>
      <c r="D1370" s="7" t="s">
        <v>34</v>
      </c>
      <c r="E1370" s="7" t="s">
        <v>31</v>
      </c>
      <c r="F1370" s="0" t="n">
        <v>145.9</v>
      </c>
      <c r="G1370" s="0" t="n">
        <v>62.737</v>
      </c>
      <c r="H1370" s="0" t="n">
        <v>0</v>
      </c>
      <c r="I1370" s="7" t="n">
        <f aca="false">YEAR(B1370)</f>
        <v>2017</v>
      </c>
      <c r="J1370" s="0" t="str">
        <f aca="false">I1370&amp;"-Q"&amp;ROUNDUP(MONTH(B1370)/3,0)</f>
        <v>2017-Q3</v>
      </c>
    </row>
    <row r="1371" customFormat="false" ht="15" hidden="false" customHeight="false" outlineLevel="0" collapsed="false">
      <c r="A1371" s="0" t="s">
        <v>727</v>
      </c>
      <c r="B1371" s="6" t="n">
        <v>42362</v>
      </c>
      <c r="C1371" s="7" t="s">
        <v>33</v>
      </c>
      <c r="D1371" s="7" t="s">
        <v>109</v>
      </c>
      <c r="E1371" s="7" t="s">
        <v>31</v>
      </c>
      <c r="F1371" s="0" t="n">
        <v>590.058</v>
      </c>
      <c r="G1371" s="0" t="n">
        <v>-786.744</v>
      </c>
      <c r="H1371" s="0" t="n">
        <v>0.7</v>
      </c>
      <c r="I1371" s="7" t="n">
        <f aca="false">YEAR(B1371)</f>
        <v>2015</v>
      </c>
      <c r="J1371" s="0" t="str">
        <f aca="false">I1371&amp;"-Q"&amp;ROUNDUP(MONTH(B1371)/3,0)</f>
        <v>2015-Q4</v>
      </c>
    </row>
    <row r="1372" customFormat="false" ht="15" hidden="false" customHeight="false" outlineLevel="0" collapsed="false">
      <c r="A1372" s="0" t="s">
        <v>727</v>
      </c>
      <c r="B1372" s="6" t="n">
        <v>42362</v>
      </c>
      <c r="C1372" s="7" t="s">
        <v>33</v>
      </c>
      <c r="D1372" s="7" t="s">
        <v>109</v>
      </c>
      <c r="E1372" s="7" t="s">
        <v>35</v>
      </c>
      <c r="F1372" s="0" t="n">
        <v>14.04</v>
      </c>
      <c r="G1372" s="0" t="n">
        <v>1.5795</v>
      </c>
      <c r="H1372" s="0" t="n">
        <v>0.2</v>
      </c>
      <c r="I1372" s="7" t="n">
        <f aca="false">YEAR(B1372)</f>
        <v>2015</v>
      </c>
      <c r="J1372" s="0" t="str">
        <f aca="false">I1372&amp;"-Q"&amp;ROUNDUP(MONTH(B1372)/3,0)</f>
        <v>2015-Q4</v>
      </c>
    </row>
    <row r="1373" customFormat="false" ht="15" hidden="false" customHeight="false" outlineLevel="0" collapsed="false">
      <c r="A1373" s="0" t="s">
        <v>728</v>
      </c>
      <c r="B1373" s="6" t="n">
        <v>42801</v>
      </c>
      <c r="C1373" s="7" t="s">
        <v>55</v>
      </c>
      <c r="D1373" s="7" t="s">
        <v>495</v>
      </c>
      <c r="E1373" s="7" t="s">
        <v>39</v>
      </c>
      <c r="F1373" s="0" t="n">
        <v>49.08</v>
      </c>
      <c r="G1373" s="0" t="n">
        <v>4.908</v>
      </c>
      <c r="H1373" s="0" t="n">
        <v>0</v>
      </c>
      <c r="I1373" s="7" t="n">
        <f aca="false">YEAR(B1373)</f>
        <v>2017</v>
      </c>
      <c r="J1373" s="0" t="str">
        <f aca="false">I1373&amp;"-Q"&amp;ROUNDUP(MONTH(B1373)/3,0)</f>
        <v>2017-Q1</v>
      </c>
    </row>
    <row r="1374" customFormat="false" ht="15" hidden="false" customHeight="false" outlineLevel="0" collapsed="false">
      <c r="A1374" s="0" t="s">
        <v>729</v>
      </c>
      <c r="B1374" s="6" t="n">
        <v>41730</v>
      </c>
      <c r="C1374" s="7" t="s">
        <v>33</v>
      </c>
      <c r="D1374" s="7" t="s">
        <v>34</v>
      </c>
      <c r="E1374" s="7" t="s">
        <v>35</v>
      </c>
      <c r="F1374" s="0" t="n">
        <v>29.6</v>
      </c>
      <c r="G1374" s="0" t="n">
        <v>14.8</v>
      </c>
      <c r="H1374" s="0" t="n">
        <v>0</v>
      </c>
      <c r="I1374" s="7" t="n">
        <f aca="false">YEAR(B1374)</f>
        <v>2014</v>
      </c>
      <c r="J1374" s="0" t="str">
        <f aca="false">I1374&amp;"-Q"&amp;ROUNDUP(MONTH(B1374)/3,0)</f>
        <v>2014-Q2</v>
      </c>
    </row>
    <row r="1375" customFormat="false" ht="15" hidden="false" customHeight="false" outlineLevel="0" collapsed="false">
      <c r="A1375" s="0" t="s">
        <v>729</v>
      </c>
      <c r="B1375" s="6" t="n">
        <v>41730</v>
      </c>
      <c r="C1375" s="7" t="s">
        <v>33</v>
      </c>
      <c r="D1375" s="7" t="s">
        <v>34</v>
      </c>
      <c r="E1375" s="7" t="s">
        <v>35</v>
      </c>
      <c r="F1375" s="0" t="n">
        <v>17.088</v>
      </c>
      <c r="G1375" s="0" t="n">
        <v>5.5536</v>
      </c>
      <c r="H1375" s="0" t="n">
        <v>0.2</v>
      </c>
      <c r="I1375" s="7" t="n">
        <f aca="false">YEAR(B1375)</f>
        <v>2014</v>
      </c>
      <c r="J1375" s="0" t="str">
        <f aca="false">I1375&amp;"-Q"&amp;ROUNDUP(MONTH(B1375)/3,0)</f>
        <v>2014-Q2</v>
      </c>
    </row>
    <row r="1376" customFormat="false" ht="15" hidden="false" customHeight="false" outlineLevel="0" collapsed="false">
      <c r="A1376" s="0" t="s">
        <v>730</v>
      </c>
      <c r="B1376" s="6" t="n">
        <v>42261</v>
      </c>
      <c r="C1376" s="7" t="s">
        <v>33</v>
      </c>
      <c r="D1376" s="7" t="s">
        <v>50</v>
      </c>
      <c r="E1376" s="7" t="s">
        <v>31</v>
      </c>
      <c r="F1376" s="0" t="n">
        <v>912.75</v>
      </c>
      <c r="G1376" s="0" t="n">
        <v>118.6575</v>
      </c>
      <c r="H1376" s="0" t="n">
        <v>0</v>
      </c>
      <c r="I1376" s="7" t="n">
        <f aca="false">YEAR(B1376)</f>
        <v>2015</v>
      </c>
      <c r="J1376" s="0" t="str">
        <f aca="false">I1376&amp;"-Q"&amp;ROUNDUP(MONTH(B1376)/3,0)</f>
        <v>2015-Q3</v>
      </c>
    </row>
    <row r="1377" customFormat="false" ht="15" hidden="false" customHeight="false" outlineLevel="0" collapsed="false">
      <c r="A1377" s="0" t="s">
        <v>731</v>
      </c>
      <c r="B1377" s="6" t="n">
        <v>41855</v>
      </c>
      <c r="C1377" s="7" t="s">
        <v>33</v>
      </c>
      <c r="D1377" s="7" t="s">
        <v>50</v>
      </c>
      <c r="E1377" s="7" t="s">
        <v>35</v>
      </c>
      <c r="F1377" s="0" t="n">
        <v>1089.75</v>
      </c>
      <c r="G1377" s="0" t="n">
        <v>305.13</v>
      </c>
      <c r="H1377" s="0" t="n">
        <v>0</v>
      </c>
      <c r="I1377" s="7" t="n">
        <f aca="false">YEAR(B1377)</f>
        <v>2014</v>
      </c>
      <c r="J1377" s="0" t="str">
        <f aca="false">I1377&amp;"-Q"&amp;ROUNDUP(MONTH(B1377)/3,0)</f>
        <v>2014-Q3</v>
      </c>
    </row>
    <row r="1378" customFormat="false" ht="15" hidden="false" customHeight="false" outlineLevel="0" collapsed="false">
      <c r="A1378" s="0" t="s">
        <v>731</v>
      </c>
      <c r="B1378" s="6" t="n">
        <v>41855</v>
      </c>
      <c r="C1378" s="7" t="s">
        <v>33</v>
      </c>
      <c r="D1378" s="7" t="s">
        <v>50</v>
      </c>
      <c r="E1378" s="7" t="s">
        <v>35</v>
      </c>
      <c r="F1378" s="0" t="n">
        <v>447.84</v>
      </c>
      <c r="G1378" s="0" t="n">
        <v>219.4416</v>
      </c>
      <c r="H1378" s="0" t="n">
        <v>0</v>
      </c>
      <c r="I1378" s="7" t="n">
        <f aca="false">YEAR(B1378)</f>
        <v>2014</v>
      </c>
      <c r="J1378" s="0" t="str">
        <f aca="false">I1378&amp;"-Q"&amp;ROUNDUP(MONTH(B1378)/3,0)</f>
        <v>2014-Q3</v>
      </c>
    </row>
    <row r="1379" customFormat="false" ht="15" hidden="false" customHeight="false" outlineLevel="0" collapsed="false">
      <c r="A1379" s="0" t="s">
        <v>731</v>
      </c>
      <c r="B1379" s="6" t="n">
        <v>41855</v>
      </c>
      <c r="C1379" s="7" t="s">
        <v>33</v>
      </c>
      <c r="D1379" s="7" t="s">
        <v>50</v>
      </c>
      <c r="E1379" s="7" t="s">
        <v>35</v>
      </c>
      <c r="F1379" s="0" t="n">
        <v>16.4</v>
      </c>
      <c r="G1379" s="0" t="n">
        <v>4.264</v>
      </c>
      <c r="H1379" s="0" t="n">
        <v>0</v>
      </c>
      <c r="I1379" s="7" t="n">
        <f aca="false">YEAR(B1379)</f>
        <v>2014</v>
      </c>
      <c r="J1379" s="0" t="str">
        <f aca="false">I1379&amp;"-Q"&amp;ROUNDUP(MONTH(B1379)/3,0)</f>
        <v>2014-Q3</v>
      </c>
    </row>
    <row r="1380" customFormat="false" ht="15" hidden="false" customHeight="false" outlineLevel="0" collapsed="false">
      <c r="A1380" s="0" t="s">
        <v>731</v>
      </c>
      <c r="B1380" s="6" t="n">
        <v>41855</v>
      </c>
      <c r="C1380" s="7" t="s">
        <v>33</v>
      </c>
      <c r="D1380" s="7" t="s">
        <v>50</v>
      </c>
      <c r="E1380" s="7" t="s">
        <v>39</v>
      </c>
      <c r="F1380" s="0" t="n">
        <v>399.96</v>
      </c>
      <c r="G1380" s="0" t="n">
        <v>34.9965</v>
      </c>
      <c r="H1380" s="0" t="n">
        <v>0.2</v>
      </c>
      <c r="I1380" s="7" t="n">
        <f aca="false">YEAR(B1380)</f>
        <v>2014</v>
      </c>
      <c r="J1380" s="0" t="str">
        <f aca="false">I1380&amp;"-Q"&amp;ROUNDUP(MONTH(B1380)/3,0)</f>
        <v>2014-Q3</v>
      </c>
    </row>
    <row r="1381" customFormat="false" ht="15" hidden="false" customHeight="false" outlineLevel="0" collapsed="false">
      <c r="A1381" s="0" t="s">
        <v>731</v>
      </c>
      <c r="B1381" s="6" t="n">
        <v>41855</v>
      </c>
      <c r="C1381" s="7" t="s">
        <v>33</v>
      </c>
      <c r="D1381" s="7" t="s">
        <v>50</v>
      </c>
      <c r="E1381" s="7" t="s">
        <v>35</v>
      </c>
      <c r="F1381" s="0" t="n">
        <v>158.9</v>
      </c>
      <c r="G1381" s="0" t="n">
        <v>7.945</v>
      </c>
      <c r="H1381" s="0" t="n">
        <v>0</v>
      </c>
      <c r="I1381" s="7" t="n">
        <f aca="false">YEAR(B1381)</f>
        <v>2014</v>
      </c>
      <c r="J1381" s="0" t="str">
        <f aca="false">I1381&amp;"-Q"&amp;ROUNDUP(MONTH(B1381)/3,0)</f>
        <v>2014-Q3</v>
      </c>
    </row>
    <row r="1382" customFormat="false" ht="15" hidden="false" customHeight="false" outlineLevel="0" collapsed="false">
      <c r="A1382" s="0" t="s">
        <v>731</v>
      </c>
      <c r="B1382" s="6" t="n">
        <v>41855</v>
      </c>
      <c r="C1382" s="7" t="s">
        <v>33</v>
      </c>
      <c r="D1382" s="7" t="s">
        <v>50</v>
      </c>
      <c r="E1382" s="7" t="s">
        <v>35</v>
      </c>
      <c r="F1382" s="0" t="n">
        <v>13.184</v>
      </c>
      <c r="G1382" s="0" t="n">
        <v>4.7792</v>
      </c>
      <c r="H1382" s="0" t="n">
        <v>0.2</v>
      </c>
      <c r="I1382" s="7" t="n">
        <f aca="false">YEAR(B1382)</f>
        <v>2014</v>
      </c>
      <c r="J1382" s="0" t="str">
        <f aca="false">I1382&amp;"-Q"&amp;ROUNDUP(MONTH(B1382)/3,0)</f>
        <v>2014-Q3</v>
      </c>
    </row>
    <row r="1383" customFormat="false" ht="15" hidden="false" customHeight="false" outlineLevel="0" collapsed="false">
      <c r="A1383" s="0" t="s">
        <v>732</v>
      </c>
      <c r="B1383" s="6" t="n">
        <v>42616</v>
      </c>
      <c r="C1383" s="7" t="s">
        <v>45</v>
      </c>
      <c r="D1383" s="7" t="s">
        <v>64</v>
      </c>
      <c r="E1383" s="7" t="s">
        <v>31</v>
      </c>
      <c r="F1383" s="0" t="n">
        <v>83.952</v>
      </c>
      <c r="G1383" s="0" t="n">
        <v>-90.2484</v>
      </c>
      <c r="H1383" s="0" t="n">
        <v>0.6</v>
      </c>
      <c r="I1383" s="7" t="n">
        <f aca="false">YEAR(B1383)</f>
        <v>2016</v>
      </c>
      <c r="J1383" s="0" t="str">
        <f aca="false">I1383&amp;"-Q"&amp;ROUNDUP(MONTH(B1383)/3,0)</f>
        <v>2016-Q3</v>
      </c>
    </row>
    <row r="1384" customFormat="false" ht="15" hidden="false" customHeight="false" outlineLevel="0" collapsed="false">
      <c r="A1384" s="0" t="s">
        <v>733</v>
      </c>
      <c r="B1384" s="6" t="n">
        <v>42405</v>
      </c>
      <c r="C1384" s="7" t="s">
        <v>29</v>
      </c>
      <c r="D1384" s="7" t="s">
        <v>230</v>
      </c>
      <c r="E1384" s="7" t="s">
        <v>35</v>
      </c>
      <c r="F1384" s="0" t="n">
        <v>80.98</v>
      </c>
      <c r="G1384" s="0" t="n">
        <v>1.6196</v>
      </c>
      <c r="H1384" s="0" t="n">
        <v>0</v>
      </c>
      <c r="I1384" s="7" t="n">
        <f aca="false">YEAR(B1384)</f>
        <v>2016</v>
      </c>
      <c r="J1384" s="0" t="str">
        <f aca="false">I1384&amp;"-Q"&amp;ROUNDUP(MONTH(B1384)/3,0)</f>
        <v>2016-Q1</v>
      </c>
    </row>
    <row r="1385" customFormat="false" ht="15" hidden="false" customHeight="false" outlineLevel="0" collapsed="false">
      <c r="A1385" s="0" t="s">
        <v>733</v>
      </c>
      <c r="B1385" s="6" t="n">
        <v>42405</v>
      </c>
      <c r="C1385" s="7" t="s">
        <v>29</v>
      </c>
      <c r="D1385" s="7" t="s">
        <v>230</v>
      </c>
      <c r="E1385" s="7" t="s">
        <v>35</v>
      </c>
      <c r="F1385" s="0" t="n">
        <v>348.84</v>
      </c>
      <c r="G1385" s="0" t="n">
        <v>170.9316</v>
      </c>
      <c r="H1385" s="0" t="n">
        <v>0</v>
      </c>
      <c r="I1385" s="7" t="n">
        <f aca="false">YEAR(B1385)</f>
        <v>2016</v>
      </c>
      <c r="J1385" s="0" t="str">
        <f aca="false">I1385&amp;"-Q"&amp;ROUNDUP(MONTH(B1385)/3,0)</f>
        <v>2016-Q1</v>
      </c>
    </row>
    <row r="1386" customFormat="false" ht="15" hidden="false" customHeight="false" outlineLevel="0" collapsed="false">
      <c r="A1386" s="0" t="s">
        <v>733</v>
      </c>
      <c r="B1386" s="6" t="n">
        <v>42405</v>
      </c>
      <c r="C1386" s="7" t="s">
        <v>29</v>
      </c>
      <c r="D1386" s="7" t="s">
        <v>230</v>
      </c>
      <c r="E1386" s="7" t="s">
        <v>35</v>
      </c>
      <c r="F1386" s="0" t="n">
        <v>9.45</v>
      </c>
      <c r="G1386" s="0" t="n">
        <v>0.189</v>
      </c>
      <c r="H1386" s="0" t="n">
        <v>0</v>
      </c>
      <c r="I1386" s="7" t="n">
        <f aca="false">YEAR(B1386)</f>
        <v>2016</v>
      </c>
      <c r="J1386" s="0" t="str">
        <f aca="false">I1386&amp;"-Q"&amp;ROUNDUP(MONTH(B1386)/3,0)</f>
        <v>2016-Q1</v>
      </c>
    </row>
    <row r="1387" customFormat="false" ht="15" hidden="false" customHeight="false" outlineLevel="0" collapsed="false">
      <c r="A1387" s="0" t="s">
        <v>733</v>
      </c>
      <c r="B1387" s="6" t="n">
        <v>42405</v>
      </c>
      <c r="C1387" s="7" t="s">
        <v>29</v>
      </c>
      <c r="D1387" s="7" t="s">
        <v>230</v>
      </c>
      <c r="E1387" s="7" t="s">
        <v>31</v>
      </c>
      <c r="F1387" s="0" t="n">
        <v>18.84</v>
      </c>
      <c r="G1387" s="0" t="n">
        <v>7.1592</v>
      </c>
      <c r="H1387" s="0" t="n">
        <v>0</v>
      </c>
      <c r="I1387" s="7" t="n">
        <f aca="false">YEAR(B1387)</f>
        <v>2016</v>
      </c>
      <c r="J1387" s="0" t="str">
        <f aca="false">I1387&amp;"-Q"&amp;ROUNDUP(MONTH(B1387)/3,0)</f>
        <v>2016-Q1</v>
      </c>
    </row>
    <row r="1388" customFormat="false" ht="15" hidden="false" customHeight="false" outlineLevel="0" collapsed="false">
      <c r="A1388" s="0" t="s">
        <v>733</v>
      </c>
      <c r="B1388" s="6" t="n">
        <v>42405</v>
      </c>
      <c r="C1388" s="7" t="s">
        <v>29</v>
      </c>
      <c r="D1388" s="7" t="s">
        <v>230</v>
      </c>
      <c r="E1388" s="7" t="s">
        <v>31</v>
      </c>
      <c r="F1388" s="0" t="n">
        <v>239.98</v>
      </c>
      <c r="G1388" s="0" t="n">
        <v>52.7956</v>
      </c>
      <c r="H1388" s="0" t="n">
        <v>0</v>
      </c>
      <c r="I1388" s="7" t="n">
        <f aca="false">YEAR(B1388)</f>
        <v>2016</v>
      </c>
      <c r="J1388" s="0" t="str">
        <f aca="false">I1388&amp;"-Q"&amp;ROUNDUP(MONTH(B1388)/3,0)</f>
        <v>2016-Q1</v>
      </c>
    </row>
    <row r="1389" customFormat="false" ht="15" hidden="false" customHeight="false" outlineLevel="0" collapsed="false">
      <c r="A1389" s="0" t="s">
        <v>733</v>
      </c>
      <c r="B1389" s="6" t="n">
        <v>42405</v>
      </c>
      <c r="C1389" s="7" t="s">
        <v>29</v>
      </c>
      <c r="D1389" s="7" t="s">
        <v>230</v>
      </c>
      <c r="E1389" s="7" t="s">
        <v>35</v>
      </c>
      <c r="F1389" s="0" t="n">
        <v>167.96</v>
      </c>
      <c r="G1389" s="0" t="n">
        <v>78.9412</v>
      </c>
      <c r="H1389" s="0" t="n">
        <v>0</v>
      </c>
      <c r="I1389" s="7" t="n">
        <f aca="false">YEAR(B1389)</f>
        <v>2016</v>
      </c>
      <c r="J1389" s="0" t="str">
        <f aca="false">I1389&amp;"-Q"&amp;ROUNDUP(MONTH(B1389)/3,0)</f>
        <v>2016-Q1</v>
      </c>
    </row>
    <row r="1390" customFormat="false" ht="15" hidden="false" customHeight="false" outlineLevel="0" collapsed="false">
      <c r="A1390" s="0" t="s">
        <v>733</v>
      </c>
      <c r="B1390" s="6" t="n">
        <v>42405</v>
      </c>
      <c r="C1390" s="7" t="s">
        <v>29</v>
      </c>
      <c r="D1390" s="7" t="s">
        <v>230</v>
      </c>
      <c r="E1390" s="7" t="s">
        <v>39</v>
      </c>
      <c r="F1390" s="0" t="n">
        <v>104.85</v>
      </c>
      <c r="G1390" s="0" t="n">
        <v>28.3095</v>
      </c>
      <c r="H1390" s="0" t="n">
        <v>0</v>
      </c>
      <c r="I1390" s="7" t="n">
        <f aca="false">YEAR(B1390)</f>
        <v>2016</v>
      </c>
      <c r="J1390" s="0" t="str">
        <f aca="false">I1390&amp;"-Q"&amp;ROUNDUP(MONTH(B1390)/3,0)</f>
        <v>2016-Q1</v>
      </c>
    </row>
    <row r="1391" customFormat="false" ht="15" hidden="false" customHeight="false" outlineLevel="0" collapsed="false">
      <c r="A1391" s="0" t="s">
        <v>733</v>
      </c>
      <c r="B1391" s="6" t="n">
        <v>42405</v>
      </c>
      <c r="C1391" s="7" t="s">
        <v>29</v>
      </c>
      <c r="D1391" s="7" t="s">
        <v>230</v>
      </c>
      <c r="E1391" s="7" t="s">
        <v>39</v>
      </c>
      <c r="F1391" s="0" t="n">
        <v>484.83</v>
      </c>
      <c r="G1391" s="0" t="n">
        <v>126.0558</v>
      </c>
      <c r="H1391" s="0" t="n">
        <v>0</v>
      </c>
      <c r="I1391" s="7" t="n">
        <f aca="false">YEAR(B1391)</f>
        <v>2016</v>
      </c>
      <c r="J1391" s="0" t="str">
        <f aca="false">I1391&amp;"-Q"&amp;ROUNDUP(MONTH(B1391)/3,0)</f>
        <v>2016-Q1</v>
      </c>
    </row>
    <row r="1392" customFormat="false" ht="15" hidden="false" customHeight="false" outlineLevel="0" collapsed="false">
      <c r="A1392" s="0" t="s">
        <v>733</v>
      </c>
      <c r="B1392" s="6" t="n">
        <v>42405</v>
      </c>
      <c r="C1392" s="7" t="s">
        <v>29</v>
      </c>
      <c r="D1392" s="7" t="s">
        <v>230</v>
      </c>
      <c r="E1392" s="7" t="s">
        <v>35</v>
      </c>
      <c r="F1392" s="0" t="n">
        <v>122.97</v>
      </c>
      <c r="G1392" s="0" t="n">
        <v>60.2553</v>
      </c>
      <c r="H1392" s="0" t="n">
        <v>0</v>
      </c>
      <c r="I1392" s="7" t="n">
        <f aca="false">YEAR(B1392)</f>
        <v>2016</v>
      </c>
      <c r="J1392" s="0" t="str">
        <f aca="false">I1392&amp;"-Q"&amp;ROUNDUP(MONTH(B1392)/3,0)</f>
        <v>2016-Q1</v>
      </c>
    </row>
    <row r="1393" customFormat="false" ht="15" hidden="false" customHeight="false" outlineLevel="0" collapsed="false">
      <c r="A1393" s="0" t="s">
        <v>733</v>
      </c>
      <c r="B1393" s="6" t="n">
        <v>42405</v>
      </c>
      <c r="C1393" s="7" t="s">
        <v>29</v>
      </c>
      <c r="D1393" s="7" t="s">
        <v>230</v>
      </c>
      <c r="E1393" s="7" t="s">
        <v>35</v>
      </c>
      <c r="F1393" s="0" t="n">
        <v>154.44</v>
      </c>
      <c r="G1393" s="0" t="n">
        <v>1.5444</v>
      </c>
      <c r="H1393" s="0" t="n">
        <v>0</v>
      </c>
      <c r="I1393" s="7" t="n">
        <f aca="false">YEAR(B1393)</f>
        <v>2016</v>
      </c>
      <c r="J1393" s="0" t="str">
        <f aca="false">I1393&amp;"-Q"&amp;ROUNDUP(MONTH(B1393)/3,0)</f>
        <v>2016-Q1</v>
      </c>
    </row>
    <row r="1394" customFormat="false" ht="15" hidden="false" customHeight="false" outlineLevel="0" collapsed="false">
      <c r="A1394" s="0" t="s">
        <v>733</v>
      </c>
      <c r="B1394" s="6" t="n">
        <v>42405</v>
      </c>
      <c r="C1394" s="7" t="s">
        <v>29</v>
      </c>
      <c r="D1394" s="7" t="s">
        <v>230</v>
      </c>
      <c r="E1394" s="7" t="s">
        <v>35</v>
      </c>
      <c r="F1394" s="0" t="n">
        <v>342.37</v>
      </c>
      <c r="G1394" s="0" t="n">
        <v>160.9139</v>
      </c>
      <c r="H1394" s="0" t="n">
        <v>0</v>
      </c>
      <c r="I1394" s="7" t="n">
        <f aca="false">YEAR(B1394)</f>
        <v>2016</v>
      </c>
      <c r="J1394" s="0" t="str">
        <f aca="false">I1394&amp;"-Q"&amp;ROUNDUP(MONTH(B1394)/3,0)</f>
        <v>2016-Q1</v>
      </c>
    </row>
    <row r="1395" customFormat="false" ht="15" hidden="false" customHeight="false" outlineLevel="0" collapsed="false">
      <c r="A1395" s="0" t="s">
        <v>734</v>
      </c>
      <c r="B1395" s="6" t="n">
        <v>42919</v>
      </c>
      <c r="C1395" s="7" t="s">
        <v>29</v>
      </c>
      <c r="D1395" s="7" t="s">
        <v>41</v>
      </c>
      <c r="E1395" s="7" t="s">
        <v>35</v>
      </c>
      <c r="F1395" s="0" t="n">
        <v>9.552</v>
      </c>
      <c r="G1395" s="0" t="n">
        <v>1.5522</v>
      </c>
      <c r="H1395" s="0" t="n">
        <v>0.2</v>
      </c>
      <c r="I1395" s="7" t="n">
        <f aca="false">YEAR(B1395)</f>
        <v>2017</v>
      </c>
      <c r="J1395" s="0" t="str">
        <f aca="false">I1395&amp;"-Q"&amp;ROUNDUP(MONTH(B1395)/3,0)</f>
        <v>2017-Q3</v>
      </c>
    </row>
    <row r="1396" customFormat="false" ht="15" hidden="false" customHeight="false" outlineLevel="0" collapsed="false">
      <c r="A1396" s="0" t="s">
        <v>735</v>
      </c>
      <c r="B1396" s="6" t="n">
        <v>43017</v>
      </c>
      <c r="C1396" s="7" t="s">
        <v>45</v>
      </c>
      <c r="D1396" s="7" t="s">
        <v>64</v>
      </c>
      <c r="E1396" s="7" t="s">
        <v>31</v>
      </c>
      <c r="F1396" s="0" t="n">
        <v>652.45</v>
      </c>
      <c r="G1396" s="0" t="n">
        <v>-430.617</v>
      </c>
      <c r="H1396" s="0" t="n">
        <v>0.5</v>
      </c>
      <c r="I1396" s="7" t="n">
        <f aca="false">YEAR(B1396)</f>
        <v>2017</v>
      </c>
      <c r="J1396" s="0" t="str">
        <f aca="false">I1396&amp;"-Q"&amp;ROUNDUP(MONTH(B1396)/3,0)</f>
        <v>2017-Q4</v>
      </c>
    </row>
    <row r="1397" customFormat="false" ht="15" hidden="false" customHeight="false" outlineLevel="0" collapsed="false">
      <c r="A1397" s="0" t="s">
        <v>735</v>
      </c>
      <c r="B1397" s="6" t="n">
        <v>43017</v>
      </c>
      <c r="C1397" s="7" t="s">
        <v>45</v>
      </c>
      <c r="D1397" s="7" t="s">
        <v>64</v>
      </c>
      <c r="E1397" s="7" t="s">
        <v>31</v>
      </c>
      <c r="F1397" s="0" t="n">
        <v>66.645</v>
      </c>
      <c r="G1397" s="0" t="n">
        <v>-42.6528</v>
      </c>
      <c r="H1397" s="0" t="n">
        <v>0.5</v>
      </c>
      <c r="I1397" s="7" t="n">
        <f aca="false">YEAR(B1397)</f>
        <v>2017</v>
      </c>
      <c r="J1397" s="0" t="str">
        <f aca="false">I1397&amp;"-Q"&amp;ROUNDUP(MONTH(B1397)/3,0)</f>
        <v>2017-Q4</v>
      </c>
    </row>
    <row r="1398" customFormat="false" ht="15" hidden="false" customHeight="false" outlineLevel="0" collapsed="false">
      <c r="A1398" s="0" t="s">
        <v>736</v>
      </c>
      <c r="B1398" s="6" t="n">
        <v>42698</v>
      </c>
      <c r="C1398" s="7" t="s">
        <v>55</v>
      </c>
      <c r="D1398" s="7" t="s">
        <v>76</v>
      </c>
      <c r="E1398" s="7" t="s">
        <v>35</v>
      </c>
      <c r="F1398" s="0" t="n">
        <v>17.216</v>
      </c>
      <c r="G1398" s="0" t="n">
        <v>6.0256</v>
      </c>
      <c r="H1398" s="0" t="n">
        <v>0.2</v>
      </c>
      <c r="I1398" s="7" t="n">
        <f aca="false">YEAR(B1398)</f>
        <v>2016</v>
      </c>
      <c r="J1398" s="0" t="str">
        <f aca="false">I1398&amp;"-Q"&amp;ROUNDUP(MONTH(B1398)/3,0)</f>
        <v>2016-Q4</v>
      </c>
    </row>
    <row r="1399" customFormat="false" ht="15" hidden="false" customHeight="false" outlineLevel="0" collapsed="false">
      <c r="A1399" s="0" t="s">
        <v>736</v>
      </c>
      <c r="B1399" s="6" t="n">
        <v>42698</v>
      </c>
      <c r="C1399" s="7" t="s">
        <v>55</v>
      </c>
      <c r="D1399" s="7" t="s">
        <v>76</v>
      </c>
      <c r="E1399" s="7" t="s">
        <v>35</v>
      </c>
      <c r="F1399" s="0" t="n">
        <v>11.56</v>
      </c>
      <c r="G1399" s="0" t="n">
        <v>5.6644</v>
      </c>
      <c r="H1399" s="0" t="n">
        <v>0</v>
      </c>
      <c r="I1399" s="7" t="n">
        <f aca="false">YEAR(B1399)</f>
        <v>2016</v>
      </c>
      <c r="J1399" s="0" t="str">
        <f aca="false">I1399&amp;"-Q"&amp;ROUNDUP(MONTH(B1399)/3,0)</f>
        <v>2016-Q4</v>
      </c>
    </row>
    <row r="1400" customFormat="false" ht="15" hidden="false" customHeight="false" outlineLevel="0" collapsed="false">
      <c r="A1400" s="0" t="s">
        <v>736</v>
      </c>
      <c r="B1400" s="6" t="n">
        <v>42698</v>
      </c>
      <c r="C1400" s="7" t="s">
        <v>55</v>
      </c>
      <c r="D1400" s="7" t="s">
        <v>76</v>
      </c>
      <c r="E1400" s="7" t="s">
        <v>39</v>
      </c>
      <c r="F1400" s="0" t="n">
        <v>88.4</v>
      </c>
      <c r="G1400" s="0" t="n">
        <v>11.492</v>
      </c>
      <c r="H1400" s="0" t="n">
        <v>0</v>
      </c>
      <c r="I1400" s="7" t="n">
        <f aca="false">YEAR(B1400)</f>
        <v>2016</v>
      </c>
      <c r="J1400" s="0" t="str">
        <f aca="false">I1400&amp;"-Q"&amp;ROUNDUP(MONTH(B1400)/3,0)</f>
        <v>2016-Q4</v>
      </c>
    </row>
    <row r="1401" customFormat="false" ht="15" hidden="false" customHeight="false" outlineLevel="0" collapsed="false">
      <c r="A1401" s="0" t="s">
        <v>736</v>
      </c>
      <c r="B1401" s="6" t="n">
        <v>42698</v>
      </c>
      <c r="C1401" s="7" t="s">
        <v>55</v>
      </c>
      <c r="D1401" s="7" t="s">
        <v>76</v>
      </c>
      <c r="E1401" s="7" t="s">
        <v>35</v>
      </c>
      <c r="F1401" s="0" t="n">
        <v>6.48</v>
      </c>
      <c r="G1401" s="0" t="n">
        <v>3.1104</v>
      </c>
      <c r="H1401" s="0" t="n">
        <v>0</v>
      </c>
      <c r="I1401" s="7" t="n">
        <f aca="false">YEAR(B1401)</f>
        <v>2016</v>
      </c>
      <c r="J1401" s="0" t="str">
        <f aca="false">I1401&amp;"-Q"&amp;ROUNDUP(MONTH(B1401)/3,0)</f>
        <v>2016-Q4</v>
      </c>
    </row>
    <row r="1402" customFormat="false" ht="15" hidden="false" customHeight="false" outlineLevel="0" collapsed="false">
      <c r="A1402" s="0" t="s">
        <v>737</v>
      </c>
      <c r="B1402" s="6" t="n">
        <v>42675</v>
      </c>
      <c r="C1402" s="7" t="s">
        <v>29</v>
      </c>
      <c r="D1402" s="7" t="s">
        <v>83</v>
      </c>
      <c r="E1402" s="7" t="s">
        <v>39</v>
      </c>
      <c r="F1402" s="0" t="n">
        <v>21.8</v>
      </c>
      <c r="G1402" s="0" t="n">
        <v>6.104</v>
      </c>
      <c r="H1402" s="0" t="n">
        <v>0</v>
      </c>
      <c r="I1402" s="7" t="n">
        <f aca="false">YEAR(B1402)</f>
        <v>2016</v>
      </c>
      <c r="J1402" s="0" t="str">
        <f aca="false">I1402&amp;"-Q"&amp;ROUNDUP(MONTH(B1402)/3,0)</f>
        <v>2016-Q4</v>
      </c>
    </row>
    <row r="1403" customFormat="false" ht="15" hidden="false" customHeight="false" outlineLevel="0" collapsed="false">
      <c r="A1403" s="0" t="s">
        <v>737</v>
      </c>
      <c r="B1403" s="6" t="n">
        <v>42675</v>
      </c>
      <c r="C1403" s="7" t="s">
        <v>29</v>
      </c>
      <c r="D1403" s="7" t="s">
        <v>83</v>
      </c>
      <c r="E1403" s="7" t="s">
        <v>35</v>
      </c>
      <c r="F1403" s="0" t="n">
        <v>251.79</v>
      </c>
      <c r="G1403" s="0" t="n">
        <v>118.3413</v>
      </c>
      <c r="H1403" s="0" t="n">
        <v>0</v>
      </c>
      <c r="I1403" s="7" t="n">
        <f aca="false">YEAR(B1403)</f>
        <v>2016</v>
      </c>
      <c r="J1403" s="0" t="str">
        <f aca="false">I1403&amp;"-Q"&amp;ROUNDUP(MONTH(B1403)/3,0)</f>
        <v>2016-Q4</v>
      </c>
    </row>
    <row r="1404" customFormat="false" ht="15" hidden="false" customHeight="false" outlineLevel="0" collapsed="false">
      <c r="A1404" s="0" t="s">
        <v>738</v>
      </c>
      <c r="B1404" s="6" t="n">
        <v>42479</v>
      </c>
      <c r="C1404" s="7" t="s">
        <v>55</v>
      </c>
      <c r="D1404" s="7" t="s">
        <v>116</v>
      </c>
      <c r="E1404" s="7" t="s">
        <v>31</v>
      </c>
      <c r="F1404" s="0" t="n">
        <v>205.176</v>
      </c>
      <c r="G1404" s="0" t="n">
        <v>-58.1332</v>
      </c>
      <c r="H1404" s="0" t="n">
        <v>0.4</v>
      </c>
      <c r="I1404" s="7" t="n">
        <f aca="false">YEAR(B1404)</f>
        <v>2016</v>
      </c>
      <c r="J1404" s="0" t="str">
        <f aca="false">I1404&amp;"-Q"&amp;ROUNDUP(MONTH(B1404)/3,0)</f>
        <v>2016-Q2</v>
      </c>
    </row>
    <row r="1405" customFormat="false" ht="15" hidden="false" customHeight="false" outlineLevel="0" collapsed="false">
      <c r="A1405" s="0" t="s">
        <v>738</v>
      </c>
      <c r="B1405" s="6" t="n">
        <v>42479</v>
      </c>
      <c r="C1405" s="7" t="s">
        <v>55</v>
      </c>
      <c r="D1405" s="7" t="s">
        <v>116</v>
      </c>
      <c r="E1405" s="7" t="s">
        <v>35</v>
      </c>
      <c r="F1405" s="0" t="n">
        <v>419.4</v>
      </c>
      <c r="G1405" s="0" t="n">
        <v>146.79</v>
      </c>
      <c r="H1405" s="0" t="n">
        <v>0.2</v>
      </c>
      <c r="I1405" s="7" t="n">
        <f aca="false">YEAR(B1405)</f>
        <v>2016</v>
      </c>
      <c r="J1405" s="0" t="str">
        <f aca="false">I1405&amp;"-Q"&amp;ROUNDUP(MONTH(B1405)/3,0)</f>
        <v>2016-Q2</v>
      </c>
    </row>
    <row r="1406" customFormat="false" ht="15" hidden="false" customHeight="false" outlineLevel="0" collapsed="false">
      <c r="A1406" s="0" t="s">
        <v>739</v>
      </c>
      <c r="B1406" s="6" t="n">
        <v>41735</v>
      </c>
      <c r="C1406" s="7" t="s">
        <v>55</v>
      </c>
      <c r="D1406" s="7" t="s">
        <v>56</v>
      </c>
      <c r="E1406" s="7" t="s">
        <v>35</v>
      </c>
      <c r="F1406" s="0" t="n">
        <v>10.304</v>
      </c>
      <c r="G1406" s="0" t="n">
        <v>-2.1896</v>
      </c>
      <c r="H1406" s="0" t="n">
        <v>0.2</v>
      </c>
      <c r="I1406" s="7" t="n">
        <f aca="false">YEAR(B1406)</f>
        <v>2014</v>
      </c>
      <c r="J1406" s="0" t="str">
        <f aca="false">I1406&amp;"-Q"&amp;ROUNDUP(MONTH(B1406)/3,0)</f>
        <v>2014-Q2</v>
      </c>
    </row>
    <row r="1407" customFormat="false" ht="15" hidden="false" customHeight="false" outlineLevel="0" collapsed="false">
      <c r="A1407" s="0" t="s">
        <v>739</v>
      </c>
      <c r="B1407" s="6" t="n">
        <v>41735</v>
      </c>
      <c r="C1407" s="7" t="s">
        <v>55</v>
      </c>
      <c r="D1407" s="7" t="s">
        <v>56</v>
      </c>
      <c r="E1407" s="7" t="s">
        <v>31</v>
      </c>
      <c r="F1407" s="0" t="n">
        <v>154.764</v>
      </c>
      <c r="G1407" s="0" t="n">
        <v>-36.1116</v>
      </c>
      <c r="H1407" s="0" t="n">
        <v>0.4</v>
      </c>
      <c r="I1407" s="7" t="n">
        <f aca="false">YEAR(B1407)</f>
        <v>2014</v>
      </c>
      <c r="J1407" s="0" t="str">
        <f aca="false">I1407&amp;"-Q"&amp;ROUNDUP(MONTH(B1407)/3,0)</f>
        <v>2014-Q2</v>
      </c>
    </row>
    <row r="1408" customFormat="false" ht="15" hidden="false" customHeight="false" outlineLevel="0" collapsed="false">
      <c r="A1408" s="0" t="s">
        <v>739</v>
      </c>
      <c r="B1408" s="6" t="n">
        <v>41735</v>
      </c>
      <c r="C1408" s="7" t="s">
        <v>55</v>
      </c>
      <c r="D1408" s="7" t="s">
        <v>56</v>
      </c>
      <c r="E1408" s="7" t="s">
        <v>39</v>
      </c>
      <c r="F1408" s="0" t="n">
        <v>116.784</v>
      </c>
      <c r="G1408" s="0" t="n">
        <v>21.897</v>
      </c>
      <c r="H1408" s="0" t="n">
        <v>0.2</v>
      </c>
      <c r="I1408" s="7" t="n">
        <f aca="false">YEAR(B1408)</f>
        <v>2014</v>
      </c>
      <c r="J1408" s="0" t="str">
        <f aca="false">I1408&amp;"-Q"&amp;ROUNDUP(MONTH(B1408)/3,0)</f>
        <v>2014-Q2</v>
      </c>
    </row>
    <row r="1409" customFormat="false" ht="15" hidden="false" customHeight="false" outlineLevel="0" collapsed="false">
      <c r="A1409" s="0" t="s">
        <v>740</v>
      </c>
      <c r="B1409" s="6" t="n">
        <v>42615</v>
      </c>
      <c r="C1409" s="7" t="s">
        <v>55</v>
      </c>
      <c r="D1409" s="7" t="s">
        <v>76</v>
      </c>
      <c r="E1409" s="7" t="s">
        <v>35</v>
      </c>
      <c r="F1409" s="0" t="n">
        <v>75.48</v>
      </c>
      <c r="G1409" s="0" t="n">
        <v>19.6248</v>
      </c>
      <c r="H1409" s="0" t="n">
        <v>0</v>
      </c>
      <c r="I1409" s="7" t="n">
        <f aca="false">YEAR(B1409)</f>
        <v>2016</v>
      </c>
      <c r="J1409" s="0" t="str">
        <f aca="false">I1409&amp;"-Q"&amp;ROUNDUP(MONTH(B1409)/3,0)</f>
        <v>2016-Q3</v>
      </c>
    </row>
    <row r="1410" customFormat="false" ht="15" hidden="false" customHeight="false" outlineLevel="0" collapsed="false">
      <c r="A1410" s="0" t="s">
        <v>740</v>
      </c>
      <c r="B1410" s="6" t="n">
        <v>42615</v>
      </c>
      <c r="C1410" s="7" t="s">
        <v>55</v>
      </c>
      <c r="D1410" s="7" t="s">
        <v>76</v>
      </c>
      <c r="E1410" s="7" t="s">
        <v>31</v>
      </c>
      <c r="F1410" s="0" t="n">
        <v>39.98</v>
      </c>
      <c r="G1410" s="0" t="n">
        <v>9.995</v>
      </c>
      <c r="H1410" s="0" t="n">
        <v>0</v>
      </c>
      <c r="I1410" s="7" t="n">
        <f aca="false">YEAR(B1410)</f>
        <v>2016</v>
      </c>
      <c r="J1410" s="0" t="str">
        <f aca="false">I1410&amp;"-Q"&amp;ROUNDUP(MONTH(B1410)/3,0)</f>
        <v>2016-Q3</v>
      </c>
    </row>
    <row r="1411" customFormat="false" ht="15" hidden="false" customHeight="false" outlineLevel="0" collapsed="false">
      <c r="A1411" s="0" t="s">
        <v>741</v>
      </c>
      <c r="B1411" s="6" t="n">
        <v>42638</v>
      </c>
      <c r="C1411" s="7" t="s">
        <v>33</v>
      </c>
      <c r="D1411" s="7" t="s">
        <v>81</v>
      </c>
      <c r="E1411" s="7" t="s">
        <v>31</v>
      </c>
      <c r="F1411" s="0" t="n">
        <v>393.165</v>
      </c>
      <c r="G1411" s="0" t="n">
        <v>-204.4458</v>
      </c>
      <c r="H1411" s="0" t="n">
        <v>0.5</v>
      </c>
      <c r="I1411" s="7" t="n">
        <f aca="false">YEAR(B1411)</f>
        <v>2016</v>
      </c>
      <c r="J1411" s="0" t="str">
        <f aca="false">I1411&amp;"-Q"&amp;ROUNDUP(MONTH(B1411)/3,0)</f>
        <v>2016-Q3</v>
      </c>
    </row>
    <row r="1412" customFormat="false" ht="15" hidden="false" customHeight="false" outlineLevel="0" collapsed="false">
      <c r="A1412" s="0" t="s">
        <v>742</v>
      </c>
      <c r="B1412" s="6" t="n">
        <v>43043</v>
      </c>
      <c r="C1412" s="7" t="s">
        <v>45</v>
      </c>
      <c r="D1412" s="7" t="s">
        <v>46</v>
      </c>
      <c r="E1412" s="7" t="s">
        <v>35</v>
      </c>
      <c r="F1412" s="0" t="n">
        <v>23.68</v>
      </c>
      <c r="G1412" s="0" t="n">
        <v>8.88</v>
      </c>
      <c r="H1412" s="0" t="n">
        <v>0.2</v>
      </c>
      <c r="I1412" s="7" t="n">
        <f aca="false">YEAR(B1412)</f>
        <v>2017</v>
      </c>
      <c r="J1412" s="0" t="str">
        <f aca="false">I1412&amp;"-Q"&amp;ROUNDUP(MONTH(B1412)/3,0)</f>
        <v>2017-Q4</v>
      </c>
    </row>
    <row r="1413" customFormat="false" ht="15" hidden="false" customHeight="false" outlineLevel="0" collapsed="false">
      <c r="A1413" s="0" t="s">
        <v>743</v>
      </c>
      <c r="B1413" s="6" t="n">
        <v>42560</v>
      </c>
      <c r="C1413" s="7" t="s">
        <v>55</v>
      </c>
      <c r="D1413" s="7" t="s">
        <v>76</v>
      </c>
      <c r="E1413" s="7" t="s">
        <v>31</v>
      </c>
      <c r="F1413" s="0" t="n">
        <v>408.006</v>
      </c>
      <c r="G1413" s="0" t="n">
        <v>72.5344</v>
      </c>
      <c r="H1413" s="0" t="n">
        <v>0.1</v>
      </c>
      <c r="I1413" s="7" t="n">
        <f aca="false">YEAR(B1413)</f>
        <v>2016</v>
      </c>
      <c r="J1413" s="0" t="str">
        <f aca="false">I1413&amp;"-Q"&amp;ROUNDUP(MONTH(B1413)/3,0)</f>
        <v>2016-Q3</v>
      </c>
    </row>
    <row r="1414" customFormat="false" ht="15" hidden="false" customHeight="false" outlineLevel="0" collapsed="false">
      <c r="A1414" s="0" t="s">
        <v>743</v>
      </c>
      <c r="B1414" s="6" t="n">
        <v>42560</v>
      </c>
      <c r="C1414" s="7" t="s">
        <v>55</v>
      </c>
      <c r="D1414" s="7" t="s">
        <v>76</v>
      </c>
      <c r="E1414" s="7" t="s">
        <v>31</v>
      </c>
      <c r="F1414" s="0" t="n">
        <v>165.28</v>
      </c>
      <c r="G1414" s="0" t="n">
        <v>14.8752</v>
      </c>
      <c r="H1414" s="0" t="n">
        <v>0</v>
      </c>
      <c r="I1414" s="7" t="n">
        <f aca="false">YEAR(B1414)</f>
        <v>2016</v>
      </c>
      <c r="J1414" s="0" t="str">
        <f aca="false">I1414&amp;"-Q"&amp;ROUNDUP(MONTH(B1414)/3,0)</f>
        <v>2016-Q3</v>
      </c>
    </row>
    <row r="1415" customFormat="false" ht="15" hidden="false" customHeight="false" outlineLevel="0" collapsed="false">
      <c r="A1415" s="0" t="s">
        <v>744</v>
      </c>
      <c r="B1415" s="6" t="n">
        <v>41820</v>
      </c>
      <c r="C1415" s="7" t="s">
        <v>55</v>
      </c>
      <c r="D1415" s="7" t="s">
        <v>76</v>
      </c>
      <c r="E1415" s="7" t="s">
        <v>35</v>
      </c>
      <c r="F1415" s="0" t="n">
        <v>334.768</v>
      </c>
      <c r="G1415" s="0" t="n">
        <v>108.7996</v>
      </c>
      <c r="H1415" s="0" t="n">
        <v>0.2</v>
      </c>
      <c r="I1415" s="7" t="n">
        <f aca="false">YEAR(B1415)</f>
        <v>2014</v>
      </c>
      <c r="J1415" s="0" t="str">
        <f aca="false">I1415&amp;"-Q"&amp;ROUNDUP(MONTH(B1415)/3,0)</f>
        <v>2014-Q2</v>
      </c>
    </row>
    <row r="1416" customFormat="false" ht="15" hidden="false" customHeight="false" outlineLevel="0" collapsed="false">
      <c r="A1416" s="0" t="s">
        <v>745</v>
      </c>
      <c r="B1416" s="6" t="n">
        <v>42763</v>
      </c>
      <c r="C1416" s="7" t="s">
        <v>33</v>
      </c>
      <c r="D1416" s="7" t="s">
        <v>34</v>
      </c>
      <c r="E1416" s="7" t="s">
        <v>39</v>
      </c>
      <c r="F1416" s="0" t="n">
        <v>239.97</v>
      </c>
      <c r="G1416" s="0" t="n">
        <v>26.3967</v>
      </c>
      <c r="H1416" s="0" t="n">
        <v>0</v>
      </c>
      <c r="I1416" s="7" t="n">
        <f aca="false">YEAR(B1416)</f>
        <v>2017</v>
      </c>
      <c r="J1416" s="0" t="str">
        <f aca="false">I1416&amp;"-Q"&amp;ROUNDUP(MONTH(B1416)/3,0)</f>
        <v>2017-Q1</v>
      </c>
    </row>
    <row r="1417" customFormat="false" ht="15" hidden="false" customHeight="false" outlineLevel="0" collapsed="false">
      <c r="A1417" s="0" t="s">
        <v>745</v>
      </c>
      <c r="B1417" s="6" t="n">
        <v>42763</v>
      </c>
      <c r="C1417" s="7" t="s">
        <v>33</v>
      </c>
      <c r="D1417" s="7" t="s">
        <v>34</v>
      </c>
      <c r="E1417" s="7" t="s">
        <v>31</v>
      </c>
      <c r="F1417" s="0" t="n">
        <v>37.74</v>
      </c>
      <c r="G1417" s="0" t="n">
        <v>12.8316</v>
      </c>
      <c r="H1417" s="0" t="n">
        <v>0</v>
      </c>
      <c r="I1417" s="7" t="n">
        <f aca="false">YEAR(B1417)</f>
        <v>2017</v>
      </c>
      <c r="J1417" s="0" t="str">
        <f aca="false">I1417&amp;"-Q"&amp;ROUNDUP(MONTH(B1417)/3,0)</f>
        <v>2017-Q1</v>
      </c>
    </row>
    <row r="1418" customFormat="false" ht="15" hidden="false" customHeight="false" outlineLevel="0" collapsed="false">
      <c r="A1418" s="0" t="s">
        <v>746</v>
      </c>
      <c r="B1418" s="6" t="n">
        <v>42268</v>
      </c>
      <c r="C1418" s="7" t="s">
        <v>45</v>
      </c>
      <c r="D1418" s="7" t="s">
        <v>46</v>
      </c>
      <c r="E1418" s="7" t="s">
        <v>39</v>
      </c>
      <c r="F1418" s="0" t="n">
        <v>946.344</v>
      </c>
      <c r="G1418" s="0" t="n">
        <v>118.293</v>
      </c>
      <c r="H1418" s="0" t="n">
        <v>0.2</v>
      </c>
      <c r="I1418" s="7" t="n">
        <f aca="false">YEAR(B1418)</f>
        <v>2015</v>
      </c>
      <c r="J1418" s="0" t="str">
        <f aca="false">I1418&amp;"-Q"&amp;ROUNDUP(MONTH(B1418)/3,0)</f>
        <v>2015-Q3</v>
      </c>
    </row>
    <row r="1419" customFormat="false" ht="15" hidden="false" customHeight="false" outlineLevel="0" collapsed="false">
      <c r="A1419" s="0" t="s">
        <v>746</v>
      </c>
      <c r="B1419" s="6" t="n">
        <v>42268</v>
      </c>
      <c r="C1419" s="7" t="s">
        <v>45</v>
      </c>
      <c r="D1419" s="7" t="s">
        <v>46</v>
      </c>
      <c r="E1419" s="7" t="s">
        <v>39</v>
      </c>
      <c r="F1419" s="0" t="n">
        <v>151.2</v>
      </c>
      <c r="G1419" s="0" t="n">
        <v>32.13</v>
      </c>
      <c r="H1419" s="0" t="n">
        <v>0.2</v>
      </c>
      <c r="I1419" s="7" t="n">
        <f aca="false">YEAR(B1419)</f>
        <v>2015</v>
      </c>
      <c r="J1419" s="0" t="str">
        <f aca="false">I1419&amp;"-Q"&amp;ROUNDUP(MONTH(B1419)/3,0)</f>
        <v>2015-Q3</v>
      </c>
    </row>
    <row r="1420" customFormat="false" ht="15" hidden="false" customHeight="false" outlineLevel="0" collapsed="false">
      <c r="A1420" s="0" t="s">
        <v>746</v>
      </c>
      <c r="B1420" s="6" t="n">
        <v>42268</v>
      </c>
      <c r="C1420" s="7" t="s">
        <v>45</v>
      </c>
      <c r="D1420" s="7" t="s">
        <v>46</v>
      </c>
      <c r="E1420" s="7" t="s">
        <v>31</v>
      </c>
      <c r="F1420" s="0" t="n">
        <v>4.928</v>
      </c>
      <c r="G1420" s="0" t="n">
        <v>-1.4784</v>
      </c>
      <c r="H1420" s="0" t="n">
        <v>0.6</v>
      </c>
      <c r="I1420" s="7" t="n">
        <f aca="false">YEAR(B1420)</f>
        <v>2015</v>
      </c>
      <c r="J1420" s="0" t="str">
        <f aca="false">I1420&amp;"-Q"&amp;ROUNDUP(MONTH(B1420)/3,0)</f>
        <v>2015-Q3</v>
      </c>
    </row>
    <row r="1421" customFormat="false" ht="15" hidden="false" customHeight="false" outlineLevel="0" collapsed="false">
      <c r="A1421" s="0" t="s">
        <v>747</v>
      </c>
      <c r="B1421" s="6" t="n">
        <v>42273</v>
      </c>
      <c r="C1421" s="7" t="s">
        <v>33</v>
      </c>
      <c r="D1421" s="7" t="s">
        <v>81</v>
      </c>
      <c r="E1421" s="7" t="s">
        <v>35</v>
      </c>
      <c r="F1421" s="0" t="n">
        <v>86.272</v>
      </c>
      <c r="G1421" s="0" t="n">
        <v>31.2736</v>
      </c>
      <c r="H1421" s="0" t="n">
        <v>0.2</v>
      </c>
      <c r="I1421" s="7" t="n">
        <f aca="false">YEAR(B1421)</f>
        <v>2015</v>
      </c>
      <c r="J1421" s="0" t="str">
        <f aca="false">I1421&amp;"-Q"&amp;ROUNDUP(MONTH(B1421)/3,0)</f>
        <v>2015-Q3</v>
      </c>
    </row>
    <row r="1422" customFormat="false" ht="15" hidden="false" customHeight="false" outlineLevel="0" collapsed="false">
      <c r="A1422" s="0" t="s">
        <v>747</v>
      </c>
      <c r="B1422" s="6" t="n">
        <v>42273</v>
      </c>
      <c r="C1422" s="7" t="s">
        <v>33</v>
      </c>
      <c r="D1422" s="7" t="s">
        <v>81</v>
      </c>
      <c r="E1422" s="7" t="s">
        <v>35</v>
      </c>
      <c r="F1422" s="0" t="n">
        <v>72.588</v>
      </c>
      <c r="G1422" s="0" t="n">
        <v>-48.392</v>
      </c>
      <c r="H1422" s="0" t="n">
        <v>0.7</v>
      </c>
      <c r="I1422" s="7" t="n">
        <f aca="false">YEAR(B1422)</f>
        <v>2015</v>
      </c>
      <c r="J1422" s="0" t="str">
        <f aca="false">I1422&amp;"-Q"&amp;ROUNDUP(MONTH(B1422)/3,0)</f>
        <v>2015-Q3</v>
      </c>
    </row>
    <row r="1423" customFormat="false" ht="15" hidden="false" customHeight="false" outlineLevel="0" collapsed="false">
      <c r="A1423" s="0" t="s">
        <v>747</v>
      </c>
      <c r="B1423" s="6" t="n">
        <v>42273</v>
      </c>
      <c r="C1423" s="7" t="s">
        <v>33</v>
      </c>
      <c r="D1423" s="7" t="s">
        <v>81</v>
      </c>
      <c r="E1423" s="7" t="s">
        <v>35</v>
      </c>
      <c r="F1423" s="0" t="n">
        <v>60.672</v>
      </c>
      <c r="G1423" s="0" t="n">
        <v>14.4096</v>
      </c>
      <c r="H1423" s="0" t="n">
        <v>0.2</v>
      </c>
      <c r="I1423" s="7" t="n">
        <f aca="false">YEAR(B1423)</f>
        <v>2015</v>
      </c>
      <c r="J1423" s="0" t="str">
        <f aca="false">I1423&amp;"-Q"&amp;ROUNDUP(MONTH(B1423)/3,0)</f>
        <v>2015-Q3</v>
      </c>
    </row>
    <row r="1424" customFormat="false" ht="15" hidden="false" customHeight="false" outlineLevel="0" collapsed="false">
      <c r="A1424" s="0" t="s">
        <v>747</v>
      </c>
      <c r="B1424" s="6" t="n">
        <v>42273</v>
      </c>
      <c r="C1424" s="7" t="s">
        <v>33</v>
      </c>
      <c r="D1424" s="7" t="s">
        <v>81</v>
      </c>
      <c r="E1424" s="7" t="s">
        <v>35</v>
      </c>
      <c r="F1424" s="0" t="n">
        <v>77.031</v>
      </c>
      <c r="G1424" s="0" t="n">
        <v>-59.0571</v>
      </c>
      <c r="H1424" s="0" t="n">
        <v>0.7</v>
      </c>
      <c r="I1424" s="7" t="n">
        <f aca="false">YEAR(B1424)</f>
        <v>2015</v>
      </c>
      <c r="J1424" s="0" t="str">
        <f aca="false">I1424&amp;"-Q"&amp;ROUNDUP(MONTH(B1424)/3,0)</f>
        <v>2015-Q3</v>
      </c>
    </row>
    <row r="1425" customFormat="false" ht="15" hidden="false" customHeight="false" outlineLevel="0" collapsed="false">
      <c r="A1425" s="0" t="s">
        <v>747</v>
      </c>
      <c r="B1425" s="6" t="n">
        <v>42273</v>
      </c>
      <c r="C1425" s="7" t="s">
        <v>33</v>
      </c>
      <c r="D1425" s="7" t="s">
        <v>81</v>
      </c>
      <c r="E1425" s="7" t="s">
        <v>35</v>
      </c>
      <c r="F1425" s="0" t="n">
        <v>119.904</v>
      </c>
      <c r="G1425" s="0" t="n">
        <v>-1.4988</v>
      </c>
      <c r="H1425" s="0" t="n">
        <v>0.2</v>
      </c>
      <c r="I1425" s="7" t="n">
        <f aca="false">YEAR(B1425)</f>
        <v>2015</v>
      </c>
      <c r="J1425" s="0" t="str">
        <f aca="false">I1425&amp;"-Q"&amp;ROUNDUP(MONTH(B1425)/3,0)</f>
        <v>2015-Q3</v>
      </c>
    </row>
    <row r="1426" customFormat="false" ht="15" hidden="false" customHeight="false" outlineLevel="0" collapsed="false">
      <c r="A1426" s="0" t="s">
        <v>747</v>
      </c>
      <c r="B1426" s="6" t="n">
        <v>42273</v>
      </c>
      <c r="C1426" s="7" t="s">
        <v>33</v>
      </c>
      <c r="D1426" s="7" t="s">
        <v>81</v>
      </c>
      <c r="E1426" s="7" t="s">
        <v>39</v>
      </c>
      <c r="F1426" s="0" t="n">
        <v>263.96</v>
      </c>
      <c r="G1426" s="0" t="n">
        <v>23.0965</v>
      </c>
      <c r="H1426" s="0" t="n">
        <v>0.2</v>
      </c>
      <c r="I1426" s="7" t="n">
        <f aca="false">YEAR(B1426)</f>
        <v>2015</v>
      </c>
      <c r="J1426" s="0" t="str">
        <f aca="false">I1426&amp;"-Q"&amp;ROUNDUP(MONTH(B1426)/3,0)</f>
        <v>2015-Q3</v>
      </c>
    </row>
    <row r="1427" customFormat="false" ht="15" hidden="false" customHeight="false" outlineLevel="0" collapsed="false">
      <c r="A1427" s="0" t="s">
        <v>747</v>
      </c>
      <c r="B1427" s="6" t="n">
        <v>42273</v>
      </c>
      <c r="C1427" s="7" t="s">
        <v>33</v>
      </c>
      <c r="D1427" s="7" t="s">
        <v>81</v>
      </c>
      <c r="E1427" s="7" t="s">
        <v>35</v>
      </c>
      <c r="F1427" s="0" t="n">
        <v>363.648</v>
      </c>
      <c r="G1427" s="0" t="n">
        <v>-86.3664</v>
      </c>
      <c r="H1427" s="0" t="n">
        <v>0.2</v>
      </c>
      <c r="I1427" s="7" t="n">
        <f aca="false">YEAR(B1427)</f>
        <v>2015</v>
      </c>
      <c r="J1427" s="0" t="str">
        <f aca="false">I1427&amp;"-Q"&amp;ROUNDUP(MONTH(B1427)/3,0)</f>
        <v>2015-Q3</v>
      </c>
    </row>
    <row r="1428" customFormat="false" ht="15" hidden="false" customHeight="false" outlineLevel="0" collapsed="false">
      <c r="A1428" s="0" t="s">
        <v>748</v>
      </c>
      <c r="B1428" s="6" t="n">
        <v>42308</v>
      </c>
      <c r="C1428" s="7" t="s">
        <v>33</v>
      </c>
      <c r="D1428" s="7" t="s">
        <v>34</v>
      </c>
      <c r="E1428" s="7" t="s">
        <v>35</v>
      </c>
      <c r="F1428" s="0" t="n">
        <v>9.728</v>
      </c>
      <c r="G1428" s="0" t="n">
        <v>3.2832</v>
      </c>
      <c r="H1428" s="0" t="n">
        <v>0.2</v>
      </c>
      <c r="I1428" s="7" t="n">
        <f aca="false">YEAR(B1428)</f>
        <v>2015</v>
      </c>
      <c r="J1428" s="0" t="str">
        <f aca="false">I1428&amp;"-Q"&amp;ROUNDUP(MONTH(B1428)/3,0)</f>
        <v>2015-Q4</v>
      </c>
    </row>
    <row r="1429" customFormat="false" ht="15" hidden="false" customHeight="false" outlineLevel="0" collapsed="false">
      <c r="A1429" s="0" t="s">
        <v>748</v>
      </c>
      <c r="B1429" s="6" t="n">
        <v>42308</v>
      </c>
      <c r="C1429" s="7" t="s">
        <v>33</v>
      </c>
      <c r="D1429" s="7" t="s">
        <v>34</v>
      </c>
      <c r="E1429" s="7" t="s">
        <v>35</v>
      </c>
      <c r="F1429" s="0" t="n">
        <v>14.75</v>
      </c>
      <c r="G1429" s="0" t="n">
        <v>7.08</v>
      </c>
      <c r="H1429" s="0" t="n">
        <v>0</v>
      </c>
      <c r="I1429" s="7" t="n">
        <f aca="false">YEAR(B1429)</f>
        <v>2015</v>
      </c>
      <c r="J1429" s="0" t="str">
        <f aca="false">I1429&amp;"-Q"&amp;ROUNDUP(MONTH(B1429)/3,0)</f>
        <v>2015-Q4</v>
      </c>
    </row>
    <row r="1430" customFormat="false" ht="15" hidden="false" customHeight="false" outlineLevel="0" collapsed="false">
      <c r="A1430" s="0" t="s">
        <v>748</v>
      </c>
      <c r="B1430" s="6" t="n">
        <v>42308</v>
      </c>
      <c r="C1430" s="7" t="s">
        <v>33</v>
      </c>
      <c r="D1430" s="7" t="s">
        <v>34</v>
      </c>
      <c r="E1430" s="7" t="s">
        <v>35</v>
      </c>
      <c r="F1430" s="0" t="n">
        <v>29.8</v>
      </c>
      <c r="G1430" s="0" t="n">
        <v>9.3125</v>
      </c>
      <c r="H1430" s="0" t="n">
        <v>0.2</v>
      </c>
      <c r="I1430" s="7" t="n">
        <f aca="false">YEAR(B1430)</f>
        <v>2015</v>
      </c>
      <c r="J1430" s="0" t="str">
        <f aca="false">I1430&amp;"-Q"&amp;ROUNDUP(MONTH(B1430)/3,0)</f>
        <v>2015-Q4</v>
      </c>
    </row>
    <row r="1431" customFormat="false" ht="15" hidden="false" customHeight="false" outlineLevel="0" collapsed="false">
      <c r="A1431" s="0" t="s">
        <v>748</v>
      </c>
      <c r="B1431" s="6" t="n">
        <v>42308</v>
      </c>
      <c r="C1431" s="7" t="s">
        <v>33</v>
      </c>
      <c r="D1431" s="7" t="s">
        <v>34</v>
      </c>
      <c r="E1431" s="7" t="s">
        <v>35</v>
      </c>
      <c r="F1431" s="0" t="n">
        <v>427.42</v>
      </c>
      <c r="G1431" s="0" t="n">
        <v>196.6132</v>
      </c>
      <c r="H1431" s="0" t="n">
        <v>0</v>
      </c>
      <c r="I1431" s="7" t="n">
        <f aca="false">YEAR(B1431)</f>
        <v>2015</v>
      </c>
      <c r="J1431" s="0" t="str">
        <f aca="false">I1431&amp;"-Q"&amp;ROUNDUP(MONTH(B1431)/3,0)</f>
        <v>2015-Q4</v>
      </c>
    </row>
    <row r="1432" customFormat="false" ht="15" hidden="false" customHeight="false" outlineLevel="0" collapsed="false">
      <c r="A1432" s="0" t="s">
        <v>749</v>
      </c>
      <c r="B1432" s="6" t="n">
        <v>43065</v>
      </c>
      <c r="C1432" s="7" t="s">
        <v>55</v>
      </c>
      <c r="D1432" s="7" t="s">
        <v>116</v>
      </c>
      <c r="E1432" s="7" t="s">
        <v>39</v>
      </c>
      <c r="F1432" s="0" t="n">
        <v>220.752</v>
      </c>
      <c r="G1432" s="0" t="n">
        <v>-40.4712</v>
      </c>
      <c r="H1432" s="0" t="n">
        <v>0.4</v>
      </c>
      <c r="I1432" s="7" t="n">
        <f aca="false">YEAR(B1432)</f>
        <v>2017</v>
      </c>
      <c r="J1432" s="0" t="str">
        <f aca="false">I1432&amp;"-Q"&amp;ROUNDUP(MONTH(B1432)/3,0)</f>
        <v>2017-Q4</v>
      </c>
    </row>
    <row r="1433" customFormat="false" ht="15" hidden="false" customHeight="false" outlineLevel="0" collapsed="false">
      <c r="A1433" s="0" t="s">
        <v>750</v>
      </c>
      <c r="B1433" s="6" t="n">
        <v>41992</v>
      </c>
      <c r="C1433" s="7" t="s">
        <v>29</v>
      </c>
      <c r="D1433" s="7" t="s">
        <v>91</v>
      </c>
      <c r="E1433" s="7" t="s">
        <v>35</v>
      </c>
      <c r="F1433" s="0" t="n">
        <v>152.76</v>
      </c>
      <c r="G1433" s="0" t="n">
        <v>74.8524</v>
      </c>
      <c r="H1433" s="0" t="n">
        <v>0</v>
      </c>
      <c r="I1433" s="7" t="n">
        <f aca="false">YEAR(B1433)</f>
        <v>2014</v>
      </c>
      <c r="J1433" s="0" t="str">
        <f aca="false">I1433&amp;"-Q"&amp;ROUNDUP(MONTH(B1433)/3,0)</f>
        <v>2014-Q4</v>
      </c>
    </row>
    <row r="1434" customFormat="false" ht="15" hidden="false" customHeight="false" outlineLevel="0" collapsed="false">
      <c r="A1434" s="0" t="s">
        <v>750</v>
      </c>
      <c r="B1434" s="6" t="n">
        <v>41992</v>
      </c>
      <c r="C1434" s="7" t="s">
        <v>29</v>
      </c>
      <c r="D1434" s="7" t="s">
        <v>91</v>
      </c>
      <c r="E1434" s="7" t="s">
        <v>35</v>
      </c>
      <c r="F1434" s="0" t="n">
        <v>7.27</v>
      </c>
      <c r="G1434" s="0" t="n">
        <v>1.9629</v>
      </c>
      <c r="H1434" s="0" t="n">
        <v>0</v>
      </c>
      <c r="I1434" s="7" t="n">
        <f aca="false">YEAR(B1434)</f>
        <v>2014</v>
      </c>
      <c r="J1434" s="0" t="str">
        <f aca="false">I1434&amp;"-Q"&amp;ROUNDUP(MONTH(B1434)/3,0)</f>
        <v>2014-Q4</v>
      </c>
    </row>
    <row r="1435" customFormat="false" ht="15" hidden="false" customHeight="false" outlineLevel="0" collapsed="false">
      <c r="A1435" s="0" t="s">
        <v>750</v>
      </c>
      <c r="B1435" s="6" t="n">
        <v>41992</v>
      </c>
      <c r="C1435" s="7" t="s">
        <v>29</v>
      </c>
      <c r="D1435" s="7" t="s">
        <v>91</v>
      </c>
      <c r="E1435" s="7" t="s">
        <v>31</v>
      </c>
      <c r="F1435" s="0" t="n">
        <v>1819.86</v>
      </c>
      <c r="G1435" s="0" t="n">
        <v>163.7874</v>
      </c>
      <c r="H1435" s="0" t="n">
        <v>0</v>
      </c>
      <c r="I1435" s="7" t="n">
        <f aca="false">YEAR(B1435)</f>
        <v>2014</v>
      </c>
      <c r="J1435" s="0" t="str">
        <f aca="false">I1435&amp;"-Q"&amp;ROUNDUP(MONTH(B1435)/3,0)</f>
        <v>2014-Q4</v>
      </c>
    </row>
    <row r="1436" customFormat="false" ht="15" hidden="false" customHeight="false" outlineLevel="0" collapsed="false">
      <c r="A1436" s="0" t="s">
        <v>751</v>
      </c>
      <c r="B1436" s="6" t="n">
        <v>42730</v>
      </c>
      <c r="C1436" s="7" t="s">
        <v>33</v>
      </c>
      <c r="D1436" s="7" t="s">
        <v>43</v>
      </c>
      <c r="E1436" s="7" t="s">
        <v>35</v>
      </c>
      <c r="F1436" s="0" t="n">
        <v>33.9</v>
      </c>
      <c r="G1436" s="0" t="n">
        <v>15.594</v>
      </c>
      <c r="H1436" s="0" t="n">
        <v>0</v>
      </c>
      <c r="I1436" s="7" t="n">
        <f aca="false">YEAR(B1436)</f>
        <v>2016</v>
      </c>
      <c r="J1436" s="0" t="str">
        <f aca="false">I1436&amp;"-Q"&amp;ROUNDUP(MONTH(B1436)/3,0)</f>
        <v>2016-Q4</v>
      </c>
    </row>
    <row r="1437" customFormat="false" ht="15" hidden="false" customHeight="false" outlineLevel="0" collapsed="false">
      <c r="A1437" s="0" t="s">
        <v>752</v>
      </c>
      <c r="B1437" s="6" t="n">
        <v>42906</v>
      </c>
      <c r="C1437" s="7" t="s">
        <v>55</v>
      </c>
      <c r="D1437" s="7" t="s">
        <v>116</v>
      </c>
      <c r="E1437" s="7" t="s">
        <v>35</v>
      </c>
      <c r="F1437" s="0" t="n">
        <v>31.104</v>
      </c>
      <c r="G1437" s="0" t="n">
        <v>10.8864</v>
      </c>
      <c r="H1437" s="0" t="n">
        <v>0.2</v>
      </c>
      <c r="I1437" s="7" t="n">
        <f aca="false">YEAR(B1437)</f>
        <v>2017</v>
      </c>
      <c r="J1437" s="0" t="str">
        <f aca="false">I1437&amp;"-Q"&amp;ROUNDUP(MONTH(B1437)/3,0)</f>
        <v>2017-Q2</v>
      </c>
    </row>
    <row r="1438" customFormat="false" ht="15" hidden="false" customHeight="false" outlineLevel="0" collapsed="false">
      <c r="A1438" s="0" t="s">
        <v>752</v>
      </c>
      <c r="B1438" s="6" t="n">
        <v>42906</v>
      </c>
      <c r="C1438" s="7" t="s">
        <v>55</v>
      </c>
      <c r="D1438" s="7" t="s">
        <v>116</v>
      </c>
      <c r="E1438" s="7" t="s">
        <v>35</v>
      </c>
      <c r="F1438" s="0" t="n">
        <v>5.248</v>
      </c>
      <c r="G1438" s="0" t="n">
        <v>0.5904</v>
      </c>
      <c r="H1438" s="0" t="n">
        <v>0.2</v>
      </c>
      <c r="I1438" s="7" t="n">
        <f aca="false">YEAR(B1438)</f>
        <v>2017</v>
      </c>
      <c r="J1438" s="0" t="str">
        <f aca="false">I1438&amp;"-Q"&amp;ROUNDUP(MONTH(B1438)/3,0)</f>
        <v>2017-Q2</v>
      </c>
    </row>
    <row r="1439" customFormat="false" ht="15" hidden="false" customHeight="false" outlineLevel="0" collapsed="false">
      <c r="A1439" s="0" t="s">
        <v>753</v>
      </c>
      <c r="B1439" s="6" t="n">
        <v>42292</v>
      </c>
      <c r="C1439" s="7" t="s">
        <v>45</v>
      </c>
      <c r="D1439" s="7" t="s">
        <v>46</v>
      </c>
      <c r="E1439" s="7" t="s">
        <v>39</v>
      </c>
      <c r="F1439" s="0" t="n">
        <v>263.88</v>
      </c>
      <c r="G1439" s="0" t="n">
        <v>42.8805</v>
      </c>
      <c r="H1439" s="0" t="n">
        <v>0.2</v>
      </c>
      <c r="I1439" s="7" t="n">
        <f aca="false">YEAR(B1439)</f>
        <v>2015</v>
      </c>
      <c r="J1439" s="0" t="str">
        <f aca="false">I1439&amp;"-Q"&amp;ROUNDUP(MONTH(B1439)/3,0)</f>
        <v>2015-Q4</v>
      </c>
    </row>
    <row r="1440" customFormat="false" ht="15" hidden="false" customHeight="false" outlineLevel="0" collapsed="false">
      <c r="A1440" s="0" t="s">
        <v>753</v>
      </c>
      <c r="B1440" s="6" t="n">
        <v>42292</v>
      </c>
      <c r="C1440" s="7" t="s">
        <v>45</v>
      </c>
      <c r="D1440" s="7" t="s">
        <v>46</v>
      </c>
      <c r="E1440" s="7" t="s">
        <v>31</v>
      </c>
      <c r="F1440" s="0" t="n">
        <v>2453.43</v>
      </c>
      <c r="G1440" s="0" t="n">
        <v>-350.49</v>
      </c>
      <c r="H1440" s="0" t="n">
        <v>0.3</v>
      </c>
      <c r="I1440" s="7" t="n">
        <f aca="false">YEAR(B1440)</f>
        <v>2015</v>
      </c>
      <c r="J1440" s="0" t="str">
        <f aca="false">I1440&amp;"-Q"&amp;ROUNDUP(MONTH(B1440)/3,0)</f>
        <v>2015-Q4</v>
      </c>
    </row>
    <row r="1441" customFormat="false" ht="15" hidden="false" customHeight="false" outlineLevel="0" collapsed="false">
      <c r="A1441" s="0" t="s">
        <v>754</v>
      </c>
      <c r="B1441" s="6" t="n">
        <v>42837</v>
      </c>
      <c r="C1441" s="7" t="s">
        <v>55</v>
      </c>
      <c r="D1441" s="7" t="s">
        <v>250</v>
      </c>
      <c r="E1441" s="7" t="s">
        <v>35</v>
      </c>
      <c r="F1441" s="0" t="n">
        <v>29.7</v>
      </c>
      <c r="G1441" s="0" t="n">
        <v>13.365</v>
      </c>
      <c r="H1441" s="0" t="n">
        <v>0</v>
      </c>
      <c r="I1441" s="7" t="n">
        <f aca="false">YEAR(B1441)</f>
        <v>2017</v>
      </c>
      <c r="J1441" s="0" t="str">
        <f aca="false">I1441&amp;"-Q"&amp;ROUNDUP(MONTH(B1441)/3,0)</f>
        <v>2017-Q2</v>
      </c>
    </row>
    <row r="1442" customFormat="false" ht="15" hidden="false" customHeight="false" outlineLevel="0" collapsed="false">
      <c r="A1442" s="0" t="s">
        <v>754</v>
      </c>
      <c r="B1442" s="6" t="n">
        <v>42837</v>
      </c>
      <c r="C1442" s="7" t="s">
        <v>55</v>
      </c>
      <c r="D1442" s="7" t="s">
        <v>250</v>
      </c>
      <c r="E1442" s="7" t="s">
        <v>35</v>
      </c>
      <c r="F1442" s="0" t="n">
        <v>39.96</v>
      </c>
      <c r="G1442" s="0" t="n">
        <v>17.982</v>
      </c>
      <c r="H1442" s="0" t="n">
        <v>0</v>
      </c>
      <c r="I1442" s="7" t="n">
        <f aca="false">YEAR(B1442)</f>
        <v>2017</v>
      </c>
      <c r="J1442" s="0" t="str">
        <f aca="false">I1442&amp;"-Q"&amp;ROUNDUP(MONTH(B1442)/3,0)</f>
        <v>2017-Q2</v>
      </c>
    </row>
    <row r="1443" customFormat="false" ht="15" hidden="false" customHeight="false" outlineLevel="0" collapsed="false">
      <c r="A1443" s="0" t="s">
        <v>755</v>
      </c>
      <c r="B1443" s="6" t="n">
        <v>43088</v>
      </c>
      <c r="C1443" s="7" t="s">
        <v>33</v>
      </c>
      <c r="D1443" s="7" t="s">
        <v>34</v>
      </c>
      <c r="E1443" s="7" t="s">
        <v>35</v>
      </c>
      <c r="F1443" s="0" t="n">
        <v>36.672</v>
      </c>
      <c r="G1443" s="0" t="n">
        <v>11.46</v>
      </c>
      <c r="H1443" s="0" t="n">
        <v>0.2</v>
      </c>
      <c r="I1443" s="7" t="n">
        <f aca="false">YEAR(B1443)</f>
        <v>2017</v>
      </c>
      <c r="J1443" s="0" t="str">
        <f aca="false">I1443&amp;"-Q"&amp;ROUNDUP(MONTH(B1443)/3,0)</f>
        <v>2017-Q4</v>
      </c>
    </row>
    <row r="1444" customFormat="false" ht="15" hidden="false" customHeight="false" outlineLevel="0" collapsed="false">
      <c r="A1444" s="0" t="s">
        <v>756</v>
      </c>
      <c r="B1444" s="6" t="n">
        <v>42952</v>
      </c>
      <c r="C1444" s="7" t="s">
        <v>29</v>
      </c>
      <c r="D1444" s="7" t="s">
        <v>30</v>
      </c>
      <c r="E1444" s="7" t="s">
        <v>35</v>
      </c>
      <c r="F1444" s="0" t="n">
        <v>13.76</v>
      </c>
      <c r="G1444" s="0" t="n">
        <v>6.3296</v>
      </c>
      <c r="H1444" s="0" t="n">
        <v>0</v>
      </c>
      <c r="I1444" s="7" t="n">
        <f aca="false">YEAR(B1444)</f>
        <v>2017</v>
      </c>
      <c r="J1444" s="0" t="str">
        <f aca="false">I1444&amp;"-Q"&amp;ROUNDUP(MONTH(B1444)/3,0)</f>
        <v>2017-Q3</v>
      </c>
    </row>
    <row r="1445" customFormat="false" ht="15" hidden="false" customHeight="false" outlineLevel="0" collapsed="false">
      <c r="A1445" s="0" t="s">
        <v>757</v>
      </c>
      <c r="B1445" s="6" t="n">
        <v>42278</v>
      </c>
      <c r="C1445" s="7" t="s">
        <v>33</v>
      </c>
      <c r="D1445" s="7" t="s">
        <v>109</v>
      </c>
      <c r="E1445" s="7" t="s">
        <v>35</v>
      </c>
      <c r="F1445" s="0" t="n">
        <v>139.424</v>
      </c>
      <c r="G1445" s="0" t="n">
        <v>17.428</v>
      </c>
      <c r="H1445" s="0" t="n">
        <v>0.2</v>
      </c>
      <c r="I1445" s="7" t="n">
        <f aca="false">YEAR(B1445)</f>
        <v>2015</v>
      </c>
      <c r="J1445" s="0" t="str">
        <f aca="false">I1445&amp;"-Q"&amp;ROUNDUP(MONTH(B1445)/3,0)</f>
        <v>2015-Q4</v>
      </c>
    </row>
    <row r="1446" customFormat="false" ht="15" hidden="false" customHeight="false" outlineLevel="0" collapsed="false">
      <c r="A1446" s="0" t="s">
        <v>758</v>
      </c>
      <c r="B1446" s="6" t="n">
        <v>42513</v>
      </c>
      <c r="C1446" s="7" t="s">
        <v>45</v>
      </c>
      <c r="D1446" s="7" t="s">
        <v>64</v>
      </c>
      <c r="E1446" s="7" t="s">
        <v>39</v>
      </c>
      <c r="F1446" s="0" t="n">
        <v>1979.928</v>
      </c>
      <c r="G1446" s="0" t="n">
        <v>148.4946</v>
      </c>
      <c r="H1446" s="0" t="n">
        <v>0.2</v>
      </c>
      <c r="I1446" s="7" t="n">
        <f aca="false">YEAR(B1446)</f>
        <v>2016</v>
      </c>
      <c r="J1446" s="0" t="str">
        <f aca="false">I1446&amp;"-Q"&amp;ROUNDUP(MONTH(B1446)/3,0)</f>
        <v>2016-Q2</v>
      </c>
    </row>
    <row r="1447" customFormat="false" ht="15" hidden="false" customHeight="false" outlineLevel="0" collapsed="false">
      <c r="A1447" s="0" t="s">
        <v>759</v>
      </c>
      <c r="B1447" s="6" t="n">
        <v>42899</v>
      </c>
      <c r="C1447" s="7" t="s">
        <v>45</v>
      </c>
      <c r="D1447" s="7" t="s">
        <v>64</v>
      </c>
      <c r="E1447" s="7" t="s">
        <v>35</v>
      </c>
      <c r="F1447" s="0" t="n">
        <v>164.736</v>
      </c>
      <c r="G1447" s="0" t="n">
        <v>-39.1248</v>
      </c>
      <c r="H1447" s="0" t="n">
        <v>0.2</v>
      </c>
      <c r="I1447" s="7" t="n">
        <f aca="false">YEAR(B1447)</f>
        <v>2017</v>
      </c>
      <c r="J1447" s="0" t="str">
        <f aca="false">I1447&amp;"-Q"&amp;ROUNDUP(MONTH(B1447)/3,0)</f>
        <v>2017-Q2</v>
      </c>
    </row>
    <row r="1448" customFormat="false" ht="15" hidden="false" customHeight="false" outlineLevel="0" collapsed="false">
      <c r="A1448" s="0" t="s">
        <v>759</v>
      </c>
      <c r="B1448" s="6" t="n">
        <v>42899</v>
      </c>
      <c r="C1448" s="7" t="s">
        <v>45</v>
      </c>
      <c r="D1448" s="7" t="s">
        <v>64</v>
      </c>
      <c r="E1448" s="7" t="s">
        <v>31</v>
      </c>
      <c r="F1448" s="0" t="n">
        <v>470.302</v>
      </c>
      <c r="G1448" s="0" t="n">
        <v>-87.3418</v>
      </c>
      <c r="H1448" s="0" t="n">
        <v>0.3</v>
      </c>
      <c r="I1448" s="7" t="n">
        <f aca="false">YEAR(B1448)</f>
        <v>2017</v>
      </c>
      <c r="J1448" s="0" t="str">
        <f aca="false">I1448&amp;"-Q"&amp;ROUNDUP(MONTH(B1448)/3,0)</f>
        <v>2017-Q2</v>
      </c>
    </row>
    <row r="1449" customFormat="false" ht="15" hidden="false" customHeight="false" outlineLevel="0" collapsed="false">
      <c r="A1449" s="0" t="s">
        <v>759</v>
      </c>
      <c r="B1449" s="6" t="n">
        <v>42899</v>
      </c>
      <c r="C1449" s="7" t="s">
        <v>45</v>
      </c>
      <c r="D1449" s="7" t="s">
        <v>64</v>
      </c>
      <c r="E1449" s="7" t="s">
        <v>39</v>
      </c>
      <c r="F1449" s="0" t="n">
        <v>47.984</v>
      </c>
      <c r="G1449" s="0" t="n">
        <v>5.998</v>
      </c>
      <c r="H1449" s="0" t="n">
        <v>0.2</v>
      </c>
      <c r="I1449" s="7" t="n">
        <f aca="false">YEAR(B1449)</f>
        <v>2017</v>
      </c>
      <c r="J1449" s="0" t="str">
        <f aca="false">I1449&amp;"-Q"&amp;ROUNDUP(MONTH(B1449)/3,0)</f>
        <v>2017-Q2</v>
      </c>
    </row>
    <row r="1450" customFormat="false" ht="15" hidden="false" customHeight="false" outlineLevel="0" collapsed="false">
      <c r="A1450" s="0" t="s">
        <v>760</v>
      </c>
      <c r="B1450" s="6" t="n">
        <v>41752</v>
      </c>
      <c r="C1450" s="7" t="s">
        <v>55</v>
      </c>
      <c r="D1450" s="7" t="s">
        <v>56</v>
      </c>
      <c r="E1450" s="7" t="s">
        <v>35</v>
      </c>
      <c r="F1450" s="0" t="n">
        <v>2.502</v>
      </c>
      <c r="G1450" s="0" t="n">
        <v>-1.7514</v>
      </c>
      <c r="H1450" s="0" t="n">
        <v>0.7</v>
      </c>
      <c r="I1450" s="7" t="n">
        <f aca="false">YEAR(B1450)</f>
        <v>2014</v>
      </c>
      <c r="J1450" s="0" t="str">
        <f aca="false">I1450&amp;"-Q"&amp;ROUNDUP(MONTH(B1450)/3,0)</f>
        <v>2014-Q2</v>
      </c>
    </row>
    <row r="1451" customFormat="false" ht="15" hidden="false" customHeight="false" outlineLevel="0" collapsed="false">
      <c r="A1451" s="0" t="s">
        <v>761</v>
      </c>
      <c r="B1451" s="6" t="n">
        <v>42125</v>
      </c>
      <c r="C1451" s="7" t="s">
        <v>33</v>
      </c>
      <c r="D1451" s="7" t="s">
        <v>34</v>
      </c>
      <c r="E1451" s="7" t="s">
        <v>39</v>
      </c>
      <c r="F1451" s="0" t="n">
        <v>88.752</v>
      </c>
      <c r="G1451" s="0" t="n">
        <v>11.094</v>
      </c>
      <c r="H1451" s="0" t="n">
        <v>0.2</v>
      </c>
      <c r="I1451" s="7" t="n">
        <f aca="false">YEAR(B1451)</f>
        <v>2015</v>
      </c>
      <c r="J1451" s="0" t="str">
        <f aca="false">I1451&amp;"-Q"&amp;ROUNDUP(MONTH(B1451)/3,0)</f>
        <v>2015-Q2</v>
      </c>
    </row>
    <row r="1452" customFormat="false" ht="15" hidden="false" customHeight="false" outlineLevel="0" collapsed="false">
      <c r="A1452" s="0" t="s">
        <v>762</v>
      </c>
      <c r="B1452" s="6" t="n">
        <v>42204</v>
      </c>
      <c r="C1452" s="7" t="s">
        <v>33</v>
      </c>
      <c r="D1452" s="7" t="s">
        <v>81</v>
      </c>
      <c r="E1452" s="7" t="s">
        <v>35</v>
      </c>
      <c r="F1452" s="0" t="n">
        <v>2.025</v>
      </c>
      <c r="G1452" s="0" t="n">
        <v>-1.35</v>
      </c>
      <c r="H1452" s="0" t="n">
        <v>0.7</v>
      </c>
      <c r="I1452" s="7" t="n">
        <f aca="false">YEAR(B1452)</f>
        <v>2015</v>
      </c>
      <c r="J1452" s="0" t="str">
        <f aca="false">I1452&amp;"-Q"&amp;ROUNDUP(MONTH(B1452)/3,0)</f>
        <v>2015-Q3</v>
      </c>
    </row>
    <row r="1453" customFormat="false" ht="15" hidden="false" customHeight="false" outlineLevel="0" collapsed="false">
      <c r="A1453" s="0" t="s">
        <v>763</v>
      </c>
      <c r="B1453" s="6" t="n">
        <v>42700</v>
      </c>
      <c r="C1453" s="7" t="s">
        <v>29</v>
      </c>
      <c r="D1453" s="7" t="s">
        <v>91</v>
      </c>
      <c r="E1453" s="7" t="s">
        <v>35</v>
      </c>
      <c r="F1453" s="0" t="n">
        <v>70.98</v>
      </c>
      <c r="G1453" s="0" t="n">
        <v>34.7802</v>
      </c>
      <c r="H1453" s="0" t="n">
        <v>0</v>
      </c>
      <c r="I1453" s="7" t="n">
        <f aca="false">YEAR(B1453)</f>
        <v>2016</v>
      </c>
      <c r="J1453" s="0" t="str">
        <f aca="false">I1453&amp;"-Q"&amp;ROUNDUP(MONTH(B1453)/3,0)</f>
        <v>2016-Q4</v>
      </c>
    </row>
    <row r="1454" customFormat="false" ht="15" hidden="false" customHeight="false" outlineLevel="0" collapsed="false">
      <c r="A1454" s="0" t="s">
        <v>763</v>
      </c>
      <c r="B1454" s="6" t="n">
        <v>42700</v>
      </c>
      <c r="C1454" s="7" t="s">
        <v>29</v>
      </c>
      <c r="D1454" s="7" t="s">
        <v>91</v>
      </c>
      <c r="E1454" s="7" t="s">
        <v>35</v>
      </c>
      <c r="F1454" s="0" t="n">
        <v>91.68</v>
      </c>
      <c r="G1454" s="0" t="n">
        <v>45.84</v>
      </c>
      <c r="H1454" s="0" t="n">
        <v>0</v>
      </c>
      <c r="I1454" s="7" t="n">
        <f aca="false">YEAR(B1454)</f>
        <v>2016</v>
      </c>
      <c r="J1454" s="0" t="str">
        <f aca="false">I1454&amp;"-Q"&amp;ROUNDUP(MONTH(B1454)/3,0)</f>
        <v>2016-Q4</v>
      </c>
    </row>
    <row r="1455" customFormat="false" ht="15" hidden="false" customHeight="false" outlineLevel="0" collapsed="false">
      <c r="A1455" s="0" t="s">
        <v>763</v>
      </c>
      <c r="B1455" s="6" t="n">
        <v>42700</v>
      </c>
      <c r="C1455" s="7" t="s">
        <v>29</v>
      </c>
      <c r="D1455" s="7" t="s">
        <v>91</v>
      </c>
      <c r="E1455" s="7" t="s">
        <v>35</v>
      </c>
      <c r="F1455" s="0" t="n">
        <v>33.75</v>
      </c>
      <c r="G1455" s="0" t="n">
        <v>16.875</v>
      </c>
      <c r="H1455" s="0" t="n">
        <v>0</v>
      </c>
      <c r="I1455" s="7" t="n">
        <f aca="false">YEAR(B1455)</f>
        <v>2016</v>
      </c>
      <c r="J1455" s="0" t="str">
        <f aca="false">I1455&amp;"-Q"&amp;ROUNDUP(MONTH(B1455)/3,0)</f>
        <v>2016-Q4</v>
      </c>
    </row>
    <row r="1456" customFormat="false" ht="15" hidden="false" customHeight="false" outlineLevel="0" collapsed="false">
      <c r="A1456" s="0" t="s">
        <v>763</v>
      </c>
      <c r="B1456" s="6" t="n">
        <v>42700</v>
      </c>
      <c r="C1456" s="7" t="s">
        <v>29</v>
      </c>
      <c r="D1456" s="7" t="s">
        <v>91</v>
      </c>
      <c r="E1456" s="7" t="s">
        <v>39</v>
      </c>
      <c r="F1456" s="0" t="n">
        <v>3040</v>
      </c>
      <c r="G1456" s="0" t="n">
        <v>1459.2</v>
      </c>
      <c r="H1456" s="0" t="n">
        <v>0</v>
      </c>
      <c r="I1456" s="7" t="n">
        <f aca="false">YEAR(B1456)</f>
        <v>2016</v>
      </c>
      <c r="J1456" s="0" t="str">
        <f aca="false">I1456&amp;"-Q"&amp;ROUNDUP(MONTH(B1456)/3,0)</f>
        <v>2016-Q4</v>
      </c>
    </row>
    <row r="1457" customFormat="false" ht="15" hidden="false" customHeight="false" outlineLevel="0" collapsed="false">
      <c r="A1457" s="0" t="s">
        <v>764</v>
      </c>
      <c r="B1457" s="6" t="n">
        <v>42898</v>
      </c>
      <c r="C1457" s="7" t="s">
        <v>29</v>
      </c>
      <c r="D1457" s="7" t="s">
        <v>230</v>
      </c>
      <c r="E1457" s="7" t="s">
        <v>35</v>
      </c>
      <c r="F1457" s="0" t="n">
        <v>91.2</v>
      </c>
      <c r="G1457" s="0" t="n">
        <v>41.952</v>
      </c>
      <c r="H1457" s="0" t="n">
        <v>0</v>
      </c>
      <c r="I1457" s="7" t="n">
        <f aca="false">YEAR(B1457)</f>
        <v>2017</v>
      </c>
      <c r="J1457" s="0" t="str">
        <f aca="false">I1457&amp;"-Q"&amp;ROUNDUP(MONTH(B1457)/3,0)</f>
        <v>2017-Q2</v>
      </c>
    </row>
    <row r="1458" customFormat="false" ht="15" hidden="false" customHeight="false" outlineLevel="0" collapsed="false">
      <c r="A1458" s="0" t="s">
        <v>764</v>
      </c>
      <c r="B1458" s="6" t="n">
        <v>42898</v>
      </c>
      <c r="C1458" s="7" t="s">
        <v>29</v>
      </c>
      <c r="D1458" s="7" t="s">
        <v>230</v>
      </c>
      <c r="E1458" s="7" t="s">
        <v>31</v>
      </c>
      <c r="F1458" s="0" t="n">
        <v>452.94</v>
      </c>
      <c r="G1458" s="0" t="n">
        <v>67.941</v>
      </c>
      <c r="H1458" s="0" t="n">
        <v>0</v>
      </c>
      <c r="I1458" s="7" t="n">
        <f aca="false">YEAR(B1458)</f>
        <v>2017</v>
      </c>
      <c r="J1458" s="0" t="str">
        <f aca="false">I1458&amp;"-Q"&amp;ROUNDUP(MONTH(B1458)/3,0)</f>
        <v>2017-Q2</v>
      </c>
    </row>
    <row r="1459" customFormat="false" ht="15" hidden="false" customHeight="false" outlineLevel="0" collapsed="false">
      <c r="A1459" s="0" t="s">
        <v>765</v>
      </c>
      <c r="B1459" s="6" t="n">
        <v>42233</v>
      </c>
      <c r="C1459" s="7" t="s">
        <v>55</v>
      </c>
      <c r="D1459" s="7" t="s">
        <v>225</v>
      </c>
      <c r="E1459" s="7" t="s">
        <v>35</v>
      </c>
      <c r="F1459" s="0" t="n">
        <v>52.2</v>
      </c>
      <c r="G1459" s="0" t="n">
        <v>23.49</v>
      </c>
      <c r="H1459" s="0" t="n">
        <v>0</v>
      </c>
      <c r="I1459" s="7" t="n">
        <f aca="false">YEAR(B1459)</f>
        <v>2015</v>
      </c>
      <c r="J1459" s="0" t="str">
        <f aca="false">I1459&amp;"-Q"&amp;ROUNDUP(MONTH(B1459)/3,0)</f>
        <v>2015-Q3</v>
      </c>
    </row>
    <row r="1460" customFormat="false" ht="15" hidden="false" customHeight="false" outlineLevel="0" collapsed="false">
      <c r="A1460" s="0" t="s">
        <v>766</v>
      </c>
      <c r="B1460" s="6" t="n">
        <v>42638</v>
      </c>
      <c r="C1460" s="7" t="s">
        <v>45</v>
      </c>
      <c r="D1460" s="7" t="s">
        <v>46</v>
      </c>
      <c r="E1460" s="7" t="s">
        <v>35</v>
      </c>
      <c r="F1460" s="0" t="n">
        <v>15.936</v>
      </c>
      <c r="G1460" s="0" t="n">
        <v>5.1792</v>
      </c>
      <c r="H1460" s="0" t="n">
        <v>0.2</v>
      </c>
      <c r="I1460" s="7" t="n">
        <f aca="false">YEAR(B1460)</f>
        <v>2016</v>
      </c>
      <c r="J1460" s="0" t="str">
        <f aca="false">I1460&amp;"-Q"&amp;ROUNDUP(MONTH(B1460)/3,0)</f>
        <v>2016-Q3</v>
      </c>
    </row>
    <row r="1461" customFormat="false" ht="15" hidden="false" customHeight="false" outlineLevel="0" collapsed="false">
      <c r="A1461" s="0" t="s">
        <v>767</v>
      </c>
      <c r="B1461" s="6" t="n">
        <v>41763</v>
      </c>
      <c r="C1461" s="7" t="s">
        <v>55</v>
      </c>
      <c r="D1461" s="7" t="s">
        <v>154</v>
      </c>
      <c r="E1461" s="7" t="s">
        <v>31</v>
      </c>
      <c r="F1461" s="0" t="n">
        <v>27.46</v>
      </c>
      <c r="G1461" s="0" t="n">
        <v>9.8856</v>
      </c>
      <c r="H1461" s="0" t="n">
        <v>0</v>
      </c>
      <c r="I1461" s="7" t="n">
        <f aca="false">YEAR(B1461)</f>
        <v>2014</v>
      </c>
      <c r="J1461" s="0" t="str">
        <f aca="false">I1461&amp;"-Q"&amp;ROUNDUP(MONTH(B1461)/3,0)</f>
        <v>2014-Q2</v>
      </c>
    </row>
    <row r="1462" customFormat="false" ht="15" hidden="false" customHeight="false" outlineLevel="0" collapsed="false">
      <c r="A1462" s="0" t="s">
        <v>768</v>
      </c>
      <c r="B1462" s="6" t="n">
        <v>42339</v>
      </c>
      <c r="C1462" s="7" t="s">
        <v>33</v>
      </c>
      <c r="D1462" s="7" t="s">
        <v>43</v>
      </c>
      <c r="E1462" s="7" t="s">
        <v>35</v>
      </c>
      <c r="F1462" s="0" t="n">
        <v>55.424</v>
      </c>
      <c r="G1462" s="0" t="n">
        <v>19.3984</v>
      </c>
      <c r="H1462" s="0" t="n">
        <v>0.2</v>
      </c>
      <c r="I1462" s="7" t="n">
        <f aca="false">YEAR(B1462)</f>
        <v>2015</v>
      </c>
      <c r="J1462" s="0" t="str">
        <f aca="false">I1462&amp;"-Q"&amp;ROUNDUP(MONTH(B1462)/3,0)</f>
        <v>2015-Q4</v>
      </c>
    </row>
    <row r="1463" customFormat="false" ht="15" hidden="false" customHeight="false" outlineLevel="0" collapsed="false">
      <c r="A1463" s="0" t="s">
        <v>769</v>
      </c>
      <c r="B1463" s="6" t="n">
        <v>42440</v>
      </c>
      <c r="C1463" s="7" t="s">
        <v>55</v>
      </c>
      <c r="D1463" s="7" t="s">
        <v>161</v>
      </c>
      <c r="E1463" s="7" t="s">
        <v>31</v>
      </c>
      <c r="F1463" s="0" t="n">
        <v>244.006</v>
      </c>
      <c r="G1463" s="0" t="n">
        <v>-31.3722</v>
      </c>
      <c r="H1463" s="0" t="n">
        <v>0.3</v>
      </c>
      <c r="I1463" s="7" t="n">
        <f aca="false">YEAR(B1463)</f>
        <v>2016</v>
      </c>
      <c r="J1463" s="0" t="str">
        <f aca="false">I1463&amp;"-Q"&amp;ROUNDUP(MONTH(B1463)/3,0)</f>
        <v>2016-Q1</v>
      </c>
    </row>
    <row r="1464" customFormat="false" ht="15" hidden="false" customHeight="false" outlineLevel="0" collapsed="false">
      <c r="A1464" s="0" t="s">
        <v>770</v>
      </c>
      <c r="B1464" s="6" t="n">
        <v>42608</v>
      </c>
      <c r="C1464" s="7" t="s">
        <v>45</v>
      </c>
      <c r="D1464" s="7" t="s">
        <v>46</v>
      </c>
      <c r="E1464" s="7" t="s">
        <v>39</v>
      </c>
      <c r="F1464" s="0" t="n">
        <v>159.984</v>
      </c>
      <c r="G1464" s="0" t="n">
        <v>43.9956</v>
      </c>
      <c r="H1464" s="0" t="n">
        <v>0.2</v>
      </c>
      <c r="I1464" s="7" t="n">
        <f aca="false">YEAR(B1464)</f>
        <v>2016</v>
      </c>
      <c r="J1464" s="0" t="str">
        <f aca="false">I1464&amp;"-Q"&amp;ROUNDUP(MONTH(B1464)/3,0)</f>
        <v>2016-Q3</v>
      </c>
    </row>
    <row r="1465" customFormat="false" ht="15" hidden="false" customHeight="false" outlineLevel="0" collapsed="false">
      <c r="A1465" s="0" t="s">
        <v>770</v>
      </c>
      <c r="B1465" s="6" t="n">
        <v>42608</v>
      </c>
      <c r="C1465" s="7" t="s">
        <v>45</v>
      </c>
      <c r="D1465" s="7" t="s">
        <v>46</v>
      </c>
      <c r="E1465" s="7" t="s">
        <v>31</v>
      </c>
      <c r="F1465" s="0" t="n">
        <v>1024.716</v>
      </c>
      <c r="G1465" s="0" t="n">
        <v>-29.2776</v>
      </c>
      <c r="H1465" s="0" t="n">
        <v>0.3</v>
      </c>
      <c r="I1465" s="7" t="n">
        <f aca="false">YEAR(B1465)</f>
        <v>2016</v>
      </c>
      <c r="J1465" s="0" t="str">
        <f aca="false">I1465&amp;"-Q"&amp;ROUNDUP(MONTH(B1465)/3,0)</f>
        <v>2016-Q3</v>
      </c>
    </row>
    <row r="1466" customFormat="false" ht="15" hidden="false" customHeight="false" outlineLevel="0" collapsed="false">
      <c r="A1466" s="0" t="s">
        <v>771</v>
      </c>
      <c r="B1466" s="6" t="n">
        <v>42720</v>
      </c>
      <c r="C1466" s="7" t="s">
        <v>55</v>
      </c>
      <c r="D1466" s="7" t="s">
        <v>76</v>
      </c>
      <c r="E1466" s="7" t="s">
        <v>35</v>
      </c>
      <c r="F1466" s="0" t="n">
        <v>3.68</v>
      </c>
      <c r="G1466" s="0" t="n">
        <v>1.8032</v>
      </c>
      <c r="H1466" s="0" t="n">
        <v>0</v>
      </c>
      <c r="I1466" s="7" t="n">
        <f aca="false">YEAR(B1466)</f>
        <v>2016</v>
      </c>
      <c r="J1466" s="0" t="str">
        <f aca="false">I1466&amp;"-Q"&amp;ROUNDUP(MONTH(B1466)/3,0)</f>
        <v>2016-Q4</v>
      </c>
    </row>
    <row r="1467" customFormat="false" ht="15" hidden="false" customHeight="false" outlineLevel="0" collapsed="false">
      <c r="A1467" s="0" t="s">
        <v>772</v>
      </c>
      <c r="B1467" s="6" t="n">
        <v>41859</v>
      </c>
      <c r="C1467" s="7" t="s">
        <v>33</v>
      </c>
      <c r="D1467" s="7" t="s">
        <v>81</v>
      </c>
      <c r="E1467" s="7" t="s">
        <v>31</v>
      </c>
      <c r="F1467" s="0" t="n">
        <v>121.376</v>
      </c>
      <c r="G1467" s="0" t="n">
        <v>-3.0344</v>
      </c>
      <c r="H1467" s="0" t="n">
        <v>0.2</v>
      </c>
      <c r="I1467" s="7" t="n">
        <f aca="false">YEAR(B1467)</f>
        <v>2014</v>
      </c>
      <c r="J1467" s="0" t="str">
        <f aca="false">I1467&amp;"-Q"&amp;ROUNDUP(MONTH(B1467)/3,0)</f>
        <v>2014-Q3</v>
      </c>
    </row>
    <row r="1468" customFormat="false" ht="15" hidden="false" customHeight="false" outlineLevel="0" collapsed="false">
      <c r="A1468" s="0" t="s">
        <v>772</v>
      </c>
      <c r="B1468" s="6" t="n">
        <v>41859</v>
      </c>
      <c r="C1468" s="7" t="s">
        <v>33</v>
      </c>
      <c r="D1468" s="7" t="s">
        <v>81</v>
      </c>
      <c r="E1468" s="7" t="s">
        <v>39</v>
      </c>
      <c r="F1468" s="0" t="n">
        <v>95.976</v>
      </c>
      <c r="G1468" s="0" t="n">
        <v>-10.7973</v>
      </c>
      <c r="H1468" s="0" t="n">
        <v>0.2</v>
      </c>
      <c r="I1468" s="7" t="n">
        <f aca="false">YEAR(B1468)</f>
        <v>2014</v>
      </c>
      <c r="J1468" s="0" t="str">
        <f aca="false">I1468&amp;"-Q"&amp;ROUNDUP(MONTH(B1468)/3,0)</f>
        <v>2014-Q3</v>
      </c>
    </row>
    <row r="1469" customFormat="false" ht="15" hidden="false" customHeight="false" outlineLevel="0" collapsed="false">
      <c r="A1469" s="0" t="s">
        <v>773</v>
      </c>
      <c r="B1469" s="6" t="n">
        <v>42140</v>
      </c>
      <c r="C1469" s="7" t="s">
        <v>29</v>
      </c>
      <c r="D1469" s="7" t="s">
        <v>37</v>
      </c>
      <c r="E1469" s="7" t="s">
        <v>39</v>
      </c>
      <c r="F1469" s="0" t="n">
        <v>255.968</v>
      </c>
      <c r="G1469" s="0" t="n">
        <v>31.996</v>
      </c>
      <c r="H1469" s="0" t="n">
        <v>0.2</v>
      </c>
      <c r="I1469" s="7" t="n">
        <f aca="false">YEAR(B1469)</f>
        <v>2015</v>
      </c>
      <c r="J1469" s="0" t="str">
        <f aca="false">I1469&amp;"-Q"&amp;ROUNDUP(MONTH(B1469)/3,0)</f>
        <v>2015-Q2</v>
      </c>
    </row>
    <row r="1470" customFormat="false" ht="15" hidden="false" customHeight="false" outlineLevel="0" collapsed="false">
      <c r="A1470" s="0" t="s">
        <v>774</v>
      </c>
      <c r="B1470" s="6" t="n">
        <v>43078</v>
      </c>
      <c r="C1470" s="7" t="s">
        <v>45</v>
      </c>
      <c r="D1470" s="7" t="s">
        <v>70</v>
      </c>
      <c r="E1470" s="7" t="s">
        <v>31</v>
      </c>
      <c r="F1470" s="0" t="n">
        <v>872.94</v>
      </c>
      <c r="G1470" s="0" t="n">
        <v>226.9644</v>
      </c>
      <c r="H1470" s="0" t="n">
        <v>0</v>
      </c>
      <c r="I1470" s="7" t="n">
        <f aca="false">YEAR(B1470)</f>
        <v>2017</v>
      </c>
      <c r="J1470" s="0" t="str">
        <f aca="false">I1470&amp;"-Q"&amp;ROUNDUP(MONTH(B1470)/3,0)</f>
        <v>2017-Q4</v>
      </c>
    </row>
    <row r="1471" customFormat="false" ht="15" hidden="false" customHeight="false" outlineLevel="0" collapsed="false">
      <c r="A1471" s="0" t="s">
        <v>774</v>
      </c>
      <c r="B1471" s="6" t="n">
        <v>43078</v>
      </c>
      <c r="C1471" s="7" t="s">
        <v>45</v>
      </c>
      <c r="D1471" s="7" t="s">
        <v>70</v>
      </c>
      <c r="E1471" s="7" t="s">
        <v>35</v>
      </c>
      <c r="F1471" s="0" t="n">
        <v>41.54</v>
      </c>
      <c r="G1471" s="0" t="n">
        <v>19.5238</v>
      </c>
      <c r="H1471" s="0" t="n">
        <v>0</v>
      </c>
      <c r="I1471" s="7" t="n">
        <f aca="false">YEAR(B1471)</f>
        <v>2017</v>
      </c>
      <c r="J1471" s="0" t="str">
        <f aca="false">I1471&amp;"-Q"&amp;ROUNDUP(MONTH(B1471)/3,0)</f>
        <v>2017-Q4</v>
      </c>
    </row>
    <row r="1472" customFormat="false" ht="15" hidden="false" customHeight="false" outlineLevel="0" collapsed="false">
      <c r="A1472" s="0" t="s">
        <v>774</v>
      </c>
      <c r="B1472" s="6" t="n">
        <v>43078</v>
      </c>
      <c r="C1472" s="7" t="s">
        <v>45</v>
      </c>
      <c r="D1472" s="7" t="s">
        <v>70</v>
      </c>
      <c r="E1472" s="7" t="s">
        <v>35</v>
      </c>
      <c r="F1472" s="0" t="n">
        <v>12.96</v>
      </c>
      <c r="G1472" s="0" t="n">
        <v>6.2208</v>
      </c>
      <c r="H1472" s="0" t="n">
        <v>0</v>
      </c>
      <c r="I1472" s="7" t="n">
        <f aca="false">YEAR(B1472)</f>
        <v>2017</v>
      </c>
      <c r="J1472" s="0" t="str">
        <f aca="false">I1472&amp;"-Q"&amp;ROUNDUP(MONTH(B1472)/3,0)</f>
        <v>2017-Q4</v>
      </c>
    </row>
    <row r="1473" customFormat="false" ht="15" hidden="false" customHeight="false" outlineLevel="0" collapsed="false">
      <c r="A1473" s="0" t="s">
        <v>775</v>
      </c>
      <c r="B1473" s="6" t="n">
        <v>42271</v>
      </c>
      <c r="C1473" s="7" t="s">
        <v>55</v>
      </c>
      <c r="D1473" s="7" t="s">
        <v>56</v>
      </c>
      <c r="E1473" s="7" t="s">
        <v>35</v>
      </c>
      <c r="F1473" s="0" t="n">
        <v>6.848</v>
      </c>
      <c r="G1473" s="0" t="n">
        <v>0.5992</v>
      </c>
      <c r="H1473" s="0" t="n">
        <v>0.2</v>
      </c>
      <c r="I1473" s="7" t="n">
        <f aca="false">YEAR(B1473)</f>
        <v>2015</v>
      </c>
      <c r="J1473" s="0" t="str">
        <f aca="false">I1473&amp;"-Q"&amp;ROUNDUP(MONTH(B1473)/3,0)</f>
        <v>2015-Q3</v>
      </c>
    </row>
    <row r="1474" customFormat="false" ht="15" hidden="false" customHeight="false" outlineLevel="0" collapsed="false">
      <c r="A1474" s="0" t="s">
        <v>776</v>
      </c>
      <c r="B1474" s="6" t="n">
        <v>42927</v>
      </c>
      <c r="C1474" s="7" t="s">
        <v>33</v>
      </c>
      <c r="D1474" s="7" t="s">
        <v>34</v>
      </c>
      <c r="E1474" s="7" t="s">
        <v>35</v>
      </c>
      <c r="F1474" s="0" t="n">
        <v>8.67</v>
      </c>
      <c r="G1474" s="0" t="n">
        <v>4.0749</v>
      </c>
      <c r="H1474" s="0" t="n">
        <v>0</v>
      </c>
      <c r="I1474" s="7" t="n">
        <f aca="false">YEAR(B1474)</f>
        <v>2017</v>
      </c>
      <c r="J1474" s="0" t="str">
        <f aca="false">I1474&amp;"-Q"&amp;ROUNDUP(MONTH(B1474)/3,0)</f>
        <v>2017-Q3</v>
      </c>
    </row>
    <row r="1475" customFormat="false" ht="15" hidden="false" customHeight="false" outlineLevel="0" collapsed="false">
      <c r="A1475" s="0" t="s">
        <v>777</v>
      </c>
      <c r="B1475" s="6" t="n">
        <v>42339</v>
      </c>
      <c r="C1475" s="7" t="s">
        <v>45</v>
      </c>
      <c r="D1475" s="7" t="s">
        <v>46</v>
      </c>
      <c r="E1475" s="7" t="s">
        <v>31</v>
      </c>
      <c r="F1475" s="0" t="n">
        <v>6.688</v>
      </c>
      <c r="G1475" s="0" t="n">
        <v>-4.0128</v>
      </c>
      <c r="H1475" s="0" t="n">
        <v>0.6</v>
      </c>
      <c r="I1475" s="7" t="n">
        <f aca="false">YEAR(B1475)</f>
        <v>2015</v>
      </c>
      <c r="J1475" s="0" t="str">
        <f aca="false">I1475&amp;"-Q"&amp;ROUNDUP(MONTH(B1475)/3,0)</f>
        <v>2015-Q4</v>
      </c>
    </row>
    <row r="1476" customFormat="false" ht="15" hidden="false" customHeight="false" outlineLevel="0" collapsed="false">
      <c r="A1476" s="0" t="s">
        <v>778</v>
      </c>
      <c r="B1476" s="6" t="n">
        <v>42693</v>
      </c>
      <c r="C1476" s="7" t="s">
        <v>55</v>
      </c>
      <c r="D1476" s="7" t="s">
        <v>76</v>
      </c>
      <c r="E1476" s="7" t="s">
        <v>35</v>
      </c>
      <c r="F1476" s="0" t="n">
        <v>17.28</v>
      </c>
      <c r="G1476" s="0" t="n">
        <v>5.0112</v>
      </c>
      <c r="H1476" s="0" t="n">
        <v>0</v>
      </c>
      <c r="I1476" s="7" t="n">
        <f aca="false">YEAR(B1476)</f>
        <v>2016</v>
      </c>
      <c r="J1476" s="0" t="str">
        <f aca="false">I1476&amp;"-Q"&amp;ROUNDUP(MONTH(B1476)/3,0)</f>
        <v>2016-Q4</v>
      </c>
    </row>
    <row r="1477" customFormat="false" ht="15" hidden="false" customHeight="false" outlineLevel="0" collapsed="false">
      <c r="A1477" s="0" t="s">
        <v>778</v>
      </c>
      <c r="B1477" s="6" t="n">
        <v>42693</v>
      </c>
      <c r="C1477" s="7" t="s">
        <v>55</v>
      </c>
      <c r="D1477" s="7" t="s">
        <v>76</v>
      </c>
      <c r="E1477" s="7" t="s">
        <v>35</v>
      </c>
      <c r="F1477" s="0" t="n">
        <v>17.712</v>
      </c>
      <c r="G1477" s="0" t="n">
        <v>6.4206</v>
      </c>
      <c r="H1477" s="0" t="n">
        <v>0.2</v>
      </c>
      <c r="I1477" s="7" t="n">
        <f aca="false">YEAR(B1477)</f>
        <v>2016</v>
      </c>
      <c r="J1477" s="0" t="str">
        <f aca="false">I1477&amp;"-Q"&amp;ROUNDUP(MONTH(B1477)/3,0)</f>
        <v>2016-Q4</v>
      </c>
    </row>
    <row r="1478" customFormat="false" ht="15" hidden="false" customHeight="false" outlineLevel="0" collapsed="false">
      <c r="A1478" s="0" t="s">
        <v>779</v>
      </c>
      <c r="B1478" s="6" t="n">
        <v>42813</v>
      </c>
      <c r="C1478" s="7" t="s">
        <v>55</v>
      </c>
      <c r="D1478" s="7" t="s">
        <v>76</v>
      </c>
      <c r="E1478" s="7" t="s">
        <v>35</v>
      </c>
      <c r="F1478" s="0" t="n">
        <v>28.91</v>
      </c>
      <c r="G1478" s="0" t="n">
        <v>13.2986</v>
      </c>
      <c r="H1478" s="0" t="n">
        <v>0</v>
      </c>
      <c r="I1478" s="7" t="n">
        <f aca="false">YEAR(B1478)</f>
        <v>2017</v>
      </c>
      <c r="J1478" s="0" t="str">
        <f aca="false">I1478&amp;"-Q"&amp;ROUNDUP(MONTH(B1478)/3,0)</f>
        <v>2017-Q1</v>
      </c>
    </row>
    <row r="1479" customFormat="false" ht="15" hidden="false" customHeight="false" outlineLevel="0" collapsed="false">
      <c r="A1479" s="0" t="s">
        <v>780</v>
      </c>
      <c r="B1479" s="6" t="n">
        <v>42687</v>
      </c>
      <c r="C1479" s="7" t="s">
        <v>29</v>
      </c>
      <c r="D1479" s="7" t="s">
        <v>41</v>
      </c>
      <c r="E1479" s="7" t="s">
        <v>35</v>
      </c>
      <c r="F1479" s="0" t="n">
        <v>52.136</v>
      </c>
      <c r="G1479" s="0" t="n">
        <v>5.8653</v>
      </c>
      <c r="H1479" s="0" t="n">
        <v>0.2</v>
      </c>
      <c r="I1479" s="7" t="n">
        <f aca="false">YEAR(B1479)</f>
        <v>2016</v>
      </c>
      <c r="J1479" s="0" t="str">
        <f aca="false">I1479&amp;"-Q"&amp;ROUNDUP(MONTH(B1479)/3,0)</f>
        <v>2016-Q4</v>
      </c>
    </row>
    <row r="1480" customFormat="false" ht="15" hidden="false" customHeight="false" outlineLevel="0" collapsed="false">
      <c r="A1480" s="0" t="s">
        <v>781</v>
      </c>
      <c r="B1480" s="6" t="n">
        <v>43058</v>
      </c>
      <c r="C1480" s="7" t="s">
        <v>33</v>
      </c>
      <c r="D1480" s="7" t="s">
        <v>34</v>
      </c>
      <c r="E1480" s="7" t="s">
        <v>39</v>
      </c>
      <c r="F1480" s="0" t="n">
        <v>31.968</v>
      </c>
      <c r="G1480" s="0" t="n">
        <v>2.3976</v>
      </c>
      <c r="H1480" s="0" t="n">
        <v>0.2</v>
      </c>
      <c r="I1480" s="7" t="n">
        <f aca="false">YEAR(B1480)</f>
        <v>2017</v>
      </c>
      <c r="J1480" s="0" t="str">
        <f aca="false">I1480&amp;"-Q"&amp;ROUNDUP(MONTH(B1480)/3,0)</f>
        <v>2017-Q4</v>
      </c>
    </row>
    <row r="1481" customFormat="false" ht="15" hidden="false" customHeight="false" outlineLevel="0" collapsed="false">
      <c r="A1481" s="0" t="s">
        <v>782</v>
      </c>
      <c r="B1481" s="6" t="n">
        <v>42706</v>
      </c>
      <c r="C1481" s="7" t="s">
        <v>33</v>
      </c>
      <c r="D1481" s="7" t="s">
        <v>34</v>
      </c>
      <c r="E1481" s="7" t="s">
        <v>35</v>
      </c>
      <c r="F1481" s="0" t="n">
        <v>25.92</v>
      </c>
      <c r="G1481" s="0" t="n">
        <v>12.4416</v>
      </c>
      <c r="H1481" s="0" t="n">
        <v>0</v>
      </c>
      <c r="I1481" s="7" t="n">
        <f aca="false">YEAR(B1481)</f>
        <v>2016</v>
      </c>
      <c r="J1481" s="0" t="str">
        <f aca="false">I1481&amp;"-Q"&amp;ROUNDUP(MONTH(B1481)/3,0)</f>
        <v>2016-Q4</v>
      </c>
    </row>
    <row r="1482" customFormat="false" ht="15" hidden="false" customHeight="false" outlineLevel="0" collapsed="false">
      <c r="A1482" s="0" t="s">
        <v>782</v>
      </c>
      <c r="B1482" s="6" t="n">
        <v>42706</v>
      </c>
      <c r="C1482" s="7" t="s">
        <v>33</v>
      </c>
      <c r="D1482" s="7" t="s">
        <v>34</v>
      </c>
      <c r="E1482" s="7" t="s">
        <v>35</v>
      </c>
      <c r="F1482" s="0" t="n">
        <v>40.46</v>
      </c>
      <c r="G1482" s="0" t="n">
        <v>19.8254</v>
      </c>
      <c r="H1482" s="0" t="n">
        <v>0</v>
      </c>
      <c r="I1482" s="7" t="n">
        <f aca="false">YEAR(B1482)</f>
        <v>2016</v>
      </c>
      <c r="J1482" s="0" t="str">
        <f aca="false">I1482&amp;"-Q"&amp;ROUNDUP(MONTH(B1482)/3,0)</f>
        <v>2016-Q4</v>
      </c>
    </row>
    <row r="1483" customFormat="false" ht="15" hidden="false" customHeight="false" outlineLevel="0" collapsed="false">
      <c r="A1483" s="0" t="s">
        <v>782</v>
      </c>
      <c r="B1483" s="6" t="n">
        <v>42706</v>
      </c>
      <c r="C1483" s="7" t="s">
        <v>33</v>
      </c>
      <c r="D1483" s="7" t="s">
        <v>34</v>
      </c>
      <c r="E1483" s="7" t="s">
        <v>35</v>
      </c>
      <c r="F1483" s="0" t="n">
        <v>33.87</v>
      </c>
      <c r="G1483" s="0" t="n">
        <v>8.8062</v>
      </c>
      <c r="H1483" s="0" t="n">
        <v>0</v>
      </c>
      <c r="I1483" s="7" t="n">
        <f aca="false">YEAR(B1483)</f>
        <v>2016</v>
      </c>
      <c r="J1483" s="0" t="str">
        <f aca="false">I1483&amp;"-Q"&amp;ROUNDUP(MONTH(B1483)/3,0)</f>
        <v>2016-Q4</v>
      </c>
    </row>
    <row r="1484" customFormat="false" ht="15" hidden="false" customHeight="false" outlineLevel="0" collapsed="false">
      <c r="A1484" s="0" t="s">
        <v>783</v>
      </c>
      <c r="B1484" s="6" t="n">
        <v>42972</v>
      </c>
      <c r="C1484" s="7" t="s">
        <v>29</v>
      </c>
      <c r="D1484" s="7" t="s">
        <v>87</v>
      </c>
      <c r="E1484" s="7" t="s">
        <v>35</v>
      </c>
      <c r="F1484" s="0" t="n">
        <v>9.728</v>
      </c>
      <c r="G1484" s="0" t="n">
        <v>1.7024</v>
      </c>
      <c r="H1484" s="0" t="n">
        <v>0.2</v>
      </c>
      <c r="I1484" s="7" t="n">
        <f aca="false">YEAR(B1484)</f>
        <v>2017</v>
      </c>
      <c r="J1484" s="0" t="str">
        <f aca="false">I1484&amp;"-Q"&amp;ROUNDUP(MONTH(B1484)/3,0)</f>
        <v>2017-Q3</v>
      </c>
    </row>
    <row r="1485" customFormat="false" ht="15" hidden="false" customHeight="false" outlineLevel="0" collapsed="false">
      <c r="A1485" s="0" t="s">
        <v>783</v>
      </c>
      <c r="B1485" s="6" t="n">
        <v>42972</v>
      </c>
      <c r="C1485" s="7" t="s">
        <v>29</v>
      </c>
      <c r="D1485" s="7" t="s">
        <v>87</v>
      </c>
      <c r="E1485" s="7" t="s">
        <v>35</v>
      </c>
      <c r="F1485" s="0" t="n">
        <v>3.424</v>
      </c>
      <c r="G1485" s="0" t="n">
        <v>1.07</v>
      </c>
      <c r="H1485" s="0" t="n">
        <v>0.2</v>
      </c>
      <c r="I1485" s="7" t="n">
        <f aca="false">YEAR(B1485)</f>
        <v>2017</v>
      </c>
      <c r="J1485" s="0" t="str">
        <f aca="false">I1485&amp;"-Q"&amp;ROUNDUP(MONTH(B1485)/3,0)</f>
        <v>2017-Q3</v>
      </c>
    </row>
    <row r="1486" customFormat="false" ht="15" hidden="false" customHeight="false" outlineLevel="0" collapsed="false">
      <c r="A1486" s="0" t="s">
        <v>784</v>
      </c>
      <c r="B1486" s="6" t="n">
        <v>42657</v>
      </c>
      <c r="C1486" s="7" t="s">
        <v>33</v>
      </c>
      <c r="D1486" s="7" t="s">
        <v>43</v>
      </c>
      <c r="E1486" s="7" t="s">
        <v>39</v>
      </c>
      <c r="F1486" s="0" t="n">
        <v>177</v>
      </c>
      <c r="G1486" s="0" t="n">
        <v>30.09</v>
      </c>
      <c r="H1486" s="0" t="n">
        <v>0</v>
      </c>
      <c r="I1486" s="7" t="n">
        <f aca="false">YEAR(B1486)</f>
        <v>2016</v>
      </c>
      <c r="J1486" s="0" t="str">
        <f aca="false">I1486&amp;"-Q"&amp;ROUNDUP(MONTH(B1486)/3,0)</f>
        <v>2016-Q4</v>
      </c>
    </row>
    <row r="1487" customFormat="false" ht="15" hidden="false" customHeight="false" outlineLevel="0" collapsed="false">
      <c r="A1487" s="0" t="s">
        <v>785</v>
      </c>
      <c r="B1487" s="6" t="n">
        <v>41970</v>
      </c>
      <c r="C1487" s="7" t="s">
        <v>55</v>
      </c>
      <c r="D1487" s="7" t="s">
        <v>76</v>
      </c>
      <c r="E1487" s="7" t="s">
        <v>35</v>
      </c>
      <c r="F1487" s="0" t="n">
        <v>3.76</v>
      </c>
      <c r="G1487" s="0" t="n">
        <v>1.316</v>
      </c>
      <c r="H1487" s="0" t="n">
        <v>0</v>
      </c>
      <c r="I1487" s="7" t="n">
        <f aca="false">YEAR(B1487)</f>
        <v>2014</v>
      </c>
      <c r="J1487" s="0" t="str">
        <f aca="false">I1487&amp;"-Q"&amp;ROUNDUP(MONTH(B1487)/3,0)</f>
        <v>2014-Q4</v>
      </c>
    </row>
    <row r="1488" customFormat="false" ht="15" hidden="false" customHeight="false" outlineLevel="0" collapsed="false">
      <c r="A1488" s="0" t="s">
        <v>786</v>
      </c>
      <c r="B1488" s="6" t="n">
        <v>42311</v>
      </c>
      <c r="C1488" s="7" t="s">
        <v>33</v>
      </c>
      <c r="D1488" s="7" t="s">
        <v>34</v>
      </c>
      <c r="E1488" s="7" t="s">
        <v>39</v>
      </c>
      <c r="F1488" s="0" t="n">
        <v>1212.848</v>
      </c>
      <c r="G1488" s="0" t="n">
        <v>106.1242</v>
      </c>
      <c r="H1488" s="0" t="n">
        <v>0.2</v>
      </c>
      <c r="I1488" s="7" t="n">
        <f aca="false">YEAR(B1488)</f>
        <v>2015</v>
      </c>
      <c r="J1488" s="0" t="str">
        <f aca="false">I1488&amp;"-Q"&amp;ROUNDUP(MONTH(B1488)/3,0)</f>
        <v>2015-Q4</v>
      </c>
    </row>
    <row r="1489" customFormat="false" ht="15" hidden="false" customHeight="false" outlineLevel="0" collapsed="false">
      <c r="A1489" s="0" t="s">
        <v>786</v>
      </c>
      <c r="B1489" s="6" t="n">
        <v>42311</v>
      </c>
      <c r="C1489" s="7" t="s">
        <v>33</v>
      </c>
      <c r="D1489" s="7" t="s">
        <v>34</v>
      </c>
      <c r="E1489" s="7" t="s">
        <v>39</v>
      </c>
      <c r="F1489" s="0" t="n">
        <v>89.97</v>
      </c>
      <c r="G1489" s="0" t="n">
        <v>37.7874</v>
      </c>
      <c r="H1489" s="0" t="n">
        <v>0</v>
      </c>
      <c r="I1489" s="7" t="n">
        <f aca="false">YEAR(B1489)</f>
        <v>2015</v>
      </c>
      <c r="J1489" s="0" t="str">
        <f aca="false">I1489&amp;"-Q"&amp;ROUNDUP(MONTH(B1489)/3,0)</f>
        <v>2015-Q4</v>
      </c>
    </row>
    <row r="1490" customFormat="false" ht="15" hidden="false" customHeight="false" outlineLevel="0" collapsed="false">
      <c r="A1490" s="0" t="s">
        <v>786</v>
      </c>
      <c r="B1490" s="6" t="n">
        <v>42311</v>
      </c>
      <c r="C1490" s="7" t="s">
        <v>33</v>
      </c>
      <c r="D1490" s="7" t="s">
        <v>34</v>
      </c>
      <c r="E1490" s="7" t="s">
        <v>31</v>
      </c>
      <c r="F1490" s="0" t="n">
        <v>42.6</v>
      </c>
      <c r="G1490" s="0" t="n">
        <v>16.614</v>
      </c>
      <c r="H1490" s="0" t="n">
        <v>0</v>
      </c>
      <c r="I1490" s="7" t="n">
        <f aca="false">YEAR(B1490)</f>
        <v>2015</v>
      </c>
      <c r="J1490" s="0" t="str">
        <f aca="false">I1490&amp;"-Q"&amp;ROUNDUP(MONTH(B1490)/3,0)</f>
        <v>2015-Q4</v>
      </c>
    </row>
    <row r="1491" customFormat="false" ht="15" hidden="false" customHeight="false" outlineLevel="0" collapsed="false">
      <c r="A1491" s="0" t="s">
        <v>787</v>
      </c>
      <c r="B1491" s="6" t="n">
        <v>41972</v>
      </c>
      <c r="C1491" s="7" t="s">
        <v>55</v>
      </c>
      <c r="D1491" s="7" t="s">
        <v>56</v>
      </c>
      <c r="E1491" s="7" t="s">
        <v>35</v>
      </c>
      <c r="F1491" s="0" t="n">
        <v>5.04</v>
      </c>
      <c r="G1491" s="0" t="n">
        <v>1.764</v>
      </c>
      <c r="H1491" s="0" t="n">
        <v>0.2</v>
      </c>
      <c r="I1491" s="7" t="n">
        <f aca="false">YEAR(B1491)</f>
        <v>2014</v>
      </c>
      <c r="J1491" s="0" t="str">
        <f aca="false">I1491&amp;"-Q"&amp;ROUNDUP(MONTH(B1491)/3,0)</f>
        <v>2014-Q4</v>
      </c>
    </row>
    <row r="1492" customFormat="false" ht="15" hidden="false" customHeight="false" outlineLevel="0" collapsed="false">
      <c r="A1492" s="0" t="s">
        <v>788</v>
      </c>
      <c r="B1492" s="6" t="n">
        <v>42855</v>
      </c>
      <c r="C1492" s="7" t="s">
        <v>55</v>
      </c>
      <c r="D1492" s="7" t="s">
        <v>76</v>
      </c>
      <c r="E1492" s="7" t="s">
        <v>35</v>
      </c>
      <c r="F1492" s="0" t="n">
        <v>62.96</v>
      </c>
      <c r="G1492" s="0" t="n">
        <v>28.332</v>
      </c>
      <c r="H1492" s="0" t="n">
        <v>0</v>
      </c>
      <c r="I1492" s="7" t="n">
        <f aca="false">YEAR(B1492)</f>
        <v>2017</v>
      </c>
      <c r="J1492" s="0" t="str">
        <f aca="false">I1492&amp;"-Q"&amp;ROUNDUP(MONTH(B1492)/3,0)</f>
        <v>2017-Q2</v>
      </c>
    </row>
    <row r="1493" customFormat="false" ht="15" hidden="false" customHeight="false" outlineLevel="0" collapsed="false">
      <c r="A1493" s="0" t="s">
        <v>789</v>
      </c>
      <c r="B1493" s="6" t="n">
        <v>43063</v>
      </c>
      <c r="C1493" s="7" t="s">
        <v>55</v>
      </c>
      <c r="D1493" s="7" t="s">
        <v>76</v>
      </c>
      <c r="E1493" s="7" t="s">
        <v>35</v>
      </c>
      <c r="F1493" s="0" t="n">
        <v>5.88</v>
      </c>
      <c r="G1493" s="0" t="n">
        <v>2.8812</v>
      </c>
      <c r="H1493" s="0" t="n">
        <v>0</v>
      </c>
      <c r="I1493" s="7" t="n">
        <f aca="false">YEAR(B1493)</f>
        <v>2017</v>
      </c>
      <c r="J1493" s="0" t="str">
        <f aca="false">I1493&amp;"-Q"&amp;ROUNDUP(MONTH(B1493)/3,0)</f>
        <v>2017-Q4</v>
      </c>
    </row>
    <row r="1494" customFormat="false" ht="15" hidden="false" customHeight="false" outlineLevel="0" collapsed="false">
      <c r="A1494" s="0" t="s">
        <v>789</v>
      </c>
      <c r="B1494" s="6" t="n">
        <v>43063</v>
      </c>
      <c r="C1494" s="7" t="s">
        <v>55</v>
      </c>
      <c r="D1494" s="7" t="s">
        <v>76</v>
      </c>
      <c r="E1494" s="7" t="s">
        <v>31</v>
      </c>
      <c r="F1494" s="0" t="n">
        <v>977.292</v>
      </c>
      <c r="G1494" s="0" t="n">
        <v>173.7408</v>
      </c>
      <c r="H1494" s="0" t="n">
        <v>0.1</v>
      </c>
      <c r="I1494" s="7" t="n">
        <f aca="false">YEAR(B1494)</f>
        <v>2017</v>
      </c>
      <c r="J1494" s="0" t="str">
        <f aca="false">I1494&amp;"-Q"&amp;ROUNDUP(MONTH(B1494)/3,0)</f>
        <v>2017-Q4</v>
      </c>
    </row>
    <row r="1495" customFormat="false" ht="15" hidden="false" customHeight="false" outlineLevel="0" collapsed="false">
      <c r="A1495" s="0" t="s">
        <v>790</v>
      </c>
      <c r="B1495" s="6" t="n">
        <v>43038</v>
      </c>
      <c r="C1495" s="7" t="s">
        <v>33</v>
      </c>
      <c r="D1495" s="7" t="s">
        <v>43</v>
      </c>
      <c r="E1495" s="7" t="s">
        <v>31</v>
      </c>
      <c r="F1495" s="0" t="n">
        <v>9.64</v>
      </c>
      <c r="G1495" s="0" t="n">
        <v>3.6632</v>
      </c>
      <c r="H1495" s="0" t="n">
        <v>0</v>
      </c>
      <c r="I1495" s="7" t="n">
        <f aca="false">YEAR(B1495)</f>
        <v>2017</v>
      </c>
      <c r="J1495" s="0" t="str">
        <f aca="false">I1495&amp;"-Q"&amp;ROUNDUP(MONTH(B1495)/3,0)</f>
        <v>2017-Q4</v>
      </c>
    </row>
    <row r="1496" customFormat="false" ht="15" hidden="false" customHeight="false" outlineLevel="0" collapsed="false">
      <c r="A1496" s="0" t="s">
        <v>791</v>
      </c>
      <c r="B1496" s="6" t="n">
        <v>41990</v>
      </c>
      <c r="C1496" s="7" t="s">
        <v>29</v>
      </c>
      <c r="D1496" s="7" t="s">
        <v>230</v>
      </c>
      <c r="E1496" s="7" t="s">
        <v>35</v>
      </c>
      <c r="F1496" s="0" t="n">
        <v>40.05</v>
      </c>
      <c r="G1496" s="0" t="n">
        <v>11.214</v>
      </c>
      <c r="H1496" s="0" t="n">
        <v>0</v>
      </c>
      <c r="I1496" s="7" t="n">
        <f aca="false">YEAR(B1496)</f>
        <v>2014</v>
      </c>
      <c r="J1496" s="0" t="str">
        <f aca="false">I1496&amp;"-Q"&amp;ROUNDUP(MONTH(B1496)/3,0)</f>
        <v>2014-Q4</v>
      </c>
    </row>
    <row r="1497" customFormat="false" ht="15" hidden="false" customHeight="false" outlineLevel="0" collapsed="false">
      <c r="A1497" s="0" t="s">
        <v>792</v>
      </c>
      <c r="B1497" s="6" t="n">
        <v>42982</v>
      </c>
      <c r="C1497" s="7" t="s">
        <v>45</v>
      </c>
      <c r="D1497" s="7" t="s">
        <v>46</v>
      </c>
      <c r="E1497" s="7" t="s">
        <v>35</v>
      </c>
      <c r="F1497" s="0" t="n">
        <v>10.192</v>
      </c>
      <c r="G1497" s="0" t="n">
        <v>3.185</v>
      </c>
      <c r="H1497" s="0" t="n">
        <v>0.2</v>
      </c>
      <c r="I1497" s="7" t="n">
        <f aca="false">YEAR(B1497)</f>
        <v>2017</v>
      </c>
      <c r="J1497" s="0" t="str">
        <f aca="false">I1497&amp;"-Q"&amp;ROUNDUP(MONTH(B1497)/3,0)</f>
        <v>2017-Q3</v>
      </c>
    </row>
    <row r="1498" customFormat="false" ht="15" hidden="false" customHeight="false" outlineLevel="0" collapsed="false">
      <c r="A1498" s="0" t="s">
        <v>792</v>
      </c>
      <c r="B1498" s="6" t="n">
        <v>42982</v>
      </c>
      <c r="C1498" s="7" t="s">
        <v>45</v>
      </c>
      <c r="D1498" s="7" t="s">
        <v>46</v>
      </c>
      <c r="E1498" s="7" t="s">
        <v>35</v>
      </c>
      <c r="F1498" s="0" t="n">
        <v>16.784</v>
      </c>
      <c r="G1498" s="0" t="n">
        <v>-0.2098</v>
      </c>
      <c r="H1498" s="0" t="n">
        <v>0.2</v>
      </c>
      <c r="I1498" s="7" t="n">
        <f aca="false">YEAR(B1498)</f>
        <v>2017</v>
      </c>
      <c r="J1498" s="0" t="str">
        <f aca="false">I1498&amp;"-Q"&amp;ROUNDUP(MONTH(B1498)/3,0)</f>
        <v>2017-Q3</v>
      </c>
    </row>
    <row r="1499" customFormat="false" ht="15" hidden="false" customHeight="false" outlineLevel="0" collapsed="false">
      <c r="A1499" s="0" t="s">
        <v>792</v>
      </c>
      <c r="B1499" s="6" t="n">
        <v>42982</v>
      </c>
      <c r="C1499" s="7" t="s">
        <v>45</v>
      </c>
      <c r="D1499" s="7" t="s">
        <v>46</v>
      </c>
      <c r="E1499" s="7" t="s">
        <v>35</v>
      </c>
      <c r="F1499" s="0" t="n">
        <v>13.12</v>
      </c>
      <c r="G1499" s="0" t="n">
        <v>3.772</v>
      </c>
      <c r="H1499" s="0" t="n">
        <v>0.2</v>
      </c>
      <c r="I1499" s="7" t="n">
        <f aca="false">YEAR(B1499)</f>
        <v>2017</v>
      </c>
      <c r="J1499" s="0" t="str">
        <f aca="false">I1499&amp;"-Q"&amp;ROUNDUP(MONTH(B1499)/3,0)</f>
        <v>2017-Q3</v>
      </c>
    </row>
    <row r="1500" customFormat="false" ht="15" hidden="false" customHeight="false" outlineLevel="0" collapsed="false">
      <c r="A1500" s="0" t="s">
        <v>793</v>
      </c>
      <c r="B1500" s="6" t="n">
        <v>42660</v>
      </c>
      <c r="C1500" s="7" t="s">
        <v>33</v>
      </c>
      <c r="D1500" s="7" t="s">
        <v>34</v>
      </c>
      <c r="E1500" s="7" t="s">
        <v>35</v>
      </c>
      <c r="F1500" s="0" t="n">
        <v>18.16</v>
      </c>
      <c r="G1500" s="0" t="n">
        <v>6.583</v>
      </c>
      <c r="H1500" s="0" t="n">
        <v>0.2</v>
      </c>
      <c r="I1500" s="7" t="n">
        <f aca="false">YEAR(B1500)</f>
        <v>2016</v>
      </c>
      <c r="J1500" s="0" t="str">
        <f aca="false">I1500&amp;"-Q"&amp;ROUNDUP(MONTH(B1500)/3,0)</f>
        <v>2016-Q4</v>
      </c>
    </row>
    <row r="1501" customFormat="false" ht="15" hidden="false" customHeight="false" outlineLevel="0" collapsed="false">
      <c r="A1501" s="0" t="s">
        <v>794</v>
      </c>
      <c r="B1501" s="6" t="n">
        <v>43051</v>
      </c>
      <c r="C1501" s="7" t="s">
        <v>45</v>
      </c>
      <c r="D1501" s="7" t="s">
        <v>46</v>
      </c>
      <c r="E1501" s="7" t="s">
        <v>35</v>
      </c>
      <c r="F1501" s="0" t="n">
        <v>16.056</v>
      </c>
      <c r="G1501" s="0" t="n">
        <v>5.8203</v>
      </c>
      <c r="H1501" s="0" t="n">
        <v>0.2</v>
      </c>
      <c r="I1501" s="7" t="n">
        <f aca="false">YEAR(B1501)</f>
        <v>2017</v>
      </c>
      <c r="J1501" s="0" t="str">
        <f aca="false">I1501&amp;"-Q"&amp;ROUNDUP(MONTH(B1501)/3,0)</f>
        <v>2017-Q4</v>
      </c>
    </row>
    <row r="1502" customFormat="false" ht="15" hidden="false" customHeight="false" outlineLevel="0" collapsed="false">
      <c r="A1502" s="0" t="s">
        <v>794</v>
      </c>
      <c r="B1502" s="6" t="n">
        <v>43051</v>
      </c>
      <c r="C1502" s="7" t="s">
        <v>45</v>
      </c>
      <c r="D1502" s="7" t="s">
        <v>46</v>
      </c>
      <c r="E1502" s="7" t="s">
        <v>35</v>
      </c>
      <c r="F1502" s="0" t="n">
        <v>223.056</v>
      </c>
      <c r="G1502" s="0" t="n">
        <v>69.705</v>
      </c>
      <c r="H1502" s="0" t="n">
        <v>0.2</v>
      </c>
      <c r="I1502" s="7" t="n">
        <f aca="false">YEAR(B1502)</f>
        <v>2017</v>
      </c>
      <c r="J1502" s="0" t="str">
        <f aca="false">I1502&amp;"-Q"&amp;ROUNDUP(MONTH(B1502)/3,0)</f>
        <v>2017-Q4</v>
      </c>
    </row>
    <row r="1503" customFormat="false" ht="15" hidden="false" customHeight="false" outlineLevel="0" collapsed="false">
      <c r="A1503" s="0" t="s">
        <v>794</v>
      </c>
      <c r="B1503" s="6" t="n">
        <v>43051</v>
      </c>
      <c r="C1503" s="7" t="s">
        <v>45</v>
      </c>
      <c r="D1503" s="7" t="s">
        <v>46</v>
      </c>
      <c r="E1503" s="7" t="s">
        <v>35</v>
      </c>
      <c r="F1503" s="0" t="n">
        <v>540.048</v>
      </c>
      <c r="G1503" s="0" t="n">
        <v>-47.2542</v>
      </c>
      <c r="H1503" s="0" t="n">
        <v>0.2</v>
      </c>
      <c r="I1503" s="7" t="n">
        <f aca="false">YEAR(B1503)</f>
        <v>2017</v>
      </c>
      <c r="J1503" s="0" t="str">
        <f aca="false">I1503&amp;"-Q"&amp;ROUNDUP(MONTH(B1503)/3,0)</f>
        <v>2017-Q4</v>
      </c>
    </row>
    <row r="1504" customFormat="false" ht="15" hidden="false" customHeight="false" outlineLevel="0" collapsed="false">
      <c r="A1504" s="0" t="s">
        <v>795</v>
      </c>
      <c r="B1504" s="6" t="n">
        <v>42698</v>
      </c>
      <c r="C1504" s="7" t="s">
        <v>33</v>
      </c>
      <c r="D1504" s="7" t="s">
        <v>34</v>
      </c>
      <c r="E1504" s="7" t="s">
        <v>39</v>
      </c>
      <c r="F1504" s="0" t="n">
        <v>33.52</v>
      </c>
      <c r="G1504" s="0" t="n">
        <v>3.352</v>
      </c>
      <c r="H1504" s="0" t="n">
        <v>0.2</v>
      </c>
      <c r="I1504" s="7" t="n">
        <f aca="false">YEAR(B1504)</f>
        <v>2016</v>
      </c>
      <c r="J1504" s="0" t="str">
        <f aca="false">I1504&amp;"-Q"&amp;ROUNDUP(MONTH(B1504)/3,0)</f>
        <v>2016-Q4</v>
      </c>
    </row>
    <row r="1505" customFormat="false" ht="15" hidden="false" customHeight="false" outlineLevel="0" collapsed="false">
      <c r="A1505" s="0" t="s">
        <v>795</v>
      </c>
      <c r="B1505" s="6" t="n">
        <v>42698</v>
      </c>
      <c r="C1505" s="7" t="s">
        <v>33</v>
      </c>
      <c r="D1505" s="7" t="s">
        <v>34</v>
      </c>
      <c r="E1505" s="7" t="s">
        <v>31</v>
      </c>
      <c r="F1505" s="0" t="n">
        <v>9.94</v>
      </c>
      <c r="G1505" s="0" t="n">
        <v>3.0814</v>
      </c>
      <c r="H1505" s="0" t="n">
        <v>0</v>
      </c>
      <c r="I1505" s="7" t="n">
        <f aca="false">YEAR(B1505)</f>
        <v>2016</v>
      </c>
      <c r="J1505" s="0" t="str">
        <f aca="false">I1505&amp;"-Q"&amp;ROUNDUP(MONTH(B1505)/3,0)</f>
        <v>2016-Q4</v>
      </c>
    </row>
    <row r="1506" customFormat="false" ht="15" hidden="false" customHeight="false" outlineLevel="0" collapsed="false">
      <c r="A1506" s="0" t="s">
        <v>796</v>
      </c>
      <c r="B1506" s="6" t="n">
        <v>42217</v>
      </c>
      <c r="C1506" s="7" t="s">
        <v>33</v>
      </c>
      <c r="D1506" s="7" t="s">
        <v>34</v>
      </c>
      <c r="E1506" s="7" t="s">
        <v>35</v>
      </c>
      <c r="F1506" s="0" t="n">
        <v>6.72</v>
      </c>
      <c r="G1506" s="0" t="n">
        <v>3.36</v>
      </c>
      <c r="H1506" s="0" t="n">
        <v>0</v>
      </c>
      <c r="I1506" s="7" t="n">
        <f aca="false">YEAR(B1506)</f>
        <v>2015</v>
      </c>
      <c r="J1506" s="0" t="str">
        <f aca="false">I1506&amp;"-Q"&amp;ROUNDUP(MONTH(B1506)/3,0)</f>
        <v>2015-Q3</v>
      </c>
    </row>
    <row r="1507" customFormat="false" ht="15" hidden="false" customHeight="false" outlineLevel="0" collapsed="false">
      <c r="A1507" s="0" t="s">
        <v>796</v>
      </c>
      <c r="B1507" s="6" t="n">
        <v>42217</v>
      </c>
      <c r="C1507" s="7" t="s">
        <v>33</v>
      </c>
      <c r="D1507" s="7" t="s">
        <v>34</v>
      </c>
      <c r="E1507" s="7" t="s">
        <v>31</v>
      </c>
      <c r="F1507" s="0" t="n">
        <v>1004.976</v>
      </c>
      <c r="G1507" s="0" t="n">
        <v>-175.8708</v>
      </c>
      <c r="H1507" s="0" t="n">
        <v>0.2</v>
      </c>
      <c r="I1507" s="7" t="n">
        <f aca="false">YEAR(B1507)</f>
        <v>2015</v>
      </c>
      <c r="J1507" s="0" t="str">
        <f aca="false">I1507&amp;"-Q"&amp;ROUNDUP(MONTH(B1507)/3,0)</f>
        <v>2015-Q3</v>
      </c>
    </row>
    <row r="1508" customFormat="false" ht="15" hidden="false" customHeight="false" outlineLevel="0" collapsed="false">
      <c r="A1508" s="0" t="s">
        <v>797</v>
      </c>
      <c r="B1508" s="6" t="n">
        <v>43093</v>
      </c>
      <c r="C1508" s="7" t="s">
        <v>55</v>
      </c>
      <c r="D1508" s="7" t="s">
        <v>76</v>
      </c>
      <c r="E1508" s="7" t="s">
        <v>35</v>
      </c>
      <c r="F1508" s="0" t="n">
        <v>17.88</v>
      </c>
      <c r="G1508" s="0" t="n">
        <v>5.5875</v>
      </c>
      <c r="H1508" s="0" t="n">
        <v>0.2</v>
      </c>
      <c r="I1508" s="7" t="n">
        <f aca="false">YEAR(B1508)</f>
        <v>2017</v>
      </c>
      <c r="J1508" s="0" t="str">
        <f aca="false">I1508&amp;"-Q"&amp;ROUNDUP(MONTH(B1508)/3,0)</f>
        <v>2017-Q4</v>
      </c>
    </row>
    <row r="1509" customFormat="false" ht="15" hidden="false" customHeight="false" outlineLevel="0" collapsed="false">
      <c r="A1509" s="0" t="s">
        <v>798</v>
      </c>
      <c r="B1509" s="6" t="n">
        <v>42630</v>
      </c>
      <c r="C1509" s="7" t="s">
        <v>29</v>
      </c>
      <c r="D1509" s="7" t="s">
        <v>230</v>
      </c>
      <c r="E1509" s="7" t="s">
        <v>39</v>
      </c>
      <c r="F1509" s="0" t="n">
        <v>396</v>
      </c>
      <c r="G1509" s="0" t="n">
        <v>190.08</v>
      </c>
      <c r="H1509" s="0" t="n">
        <v>0</v>
      </c>
      <c r="I1509" s="7" t="n">
        <f aca="false">YEAR(B1509)</f>
        <v>2016</v>
      </c>
      <c r="J1509" s="0" t="str">
        <f aca="false">I1509&amp;"-Q"&amp;ROUNDUP(MONTH(B1509)/3,0)</f>
        <v>2016-Q3</v>
      </c>
    </row>
    <row r="1510" customFormat="false" ht="15" hidden="false" customHeight="false" outlineLevel="0" collapsed="false">
      <c r="A1510" s="0" t="s">
        <v>799</v>
      </c>
      <c r="B1510" s="6" t="n">
        <v>43079</v>
      </c>
      <c r="C1510" s="7" t="s">
        <v>45</v>
      </c>
      <c r="D1510" s="7" t="s">
        <v>53</v>
      </c>
      <c r="E1510" s="7" t="s">
        <v>35</v>
      </c>
      <c r="F1510" s="0" t="n">
        <v>34.5</v>
      </c>
      <c r="G1510" s="0" t="n">
        <v>15.525</v>
      </c>
      <c r="H1510" s="0" t="n">
        <v>0</v>
      </c>
      <c r="I1510" s="7" t="n">
        <f aca="false">YEAR(B1510)</f>
        <v>2017</v>
      </c>
      <c r="J1510" s="0" t="str">
        <f aca="false">I1510&amp;"-Q"&amp;ROUNDUP(MONTH(B1510)/3,0)</f>
        <v>2017-Q4</v>
      </c>
    </row>
    <row r="1511" customFormat="false" ht="15" hidden="false" customHeight="false" outlineLevel="0" collapsed="false">
      <c r="A1511" s="0" t="s">
        <v>800</v>
      </c>
      <c r="B1511" s="6" t="n">
        <v>42990</v>
      </c>
      <c r="C1511" s="7" t="s">
        <v>33</v>
      </c>
      <c r="D1511" s="7" t="s">
        <v>34</v>
      </c>
      <c r="E1511" s="7" t="s">
        <v>31</v>
      </c>
      <c r="F1511" s="0" t="n">
        <v>8.36</v>
      </c>
      <c r="G1511" s="0" t="n">
        <v>3.0096</v>
      </c>
      <c r="H1511" s="0" t="n">
        <v>0</v>
      </c>
      <c r="I1511" s="7" t="n">
        <f aca="false">YEAR(B1511)</f>
        <v>2017</v>
      </c>
      <c r="J1511" s="0" t="str">
        <f aca="false">I1511&amp;"-Q"&amp;ROUNDUP(MONTH(B1511)/3,0)</f>
        <v>2017-Q3</v>
      </c>
    </row>
    <row r="1512" customFormat="false" ht="15" hidden="false" customHeight="false" outlineLevel="0" collapsed="false">
      <c r="A1512" s="0" t="s">
        <v>801</v>
      </c>
      <c r="B1512" s="6" t="n">
        <v>42910</v>
      </c>
      <c r="C1512" s="7" t="s">
        <v>33</v>
      </c>
      <c r="D1512" s="7" t="s">
        <v>34</v>
      </c>
      <c r="E1512" s="7" t="s">
        <v>35</v>
      </c>
      <c r="F1512" s="0" t="n">
        <v>385.6</v>
      </c>
      <c r="G1512" s="0" t="n">
        <v>111.824</v>
      </c>
      <c r="H1512" s="0" t="n">
        <v>0</v>
      </c>
      <c r="I1512" s="7" t="n">
        <f aca="false">YEAR(B1512)</f>
        <v>2017</v>
      </c>
      <c r="J1512" s="0" t="str">
        <f aca="false">I1512&amp;"-Q"&amp;ROUNDUP(MONTH(B1512)/3,0)</f>
        <v>2017-Q2</v>
      </c>
    </row>
    <row r="1513" customFormat="false" ht="15" hidden="false" customHeight="false" outlineLevel="0" collapsed="false">
      <c r="A1513" s="0" t="s">
        <v>801</v>
      </c>
      <c r="B1513" s="6" t="n">
        <v>42910</v>
      </c>
      <c r="C1513" s="7" t="s">
        <v>33</v>
      </c>
      <c r="D1513" s="7" t="s">
        <v>34</v>
      </c>
      <c r="E1513" s="7" t="s">
        <v>35</v>
      </c>
      <c r="F1513" s="0" t="n">
        <v>35.82</v>
      </c>
      <c r="G1513" s="0" t="n">
        <v>11.8206</v>
      </c>
      <c r="H1513" s="0" t="n">
        <v>0</v>
      </c>
      <c r="I1513" s="7" t="n">
        <f aca="false">YEAR(B1513)</f>
        <v>2017</v>
      </c>
      <c r="J1513" s="0" t="str">
        <f aca="false">I1513&amp;"-Q"&amp;ROUNDUP(MONTH(B1513)/3,0)</f>
        <v>2017-Q2</v>
      </c>
    </row>
    <row r="1514" customFormat="false" ht="15" hidden="false" customHeight="false" outlineLevel="0" collapsed="false">
      <c r="A1514" s="0" t="s">
        <v>802</v>
      </c>
      <c r="B1514" s="6" t="n">
        <v>42965</v>
      </c>
      <c r="C1514" s="7" t="s">
        <v>45</v>
      </c>
      <c r="D1514" s="7" t="s">
        <v>46</v>
      </c>
      <c r="E1514" s="7" t="s">
        <v>35</v>
      </c>
      <c r="F1514" s="0" t="n">
        <v>200.064</v>
      </c>
      <c r="G1514" s="0" t="n">
        <v>12.504</v>
      </c>
      <c r="H1514" s="0" t="n">
        <v>0.2</v>
      </c>
      <c r="I1514" s="7" t="n">
        <f aca="false">YEAR(B1514)</f>
        <v>2017</v>
      </c>
      <c r="J1514" s="0" t="str">
        <f aca="false">I1514&amp;"-Q"&amp;ROUNDUP(MONTH(B1514)/3,0)</f>
        <v>2017-Q3</v>
      </c>
    </row>
    <row r="1515" customFormat="false" ht="15" hidden="false" customHeight="false" outlineLevel="0" collapsed="false">
      <c r="A1515" s="0" t="s">
        <v>802</v>
      </c>
      <c r="B1515" s="6" t="n">
        <v>42965</v>
      </c>
      <c r="C1515" s="7" t="s">
        <v>45</v>
      </c>
      <c r="D1515" s="7" t="s">
        <v>46</v>
      </c>
      <c r="E1515" s="7" t="s">
        <v>35</v>
      </c>
      <c r="F1515" s="0" t="n">
        <v>21.38</v>
      </c>
      <c r="G1515" s="0" t="n">
        <v>-33.139</v>
      </c>
      <c r="H1515" s="0" t="n">
        <v>0.8</v>
      </c>
      <c r="I1515" s="7" t="n">
        <f aca="false">YEAR(B1515)</f>
        <v>2017</v>
      </c>
      <c r="J1515" s="0" t="str">
        <f aca="false">I1515&amp;"-Q"&amp;ROUNDUP(MONTH(B1515)/3,0)</f>
        <v>2017-Q3</v>
      </c>
    </row>
    <row r="1516" customFormat="false" ht="15" hidden="false" customHeight="false" outlineLevel="0" collapsed="false">
      <c r="A1516" s="0" t="s">
        <v>802</v>
      </c>
      <c r="B1516" s="6" t="n">
        <v>42965</v>
      </c>
      <c r="C1516" s="7" t="s">
        <v>45</v>
      </c>
      <c r="D1516" s="7" t="s">
        <v>46</v>
      </c>
      <c r="E1516" s="7" t="s">
        <v>35</v>
      </c>
      <c r="F1516" s="0" t="n">
        <v>6.744</v>
      </c>
      <c r="G1516" s="0" t="n">
        <v>-11.4648</v>
      </c>
      <c r="H1516" s="0" t="n">
        <v>0.8</v>
      </c>
      <c r="I1516" s="7" t="n">
        <f aca="false">YEAR(B1516)</f>
        <v>2017</v>
      </c>
      <c r="J1516" s="0" t="str">
        <f aca="false">I1516&amp;"-Q"&amp;ROUNDUP(MONTH(B1516)/3,0)</f>
        <v>2017-Q3</v>
      </c>
    </row>
    <row r="1517" customFormat="false" ht="15" hidden="false" customHeight="false" outlineLevel="0" collapsed="false">
      <c r="A1517" s="0" t="s">
        <v>803</v>
      </c>
      <c r="B1517" s="6" t="n">
        <v>43080</v>
      </c>
      <c r="C1517" s="7" t="s">
        <v>55</v>
      </c>
      <c r="D1517" s="7" t="s">
        <v>56</v>
      </c>
      <c r="E1517" s="7" t="s">
        <v>31</v>
      </c>
      <c r="F1517" s="0" t="n">
        <v>63.686</v>
      </c>
      <c r="G1517" s="0" t="n">
        <v>-9.098</v>
      </c>
      <c r="H1517" s="0" t="n">
        <v>0.3</v>
      </c>
      <c r="I1517" s="7" t="n">
        <f aca="false">YEAR(B1517)</f>
        <v>2017</v>
      </c>
      <c r="J1517" s="0" t="str">
        <f aca="false">I1517&amp;"-Q"&amp;ROUNDUP(MONTH(B1517)/3,0)</f>
        <v>2017-Q4</v>
      </c>
    </row>
    <row r="1518" customFormat="false" ht="15" hidden="false" customHeight="false" outlineLevel="0" collapsed="false">
      <c r="A1518" s="0" t="s">
        <v>804</v>
      </c>
      <c r="B1518" s="6" t="n">
        <v>43079</v>
      </c>
      <c r="C1518" s="7" t="s">
        <v>33</v>
      </c>
      <c r="D1518" s="7" t="s">
        <v>248</v>
      </c>
      <c r="E1518" s="7" t="s">
        <v>31</v>
      </c>
      <c r="F1518" s="0" t="n">
        <v>1669.6</v>
      </c>
      <c r="G1518" s="0" t="n">
        <v>116.872</v>
      </c>
      <c r="H1518" s="0" t="n">
        <v>0</v>
      </c>
      <c r="I1518" s="7" t="n">
        <f aca="false">YEAR(B1518)</f>
        <v>2017</v>
      </c>
      <c r="J1518" s="0" t="str">
        <f aca="false">I1518&amp;"-Q"&amp;ROUNDUP(MONTH(B1518)/3,0)</f>
        <v>2017-Q4</v>
      </c>
    </row>
    <row r="1519" customFormat="false" ht="15" hidden="false" customHeight="false" outlineLevel="0" collapsed="false">
      <c r="A1519" s="0" t="s">
        <v>805</v>
      </c>
      <c r="B1519" s="6" t="n">
        <v>41673</v>
      </c>
      <c r="C1519" s="7" t="s">
        <v>33</v>
      </c>
      <c r="D1519" s="7" t="s">
        <v>43</v>
      </c>
      <c r="E1519" s="7" t="s">
        <v>35</v>
      </c>
      <c r="F1519" s="0" t="n">
        <v>83.84</v>
      </c>
      <c r="G1519" s="0" t="n">
        <v>27.248</v>
      </c>
      <c r="H1519" s="0" t="n">
        <v>0.2</v>
      </c>
      <c r="I1519" s="7" t="n">
        <f aca="false">YEAR(B1519)</f>
        <v>2014</v>
      </c>
      <c r="J1519" s="0" t="str">
        <f aca="false">I1519&amp;"-Q"&amp;ROUNDUP(MONTH(B1519)/3,0)</f>
        <v>2014-Q1</v>
      </c>
    </row>
    <row r="1520" customFormat="false" ht="15" hidden="false" customHeight="false" outlineLevel="0" collapsed="false">
      <c r="A1520" s="0" t="s">
        <v>805</v>
      </c>
      <c r="B1520" s="6" t="n">
        <v>41673</v>
      </c>
      <c r="C1520" s="7" t="s">
        <v>33</v>
      </c>
      <c r="D1520" s="7" t="s">
        <v>43</v>
      </c>
      <c r="E1520" s="7" t="s">
        <v>35</v>
      </c>
      <c r="F1520" s="0" t="n">
        <v>13.272</v>
      </c>
      <c r="G1520" s="0" t="n">
        <v>4.3134</v>
      </c>
      <c r="H1520" s="0" t="n">
        <v>0.2</v>
      </c>
      <c r="I1520" s="7" t="n">
        <f aca="false">YEAR(B1520)</f>
        <v>2014</v>
      </c>
      <c r="J1520" s="0" t="str">
        <f aca="false">I1520&amp;"-Q"&amp;ROUNDUP(MONTH(B1520)/3,0)</f>
        <v>2014-Q1</v>
      </c>
    </row>
    <row r="1521" customFormat="false" ht="15" hidden="false" customHeight="false" outlineLevel="0" collapsed="false">
      <c r="A1521" s="0" t="s">
        <v>806</v>
      </c>
      <c r="B1521" s="6" t="n">
        <v>42777</v>
      </c>
      <c r="C1521" s="7" t="s">
        <v>33</v>
      </c>
      <c r="D1521" s="7" t="s">
        <v>34</v>
      </c>
      <c r="E1521" s="7" t="s">
        <v>35</v>
      </c>
      <c r="F1521" s="0" t="n">
        <v>21.336</v>
      </c>
      <c r="G1521" s="0" t="n">
        <v>7.7343</v>
      </c>
      <c r="H1521" s="0" t="n">
        <v>0.2</v>
      </c>
      <c r="I1521" s="7" t="n">
        <f aca="false">YEAR(B1521)</f>
        <v>2017</v>
      </c>
      <c r="J1521" s="0" t="str">
        <f aca="false">I1521&amp;"-Q"&amp;ROUNDUP(MONTH(B1521)/3,0)</f>
        <v>2017-Q1</v>
      </c>
    </row>
    <row r="1522" customFormat="false" ht="15" hidden="false" customHeight="false" outlineLevel="0" collapsed="false">
      <c r="A1522" s="0" t="s">
        <v>807</v>
      </c>
      <c r="B1522" s="6" t="n">
        <v>42841</v>
      </c>
      <c r="C1522" s="7" t="s">
        <v>45</v>
      </c>
      <c r="D1522" s="7" t="s">
        <v>64</v>
      </c>
      <c r="E1522" s="7" t="s">
        <v>35</v>
      </c>
      <c r="F1522" s="0" t="n">
        <v>16.52</v>
      </c>
      <c r="G1522" s="0" t="n">
        <v>2.065</v>
      </c>
      <c r="H1522" s="0" t="n">
        <v>0.2</v>
      </c>
      <c r="I1522" s="7" t="n">
        <f aca="false">YEAR(B1522)</f>
        <v>2017</v>
      </c>
      <c r="J1522" s="0" t="str">
        <f aca="false">I1522&amp;"-Q"&amp;ROUNDUP(MONTH(B1522)/3,0)</f>
        <v>2017-Q2</v>
      </c>
    </row>
    <row r="1523" customFormat="false" ht="15" hidden="false" customHeight="false" outlineLevel="0" collapsed="false">
      <c r="A1523" s="0" t="s">
        <v>808</v>
      </c>
      <c r="B1523" s="6" t="n">
        <v>42344</v>
      </c>
      <c r="C1523" s="7" t="s">
        <v>33</v>
      </c>
      <c r="D1523" s="7" t="s">
        <v>81</v>
      </c>
      <c r="E1523" s="7" t="s">
        <v>31</v>
      </c>
      <c r="F1523" s="0" t="n">
        <v>206.112</v>
      </c>
      <c r="G1523" s="0" t="n">
        <v>48.9516</v>
      </c>
      <c r="H1523" s="0" t="n">
        <v>0.2</v>
      </c>
      <c r="I1523" s="7" t="n">
        <f aca="false">YEAR(B1523)</f>
        <v>2015</v>
      </c>
      <c r="J1523" s="0" t="str">
        <f aca="false">I1523&amp;"-Q"&amp;ROUNDUP(MONTH(B1523)/3,0)</f>
        <v>2015-Q4</v>
      </c>
    </row>
    <row r="1524" customFormat="false" ht="15" hidden="false" customHeight="false" outlineLevel="0" collapsed="false">
      <c r="A1524" s="0" t="s">
        <v>808</v>
      </c>
      <c r="B1524" s="6" t="n">
        <v>42344</v>
      </c>
      <c r="C1524" s="7" t="s">
        <v>33</v>
      </c>
      <c r="D1524" s="7" t="s">
        <v>81</v>
      </c>
      <c r="E1524" s="7" t="s">
        <v>35</v>
      </c>
      <c r="F1524" s="0" t="n">
        <v>19.92</v>
      </c>
      <c r="G1524" s="0" t="n">
        <v>6.723</v>
      </c>
      <c r="H1524" s="0" t="n">
        <v>0.2</v>
      </c>
      <c r="I1524" s="7" t="n">
        <f aca="false">YEAR(B1524)</f>
        <v>2015</v>
      </c>
      <c r="J1524" s="0" t="str">
        <f aca="false">I1524&amp;"-Q"&amp;ROUNDUP(MONTH(B1524)/3,0)</f>
        <v>2015-Q4</v>
      </c>
    </row>
    <row r="1525" customFormat="false" ht="15" hidden="false" customHeight="false" outlineLevel="0" collapsed="false">
      <c r="A1525" s="0" t="s">
        <v>808</v>
      </c>
      <c r="B1525" s="6" t="n">
        <v>42344</v>
      </c>
      <c r="C1525" s="7" t="s">
        <v>33</v>
      </c>
      <c r="D1525" s="7" t="s">
        <v>81</v>
      </c>
      <c r="E1525" s="7" t="s">
        <v>35</v>
      </c>
      <c r="F1525" s="0" t="n">
        <v>198.272</v>
      </c>
      <c r="G1525" s="0" t="n">
        <v>61.96</v>
      </c>
      <c r="H1525" s="0" t="n">
        <v>0.2</v>
      </c>
      <c r="I1525" s="7" t="n">
        <f aca="false">YEAR(B1525)</f>
        <v>2015</v>
      </c>
      <c r="J1525" s="0" t="str">
        <f aca="false">I1525&amp;"-Q"&amp;ROUNDUP(MONTH(B1525)/3,0)</f>
        <v>2015-Q4</v>
      </c>
    </row>
    <row r="1526" customFormat="false" ht="15" hidden="false" customHeight="false" outlineLevel="0" collapsed="false">
      <c r="A1526" s="0" t="s">
        <v>808</v>
      </c>
      <c r="B1526" s="6" t="n">
        <v>42344</v>
      </c>
      <c r="C1526" s="7" t="s">
        <v>33</v>
      </c>
      <c r="D1526" s="7" t="s">
        <v>81</v>
      </c>
      <c r="E1526" s="7" t="s">
        <v>35</v>
      </c>
      <c r="F1526" s="0" t="n">
        <v>247.104</v>
      </c>
      <c r="G1526" s="0" t="n">
        <v>-58.6872</v>
      </c>
      <c r="H1526" s="0" t="n">
        <v>0.2</v>
      </c>
      <c r="I1526" s="7" t="n">
        <f aca="false">YEAR(B1526)</f>
        <v>2015</v>
      </c>
      <c r="J1526" s="0" t="str">
        <f aca="false">I1526&amp;"-Q"&amp;ROUNDUP(MONTH(B1526)/3,0)</f>
        <v>2015-Q4</v>
      </c>
    </row>
    <row r="1527" customFormat="false" ht="15" hidden="false" customHeight="false" outlineLevel="0" collapsed="false">
      <c r="A1527" s="0" t="s">
        <v>808</v>
      </c>
      <c r="B1527" s="6" t="n">
        <v>42344</v>
      </c>
      <c r="C1527" s="7" t="s">
        <v>33</v>
      </c>
      <c r="D1527" s="7" t="s">
        <v>81</v>
      </c>
      <c r="E1527" s="7" t="s">
        <v>35</v>
      </c>
      <c r="F1527" s="0" t="n">
        <v>86.304</v>
      </c>
      <c r="G1527" s="0" t="n">
        <v>9.7092</v>
      </c>
      <c r="H1527" s="0" t="n">
        <v>0.2</v>
      </c>
      <c r="I1527" s="7" t="n">
        <f aca="false">YEAR(B1527)</f>
        <v>2015</v>
      </c>
      <c r="J1527" s="0" t="str">
        <f aca="false">I1527&amp;"-Q"&amp;ROUNDUP(MONTH(B1527)/3,0)</f>
        <v>2015-Q4</v>
      </c>
    </row>
    <row r="1528" customFormat="false" ht="15" hidden="false" customHeight="false" outlineLevel="0" collapsed="false">
      <c r="A1528" s="0" t="s">
        <v>809</v>
      </c>
      <c r="B1528" s="6" t="n">
        <v>42573</v>
      </c>
      <c r="C1528" s="7" t="s">
        <v>55</v>
      </c>
      <c r="D1528" s="7" t="s">
        <v>56</v>
      </c>
      <c r="E1528" s="7" t="s">
        <v>35</v>
      </c>
      <c r="F1528" s="0" t="n">
        <v>4.16</v>
      </c>
      <c r="G1528" s="0" t="n">
        <v>0.364</v>
      </c>
      <c r="H1528" s="0" t="n">
        <v>0.2</v>
      </c>
      <c r="I1528" s="7" t="n">
        <f aca="false">YEAR(B1528)</f>
        <v>2016</v>
      </c>
      <c r="J1528" s="0" t="str">
        <f aca="false">I1528&amp;"-Q"&amp;ROUNDUP(MONTH(B1528)/3,0)</f>
        <v>2016-Q3</v>
      </c>
    </row>
    <row r="1529" customFormat="false" ht="15" hidden="false" customHeight="false" outlineLevel="0" collapsed="false">
      <c r="A1529" s="0" t="s">
        <v>809</v>
      </c>
      <c r="B1529" s="6" t="n">
        <v>42573</v>
      </c>
      <c r="C1529" s="7" t="s">
        <v>55</v>
      </c>
      <c r="D1529" s="7" t="s">
        <v>56</v>
      </c>
      <c r="E1529" s="7" t="s">
        <v>31</v>
      </c>
      <c r="F1529" s="0" t="n">
        <v>11.648</v>
      </c>
      <c r="G1529" s="0" t="n">
        <v>3.3488</v>
      </c>
      <c r="H1529" s="0" t="n">
        <v>0.2</v>
      </c>
      <c r="I1529" s="7" t="n">
        <f aca="false">YEAR(B1529)</f>
        <v>2016</v>
      </c>
      <c r="J1529" s="0" t="str">
        <f aca="false">I1529&amp;"-Q"&amp;ROUNDUP(MONTH(B1529)/3,0)</f>
        <v>2016-Q3</v>
      </c>
    </row>
    <row r="1530" customFormat="false" ht="15" hidden="false" customHeight="false" outlineLevel="0" collapsed="false">
      <c r="A1530" s="0" t="s">
        <v>810</v>
      </c>
      <c r="B1530" s="6" t="n">
        <v>42315</v>
      </c>
      <c r="C1530" s="7" t="s">
        <v>55</v>
      </c>
      <c r="D1530" s="7" t="s">
        <v>72</v>
      </c>
      <c r="E1530" s="7" t="s">
        <v>35</v>
      </c>
      <c r="F1530" s="0" t="n">
        <v>26.18</v>
      </c>
      <c r="G1530" s="0" t="n">
        <v>0.5236</v>
      </c>
      <c r="H1530" s="0" t="n">
        <v>0</v>
      </c>
      <c r="I1530" s="7" t="n">
        <f aca="false">YEAR(B1530)</f>
        <v>2015</v>
      </c>
      <c r="J1530" s="0" t="str">
        <f aca="false">I1530&amp;"-Q"&amp;ROUNDUP(MONTH(B1530)/3,0)</f>
        <v>2015-Q4</v>
      </c>
    </row>
    <row r="1531" customFormat="false" ht="15" hidden="false" customHeight="false" outlineLevel="0" collapsed="false">
      <c r="A1531" s="0" t="s">
        <v>810</v>
      </c>
      <c r="B1531" s="6" t="n">
        <v>42315</v>
      </c>
      <c r="C1531" s="7" t="s">
        <v>55</v>
      </c>
      <c r="D1531" s="7" t="s">
        <v>72</v>
      </c>
      <c r="E1531" s="7" t="s">
        <v>35</v>
      </c>
      <c r="F1531" s="0" t="n">
        <v>7.3</v>
      </c>
      <c r="G1531" s="0" t="n">
        <v>3.431</v>
      </c>
      <c r="H1531" s="0" t="n">
        <v>0</v>
      </c>
      <c r="I1531" s="7" t="n">
        <f aca="false">YEAR(B1531)</f>
        <v>2015</v>
      </c>
      <c r="J1531" s="0" t="str">
        <f aca="false">I1531&amp;"-Q"&amp;ROUNDUP(MONTH(B1531)/3,0)</f>
        <v>2015-Q4</v>
      </c>
    </row>
    <row r="1532" customFormat="false" ht="15" hidden="false" customHeight="false" outlineLevel="0" collapsed="false">
      <c r="A1532" s="0" t="s">
        <v>811</v>
      </c>
      <c r="B1532" s="6" t="n">
        <v>42089</v>
      </c>
      <c r="C1532" s="7" t="s">
        <v>29</v>
      </c>
      <c r="D1532" s="7" t="s">
        <v>37</v>
      </c>
      <c r="E1532" s="7" t="s">
        <v>35</v>
      </c>
      <c r="F1532" s="0" t="n">
        <v>74.352</v>
      </c>
      <c r="G1532" s="0" t="n">
        <v>23.235</v>
      </c>
      <c r="H1532" s="0" t="n">
        <v>0.2</v>
      </c>
      <c r="I1532" s="7" t="n">
        <f aca="false">YEAR(B1532)</f>
        <v>2015</v>
      </c>
      <c r="J1532" s="0" t="str">
        <f aca="false">I1532&amp;"-Q"&amp;ROUNDUP(MONTH(B1532)/3,0)</f>
        <v>2015-Q1</v>
      </c>
    </row>
    <row r="1533" customFormat="false" ht="15" hidden="false" customHeight="false" outlineLevel="0" collapsed="false">
      <c r="A1533" s="0" t="s">
        <v>812</v>
      </c>
      <c r="B1533" s="6" t="n">
        <v>42978</v>
      </c>
      <c r="C1533" s="7" t="s">
        <v>33</v>
      </c>
      <c r="D1533" s="7" t="s">
        <v>81</v>
      </c>
      <c r="E1533" s="7" t="s">
        <v>35</v>
      </c>
      <c r="F1533" s="0" t="n">
        <v>10.744</v>
      </c>
      <c r="G1533" s="0" t="n">
        <v>0.8058</v>
      </c>
      <c r="H1533" s="0" t="n">
        <v>0.2</v>
      </c>
      <c r="I1533" s="7" t="n">
        <f aca="false">YEAR(B1533)</f>
        <v>2017</v>
      </c>
      <c r="J1533" s="0" t="str">
        <f aca="false">I1533&amp;"-Q"&amp;ROUNDUP(MONTH(B1533)/3,0)</f>
        <v>2017-Q3</v>
      </c>
    </row>
    <row r="1534" customFormat="false" ht="15" hidden="false" customHeight="false" outlineLevel="0" collapsed="false">
      <c r="A1534" s="0" t="s">
        <v>812</v>
      </c>
      <c r="B1534" s="6" t="n">
        <v>42978</v>
      </c>
      <c r="C1534" s="7" t="s">
        <v>33</v>
      </c>
      <c r="D1534" s="7" t="s">
        <v>81</v>
      </c>
      <c r="E1534" s="7" t="s">
        <v>35</v>
      </c>
      <c r="F1534" s="0" t="n">
        <v>8.376</v>
      </c>
      <c r="G1534" s="0" t="n">
        <v>2.7222</v>
      </c>
      <c r="H1534" s="0" t="n">
        <v>0.2</v>
      </c>
      <c r="I1534" s="7" t="n">
        <f aca="false">YEAR(B1534)</f>
        <v>2017</v>
      </c>
      <c r="J1534" s="0" t="str">
        <f aca="false">I1534&amp;"-Q"&amp;ROUNDUP(MONTH(B1534)/3,0)</f>
        <v>2017-Q3</v>
      </c>
    </row>
    <row r="1535" customFormat="false" ht="15" hidden="false" customHeight="false" outlineLevel="0" collapsed="false">
      <c r="A1535" s="0" t="s">
        <v>813</v>
      </c>
      <c r="B1535" s="6" t="n">
        <v>42708</v>
      </c>
      <c r="C1535" s="7" t="s">
        <v>55</v>
      </c>
      <c r="D1535" s="7" t="s">
        <v>76</v>
      </c>
      <c r="E1535" s="7" t="s">
        <v>35</v>
      </c>
      <c r="F1535" s="0" t="n">
        <v>212.88</v>
      </c>
      <c r="G1535" s="0" t="n">
        <v>0</v>
      </c>
      <c r="H1535" s="0" t="n">
        <v>0</v>
      </c>
      <c r="I1535" s="7" t="n">
        <f aca="false">YEAR(B1535)</f>
        <v>2016</v>
      </c>
      <c r="J1535" s="0" t="str">
        <f aca="false">I1535&amp;"-Q"&amp;ROUNDUP(MONTH(B1535)/3,0)</f>
        <v>2016-Q4</v>
      </c>
    </row>
    <row r="1536" customFormat="false" ht="15" hidden="false" customHeight="false" outlineLevel="0" collapsed="false">
      <c r="A1536" s="0" t="s">
        <v>814</v>
      </c>
      <c r="B1536" s="6" t="n">
        <v>42776</v>
      </c>
      <c r="C1536" s="7" t="s">
        <v>33</v>
      </c>
      <c r="D1536" s="7" t="s">
        <v>34</v>
      </c>
      <c r="E1536" s="7" t="s">
        <v>31</v>
      </c>
      <c r="F1536" s="0" t="n">
        <v>203.983</v>
      </c>
      <c r="G1536" s="0" t="n">
        <v>16.7986</v>
      </c>
      <c r="H1536" s="0" t="n">
        <v>0.15</v>
      </c>
      <c r="I1536" s="7" t="n">
        <f aca="false">YEAR(B1536)</f>
        <v>2017</v>
      </c>
      <c r="J1536" s="0" t="str">
        <f aca="false">I1536&amp;"-Q"&amp;ROUNDUP(MONTH(B1536)/3,0)</f>
        <v>2017-Q1</v>
      </c>
    </row>
    <row r="1537" customFormat="false" ht="15" hidden="false" customHeight="false" outlineLevel="0" collapsed="false">
      <c r="A1537" s="0" t="s">
        <v>815</v>
      </c>
      <c r="B1537" s="6" t="n">
        <v>42672</v>
      </c>
      <c r="C1537" s="7" t="s">
        <v>55</v>
      </c>
      <c r="D1537" s="7" t="s">
        <v>161</v>
      </c>
      <c r="E1537" s="7" t="s">
        <v>35</v>
      </c>
      <c r="F1537" s="0" t="n">
        <v>40.74</v>
      </c>
      <c r="G1537" s="0" t="n">
        <v>0.4074</v>
      </c>
      <c r="H1537" s="0" t="n">
        <v>0</v>
      </c>
      <c r="I1537" s="7" t="n">
        <f aca="false">YEAR(B1537)</f>
        <v>2016</v>
      </c>
      <c r="J1537" s="0" t="str">
        <f aca="false">I1537&amp;"-Q"&amp;ROUNDUP(MONTH(B1537)/3,0)</f>
        <v>2016-Q4</v>
      </c>
    </row>
    <row r="1538" customFormat="false" ht="15" hidden="false" customHeight="false" outlineLevel="0" collapsed="false">
      <c r="A1538" s="0" t="s">
        <v>815</v>
      </c>
      <c r="B1538" s="6" t="n">
        <v>42672</v>
      </c>
      <c r="C1538" s="7" t="s">
        <v>55</v>
      </c>
      <c r="D1538" s="7" t="s">
        <v>161</v>
      </c>
      <c r="E1538" s="7" t="s">
        <v>35</v>
      </c>
      <c r="F1538" s="0" t="n">
        <v>11.67</v>
      </c>
      <c r="G1538" s="0" t="n">
        <v>3.0342</v>
      </c>
      <c r="H1538" s="0" t="n">
        <v>0</v>
      </c>
      <c r="I1538" s="7" t="n">
        <f aca="false">YEAR(B1538)</f>
        <v>2016</v>
      </c>
      <c r="J1538" s="0" t="str">
        <f aca="false">I1538&amp;"-Q"&amp;ROUNDUP(MONTH(B1538)/3,0)</f>
        <v>2016-Q4</v>
      </c>
    </row>
    <row r="1539" customFormat="false" ht="15" hidden="false" customHeight="false" outlineLevel="0" collapsed="false">
      <c r="A1539" s="0" t="s">
        <v>816</v>
      </c>
      <c r="B1539" s="6" t="n">
        <v>42993</v>
      </c>
      <c r="C1539" s="7" t="s">
        <v>55</v>
      </c>
      <c r="D1539" s="7" t="s">
        <v>225</v>
      </c>
      <c r="E1539" s="7" t="s">
        <v>39</v>
      </c>
      <c r="F1539" s="0" t="n">
        <v>39.99</v>
      </c>
      <c r="G1539" s="0" t="n">
        <v>11.5971</v>
      </c>
      <c r="H1539" s="0" t="n">
        <v>0</v>
      </c>
      <c r="I1539" s="7" t="n">
        <f aca="false">YEAR(B1539)</f>
        <v>2017</v>
      </c>
      <c r="J1539" s="0" t="str">
        <f aca="false">I1539&amp;"-Q"&amp;ROUNDUP(MONTH(B1539)/3,0)</f>
        <v>2017-Q3</v>
      </c>
    </row>
    <row r="1540" customFormat="false" ht="15" hidden="false" customHeight="false" outlineLevel="0" collapsed="false">
      <c r="A1540" s="0" t="s">
        <v>816</v>
      </c>
      <c r="B1540" s="6" t="n">
        <v>42993</v>
      </c>
      <c r="C1540" s="7" t="s">
        <v>55</v>
      </c>
      <c r="D1540" s="7" t="s">
        <v>225</v>
      </c>
      <c r="E1540" s="7" t="s">
        <v>35</v>
      </c>
      <c r="F1540" s="0" t="n">
        <v>16.28</v>
      </c>
      <c r="G1540" s="0" t="n">
        <v>6.512</v>
      </c>
      <c r="H1540" s="0" t="n">
        <v>0</v>
      </c>
      <c r="I1540" s="7" t="n">
        <f aca="false">YEAR(B1540)</f>
        <v>2017</v>
      </c>
      <c r="J1540" s="0" t="str">
        <f aca="false">I1540&amp;"-Q"&amp;ROUNDUP(MONTH(B1540)/3,0)</f>
        <v>2017-Q3</v>
      </c>
    </row>
    <row r="1541" customFormat="false" ht="15" hidden="false" customHeight="false" outlineLevel="0" collapsed="false">
      <c r="A1541" s="0" t="s">
        <v>816</v>
      </c>
      <c r="B1541" s="6" t="n">
        <v>42993</v>
      </c>
      <c r="C1541" s="7" t="s">
        <v>55</v>
      </c>
      <c r="D1541" s="7" t="s">
        <v>225</v>
      </c>
      <c r="E1541" s="7" t="s">
        <v>31</v>
      </c>
      <c r="F1541" s="0" t="n">
        <v>782.94</v>
      </c>
      <c r="G1541" s="0" t="n">
        <v>203.5644</v>
      </c>
      <c r="H1541" s="0" t="n">
        <v>0</v>
      </c>
      <c r="I1541" s="7" t="n">
        <f aca="false">YEAR(B1541)</f>
        <v>2017</v>
      </c>
      <c r="J1541" s="0" t="str">
        <f aca="false">I1541&amp;"-Q"&amp;ROUNDUP(MONTH(B1541)/3,0)</f>
        <v>2017-Q3</v>
      </c>
    </row>
    <row r="1542" customFormat="false" ht="15" hidden="false" customHeight="false" outlineLevel="0" collapsed="false">
      <c r="A1542" s="0" t="s">
        <v>816</v>
      </c>
      <c r="B1542" s="6" t="n">
        <v>42993</v>
      </c>
      <c r="C1542" s="7" t="s">
        <v>55</v>
      </c>
      <c r="D1542" s="7" t="s">
        <v>225</v>
      </c>
      <c r="E1542" s="7" t="s">
        <v>35</v>
      </c>
      <c r="F1542" s="0" t="n">
        <v>242.48</v>
      </c>
      <c r="G1542" s="0" t="n">
        <v>116.3904</v>
      </c>
      <c r="H1542" s="0" t="n">
        <v>0</v>
      </c>
      <c r="I1542" s="7" t="n">
        <f aca="false">YEAR(B1542)</f>
        <v>2017</v>
      </c>
      <c r="J1542" s="0" t="str">
        <f aca="false">I1542&amp;"-Q"&amp;ROUNDUP(MONTH(B1542)/3,0)</f>
        <v>2017-Q3</v>
      </c>
    </row>
    <row r="1543" customFormat="false" ht="15" hidden="false" customHeight="false" outlineLevel="0" collapsed="false">
      <c r="A1543" s="0" t="s">
        <v>817</v>
      </c>
      <c r="B1543" s="6" t="n">
        <v>41709</v>
      </c>
      <c r="C1543" s="7" t="s">
        <v>55</v>
      </c>
      <c r="D1543" s="7" t="s">
        <v>116</v>
      </c>
      <c r="E1543" s="7" t="s">
        <v>31</v>
      </c>
      <c r="F1543" s="0" t="n">
        <v>8.32</v>
      </c>
      <c r="G1543" s="0" t="n">
        <v>2.288</v>
      </c>
      <c r="H1543" s="0" t="n">
        <v>0.2</v>
      </c>
      <c r="I1543" s="7" t="n">
        <f aca="false">YEAR(B1543)</f>
        <v>2014</v>
      </c>
      <c r="J1543" s="0" t="str">
        <f aca="false">I1543&amp;"-Q"&amp;ROUNDUP(MONTH(B1543)/3,0)</f>
        <v>2014-Q1</v>
      </c>
    </row>
    <row r="1544" customFormat="false" ht="15" hidden="false" customHeight="false" outlineLevel="0" collapsed="false">
      <c r="A1544" s="0" t="s">
        <v>817</v>
      </c>
      <c r="B1544" s="6" t="n">
        <v>41709</v>
      </c>
      <c r="C1544" s="7" t="s">
        <v>55</v>
      </c>
      <c r="D1544" s="7" t="s">
        <v>116</v>
      </c>
      <c r="E1544" s="7" t="s">
        <v>35</v>
      </c>
      <c r="F1544" s="0" t="n">
        <v>10.464</v>
      </c>
      <c r="G1544" s="0" t="n">
        <v>1.7004</v>
      </c>
      <c r="H1544" s="0" t="n">
        <v>0.2</v>
      </c>
      <c r="I1544" s="7" t="n">
        <f aca="false">YEAR(B1544)</f>
        <v>2014</v>
      </c>
      <c r="J1544" s="0" t="str">
        <f aca="false">I1544&amp;"-Q"&amp;ROUNDUP(MONTH(B1544)/3,0)</f>
        <v>2014-Q1</v>
      </c>
    </row>
    <row r="1545" customFormat="false" ht="15" hidden="false" customHeight="false" outlineLevel="0" collapsed="false">
      <c r="A1545" s="0" t="s">
        <v>818</v>
      </c>
      <c r="B1545" s="6" t="n">
        <v>41674</v>
      </c>
      <c r="C1545" s="7" t="s">
        <v>33</v>
      </c>
      <c r="D1545" s="7" t="s">
        <v>34</v>
      </c>
      <c r="E1545" s="7" t="s">
        <v>35</v>
      </c>
      <c r="F1545" s="0" t="n">
        <v>82.896</v>
      </c>
      <c r="G1545" s="0" t="n">
        <v>29.0136</v>
      </c>
      <c r="H1545" s="0" t="n">
        <v>0.2</v>
      </c>
      <c r="I1545" s="7" t="n">
        <f aca="false">YEAR(B1545)</f>
        <v>2014</v>
      </c>
      <c r="J1545" s="0" t="str">
        <f aca="false">I1545&amp;"-Q"&amp;ROUNDUP(MONTH(B1545)/3,0)</f>
        <v>2014-Q1</v>
      </c>
    </row>
    <row r="1546" customFormat="false" ht="15" hidden="false" customHeight="false" outlineLevel="0" collapsed="false">
      <c r="A1546" s="0" t="s">
        <v>818</v>
      </c>
      <c r="B1546" s="6" t="n">
        <v>41674</v>
      </c>
      <c r="C1546" s="7" t="s">
        <v>33</v>
      </c>
      <c r="D1546" s="7" t="s">
        <v>34</v>
      </c>
      <c r="E1546" s="7" t="s">
        <v>35</v>
      </c>
      <c r="F1546" s="0" t="n">
        <v>34.24</v>
      </c>
      <c r="G1546" s="0" t="n">
        <v>16.0928</v>
      </c>
      <c r="H1546" s="0" t="n">
        <v>0</v>
      </c>
      <c r="I1546" s="7" t="n">
        <f aca="false">YEAR(B1546)</f>
        <v>2014</v>
      </c>
      <c r="J1546" s="0" t="str">
        <f aca="false">I1546&amp;"-Q"&amp;ROUNDUP(MONTH(B1546)/3,0)</f>
        <v>2014-Q1</v>
      </c>
    </row>
    <row r="1547" customFormat="false" ht="15" hidden="false" customHeight="false" outlineLevel="0" collapsed="false">
      <c r="A1547" s="0" t="s">
        <v>819</v>
      </c>
      <c r="B1547" s="6" t="n">
        <v>42004</v>
      </c>
      <c r="C1547" s="7" t="s">
        <v>55</v>
      </c>
      <c r="D1547" s="7" t="s">
        <v>76</v>
      </c>
      <c r="E1547" s="7" t="s">
        <v>31</v>
      </c>
      <c r="F1547" s="0" t="n">
        <v>1573.488</v>
      </c>
      <c r="G1547" s="0" t="n">
        <v>196.686</v>
      </c>
      <c r="H1547" s="0" t="n">
        <v>0.2</v>
      </c>
      <c r="I1547" s="7" t="n">
        <f aca="false">YEAR(B1547)</f>
        <v>2014</v>
      </c>
      <c r="J1547" s="0" t="str">
        <f aca="false">I1547&amp;"-Q"&amp;ROUNDUP(MONTH(B1547)/3,0)</f>
        <v>2014-Q4</v>
      </c>
    </row>
    <row r="1548" customFormat="false" ht="15" hidden="false" customHeight="false" outlineLevel="0" collapsed="false">
      <c r="A1548" s="0" t="s">
        <v>820</v>
      </c>
      <c r="B1548" s="6" t="n">
        <v>42331</v>
      </c>
      <c r="C1548" s="7" t="s">
        <v>45</v>
      </c>
      <c r="D1548" s="7" t="s">
        <v>46</v>
      </c>
      <c r="E1548" s="7" t="s">
        <v>35</v>
      </c>
      <c r="F1548" s="0" t="n">
        <v>335.52</v>
      </c>
      <c r="G1548" s="0" t="n">
        <v>117.432</v>
      </c>
      <c r="H1548" s="0" t="n">
        <v>0.2</v>
      </c>
      <c r="I1548" s="7" t="n">
        <f aca="false">YEAR(B1548)</f>
        <v>2015</v>
      </c>
      <c r="J1548" s="0" t="str">
        <f aca="false">I1548&amp;"-Q"&amp;ROUNDUP(MONTH(B1548)/3,0)</f>
        <v>2015-Q4</v>
      </c>
    </row>
    <row r="1549" customFormat="false" ht="15" hidden="false" customHeight="false" outlineLevel="0" collapsed="false">
      <c r="A1549" s="0" t="s">
        <v>820</v>
      </c>
      <c r="B1549" s="6" t="n">
        <v>42331</v>
      </c>
      <c r="C1549" s="7" t="s">
        <v>45</v>
      </c>
      <c r="D1549" s="7" t="s">
        <v>46</v>
      </c>
      <c r="E1549" s="7" t="s">
        <v>35</v>
      </c>
      <c r="F1549" s="0" t="n">
        <v>23.912</v>
      </c>
      <c r="G1549" s="0" t="n">
        <v>-40.6504</v>
      </c>
      <c r="H1549" s="0" t="n">
        <v>0.8</v>
      </c>
      <c r="I1549" s="7" t="n">
        <f aca="false">YEAR(B1549)</f>
        <v>2015</v>
      </c>
      <c r="J1549" s="0" t="str">
        <f aca="false">I1549&amp;"-Q"&amp;ROUNDUP(MONTH(B1549)/3,0)</f>
        <v>2015-Q4</v>
      </c>
    </row>
    <row r="1550" customFormat="false" ht="15" hidden="false" customHeight="false" outlineLevel="0" collapsed="false">
      <c r="A1550" s="0" t="s">
        <v>820</v>
      </c>
      <c r="B1550" s="6" t="n">
        <v>42331</v>
      </c>
      <c r="C1550" s="7" t="s">
        <v>45</v>
      </c>
      <c r="D1550" s="7" t="s">
        <v>46</v>
      </c>
      <c r="E1550" s="7" t="s">
        <v>35</v>
      </c>
      <c r="F1550" s="0" t="n">
        <v>27.056</v>
      </c>
      <c r="G1550" s="0" t="n">
        <v>2.3674</v>
      </c>
      <c r="H1550" s="0" t="n">
        <v>0.2</v>
      </c>
      <c r="I1550" s="7" t="n">
        <f aca="false">YEAR(B1550)</f>
        <v>2015</v>
      </c>
      <c r="J1550" s="0" t="str">
        <f aca="false">I1550&amp;"-Q"&amp;ROUNDUP(MONTH(B1550)/3,0)</f>
        <v>2015-Q4</v>
      </c>
    </row>
    <row r="1551" customFormat="false" ht="15" hidden="false" customHeight="false" outlineLevel="0" collapsed="false">
      <c r="A1551" s="0" t="s">
        <v>821</v>
      </c>
      <c r="B1551" s="6" t="n">
        <v>41826</v>
      </c>
      <c r="C1551" s="7" t="s">
        <v>55</v>
      </c>
      <c r="D1551" s="7" t="s">
        <v>76</v>
      </c>
      <c r="E1551" s="7" t="s">
        <v>39</v>
      </c>
      <c r="F1551" s="0" t="n">
        <v>559.992</v>
      </c>
      <c r="G1551" s="0" t="n">
        <v>174.9975</v>
      </c>
      <c r="H1551" s="0" t="n">
        <v>0.2</v>
      </c>
      <c r="I1551" s="7" t="n">
        <f aca="false">YEAR(B1551)</f>
        <v>2014</v>
      </c>
      <c r="J1551" s="0" t="str">
        <f aca="false">I1551&amp;"-Q"&amp;ROUNDUP(MONTH(B1551)/3,0)</f>
        <v>2014-Q3</v>
      </c>
    </row>
    <row r="1552" customFormat="false" ht="15" hidden="false" customHeight="false" outlineLevel="0" collapsed="false">
      <c r="A1552" s="0" t="s">
        <v>822</v>
      </c>
      <c r="B1552" s="6" t="n">
        <v>43052</v>
      </c>
      <c r="C1552" s="7" t="s">
        <v>45</v>
      </c>
      <c r="D1552" s="7" t="s">
        <v>46</v>
      </c>
      <c r="E1552" s="7" t="s">
        <v>35</v>
      </c>
      <c r="F1552" s="0" t="n">
        <v>9.324</v>
      </c>
      <c r="G1552" s="0" t="n">
        <v>-24.7086</v>
      </c>
      <c r="H1552" s="0" t="n">
        <v>0.8</v>
      </c>
      <c r="I1552" s="7" t="n">
        <f aca="false">YEAR(B1552)</f>
        <v>2017</v>
      </c>
      <c r="J1552" s="0" t="str">
        <f aca="false">I1552&amp;"-Q"&amp;ROUNDUP(MONTH(B1552)/3,0)</f>
        <v>2017-Q4</v>
      </c>
    </row>
    <row r="1553" customFormat="false" ht="15" hidden="false" customHeight="false" outlineLevel="0" collapsed="false">
      <c r="A1553" s="0" t="s">
        <v>823</v>
      </c>
      <c r="B1553" s="6" t="n">
        <v>42538</v>
      </c>
      <c r="C1553" s="7" t="s">
        <v>33</v>
      </c>
      <c r="D1553" s="7" t="s">
        <v>34</v>
      </c>
      <c r="E1553" s="7" t="s">
        <v>35</v>
      </c>
      <c r="F1553" s="0" t="n">
        <v>111.96</v>
      </c>
      <c r="G1553" s="0" t="n">
        <v>54.8604</v>
      </c>
      <c r="H1553" s="0" t="n">
        <v>0</v>
      </c>
      <c r="I1553" s="7" t="n">
        <f aca="false">YEAR(B1553)</f>
        <v>2016</v>
      </c>
      <c r="J1553" s="0" t="str">
        <f aca="false">I1553&amp;"-Q"&amp;ROUNDUP(MONTH(B1553)/3,0)</f>
        <v>2016-Q2</v>
      </c>
    </row>
    <row r="1554" customFormat="false" ht="15" hidden="false" customHeight="false" outlineLevel="0" collapsed="false">
      <c r="A1554" s="0" t="s">
        <v>824</v>
      </c>
      <c r="B1554" s="6" t="n">
        <v>41762</v>
      </c>
      <c r="C1554" s="7" t="s">
        <v>45</v>
      </c>
      <c r="D1554" s="7" t="s">
        <v>48</v>
      </c>
      <c r="E1554" s="7" t="s">
        <v>35</v>
      </c>
      <c r="F1554" s="0" t="n">
        <v>21.56</v>
      </c>
      <c r="G1554" s="0" t="n">
        <v>10.3488</v>
      </c>
      <c r="H1554" s="0" t="n">
        <v>0</v>
      </c>
      <c r="I1554" s="7" t="n">
        <f aca="false">YEAR(B1554)</f>
        <v>2014</v>
      </c>
      <c r="J1554" s="0" t="str">
        <f aca="false">I1554&amp;"-Q"&amp;ROUNDUP(MONTH(B1554)/3,0)</f>
        <v>2014-Q2</v>
      </c>
    </row>
    <row r="1555" customFormat="false" ht="15" hidden="false" customHeight="false" outlineLevel="0" collapsed="false">
      <c r="A1555" s="0" t="s">
        <v>825</v>
      </c>
      <c r="B1555" s="6" t="n">
        <v>43024</v>
      </c>
      <c r="C1555" s="7" t="s">
        <v>29</v>
      </c>
      <c r="D1555" s="7" t="s">
        <v>30</v>
      </c>
      <c r="E1555" s="7" t="s">
        <v>35</v>
      </c>
      <c r="F1555" s="0" t="n">
        <v>124.75</v>
      </c>
      <c r="G1555" s="0" t="n">
        <v>57.385</v>
      </c>
      <c r="H1555" s="0" t="n">
        <v>0</v>
      </c>
      <c r="I1555" s="7" t="n">
        <f aca="false">YEAR(B1555)</f>
        <v>2017</v>
      </c>
      <c r="J1555" s="0" t="str">
        <f aca="false">I1555&amp;"-Q"&amp;ROUNDUP(MONTH(B1555)/3,0)</f>
        <v>2017-Q4</v>
      </c>
    </row>
    <row r="1556" customFormat="false" ht="15" hidden="false" customHeight="false" outlineLevel="0" collapsed="false">
      <c r="A1556" s="0" t="s">
        <v>826</v>
      </c>
      <c r="B1556" s="6" t="n">
        <v>42041</v>
      </c>
      <c r="C1556" s="7" t="s">
        <v>33</v>
      </c>
      <c r="D1556" s="7" t="s">
        <v>43</v>
      </c>
      <c r="E1556" s="7" t="s">
        <v>35</v>
      </c>
      <c r="F1556" s="0" t="n">
        <v>5.28</v>
      </c>
      <c r="G1556" s="0" t="n">
        <v>1.5312</v>
      </c>
      <c r="H1556" s="0" t="n">
        <v>0</v>
      </c>
      <c r="I1556" s="7" t="n">
        <f aca="false">YEAR(B1556)</f>
        <v>2015</v>
      </c>
      <c r="J1556" s="0" t="str">
        <f aca="false">I1556&amp;"-Q"&amp;ROUNDUP(MONTH(B1556)/3,0)</f>
        <v>2015-Q1</v>
      </c>
    </row>
    <row r="1557" customFormat="false" ht="15" hidden="false" customHeight="false" outlineLevel="0" collapsed="false">
      <c r="A1557" s="0" t="s">
        <v>827</v>
      </c>
      <c r="B1557" s="6" t="n">
        <v>42982</v>
      </c>
      <c r="C1557" s="7" t="s">
        <v>55</v>
      </c>
      <c r="D1557" s="7" t="s">
        <v>76</v>
      </c>
      <c r="E1557" s="7" t="s">
        <v>39</v>
      </c>
      <c r="F1557" s="0" t="n">
        <v>91.96</v>
      </c>
      <c r="G1557" s="0" t="n">
        <v>39.5428</v>
      </c>
      <c r="H1557" s="0" t="n">
        <v>0</v>
      </c>
      <c r="I1557" s="7" t="n">
        <f aca="false">YEAR(B1557)</f>
        <v>2017</v>
      </c>
      <c r="J1557" s="0" t="str">
        <f aca="false">I1557&amp;"-Q"&amp;ROUNDUP(MONTH(B1557)/3,0)</f>
        <v>2017-Q3</v>
      </c>
    </row>
    <row r="1558" customFormat="false" ht="15" hidden="false" customHeight="false" outlineLevel="0" collapsed="false">
      <c r="A1558" s="0" t="s">
        <v>828</v>
      </c>
      <c r="B1558" s="6" t="n">
        <v>42499</v>
      </c>
      <c r="C1558" s="7" t="s">
        <v>55</v>
      </c>
      <c r="D1558" s="7" t="s">
        <v>56</v>
      </c>
      <c r="E1558" s="7" t="s">
        <v>35</v>
      </c>
      <c r="F1558" s="0" t="n">
        <v>9.344</v>
      </c>
      <c r="G1558" s="0" t="n">
        <v>3.504</v>
      </c>
      <c r="H1558" s="0" t="n">
        <v>0.2</v>
      </c>
      <c r="I1558" s="7" t="n">
        <f aca="false">YEAR(B1558)</f>
        <v>2016</v>
      </c>
      <c r="J1558" s="0" t="str">
        <f aca="false">I1558&amp;"-Q"&amp;ROUNDUP(MONTH(B1558)/3,0)</f>
        <v>2016-Q2</v>
      </c>
    </row>
    <row r="1559" customFormat="false" ht="15" hidden="false" customHeight="false" outlineLevel="0" collapsed="false">
      <c r="A1559" s="0" t="s">
        <v>828</v>
      </c>
      <c r="B1559" s="6" t="n">
        <v>42499</v>
      </c>
      <c r="C1559" s="7" t="s">
        <v>55</v>
      </c>
      <c r="D1559" s="7" t="s">
        <v>56</v>
      </c>
      <c r="E1559" s="7" t="s">
        <v>35</v>
      </c>
      <c r="F1559" s="0" t="n">
        <v>79.36</v>
      </c>
      <c r="G1559" s="0" t="n">
        <v>9.92</v>
      </c>
      <c r="H1559" s="0" t="n">
        <v>0.2</v>
      </c>
      <c r="I1559" s="7" t="n">
        <f aca="false">YEAR(B1559)</f>
        <v>2016</v>
      </c>
      <c r="J1559" s="0" t="str">
        <f aca="false">I1559&amp;"-Q"&amp;ROUNDUP(MONTH(B1559)/3,0)</f>
        <v>2016-Q2</v>
      </c>
    </row>
    <row r="1560" customFormat="false" ht="15" hidden="false" customHeight="false" outlineLevel="0" collapsed="false">
      <c r="A1560" s="0" t="s">
        <v>829</v>
      </c>
      <c r="B1560" s="6" t="n">
        <v>42079</v>
      </c>
      <c r="C1560" s="7" t="s">
        <v>33</v>
      </c>
      <c r="D1560" s="7" t="s">
        <v>43</v>
      </c>
      <c r="E1560" s="7" t="s">
        <v>31</v>
      </c>
      <c r="F1560" s="0" t="n">
        <v>171.96</v>
      </c>
      <c r="G1560" s="0" t="n">
        <v>44.7096</v>
      </c>
      <c r="H1560" s="0" t="n">
        <v>0</v>
      </c>
      <c r="I1560" s="7" t="n">
        <f aca="false">YEAR(B1560)</f>
        <v>2015</v>
      </c>
      <c r="J1560" s="0" t="str">
        <f aca="false">I1560&amp;"-Q"&amp;ROUNDUP(MONTH(B1560)/3,0)</f>
        <v>2015-Q1</v>
      </c>
    </row>
    <row r="1561" customFormat="false" ht="15" hidden="false" customHeight="false" outlineLevel="0" collapsed="false">
      <c r="A1561" s="0" t="s">
        <v>830</v>
      </c>
      <c r="B1561" s="6" t="n">
        <v>42469</v>
      </c>
      <c r="C1561" s="7" t="s">
        <v>33</v>
      </c>
      <c r="D1561" s="7" t="s">
        <v>43</v>
      </c>
      <c r="E1561" s="7" t="s">
        <v>35</v>
      </c>
      <c r="F1561" s="0" t="n">
        <v>35.352</v>
      </c>
      <c r="G1561" s="0" t="n">
        <v>12.8151</v>
      </c>
      <c r="H1561" s="0" t="n">
        <v>0.2</v>
      </c>
      <c r="I1561" s="7" t="n">
        <f aca="false">YEAR(B1561)</f>
        <v>2016</v>
      </c>
      <c r="J1561" s="0" t="str">
        <f aca="false">I1561&amp;"-Q"&amp;ROUNDUP(MONTH(B1561)/3,0)</f>
        <v>2016-Q2</v>
      </c>
    </row>
    <row r="1562" customFormat="false" ht="15" hidden="false" customHeight="false" outlineLevel="0" collapsed="false">
      <c r="A1562" s="0" t="s">
        <v>831</v>
      </c>
      <c r="B1562" s="6" t="n">
        <v>41733</v>
      </c>
      <c r="C1562" s="7" t="s">
        <v>33</v>
      </c>
      <c r="D1562" s="7" t="s">
        <v>34</v>
      </c>
      <c r="E1562" s="7" t="s">
        <v>35</v>
      </c>
      <c r="F1562" s="0" t="n">
        <v>18.9</v>
      </c>
      <c r="G1562" s="0" t="n">
        <v>9.072</v>
      </c>
      <c r="H1562" s="0" t="n">
        <v>0</v>
      </c>
      <c r="I1562" s="7" t="n">
        <f aca="false">YEAR(B1562)</f>
        <v>2014</v>
      </c>
      <c r="J1562" s="0" t="str">
        <f aca="false">I1562&amp;"-Q"&amp;ROUNDUP(MONTH(B1562)/3,0)</f>
        <v>2014-Q2</v>
      </c>
    </row>
    <row r="1563" customFormat="false" ht="15" hidden="false" customHeight="false" outlineLevel="0" collapsed="false">
      <c r="A1563" s="0" t="s">
        <v>832</v>
      </c>
      <c r="B1563" s="6" t="n">
        <v>42983</v>
      </c>
      <c r="C1563" s="7" t="s">
        <v>33</v>
      </c>
      <c r="D1563" s="7" t="s">
        <v>43</v>
      </c>
      <c r="E1563" s="7" t="s">
        <v>35</v>
      </c>
      <c r="F1563" s="0" t="n">
        <v>2.78</v>
      </c>
      <c r="G1563" s="0" t="n">
        <v>0.7228</v>
      </c>
      <c r="H1563" s="0" t="n">
        <v>0</v>
      </c>
      <c r="I1563" s="7" t="n">
        <f aca="false">YEAR(B1563)</f>
        <v>2017</v>
      </c>
      <c r="J1563" s="0" t="str">
        <f aca="false">I1563&amp;"-Q"&amp;ROUNDUP(MONTH(B1563)/3,0)</f>
        <v>2017-Q3</v>
      </c>
    </row>
    <row r="1564" customFormat="false" ht="15" hidden="false" customHeight="false" outlineLevel="0" collapsed="false">
      <c r="A1564" s="0" t="s">
        <v>833</v>
      </c>
      <c r="B1564" s="6" t="n">
        <v>42916</v>
      </c>
      <c r="C1564" s="7" t="s">
        <v>55</v>
      </c>
      <c r="D1564" s="7" t="s">
        <v>76</v>
      </c>
      <c r="E1564" s="7" t="s">
        <v>31</v>
      </c>
      <c r="F1564" s="0" t="n">
        <v>1044.63</v>
      </c>
      <c r="G1564" s="0" t="n">
        <v>-295.9785</v>
      </c>
      <c r="H1564" s="0" t="n">
        <v>0.4</v>
      </c>
      <c r="I1564" s="7" t="n">
        <f aca="false">YEAR(B1564)</f>
        <v>2017</v>
      </c>
      <c r="J1564" s="0" t="str">
        <f aca="false">I1564&amp;"-Q"&amp;ROUNDUP(MONTH(B1564)/3,0)</f>
        <v>2017-Q2</v>
      </c>
    </row>
    <row r="1565" customFormat="false" ht="15" hidden="false" customHeight="false" outlineLevel="0" collapsed="false">
      <c r="A1565" s="0" t="s">
        <v>834</v>
      </c>
      <c r="B1565" s="6" t="n">
        <v>42317</v>
      </c>
      <c r="C1565" s="7" t="s">
        <v>55</v>
      </c>
      <c r="D1565" s="7" t="s">
        <v>56</v>
      </c>
      <c r="E1565" s="7" t="s">
        <v>35</v>
      </c>
      <c r="F1565" s="0" t="n">
        <v>11.352</v>
      </c>
      <c r="G1565" s="0" t="n">
        <v>4.1151</v>
      </c>
      <c r="H1565" s="0" t="n">
        <v>0.2</v>
      </c>
      <c r="I1565" s="7" t="n">
        <f aca="false">YEAR(B1565)</f>
        <v>2015</v>
      </c>
      <c r="J1565" s="0" t="str">
        <f aca="false">I1565&amp;"-Q"&amp;ROUNDUP(MONTH(B1565)/3,0)</f>
        <v>2015-Q4</v>
      </c>
    </row>
    <row r="1566" customFormat="false" ht="15" hidden="false" customHeight="false" outlineLevel="0" collapsed="false">
      <c r="A1566" s="0" t="s">
        <v>835</v>
      </c>
      <c r="B1566" s="6" t="n">
        <v>41702</v>
      </c>
      <c r="C1566" s="7" t="s">
        <v>29</v>
      </c>
      <c r="D1566" s="7" t="s">
        <v>96</v>
      </c>
      <c r="E1566" s="7" t="s">
        <v>35</v>
      </c>
      <c r="F1566" s="0" t="n">
        <v>354.9</v>
      </c>
      <c r="G1566" s="0" t="n">
        <v>17.745</v>
      </c>
      <c r="H1566" s="0" t="n">
        <v>0</v>
      </c>
      <c r="I1566" s="7" t="n">
        <f aca="false">YEAR(B1566)</f>
        <v>2014</v>
      </c>
      <c r="J1566" s="0" t="str">
        <f aca="false">I1566&amp;"-Q"&amp;ROUNDUP(MONTH(B1566)/3,0)</f>
        <v>2014-Q1</v>
      </c>
    </row>
    <row r="1567" customFormat="false" ht="15" hidden="false" customHeight="false" outlineLevel="0" collapsed="false">
      <c r="A1567" s="0" t="s">
        <v>836</v>
      </c>
      <c r="B1567" s="6" t="n">
        <v>42082</v>
      </c>
      <c r="C1567" s="7" t="s">
        <v>33</v>
      </c>
      <c r="D1567" s="7" t="s">
        <v>43</v>
      </c>
      <c r="E1567" s="7" t="s">
        <v>39</v>
      </c>
      <c r="F1567" s="0" t="n">
        <v>453.576</v>
      </c>
      <c r="G1567" s="0" t="n">
        <v>39.6879</v>
      </c>
      <c r="H1567" s="0" t="n">
        <v>0.2</v>
      </c>
      <c r="I1567" s="7" t="n">
        <f aca="false">YEAR(B1567)</f>
        <v>2015</v>
      </c>
      <c r="J1567" s="0" t="str">
        <f aca="false">I1567&amp;"-Q"&amp;ROUNDUP(MONTH(B1567)/3,0)</f>
        <v>2015-Q1</v>
      </c>
    </row>
    <row r="1568" customFormat="false" ht="15" hidden="false" customHeight="false" outlineLevel="0" collapsed="false">
      <c r="A1568" s="0" t="s">
        <v>837</v>
      </c>
      <c r="B1568" s="6" t="n">
        <v>42337</v>
      </c>
      <c r="C1568" s="7" t="s">
        <v>45</v>
      </c>
      <c r="D1568" s="7" t="s">
        <v>46</v>
      </c>
      <c r="E1568" s="7" t="s">
        <v>39</v>
      </c>
      <c r="F1568" s="0" t="n">
        <v>21.48</v>
      </c>
      <c r="G1568" s="0" t="n">
        <v>-0.2685</v>
      </c>
      <c r="H1568" s="0" t="n">
        <v>0.2</v>
      </c>
      <c r="I1568" s="7" t="n">
        <f aca="false">YEAR(B1568)</f>
        <v>2015</v>
      </c>
      <c r="J1568" s="0" t="str">
        <f aca="false">I1568&amp;"-Q"&amp;ROUNDUP(MONTH(B1568)/3,0)</f>
        <v>2015-Q4</v>
      </c>
    </row>
    <row r="1569" customFormat="false" ht="15" hidden="false" customHeight="false" outlineLevel="0" collapsed="false">
      <c r="A1569" s="0" t="s">
        <v>837</v>
      </c>
      <c r="B1569" s="6" t="n">
        <v>42337</v>
      </c>
      <c r="C1569" s="7" t="s">
        <v>45</v>
      </c>
      <c r="D1569" s="7" t="s">
        <v>46</v>
      </c>
      <c r="E1569" s="7" t="s">
        <v>35</v>
      </c>
      <c r="F1569" s="0" t="n">
        <v>8.784</v>
      </c>
      <c r="G1569" s="0" t="n">
        <v>-13.6152</v>
      </c>
      <c r="H1569" s="0" t="n">
        <v>0.8</v>
      </c>
      <c r="I1569" s="7" t="n">
        <f aca="false">YEAR(B1569)</f>
        <v>2015</v>
      </c>
      <c r="J1569" s="0" t="str">
        <f aca="false">I1569&amp;"-Q"&amp;ROUNDUP(MONTH(B1569)/3,0)</f>
        <v>2015-Q4</v>
      </c>
    </row>
    <row r="1570" customFormat="false" ht="15" hidden="false" customHeight="false" outlineLevel="0" collapsed="false">
      <c r="A1570" s="0" t="s">
        <v>838</v>
      </c>
      <c r="B1570" s="6" t="n">
        <v>42897</v>
      </c>
      <c r="C1570" s="7" t="s">
        <v>33</v>
      </c>
      <c r="D1570" s="7" t="s">
        <v>34</v>
      </c>
      <c r="E1570" s="7" t="s">
        <v>35</v>
      </c>
      <c r="F1570" s="0" t="n">
        <v>122.97</v>
      </c>
      <c r="G1570" s="0" t="n">
        <v>60.2553</v>
      </c>
      <c r="H1570" s="0" t="n">
        <v>0</v>
      </c>
      <c r="I1570" s="7" t="n">
        <f aca="false">YEAR(B1570)</f>
        <v>2017</v>
      </c>
      <c r="J1570" s="0" t="str">
        <f aca="false">I1570&amp;"-Q"&amp;ROUNDUP(MONTH(B1570)/3,0)</f>
        <v>2017-Q2</v>
      </c>
    </row>
    <row r="1571" customFormat="false" ht="15" hidden="false" customHeight="false" outlineLevel="0" collapsed="false">
      <c r="A1571" s="0" t="s">
        <v>839</v>
      </c>
      <c r="B1571" s="6" t="n">
        <v>43065</v>
      </c>
      <c r="C1571" s="7" t="s">
        <v>29</v>
      </c>
      <c r="D1571" s="7" t="s">
        <v>230</v>
      </c>
      <c r="E1571" s="7" t="s">
        <v>35</v>
      </c>
      <c r="F1571" s="0" t="n">
        <v>12.84</v>
      </c>
      <c r="G1571" s="0" t="n">
        <v>3.7236</v>
      </c>
      <c r="H1571" s="0" t="n">
        <v>0</v>
      </c>
      <c r="I1571" s="7" t="n">
        <f aca="false">YEAR(B1571)</f>
        <v>2017</v>
      </c>
      <c r="J1571" s="0" t="str">
        <f aca="false">I1571&amp;"-Q"&amp;ROUNDUP(MONTH(B1571)/3,0)</f>
        <v>2017-Q4</v>
      </c>
    </row>
    <row r="1572" customFormat="false" ht="15" hidden="false" customHeight="false" outlineLevel="0" collapsed="false">
      <c r="A1572" s="0" t="s">
        <v>840</v>
      </c>
      <c r="B1572" s="6" t="n">
        <v>41966</v>
      </c>
      <c r="C1572" s="7" t="s">
        <v>33</v>
      </c>
      <c r="D1572" s="7" t="s">
        <v>34</v>
      </c>
      <c r="E1572" s="7" t="s">
        <v>31</v>
      </c>
      <c r="F1572" s="0" t="n">
        <v>603.92</v>
      </c>
      <c r="G1572" s="0" t="n">
        <v>-67.941</v>
      </c>
      <c r="H1572" s="0" t="n">
        <v>0.2</v>
      </c>
      <c r="I1572" s="7" t="n">
        <f aca="false">YEAR(B1572)</f>
        <v>2014</v>
      </c>
      <c r="J1572" s="0" t="str">
        <f aca="false">I1572&amp;"-Q"&amp;ROUNDUP(MONTH(B1572)/3,0)</f>
        <v>2014-Q4</v>
      </c>
    </row>
    <row r="1573" customFormat="false" ht="15" hidden="false" customHeight="false" outlineLevel="0" collapsed="false">
      <c r="A1573" s="0" t="s">
        <v>840</v>
      </c>
      <c r="B1573" s="6" t="n">
        <v>41966</v>
      </c>
      <c r="C1573" s="7" t="s">
        <v>33</v>
      </c>
      <c r="D1573" s="7" t="s">
        <v>34</v>
      </c>
      <c r="E1573" s="7" t="s">
        <v>35</v>
      </c>
      <c r="F1573" s="0" t="n">
        <v>21.84</v>
      </c>
      <c r="G1573" s="0" t="n">
        <v>10.4832</v>
      </c>
      <c r="H1573" s="0" t="n">
        <v>0</v>
      </c>
      <c r="I1573" s="7" t="n">
        <f aca="false">YEAR(B1573)</f>
        <v>2014</v>
      </c>
      <c r="J1573" s="0" t="str">
        <f aca="false">I1573&amp;"-Q"&amp;ROUNDUP(MONTH(B1573)/3,0)</f>
        <v>2014-Q4</v>
      </c>
    </row>
    <row r="1574" customFormat="false" ht="15" hidden="false" customHeight="false" outlineLevel="0" collapsed="false">
      <c r="A1574" s="0" t="s">
        <v>840</v>
      </c>
      <c r="B1574" s="6" t="n">
        <v>41966</v>
      </c>
      <c r="C1574" s="7" t="s">
        <v>33</v>
      </c>
      <c r="D1574" s="7" t="s">
        <v>34</v>
      </c>
      <c r="E1574" s="7" t="s">
        <v>39</v>
      </c>
      <c r="F1574" s="0" t="n">
        <v>29.99</v>
      </c>
      <c r="G1574" s="0" t="n">
        <v>6.2979</v>
      </c>
      <c r="H1574" s="0" t="n">
        <v>0</v>
      </c>
      <c r="I1574" s="7" t="n">
        <f aca="false">YEAR(B1574)</f>
        <v>2014</v>
      </c>
      <c r="J1574" s="0" t="str">
        <f aca="false">I1574&amp;"-Q"&amp;ROUNDUP(MONTH(B1574)/3,0)</f>
        <v>2014-Q4</v>
      </c>
    </row>
    <row r="1575" customFormat="false" ht="15" hidden="false" customHeight="false" outlineLevel="0" collapsed="false">
      <c r="A1575" s="0" t="s">
        <v>840</v>
      </c>
      <c r="B1575" s="6" t="n">
        <v>41966</v>
      </c>
      <c r="C1575" s="7" t="s">
        <v>33</v>
      </c>
      <c r="D1575" s="7" t="s">
        <v>34</v>
      </c>
      <c r="E1575" s="7" t="s">
        <v>31</v>
      </c>
      <c r="F1575" s="0" t="n">
        <v>381.44</v>
      </c>
      <c r="G1575" s="0" t="n">
        <v>23.84</v>
      </c>
      <c r="H1575" s="0" t="n">
        <v>0.2</v>
      </c>
      <c r="I1575" s="7" t="n">
        <f aca="false">YEAR(B1575)</f>
        <v>2014</v>
      </c>
      <c r="J1575" s="0" t="str">
        <f aca="false">I1575&amp;"-Q"&amp;ROUNDUP(MONTH(B1575)/3,0)</f>
        <v>2014-Q4</v>
      </c>
    </row>
    <row r="1576" customFormat="false" ht="15" hidden="false" customHeight="false" outlineLevel="0" collapsed="false">
      <c r="A1576" s="0" t="s">
        <v>841</v>
      </c>
      <c r="B1576" s="6" t="n">
        <v>41988</v>
      </c>
      <c r="C1576" s="7" t="s">
        <v>45</v>
      </c>
      <c r="D1576" s="7" t="s">
        <v>46</v>
      </c>
      <c r="E1576" s="7" t="s">
        <v>39</v>
      </c>
      <c r="F1576" s="0" t="n">
        <v>40.68</v>
      </c>
      <c r="G1576" s="0" t="n">
        <v>-9.153</v>
      </c>
      <c r="H1576" s="0" t="n">
        <v>0.2</v>
      </c>
      <c r="I1576" s="7" t="n">
        <f aca="false">YEAR(B1576)</f>
        <v>2014</v>
      </c>
      <c r="J1576" s="0" t="str">
        <f aca="false">I1576&amp;"-Q"&amp;ROUNDUP(MONTH(B1576)/3,0)</f>
        <v>2014-Q4</v>
      </c>
    </row>
    <row r="1577" customFormat="false" ht="15" hidden="false" customHeight="false" outlineLevel="0" collapsed="false">
      <c r="A1577" s="0" t="s">
        <v>841</v>
      </c>
      <c r="B1577" s="6" t="n">
        <v>41988</v>
      </c>
      <c r="C1577" s="7" t="s">
        <v>45</v>
      </c>
      <c r="D1577" s="7" t="s">
        <v>46</v>
      </c>
      <c r="E1577" s="7" t="s">
        <v>31</v>
      </c>
      <c r="F1577" s="0" t="n">
        <v>763.28</v>
      </c>
      <c r="G1577" s="0" t="n">
        <v>-21.808</v>
      </c>
      <c r="H1577" s="0" t="n">
        <v>0.3</v>
      </c>
      <c r="I1577" s="7" t="n">
        <f aca="false">YEAR(B1577)</f>
        <v>2014</v>
      </c>
      <c r="J1577" s="0" t="str">
        <f aca="false">I1577&amp;"-Q"&amp;ROUNDUP(MONTH(B1577)/3,0)</f>
        <v>2014-Q4</v>
      </c>
    </row>
    <row r="1578" customFormat="false" ht="15" hidden="false" customHeight="false" outlineLevel="0" collapsed="false">
      <c r="A1578" s="0" t="s">
        <v>842</v>
      </c>
      <c r="B1578" s="6" t="n">
        <v>42482</v>
      </c>
      <c r="C1578" s="7" t="s">
        <v>45</v>
      </c>
      <c r="D1578" s="7" t="s">
        <v>64</v>
      </c>
      <c r="E1578" s="7" t="s">
        <v>35</v>
      </c>
      <c r="F1578" s="0" t="n">
        <v>23.952</v>
      </c>
      <c r="G1578" s="0" t="n">
        <v>2.3952</v>
      </c>
      <c r="H1578" s="0" t="n">
        <v>0.2</v>
      </c>
      <c r="I1578" s="7" t="n">
        <f aca="false">YEAR(B1578)</f>
        <v>2016</v>
      </c>
      <c r="J1578" s="0" t="str">
        <f aca="false">I1578&amp;"-Q"&amp;ROUNDUP(MONTH(B1578)/3,0)</f>
        <v>2016-Q2</v>
      </c>
    </row>
    <row r="1579" customFormat="false" ht="15" hidden="false" customHeight="false" outlineLevel="0" collapsed="false">
      <c r="A1579" s="0" t="s">
        <v>843</v>
      </c>
      <c r="B1579" s="6" t="n">
        <v>42513</v>
      </c>
      <c r="C1579" s="7" t="s">
        <v>29</v>
      </c>
      <c r="D1579" s="7" t="s">
        <v>91</v>
      </c>
      <c r="E1579" s="7" t="s">
        <v>35</v>
      </c>
      <c r="F1579" s="0" t="n">
        <v>4.98</v>
      </c>
      <c r="G1579" s="0" t="n">
        <v>2.4402</v>
      </c>
      <c r="H1579" s="0" t="n">
        <v>0</v>
      </c>
      <c r="I1579" s="7" t="n">
        <f aca="false">YEAR(B1579)</f>
        <v>2016</v>
      </c>
      <c r="J1579" s="0" t="str">
        <f aca="false">I1579&amp;"-Q"&amp;ROUNDUP(MONTH(B1579)/3,0)</f>
        <v>2016-Q2</v>
      </c>
    </row>
    <row r="1580" customFormat="false" ht="15" hidden="false" customHeight="false" outlineLevel="0" collapsed="false">
      <c r="A1580" s="0" t="s">
        <v>844</v>
      </c>
      <c r="B1580" s="6" t="n">
        <v>42427</v>
      </c>
      <c r="C1580" s="7" t="s">
        <v>55</v>
      </c>
      <c r="D1580" s="7" t="s">
        <v>76</v>
      </c>
      <c r="E1580" s="7" t="s">
        <v>35</v>
      </c>
      <c r="F1580" s="0" t="n">
        <v>170.88</v>
      </c>
      <c r="G1580" s="0" t="n">
        <v>49.5552</v>
      </c>
      <c r="H1580" s="0" t="n">
        <v>0</v>
      </c>
      <c r="I1580" s="7" t="n">
        <f aca="false">YEAR(B1580)</f>
        <v>2016</v>
      </c>
      <c r="J1580" s="0" t="str">
        <f aca="false">I1580&amp;"-Q"&amp;ROUNDUP(MONTH(B1580)/3,0)</f>
        <v>2016-Q1</v>
      </c>
    </row>
    <row r="1581" customFormat="false" ht="15" hidden="false" customHeight="false" outlineLevel="0" collapsed="false">
      <c r="A1581" s="0" t="s">
        <v>845</v>
      </c>
      <c r="B1581" s="6" t="n">
        <v>42225</v>
      </c>
      <c r="C1581" s="7" t="s">
        <v>55</v>
      </c>
      <c r="D1581" s="7" t="s">
        <v>76</v>
      </c>
      <c r="E1581" s="7" t="s">
        <v>39</v>
      </c>
      <c r="F1581" s="0" t="n">
        <v>307.98</v>
      </c>
      <c r="G1581" s="0" t="n">
        <v>89.3142</v>
      </c>
      <c r="H1581" s="0" t="n">
        <v>0</v>
      </c>
      <c r="I1581" s="7" t="n">
        <f aca="false">YEAR(B1581)</f>
        <v>2015</v>
      </c>
      <c r="J1581" s="0" t="str">
        <f aca="false">I1581&amp;"-Q"&amp;ROUNDUP(MONTH(B1581)/3,0)</f>
        <v>2015-Q3</v>
      </c>
    </row>
    <row r="1582" customFormat="false" ht="15" hidden="false" customHeight="false" outlineLevel="0" collapsed="false">
      <c r="A1582" s="0" t="s">
        <v>845</v>
      </c>
      <c r="B1582" s="6" t="n">
        <v>42225</v>
      </c>
      <c r="C1582" s="7" t="s">
        <v>55</v>
      </c>
      <c r="D1582" s="7" t="s">
        <v>76</v>
      </c>
      <c r="E1582" s="7" t="s">
        <v>31</v>
      </c>
      <c r="F1582" s="0" t="n">
        <v>382.806</v>
      </c>
      <c r="G1582" s="0" t="n">
        <v>-153.1224</v>
      </c>
      <c r="H1582" s="0" t="n">
        <v>0.4</v>
      </c>
      <c r="I1582" s="7" t="n">
        <f aca="false">YEAR(B1582)</f>
        <v>2015</v>
      </c>
      <c r="J1582" s="0" t="str">
        <f aca="false">I1582&amp;"-Q"&amp;ROUNDUP(MONTH(B1582)/3,0)</f>
        <v>2015-Q3</v>
      </c>
    </row>
    <row r="1583" customFormat="false" ht="15" hidden="false" customHeight="false" outlineLevel="0" collapsed="false">
      <c r="A1583" s="0" t="s">
        <v>845</v>
      </c>
      <c r="B1583" s="6" t="n">
        <v>42225</v>
      </c>
      <c r="C1583" s="7" t="s">
        <v>55</v>
      </c>
      <c r="D1583" s="7" t="s">
        <v>76</v>
      </c>
      <c r="E1583" s="7" t="s">
        <v>35</v>
      </c>
      <c r="F1583" s="0" t="n">
        <v>41.96</v>
      </c>
      <c r="G1583" s="0" t="n">
        <v>2.9372</v>
      </c>
      <c r="H1583" s="0" t="n">
        <v>0</v>
      </c>
      <c r="I1583" s="7" t="n">
        <f aca="false">YEAR(B1583)</f>
        <v>2015</v>
      </c>
      <c r="J1583" s="0" t="str">
        <f aca="false">I1583&amp;"-Q"&amp;ROUNDUP(MONTH(B1583)/3,0)</f>
        <v>2015-Q3</v>
      </c>
    </row>
    <row r="1584" customFormat="false" ht="15" hidden="false" customHeight="false" outlineLevel="0" collapsed="false">
      <c r="A1584" s="0" t="s">
        <v>845</v>
      </c>
      <c r="B1584" s="6" t="n">
        <v>42225</v>
      </c>
      <c r="C1584" s="7" t="s">
        <v>55</v>
      </c>
      <c r="D1584" s="7" t="s">
        <v>76</v>
      </c>
      <c r="E1584" s="7" t="s">
        <v>35</v>
      </c>
      <c r="F1584" s="0" t="n">
        <v>1217.568</v>
      </c>
      <c r="G1584" s="0" t="n">
        <v>456.588</v>
      </c>
      <c r="H1584" s="0" t="n">
        <v>0.2</v>
      </c>
      <c r="I1584" s="7" t="n">
        <f aca="false">YEAR(B1584)</f>
        <v>2015</v>
      </c>
      <c r="J1584" s="0" t="str">
        <f aca="false">I1584&amp;"-Q"&amp;ROUNDUP(MONTH(B1584)/3,0)</f>
        <v>2015-Q3</v>
      </c>
    </row>
    <row r="1585" customFormat="false" ht="15" hidden="false" customHeight="false" outlineLevel="0" collapsed="false">
      <c r="A1585" s="0" t="s">
        <v>845</v>
      </c>
      <c r="B1585" s="6" t="n">
        <v>42225</v>
      </c>
      <c r="C1585" s="7" t="s">
        <v>55</v>
      </c>
      <c r="D1585" s="7" t="s">
        <v>76</v>
      </c>
      <c r="E1585" s="7" t="s">
        <v>31</v>
      </c>
      <c r="F1585" s="0" t="n">
        <v>47.04</v>
      </c>
      <c r="G1585" s="0" t="n">
        <v>18.3456</v>
      </c>
      <c r="H1585" s="0" t="n">
        <v>0</v>
      </c>
      <c r="I1585" s="7" t="n">
        <f aca="false">YEAR(B1585)</f>
        <v>2015</v>
      </c>
      <c r="J1585" s="0" t="str">
        <f aca="false">I1585&amp;"-Q"&amp;ROUNDUP(MONTH(B1585)/3,0)</f>
        <v>2015-Q3</v>
      </c>
    </row>
    <row r="1586" customFormat="false" ht="15" hidden="false" customHeight="false" outlineLevel="0" collapsed="false">
      <c r="A1586" s="0" t="s">
        <v>845</v>
      </c>
      <c r="B1586" s="6" t="n">
        <v>42225</v>
      </c>
      <c r="C1586" s="7" t="s">
        <v>55</v>
      </c>
      <c r="D1586" s="7" t="s">
        <v>76</v>
      </c>
      <c r="E1586" s="7" t="s">
        <v>31</v>
      </c>
      <c r="F1586" s="0" t="n">
        <v>6.16</v>
      </c>
      <c r="G1586" s="0" t="n">
        <v>2.9568</v>
      </c>
      <c r="H1586" s="0" t="n">
        <v>0</v>
      </c>
      <c r="I1586" s="7" t="n">
        <f aca="false">YEAR(B1586)</f>
        <v>2015</v>
      </c>
      <c r="J1586" s="0" t="str">
        <f aca="false">I1586&amp;"-Q"&amp;ROUNDUP(MONTH(B1586)/3,0)</f>
        <v>2015-Q3</v>
      </c>
    </row>
    <row r="1587" customFormat="false" ht="15" hidden="false" customHeight="false" outlineLevel="0" collapsed="false">
      <c r="A1587" s="0" t="s">
        <v>845</v>
      </c>
      <c r="B1587" s="6" t="n">
        <v>42225</v>
      </c>
      <c r="C1587" s="7" t="s">
        <v>55</v>
      </c>
      <c r="D1587" s="7" t="s">
        <v>76</v>
      </c>
      <c r="E1587" s="7" t="s">
        <v>39</v>
      </c>
      <c r="F1587" s="0" t="n">
        <v>979.95</v>
      </c>
      <c r="G1587" s="0" t="n">
        <v>274.386</v>
      </c>
      <c r="H1587" s="0" t="n">
        <v>0</v>
      </c>
      <c r="I1587" s="7" t="n">
        <f aca="false">YEAR(B1587)</f>
        <v>2015</v>
      </c>
      <c r="J1587" s="0" t="str">
        <f aca="false">I1587&amp;"-Q"&amp;ROUNDUP(MONTH(B1587)/3,0)</f>
        <v>2015-Q3</v>
      </c>
    </row>
    <row r="1588" customFormat="false" ht="15" hidden="false" customHeight="false" outlineLevel="0" collapsed="false">
      <c r="A1588" s="0" t="s">
        <v>845</v>
      </c>
      <c r="B1588" s="6" t="n">
        <v>42225</v>
      </c>
      <c r="C1588" s="7" t="s">
        <v>55</v>
      </c>
      <c r="D1588" s="7" t="s">
        <v>76</v>
      </c>
      <c r="E1588" s="7" t="s">
        <v>35</v>
      </c>
      <c r="F1588" s="0" t="n">
        <v>143.7</v>
      </c>
      <c r="G1588" s="0" t="n">
        <v>68.976</v>
      </c>
      <c r="H1588" s="0" t="n">
        <v>0</v>
      </c>
      <c r="I1588" s="7" t="n">
        <f aca="false">YEAR(B1588)</f>
        <v>2015</v>
      </c>
      <c r="J1588" s="0" t="str">
        <f aca="false">I1588&amp;"-Q"&amp;ROUNDUP(MONTH(B1588)/3,0)</f>
        <v>2015-Q3</v>
      </c>
    </row>
    <row r="1589" customFormat="false" ht="15" hidden="false" customHeight="false" outlineLevel="0" collapsed="false">
      <c r="A1589" s="0" t="s">
        <v>845</v>
      </c>
      <c r="B1589" s="6" t="n">
        <v>42225</v>
      </c>
      <c r="C1589" s="7" t="s">
        <v>55</v>
      </c>
      <c r="D1589" s="7" t="s">
        <v>76</v>
      </c>
      <c r="E1589" s="7" t="s">
        <v>35</v>
      </c>
      <c r="F1589" s="0" t="n">
        <v>10.65</v>
      </c>
      <c r="G1589" s="0" t="n">
        <v>5.0055</v>
      </c>
      <c r="H1589" s="0" t="n">
        <v>0</v>
      </c>
      <c r="I1589" s="7" t="n">
        <f aca="false">YEAR(B1589)</f>
        <v>2015</v>
      </c>
      <c r="J1589" s="0" t="str">
        <f aca="false">I1589&amp;"-Q"&amp;ROUNDUP(MONTH(B1589)/3,0)</f>
        <v>2015-Q3</v>
      </c>
    </row>
    <row r="1590" customFormat="false" ht="15" hidden="false" customHeight="false" outlineLevel="0" collapsed="false">
      <c r="A1590" s="0" t="s">
        <v>845</v>
      </c>
      <c r="B1590" s="6" t="n">
        <v>42225</v>
      </c>
      <c r="C1590" s="7" t="s">
        <v>55</v>
      </c>
      <c r="D1590" s="7" t="s">
        <v>76</v>
      </c>
      <c r="E1590" s="7" t="s">
        <v>39</v>
      </c>
      <c r="F1590" s="0" t="n">
        <v>247.8</v>
      </c>
      <c r="G1590" s="0" t="n">
        <v>34.692</v>
      </c>
      <c r="H1590" s="0" t="n">
        <v>0</v>
      </c>
      <c r="I1590" s="7" t="n">
        <f aca="false">YEAR(B1590)</f>
        <v>2015</v>
      </c>
      <c r="J1590" s="0" t="str">
        <f aca="false">I1590&amp;"-Q"&amp;ROUNDUP(MONTH(B1590)/3,0)</f>
        <v>2015-Q3</v>
      </c>
    </row>
    <row r="1591" customFormat="false" ht="15" hidden="false" customHeight="false" outlineLevel="0" collapsed="false">
      <c r="A1591" s="0" t="s">
        <v>846</v>
      </c>
      <c r="B1591" s="6" t="n">
        <v>42502</v>
      </c>
      <c r="C1591" s="7" t="s">
        <v>29</v>
      </c>
      <c r="D1591" s="7" t="s">
        <v>83</v>
      </c>
      <c r="E1591" s="7" t="s">
        <v>35</v>
      </c>
      <c r="F1591" s="0" t="n">
        <v>10.96</v>
      </c>
      <c r="G1591" s="0" t="n">
        <v>2.9592</v>
      </c>
      <c r="H1591" s="0" t="n">
        <v>0</v>
      </c>
      <c r="I1591" s="7" t="n">
        <f aca="false">YEAR(B1591)</f>
        <v>2016</v>
      </c>
      <c r="J1591" s="0" t="str">
        <f aca="false">I1591&amp;"-Q"&amp;ROUNDUP(MONTH(B1591)/3,0)</f>
        <v>2016-Q2</v>
      </c>
    </row>
    <row r="1592" customFormat="false" ht="15" hidden="false" customHeight="false" outlineLevel="0" collapsed="false">
      <c r="A1592" s="0" t="s">
        <v>847</v>
      </c>
      <c r="B1592" s="6" t="n">
        <v>42475</v>
      </c>
      <c r="C1592" s="7" t="s">
        <v>45</v>
      </c>
      <c r="D1592" s="7" t="s">
        <v>46</v>
      </c>
      <c r="E1592" s="7" t="s">
        <v>35</v>
      </c>
      <c r="F1592" s="0" t="n">
        <v>33.488</v>
      </c>
      <c r="G1592" s="0" t="n">
        <v>5.8604</v>
      </c>
      <c r="H1592" s="0" t="n">
        <v>0.2</v>
      </c>
      <c r="I1592" s="7" t="n">
        <f aca="false">YEAR(B1592)</f>
        <v>2016</v>
      </c>
      <c r="J1592" s="0" t="str">
        <f aca="false">I1592&amp;"-Q"&amp;ROUNDUP(MONTH(B1592)/3,0)</f>
        <v>2016-Q2</v>
      </c>
    </row>
    <row r="1593" customFormat="false" ht="15" hidden="false" customHeight="false" outlineLevel="0" collapsed="false">
      <c r="A1593" s="0" t="s">
        <v>847</v>
      </c>
      <c r="B1593" s="6" t="n">
        <v>42475</v>
      </c>
      <c r="C1593" s="7" t="s">
        <v>45</v>
      </c>
      <c r="D1593" s="7" t="s">
        <v>46</v>
      </c>
      <c r="E1593" s="7" t="s">
        <v>35</v>
      </c>
      <c r="F1593" s="0" t="n">
        <v>8.04</v>
      </c>
      <c r="G1593" s="0" t="n">
        <v>2.9145</v>
      </c>
      <c r="H1593" s="0" t="n">
        <v>0.2</v>
      </c>
      <c r="I1593" s="7" t="n">
        <f aca="false">YEAR(B1593)</f>
        <v>2016</v>
      </c>
      <c r="J1593" s="0" t="str">
        <f aca="false">I1593&amp;"-Q"&amp;ROUNDUP(MONTH(B1593)/3,0)</f>
        <v>2016-Q2</v>
      </c>
    </row>
    <row r="1594" customFormat="false" ht="15" hidden="false" customHeight="false" outlineLevel="0" collapsed="false">
      <c r="A1594" s="0" t="s">
        <v>848</v>
      </c>
      <c r="B1594" s="6" t="n">
        <v>42178</v>
      </c>
      <c r="C1594" s="7" t="s">
        <v>33</v>
      </c>
      <c r="D1594" s="7" t="s">
        <v>43</v>
      </c>
      <c r="E1594" s="7" t="s">
        <v>39</v>
      </c>
      <c r="F1594" s="0" t="n">
        <v>201.568</v>
      </c>
      <c r="G1594" s="0" t="n">
        <v>22.6764</v>
      </c>
      <c r="H1594" s="0" t="n">
        <v>0.2</v>
      </c>
      <c r="I1594" s="7" t="n">
        <f aca="false">YEAR(B1594)</f>
        <v>2015</v>
      </c>
      <c r="J1594" s="0" t="str">
        <f aca="false">I1594&amp;"-Q"&amp;ROUNDUP(MONTH(B1594)/3,0)</f>
        <v>2015-Q2</v>
      </c>
    </row>
    <row r="1595" customFormat="false" ht="15" hidden="false" customHeight="false" outlineLevel="0" collapsed="false">
      <c r="A1595" s="0" t="s">
        <v>849</v>
      </c>
      <c r="B1595" s="6" t="n">
        <v>41931</v>
      </c>
      <c r="C1595" s="7" t="s">
        <v>33</v>
      </c>
      <c r="D1595" s="7" t="s">
        <v>34</v>
      </c>
      <c r="E1595" s="7" t="s">
        <v>35</v>
      </c>
      <c r="F1595" s="0" t="n">
        <v>13.44</v>
      </c>
      <c r="G1595" s="0" t="n">
        <v>6.5856</v>
      </c>
      <c r="H1595" s="0" t="n">
        <v>0</v>
      </c>
      <c r="I1595" s="7" t="n">
        <f aca="false">YEAR(B1595)</f>
        <v>2014</v>
      </c>
      <c r="J1595" s="0" t="str">
        <f aca="false">I1595&amp;"-Q"&amp;ROUNDUP(MONTH(B1595)/3,0)</f>
        <v>2014-Q4</v>
      </c>
    </row>
    <row r="1596" customFormat="false" ht="15" hidden="false" customHeight="false" outlineLevel="0" collapsed="false">
      <c r="A1596" s="0" t="s">
        <v>850</v>
      </c>
      <c r="B1596" s="6" t="n">
        <v>42087</v>
      </c>
      <c r="C1596" s="7" t="s">
        <v>45</v>
      </c>
      <c r="D1596" s="7" t="s">
        <v>64</v>
      </c>
      <c r="E1596" s="7" t="s">
        <v>31</v>
      </c>
      <c r="F1596" s="0" t="n">
        <v>359.058</v>
      </c>
      <c r="G1596" s="0" t="n">
        <v>-35.9058</v>
      </c>
      <c r="H1596" s="0" t="n">
        <v>0.3</v>
      </c>
      <c r="I1596" s="7" t="n">
        <f aca="false">YEAR(B1596)</f>
        <v>2015</v>
      </c>
      <c r="J1596" s="0" t="str">
        <f aca="false">I1596&amp;"-Q"&amp;ROUNDUP(MONTH(B1596)/3,0)</f>
        <v>2015-Q1</v>
      </c>
    </row>
    <row r="1597" customFormat="false" ht="15" hidden="false" customHeight="false" outlineLevel="0" collapsed="false">
      <c r="A1597" s="0" t="s">
        <v>851</v>
      </c>
      <c r="B1597" s="6" t="n">
        <v>42863</v>
      </c>
      <c r="C1597" s="7" t="s">
        <v>55</v>
      </c>
      <c r="D1597" s="7" t="s">
        <v>116</v>
      </c>
      <c r="E1597" s="7" t="s">
        <v>31</v>
      </c>
      <c r="F1597" s="0" t="n">
        <v>47.992</v>
      </c>
      <c r="G1597" s="0" t="n">
        <v>-2.0568</v>
      </c>
      <c r="H1597" s="0" t="n">
        <v>0.3</v>
      </c>
      <c r="I1597" s="7" t="n">
        <f aca="false">YEAR(B1597)</f>
        <v>2017</v>
      </c>
      <c r="J1597" s="0" t="str">
        <f aca="false">I1597&amp;"-Q"&amp;ROUNDUP(MONTH(B1597)/3,0)</f>
        <v>2017-Q2</v>
      </c>
    </row>
    <row r="1598" customFormat="false" ht="15" hidden="false" customHeight="false" outlineLevel="0" collapsed="false">
      <c r="A1598" s="0" t="s">
        <v>852</v>
      </c>
      <c r="B1598" s="6" t="n">
        <v>43024</v>
      </c>
      <c r="C1598" s="7" t="s">
        <v>55</v>
      </c>
      <c r="D1598" s="7" t="s">
        <v>76</v>
      </c>
      <c r="E1598" s="7" t="s">
        <v>31</v>
      </c>
      <c r="F1598" s="0" t="n">
        <v>547.3</v>
      </c>
      <c r="G1598" s="0" t="n">
        <v>175.136</v>
      </c>
      <c r="H1598" s="0" t="n">
        <v>0</v>
      </c>
      <c r="I1598" s="7" t="n">
        <f aca="false">YEAR(B1598)</f>
        <v>2017</v>
      </c>
      <c r="J1598" s="0" t="str">
        <f aca="false">I1598&amp;"-Q"&amp;ROUNDUP(MONTH(B1598)/3,0)</f>
        <v>2017-Q4</v>
      </c>
    </row>
    <row r="1599" customFormat="false" ht="15" hidden="false" customHeight="false" outlineLevel="0" collapsed="false">
      <c r="A1599" s="0" t="s">
        <v>853</v>
      </c>
      <c r="B1599" s="6" t="n">
        <v>43058</v>
      </c>
      <c r="C1599" s="7" t="s">
        <v>45</v>
      </c>
      <c r="D1599" s="7" t="s">
        <v>46</v>
      </c>
      <c r="E1599" s="7" t="s">
        <v>35</v>
      </c>
      <c r="F1599" s="0" t="n">
        <v>16.896</v>
      </c>
      <c r="G1599" s="0" t="n">
        <v>5.28</v>
      </c>
      <c r="H1599" s="0" t="n">
        <v>0.2</v>
      </c>
      <c r="I1599" s="7" t="n">
        <f aca="false">YEAR(B1599)</f>
        <v>2017</v>
      </c>
      <c r="J1599" s="0" t="str">
        <f aca="false">I1599&amp;"-Q"&amp;ROUNDUP(MONTH(B1599)/3,0)</f>
        <v>2017-Q4</v>
      </c>
    </row>
    <row r="1600" customFormat="false" ht="15" hidden="false" customHeight="false" outlineLevel="0" collapsed="false">
      <c r="A1600" s="0" t="s">
        <v>853</v>
      </c>
      <c r="B1600" s="6" t="n">
        <v>43058</v>
      </c>
      <c r="C1600" s="7" t="s">
        <v>45</v>
      </c>
      <c r="D1600" s="7" t="s">
        <v>46</v>
      </c>
      <c r="E1600" s="7" t="s">
        <v>35</v>
      </c>
      <c r="F1600" s="0" t="n">
        <v>6.672</v>
      </c>
      <c r="G1600" s="0" t="n">
        <v>0.5004</v>
      </c>
      <c r="H1600" s="0" t="n">
        <v>0.2</v>
      </c>
      <c r="I1600" s="7" t="n">
        <f aca="false">YEAR(B1600)</f>
        <v>2017</v>
      </c>
      <c r="J1600" s="0" t="str">
        <f aca="false">I1600&amp;"-Q"&amp;ROUNDUP(MONTH(B1600)/3,0)</f>
        <v>2017-Q4</v>
      </c>
    </row>
    <row r="1601" customFormat="false" ht="15" hidden="false" customHeight="false" outlineLevel="0" collapsed="false">
      <c r="A1601" s="0" t="s">
        <v>853</v>
      </c>
      <c r="B1601" s="6" t="n">
        <v>43058</v>
      </c>
      <c r="C1601" s="7" t="s">
        <v>45</v>
      </c>
      <c r="D1601" s="7" t="s">
        <v>46</v>
      </c>
      <c r="E1601" s="7" t="s">
        <v>35</v>
      </c>
      <c r="F1601" s="0" t="n">
        <v>99.136</v>
      </c>
      <c r="G1601" s="0" t="n">
        <v>8.6744</v>
      </c>
      <c r="H1601" s="0" t="n">
        <v>0.2</v>
      </c>
      <c r="I1601" s="7" t="n">
        <f aca="false">YEAR(B1601)</f>
        <v>2017</v>
      </c>
      <c r="J1601" s="0" t="str">
        <f aca="false">I1601&amp;"-Q"&amp;ROUNDUP(MONTH(B1601)/3,0)</f>
        <v>2017-Q4</v>
      </c>
    </row>
    <row r="1602" customFormat="false" ht="15" hidden="false" customHeight="false" outlineLevel="0" collapsed="false">
      <c r="A1602" s="0" t="s">
        <v>853</v>
      </c>
      <c r="B1602" s="6" t="n">
        <v>43058</v>
      </c>
      <c r="C1602" s="7" t="s">
        <v>45</v>
      </c>
      <c r="D1602" s="7" t="s">
        <v>46</v>
      </c>
      <c r="E1602" s="7" t="s">
        <v>31</v>
      </c>
      <c r="F1602" s="0" t="n">
        <v>15.992</v>
      </c>
      <c r="G1602" s="0" t="n">
        <v>-13.993</v>
      </c>
      <c r="H1602" s="0" t="n">
        <v>0.6</v>
      </c>
      <c r="I1602" s="7" t="n">
        <f aca="false">YEAR(B1602)</f>
        <v>2017</v>
      </c>
      <c r="J1602" s="0" t="str">
        <f aca="false">I1602&amp;"-Q"&amp;ROUNDUP(MONTH(B1602)/3,0)</f>
        <v>2017-Q4</v>
      </c>
    </row>
    <row r="1603" customFormat="false" ht="15" hidden="false" customHeight="false" outlineLevel="0" collapsed="false">
      <c r="A1603" s="0" t="s">
        <v>854</v>
      </c>
      <c r="B1603" s="6" t="n">
        <v>42498</v>
      </c>
      <c r="C1603" s="7" t="s">
        <v>55</v>
      </c>
      <c r="D1603" s="7" t="s">
        <v>72</v>
      </c>
      <c r="E1603" s="7" t="s">
        <v>31</v>
      </c>
      <c r="F1603" s="0" t="n">
        <v>211.96</v>
      </c>
      <c r="G1603" s="0" t="n">
        <v>42.392</v>
      </c>
      <c r="H1603" s="0" t="n">
        <v>0</v>
      </c>
      <c r="I1603" s="7" t="n">
        <f aca="false">YEAR(B1603)</f>
        <v>2016</v>
      </c>
      <c r="J1603" s="0" t="str">
        <f aca="false">I1603&amp;"-Q"&amp;ROUNDUP(MONTH(B1603)/3,0)</f>
        <v>2016-Q2</v>
      </c>
    </row>
    <row r="1604" customFormat="false" ht="15" hidden="false" customHeight="false" outlineLevel="0" collapsed="false">
      <c r="A1604" s="0" t="s">
        <v>855</v>
      </c>
      <c r="B1604" s="6" t="n">
        <v>42715</v>
      </c>
      <c r="C1604" s="7" t="s">
        <v>29</v>
      </c>
      <c r="D1604" s="7" t="s">
        <v>87</v>
      </c>
      <c r="E1604" s="7" t="s">
        <v>35</v>
      </c>
      <c r="F1604" s="0" t="n">
        <v>6.672</v>
      </c>
      <c r="G1604" s="0" t="n">
        <v>1.668</v>
      </c>
      <c r="H1604" s="0" t="n">
        <v>0.2</v>
      </c>
      <c r="I1604" s="7" t="n">
        <f aca="false">YEAR(B1604)</f>
        <v>2016</v>
      </c>
      <c r="J1604" s="0" t="str">
        <f aca="false">I1604&amp;"-Q"&amp;ROUNDUP(MONTH(B1604)/3,0)</f>
        <v>2016-Q4</v>
      </c>
    </row>
    <row r="1605" customFormat="false" ht="15" hidden="false" customHeight="false" outlineLevel="0" collapsed="false">
      <c r="A1605" s="0" t="s">
        <v>856</v>
      </c>
      <c r="B1605" s="6" t="n">
        <v>43069</v>
      </c>
      <c r="C1605" s="7" t="s">
        <v>55</v>
      </c>
      <c r="D1605" s="7" t="s">
        <v>72</v>
      </c>
      <c r="E1605" s="7" t="s">
        <v>35</v>
      </c>
      <c r="F1605" s="0" t="n">
        <v>155.94</v>
      </c>
      <c r="G1605" s="0" t="n">
        <v>45.2226</v>
      </c>
      <c r="H1605" s="0" t="n">
        <v>0</v>
      </c>
      <c r="I1605" s="7" t="n">
        <f aca="false">YEAR(B1605)</f>
        <v>2017</v>
      </c>
      <c r="J1605" s="0" t="str">
        <f aca="false">I1605&amp;"-Q"&amp;ROUNDUP(MONTH(B1605)/3,0)</f>
        <v>2017-Q4</v>
      </c>
    </row>
    <row r="1606" customFormat="false" ht="15" hidden="false" customHeight="false" outlineLevel="0" collapsed="false">
      <c r="A1606" s="0" t="s">
        <v>857</v>
      </c>
      <c r="B1606" s="6" t="n">
        <v>42479</v>
      </c>
      <c r="C1606" s="7" t="s">
        <v>33</v>
      </c>
      <c r="D1606" s="7" t="s">
        <v>34</v>
      </c>
      <c r="E1606" s="7" t="s">
        <v>39</v>
      </c>
      <c r="F1606" s="0" t="n">
        <v>39.96</v>
      </c>
      <c r="G1606" s="0" t="n">
        <v>12.987</v>
      </c>
      <c r="H1606" s="0" t="n">
        <v>0.2</v>
      </c>
      <c r="I1606" s="7" t="n">
        <f aca="false">YEAR(B1606)</f>
        <v>2016</v>
      </c>
      <c r="J1606" s="0" t="str">
        <f aca="false">I1606&amp;"-Q"&amp;ROUNDUP(MONTH(B1606)/3,0)</f>
        <v>2016-Q2</v>
      </c>
    </row>
    <row r="1607" customFormat="false" ht="15" hidden="false" customHeight="false" outlineLevel="0" collapsed="false">
      <c r="A1607" s="0" t="s">
        <v>857</v>
      </c>
      <c r="B1607" s="6" t="n">
        <v>42479</v>
      </c>
      <c r="C1607" s="7" t="s">
        <v>33</v>
      </c>
      <c r="D1607" s="7" t="s">
        <v>34</v>
      </c>
      <c r="E1607" s="7" t="s">
        <v>35</v>
      </c>
      <c r="F1607" s="0" t="n">
        <v>5.46</v>
      </c>
      <c r="G1607" s="0" t="n">
        <v>1.5288</v>
      </c>
      <c r="H1607" s="0" t="n">
        <v>0</v>
      </c>
      <c r="I1607" s="7" t="n">
        <f aca="false">YEAR(B1607)</f>
        <v>2016</v>
      </c>
      <c r="J1607" s="0" t="str">
        <f aca="false">I1607&amp;"-Q"&amp;ROUNDUP(MONTH(B1607)/3,0)</f>
        <v>2016-Q2</v>
      </c>
    </row>
    <row r="1608" customFormat="false" ht="15" hidden="false" customHeight="false" outlineLevel="0" collapsed="false">
      <c r="A1608" s="0" t="s">
        <v>857</v>
      </c>
      <c r="B1608" s="6" t="n">
        <v>42479</v>
      </c>
      <c r="C1608" s="7" t="s">
        <v>33</v>
      </c>
      <c r="D1608" s="7" t="s">
        <v>34</v>
      </c>
      <c r="E1608" s="7" t="s">
        <v>35</v>
      </c>
      <c r="F1608" s="0" t="n">
        <v>73.2</v>
      </c>
      <c r="G1608" s="0" t="n">
        <v>21.228</v>
      </c>
      <c r="H1608" s="0" t="n">
        <v>0</v>
      </c>
      <c r="I1608" s="7" t="n">
        <f aca="false">YEAR(B1608)</f>
        <v>2016</v>
      </c>
      <c r="J1608" s="0" t="str">
        <f aca="false">I1608&amp;"-Q"&amp;ROUNDUP(MONTH(B1608)/3,0)</f>
        <v>2016-Q2</v>
      </c>
    </row>
    <row r="1609" customFormat="false" ht="15" hidden="false" customHeight="false" outlineLevel="0" collapsed="false">
      <c r="A1609" s="0" t="s">
        <v>857</v>
      </c>
      <c r="B1609" s="6" t="n">
        <v>42479</v>
      </c>
      <c r="C1609" s="7" t="s">
        <v>33</v>
      </c>
      <c r="D1609" s="7" t="s">
        <v>34</v>
      </c>
      <c r="E1609" s="7" t="s">
        <v>35</v>
      </c>
      <c r="F1609" s="0" t="n">
        <v>5.84</v>
      </c>
      <c r="G1609" s="0" t="n">
        <v>1.971</v>
      </c>
      <c r="H1609" s="0" t="n">
        <v>0.2</v>
      </c>
      <c r="I1609" s="7" t="n">
        <f aca="false">YEAR(B1609)</f>
        <v>2016</v>
      </c>
      <c r="J1609" s="0" t="str">
        <f aca="false">I1609&amp;"-Q"&amp;ROUNDUP(MONTH(B1609)/3,0)</f>
        <v>2016-Q2</v>
      </c>
    </row>
    <row r="1610" customFormat="false" ht="15" hidden="false" customHeight="false" outlineLevel="0" collapsed="false">
      <c r="A1610" s="0" t="s">
        <v>857</v>
      </c>
      <c r="B1610" s="6" t="n">
        <v>42479</v>
      </c>
      <c r="C1610" s="7" t="s">
        <v>33</v>
      </c>
      <c r="D1610" s="7" t="s">
        <v>34</v>
      </c>
      <c r="E1610" s="7" t="s">
        <v>35</v>
      </c>
      <c r="F1610" s="0" t="n">
        <v>22.72</v>
      </c>
      <c r="G1610" s="0" t="n">
        <v>10.224</v>
      </c>
      <c r="H1610" s="0" t="n">
        <v>0</v>
      </c>
      <c r="I1610" s="7" t="n">
        <f aca="false">YEAR(B1610)</f>
        <v>2016</v>
      </c>
      <c r="J1610" s="0" t="str">
        <f aca="false">I1610&amp;"-Q"&amp;ROUNDUP(MONTH(B1610)/3,0)</f>
        <v>2016-Q2</v>
      </c>
    </row>
    <row r="1611" customFormat="false" ht="15" hidden="false" customHeight="false" outlineLevel="0" collapsed="false">
      <c r="A1611" s="0" t="s">
        <v>857</v>
      </c>
      <c r="B1611" s="6" t="n">
        <v>42479</v>
      </c>
      <c r="C1611" s="7" t="s">
        <v>33</v>
      </c>
      <c r="D1611" s="7" t="s">
        <v>34</v>
      </c>
      <c r="E1611" s="7" t="s">
        <v>35</v>
      </c>
      <c r="F1611" s="0" t="n">
        <v>9.336</v>
      </c>
      <c r="G1611" s="0" t="n">
        <v>3.2676</v>
      </c>
      <c r="H1611" s="0" t="n">
        <v>0.2</v>
      </c>
      <c r="I1611" s="7" t="n">
        <f aca="false">YEAR(B1611)</f>
        <v>2016</v>
      </c>
      <c r="J1611" s="0" t="str">
        <f aca="false">I1611&amp;"-Q"&amp;ROUNDUP(MONTH(B1611)/3,0)</f>
        <v>2016-Q2</v>
      </c>
    </row>
    <row r="1612" customFormat="false" ht="15" hidden="false" customHeight="false" outlineLevel="0" collapsed="false">
      <c r="A1612" s="0" t="s">
        <v>858</v>
      </c>
      <c r="B1612" s="6" t="n">
        <v>41785</v>
      </c>
      <c r="C1612" s="7" t="s">
        <v>33</v>
      </c>
      <c r="D1612" s="7" t="s">
        <v>34</v>
      </c>
      <c r="E1612" s="7" t="s">
        <v>31</v>
      </c>
      <c r="F1612" s="0" t="n">
        <v>290.666</v>
      </c>
      <c r="G1612" s="0" t="n">
        <v>27.3568</v>
      </c>
      <c r="H1612" s="0" t="n">
        <v>0.15</v>
      </c>
      <c r="I1612" s="7" t="n">
        <f aca="false">YEAR(B1612)</f>
        <v>2014</v>
      </c>
      <c r="J1612" s="0" t="str">
        <f aca="false">I1612&amp;"-Q"&amp;ROUNDUP(MONTH(B1612)/3,0)</f>
        <v>2014-Q2</v>
      </c>
    </row>
    <row r="1613" customFormat="false" ht="15" hidden="false" customHeight="false" outlineLevel="0" collapsed="false">
      <c r="A1613" s="0" t="s">
        <v>858</v>
      </c>
      <c r="B1613" s="6" t="n">
        <v>41785</v>
      </c>
      <c r="C1613" s="7" t="s">
        <v>33</v>
      </c>
      <c r="D1613" s="7" t="s">
        <v>34</v>
      </c>
      <c r="E1613" s="7" t="s">
        <v>39</v>
      </c>
      <c r="F1613" s="0" t="n">
        <v>201.584</v>
      </c>
      <c r="G1613" s="0" t="n">
        <v>20.1584</v>
      </c>
      <c r="H1613" s="0" t="n">
        <v>0.2</v>
      </c>
      <c r="I1613" s="7" t="n">
        <f aca="false">YEAR(B1613)</f>
        <v>2014</v>
      </c>
      <c r="J1613" s="0" t="str">
        <f aca="false">I1613&amp;"-Q"&amp;ROUNDUP(MONTH(B1613)/3,0)</f>
        <v>2014-Q2</v>
      </c>
    </row>
    <row r="1614" customFormat="false" ht="15" hidden="false" customHeight="false" outlineLevel="0" collapsed="false">
      <c r="A1614" s="0" t="s">
        <v>858</v>
      </c>
      <c r="B1614" s="6" t="n">
        <v>41785</v>
      </c>
      <c r="C1614" s="7" t="s">
        <v>33</v>
      </c>
      <c r="D1614" s="7" t="s">
        <v>34</v>
      </c>
      <c r="E1614" s="7" t="s">
        <v>39</v>
      </c>
      <c r="F1614" s="0" t="n">
        <v>83.984</v>
      </c>
      <c r="G1614" s="0" t="n">
        <v>31.494</v>
      </c>
      <c r="H1614" s="0" t="n">
        <v>0.2</v>
      </c>
      <c r="I1614" s="7" t="n">
        <f aca="false">YEAR(B1614)</f>
        <v>2014</v>
      </c>
      <c r="J1614" s="0" t="str">
        <f aca="false">I1614&amp;"-Q"&amp;ROUNDUP(MONTH(B1614)/3,0)</f>
        <v>2014-Q2</v>
      </c>
    </row>
    <row r="1615" customFormat="false" ht="15" hidden="false" customHeight="false" outlineLevel="0" collapsed="false">
      <c r="A1615" s="0" t="s">
        <v>859</v>
      </c>
      <c r="B1615" s="6" t="n">
        <v>43090</v>
      </c>
      <c r="C1615" s="7" t="s">
        <v>33</v>
      </c>
      <c r="D1615" s="7" t="s">
        <v>34</v>
      </c>
      <c r="E1615" s="7" t="s">
        <v>35</v>
      </c>
      <c r="F1615" s="0" t="n">
        <v>1000.02</v>
      </c>
      <c r="G1615" s="0" t="n">
        <v>290.0058</v>
      </c>
      <c r="H1615" s="0" t="n">
        <v>0</v>
      </c>
      <c r="I1615" s="7" t="n">
        <f aca="false">YEAR(B1615)</f>
        <v>2017</v>
      </c>
      <c r="J1615" s="0" t="str">
        <f aca="false">I1615&amp;"-Q"&amp;ROUNDUP(MONTH(B1615)/3,0)</f>
        <v>2017-Q4</v>
      </c>
    </row>
    <row r="1616" customFormat="false" ht="15" hidden="false" customHeight="false" outlineLevel="0" collapsed="false">
      <c r="A1616" s="0" t="s">
        <v>860</v>
      </c>
      <c r="B1616" s="6" t="n">
        <v>42444</v>
      </c>
      <c r="C1616" s="7" t="s">
        <v>55</v>
      </c>
      <c r="D1616" s="7" t="s">
        <v>56</v>
      </c>
      <c r="E1616" s="7" t="s">
        <v>39</v>
      </c>
      <c r="F1616" s="0" t="n">
        <v>83.976</v>
      </c>
      <c r="G1616" s="0" t="n">
        <v>-13.6461</v>
      </c>
      <c r="H1616" s="0" t="n">
        <v>0.2</v>
      </c>
      <c r="I1616" s="7" t="n">
        <f aca="false">YEAR(B1616)</f>
        <v>2016</v>
      </c>
      <c r="J1616" s="0" t="str">
        <f aca="false">I1616&amp;"-Q"&amp;ROUNDUP(MONTH(B1616)/3,0)</f>
        <v>2016-Q1</v>
      </c>
    </row>
    <row r="1617" customFormat="false" ht="15" hidden="false" customHeight="false" outlineLevel="0" collapsed="false">
      <c r="A1617" s="0" t="s">
        <v>861</v>
      </c>
      <c r="B1617" s="6" t="n">
        <v>42226</v>
      </c>
      <c r="C1617" s="7" t="s">
        <v>45</v>
      </c>
      <c r="D1617" s="7" t="s">
        <v>68</v>
      </c>
      <c r="E1617" s="7" t="s">
        <v>35</v>
      </c>
      <c r="F1617" s="0" t="n">
        <v>3.75</v>
      </c>
      <c r="G1617" s="0" t="n">
        <v>1.8</v>
      </c>
      <c r="H1617" s="0" t="n">
        <v>0</v>
      </c>
      <c r="I1617" s="7" t="n">
        <f aca="false">YEAR(B1617)</f>
        <v>2015</v>
      </c>
      <c r="J1617" s="0" t="str">
        <f aca="false">I1617&amp;"-Q"&amp;ROUNDUP(MONTH(B1617)/3,0)</f>
        <v>2015-Q3</v>
      </c>
    </row>
    <row r="1618" customFormat="false" ht="15" hidden="false" customHeight="false" outlineLevel="0" collapsed="false">
      <c r="A1618" s="0" t="s">
        <v>861</v>
      </c>
      <c r="B1618" s="6" t="n">
        <v>42226</v>
      </c>
      <c r="C1618" s="7" t="s">
        <v>45</v>
      </c>
      <c r="D1618" s="7" t="s">
        <v>68</v>
      </c>
      <c r="E1618" s="7" t="s">
        <v>35</v>
      </c>
      <c r="F1618" s="0" t="n">
        <v>41.4</v>
      </c>
      <c r="G1618" s="0" t="n">
        <v>19.872</v>
      </c>
      <c r="H1618" s="0" t="n">
        <v>0</v>
      </c>
      <c r="I1618" s="7" t="n">
        <f aca="false">YEAR(B1618)</f>
        <v>2015</v>
      </c>
      <c r="J1618" s="0" t="str">
        <f aca="false">I1618&amp;"-Q"&amp;ROUNDUP(MONTH(B1618)/3,0)</f>
        <v>2015-Q3</v>
      </c>
    </row>
    <row r="1619" customFormat="false" ht="15" hidden="false" customHeight="false" outlineLevel="0" collapsed="false">
      <c r="A1619" s="0" t="s">
        <v>861</v>
      </c>
      <c r="B1619" s="6" t="n">
        <v>42226</v>
      </c>
      <c r="C1619" s="7" t="s">
        <v>45</v>
      </c>
      <c r="D1619" s="7" t="s">
        <v>68</v>
      </c>
      <c r="E1619" s="7" t="s">
        <v>35</v>
      </c>
      <c r="F1619" s="0" t="n">
        <v>29.79</v>
      </c>
      <c r="G1619" s="0" t="n">
        <v>12.5118</v>
      </c>
      <c r="H1619" s="0" t="n">
        <v>0</v>
      </c>
      <c r="I1619" s="7" t="n">
        <f aca="false">YEAR(B1619)</f>
        <v>2015</v>
      </c>
      <c r="J1619" s="0" t="str">
        <f aca="false">I1619&amp;"-Q"&amp;ROUNDUP(MONTH(B1619)/3,0)</f>
        <v>2015-Q3</v>
      </c>
    </row>
    <row r="1620" customFormat="false" ht="15" hidden="false" customHeight="false" outlineLevel="0" collapsed="false">
      <c r="A1620" s="0" t="s">
        <v>862</v>
      </c>
      <c r="B1620" s="6" t="n">
        <v>42623</v>
      </c>
      <c r="C1620" s="7" t="s">
        <v>55</v>
      </c>
      <c r="D1620" s="7" t="s">
        <v>76</v>
      </c>
      <c r="E1620" s="7" t="s">
        <v>35</v>
      </c>
      <c r="F1620" s="0" t="n">
        <v>59.48</v>
      </c>
      <c r="G1620" s="0" t="n">
        <v>8.922</v>
      </c>
      <c r="H1620" s="0" t="n">
        <v>0</v>
      </c>
      <c r="I1620" s="7" t="n">
        <f aca="false">YEAR(B1620)</f>
        <v>2016</v>
      </c>
      <c r="J1620" s="0" t="str">
        <f aca="false">I1620&amp;"-Q"&amp;ROUNDUP(MONTH(B1620)/3,0)</f>
        <v>2016-Q3</v>
      </c>
    </row>
    <row r="1621" customFormat="false" ht="15" hidden="false" customHeight="false" outlineLevel="0" collapsed="false">
      <c r="A1621" s="0" t="s">
        <v>862</v>
      </c>
      <c r="B1621" s="6" t="n">
        <v>42623</v>
      </c>
      <c r="C1621" s="7" t="s">
        <v>55</v>
      </c>
      <c r="D1621" s="7" t="s">
        <v>76</v>
      </c>
      <c r="E1621" s="7" t="s">
        <v>35</v>
      </c>
      <c r="F1621" s="0" t="n">
        <v>6.69</v>
      </c>
      <c r="G1621" s="0" t="n">
        <v>3.0774</v>
      </c>
      <c r="H1621" s="0" t="n">
        <v>0</v>
      </c>
      <c r="I1621" s="7" t="n">
        <f aca="false">YEAR(B1621)</f>
        <v>2016</v>
      </c>
      <c r="J1621" s="0" t="str">
        <f aca="false">I1621&amp;"-Q"&amp;ROUNDUP(MONTH(B1621)/3,0)</f>
        <v>2016-Q3</v>
      </c>
    </row>
    <row r="1622" customFormat="false" ht="15" hidden="false" customHeight="false" outlineLevel="0" collapsed="false">
      <c r="A1622" s="0" t="s">
        <v>863</v>
      </c>
      <c r="B1622" s="6" t="n">
        <v>42924</v>
      </c>
      <c r="C1622" s="7" t="s">
        <v>33</v>
      </c>
      <c r="D1622" s="7" t="s">
        <v>43</v>
      </c>
      <c r="E1622" s="7" t="s">
        <v>31</v>
      </c>
      <c r="F1622" s="0" t="n">
        <v>198.46</v>
      </c>
      <c r="G1622" s="0" t="n">
        <v>99.23</v>
      </c>
      <c r="H1622" s="0" t="n">
        <v>0</v>
      </c>
      <c r="I1622" s="7" t="n">
        <f aca="false">YEAR(B1622)</f>
        <v>2017</v>
      </c>
      <c r="J1622" s="0" t="str">
        <f aca="false">I1622&amp;"-Q"&amp;ROUNDUP(MONTH(B1622)/3,0)</f>
        <v>2017-Q3</v>
      </c>
    </row>
    <row r="1623" customFormat="false" ht="15" hidden="false" customHeight="false" outlineLevel="0" collapsed="false">
      <c r="A1623" s="0" t="s">
        <v>863</v>
      </c>
      <c r="B1623" s="6" t="n">
        <v>42924</v>
      </c>
      <c r="C1623" s="7" t="s">
        <v>33</v>
      </c>
      <c r="D1623" s="7" t="s">
        <v>43</v>
      </c>
      <c r="E1623" s="7" t="s">
        <v>35</v>
      </c>
      <c r="F1623" s="0" t="n">
        <v>786.48</v>
      </c>
      <c r="G1623" s="0" t="n">
        <v>385.3752</v>
      </c>
      <c r="H1623" s="0" t="n">
        <v>0</v>
      </c>
      <c r="I1623" s="7" t="n">
        <f aca="false">YEAR(B1623)</f>
        <v>2017</v>
      </c>
      <c r="J1623" s="0" t="str">
        <f aca="false">I1623&amp;"-Q"&amp;ROUNDUP(MONTH(B1623)/3,0)</f>
        <v>2017-Q3</v>
      </c>
    </row>
    <row r="1624" customFormat="false" ht="15" hidden="false" customHeight="false" outlineLevel="0" collapsed="false">
      <c r="A1624" s="0" t="s">
        <v>863</v>
      </c>
      <c r="B1624" s="6" t="n">
        <v>42924</v>
      </c>
      <c r="C1624" s="7" t="s">
        <v>33</v>
      </c>
      <c r="D1624" s="7" t="s">
        <v>43</v>
      </c>
      <c r="E1624" s="7" t="s">
        <v>35</v>
      </c>
      <c r="F1624" s="0" t="n">
        <v>23.168</v>
      </c>
      <c r="G1624" s="0" t="n">
        <v>7.8192</v>
      </c>
      <c r="H1624" s="0" t="n">
        <v>0.2</v>
      </c>
      <c r="I1624" s="7" t="n">
        <f aca="false">YEAR(B1624)</f>
        <v>2017</v>
      </c>
      <c r="J1624" s="0" t="str">
        <f aca="false">I1624&amp;"-Q"&amp;ROUNDUP(MONTH(B1624)/3,0)</f>
        <v>2017-Q3</v>
      </c>
    </row>
    <row r="1625" customFormat="false" ht="15" hidden="false" customHeight="false" outlineLevel="0" collapsed="false">
      <c r="A1625" s="0" t="s">
        <v>863</v>
      </c>
      <c r="B1625" s="6" t="n">
        <v>42924</v>
      </c>
      <c r="C1625" s="7" t="s">
        <v>33</v>
      </c>
      <c r="D1625" s="7" t="s">
        <v>43</v>
      </c>
      <c r="E1625" s="7" t="s">
        <v>39</v>
      </c>
      <c r="F1625" s="0" t="n">
        <v>50</v>
      </c>
      <c r="G1625" s="0" t="n">
        <v>10.5</v>
      </c>
      <c r="H1625" s="0" t="n">
        <v>0</v>
      </c>
      <c r="I1625" s="7" t="n">
        <f aca="false">YEAR(B1625)</f>
        <v>2017</v>
      </c>
      <c r="J1625" s="0" t="str">
        <f aca="false">I1625&amp;"-Q"&amp;ROUNDUP(MONTH(B1625)/3,0)</f>
        <v>2017-Q3</v>
      </c>
    </row>
    <row r="1626" customFormat="false" ht="15" hidden="false" customHeight="false" outlineLevel="0" collapsed="false">
      <c r="A1626" s="0" t="s">
        <v>864</v>
      </c>
      <c r="B1626" s="6" t="n">
        <v>42357</v>
      </c>
      <c r="C1626" s="7" t="s">
        <v>33</v>
      </c>
      <c r="D1626" s="7" t="s">
        <v>34</v>
      </c>
      <c r="E1626" s="7" t="s">
        <v>39</v>
      </c>
      <c r="F1626" s="0" t="n">
        <v>675.96</v>
      </c>
      <c r="G1626" s="0" t="n">
        <v>84.495</v>
      </c>
      <c r="H1626" s="0" t="n">
        <v>0.2</v>
      </c>
      <c r="I1626" s="7" t="n">
        <f aca="false">YEAR(B1626)</f>
        <v>2015</v>
      </c>
      <c r="J1626" s="0" t="str">
        <f aca="false">I1626&amp;"-Q"&amp;ROUNDUP(MONTH(B1626)/3,0)</f>
        <v>2015-Q4</v>
      </c>
    </row>
    <row r="1627" customFormat="false" ht="15" hidden="false" customHeight="false" outlineLevel="0" collapsed="false">
      <c r="A1627" s="0" t="s">
        <v>864</v>
      </c>
      <c r="B1627" s="6" t="n">
        <v>42357</v>
      </c>
      <c r="C1627" s="7" t="s">
        <v>33</v>
      </c>
      <c r="D1627" s="7" t="s">
        <v>34</v>
      </c>
      <c r="E1627" s="7" t="s">
        <v>39</v>
      </c>
      <c r="F1627" s="0" t="n">
        <v>1265.85</v>
      </c>
      <c r="G1627" s="0" t="n">
        <v>556.974</v>
      </c>
      <c r="H1627" s="0" t="n">
        <v>0</v>
      </c>
      <c r="I1627" s="7" t="n">
        <f aca="false">YEAR(B1627)</f>
        <v>2015</v>
      </c>
      <c r="J1627" s="0" t="str">
        <f aca="false">I1627&amp;"-Q"&amp;ROUNDUP(MONTH(B1627)/3,0)</f>
        <v>2015-Q4</v>
      </c>
    </row>
    <row r="1628" customFormat="false" ht="15" hidden="false" customHeight="false" outlineLevel="0" collapsed="false">
      <c r="A1628" s="0" t="s">
        <v>865</v>
      </c>
      <c r="B1628" s="6" t="n">
        <v>42324</v>
      </c>
      <c r="C1628" s="7" t="s">
        <v>55</v>
      </c>
      <c r="D1628" s="7" t="s">
        <v>76</v>
      </c>
      <c r="E1628" s="7" t="s">
        <v>35</v>
      </c>
      <c r="F1628" s="0" t="n">
        <v>523.25</v>
      </c>
      <c r="G1628" s="0" t="n">
        <v>141.2775</v>
      </c>
      <c r="H1628" s="0" t="n">
        <v>0</v>
      </c>
      <c r="I1628" s="7" t="n">
        <f aca="false">YEAR(B1628)</f>
        <v>2015</v>
      </c>
      <c r="J1628" s="0" t="str">
        <f aca="false">I1628&amp;"-Q"&amp;ROUNDUP(MONTH(B1628)/3,0)</f>
        <v>2015-Q4</v>
      </c>
    </row>
    <row r="1629" customFormat="false" ht="15" hidden="false" customHeight="false" outlineLevel="0" collapsed="false">
      <c r="A1629" s="0" t="s">
        <v>866</v>
      </c>
      <c r="B1629" s="6" t="n">
        <v>42271</v>
      </c>
      <c r="C1629" s="7" t="s">
        <v>29</v>
      </c>
      <c r="D1629" s="7" t="s">
        <v>152</v>
      </c>
      <c r="E1629" s="7" t="s">
        <v>31</v>
      </c>
      <c r="F1629" s="0" t="n">
        <v>517.5</v>
      </c>
      <c r="G1629" s="0" t="n">
        <v>155.25</v>
      </c>
      <c r="H1629" s="0" t="n">
        <v>0</v>
      </c>
      <c r="I1629" s="7" t="n">
        <f aca="false">YEAR(B1629)</f>
        <v>2015</v>
      </c>
      <c r="J1629" s="0" t="str">
        <f aca="false">I1629&amp;"-Q"&amp;ROUNDUP(MONTH(B1629)/3,0)</f>
        <v>2015-Q3</v>
      </c>
    </row>
    <row r="1630" customFormat="false" ht="15" hidden="false" customHeight="false" outlineLevel="0" collapsed="false">
      <c r="A1630" s="0" t="s">
        <v>867</v>
      </c>
      <c r="B1630" s="6" t="n">
        <v>42907</v>
      </c>
      <c r="C1630" s="7" t="s">
        <v>55</v>
      </c>
      <c r="D1630" s="7" t="s">
        <v>116</v>
      </c>
      <c r="E1630" s="7" t="s">
        <v>31</v>
      </c>
      <c r="F1630" s="0" t="n">
        <v>17.92</v>
      </c>
      <c r="G1630" s="0" t="n">
        <v>2.464</v>
      </c>
      <c r="H1630" s="0" t="n">
        <v>0.2</v>
      </c>
      <c r="I1630" s="7" t="n">
        <f aca="false">YEAR(B1630)</f>
        <v>2017</v>
      </c>
      <c r="J1630" s="0" t="str">
        <f aca="false">I1630&amp;"-Q"&amp;ROUNDUP(MONTH(B1630)/3,0)</f>
        <v>2017-Q2</v>
      </c>
    </row>
    <row r="1631" customFormat="false" ht="15" hidden="false" customHeight="false" outlineLevel="0" collapsed="false">
      <c r="A1631" s="0" t="s">
        <v>867</v>
      </c>
      <c r="B1631" s="6" t="n">
        <v>42907</v>
      </c>
      <c r="C1631" s="7" t="s">
        <v>55</v>
      </c>
      <c r="D1631" s="7" t="s">
        <v>116</v>
      </c>
      <c r="E1631" s="7" t="s">
        <v>35</v>
      </c>
      <c r="F1631" s="0" t="n">
        <v>41.256</v>
      </c>
      <c r="G1631" s="0" t="n">
        <v>-34.38</v>
      </c>
      <c r="H1631" s="0" t="n">
        <v>0.7</v>
      </c>
      <c r="I1631" s="7" t="n">
        <f aca="false">YEAR(B1631)</f>
        <v>2017</v>
      </c>
      <c r="J1631" s="0" t="str">
        <f aca="false">I1631&amp;"-Q"&amp;ROUNDUP(MONTH(B1631)/3,0)</f>
        <v>2017-Q2</v>
      </c>
    </row>
    <row r="1632" customFormat="false" ht="15" hidden="false" customHeight="false" outlineLevel="0" collapsed="false">
      <c r="A1632" s="0" t="s">
        <v>868</v>
      </c>
      <c r="B1632" s="6" t="n">
        <v>42498</v>
      </c>
      <c r="C1632" s="7" t="s">
        <v>55</v>
      </c>
      <c r="D1632" s="7" t="s">
        <v>116</v>
      </c>
      <c r="E1632" s="7" t="s">
        <v>35</v>
      </c>
      <c r="F1632" s="0" t="n">
        <v>1006.056</v>
      </c>
      <c r="G1632" s="0" t="n">
        <v>88.0299</v>
      </c>
      <c r="H1632" s="0" t="n">
        <v>0.2</v>
      </c>
      <c r="I1632" s="7" t="n">
        <f aca="false">YEAR(B1632)</f>
        <v>2016</v>
      </c>
      <c r="J1632" s="0" t="str">
        <f aca="false">I1632&amp;"-Q"&amp;ROUNDUP(MONTH(B1632)/3,0)</f>
        <v>2016-Q2</v>
      </c>
    </row>
    <row r="1633" customFormat="false" ht="15" hidden="false" customHeight="false" outlineLevel="0" collapsed="false">
      <c r="A1633" s="0" t="s">
        <v>868</v>
      </c>
      <c r="B1633" s="6" t="n">
        <v>42498</v>
      </c>
      <c r="C1633" s="7" t="s">
        <v>55</v>
      </c>
      <c r="D1633" s="7" t="s">
        <v>116</v>
      </c>
      <c r="E1633" s="7" t="s">
        <v>35</v>
      </c>
      <c r="F1633" s="0" t="n">
        <v>10.688</v>
      </c>
      <c r="G1633" s="0" t="n">
        <v>3.7408</v>
      </c>
      <c r="H1633" s="0" t="n">
        <v>0.2</v>
      </c>
      <c r="I1633" s="7" t="n">
        <f aca="false">YEAR(B1633)</f>
        <v>2016</v>
      </c>
      <c r="J1633" s="0" t="str">
        <f aca="false">I1633&amp;"-Q"&amp;ROUNDUP(MONTH(B1633)/3,0)</f>
        <v>2016-Q2</v>
      </c>
    </row>
    <row r="1634" customFormat="false" ht="15" hidden="false" customHeight="false" outlineLevel="0" collapsed="false">
      <c r="A1634" s="0" t="s">
        <v>868</v>
      </c>
      <c r="B1634" s="6" t="n">
        <v>42498</v>
      </c>
      <c r="C1634" s="7" t="s">
        <v>55</v>
      </c>
      <c r="D1634" s="7" t="s">
        <v>116</v>
      </c>
      <c r="E1634" s="7" t="s">
        <v>35</v>
      </c>
      <c r="F1634" s="0" t="n">
        <v>10.368</v>
      </c>
      <c r="G1634" s="0" t="n">
        <v>3.6288</v>
      </c>
      <c r="H1634" s="0" t="n">
        <v>0.2</v>
      </c>
      <c r="I1634" s="7" t="n">
        <f aca="false">YEAR(B1634)</f>
        <v>2016</v>
      </c>
      <c r="J1634" s="0" t="str">
        <f aca="false">I1634&amp;"-Q"&amp;ROUNDUP(MONTH(B1634)/3,0)</f>
        <v>2016-Q2</v>
      </c>
    </row>
    <row r="1635" customFormat="false" ht="15" hidden="false" customHeight="false" outlineLevel="0" collapsed="false">
      <c r="A1635" s="0" t="s">
        <v>868</v>
      </c>
      <c r="B1635" s="6" t="n">
        <v>42498</v>
      </c>
      <c r="C1635" s="7" t="s">
        <v>55</v>
      </c>
      <c r="D1635" s="7" t="s">
        <v>116</v>
      </c>
      <c r="E1635" s="7" t="s">
        <v>35</v>
      </c>
      <c r="F1635" s="0" t="n">
        <v>25.12</v>
      </c>
      <c r="G1635" s="0" t="n">
        <v>1.57</v>
      </c>
      <c r="H1635" s="0" t="n">
        <v>0.2</v>
      </c>
      <c r="I1635" s="7" t="n">
        <f aca="false">YEAR(B1635)</f>
        <v>2016</v>
      </c>
      <c r="J1635" s="0" t="str">
        <f aca="false">I1635&amp;"-Q"&amp;ROUNDUP(MONTH(B1635)/3,0)</f>
        <v>2016-Q2</v>
      </c>
    </row>
    <row r="1636" customFormat="false" ht="15" hidden="false" customHeight="false" outlineLevel="0" collapsed="false">
      <c r="A1636" s="0" t="s">
        <v>868</v>
      </c>
      <c r="B1636" s="6" t="n">
        <v>42498</v>
      </c>
      <c r="C1636" s="7" t="s">
        <v>55</v>
      </c>
      <c r="D1636" s="7" t="s">
        <v>116</v>
      </c>
      <c r="E1636" s="7" t="s">
        <v>39</v>
      </c>
      <c r="F1636" s="0" t="n">
        <v>58.112</v>
      </c>
      <c r="G1636" s="0" t="n">
        <v>7.264</v>
      </c>
      <c r="H1636" s="0" t="n">
        <v>0.2</v>
      </c>
      <c r="I1636" s="7" t="n">
        <f aca="false">YEAR(B1636)</f>
        <v>2016</v>
      </c>
      <c r="J1636" s="0" t="str">
        <f aca="false">I1636&amp;"-Q"&amp;ROUNDUP(MONTH(B1636)/3,0)</f>
        <v>2016-Q2</v>
      </c>
    </row>
    <row r="1637" customFormat="false" ht="15" hidden="false" customHeight="false" outlineLevel="0" collapsed="false">
      <c r="A1637" s="0" t="s">
        <v>869</v>
      </c>
      <c r="B1637" s="6" t="n">
        <v>41969</v>
      </c>
      <c r="C1637" s="7" t="s">
        <v>33</v>
      </c>
      <c r="D1637" s="7" t="s">
        <v>102</v>
      </c>
      <c r="E1637" s="7" t="s">
        <v>35</v>
      </c>
      <c r="F1637" s="0" t="n">
        <v>15.552</v>
      </c>
      <c r="G1637" s="0" t="n">
        <v>5.4432</v>
      </c>
      <c r="H1637" s="0" t="n">
        <v>0.2</v>
      </c>
      <c r="I1637" s="7" t="n">
        <f aca="false">YEAR(B1637)</f>
        <v>2014</v>
      </c>
      <c r="J1637" s="0" t="str">
        <f aca="false">I1637&amp;"-Q"&amp;ROUNDUP(MONTH(B1637)/3,0)</f>
        <v>2014-Q4</v>
      </c>
    </row>
    <row r="1638" customFormat="false" ht="15" hidden="false" customHeight="false" outlineLevel="0" collapsed="false">
      <c r="A1638" s="0" t="s">
        <v>869</v>
      </c>
      <c r="B1638" s="6" t="n">
        <v>41969</v>
      </c>
      <c r="C1638" s="7" t="s">
        <v>33</v>
      </c>
      <c r="D1638" s="7" t="s">
        <v>102</v>
      </c>
      <c r="E1638" s="7" t="s">
        <v>35</v>
      </c>
      <c r="F1638" s="0" t="n">
        <v>669.08</v>
      </c>
      <c r="G1638" s="0" t="n">
        <v>-167.27</v>
      </c>
      <c r="H1638" s="0" t="n">
        <v>0.2</v>
      </c>
      <c r="I1638" s="7" t="n">
        <f aca="false">YEAR(B1638)</f>
        <v>2014</v>
      </c>
      <c r="J1638" s="0" t="str">
        <f aca="false">I1638&amp;"-Q"&amp;ROUNDUP(MONTH(B1638)/3,0)</f>
        <v>2014-Q4</v>
      </c>
    </row>
    <row r="1639" customFormat="false" ht="15" hidden="false" customHeight="false" outlineLevel="0" collapsed="false">
      <c r="A1639" s="0" t="s">
        <v>869</v>
      </c>
      <c r="B1639" s="6" t="n">
        <v>41969</v>
      </c>
      <c r="C1639" s="7" t="s">
        <v>33</v>
      </c>
      <c r="D1639" s="7" t="s">
        <v>102</v>
      </c>
      <c r="E1639" s="7" t="s">
        <v>39</v>
      </c>
      <c r="F1639" s="0" t="n">
        <v>438.336</v>
      </c>
      <c r="G1639" s="0" t="n">
        <v>-87.6672</v>
      </c>
      <c r="H1639" s="0" t="n">
        <v>0.2</v>
      </c>
      <c r="I1639" s="7" t="n">
        <f aca="false">YEAR(B1639)</f>
        <v>2014</v>
      </c>
      <c r="J1639" s="0" t="str">
        <f aca="false">I1639&amp;"-Q"&amp;ROUNDUP(MONTH(B1639)/3,0)</f>
        <v>2014-Q4</v>
      </c>
    </row>
    <row r="1640" customFormat="false" ht="15" hidden="false" customHeight="false" outlineLevel="0" collapsed="false">
      <c r="A1640" s="0" t="s">
        <v>870</v>
      </c>
      <c r="B1640" s="6" t="n">
        <v>42516</v>
      </c>
      <c r="C1640" s="7" t="s">
        <v>55</v>
      </c>
      <c r="D1640" s="7" t="s">
        <v>567</v>
      </c>
      <c r="E1640" s="7" t="s">
        <v>35</v>
      </c>
      <c r="F1640" s="0" t="n">
        <v>19.44</v>
      </c>
      <c r="G1640" s="0" t="n">
        <v>9.3312</v>
      </c>
      <c r="H1640" s="0" t="n">
        <v>0</v>
      </c>
      <c r="I1640" s="7" t="n">
        <f aca="false">YEAR(B1640)</f>
        <v>2016</v>
      </c>
      <c r="J1640" s="0" t="str">
        <f aca="false">I1640&amp;"-Q"&amp;ROUNDUP(MONTH(B1640)/3,0)</f>
        <v>2016-Q2</v>
      </c>
    </row>
    <row r="1641" customFormat="false" ht="15" hidden="false" customHeight="false" outlineLevel="0" collapsed="false">
      <c r="A1641" s="0" t="s">
        <v>870</v>
      </c>
      <c r="B1641" s="6" t="n">
        <v>42516</v>
      </c>
      <c r="C1641" s="7" t="s">
        <v>55</v>
      </c>
      <c r="D1641" s="7" t="s">
        <v>567</v>
      </c>
      <c r="E1641" s="7" t="s">
        <v>35</v>
      </c>
      <c r="F1641" s="0" t="n">
        <v>9.64</v>
      </c>
      <c r="G1641" s="0" t="n">
        <v>4.4344</v>
      </c>
      <c r="H1641" s="0" t="n">
        <v>0</v>
      </c>
      <c r="I1641" s="7" t="n">
        <f aca="false">YEAR(B1641)</f>
        <v>2016</v>
      </c>
      <c r="J1641" s="0" t="str">
        <f aca="false">I1641&amp;"-Q"&amp;ROUNDUP(MONTH(B1641)/3,0)</f>
        <v>2016-Q2</v>
      </c>
    </row>
    <row r="1642" customFormat="false" ht="15" hidden="false" customHeight="false" outlineLevel="0" collapsed="false">
      <c r="A1642" s="0" t="s">
        <v>870</v>
      </c>
      <c r="B1642" s="6" t="n">
        <v>42516</v>
      </c>
      <c r="C1642" s="7" t="s">
        <v>55</v>
      </c>
      <c r="D1642" s="7" t="s">
        <v>567</v>
      </c>
      <c r="E1642" s="7" t="s">
        <v>35</v>
      </c>
      <c r="F1642" s="0" t="n">
        <v>12.7</v>
      </c>
      <c r="G1642" s="0" t="n">
        <v>5.842</v>
      </c>
      <c r="H1642" s="0" t="n">
        <v>0</v>
      </c>
      <c r="I1642" s="7" t="n">
        <f aca="false">YEAR(B1642)</f>
        <v>2016</v>
      </c>
      <c r="J1642" s="0" t="str">
        <f aca="false">I1642&amp;"-Q"&amp;ROUNDUP(MONTH(B1642)/3,0)</f>
        <v>2016-Q2</v>
      </c>
    </row>
    <row r="1643" customFormat="false" ht="15" hidden="false" customHeight="false" outlineLevel="0" collapsed="false">
      <c r="A1643" s="0" t="s">
        <v>870</v>
      </c>
      <c r="B1643" s="6" t="n">
        <v>42516</v>
      </c>
      <c r="C1643" s="7" t="s">
        <v>55</v>
      </c>
      <c r="D1643" s="7" t="s">
        <v>567</v>
      </c>
      <c r="E1643" s="7" t="s">
        <v>31</v>
      </c>
      <c r="F1643" s="0" t="n">
        <v>41.37</v>
      </c>
      <c r="G1643" s="0" t="n">
        <v>17.3754</v>
      </c>
      <c r="H1643" s="0" t="n">
        <v>0</v>
      </c>
      <c r="I1643" s="7" t="n">
        <f aca="false">YEAR(B1643)</f>
        <v>2016</v>
      </c>
      <c r="J1643" s="0" t="str">
        <f aca="false">I1643&amp;"-Q"&amp;ROUNDUP(MONTH(B1643)/3,0)</f>
        <v>2016-Q2</v>
      </c>
    </row>
    <row r="1644" customFormat="false" ht="15" hidden="false" customHeight="false" outlineLevel="0" collapsed="false">
      <c r="A1644" s="0" t="s">
        <v>871</v>
      </c>
      <c r="B1644" s="6" t="n">
        <v>41972</v>
      </c>
      <c r="C1644" s="7" t="s">
        <v>45</v>
      </c>
      <c r="D1644" s="7" t="s">
        <v>64</v>
      </c>
      <c r="E1644" s="7" t="s">
        <v>35</v>
      </c>
      <c r="F1644" s="0" t="n">
        <v>12.624</v>
      </c>
      <c r="G1644" s="0" t="n">
        <v>3.945</v>
      </c>
      <c r="H1644" s="0" t="n">
        <v>0.2</v>
      </c>
      <c r="I1644" s="7" t="n">
        <f aca="false">YEAR(B1644)</f>
        <v>2014</v>
      </c>
      <c r="J1644" s="0" t="str">
        <f aca="false">I1644&amp;"-Q"&amp;ROUNDUP(MONTH(B1644)/3,0)</f>
        <v>2014-Q4</v>
      </c>
    </row>
    <row r="1645" customFormat="false" ht="15" hidden="false" customHeight="false" outlineLevel="0" collapsed="false">
      <c r="A1645" s="0" t="s">
        <v>872</v>
      </c>
      <c r="B1645" s="6" t="n">
        <v>42082</v>
      </c>
      <c r="C1645" s="7" t="s">
        <v>33</v>
      </c>
      <c r="D1645" s="7" t="s">
        <v>43</v>
      </c>
      <c r="E1645" s="7" t="s">
        <v>35</v>
      </c>
      <c r="F1645" s="0" t="n">
        <v>1247.64</v>
      </c>
      <c r="G1645" s="0" t="n">
        <v>349.3392</v>
      </c>
      <c r="H1645" s="0" t="n">
        <v>0</v>
      </c>
      <c r="I1645" s="7" t="n">
        <f aca="false">YEAR(B1645)</f>
        <v>2015</v>
      </c>
      <c r="J1645" s="0" t="str">
        <f aca="false">I1645&amp;"-Q"&amp;ROUNDUP(MONTH(B1645)/3,0)</f>
        <v>2015-Q1</v>
      </c>
    </row>
    <row r="1646" customFormat="false" ht="15" hidden="false" customHeight="false" outlineLevel="0" collapsed="false">
      <c r="A1646" s="0" t="s">
        <v>872</v>
      </c>
      <c r="B1646" s="6" t="n">
        <v>42082</v>
      </c>
      <c r="C1646" s="7" t="s">
        <v>33</v>
      </c>
      <c r="D1646" s="7" t="s">
        <v>43</v>
      </c>
      <c r="E1646" s="7" t="s">
        <v>39</v>
      </c>
      <c r="F1646" s="0" t="n">
        <v>3149.93</v>
      </c>
      <c r="G1646" s="0" t="n">
        <v>1480.4671</v>
      </c>
      <c r="H1646" s="0" t="n">
        <v>0</v>
      </c>
      <c r="I1646" s="7" t="n">
        <f aca="false">YEAR(B1646)</f>
        <v>2015</v>
      </c>
      <c r="J1646" s="0" t="str">
        <f aca="false">I1646&amp;"-Q"&amp;ROUNDUP(MONTH(B1646)/3,0)</f>
        <v>2015-Q1</v>
      </c>
    </row>
    <row r="1647" customFormat="false" ht="15" hidden="false" customHeight="false" outlineLevel="0" collapsed="false">
      <c r="A1647" s="0" t="s">
        <v>872</v>
      </c>
      <c r="B1647" s="6" t="n">
        <v>42082</v>
      </c>
      <c r="C1647" s="7" t="s">
        <v>33</v>
      </c>
      <c r="D1647" s="7" t="s">
        <v>43</v>
      </c>
      <c r="E1647" s="7" t="s">
        <v>35</v>
      </c>
      <c r="F1647" s="0" t="n">
        <v>209.7</v>
      </c>
      <c r="G1647" s="0" t="n">
        <v>100.656</v>
      </c>
      <c r="H1647" s="0" t="n">
        <v>0</v>
      </c>
      <c r="I1647" s="7" t="n">
        <f aca="false">YEAR(B1647)</f>
        <v>2015</v>
      </c>
      <c r="J1647" s="0" t="str">
        <f aca="false">I1647&amp;"-Q"&amp;ROUNDUP(MONTH(B1647)/3,0)</f>
        <v>2015-Q1</v>
      </c>
    </row>
    <row r="1648" customFormat="false" ht="15" hidden="false" customHeight="false" outlineLevel="0" collapsed="false">
      <c r="A1648" s="0" t="s">
        <v>873</v>
      </c>
      <c r="B1648" s="6" t="n">
        <v>42309</v>
      </c>
      <c r="C1648" s="7" t="s">
        <v>55</v>
      </c>
      <c r="D1648" s="7" t="s">
        <v>56</v>
      </c>
      <c r="E1648" s="7" t="s">
        <v>39</v>
      </c>
      <c r="F1648" s="0" t="n">
        <v>35.36</v>
      </c>
      <c r="G1648" s="0" t="n">
        <v>-3.094</v>
      </c>
      <c r="H1648" s="0" t="n">
        <v>0.2</v>
      </c>
      <c r="I1648" s="7" t="n">
        <f aca="false">YEAR(B1648)</f>
        <v>2015</v>
      </c>
      <c r="J1648" s="0" t="str">
        <f aca="false">I1648&amp;"-Q"&amp;ROUNDUP(MONTH(B1648)/3,0)</f>
        <v>2015-Q4</v>
      </c>
    </row>
    <row r="1649" customFormat="false" ht="15" hidden="false" customHeight="false" outlineLevel="0" collapsed="false">
      <c r="A1649" s="0" t="s">
        <v>873</v>
      </c>
      <c r="B1649" s="6" t="n">
        <v>42309</v>
      </c>
      <c r="C1649" s="7" t="s">
        <v>55</v>
      </c>
      <c r="D1649" s="7" t="s">
        <v>56</v>
      </c>
      <c r="E1649" s="7" t="s">
        <v>35</v>
      </c>
      <c r="F1649" s="0" t="n">
        <v>3.168</v>
      </c>
      <c r="G1649" s="0" t="n">
        <v>-0.7128</v>
      </c>
      <c r="H1649" s="0" t="n">
        <v>0.2</v>
      </c>
      <c r="I1649" s="7" t="n">
        <f aca="false">YEAR(B1649)</f>
        <v>2015</v>
      </c>
      <c r="J1649" s="0" t="str">
        <f aca="false">I1649&amp;"-Q"&amp;ROUNDUP(MONTH(B1649)/3,0)</f>
        <v>2015-Q4</v>
      </c>
    </row>
    <row r="1650" customFormat="false" ht="15" hidden="false" customHeight="false" outlineLevel="0" collapsed="false">
      <c r="A1650" s="0" t="s">
        <v>874</v>
      </c>
      <c r="B1650" s="6" t="n">
        <v>42273</v>
      </c>
      <c r="C1650" s="7" t="s">
        <v>55</v>
      </c>
      <c r="D1650" s="7" t="s">
        <v>56</v>
      </c>
      <c r="E1650" s="7" t="s">
        <v>35</v>
      </c>
      <c r="F1650" s="0" t="n">
        <v>121.104</v>
      </c>
      <c r="G1650" s="0" t="n">
        <v>-100.92</v>
      </c>
      <c r="H1650" s="0" t="n">
        <v>0.7</v>
      </c>
      <c r="I1650" s="7" t="n">
        <f aca="false">YEAR(B1650)</f>
        <v>2015</v>
      </c>
      <c r="J1650" s="0" t="str">
        <f aca="false">I1650&amp;"-Q"&amp;ROUNDUP(MONTH(B1650)/3,0)</f>
        <v>2015-Q3</v>
      </c>
    </row>
    <row r="1651" customFormat="false" ht="15" hidden="false" customHeight="false" outlineLevel="0" collapsed="false">
      <c r="A1651" s="0" t="s">
        <v>874</v>
      </c>
      <c r="B1651" s="6" t="n">
        <v>42273</v>
      </c>
      <c r="C1651" s="7" t="s">
        <v>55</v>
      </c>
      <c r="D1651" s="7" t="s">
        <v>56</v>
      </c>
      <c r="E1651" s="7" t="s">
        <v>39</v>
      </c>
      <c r="F1651" s="0" t="n">
        <v>45.894</v>
      </c>
      <c r="G1651" s="0" t="n">
        <v>-9.1788</v>
      </c>
      <c r="H1651" s="0" t="n">
        <v>0.4</v>
      </c>
      <c r="I1651" s="7" t="n">
        <f aca="false">YEAR(B1651)</f>
        <v>2015</v>
      </c>
      <c r="J1651" s="0" t="str">
        <f aca="false">I1651&amp;"-Q"&amp;ROUNDUP(MONTH(B1651)/3,0)</f>
        <v>2015-Q3</v>
      </c>
    </row>
    <row r="1652" customFormat="false" ht="15" hidden="false" customHeight="false" outlineLevel="0" collapsed="false">
      <c r="A1652" s="0" t="s">
        <v>875</v>
      </c>
      <c r="B1652" s="6" t="n">
        <v>41880</v>
      </c>
      <c r="C1652" s="7" t="s">
        <v>33</v>
      </c>
      <c r="D1652" s="7" t="s">
        <v>34</v>
      </c>
      <c r="E1652" s="7" t="s">
        <v>35</v>
      </c>
      <c r="F1652" s="0" t="n">
        <v>109.92</v>
      </c>
      <c r="G1652" s="0" t="n">
        <v>53.8608</v>
      </c>
      <c r="H1652" s="0" t="n">
        <v>0</v>
      </c>
      <c r="I1652" s="7" t="n">
        <f aca="false">YEAR(B1652)</f>
        <v>2014</v>
      </c>
      <c r="J1652" s="0" t="str">
        <f aca="false">I1652&amp;"-Q"&amp;ROUNDUP(MONTH(B1652)/3,0)</f>
        <v>2014-Q3</v>
      </c>
    </row>
    <row r="1653" customFormat="false" ht="15" hidden="false" customHeight="false" outlineLevel="0" collapsed="false">
      <c r="A1653" s="0" t="s">
        <v>875</v>
      </c>
      <c r="B1653" s="6" t="n">
        <v>41880</v>
      </c>
      <c r="C1653" s="7" t="s">
        <v>33</v>
      </c>
      <c r="D1653" s="7" t="s">
        <v>34</v>
      </c>
      <c r="E1653" s="7" t="s">
        <v>35</v>
      </c>
      <c r="F1653" s="0" t="n">
        <v>13.36</v>
      </c>
      <c r="G1653" s="0" t="n">
        <v>6.4128</v>
      </c>
      <c r="H1653" s="0" t="n">
        <v>0</v>
      </c>
      <c r="I1653" s="7" t="n">
        <f aca="false">YEAR(B1653)</f>
        <v>2014</v>
      </c>
      <c r="J1653" s="0" t="str">
        <f aca="false">I1653&amp;"-Q"&amp;ROUNDUP(MONTH(B1653)/3,0)</f>
        <v>2014-Q3</v>
      </c>
    </row>
    <row r="1654" customFormat="false" ht="15" hidden="false" customHeight="false" outlineLevel="0" collapsed="false">
      <c r="A1654" s="0" t="s">
        <v>876</v>
      </c>
      <c r="B1654" s="6" t="n">
        <v>43057</v>
      </c>
      <c r="C1654" s="7" t="s">
        <v>33</v>
      </c>
      <c r="D1654" s="7" t="s">
        <v>43</v>
      </c>
      <c r="E1654" s="7" t="s">
        <v>35</v>
      </c>
      <c r="F1654" s="0" t="n">
        <v>169.68</v>
      </c>
      <c r="G1654" s="0" t="n">
        <v>45.8136</v>
      </c>
      <c r="H1654" s="0" t="n">
        <v>0</v>
      </c>
      <c r="I1654" s="7" t="n">
        <f aca="false">YEAR(B1654)</f>
        <v>2017</v>
      </c>
      <c r="J1654" s="0" t="str">
        <f aca="false">I1654&amp;"-Q"&amp;ROUNDUP(MONTH(B1654)/3,0)</f>
        <v>2017-Q4</v>
      </c>
    </row>
    <row r="1655" customFormat="false" ht="15" hidden="false" customHeight="false" outlineLevel="0" collapsed="false">
      <c r="A1655" s="0" t="s">
        <v>876</v>
      </c>
      <c r="B1655" s="6" t="n">
        <v>43057</v>
      </c>
      <c r="C1655" s="7" t="s">
        <v>33</v>
      </c>
      <c r="D1655" s="7" t="s">
        <v>43</v>
      </c>
      <c r="E1655" s="7" t="s">
        <v>39</v>
      </c>
      <c r="F1655" s="0" t="n">
        <v>132.52</v>
      </c>
      <c r="G1655" s="0" t="n">
        <v>54.3332</v>
      </c>
      <c r="H1655" s="0" t="n">
        <v>0</v>
      </c>
      <c r="I1655" s="7" t="n">
        <f aca="false">YEAR(B1655)</f>
        <v>2017</v>
      </c>
      <c r="J1655" s="0" t="str">
        <f aca="false">I1655&amp;"-Q"&amp;ROUNDUP(MONTH(B1655)/3,0)</f>
        <v>2017-Q4</v>
      </c>
    </row>
    <row r="1656" customFormat="false" ht="15" hidden="false" customHeight="false" outlineLevel="0" collapsed="false">
      <c r="A1656" s="0" t="s">
        <v>876</v>
      </c>
      <c r="B1656" s="6" t="n">
        <v>43057</v>
      </c>
      <c r="C1656" s="7" t="s">
        <v>33</v>
      </c>
      <c r="D1656" s="7" t="s">
        <v>43</v>
      </c>
      <c r="E1656" s="7" t="s">
        <v>35</v>
      </c>
      <c r="F1656" s="0" t="n">
        <v>2.96</v>
      </c>
      <c r="G1656" s="0" t="n">
        <v>1.4208</v>
      </c>
      <c r="H1656" s="0" t="n">
        <v>0</v>
      </c>
      <c r="I1656" s="7" t="n">
        <f aca="false">YEAR(B1656)</f>
        <v>2017</v>
      </c>
      <c r="J1656" s="0" t="str">
        <f aca="false">I1656&amp;"-Q"&amp;ROUNDUP(MONTH(B1656)/3,0)</f>
        <v>2017-Q4</v>
      </c>
    </row>
    <row r="1657" customFormat="false" ht="15" hidden="false" customHeight="false" outlineLevel="0" collapsed="false">
      <c r="A1657" s="0" t="s">
        <v>876</v>
      </c>
      <c r="B1657" s="6" t="n">
        <v>43057</v>
      </c>
      <c r="C1657" s="7" t="s">
        <v>33</v>
      </c>
      <c r="D1657" s="7" t="s">
        <v>43</v>
      </c>
      <c r="E1657" s="7" t="s">
        <v>35</v>
      </c>
      <c r="F1657" s="0" t="n">
        <v>8.448</v>
      </c>
      <c r="G1657" s="0" t="n">
        <v>2.9568</v>
      </c>
      <c r="H1657" s="0" t="n">
        <v>0.2</v>
      </c>
      <c r="I1657" s="7" t="n">
        <f aca="false">YEAR(B1657)</f>
        <v>2017</v>
      </c>
      <c r="J1657" s="0" t="str">
        <f aca="false">I1657&amp;"-Q"&amp;ROUNDUP(MONTH(B1657)/3,0)</f>
        <v>2017-Q4</v>
      </c>
    </row>
    <row r="1658" customFormat="false" ht="15" hidden="false" customHeight="false" outlineLevel="0" collapsed="false">
      <c r="A1658" s="0" t="s">
        <v>876</v>
      </c>
      <c r="B1658" s="6" t="n">
        <v>43057</v>
      </c>
      <c r="C1658" s="7" t="s">
        <v>33</v>
      </c>
      <c r="D1658" s="7" t="s">
        <v>43</v>
      </c>
      <c r="E1658" s="7" t="s">
        <v>35</v>
      </c>
      <c r="F1658" s="0" t="n">
        <v>95.94</v>
      </c>
      <c r="G1658" s="0" t="n">
        <v>9.594</v>
      </c>
      <c r="H1658" s="0" t="n">
        <v>0</v>
      </c>
      <c r="I1658" s="7" t="n">
        <f aca="false">YEAR(B1658)</f>
        <v>2017</v>
      </c>
      <c r="J1658" s="0" t="str">
        <f aca="false">I1658&amp;"-Q"&amp;ROUNDUP(MONTH(B1658)/3,0)</f>
        <v>2017-Q4</v>
      </c>
    </row>
    <row r="1659" customFormat="false" ht="15" hidden="false" customHeight="false" outlineLevel="0" collapsed="false">
      <c r="A1659" s="0" t="s">
        <v>877</v>
      </c>
      <c r="B1659" s="6" t="n">
        <v>41771</v>
      </c>
      <c r="C1659" s="7" t="s">
        <v>45</v>
      </c>
      <c r="D1659" s="7" t="s">
        <v>48</v>
      </c>
      <c r="E1659" s="7" t="s">
        <v>31</v>
      </c>
      <c r="F1659" s="0" t="n">
        <v>34.79</v>
      </c>
      <c r="G1659" s="0" t="n">
        <v>10.7849</v>
      </c>
      <c r="H1659" s="0" t="n">
        <v>0</v>
      </c>
      <c r="I1659" s="7" t="n">
        <f aca="false">YEAR(B1659)</f>
        <v>2014</v>
      </c>
      <c r="J1659" s="0" t="str">
        <f aca="false">I1659&amp;"-Q"&amp;ROUNDUP(MONTH(B1659)/3,0)</f>
        <v>2014-Q2</v>
      </c>
    </row>
    <row r="1660" customFormat="false" ht="15" hidden="false" customHeight="false" outlineLevel="0" collapsed="false">
      <c r="A1660" s="0" t="s">
        <v>878</v>
      </c>
      <c r="B1660" s="6" t="n">
        <v>42755</v>
      </c>
      <c r="C1660" s="7" t="s">
        <v>33</v>
      </c>
      <c r="D1660" s="7" t="s">
        <v>34</v>
      </c>
      <c r="E1660" s="7" t="s">
        <v>39</v>
      </c>
      <c r="F1660" s="0" t="n">
        <v>160.776</v>
      </c>
      <c r="G1660" s="0" t="n">
        <v>10.0485</v>
      </c>
      <c r="H1660" s="0" t="n">
        <v>0.2</v>
      </c>
      <c r="I1660" s="7" t="n">
        <f aca="false">YEAR(B1660)</f>
        <v>2017</v>
      </c>
      <c r="J1660" s="0" t="str">
        <f aca="false">I1660&amp;"-Q"&amp;ROUNDUP(MONTH(B1660)/3,0)</f>
        <v>2017-Q1</v>
      </c>
    </row>
    <row r="1661" customFormat="false" ht="15" hidden="false" customHeight="false" outlineLevel="0" collapsed="false">
      <c r="A1661" s="0" t="s">
        <v>879</v>
      </c>
      <c r="B1661" s="6" t="n">
        <v>43038</v>
      </c>
      <c r="C1661" s="7" t="s">
        <v>33</v>
      </c>
      <c r="D1661" s="7" t="s">
        <v>43</v>
      </c>
      <c r="E1661" s="7" t="s">
        <v>35</v>
      </c>
      <c r="F1661" s="0" t="n">
        <v>88.752</v>
      </c>
      <c r="G1661" s="0" t="n">
        <v>27.735</v>
      </c>
      <c r="H1661" s="0" t="n">
        <v>0.2</v>
      </c>
      <c r="I1661" s="7" t="n">
        <f aca="false">YEAR(B1661)</f>
        <v>2017</v>
      </c>
      <c r="J1661" s="0" t="str">
        <f aca="false">I1661&amp;"-Q"&amp;ROUNDUP(MONTH(B1661)/3,0)</f>
        <v>2017-Q4</v>
      </c>
    </row>
    <row r="1662" customFormat="false" ht="15" hidden="false" customHeight="false" outlineLevel="0" collapsed="false">
      <c r="A1662" s="0" t="s">
        <v>879</v>
      </c>
      <c r="B1662" s="6" t="n">
        <v>43038</v>
      </c>
      <c r="C1662" s="7" t="s">
        <v>33</v>
      </c>
      <c r="D1662" s="7" t="s">
        <v>43</v>
      </c>
      <c r="E1662" s="7" t="s">
        <v>35</v>
      </c>
      <c r="F1662" s="0" t="n">
        <v>13.904</v>
      </c>
      <c r="G1662" s="0" t="n">
        <v>5.214</v>
      </c>
      <c r="H1662" s="0" t="n">
        <v>0.2</v>
      </c>
      <c r="I1662" s="7" t="n">
        <f aca="false">YEAR(B1662)</f>
        <v>2017</v>
      </c>
      <c r="J1662" s="0" t="str">
        <f aca="false">I1662&amp;"-Q"&amp;ROUNDUP(MONTH(B1662)/3,0)</f>
        <v>2017-Q4</v>
      </c>
    </row>
    <row r="1663" customFormat="false" ht="15" hidden="false" customHeight="false" outlineLevel="0" collapsed="false">
      <c r="A1663" s="0" t="s">
        <v>880</v>
      </c>
      <c r="B1663" s="6" t="n">
        <v>42855</v>
      </c>
      <c r="C1663" s="7" t="s">
        <v>55</v>
      </c>
      <c r="D1663" s="7" t="s">
        <v>56</v>
      </c>
      <c r="E1663" s="7" t="s">
        <v>39</v>
      </c>
      <c r="F1663" s="0" t="n">
        <v>677.58</v>
      </c>
      <c r="G1663" s="0" t="n">
        <v>-158.102</v>
      </c>
      <c r="H1663" s="0" t="n">
        <v>0.4</v>
      </c>
      <c r="I1663" s="7" t="n">
        <f aca="false">YEAR(B1663)</f>
        <v>2017</v>
      </c>
      <c r="J1663" s="0" t="str">
        <f aca="false">I1663&amp;"-Q"&amp;ROUNDUP(MONTH(B1663)/3,0)</f>
        <v>2017-Q2</v>
      </c>
    </row>
    <row r="1664" customFormat="false" ht="15" hidden="false" customHeight="false" outlineLevel="0" collapsed="false">
      <c r="A1664" s="0" t="s">
        <v>880</v>
      </c>
      <c r="B1664" s="6" t="n">
        <v>42855</v>
      </c>
      <c r="C1664" s="7" t="s">
        <v>55</v>
      </c>
      <c r="D1664" s="7" t="s">
        <v>56</v>
      </c>
      <c r="E1664" s="7" t="s">
        <v>35</v>
      </c>
      <c r="F1664" s="0" t="n">
        <v>13.896</v>
      </c>
      <c r="G1664" s="0" t="n">
        <v>-9.264</v>
      </c>
      <c r="H1664" s="0" t="n">
        <v>0.7</v>
      </c>
      <c r="I1664" s="7" t="n">
        <f aca="false">YEAR(B1664)</f>
        <v>2017</v>
      </c>
      <c r="J1664" s="0" t="str">
        <f aca="false">I1664&amp;"-Q"&amp;ROUNDUP(MONTH(B1664)/3,0)</f>
        <v>2017-Q2</v>
      </c>
    </row>
    <row r="1665" customFormat="false" ht="15" hidden="false" customHeight="false" outlineLevel="0" collapsed="false">
      <c r="A1665" s="0" t="s">
        <v>881</v>
      </c>
      <c r="B1665" s="6" t="n">
        <v>42698</v>
      </c>
      <c r="C1665" s="7" t="s">
        <v>45</v>
      </c>
      <c r="D1665" s="7" t="s">
        <v>46</v>
      </c>
      <c r="E1665" s="7" t="s">
        <v>35</v>
      </c>
      <c r="F1665" s="0" t="n">
        <v>41.92</v>
      </c>
      <c r="G1665" s="0" t="n">
        <v>3.668</v>
      </c>
      <c r="H1665" s="0" t="n">
        <v>0.2</v>
      </c>
      <c r="I1665" s="7" t="n">
        <f aca="false">YEAR(B1665)</f>
        <v>2016</v>
      </c>
      <c r="J1665" s="0" t="str">
        <f aca="false">I1665&amp;"-Q"&amp;ROUNDUP(MONTH(B1665)/3,0)</f>
        <v>2016-Q4</v>
      </c>
    </row>
    <row r="1666" customFormat="false" ht="15" hidden="false" customHeight="false" outlineLevel="0" collapsed="false">
      <c r="A1666" s="0" t="s">
        <v>881</v>
      </c>
      <c r="B1666" s="6" t="n">
        <v>42698</v>
      </c>
      <c r="C1666" s="7" t="s">
        <v>45</v>
      </c>
      <c r="D1666" s="7" t="s">
        <v>46</v>
      </c>
      <c r="E1666" s="7" t="s">
        <v>39</v>
      </c>
      <c r="F1666" s="0" t="n">
        <v>297.576</v>
      </c>
      <c r="G1666" s="0" t="n">
        <v>-7.4394</v>
      </c>
      <c r="H1666" s="0" t="n">
        <v>0.2</v>
      </c>
      <c r="I1666" s="7" t="n">
        <f aca="false">YEAR(B1666)</f>
        <v>2016</v>
      </c>
      <c r="J1666" s="0" t="str">
        <f aca="false">I1666&amp;"-Q"&amp;ROUNDUP(MONTH(B1666)/3,0)</f>
        <v>2016-Q4</v>
      </c>
    </row>
    <row r="1667" customFormat="false" ht="15" hidden="false" customHeight="false" outlineLevel="0" collapsed="false">
      <c r="A1667" s="0" t="s">
        <v>881</v>
      </c>
      <c r="B1667" s="6" t="n">
        <v>42698</v>
      </c>
      <c r="C1667" s="7" t="s">
        <v>45</v>
      </c>
      <c r="D1667" s="7" t="s">
        <v>46</v>
      </c>
      <c r="E1667" s="7" t="s">
        <v>35</v>
      </c>
      <c r="F1667" s="0" t="n">
        <v>4.344</v>
      </c>
      <c r="G1667" s="0" t="n">
        <v>0.8688</v>
      </c>
      <c r="H1667" s="0" t="n">
        <v>0.2</v>
      </c>
      <c r="I1667" s="7" t="n">
        <f aca="false">YEAR(B1667)</f>
        <v>2016</v>
      </c>
      <c r="J1667" s="0" t="str">
        <f aca="false">I1667&amp;"-Q"&amp;ROUNDUP(MONTH(B1667)/3,0)</f>
        <v>2016-Q4</v>
      </c>
    </row>
    <row r="1668" customFormat="false" ht="15" hidden="false" customHeight="false" outlineLevel="0" collapsed="false">
      <c r="A1668" s="0" t="s">
        <v>881</v>
      </c>
      <c r="B1668" s="6" t="n">
        <v>42698</v>
      </c>
      <c r="C1668" s="7" t="s">
        <v>45</v>
      </c>
      <c r="D1668" s="7" t="s">
        <v>46</v>
      </c>
      <c r="E1668" s="7" t="s">
        <v>39</v>
      </c>
      <c r="F1668" s="0" t="n">
        <v>94.992</v>
      </c>
      <c r="G1668" s="0" t="n">
        <v>-2.3748</v>
      </c>
      <c r="H1668" s="0" t="n">
        <v>0.2</v>
      </c>
      <c r="I1668" s="7" t="n">
        <f aca="false">YEAR(B1668)</f>
        <v>2016</v>
      </c>
      <c r="J1668" s="0" t="str">
        <f aca="false">I1668&amp;"-Q"&amp;ROUNDUP(MONTH(B1668)/3,0)</f>
        <v>2016-Q4</v>
      </c>
    </row>
    <row r="1669" customFormat="false" ht="15" hidden="false" customHeight="false" outlineLevel="0" collapsed="false">
      <c r="A1669" s="0" t="s">
        <v>881</v>
      </c>
      <c r="B1669" s="6" t="n">
        <v>42698</v>
      </c>
      <c r="C1669" s="7" t="s">
        <v>45</v>
      </c>
      <c r="D1669" s="7" t="s">
        <v>46</v>
      </c>
      <c r="E1669" s="7" t="s">
        <v>35</v>
      </c>
      <c r="F1669" s="0" t="n">
        <v>74.352</v>
      </c>
      <c r="G1669" s="0" t="n">
        <v>23.235</v>
      </c>
      <c r="H1669" s="0" t="n">
        <v>0.2</v>
      </c>
      <c r="I1669" s="7" t="n">
        <f aca="false">YEAR(B1669)</f>
        <v>2016</v>
      </c>
      <c r="J1669" s="0" t="str">
        <f aca="false">I1669&amp;"-Q"&amp;ROUNDUP(MONTH(B1669)/3,0)</f>
        <v>2016-Q4</v>
      </c>
    </row>
    <row r="1670" customFormat="false" ht="15" hidden="false" customHeight="false" outlineLevel="0" collapsed="false">
      <c r="A1670" s="0" t="s">
        <v>881</v>
      </c>
      <c r="B1670" s="6" t="n">
        <v>42698</v>
      </c>
      <c r="C1670" s="7" t="s">
        <v>45</v>
      </c>
      <c r="D1670" s="7" t="s">
        <v>46</v>
      </c>
      <c r="E1670" s="7" t="s">
        <v>35</v>
      </c>
      <c r="F1670" s="0" t="n">
        <v>14.04</v>
      </c>
      <c r="G1670" s="0" t="n">
        <v>1.5795</v>
      </c>
      <c r="H1670" s="0" t="n">
        <v>0.2</v>
      </c>
      <c r="I1670" s="7" t="n">
        <f aca="false">YEAR(B1670)</f>
        <v>2016</v>
      </c>
      <c r="J1670" s="0" t="str">
        <f aca="false">I1670&amp;"-Q"&amp;ROUNDUP(MONTH(B1670)/3,0)</f>
        <v>2016-Q4</v>
      </c>
    </row>
    <row r="1671" customFormat="false" ht="15" hidden="false" customHeight="false" outlineLevel="0" collapsed="false">
      <c r="A1671" s="0" t="s">
        <v>882</v>
      </c>
      <c r="B1671" s="6" t="n">
        <v>42014</v>
      </c>
      <c r="C1671" s="7" t="s">
        <v>55</v>
      </c>
      <c r="D1671" s="7" t="s">
        <v>76</v>
      </c>
      <c r="E1671" s="7" t="s">
        <v>31</v>
      </c>
      <c r="F1671" s="0" t="n">
        <v>1018.104</v>
      </c>
      <c r="G1671" s="0" t="n">
        <v>-373.3048</v>
      </c>
      <c r="H1671" s="0" t="n">
        <v>0.4</v>
      </c>
      <c r="I1671" s="7" t="n">
        <f aca="false">YEAR(B1671)</f>
        <v>2015</v>
      </c>
      <c r="J1671" s="0" t="str">
        <f aca="false">I1671&amp;"-Q"&amp;ROUNDUP(MONTH(B1671)/3,0)</f>
        <v>2015-Q1</v>
      </c>
    </row>
    <row r="1672" customFormat="false" ht="15" hidden="false" customHeight="false" outlineLevel="0" collapsed="false">
      <c r="A1672" s="0" t="s">
        <v>883</v>
      </c>
      <c r="B1672" s="6" t="n">
        <v>43027</v>
      </c>
      <c r="C1672" s="7" t="s">
        <v>45</v>
      </c>
      <c r="D1672" s="7" t="s">
        <v>46</v>
      </c>
      <c r="E1672" s="7" t="s">
        <v>39</v>
      </c>
      <c r="F1672" s="0" t="n">
        <v>16.68</v>
      </c>
      <c r="G1672" s="0" t="n">
        <v>5.2125</v>
      </c>
      <c r="H1672" s="0" t="n">
        <v>0.2</v>
      </c>
      <c r="I1672" s="7" t="n">
        <f aca="false">YEAR(B1672)</f>
        <v>2017</v>
      </c>
      <c r="J1672" s="0" t="str">
        <f aca="false">I1672&amp;"-Q"&amp;ROUNDUP(MONTH(B1672)/3,0)</f>
        <v>2017-Q4</v>
      </c>
    </row>
    <row r="1673" customFormat="false" ht="15" hidden="false" customHeight="false" outlineLevel="0" collapsed="false">
      <c r="A1673" s="0" t="s">
        <v>884</v>
      </c>
      <c r="B1673" s="6" t="n">
        <v>42451</v>
      </c>
      <c r="C1673" s="7" t="s">
        <v>33</v>
      </c>
      <c r="D1673" s="7" t="s">
        <v>248</v>
      </c>
      <c r="E1673" s="7" t="s">
        <v>39</v>
      </c>
      <c r="F1673" s="0" t="n">
        <v>58.58</v>
      </c>
      <c r="G1673" s="0" t="n">
        <v>19.3314</v>
      </c>
      <c r="H1673" s="0" t="n">
        <v>0</v>
      </c>
      <c r="I1673" s="7" t="n">
        <f aca="false">YEAR(B1673)</f>
        <v>2016</v>
      </c>
      <c r="J1673" s="0" t="str">
        <f aca="false">I1673&amp;"-Q"&amp;ROUNDUP(MONTH(B1673)/3,0)</f>
        <v>2016-Q1</v>
      </c>
    </row>
    <row r="1674" customFormat="false" ht="15" hidden="false" customHeight="false" outlineLevel="0" collapsed="false">
      <c r="A1674" s="0" t="s">
        <v>885</v>
      </c>
      <c r="B1674" s="6" t="n">
        <v>42919</v>
      </c>
      <c r="C1674" s="7" t="s">
        <v>45</v>
      </c>
      <c r="D1674" s="7" t="s">
        <v>46</v>
      </c>
      <c r="E1674" s="7" t="s">
        <v>39</v>
      </c>
      <c r="F1674" s="0" t="n">
        <v>167.968</v>
      </c>
      <c r="G1674" s="0" t="n">
        <v>62.988</v>
      </c>
      <c r="H1674" s="0" t="n">
        <v>0.2</v>
      </c>
      <c r="I1674" s="7" t="n">
        <f aca="false">YEAR(B1674)</f>
        <v>2017</v>
      </c>
      <c r="J1674" s="0" t="str">
        <f aca="false">I1674&amp;"-Q"&amp;ROUNDUP(MONTH(B1674)/3,0)</f>
        <v>2017-Q3</v>
      </c>
    </row>
    <row r="1675" customFormat="false" ht="15" hidden="false" customHeight="false" outlineLevel="0" collapsed="false">
      <c r="A1675" s="0" t="s">
        <v>886</v>
      </c>
      <c r="B1675" s="6" t="n">
        <v>42349</v>
      </c>
      <c r="C1675" s="7" t="s">
        <v>29</v>
      </c>
      <c r="D1675" s="7" t="s">
        <v>83</v>
      </c>
      <c r="E1675" s="7" t="s">
        <v>35</v>
      </c>
      <c r="F1675" s="0" t="n">
        <v>196.62</v>
      </c>
      <c r="G1675" s="0" t="n">
        <v>96.3438</v>
      </c>
      <c r="H1675" s="0" t="n">
        <v>0</v>
      </c>
      <c r="I1675" s="7" t="n">
        <f aca="false">YEAR(B1675)</f>
        <v>2015</v>
      </c>
      <c r="J1675" s="0" t="str">
        <f aca="false">I1675&amp;"-Q"&amp;ROUNDUP(MONTH(B1675)/3,0)</f>
        <v>2015-Q4</v>
      </c>
    </row>
    <row r="1676" customFormat="false" ht="15" hidden="false" customHeight="false" outlineLevel="0" collapsed="false">
      <c r="A1676" s="0" t="s">
        <v>887</v>
      </c>
      <c r="B1676" s="6" t="n">
        <v>42264</v>
      </c>
      <c r="C1676" s="7" t="s">
        <v>45</v>
      </c>
      <c r="D1676" s="7" t="s">
        <v>46</v>
      </c>
      <c r="E1676" s="7" t="s">
        <v>31</v>
      </c>
      <c r="F1676" s="0" t="n">
        <v>21.936</v>
      </c>
      <c r="G1676" s="0" t="n">
        <v>-10.4196</v>
      </c>
      <c r="H1676" s="0" t="n">
        <v>0.6</v>
      </c>
      <c r="I1676" s="7" t="n">
        <f aca="false">YEAR(B1676)</f>
        <v>2015</v>
      </c>
      <c r="J1676" s="0" t="str">
        <f aca="false">I1676&amp;"-Q"&amp;ROUNDUP(MONTH(B1676)/3,0)</f>
        <v>2015-Q3</v>
      </c>
    </row>
    <row r="1677" customFormat="false" ht="15" hidden="false" customHeight="false" outlineLevel="0" collapsed="false">
      <c r="A1677" s="0" t="s">
        <v>887</v>
      </c>
      <c r="B1677" s="6" t="n">
        <v>42264</v>
      </c>
      <c r="C1677" s="7" t="s">
        <v>45</v>
      </c>
      <c r="D1677" s="7" t="s">
        <v>46</v>
      </c>
      <c r="E1677" s="7" t="s">
        <v>35</v>
      </c>
      <c r="F1677" s="0" t="n">
        <v>6.588</v>
      </c>
      <c r="G1677" s="0" t="n">
        <v>-10.2114</v>
      </c>
      <c r="H1677" s="0" t="n">
        <v>0.8</v>
      </c>
      <c r="I1677" s="7" t="n">
        <f aca="false">YEAR(B1677)</f>
        <v>2015</v>
      </c>
      <c r="J1677" s="0" t="str">
        <f aca="false">I1677&amp;"-Q"&amp;ROUNDUP(MONTH(B1677)/3,0)</f>
        <v>2015-Q3</v>
      </c>
    </row>
    <row r="1678" customFormat="false" ht="15" hidden="false" customHeight="false" outlineLevel="0" collapsed="false">
      <c r="A1678" s="0" t="s">
        <v>888</v>
      </c>
      <c r="B1678" s="6" t="n">
        <v>42508</v>
      </c>
      <c r="C1678" s="7" t="s">
        <v>33</v>
      </c>
      <c r="D1678" s="7" t="s">
        <v>34</v>
      </c>
      <c r="E1678" s="7" t="s">
        <v>35</v>
      </c>
      <c r="F1678" s="0" t="n">
        <v>104.28</v>
      </c>
      <c r="G1678" s="0" t="n">
        <v>26.07</v>
      </c>
      <c r="H1678" s="0" t="n">
        <v>0</v>
      </c>
      <c r="I1678" s="7" t="n">
        <f aca="false">YEAR(B1678)</f>
        <v>2016</v>
      </c>
      <c r="J1678" s="0" t="str">
        <f aca="false">I1678&amp;"-Q"&amp;ROUNDUP(MONTH(B1678)/3,0)</f>
        <v>2016-Q2</v>
      </c>
    </row>
    <row r="1679" customFormat="false" ht="15" hidden="false" customHeight="false" outlineLevel="0" collapsed="false">
      <c r="A1679" s="0" t="s">
        <v>888</v>
      </c>
      <c r="B1679" s="6" t="n">
        <v>42508</v>
      </c>
      <c r="C1679" s="7" t="s">
        <v>33</v>
      </c>
      <c r="D1679" s="7" t="s">
        <v>34</v>
      </c>
      <c r="E1679" s="7" t="s">
        <v>35</v>
      </c>
      <c r="F1679" s="0" t="n">
        <v>17.94</v>
      </c>
      <c r="G1679" s="0" t="n">
        <v>8.7906</v>
      </c>
      <c r="H1679" s="0" t="n">
        <v>0</v>
      </c>
      <c r="I1679" s="7" t="n">
        <f aca="false">YEAR(B1679)</f>
        <v>2016</v>
      </c>
      <c r="J1679" s="0" t="str">
        <f aca="false">I1679&amp;"-Q"&amp;ROUNDUP(MONTH(B1679)/3,0)</f>
        <v>2016-Q2</v>
      </c>
    </row>
    <row r="1680" customFormat="false" ht="15" hidden="false" customHeight="false" outlineLevel="0" collapsed="false">
      <c r="A1680" s="0" t="s">
        <v>889</v>
      </c>
      <c r="B1680" s="6" t="n">
        <v>41889</v>
      </c>
      <c r="C1680" s="7" t="s">
        <v>55</v>
      </c>
      <c r="D1680" s="7" t="s">
        <v>56</v>
      </c>
      <c r="E1680" s="7" t="s">
        <v>35</v>
      </c>
      <c r="F1680" s="0" t="n">
        <v>64.784</v>
      </c>
      <c r="G1680" s="0" t="n">
        <v>-14.5764</v>
      </c>
      <c r="H1680" s="0" t="n">
        <v>0.2</v>
      </c>
      <c r="I1680" s="7" t="n">
        <f aca="false">YEAR(B1680)</f>
        <v>2014</v>
      </c>
      <c r="J1680" s="0" t="str">
        <f aca="false">I1680&amp;"-Q"&amp;ROUNDUP(MONTH(B1680)/3,0)</f>
        <v>2014-Q3</v>
      </c>
    </row>
    <row r="1681" customFormat="false" ht="15" hidden="false" customHeight="false" outlineLevel="0" collapsed="false">
      <c r="A1681" s="0" t="s">
        <v>889</v>
      </c>
      <c r="B1681" s="6" t="n">
        <v>41889</v>
      </c>
      <c r="C1681" s="7" t="s">
        <v>55</v>
      </c>
      <c r="D1681" s="7" t="s">
        <v>56</v>
      </c>
      <c r="E1681" s="7" t="s">
        <v>39</v>
      </c>
      <c r="F1681" s="0" t="n">
        <v>32.382</v>
      </c>
      <c r="G1681" s="0" t="n">
        <v>4.3176</v>
      </c>
      <c r="H1681" s="0" t="n">
        <v>0.4</v>
      </c>
      <c r="I1681" s="7" t="n">
        <f aca="false">YEAR(B1681)</f>
        <v>2014</v>
      </c>
      <c r="J1681" s="0" t="str">
        <f aca="false">I1681&amp;"-Q"&amp;ROUNDUP(MONTH(B1681)/3,0)</f>
        <v>2014-Q3</v>
      </c>
    </row>
    <row r="1682" customFormat="false" ht="15" hidden="false" customHeight="false" outlineLevel="0" collapsed="false">
      <c r="A1682" s="0" t="s">
        <v>889</v>
      </c>
      <c r="B1682" s="6" t="n">
        <v>41889</v>
      </c>
      <c r="C1682" s="7" t="s">
        <v>55</v>
      </c>
      <c r="D1682" s="7" t="s">
        <v>56</v>
      </c>
      <c r="E1682" s="7" t="s">
        <v>31</v>
      </c>
      <c r="F1682" s="0" t="n">
        <v>42.368</v>
      </c>
      <c r="G1682" s="0" t="n">
        <v>8.4736</v>
      </c>
      <c r="H1682" s="0" t="n">
        <v>0.2</v>
      </c>
      <c r="I1682" s="7" t="n">
        <f aca="false">YEAR(B1682)</f>
        <v>2014</v>
      </c>
      <c r="J1682" s="0" t="str">
        <f aca="false">I1682&amp;"-Q"&amp;ROUNDUP(MONTH(B1682)/3,0)</f>
        <v>2014-Q3</v>
      </c>
    </row>
    <row r="1683" customFormat="false" ht="15" hidden="false" customHeight="false" outlineLevel="0" collapsed="false">
      <c r="A1683" s="0" t="s">
        <v>889</v>
      </c>
      <c r="B1683" s="6" t="n">
        <v>41889</v>
      </c>
      <c r="C1683" s="7" t="s">
        <v>55</v>
      </c>
      <c r="D1683" s="7" t="s">
        <v>56</v>
      </c>
      <c r="E1683" s="7" t="s">
        <v>39</v>
      </c>
      <c r="F1683" s="0" t="n">
        <v>399.54</v>
      </c>
      <c r="G1683" s="0" t="n">
        <v>-559.356</v>
      </c>
      <c r="H1683" s="0" t="n">
        <v>0.7</v>
      </c>
      <c r="I1683" s="7" t="n">
        <f aca="false">YEAR(B1683)</f>
        <v>2014</v>
      </c>
      <c r="J1683" s="0" t="str">
        <f aca="false">I1683&amp;"-Q"&amp;ROUNDUP(MONTH(B1683)/3,0)</f>
        <v>2014-Q3</v>
      </c>
    </row>
    <row r="1684" customFormat="false" ht="15" hidden="false" customHeight="false" outlineLevel="0" collapsed="false">
      <c r="A1684" s="0" t="s">
        <v>890</v>
      </c>
      <c r="B1684" s="6" t="n">
        <v>42642</v>
      </c>
      <c r="C1684" s="7" t="s">
        <v>33</v>
      </c>
      <c r="D1684" s="7" t="s">
        <v>34</v>
      </c>
      <c r="E1684" s="7" t="s">
        <v>35</v>
      </c>
      <c r="F1684" s="0" t="n">
        <v>18.97</v>
      </c>
      <c r="G1684" s="0" t="n">
        <v>9.1056</v>
      </c>
      <c r="H1684" s="0" t="n">
        <v>0</v>
      </c>
      <c r="I1684" s="7" t="n">
        <f aca="false">YEAR(B1684)</f>
        <v>2016</v>
      </c>
      <c r="J1684" s="0" t="str">
        <f aca="false">I1684&amp;"-Q"&amp;ROUNDUP(MONTH(B1684)/3,0)</f>
        <v>2016-Q3</v>
      </c>
    </row>
    <row r="1685" customFormat="false" ht="15" hidden="false" customHeight="false" outlineLevel="0" collapsed="false">
      <c r="A1685" s="0" t="s">
        <v>891</v>
      </c>
      <c r="B1685" s="6" t="n">
        <v>42681</v>
      </c>
      <c r="C1685" s="7" t="s">
        <v>33</v>
      </c>
      <c r="D1685" s="7" t="s">
        <v>34</v>
      </c>
      <c r="E1685" s="7" t="s">
        <v>31</v>
      </c>
      <c r="F1685" s="0" t="n">
        <v>14.82</v>
      </c>
      <c r="G1685" s="0" t="n">
        <v>6.2244</v>
      </c>
      <c r="H1685" s="0" t="n">
        <v>0</v>
      </c>
      <c r="I1685" s="7" t="n">
        <f aca="false">YEAR(B1685)</f>
        <v>2016</v>
      </c>
      <c r="J1685" s="0" t="str">
        <f aca="false">I1685&amp;"-Q"&amp;ROUNDUP(MONTH(B1685)/3,0)</f>
        <v>2016-Q4</v>
      </c>
    </row>
    <row r="1686" customFormat="false" ht="15" hidden="false" customHeight="false" outlineLevel="0" collapsed="false">
      <c r="A1686" s="0" t="s">
        <v>892</v>
      </c>
      <c r="B1686" s="6" t="n">
        <v>42849</v>
      </c>
      <c r="C1686" s="7" t="s">
        <v>55</v>
      </c>
      <c r="D1686" s="7" t="s">
        <v>56</v>
      </c>
      <c r="E1686" s="7" t="s">
        <v>35</v>
      </c>
      <c r="F1686" s="0" t="n">
        <v>99.28</v>
      </c>
      <c r="G1686" s="0" t="n">
        <v>12.41</v>
      </c>
      <c r="H1686" s="0" t="n">
        <v>0.2</v>
      </c>
      <c r="I1686" s="7" t="n">
        <f aca="false">YEAR(B1686)</f>
        <v>2017</v>
      </c>
      <c r="J1686" s="0" t="str">
        <f aca="false">I1686&amp;"-Q"&amp;ROUNDUP(MONTH(B1686)/3,0)</f>
        <v>2017-Q2</v>
      </c>
    </row>
    <row r="1687" customFormat="false" ht="15" hidden="false" customHeight="false" outlineLevel="0" collapsed="false">
      <c r="A1687" s="0" t="s">
        <v>892</v>
      </c>
      <c r="B1687" s="6" t="n">
        <v>42849</v>
      </c>
      <c r="C1687" s="7" t="s">
        <v>55</v>
      </c>
      <c r="D1687" s="7" t="s">
        <v>56</v>
      </c>
      <c r="E1687" s="7" t="s">
        <v>35</v>
      </c>
      <c r="F1687" s="0" t="n">
        <v>1.188</v>
      </c>
      <c r="G1687" s="0" t="n">
        <v>-0.99</v>
      </c>
      <c r="H1687" s="0" t="n">
        <v>0.7</v>
      </c>
      <c r="I1687" s="7" t="n">
        <f aca="false">YEAR(B1687)</f>
        <v>2017</v>
      </c>
      <c r="J1687" s="0" t="str">
        <f aca="false">I1687&amp;"-Q"&amp;ROUNDUP(MONTH(B1687)/3,0)</f>
        <v>2017-Q2</v>
      </c>
    </row>
    <row r="1688" customFormat="false" ht="15" hidden="false" customHeight="false" outlineLevel="0" collapsed="false">
      <c r="A1688" s="0" t="s">
        <v>892</v>
      </c>
      <c r="B1688" s="6" t="n">
        <v>42849</v>
      </c>
      <c r="C1688" s="7" t="s">
        <v>55</v>
      </c>
      <c r="D1688" s="7" t="s">
        <v>56</v>
      </c>
      <c r="E1688" s="7" t="s">
        <v>35</v>
      </c>
      <c r="F1688" s="0" t="n">
        <v>7.518</v>
      </c>
      <c r="G1688" s="0" t="n">
        <v>-5.7638</v>
      </c>
      <c r="H1688" s="0" t="n">
        <v>0.7</v>
      </c>
      <c r="I1688" s="7" t="n">
        <f aca="false">YEAR(B1688)</f>
        <v>2017</v>
      </c>
      <c r="J1688" s="0" t="str">
        <f aca="false">I1688&amp;"-Q"&amp;ROUNDUP(MONTH(B1688)/3,0)</f>
        <v>2017-Q2</v>
      </c>
    </row>
    <row r="1689" customFormat="false" ht="15" hidden="false" customHeight="false" outlineLevel="0" collapsed="false">
      <c r="A1689" s="0" t="s">
        <v>893</v>
      </c>
      <c r="B1689" s="6" t="n">
        <v>43079</v>
      </c>
      <c r="C1689" s="7" t="s">
        <v>55</v>
      </c>
      <c r="D1689" s="7" t="s">
        <v>56</v>
      </c>
      <c r="E1689" s="7" t="s">
        <v>35</v>
      </c>
      <c r="F1689" s="0" t="n">
        <v>10.368</v>
      </c>
      <c r="G1689" s="0" t="n">
        <v>3.6288</v>
      </c>
      <c r="H1689" s="0" t="n">
        <v>0.2</v>
      </c>
      <c r="I1689" s="7" t="n">
        <f aca="false">YEAR(B1689)</f>
        <v>2017</v>
      </c>
      <c r="J1689" s="0" t="str">
        <f aca="false">I1689&amp;"-Q"&amp;ROUNDUP(MONTH(B1689)/3,0)</f>
        <v>2017-Q4</v>
      </c>
    </row>
    <row r="1690" customFormat="false" ht="15" hidden="false" customHeight="false" outlineLevel="0" collapsed="false">
      <c r="A1690" s="0" t="s">
        <v>893</v>
      </c>
      <c r="B1690" s="6" t="n">
        <v>43079</v>
      </c>
      <c r="C1690" s="7" t="s">
        <v>55</v>
      </c>
      <c r="D1690" s="7" t="s">
        <v>56</v>
      </c>
      <c r="E1690" s="7" t="s">
        <v>31</v>
      </c>
      <c r="F1690" s="0" t="n">
        <v>310.88</v>
      </c>
      <c r="G1690" s="0" t="n">
        <v>23.316</v>
      </c>
      <c r="H1690" s="0" t="n">
        <v>0.2</v>
      </c>
      <c r="I1690" s="7" t="n">
        <f aca="false">YEAR(B1690)</f>
        <v>2017</v>
      </c>
      <c r="J1690" s="0" t="str">
        <f aca="false">I1690&amp;"-Q"&amp;ROUNDUP(MONTH(B1690)/3,0)</f>
        <v>2017-Q4</v>
      </c>
    </row>
    <row r="1691" customFormat="false" ht="15" hidden="false" customHeight="false" outlineLevel="0" collapsed="false">
      <c r="A1691" s="0" t="s">
        <v>894</v>
      </c>
      <c r="B1691" s="6" t="n">
        <v>41867</v>
      </c>
      <c r="C1691" s="7" t="s">
        <v>55</v>
      </c>
      <c r="D1691" s="7" t="s">
        <v>56</v>
      </c>
      <c r="E1691" s="7" t="s">
        <v>31</v>
      </c>
      <c r="F1691" s="0" t="n">
        <v>853.092</v>
      </c>
      <c r="G1691" s="0" t="n">
        <v>-227.4912</v>
      </c>
      <c r="H1691" s="0" t="n">
        <v>0.4</v>
      </c>
      <c r="I1691" s="7" t="n">
        <f aca="false">YEAR(B1691)</f>
        <v>2014</v>
      </c>
      <c r="J1691" s="0" t="str">
        <f aca="false">I1691&amp;"-Q"&amp;ROUNDUP(MONTH(B1691)/3,0)</f>
        <v>2014-Q3</v>
      </c>
    </row>
    <row r="1692" customFormat="false" ht="15" hidden="false" customHeight="false" outlineLevel="0" collapsed="false">
      <c r="A1692" s="0" t="s">
        <v>895</v>
      </c>
      <c r="B1692" s="6" t="n">
        <v>43078</v>
      </c>
      <c r="C1692" s="7" t="s">
        <v>45</v>
      </c>
      <c r="D1692" s="7" t="s">
        <v>74</v>
      </c>
      <c r="E1692" s="7" t="s">
        <v>35</v>
      </c>
      <c r="F1692" s="0" t="n">
        <v>33.45</v>
      </c>
      <c r="G1692" s="0" t="n">
        <v>15.387</v>
      </c>
      <c r="H1692" s="0" t="n">
        <v>0</v>
      </c>
      <c r="I1692" s="7" t="n">
        <f aca="false">YEAR(B1692)</f>
        <v>2017</v>
      </c>
      <c r="J1692" s="0" t="str">
        <f aca="false">I1692&amp;"-Q"&amp;ROUNDUP(MONTH(B1692)/3,0)</f>
        <v>2017-Q4</v>
      </c>
    </row>
    <row r="1693" customFormat="false" ht="15" hidden="false" customHeight="false" outlineLevel="0" collapsed="false">
      <c r="A1693" s="0" t="s">
        <v>895</v>
      </c>
      <c r="B1693" s="6" t="n">
        <v>43078</v>
      </c>
      <c r="C1693" s="7" t="s">
        <v>45</v>
      </c>
      <c r="D1693" s="7" t="s">
        <v>74</v>
      </c>
      <c r="E1693" s="7" t="s">
        <v>35</v>
      </c>
      <c r="F1693" s="0" t="n">
        <v>10.4</v>
      </c>
      <c r="G1693" s="0" t="n">
        <v>5.096</v>
      </c>
      <c r="H1693" s="0" t="n">
        <v>0</v>
      </c>
      <c r="I1693" s="7" t="n">
        <f aca="false">YEAR(B1693)</f>
        <v>2017</v>
      </c>
      <c r="J1693" s="0" t="str">
        <f aca="false">I1693&amp;"-Q"&amp;ROUNDUP(MONTH(B1693)/3,0)</f>
        <v>2017-Q4</v>
      </c>
    </row>
    <row r="1694" customFormat="false" ht="15" hidden="false" customHeight="false" outlineLevel="0" collapsed="false">
      <c r="A1694" s="0" t="s">
        <v>896</v>
      </c>
      <c r="B1694" s="6" t="n">
        <v>42443</v>
      </c>
      <c r="C1694" s="7" t="s">
        <v>55</v>
      </c>
      <c r="D1694" s="7" t="s">
        <v>116</v>
      </c>
      <c r="E1694" s="7" t="s">
        <v>31</v>
      </c>
      <c r="F1694" s="0" t="n">
        <v>21.88</v>
      </c>
      <c r="G1694" s="0" t="n">
        <v>6.2905</v>
      </c>
      <c r="H1694" s="0" t="n">
        <v>0.2</v>
      </c>
      <c r="I1694" s="7" t="n">
        <f aca="false">YEAR(B1694)</f>
        <v>2016</v>
      </c>
      <c r="J1694" s="0" t="str">
        <f aca="false">I1694&amp;"-Q"&amp;ROUNDUP(MONTH(B1694)/3,0)</f>
        <v>2016-Q1</v>
      </c>
    </row>
    <row r="1695" customFormat="false" ht="15" hidden="false" customHeight="false" outlineLevel="0" collapsed="false">
      <c r="A1695" s="0" t="s">
        <v>897</v>
      </c>
      <c r="B1695" s="6" t="n">
        <v>42547</v>
      </c>
      <c r="C1695" s="7" t="s">
        <v>45</v>
      </c>
      <c r="D1695" s="7" t="s">
        <v>46</v>
      </c>
      <c r="E1695" s="7" t="s">
        <v>39</v>
      </c>
      <c r="F1695" s="0" t="n">
        <v>13.616</v>
      </c>
      <c r="G1695" s="0" t="n">
        <v>3.5742</v>
      </c>
      <c r="H1695" s="0" t="n">
        <v>0.2</v>
      </c>
      <c r="I1695" s="7" t="n">
        <f aca="false">YEAR(B1695)</f>
        <v>2016</v>
      </c>
      <c r="J1695" s="0" t="str">
        <f aca="false">I1695&amp;"-Q"&amp;ROUNDUP(MONTH(B1695)/3,0)</f>
        <v>2016-Q2</v>
      </c>
    </row>
    <row r="1696" customFormat="false" ht="15" hidden="false" customHeight="false" outlineLevel="0" collapsed="false">
      <c r="A1696" s="0" t="s">
        <v>898</v>
      </c>
      <c r="B1696" s="6" t="n">
        <v>42272</v>
      </c>
      <c r="C1696" s="7" t="s">
        <v>55</v>
      </c>
      <c r="D1696" s="7" t="s">
        <v>161</v>
      </c>
      <c r="E1696" s="7" t="s">
        <v>39</v>
      </c>
      <c r="F1696" s="0" t="n">
        <v>63.96</v>
      </c>
      <c r="G1696" s="0" t="n">
        <v>19.8276</v>
      </c>
      <c r="H1696" s="0" t="n">
        <v>0</v>
      </c>
      <c r="I1696" s="7" t="n">
        <f aca="false">YEAR(B1696)</f>
        <v>2015</v>
      </c>
      <c r="J1696" s="0" t="str">
        <f aca="false">I1696&amp;"-Q"&amp;ROUNDUP(MONTH(B1696)/3,0)</f>
        <v>2015-Q3</v>
      </c>
    </row>
    <row r="1697" customFormat="false" ht="15" hidden="false" customHeight="false" outlineLevel="0" collapsed="false">
      <c r="A1697" s="0" t="s">
        <v>898</v>
      </c>
      <c r="B1697" s="6" t="n">
        <v>42272</v>
      </c>
      <c r="C1697" s="7" t="s">
        <v>55</v>
      </c>
      <c r="D1697" s="7" t="s">
        <v>161</v>
      </c>
      <c r="E1697" s="7" t="s">
        <v>35</v>
      </c>
      <c r="F1697" s="0" t="n">
        <v>14.46</v>
      </c>
      <c r="G1697" s="0" t="n">
        <v>7.0854</v>
      </c>
      <c r="H1697" s="0" t="n">
        <v>0</v>
      </c>
      <c r="I1697" s="7" t="n">
        <f aca="false">YEAR(B1697)</f>
        <v>2015</v>
      </c>
      <c r="J1697" s="0" t="str">
        <f aca="false">I1697&amp;"-Q"&amp;ROUNDUP(MONTH(B1697)/3,0)</f>
        <v>2015-Q3</v>
      </c>
    </row>
    <row r="1698" customFormat="false" ht="15" hidden="false" customHeight="false" outlineLevel="0" collapsed="false">
      <c r="A1698" s="0" t="s">
        <v>898</v>
      </c>
      <c r="B1698" s="6" t="n">
        <v>42272</v>
      </c>
      <c r="C1698" s="7" t="s">
        <v>55</v>
      </c>
      <c r="D1698" s="7" t="s">
        <v>161</v>
      </c>
      <c r="E1698" s="7" t="s">
        <v>39</v>
      </c>
      <c r="F1698" s="0" t="n">
        <v>104.98</v>
      </c>
      <c r="G1698" s="0" t="n">
        <v>52.49</v>
      </c>
      <c r="H1698" s="0" t="n">
        <v>0</v>
      </c>
      <c r="I1698" s="7" t="n">
        <f aca="false">YEAR(B1698)</f>
        <v>2015</v>
      </c>
      <c r="J1698" s="0" t="str">
        <f aca="false">I1698&amp;"-Q"&amp;ROUNDUP(MONTH(B1698)/3,0)</f>
        <v>2015-Q3</v>
      </c>
    </row>
    <row r="1699" customFormat="false" ht="15" hidden="false" customHeight="false" outlineLevel="0" collapsed="false">
      <c r="A1699" s="0" t="s">
        <v>899</v>
      </c>
      <c r="B1699" s="6" t="n">
        <v>42365</v>
      </c>
      <c r="C1699" s="7" t="s">
        <v>33</v>
      </c>
      <c r="D1699" s="7" t="s">
        <v>34</v>
      </c>
      <c r="E1699" s="7" t="s">
        <v>35</v>
      </c>
      <c r="F1699" s="0" t="n">
        <v>106.96</v>
      </c>
      <c r="G1699" s="0" t="n">
        <v>31.0184</v>
      </c>
      <c r="H1699" s="0" t="n">
        <v>0</v>
      </c>
      <c r="I1699" s="7" t="n">
        <f aca="false">YEAR(B1699)</f>
        <v>2015</v>
      </c>
      <c r="J1699" s="0" t="str">
        <f aca="false">I1699&amp;"-Q"&amp;ROUNDUP(MONTH(B1699)/3,0)</f>
        <v>2015-Q4</v>
      </c>
    </row>
    <row r="1700" customFormat="false" ht="15" hidden="false" customHeight="false" outlineLevel="0" collapsed="false">
      <c r="A1700" s="0" t="s">
        <v>899</v>
      </c>
      <c r="B1700" s="6" t="n">
        <v>42365</v>
      </c>
      <c r="C1700" s="7" t="s">
        <v>33</v>
      </c>
      <c r="D1700" s="7" t="s">
        <v>34</v>
      </c>
      <c r="E1700" s="7" t="s">
        <v>35</v>
      </c>
      <c r="F1700" s="0" t="n">
        <v>21.56</v>
      </c>
      <c r="G1700" s="0" t="n">
        <v>10.3488</v>
      </c>
      <c r="H1700" s="0" t="n">
        <v>0</v>
      </c>
      <c r="I1700" s="7" t="n">
        <f aca="false">YEAR(B1700)</f>
        <v>2015</v>
      </c>
      <c r="J1700" s="0" t="str">
        <f aca="false">I1700&amp;"-Q"&amp;ROUNDUP(MONTH(B1700)/3,0)</f>
        <v>2015-Q4</v>
      </c>
    </row>
    <row r="1701" customFormat="false" ht="15" hidden="false" customHeight="false" outlineLevel="0" collapsed="false">
      <c r="A1701" s="0" t="s">
        <v>900</v>
      </c>
      <c r="B1701" s="6" t="n">
        <v>41793</v>
      </c>
      <c r="C1701" s="7" t="s">
        <v>33</v>
      </c>
      <c r="D1701" s="7" t="s">
        <v>43</v>
      </c>
      <c r="E1701" s="7" t="s">
        <v>31</v>
      </c>
      <c r="F1701" s="0" t="n">
        <v>515.88</v>
      </c>
      <c r="G1701" s="0" t="n">
        <v>113.4936</v>
      </c>
      <c r="H1701" s="0" t="n">
        <v>0</v>
      </c>
      <c r="I1701" s="7" t="n">
        <f aca="false">YEAR(B1701)</f>
        <v>2014</v>
      </c>
      <c r="J1701" s="0" t="str">
        <f aca="false">I1701&amp;"-Q"&amp;ROUNDUP(MONTH(B1701)/3,0)</f>
        <v>2014-Q2</v>
      </c>
    </row>
    <row r="1702" customFormat="false" ht="15" hidden="false" customHeight="false" outlineLevel="0" collapsed="false">
      <c r="A1702" s="0" t="s">
        <v>901</v>
      </c>
      <c r="B1702" s="6" t="n">
        <v>42198</v>
      </c>
      <c r="C1702" s="7" t="s">
        <v>55</v>
      </c>
      <c r="D1702" s="7" t="s">
        <v>76</v>
      </c>
      <c r="E1702" s="7" t="s">
        <v>35</v>
      </c>
      <c r="F1702" s="0" t="n">
        <v>11.808</v>
      </c>
      <c r="G1702" s="0" t="n">
        <v>4.2804</v>
      </c>
      <c r="H1702" s="0" t="n">
        <v>0.2</v>
      </c>
      <c r="I1702" s="7" t="n">
        <f aca="false">YEAR(B1702)</f>
        <v>2015</v>
      </c>
      <c r="J1702" s="0" t="str">
        <f aca="false">I1702&amp;"-Q"&amp;ROUNDUP(MONTH(B1702)/3,0)</f>
        <v>2015-Q3</v>
      </c>
    </row>
    <row r="1703" customFormat="false" ht="15" hidden="false" customHeight="false" outlineLevel="0" collapsed="false">
      <c r="A1703" s="0" t="s">
        <v>901</v>
      </c>
      <c r="B1703" s="6" t="n">
        <v>42198</v>
      </c>
      <c r="C1703" s="7" t="s">
        <v>55</v>
      </c>
      <c r="D1703" s="7" t="s">
        <v>76</v>
      </c>
      <c r="E1703" s="7" t="s">
        <v>31</v>
      </c>
      <c r="F1703" s="0" t="n">
        <v>1931.04</v>
      </c>
      <c r="G1703" s="0" t="n">
        <v>321.84</v>
      </c>
      <c r="H1703" s="0" t="n">
        <v>0.1</v>
      </c>
      <c r="I1703" s="7" t="n">
        <f aca="false">YEAR(B1703)</f>
        <v>2015</v>
      </c>
      <c r="J1703" s="0" t="str">
        <f aca="false">I1703&amp;"-Q"&amp;ROUNDUP(MONTH(B1703)/3,0)</f>
        <v>2015-Q3</v>
      </c>
    </row>
    <row r="1704" customFormat="false" ht="15" hidden="false" customHeight="false" outlineLevel="0" collapsed="false">
      <c r="A1704" s="0" t="s">
        <v>901</v>
      </c>
      <c r="B1704" s="6" t="n">
        <v>42198</v>
      </c>
      <c r="C1704" s="7" t="s">
        <v>55</v>
      </c>
      <c r="D1704" s="7" t="s">
        <v>76</v>
      </c>
      <c r="E1704" s="7" t="s">
        <v>35</v>
      </c>
      <c r="F1704" s="0" t="n">
        <v>9.96</v>
      </c>
      <c r="G1704" s="0" t="n">
        <v>4.6812</v>
      </c>
      <c r="H1704" s="0" t="n">
        <v>0</v>
      </c>
      <c r="I1704" s="7" t="n">
        <f aca="false">YEAR(B1704)</f>
        <v>2015</v>
      </c>
      <c r="J1704" s="0" t="str">
        <f aca="false">I1704&amp;"-Q"&amp;ROUNDUP(MONTH(B1704)/3,0)</f>
        <v>2015-Q3</v>
      </c>
    </row>
    <row r="1705" customFormat="false" ht="15" hidden="false" customHeight="false" outlineLevel="0" collapsed="false">
      <c r="A1705" s="0" t="s">
        <v>902</v>
      </c>
      <c r="B1705" s="6" t="n">
        <v>41672</v>
      </c>
      <c r="C1705" s="7" t="s">
        <v>33</v>
      </c>
      <c r="D1705" s="7" t="s">
        <v>34</v>
      </c>
      <c r="E1705" s="7" t="s">
        <v>35</v>
      </c>
      <c r="F1705" s="0" t="n">
        <v>12.35</v>
      </c>
      <c r="G1705" s="0" t="n">
        <v>5.8045</v>
      </c>
      <c r="H1705" s="0" t="n">
        <v>0</v>
      </c>
      <c r="I1705" s="7" t="n">
        <f aca="false">YEAR(B1705)</f>
        <v>2014</v>
      </c>
      <c r="J1705" s="0" t="str">
        <f aca="false">I1705&amp;"-Q"&amp;ROUNDUP(MONTH(B1705)/3,0)</f>
        <v>2014-Q1</v>
      </c>
    </row>
    <row r="1706" customFormat="false" ht="15" hidden="false" customHeight="false" outlineLevel="0" collapsed="false">
      <c r="A1706" s="0" t="s">
        <v>903</v>
      </c>
      <c r="B1706" s="6" t="n">
        <v>42437</v>
      </c>
      <c r="C1706" s="7" t="s">
        <v>33</v>
      </c>
      <c r="D1706" s="7" t="s">
        <v>81</v>
      </c>
      <c r="E1706" s="7" t="s">
        <v>35</v>
      </c>
      <c r="F1706" s="0" t="n">
        <v>9.702</v>
      </c>
      <c r="G1706" s="0" t="n">
        <v>-7.1148</v>
      </c>
      <c r="H1706" s="0" t="n">
        <v>0.7</v>
      </c>
      <c r="I1706" s="7" t="n">
        <f aca="false">YEAR(B1706)</f>
        <v>2016</v>
      </c>
      <c r="J1706" s="0" t="str">
        <f aca="false">I1706&amp;"-Q"&amp;ROUNDUP(MONTH(B1706)/3,0)</f>
        <v>2016-Q1</v>
      </c>
    </row>
    <row r="1707" customFormat="false" ht="15" hidden="false" customHeight="false" outlineLevel="0" collapsed="false">
      <c r="A1707" s="0" t="s">
        <v>904</v>
      </c>
      <c r="B1707" s="6" t="n">
        <v>42330</v>
      </c>
      <c r="C1707" s="7" t="s">
        <v>55</v>
      </c>
      <c r="D1707" s="7" t="s">
        <v>56</v>
      </c>
      <c r="E1707" s="7" t="s">
        <v>35</v>
      </c>
      <c r="F1707" s="0" t="n">
        <v>11.61</v>
      </c>
      <c r="G1707" s="0" t="n">
        <v>-9.288</v>
      </c>
      <c r="H1707" s="0" t="n">
        <v>0.7</v>
      </c>
      <c r="I1707" s="7" t="n">
        <f aca="false">YEAR(B1707)</f>
        <v>2015</v>
      </c>
      <c r="J1707" s="0" t="str">
        <f aca="false">I1707&amp;"-Q"&amp;ROUNDUP(MONTH(B1707)/3,0)</f>
        <v>2015-Q4</v>
      </c>
    </row>
    <row r="1708" customFormat="false" ht="15" hidden="false" customHeight="false" outlineLevel="0" collapsed="false">
      <c r="A1708" s="0" t="s">
        <v>905</v>
      </c>
      <c r="B1708" s="6" t="n">
        <v>43038</v>
      </c>
      <c r="C1708" s="7" t="s">
        <v>33</v>
      </c>
      <c r="D1708" s="7" t="s">
        <v>34</v>
      </c>
      <c r="E1708" s="7" t="s">
        <v>35</v>
      </c>
      <c r="F1708" s="0" t="n">
        <v>43.86</v>
      </c>
      <c r="G1708" s="0" t="n">
        <v>20.6142</v>
      </c>
      <c r="H1708" s="0" t="n">
        <v>0</v>
      </c>
      <c r="I1708" s="7" t="n">
        <f aca="false">YEAR(B1708)</f>
        <v>2017</v>
      </c>
      <c r="J1708" s="0" t="str">
        <f aca="false">I1708&amp;"-Q"&amp;ROUNDUP(MONTH(B1708)/3,0)</f>
        <v>2017-Q4</v>
      </c>
    </row>
    <row r="1709" customFormat="false" ht="15" hidden="false" customHeight="false" outlineLevel="0" collapsed="false">
      <c r="A1709" s="0" t="s">
        <v>905</v>
      </c>
      <c r="B1709" s="6" t="n">
        <v>43038</v>
      </c>
      <c r="C1709" s="7" t="s">
        <v>33</v>
      </c>
      <c r="D1709" s="7" t="s">
        <v>34</v>
      </c>
      <c r="E1709" s="7" t="s">
        <v>39</v>
      </c>
      <c r="F1709" s="0" t="n">
        <v>148.48</v>
      </c>
      <c r="G1709" s="0" t="n">
        <v>16.704</v>
      </c>
      <c r="H1709" s="0" t="n">
        <v>0.2</v>
      </c>
      <c r="I1709" s="7" t="n">
        <f aca="false">YEAR(B1709)</f>
        <v>2017</v>
      </c>
      <c r="J1709" s="0" t="str">
        <f aca="false">I1709&amp;"-Q"&amp;ROUNDUP(MONTH(B1709)/3,0)</f>
        <v>2017-Q4</v>
      </c>
    </row>
    <row r="1710" customFormat="false" ht="15" hidden="false" customHeight="false" outlineLevel="0" collapsed="false">
      <c r="A1710" s="0" t="s">
        <v>905</v>
      </c>
      <c r="B1710" s="6" t="n">
        <v>43038</v>
      </c>
      <c r="C1710" s="7" t="s">
        <v>33</v>
      </c>
      <c r="D1710" s="7" t="s">
        <v>34</v>
      </c>
      <c r="E1710" s="7" t="s">
        <v>35</v>
      </c>
      <c r="F1710" s="0" t="n">
        <v>7.42</v>
      </c>
      <c r="G1710" s="0" t="n">
        <v>3.71</v>
      </c>
      <c r="H1710" s="0" t="n">
        <v>0</v>
      </c>
      <c r="I1710" s="7" t="n">
        <f aca="false">YEAR(B1710)</f>
        <v>2017</v>
      </c>
      <c r="J1710" s="0" t="str">
        <f aca="false">I1710&amp;"-Q"&amp;ROUNDUP(MONTH(B1710)/3,0)</f>
        <v>2017-Q4</v>
      </c>
    </row>
    <row r="1711" customFormat="false" ht="15" hidden="false" customHeight="false" outlineLevel="0" collapsed="false">
      <c r="A1711" s="0" t="s">
        <v>905</v>
      </c>
      <c r="B1711" s="6" t="n">
        <v>43038</v>
      </c>
      <c r="C1711" s="7" t="s">
        <v>33</v>
      </c>
      <c r="D1711" s="7" t="s">
        <v>34</v>
      </c>
      <c r="E1711" s="7" t="s">
        <v>31</v>
      </c>
      <c r="F1711" s="0" t="n">
        <v>71.992</v>
      </c>
      <c r="G1711" s="0" t="n">
        <v>-0.8999</v>
      </c>
      <c r="H1711" s="0" t="n">
        <v>0.2</v>
      </c>
      <c r="I1711" s="7" t="n">
        <f aca="false">YEAR(B1711)</f>
        <v>2017</v>
      </c>
      <c r="J1711" s="0" t="str">
        <f aca="false">I1711&amp;"-Q"&amp;ROUNDUP(MONTH(B1711)/3,0)</f>
        <v>2017-Q4</v>
      </c>
    </row>
    <row r="1712" customFormat="false" ht="15" hidden="false" customHeight="false" outlineLevel="0" collapsed="false">
      <c r="A1712" s="0" t="s">
        <v>905</v>
      </c>
      <c r="B1712" s="6" t="n">
        <v>43038</v>
      </c>
      <c r="C1712" s="7" t="s">
        <v>33</v>
      </c>
      <c r="D1712" s="7" t="s">
        <v>34</v>
      </c>
      <c r="E1712" s="7" t="s">
        <v>35</v>
      </c>
      <c r="F1712" s="0" t="n">
        <v>19.9</v>
      </c>
      <c r="G1712" s="0" t="n">
        <v>6.567</v>
      </c>
      <c r="H1712" s="0" t="n">
        <v>0</v>
      </c>
      <c r="I1712" s="7" t="n">
        <f aca="false">YEAR(B1712)</f>
        <v>2017</v>
      </c>
      <c r="J1712" s="0" t="str">
        <f aca="false">I1712&amp;"-Q"&amp;ROUNDUP(MONTH(B1712)/3,0)</f>
        <v>2017-Q4</v>
      </c>
    </row>
    <row r="1713" customFormat="false" ht="15" hidden="false" customHeight="false" outlineLevel="0" collapsed="false">
      <c r="A1713" s="0" t="s">
        <v>905</v>
      </c>
      <c r="B1713" s="6" t="n">
        <v>43038</v>
      </c>
      <c r="C1713" s="7" t="s">
        <v>33</v>
      </c>
      <c r="D1713" s="7" t="s">
        <v>34</v>
      </c>
      <c r="E1713" s="7" t="s">
        <v>35</v>
      </c>
      <c r="F1713" s="0" t="n">
        <v>1702.12</v>
      </c>
      <c r="G1713" s="0" t="n">
        <v>510.636</v>
      </c>
      <c r="H1713" s="0" t="n">
        <v>0</v>
      </c>
      <c r="I1713" s="7" t="n">
        <f aca="false">YEAR(B1713)</f>
        <v>2017</v>
      </c>
      <c r="J1713" s="0" t="str">
        <f aca="false">I1713&amp;"-Q"&amp;ROUNDUP(MONTH(B1713)/3,0)</f>
        <v>2017-Q4</v>
      </c>
    </row>
    <row r="1714" customFormat="false" ht="15" hidden="false" customHeight="false" outlineLevel="0" collapsed="false">
      <c r="A1714" s="0" t="s">
        <v>906</v>
      </c>
      <c r="B1714" s="6" t="n">
        <v>42034</v>
      </c>
      <c r="C1714" s="7" t="s">
        <v>45</v>
      </c>
      <c r="D1714" s="7" t="s">
        <v>46</v>
      </c>
      <c r="E1714" s="7" t="s">
        <v>35</v>
      </c>
      <c r="F1714" s="0" t="n">
        <v>14.304</v>
      </c>
      <c r="G1714" s="0" t="n">
        <v>5.0064</v>
      </c>
      <c r="H1714" s="0" t="n">
        <v>0.2</v>
      </c>
      <c r="I1714" s="7" t="n">
        <f aca="false">YEAR(B1714)</f>
        <v>2015</v>
      </c>
      <c r="J1714" s="0" t="str">
        <f aca="false">I1714&amp;"-Q"&amp;ROUNDUP(MONTH(B1714)/3,0)</f>
        <v>2015-Q1</v>
      </c>
    </row>
    <row r="1715" customFormat="false" ht="15" hidden="false" customHeight="false" outlineLevel="0" collapsed="false">
      <c r="A1715" s="0" t="s">
        <v>907</v>
      </c>
      <c r="B1715" s="6" t="n">
        <v>42986</v>
      </c>
      <c r="C1715" s="7" t="s">
        <v>45</v>
      </c>
      <c r="D1715" s="7" t="s">
        <v>64</v>
      </c>
      <c r="E1715" s="7" t="s">
        <v>31</v>
      </c>
      <c r="F1715" s="0" t="n">
        <v>765.625</v>
      </c>
      <c r="G1715" s="0" t="n">
        <v>-566.5625</v>
      </c>
      <c r="H1715" s="0" t="n">
        <v>0.5</v>
      </c>
      <c r="I1715" s="7" t="n">
        <f aca="false">YEAR(B1715)</f>
        <v>2017</v>
      </c>
      <c r="J1715" s="0" t="str">
        <f aca="false">I1715&amp;"-Q"&amp;ROUNDUP(MONTH(B1715)/3,0)</f>
        <v>2017-Q3</v>
      </c>
    </row>
    <row r="1716" customFormat="false" ht="15" hidden="false" customHeight="false" outlineLevel="0" collapsed="false">
      <c r="A1716" s="0" t="s">
        <v>908</v>
      </c>
      <c r="B1716" s="6" t="n">
        <v>43015</v>
      </c>
      <c r="C1716" s="7" t="s">
        <v>33</v>
      </c>
      <c r="D1716" s="7" t="s">
        <v>34</v>
      </c>
      <c r="E1716" s="7" t="s">
        <v>31</v>
      </c>
      <c r="F1716" s="0" t="n">
        <v>307.666</v>
      </c>
      <c r="G1716" s="0" t="n">
        <v>-14.4784</v>
      </c>
      <c r="H1716" s="0" t="n">
        <v>0.15</v>
      </c>
      <c r="I1716" s="7" t="n">
        <f aca="false">YEAR(B1716)</f>
        <v>2017</v>
      </c>
      <c r="J1716" s="0" t="str">
        <f aca="false">I1716&amp;"-Q"&amp;ROUNDUP(MONTH(B1716)/3,0)</f>
        <v>2017-Q4</v>
      </c>
    </row>
    <row r="1717" customFormat="false" ht="15" hidden="false" customHeight="false" outlineLevel="0" collapsed="false">
      <c r="A1717" s="0" t="s">
        <v>909</v>
      </c>
      <c r="B1717" s="6" t="n">
        <v>42490</v>
      </c>
      <c r="C1717" s="7" t="s">
        <v>55</v>
      </c>
      <c r="D1717" s="7" t="s">
        <v>76</v>
      </c>
      <c r="E1717" s="7" t="s">
        <v>35</v>
      </c>
      <c r="F1717" s="0" t="n">
        <v>7.712</v>
      </c>
      <c r="G1717" s="0" t="n">
        <v>2.7956</v>
      </c>
      <c r="H1717" s="0" t="n">
        <v>0.2</v>
      </c>
      <c r="I1717" s="7" t="n">
        <f aca="false">YEAR(B1717)</f>
        <v>2016</v>
      </c>
      <c r="J1717" s="0" t="str">
        <f aca="false">I1717&amp;"-Q"&amp;ROUNDUP(MONTH(B1717)/3,0)</f>
        <v>2016-Q2</v>
      </c>
    </row>
    <row r="1718" customFormat="false" ht="15" hidden="false" customHeight="false" outlineLevel="0" collapsed="false">
      <c r="A1718" s="0" t="s">
        <v>910</v>
      </c>
      <c r="B1718" s="6" t="n">
        <v>42509</v>
      </c>
      <c r="C1718" s="7" t="s">
        <v>55</v>
      </c>
      <c r="D1718" s="7" t="s">
        <v>76</v>
      </c>
      <c r="E1718" s="7" t="s">
        <v>35</v>
      </c>
      <c r="F1718" s="0" t="n">
        <v>242.9</v>
      </c>
      <c r="G1718" s="0" t="n">
        <v>70.441</v>
      </c>
      <c r="H1718" s="0" t="n">
        <v>0</v>
      </c>
      <c r="I1718" s="7" t="n">
        <f aca="false">YEAR(B1718)</f>
        <v>2016</v>
      </c>
      <c r="J1718" s="0" t="str">
        <f aca="false">I1718&amp;"-Q"&amp;ROUNDUP(MONTH(B1718)/3,0)</f>
        <v>2016-Q2</v>
      </c>
    </row>
    <row r="1719" customFormat="false" ht="15" hidden="false" customHeight="false" outlineLevel="0" collapsed="false">
      <c r="A1719" s="0" t="s">
        <v>910</v>
      </c>
      <c r="B1719" s="6" t="n">
        <v>42509</v>
      </c>
      <c r="C1719" s="7" t="s">
        <v>55</v>
      </c>
      <c r="D1719" s="7" t="s">
        <v>76</v>
      </c>
      <c r="E1719" s="7" t="s">
        <v>35</v>
      </c>
      <c r="F1719" s="0" t="n">
        <v>454.9</v>
      </c>
      <c r="G1719" s="0" t="n">
        <v>0</v>
      </c>
      <c r="H1719" s="0" t="n">
        <v>0</v>
      </c>
      <c r="I1719" s="7" t="n">
        <f aca="false">YEAR(B1719)</f>
        <v>2016</v>
      </c>
      <c r="J1719" s="0" t="str">
        <f aca="false">I1719&amp;"-Q"&amp;ROUNDUP(MONTH(B1719)/3,0)</f>
        <v>2016-Q2</v>
      </c>
    </row>
    <row r="1720" customFormat="false" ht="15" hidden="false" customHeight="false" outlineLevel="0" collapsed="false">
      <c r="A1720" s="0" t="s">
        <v>910</v>
      </c>
      <c r="B1720" s="6" t="n">
        <v>42509</v>
      </c>
      <c r="C1720" s="7" t="s">
        <v>55</v>
      </c>
      <c r="D1720" s="7" t="s">
        <v>76</v>
      </c>
      <c r="E1720" s="7" t="s">
        <v>31</v>
      </c>
      <c r="F1720" s="0" t="n">
        <v>35.92</v>
      </c>
      <c r="G1720" s="0" t="n">
        <v>15.0864</v>
      </c>
      <c r="H1720" s="0" t="n">
        <v>0</v>
      </c>
      <c r="I1720" s="7" t="n">
        <f aca="false">YEAR(B1720)</f>
        <v>2016</v>
      </c>
      <c r="J1720" s="0" t="str">
        <f aca="false">I1720&amp;"-Q"&amp;ROUNDUP(MONTH(B1720)/3,0)</f>
        <v>2016-Q2</v>
      </c>
    </row>
    <row r="1721" customFormat="false" ht="15" hidden="false" customHeight="false" outlineLevel="0" collapsed="false">
      <c r="A1721" s="0" t="s">
        <v>910</v>
      </c>
      <c r="B1721" s="6" t="n">
        <v>42509</v>
      </c>
      <c r="C1721" s="7" t="s">
        <v>55</v>
      </c>
      <c r="D1721" s="7" t="s">
        <v>76</v>
      </c>
      <c r="E1721" s="7" t="s">
        <v>31</v>
      </c>
      <c r="F1721" s="0" t="n">
        <v>39.76</v>
      </c>
      <c r="G1721" s="0" t="n">
        <v>12.3256</v>
      </c>
      <c r="H1721" s="0" t="n">
        <v>0</v>
      </c>
      <c r="I1721" s="7" t="n">
        <f aca="false">YEAR(B1721)</f>
        <v>2016</v>
      </c>
      <c r="J1721" s="0" t="str">
        <f aca="false">I1721&amp;"-Q"&amp;ROUNDUP(MONTH(B1721)/3,0)</f>
        <v>2016-Q2</v>
      </c>
    </row>
    <row r="1722" customFormat="false" ht="15" hidden="false" customHeight="false" outlineLevel="0" collapsed="false">
      <c r="A1722" s="0" t="s">
        <v>910</v>
      </c>
      <c r="B1722" s="6" t="n">
        <v>42509</v>
      </c>
      <c r="C1722" s="7" t="s">
        <v>55</v>
      </c>
      <c r="D1722" s="7" t="s">
        <v>76</v>
      </c>
      <c r="E1722" s="7" t="s">
        <v>35</v>
      </c>
      <c r="F1722" s="0" t="n">
        <v>47.744</v>
      </c>
      <c r="G1722" s="0" t="n">
        <v>14.92</v>
      </c>
      <c r="H1722" s="0" t="n">
        <v>0.2</v>
      </c>
      <c r="I1722" s="7" t="n">
        <f aca="false">YEAR(B1722)</f>
        <v>2016</v>
      </c>
      <c r="J1722" s="0" t="str">
        <f aca="false">I1722&amp;"-Q"&amp;ROUNDUP(MONTH(B1722)/3,0)</f>
        <v>2016-Q2</v>
      </c>
    </row>
    <row r="1723" customFormat="false" ht="15" hidden="false" customHeight="false" outlineLevel="0" collapsed="false">
      <c r="A1723" s="0" t="s">
        <v>911</v>
      </c>
      <c r="B1723" s="6" t="n">
        <v>42358</v>
      </c>
      <c r="C1723" s="7" t="s">
        <v>45</v>
      </c>
      <c r="D1723" s="7" t="s">
        <v>64</v>
      </c>
      <c r="E1723" s="7" t="s">
        <v>39</v>
      </c>
      <c r="F1723" s="0" t="n">
        <v>159.984</v>
      </c>
      <c r="G1723" s="0" t="n">
        <v>11.9988</v>
      </c>
      <c r="H1723" s="0" t="n">
        <v>0.2</v>
      </c>
      <c r="I1723" s="7" t="n">
        <f aca="false">YEAR(B1723)</f>
        <v>2015</v>
      </c>
      <c r="J1723" s="0" t="str">
        <f aca="false">I1723&amp;"-Q"&amp;ROUNDUP(MONTH(B1723)/3,0)</f>
        <v>2015-Q4</v>
      </c>
    </row>
    <row r="1724" customFormat="false" ht="15" hidden="false" customHeight="false" outlineLevel="0" collapsed="false">
      <c r="A1724" s="0" t="s">
        <v>911</v>
      </c>
      <c r="B1724" s="6" t="n">
        <v>42358</v>
      </c>
      <c r="C1724" s="7" t="s">
        <v>45</v>
      </c>
      <c r="D1724" s="7" t="s">
        <v>64</v>
      </c>
      <c r="E1724" s="7" t="s">
        <v>39</v>
      </c>
      <c r="F1724" s="0" t="n">
        <v>255.968</v>
      </c>
      <c r="G1724" s="0" t="n">
        <v>51.1936</v>
      </c>
      <c r="H1724" s="0" t="n">
        <v>0.2</v>
      </c>
      <c r="I1724" s="7" t="n">
        <f aca="false">YEAR(B1724)</f>
        <v>2015</v>
      </c>
      <c r="J1724" s="0" t="str">
        <f aca="false">I1724&amp;"-Q"&amp;ROUNDUP(MONTH(B1724)/3,0)</f>
        <v>2015-Q4</v>
      </c>
    </row>
    <row r="1725" customFormat="false" ht="15" hidden="false" customHeight="false" outlineLevel="0" collapsed="false">
      <c r="A1725" s="0" t="s">
        <v>911</v>
      </c>
      <c r="B1725" s="6" t="n">
        <v>42358</v>
      </c>
      <c r="C1725" s="7" t="s">
        <v>45</v>
      </c>
      <c r="D1725" s="7" t="s">
        <v>64</v>
      </c>
      <c r="E1725" s="7" t="s">
        <v>31</v>
      </c>
      <c r="F1725" s="0" t="n">
        <v>359.058</v>
      </c>
      <c r="G1725" s="0" t="n">
        <v>-71.8116</v>
      </c>
      <c r="H1725" s="0" t="n">
        <v>0.3</v>
      </c>
      <c r="I1725" s="7" t="n">
        <f aca="false">YEAR(B1725)</f>
        <v>2015</v>
      </c>
      <c r="J1725" s="0" t="str">
        <f aca="false">I1725&amp;"-Q"&amp;ROUNDUP(MONTH(B1725)/3,0)</f>
        <v>2015-Q4</v>
      </c>
    </row>
    <row r="1726" customFormat="false" ht="15" hidden="false" customHeight="false" outlineLevel="0" collapsed="false">
      <c r="A1726" s="0" t="s">
        <v>912</v>
      </c>
      <c r="B1726" s="6" t="n">
        <v>42357</v>
      </c>
      <c r="C1726" s="7" t="s">
        <v>55</v>
      </c>
      <c r="D1726" s="7" t="s">
        <v>56</v>
      </c>
      <c r="E1726" s="7" t="s">
        <v>35</v>
      </c>
      <c r="F1726" s="0" t="n">
        <v>434.352</v>
      </c>
      <c r="G1726" s="0" t="n">
        <v>43.4352</v>
      </c>
      <c r="H1726" s="0" t="n">
        <v>0.2</v>
      </c>
      <c r="I1726" s="7" t="n">
        <f aca="false">YEAR(B1726)</f>
        <v>2015</v>
      </c>
      <c r="J1726" s="0" t="str">
        <f aca="false">I1726&amp;"-Q"&amp;ROUNDUP(MONTH(B1726)/3,0)</f>
        <v>2015-Q4</v>
      </c>
    </row>
    <row r="1727" customFormat="false" ht="15" hidden="false" customHeight="false" outlineLevel="0" collapsed="false">
      <c r="A1727" s="0" t="s">
        <v>912</v>
      </c>
      <c r="B1727" s="6" t="n">
        <v>42357</v>
      </c>
      <c r="C1727" s="7" t="s">
        <v>55</v>
      </c>
      <c r="D1727" s="7" t="s">
        <v>56</v>
      </c>
      <c r="E1727" s="7" t="s">
        <v>35</v>
      </c>
      <c r="F1727" s="0" t="n">
        <v>3.552</v>
      </c>
      <c r="G1727" s="0" t="n">
        <v>0.444</v>
      </c>
      <c r="H1727" s="0" t="n">
        <v>0.2</v>
      </c>
      <c r="I1727" s="7" t="n">
        <f aca="false">YEAR(B1727)</f>
        <v>2015</v>
      </c>
      <c r="J1727" s="0" t="str">
        <f aca="false">I1727&amp;"-Q"&amp;ROUNDUP(MONTH(B1727)/3,0)</f>
        <v>2015-Q4</v>
      </c>
    </row>
    <row r="1728" customFormat="false" ht="15" hidden="false" customHeight="false" outlineLevel="0" collapsed="false">
      <c r="A1728" s="0" t="s">
        <v>912</v>
      </c>
      <c r="B1728" s="6" t="n">
        <v>42357</v>
      </c>
      <c r="C1728" s="7" t="s">
        <v>55</v>
      </c>
      <c r="D1728" s="7" t="s">
        <v>56</v>
      </c>
      <c r="E1728" s="7" t="s">
        <v>35</v>
      </c>
      <c r="F1728" s="0" t="n">
        <v>88.832</v>
      </c>
      <c r="G1728" s="0" t="n">
        <v>7.7728</v>
      </c>
      <c r="H1728" s="0" t="n">
        <v>0.2</v>
      </c>
      <c r="I1728" s="7" t="n">
        <f aca="false">YEAR(B1728)</f>
        <v>2015</v>
      </c>
      <c r="J1728" s="0" t="str">
        <f aca="false">I1728&amp;"-Q"&amp;ROUNDUP(MONTH(B1728)/3,0)</f>
        <v>2015-Q4</v>
      </c>
    </row>
    <row r="1729" customFormat="false" ht="15" hidden="false" customHeight="false" outlineLevel="0" collapsed="false">
      <c r="A1729" s="0" t="s">
        <v>913</v>
      </c>
      <c r="B1729" s="6" t="n">
        <v>42854</v>
      </c>
      <c r="C1729" s="7" t="s">
        <v>55</v>
      </c>
      <c r="D1729" s="7" t="s">
        <v>116</v>
      </c>
      <c r="E1729" s="7" t="s">
        <v>31</v>
      </c>
      <c r="F1729" s="0" t="n">
        <v>1048.35</v>
      </c>
      <c r="G1729" s="0" t="n">
        <v>-69.89</v>
      </c>
      <c r="H1729" s="0" t="n">
        <v>0.4</v>
      </c>
      <c r="I1729" s="7" t="n">
        <f aca="false">YEAR(B1729)</f>
        <v>2017</v>
      </c>
      <c r="J1729" s="0" t="str">
        <f aca="false">I1729&amp;"-Q"&amp;ROUNDUP(MONTH(B1729)/3,0)</f>
        <v>2017-Q2</v>
      </c>
    </row>
    <row r="1730" customFormat="false" ht="15" hidden="false" customHeight="false" outlineLevel="0" collapsed="false">
      <c r="A1730" s="0" t="s">
        <v>914</v>
      </c>
      <c r="B1730" s="6" t="n">
        <v>42407</v>
      </c>
      <c r="C1730" s="7" t="s">
        <v>29</v>
      </c>
      <c r="D1730" s="7" t="s">
        <v>83</v>
      </c>
      <c r="E1730" s="7" t="s">
        <v>39</v>
      </c>
      <c r="F1730" s="0" t="n">
        <v>100</v>
      </c>
      <c r="G1730" s="0" t="n">
        <v>21</v>
      </c>
      <c r="H1730" s="0" t="n">
        <v>0</v>
      </c>
      <c r="I1730" s="7" t="n">
        <f aca="false">YEAR(B1730)</f>
        <v>2016</v>
      </c>
      <c r="J1730" s="0" t="str">
        <f aca="false">I1730&amp;"-Q"&amp;ROUNDUP(MONTH(B1730)/3,0)</f>
        <v>2016-Q1</v>
      </c>
    </row>
    <row r="1731" customFormat="false" ht="15" hidden="false" customHeight="false" outlineLevel="0" collapsed="false">
      <c r="A1731" s="0" t="s">
        <v>914</v>
      </c>
      <c r="B1731" s="6" t="n">
        <v>42407</v>
      </c>
      <c r="C1731" s="7" t="s">
        <v>29</v>
      </c>
      <c r="D1731" s="7" t="s">
        <v>83</v>
      </c>
      <c r="E1731" s="7" t="s">
        <v>35</v>
      </c>
      <c r="F1731" s="0" t="n">
        <v>7.83</v>
      </c>
      <c r="G1731" s="0" t="n">
        <v>3.6018</v>
      </c>
      <c r="H1731" s="0" t="n">
        <v>0</v>
      </c>
      <c r="I1731" s="7" t="n">
        <f aca="false">YEAR(B1731)</f>
        <v>2016</v>
      </c>
      <c r="J1731" s="0" t="str">
        <f aca="false">I1731&amp;"-Q"&amp;ROUNDUP(MONTH(B1731)/3,0)</f>
        <v>2016-Q1</v>
      </c>
    </row>
    <row r="1732" customFormat="false" ht="15" hidden="false" customHeight="false" outlineLevel="0" collapsed="false">
      <c r="A1732" s="0" t="s">
        <v>915</v>
      </c>
      <c r="B1732" s="6" t="n">
        <v>41910</v>
      </c>
      <c r="C1732" s="7" t="s">
        <v>29</v>
      </c>
      <c r="D1732" s="7" t="s">
        <v>41</v>
      </c>
      <c r="E1732" s="7" t="s">
        <v>35</v>
      </c>
      <c r="F1732" s="0" t="n">
        <v>96.256</v>
      </c>
      <c r="G1732" s="0" t="n">
        <v>31.2832</v>
      </c>
      <c r="H1732" s="0" t="n">
        <v>0.2</v>
      </c>
      <c r="I1732" s="7" t="n">
        <f aca="false">YEAR(B1732)</f>
        <v>2014</v>
      </c>
      <c r="J1732" s="0" t="str">
        <f aca="false">I1732&amp;"-Q"&amp;ROUNDUP(MONTH(B1732)/3,0)</f>
        <v>2014-Q3</v>
      </c>
    </row>
    <row r="1733" customFormat="false" ht="15" hidden="false" customHeight="false" outlineLevel="0" collapsed="false">
      <c r="A1733" s="0" t="s">
        <v>915</v>
      </c>
      <c r="B1733" s="6" t="n">
        <v>41910</v>
      </c>
      <c r="C1733" s="7" t="s">
        <v>29</v>
      </c>
      <c r="D1733" s="7" t="s">
        <v>41</v>
      </c>
      <c r="E1733" s="7" t="s">
        <v>35</v>
      </c>
      <c r="F1733" s="0" t="n">
        <v>10.688</v>
      </c>
      <c r="G1733" s="0" t="n">
        <v>3.7408</v>
      </c>
      <c r="H1733" s="0" t="n">
        <v>0.2</v>
      </c>
      <c r="I1733" s="7" t="n">
        <f aca="false">YEAR(B1733)</f>
        <v>2014</v>
      </c>
      <c r="J1733" s="0" t="str">
        <f aca="false">I1733&amp;"-Q"&amp;ROUNDUP(MONTH(B1733)/3,0)</f>
        <v>2014-Q3</v>
      </c>
    </row>
    <row r="1734" customFormat="false" ht="15" hidden="false" customHeight="false" outlineLevel="0" collapsed="false">
      <c r="A1734" s="0" t="s">
        <v>916</v>
      </c>
      <c r="B1734" s="6" t="n">
        <v>42561</v>
      </c>
      <c r="C1734" s="7" t="s">
        <v>45</v>
      </c>
      <c r="D1734" s="7" t="s">
        <v>46</v>
      </c>
      <c r="E1734" s="7" t="s">
        <v>35</v>
      </c>
      <c r="F1734" s="0" t="n">
        <v>338.04</v>
      </c>
      <c r="G1734" s="0" t="n">
        <v>-33.804</v>
      </c>
      <c r="H1734" s="0" t="n">
        <v>0.2</v>
      </c>
      <c r="I1734" s="7" t="n">
        <f aca="false">YEAR(B1734)</f>
        <v>2016</v>
      </c>
      <c r="J1734" s="0" t="str">
        <f aca="false">I1734&amp;"-Q"&amp;ROUNDUP(MONTH(B1734)/3,0)</f>
        <v>2016-Q3</v>
      </c>
    </row>
    <row r="1735" customFormat="false" ht="15" hidden="false" customHeight="false" outlineLevel="0" collapsed="false">
      <c r="A1735" s="0" t="s">
        <v>916</v>
      </c>
      <c r="B1735" s="6" t="n">
        <v>42561</v>
      </c>
      <c r="C1735" s="7" t="s">
        <v>45</v>
      </c>
      <c r="D1735" s="7" t="s">
        <v>46</v>
      </c>
      <c r="E1735" s="7" t="s">
        <v>35</v>
      </c>
      <c r="F1735" s="0" t="n">
        <v>154.24</v>
      </c>
      <c r="G1735" s="0" t="n">
        <v>17.352</v>
      </c>
      <c r="H1735" s="0" t="n">
        <v>0.2</v>
      </c>
      <c r="I1735" s="7" t="n">
        <f aca="false">YEAR(B1735)</f>
        <v>2016</v>
      </c>
      <c r="J1735" s="0" t="str">
        <f aca="false">I1735&amp;"-Q"&amp;ROUNDUP(MONTH(B1735)/3,0)</f>
        <v>2016-Q3</v>
      </c>
    </row>
    <row r="1736" customFormat="false" ht="15" hidden="false" customHeight="false" outlineLevel="0" collapsed="false">
      <c r="A1736" s="0" t="s">
        <v>917</v>
      </c>
      <c r="B1736" s="6" t="n">
        <v>42945</v>
      </c>
      <c r="C1736" s="7" t="s">
        <v>29</v>
      </c>
      <c r="D1736" s="7" t="s">
        <v>41</v>
      </c>
      <c r="E1736" s="7" t="s">
        <v>35</v>
      </c>
      <c r="F1736" s="0" t="n">
        <v>34.848</v>
      </c>
      <c r="G1736" s="0" t="n">
        <v>6.534</v>
      </c>
      <c r="H1736" s="0" t="n">
        <v>0.2</v>
      </c>
      <c r="I1736" s="7" t="n">
        <f aca="false">YEAR(B1736)</f>
        <v>2017</v>
      </c>
      <c r="J1736" s="0" t="str">
        <f aca="false">I1736&amp;"-Q"&amp;ROUNDUP(MONTH(B1736)/3,0)</f>
        <v>2017-Q3</v>
      </c>
    </row>
    <row r="1737" customFormat="false" ht="15" hidden="false" customHeight="false" outlineLevel="0" collapsed="false">
      <c r="A1737" s="0" t="s">
        <v>917</v>
      </c>
      <c r="B1737" s="6" t="n">
        <v>42945</v>
      </c>
      <c r="C1737" s="7" t="s">
        <v>29</v>
      </c>
      <c r="D1737" s="7" t="s">
        <v>41</v>
      </c>
      <c r="E1737" s="7" t="s">
        <v>39</v>
      </c>
      <c r="F1737" s="0" t="n">
        <v>22</v>
      </c>
      <c r="G1737" s="0" t="n">
        <v>1.375</v>
      </c>
      <c r="H1737" s="0" t="n">
        <v>0.2</v>
      </c>
      <c r="I1737" s="7" t="n">
        <f aca="false">YEAR(B1737)</f>
        <v>2017</v>
      </c>
      <c r="J1737" s="0" t="str">
        <f aca="false">I1737&amp;"-Q"&amp;ROUNDUP(MONTH(B1737)/3,0)</f>
        <v>2017-Q3</v>
      </c>
    </row>
    <row r="1738" customFormat="false" ht="15" hidden="false" customHeight="false" outlineLevel="0" collapsed="false">
      <c r="A1738" s="0" t="s">
        <v>917</v>
      </c>
      <c r="B1738" s="6" t="n">
        <v>42945</v>
      </c>
      <c r="C1738" s="7" t="s">
        <v>29</v>
      </c>
      <c r="D1738" s="7" t="s">
        <v>41</v>
      </c>
      <c r="E1738" s="7" t="s">
        <v>35</v>
      </c>
      <c r="F1738" s="0" t="n">
        <v>4.368</v>
      </c>
      <c r="G1738" s="0" t="n">
        <v>0.3822</v>
      </c>
      <c r="H1738" s="0" t="n">
        <v>0.2</v>
      </c>
      <c r="I1738" s="7" t="n">
        <f aca="false">YEAR(B1738)</f>
        <v>2017</v>
      </c>
      <c r="J1738" s="0" t="str">
        <f aca="false">I1738&amp;"-Q"&amp;ROUNDUP(MONTH(B1738)/3,0)</f>
        <v>2017-Q3</v>
      </c>
    </row>
    <row r="1739" customFormat="false" ht="15" hidden="false" customHeight="false" outlineLevel="0" collapsed="false">
      <c r="A1739" s="0" t="s">
        <v>918</v>
      </c>
      <c r="B1739" s="6" t="n">
        <v>42250</v>
      </c>
      <c r="C1739" s="7" t="s">
        <v>33</v>
      </c>
      <c r="D1739" s="7" t="s">
        <v>34</v>
      </c>
      <c r="E1739" s="7" t="s">
        <v>35</v>
      </c>
      <c r="F1739" s="0" t="n">
        <v>31.44</v>
      </c>
      <c r="G1739" s="0" t="n">
        <v>8.4888</v>
      </c>
      <c r="H1739" s="0" t="n">
        <v>0</v>
      </c>
      <c r="I1739" s="7" t="n">
        <f aca="false">YEAR(B1739)</f>
        <v>2015</v>
      </c>
      <c r="J1739" s="0" t="str">
        <f aca="false">I1739&amp;"-Q"&amp;ROUNDUP(MONTH(B1739)/3,0)</f>
        <v>2015-Q3</v>
      </c>
    </row>
    <row r="1740" customFormat="false" ht="15" hidden="false" customHeight="false" outlineLevel="0" collapsed="false">
      <c r="A1740" s="0" t="s">
        <v>918</v>
      </c>
      <c r="B1740" s="6" t="n">
        <v>42250</v>
      </c>
      <c r="C1740" s="7" t="s">
        <v>33</v>
      </c>
      <c r="D1740" s="7" t="s">
        <v>34</v>
      </c>
      <c r="E1740" s="7" t="s">
        <v>39</v>
      </c>
      <c r="F1740" s="0" t="n">
        <v>17.9</v>
      </c>
      <c r="G1740" s="0" t="n">
        <v>3.401</v>
      </c>
      <c r="H1740" s="0" t="n">
        <v>0</v>
      </c>
      <c r="I1740" s="7" t="n">
        <f aca="false">YEAR(B1740)</f>
        <v>2015</v>
      </c>
      <c r="J1740" s="0" t="str">
        <f aca="false">I1740&amp;"-Q"&amp;ROUNDUP(MONTH(B1740)/3,0)</f>
        <v>2015-Q3</v>
      </c>
    </row>
    <row r="1741" customFormat="false" ht="15" hidden="false" customHeight="false" outlineLevel="0" collapsed="false">
      <c r="A1741" s="0" t="s">
        <v>918</v>
      </c>
      <c r="B1741" s="6" t="n">
        <v>42250</v>
      </c>
      <c r="C1741" s="7" t="s">
        <v>33</v>
      </c>
      <c r="D1741" s="7" t="s">
        <v>34</v>
      </c>
      <c r="E1741" s="7" t="s">
        <v>39</v>
      </c>
      <c r="F1741" s="0" t="n">
        <v>129.45</v>
      </c>
      <c r="G1741" s="0" t="n">
        <v>46.602</v>
      </c>
      <c r="H1741" s="0" t="n">
        <v>0</v>
      </c>
      <c r="I1741" s="7" t="n">
        <f aca="false">YEAR(B1741)</f>
        <v>2015</v>
      </c>
      <c r="J1741" s="0" t="str">
        <f aca="false">I1741&amp;"-Q"&amp;ROUNDUP(MONTH(B1741)/3,0)</f>
        <v>2015-Q3</v>
      </c>
    </row>
    <row r="1742" customFormat="false" ht="15" hidden="false" customHeight="false" outlineLevel="0" collapsed="false">
      <c r="A1742" s="0" t="s">
        <v>919</v>
      </c>
      <c r="B1742" s="6" t="n">
        <v>41860</v>
      </c>
      <c r="C1742" s="7" t="s">
        <v>33</v>
      </c>
      <c r="D1742" s="7" t="s">
        <v>34</v>
      </c>
      <c r="E1742" s="7" t="s">
        <v>35</v>
      </c>
      <c r="F1742" s="0" t="n">
        <v>20.88</v>
      </c>
      <c r="G1742" s="0" t="n">
        <v>9.6048</v>
      </c>
      <c r="H1742" s="0" t="n">
        <v>0</v>
      </c>
      <c r="I1742" s="7" t="n">
        <f aca="false">YEAR(B1742)</f>
        <v>2014</v>
      </c>
      <c r="J1742" s="0" t="str">
        <f aca="false">I1742&amp;"-Q"&amp;ROUNDUP(MONTH(B1742)/3,0)</f>
        <v>2014-Q3</v>
      </c>
    </row>
    <row r="1743" customFormat="false" ht="15" hidden="false" customHeight="false" outlineLevel="0" collapsed="false">
      <c r="A1743" s="0" t="s">
        <v>920</v>
      </c>
      <c r="B1743" s="6" t="n">
        <v>43038</v>
      </c>
      <c r="C1743" s="7" t="s">
        <v>55</v>
      </c>
      <c r="D1743" s="7" t="s">
        <v>56</v>
      </c>
      <c r="E1743" s="7" t="s">
        <v>35</v>
      </c>
      <c r="F1743" s="0" t="n">
        <v>20.736</v>
      </c>
      <c r="G1743" s="0" t="n">
        <v>7.2576</v>
      </c>
      <c r="H1743" s="0" t="n">
        <v>0.2</v>
      </c>
      <c r="I1743" s="7" t="n">
        <f aca="false">YEAR(B1743)</f>
        <v>2017</v>
      </c>
      <c r="J1743" s="0" t="str">
        <f aca="false">I1743&amp;"-Q"&amp;ROUNDUP(MONTH(B1743)/3,0)</f>
        <v>2017-Q4</v>
      </c>
    </row>
    <row r="1744" customFormat="false" ht="15" hidden="false" customHeight="false" outlineLevel="0" collapsed="false">
      <c r="A1744" s="0" t="s">
        <v>920</v>
      </c>
      <c r="B1744" s="6" t="n">
        <v>43038</v>
      </c>
      <c r="C1744" s="7" t="s">
        <v>55</v>
      </c>
      <c r="D1744" s="7" t="s">
        <v>56</v>
      </c>
      <c r="E1744" s="7" t="s">
        <v>31</v>
      </c>
      <c r="F1744" s="0" t="n">
        <v>7.168</v>
      </c>
      <c r="G1744" s="0" t="n">
        <v>0.9856</v>
      </c>
      <c r="H1744" s="0" t="n">
        <v>0.2</v>
      </c>
      <c r="I1744" s="7" t="n">
        <f aca="false">YEAR(B1744)</f>
        <v>2017</v>
      </c>
      <c r="J1744" s="0" t="str">
        <f aca="false">I1744&amp;"-Q"&amp;ROUNDUP(MONTH(B1744)/3,0)</f>
        <v>2017-Q4</v>
      </c>
    </row>
    <row r="1745" customFormat="false" ht="15" hidden="false" customHeight="false" outlineLevel="0" collapsed="false">
      <c r="A1745" s="0" t="s">
        <v>920</v>
      </c>
      <c r="B1745" s="6" t="n">
        <v>43038</v>
      </c>
      <c r="C1745" s="7" t="s">
        <v>55</v>
      </c>
      <c r="D1745" s="7" t="s">
        <v>56</v>
      </c>
      <c r="E1745" s="7" t="s">
        <v>35</v>
      </c>
      <c r="F1745" s="0" t="n">
        <v>11.168</v>
      </c>
      <c r="G1745" s="0" t="n">
        <v>-2.5128</v>
      </c>
      <c r="H1745" s="0" t="n">
        <v>0.2</v>
      </c>
      <c r="I1745" s="7" t="n">
        <f aca="false">YEAR(B1745)</f>
        <v>2017</v>
      </c>
      <c r="J1745" s="0" t="str">
        <f aca="false">I1745&amp;"-Q"&amp;ROUNDUP(MONTH(B1745)/3,0)</f>
        <v>2017-Q4</v>
      </c>
    </row>
    <row r="1746" customFormat="false" ht="15" hidden="false" customHeight="false" outlineLevel="0" collapsed="false">
      <c r="A1746" s="0" t="s">
        <v>920</v>
      </c>
      <c r="B1746" s="6" t="n">
        <v>43038</v>
      </c>
      <c r="C1746" s="7" t="s">
        <v>55</v>
      </c>
      <c r="D1746" s="7" t="s">
        <v>56</v>
      </c>
      <c r="E1746" s="7" t="s">
        <v>39</v>
      </c>
      <c r="F1746" s="0" t="n">
        <v>442.4</v>
      </c>
      <c r="G1746" s="0" t="n">
        <v>-55.3</v>
      </c>
      <c r="H1746" s="0" t="n">
        <v>0.2</v>
      </c>
      <c r="I1746" s="7" t="n">
        <f aca="false">YEAR(B1746)</f>
        <v>2017</v>
      </c>
      <c r="J1746" s="0" t="str">
        <f aca="false">I1746&amp;"-Q"&amp;ROUNDUP(MONTH(B1746)/3,0)</f>
        <v>2017-Q4</v>
      </c>
    </row>
    <row r="1747" customFormat="false" ht="15" hidden="false" customHeight="false" outlineLevel="0" collapsed="false">
      <c r="A1747" s="0" t="s">
        <v>921</v>
      </c>
      <c r="B1747" s="6" t="n">
        <v>41796</v>
      </c>
      <c r="C1747" s="7" t="s">
        <v>55</v>
      </c>
      <c r="D1747" s="7" t="s">
        <v>76</v>
      </c>
      <c r="E1747" s="7" t="s">
        <v>35</v>
      </c>
      <c r="F1747" s="0" t="n">
        <v>13.36</v>
      </c>
      <c r="G1747" s="0" t="n">
        <v>4.9432</v>
      </c>
      <c r="H1747" s="0" t="n">
        <v>0</v>
      </c>
      <c r="I1747" s="7" t="n">
        <f aca="false">YEAR(B1747)</f>
        <v>2014</v>
      </c>
      <c r="J1747" s="0" t="str">
        <f aca="false">I1747&amp;"-Q"&amp;ROUNDUP(MONTH(B1747)/3,0)</f>
        <v>2014-Q2</v>
      </c>
    </row>
    <row r="1748" customFormat="false" ht="15" hidden="false" customHeight="false" outlineLevel="0" collapsed="false">
      <c r="A1748" s="0" t="s">
        <v>922</v>
      </c>
      <c r="B1748" s="6" t="n">
        <v>42595</v>
      </c>
      <c r="C1748" s="7" t="s">
        <v>29</v>
      </c>
      <c r="D1748" s="7" t="s">
        <v>41</v>
      </c>
      <c r="E1748" s="7" t="s">
        <v>35</v>
      </c>
      <c r="F1748" s="0" t="n">
        <v>11.232</v>
      </c>
      <c r="G1748" s="0" t="n">
        <v>-8.2368</v>
      </c>
      <c r="H1748" s="0" t="n">
        <v>0.7</v>
      </c>
      <c r="I1748" s="7" t="n">
        <f aca="false">YEAR(B1748)</f>
        <v>2016</v>
      </c>
      <c r="J1748" s="0" t="str">
        <f aca="false">I1748&amp;"-Q"&amp;ROUNDUP(MONTH(B1748)/3,0)</f>
        <v>2016-Q3</v>
      </c>
    </row>
    <row r="1749" customFormat="false" ht="15" hidden="false" customHeight="false" outlineLevel="0" collapsed="false">
      <c r="A1749" s="0" t="s">
        <v>922</v>
      </c>
      <c r="B1749" s="6" t="n">
        <v>42595</v>
      </c>
      <c r="C1749" s="7" t="s">
        <v>29</v>
      </c>
      <c r="D1749" s="7" t="s">
        <v>41</v>
      </c>
      <c r="E1749" s="7" t="s">
        <v>35</v>
      </c>
      <c r="F1749" s="0" t="n">
        <v>10.272</v>
      </c>
      <c r="G1749" s="0" t="n">
        <v>3.21</v>
      </c>
      <c r="H1749" s="0" t="n">
        <v>0.2</v>
      </c>
      <c r="I1749" s="7" t="n">
        <f aca="false">YEAR(B1749)</f>
        <v>2016</v>
      </c>
      <c r="J1749" s="0" t="str">
        <f aca="false">I1749&amp;"-Q"&amp;ROUNDUP(MONTH(B1749)/3,0)</f>
        <v>2016-Q3</v>
      </c>
    </row>
    <row r="1750" customFormat="false" ht="15" hidden="false" customHeight="false" outlineLevel="0" collapsed="false">
      <c r="A1750" s="0" t="s">
        <v>923</v>
      </c>
      <c r="B1750" s="6" t="n">
        <v>41754</v>
      </c>
      <c r="C1750" s="7" t="s">
        <v>45</v>
      </c>
      <c r="D1750" s="7" t="s">
        <v>46</v>
      </c>
      <c r="E1750" s="7" t="s">
        <v>35</v>
      </c>
      <c r="F1750" s="0" t="n">
        <v>10.368</v>
      </c>
      <c r="G1750" s="0" t="n">
        <v>3.6288</v>
      </c>
      <c r="H1750" s="0" t="n">
        <v>0.2</v>
      </c>
      <c r="I1750" s="7" t="n">
        <f aca="false">YEAR(B1750)</f>
        <v>2014</v>
      </c>
      <c r="J1750" s="0" t="str">
        <f aca="false">I1750&amp;"-Q"&amp;ROUNDUP(MONTH(B1750)/3,0)</f>
        <v>2014-Q2</v>
      </c>
    </row>
    <row r="1751" customFormat="false" ht="15" hidden="false" customHeight="false" outlineLevel="0" collapsed="false">
      <c r="A1751" s="0" t="s">
        <v>923</v>
      </c>
      <c r="B1751" s="6" t="n">
        <v>41754</v>
      </c>
      <c r="C1751" s="7" t="s">
        <v>45</v>
      </c>
      <c r="D1751" s="7" t="s">
        <v>46</v>
      </c>
      <c r="E1751" s="7" t="s">
        <v>35</v>
      </c>
      <c r="F1751" s="0" t="n">
        <v>6.24</v>
      </c>
      <c r="G1751" s="0" t="n">
        <v>0.546</v>
      </c>
      <c r="H1751" s="0" t="n">
        <v>0.2</v>
      </c>
      <c r="I1751" s="7" t="n">
        <f aca="false">YEAR(B1751)</f>
        <v>2014</v>
      </c>
      <c r="J1751" s="0" t="str">
        <f aca="false">I1751&amp;"-Q"&amp;ROUNDUP(MONTH(B1751)/3,0)</f>
        <v>2014-Q2</v>
      </c>
    </row>
    <row r="1752" customFormat="false" ht="15" hidden="false" customHeight="false" outlineLevel="0" collapsed="false">
      <c r="A1752" s="0" t="s">
        <v>924</v>
      </c>
      <c r="B1752" s="6" t="n">
        <v>42330</v>
      </c>
      <c r="C1752" s="7" t="s">
        <v>45</v>
      </c>
      <c r="D1752" s="7" t="s">
        <v>46</v>
      </c>
      <c r="E1752" s="7" t="s">
        <v>31</v>
      </c>
      <c r="F1752" s="0" t="n">
        <v>206.962</v>
      </c>
      <c r="G1752" s="0" t="n">
        <v>-32.5226</v>
      </c>
      <c r="H1752" s="0" t="n">
        <v>0.3</v>
      </c>
      <c r="I1752" s="7" t="n">
        <f aca="false">YEAR(B1752)</f>
        <v>2015</v>
      </c>
      <c r="J1752" s="0" t="str">
        <f aca="false">I1752&amp;"-Q"&amp;ROUNDUP(MONTH(B1752)/3,0)</f>
        <v>2015-Q4</v>
      </c>
    </row>
    <row r="1753" customFormat="false" ht="15" hidden="false" customHeight="false" outlineLevel="0" collapsed="false">
      <c r="A1753" s="0" t="s">
        <v>925</v>
      </c>
      <c r="B1753" s="6" t="n">
        <v>43022</v>
      </c>
      <c r="C1753" s="7" t="s">
        <v>33</v>
      </c>
      <c r="D1753" s="7" t="s">
        <v>34</v>
      </c>
      <c r="E1753" s="7" t="s">
        <v>31</v>
      </c>
      <c r="F1753" s="0" t="n">
        <v>9.46</v>
      </c>
      <c r="G1753" s="0" t="n">
        <v>3.6894</v>
      </c>
      <c r="H1753" s="0" t="n">
        <v>0</v>
      </c>
      <c r="I1753" s="7" t="n">
        <f aca="false">YEAR(B1753)</f>
        <v>2017</v>
      </c>
      <c r="J1753" s="0" t="str">
        <f aca="false">I1753&amp;"-Q"&amp;ROUNDUP(MONTH(B1753)/3,0)</f>
        <v>2017-Q4</v>
      </c>
    </row>
    <row r="1754" customFormat="false" ht="15" hidden="false" customHeight="false" outlineLevel="0" collapsed="false">
      <c r="A1754" s="0" t="s">
        <v>926</v>
      </c>
      <c r="B1754" s="6" t="n">
        <v>43071</v>
      </c>
      <c r="C1754" s="7" t="s">
        <v>33</v>
      </c>
      <c r="D1754" s="7" t="s">
        <v>34</v>
      </c>
      <c r="E1754" s="7" t="s">
        <v>35</v>
      </c>
      <c r="F1754" s="0" t="n">
        <v>559.62</v>
      </c>
      <c r="G1754" s="0" t="n">
        <v>151.0974</v>
      </c>
      <c r="H1754" s="0" t="n">
        <v>0</v>
      </c>
      <c r="I1754" s="7" t="n">
        <f aca="false">YEAR(B1754)</f>
        <v>2017</v>
      </c>
      <c r="J1754" s="0" t="str">
        <f aca="false">I1754&amp;"-Q"&amp;ROUNDUP(MONTH(B1754)/3,0)</f>
        <v>2017-Q4</v>
      </c>
    </row>
    <row r="1755" customFormat="false" ht="15" hidden="false" customHeight="false" outlineLevel="0" collapsed="false">
      <c r="A1755" s="0" t="s">
        <v>926</v>
      </c>
      <c r="B1755" s="6" t="n">
        <v>43071</v>
      </c>
      <c r="C1755" s="7" t="s">
        <v>33</v>
      </c>
      <c r="D1755" s="7" t="s">
        <v>34</v>
      </c>
      <c r="E1755" s="7" t="s">
        <v>35</v>
      </c>
      <c r="F1755" s="0" t="n">
        <v>109.92</v>
      </c>
      <c r="G1755" s="0" t="n">
        <v>53.8608</v>
      </c>
      <c r="H1755" s="0" t="n">
        <v>0</v>
      </c>
      <c r="I1755" s="7" t="n">
        <f aca="false">YEAR(B1755)</f>
        <v>2017</v>
      </c>
      <c r="J1755" s="0" t="str">
        <f aca="false">I1755&amp;"-Q"&amp;ROUNDUP(MONTH(B1755)/3,0)</f>
        <v>2017-Q4</v>
      </c>
    </row>
    <row r="1756" customFormat="false" ht="15" hidden="false" customHeight="false" outlineLevel="0" collapsed="false">
      <c r="A1756" s="0" t="s">
        <v>926</v>
      </c>
      <c r="B1756" s="6" t="n">
        <v>43071</v>
      </c>
      <c r="C1756" s="7" t="s">
        <v>33</v>
      </c>
      <c r="D1756" s="7" t="s">
        <v>34</v>
      </c>
      <c r="E1756" s="7" t="s">
        <v>35</v>
      </c>
      <c r="F1756" s="0" t="n">
        <v>8.56</v>
      </c>
      <c r="G1756" s="0" t="n">
        <v>3.852</v>
      </c>
      <c r="H1756" s="0" t="n">
        <v>0</v>
      </c>
      <c r="I1756" s="7" t="n">
        <f aca="false">YEAR(B1756)</f>
        <v>2017</v>
      </c>
      <c r="J1756" s="0" t="str">
        <f aca="false">I1756&amp;"-Q"&amp;ROUNDUP(MONTH(B1756)/3,0)</f>
        <v>2017-Q4</v>
      </c>
    </row>
    <row r="1757" customFormat="false" ht="15" hidden="false" customHeight="false" outlineLevel="0" collapsed="false">
      <c r="A1757" s="0" t="s">
        <v>927</v>
      </c>
      <c r="B1757" s="6" t="n">
        <v>42346</v>
      </c>
      <c r="C1757" s="7" t="s">
        <v>45</v>
      </c>
      <c r="D1757" s="7" t="s">
        <v>46</v>
      </c>
      <c r="E1757" s="7" t="s">
        <v>35</v>
      </c>
      <c r="F1757" s="0" t="n">
        <v>360.712</v>
      </c>
      <c r="G1757" s="0" t="n">
        <v>130.7581</v>
      </c>
      <c r="H1757" s="0" t="n">
        <v>0.2</v>
      </c>
      <c r="I1757" s="7" t="n">
        <f aca="false">YEAR(B1757)</f>
        <v>2015</v>
      </c>
      <c r="J1757" s="0" t="str">
        <f aca="false">I1757&amp;"-Q"&amp;ROUNDUP(MONTH(B1757)/3,0)</f>
        <v>2015-Q4</v>
      </c>
    </row>
    <row r="1758" customFormat="false" ht="15" hidden="false" customHeight="false" outlineLevel="0" collapsed="false">
      <c r="A1758" s="0" t="s">
        <v>927</v>
      </c>
      <c r="B1758" s="6" t="n">
        <v>42346</v>
      </c>
      <c r="C1758" s="7" t="s">
        <v>45</v>
      </c>
      <c r="D1758" s="7" t="s">
        <v>46</v>
      </c>
      <c r="E1758" s="7" t="s">
        <v>39</v>
      </c>
      <c r="F1758" s="0" t="n">
        <v>1718.4</v>
      </c>
      <c r="G1758" s="0" t="n">
        <v>150.36</v>
      </c>
      <c r="H1758" s="0" t="n">
        <v>0.2</v>
      </c>
      <c r="I1758" s="7" t="n">
        <f aca="false">YEAR(B1758)</f>
        <v>2015</v>
      </c>
      <c r="J1758" s="0" t="str">
        <f aca="false">I1758&amp;"-Q"&amp;ROUNDUP(MONTH(B1758)/3,0)</f>
        <v>2015-Q4</v>
      </c>
    </row>
    <row r="1759" customFormat="false" ht="15" hidden="false" customHeight="false" outlineLevel="0" collapsed="false">
      <c r="A1759" s="0" t="s">
        <v>928</v>
      </c>
      <c r="B1759" s="6" t="n">
        <v>42198</v>
      </c>
      <c r="C1759" s="7" t="s">
        <v>45</v>
      </c>
      <c r="D1759" s="7" t="s">
        <v>46</v>
      </c>
      <c r="E1759" s="7" t="s">
        <v>35</v>
      </c>
      <c r="F1759" s="0" t="n">
        <v>41.568</v>
      </c>
      <c r="G1759" s="0" t="n">
        <v>-66.5088</v>
      </c>
      <c r="H1759" s="0" t="n">
        <v>0.8</v>
      </c>
      <c r="I1759" s="7" t="n">
        <f aca="false">YEAR(B1759)</f>
        <v>2015</v>
      </c>
      <c r="J1759" s="0" t="str">
        <f aca="false">I1759&amp;"-Q"&amp;ROUNDUP(MONTH(B1759)/3,0)</f>
        <v>2015-Q3</v>
      </c>
    </row>
    <row r="1760" customFormat="false" ht="15" hidden="false" customHeight="false" outlineLevel="0" collapsed="false">
      <c r="A1760" s="0" t="s">
        <v>929</v>
      </c>
      <c r="B1760" s="6" t="n">
        <v>41770</v>
      </c>
      <c r="C1760" s="7" t="s">
        <v>45</v>
      </c>
      <c r="D1760" s="7" t="s">
        <v>46</v>
      </c>
      <c r="E1760" s="7" t="s">
        <v>39</v>
      </c>
      <c r="F1760" s="0" t="n">
        <v>46.864</v>
      </c>
      <c r="G1760" s="0" t="n">
        <v>7.6154</v>
      </c>
      <c r="H1760" s="0" t="n">
        <v>0.2</v>
      </c>
      <c r="I1760" s="7" t="n">
        <f aca="false">YEAR(B1760)</f>
        <v>2014</v>
      </c>
      <c r="J1760" s="0" t="str">
        <f aca="false">I1760&amp;"-Q"&amp;ROUNDUP(MONTH(B1760)/3,0)</f>
        <v>2014-Q2</v>
      </c>
    </row>
    <row r="1761" customFormat="false" ht="15" hidden="false" customHeight="false" outlineLevel="0" collapsed="false">
      <c r="A1761" s="0" t="s">
        <v>930</v>
      </c>
      <c r="B1761" s="6" t="n">
        <v>41644</v>
      </c>
      <c r="C1761" s="7" t="s">
        <v>55</v>
      </c>
      <c r="D1761" s="7" t="s">
        <v>56</v>
      </c>
      <c r="E1761" s="7" t="s">
        <v>35</v>
      </c>
      <c r="F1761" s="0" t="n">
        <v>19.536</v>
      </c>
      <c r="G1761" s="0" t="n">
        <v>4.884</v>
      </c>
      <c r="H1761" s="0" t="n">
        <v>0.2</v>
      </c>
      <c r="I1761" s="7" t="n">
        <f aca="false">YEAR(B1761)</f>
        <v>2014</v>
      </c>
      <c r="J1761" s="0" t="str">
        <f aca="false">I1761&amp;"-Q"&amp;ROUNDUP(MONTH(B1761)/3,0)</f>
        <v>2014-Q1</v>
      </c>
    </row>
    <row r="1762" customFormat="false" ht="15" hidden="false" customHeight="false" outlineLevel="0" collapsed="false">
      <c r="A1762" s="0" t="s">
        <v>931</v>
      </c>
      <c r="B1762" s="6" t="n">
        <v>42252</v>
      </c>
      <c r="C1762" s="7" t="s">
        <v>33</v>
      </c>
      <c r="D1762" s="7" t="s">
        <v>34</v>
      </c>
      <c r="E1762" s="7" t="s">
        <v>31</v>
      </c>
      <c r="F1762" s="0" t="n">
        <v>411.332</v>
      </c>
      <c r="G1762" s="0" t="n">
        <v>-4.8392</v>
      </c>
      <c r="H1762" s="0" t="n">
        <v>0.15</v>
      </c>
      <c r="I1762" s="7" t="n">
        <f aca="false">YEAR(B1762)</f>
        <v>2015</v>
      </c>
      <c r="J1762" s="0" t="str">
        <f aca="false">I1762&amp;"-Q"&amp;ROUNDUP(MONTH(B1762)/3,0)</f>
        <v>2015-Q3</v>
      </c>
    </row>
    <row r="1763" customFormat="false" ht="15" hidden="false" customHeight="false" outlineLevel="0" collapsed="false">
      <c r="A1763" s="0" t="s">
        <v>931</v>
      </c>
      <c r="B1763" s="6" t="n">
        <v>42252</v>
      </c>
      <c r="C1763" s="7" t="s">
        <v>33</v>
      </c>
      <c r="D1763" s="7" t="s">
        <v>34</v>
      </c>
      <c r="E1763" s="7" t="s">
        <v>35</v>
      </c>
      <c r="F1763" s="0" t="n">
        <v>28.752</v>
      </c>
      <c r="G1763" s="0" t="n">
        <v>9.7038</v>
      </c>
      <c r="H1763" s="0" t="n">
        <v>0.2</v>
      </c>
      <c r="I1763" s="7" t="n">
        <f aca="false">YEAR(B1763)</f>
        <v>2015</v>
      </c>
      <c r="J1763" s="0" t="str">
        <f aca="false">I1763&amp;"-Q"&amp;ROUNDUP(MONTH(B1763)/3,0)</f>
        <v>2015-Q3</v>
      </c>
    </row>
    <row r="1764" customFormat="false" ht="15" hidden="false" customHeight="false" outlineLevel="0" collapsed="false">
      <c r="A1764" s="0" t="s">
        <v>931</v>
      </c>
      <c r="B1764" s="6" t="n">
        <v>42252</v>
      </c>
      <c r="C1764" s="7" t="s">
        <v>33</v>
      </c>
      <c r="D1764" s="7" t="s">
        <v>34</v>
      </c>
      <c r="E1764" s="7" t="s">
        <v>31</v>
      </c>
      <c r="F1764" s="0" t="n">
        <v>293.199</v>
      </c>
      <c r="G1764" s="0" t="n">
        <v>-20.6964</v>
      </c>
      <c r="H1764" s="0" t="n">
        <v>0.15</v>
      </c>
      <c r="I1764" s="7" t="n">
        <f aca="false">YEAR(B1764)</f>
        <v>2015</v>
      </c>
      <c r="J1764" s="0" t="str">
        <f aca="false">I1764&amp;"-Q"&amp;ROUNDUP(MONTH(B1764)/3,0)</f>
        <v>2015-Q3</v>
      </c>
    </row>
    <row r="1765" customFormat="false" ht="15" hidden="false" customHeight="false" outlineLevel="0" collapsed="false">
      <c r="A1765" s="0" t="s">
        <v>932</v>
      </c>
      <c r="B1765" s="6" t="n">
        <v>42586</v>
      </c>
      <c r="C1765" s="7" t="s">
        <v>29</v>
      </c>
      <c r="D1765" s="7" t="s">
        <v>83</v>
      </c>
      <c r="E1765" s="7" t="s">
        <v>35</v>
      </c>
      <c r="F1765" s="0" t="n">
        <v>35.06</v>
      </c>
      <c r="G1765" s="0" t="n">
        <v>10.518</v>
      </c>
      <c r="H1765" s="0" t="n">
        <v>0</v>
      </c>
      <c r="I1765" s="7" t="n">
        <f aca="false">YEAR(B1765)</f>
        <v>2016</v>
      </c>
      <c r="J1765" s="0" t="str">
        <f aca="false">I1765&amp;"-Q"&amp;ROUNDUP(MONTH(B1765)/3,0)</f>
        <v>2016-Q3</v>
      </c>
    </row>
    <row r="1766" customFormat="false" ht="15" hidden="false" customHeight="false" outlineLevel="0" collapsed="false">
      <c r="A1766" s="0" t="s">
        <v>932</v>
      </c>
      <c r="B1766" s="6" t="n">
        <v>42586</v>
      </c>
      <c r="C1766" s="7" t="s">
        <v>29</v>
      </c>
      <c r="D1766" s="7" t="s">
        <v>83</v>
      </c>
      <c r="E1766" s="7" t="s">
        <v>35</v>
      </c>
      <c r="F1766" s="0" t="n">
        <v>4.13</v>
      </c>
      <c r="G1766" s="0" t="n">
        <v>1.8998</v>
      </c>
      <c r="H1766" s="0" t="n">
        <v>0</v>
      </c>
      <c r="I1766" s="7" t="n">
        <f aca="false">YEAR(B1766)</f>
        <v>2016</v>
      </c>
      <c r="J1766" s="0" t="str">
        <f aca="false">I1766&amp;"-Q"&amp;ROUNDUP(MONTH(B1766)/3,0)</f>
        <v>2016-Q3</v>
      </c>
    </row>
    <row r="1767" customFormat="false" ht="15" hidden="false" customHeight="false" outlineLevel="0" collapsed="false">
      <c r="A1767" s="0" t="s">
        <v>932</v>
      </c>
      <c r="B1767" s="6" t="n">
        <v>42586</v>
      </c>
      <c r="C1767" s="7" t="s">
        <v>29</v>
      </c>
      <c r="D1767" s="7" t="s">
        <v>83</v>
      </c>
      <c r="E1767" s="7" t="s">
        <v>31</v>
      </c>
      <c r="F1767" s="0" t="n">
        <v>109.8</v>
      </c>
      <c r="G1767" s="0" t="n">
        <v>46.116</v>
      </c>
      <c r="H1767" s="0" t="n">
        <v>0</v>
      </c>
      <c r="I1767" s="7" t="n">
        <f aca="false">YEAR(B1767)</f>
        <v>2016</v>
      </c>
      <c r="J1767" s="0" t="str">
        <f aca="false">I1767&amp;"-Q"&amp;ROUNDUP(MONTH(B1767)/3,0)</f>
        <v>2016-Q3</v>
      </c>
    </row>
    <row r="1768" customFormat="false" ht="15" hidden="false" customHeight="false" outlineLevel="0" collapsed="false">
      <c r="A1768" s="0" t="s">
        <v>932</v>
      </c>
      <c r="B1768" s="6" t="n">
        <v>42586</v>
      </c>
      <c r="C1768" s="7" t="s">
        <v>29</v>
      </c>
      <c r="D1768" s="7" t="s">
        <v>83</v>
      </c>
      <c r="E1768" s="7" t="s">
        <v>35</v>
      </c>
      <c r="F1768" s="0" t="n">
        <v>9.82</v>
      </c>
      <c r="G1768" s="0" t="n">
        <v>4.8118</v>
      </c>
      <c r="H1768" s="0" t="n">
        <v>0</v>
      </c>
      <c r="I1768" s="7" t="n">
        <f aca="false">YEAR(B1768)</f>
        <v>2016</v>
      </c>
      <c r="J1768" s="0" t="str">
        <f aca="false">I1768&amp;"-Q"&amp;ROUNDUP(MONTH(B1768)/3,0)</f>
        <v>2016-Q3</v>
      </c>
    </row>
    <row r="1769" customFormat="false" ht="15" hidden="false" customHeight="false" outlineLevel="0" collapsed="false">
      <c r="A1769" s="0" t="s">
        <v>933</v>
      </c>
      <c r="B1769" s="6" t="n">
        <v>41720</v>
      </c>
      <c r="C1769" s="7" t="s">
        <v>29</v>
      </c>
      <c r="D1769" s="7" t="s">
        <v>41</v>
      </c>
      <c r="E1769" s="7" t="s">
        <v>35</v>
      </c>
      <c r="F1769" s="0" t="n">
        <v>7.644</v>
      </c>
      <c r="G1769" s="0" t="n">
        <v>-5.8604</v>
      </c>
      <c r="H1769" s="0" t="n">
        <v>0.7</v>
      </c>
      <c r="I1769" s="7" t="n">
        <f aca="false">YEAR(B1769)</f>
        <v>2014</v>
      </c>
      <c r="J1769" s="0" t="str">
        <f aca="false">I1769&amp;"-Q"&amp;ROUNDUP(MONTH(B1769)/3,0)</f>
        <v>2014-Q1</v>
      </c>
    </row>
    <row r="1770" customFormat="false" ht="15" hidden="false" customHeight="false" outlineLevel="0" collapsed="false">
      <c r="A1770" s="0" t="s">
        <v>933</v>
      </c>
      <c r="B1770" s="6" t="n">
        <v>41720</v>
      </c>
      <c r="C1770" s="7" t="s">
        <v>29</v>
      </c>
      <c r="D1770" s="7" t="s">
        <v>41</v>
      </c>
      <c r="E1770" s="7" t="s">
        <v>35</v>
      </c>
      <c r="F1770" s="0" t="n">
        <v>51.465</v>
      </c>
      <c r="G1770" s="0" t="n">
        <v>-39.4565</v>
      </c>
      <c r="H1770" s="0" t="n">
        <v>0.7</v>
      </c>
      <c r="I1770" s="7" t="n">
        <f aca="false">YEAR(B1770)</f>
        <v>2014</v>
      </c>
      <c r="J1770" s="0" t="str">
        <f aca="false">I1770&amp;"-Q"&amp;ROUNDUP(MONTH(B1770)/3,0)</f>
        <v>2014-Q1</v>
      </c>
    </row>
    <row r="1771" customFormat="false" ht="15" hidden="false" customHeight="false" outlineLevel="0" collapsed="false">
      <c r="A1771" s="0" t="s">
        <v>934</v>
      </c>
      <c r="B1771" s="6" t="n">
        <v>42796</v>
      </c>
      <c r="C1771" s="7" t="s">
        <v>45</v>
      </c>
      <c r="D1771" s="7" t="s">
        <v>46</v>
      </c>
      <c r="E1771" s="7" t="s">
        <v>35</v>
      </c>
      <c r="F1771" s="0" t="n">
        <v>6.976</v>
      </c>
      <c r="G1771" s="0" t="n">
        <v>-1.3952</v>
      </c>
      <c r="H1771" s="0" t="n">
        <v>0.2</v>
      </c>
      <c r="I1771" s="7" t="n">
        <f aca="false">YEAR(B1771)</f>
        <v>2017</v>
      </c>
      <c r="J1771" s="0" t="str">
        <f aca="false">I1771&amp;"-Q"&amp;ROUNDUP(MONTH(B1771)/3,0)</f>
        <v>2017-Q1</v>
      </c>
    </row>
    <row r="1772" customFormat="false" ht="15" hidden="false" customHeight="false" outlineLevel="0" collapsed="false">
      <c r="A1772" s="0" t="s">
        <v>934</v>
      </c>
      <c r="B1772" s="6" t="n">
        <v>42796</v>
      </c>
      <c r="C1772" s="7" t="s">
        <v>45</v>
      </c>
      <c r="D1772" s="7" t="s">
        <v>46</v>
      </c>
      <c r="E1772" s="7" t="s">
        <v>35</v>
      </c>
      <c r="F1772" s="0" t="n">
        <v>12.222</v>
      </c>
      <c r="G1772" s="0" t="n">
        <v>-20.1663</v>
      </c>
      <c r="H1772" s="0" t="n">
        <v>0.8</v>
      </c>
      <c r="I1772" s="7" t="n">
        <f aca="false">YEAR(B1772)</f>
        <v>2017</v>
      </c>
      <c r="J1772" s="0" t="str">
        <f aca="false">I1772&amp;"-Q"&amp;ROUNDUP(MONTH(B1772)/3,0)</f>
        <v>2017-Q1</v>
      </c>
    </row>
    <row r="1773" customFormat="false" ht="15" hidden="false" customHeight="false" outlineLevel="0" collapsed="false">
      <c r="A1773" s="0" t="s">
        <v>935</v>
      </c>
      <c r="B1773" s="6" t="n">
        <v>42701</v>
      </c>
      <c r="C1773" s="7" t="s">
        <v>45</v>
      </c>
      <c r="D1773" s="7" t="s">
        <v>64</v>
      </c>
      <c r="E1773" s="7" t="s">
        <v>35</v>
      </c>
      <c r="F1773" s="0" t="n">
        <v>97.984</v>
      </c>
      <c r="G1773" s="0" t="n">
        <v>-24.496</v>
      </c>
      <c r="H1773" s="0" t="n">
        <v>0.2</v>
      </c>
      <c r="I1773" s="7" t="n">
        <f aca="false">YEAR(B1773)</f>
        <v>2016</v>
      </c>
      <c r="J1773" s="0" t="str">
        <f aca="false">I1773&amp;"-Q"&amp;ROUNDUP(MONTH(B1773)/3,0)</f>
        <v>2016-Q4</v>
      </c>
    </row>
    <row r="1774" customFormat="false" ht="15" hidden="false" customHeight="false" outlineLevel="0" collapsed="false">
      <c r="A1774" s="0" t="s">
        <v>935</v>
      </c>
      <c r="B1774" s="6" t="n">
        <v>42701</v>
      </c>
      <c r="C1774" s="7" t="s">
        <v>45</v>
      </c>
      <c r="D1774" s="7" t="s">
        <v>64</v>
      </c>
      <c r="E1774" s="7" t="s">
        <v>39</v>
      </c>
      <c r="F1774" s="0" t="n">
        <v>62.4</v>
      </c>
      <c r="G1774" s="0" t="n">
        <v>19.5</v>
      </c>
      <c r="H1774" s="0" t="n">
        <v>0.2</v>
      </c>
      <c r="I1774" s="7" t="n">
        <f aca="false">YEAR(B1774)</f>
        <v>2016</v>
      </c>
      <c r="J1774" s="0" t="str">
        <f aca="false">I1774&amp;"-Q"&amp;ROUNDUP(MONTH(B1774)/3,0)</f>
        <v>2016-Q4</v>
      </c>
    </row>
    <row r="1775" customFormat="false" ht="15" hidden="false" customHeight="false" outlineLevel="0" collapsed="false">
      <c r="A1775" s="0" t="s">
        <v>936</v>
      </c>
      <c r="B1775" s="6" t="n">
        <v>41757</v>
      </c>
      <c r="C1775" s="7" t="s">
        <v>55</v>
      </c>
      <c r="D1775" s="7" t="s">
        <v>495</v>
      </c>
      <c r="E1775" s="7" t="s">
        <v>35</v>
      </c>
      <c r="F1775" s="0" t="n">
        <v>20.86</v>
      </c>
      <c r="G1775" s="0" t="n">
        <v>9.387</v>
      </c>
      <c r="H1775" s="0" t="n">
        <v>0</v>
      </c>
      <c r="I1775" s="7" t="n">
        <f aca="false">YEAR(B1775)</f>
        <v>2014</v>
      </c>
      <c r="J1775" s="0" t="str">
        <f aca="false">I1775&amp;"-Q"&amp;ROUNDUP(MONTH(B1775)/3,0)</f>
        <v>2014-Q2</v>
      </c>
    </row>
    <row r="1776" customFormat="false" ht="15" hidden="false" customHeight="false" outlineLevel="0" collapsed="false">
      <c r="A1776" s="0" t="s">
        <v>936</v>
      </c>
      <c r="B1776" s="6" t="n">
        <v>41757</v>
      </c>
      <c r="C1776" s="7" t="s">
        <v>55</v>
      </c>
      <c r="D1776" s="7" t="s">
        <v>495</v>
      </c>
      <c r="E1776" s="7" t="s">
        <v>35</v>
      </c>
      <c r="F1776" s="0" t="n">
        <v>497.61</v>
      </c>
      <c r="G1776" s="0" t="n">
        <v>129.3786</v>
      </c>
      <c r="H1776" s="0" t="n">
        <v>0</v>
      </c>
      <c r="I1776" s="7" t="n">
        <f aca="false">YEAR(B1776)</f>
        <v>2014</v>
      </c>
      <c r="J1776" s="0" t="str">
        <f aca="false">I1776&amp;"-Q"&amp;ROUNDUP(MONTH(B1776)/3,0)</f>
        <v>2014-Q2</v>
      </c>
    </row>
    <row r="1777" customFormat="false" ht="15" hidden="false" customHeight="false" outlineLevel="0" collapsed="false">
      <c r="A1777" s="0" t="s">
        <v>936</v>
      </c>
      <c r="B1777" s="6" t="n">
        <v>41757</v>
      </c>
      <c r="C1777" s="7" t="s">
        <v>55</v>
      </c>
      <c r="D1777" s="7" t="s">
        <v>495</v>
      </c>
      <c r="E1777" s="7" t="s">
        <v>35</v>
      </c>
      <c r="F1777" s="0" t="n">
        <v>5.34</v>
      </c>
      <c r="G1777" s="0" t="n">
        <v>1.4952</v>
      </c>
      <c r="H1777" s="0" t="n">
        <v>0</v>
      </c>
      <c r="I1777" s="7" t="n">
        <f aca="false">YEAR(B1777)</f>
        <v>2014</v>
      </c>
      <c r="J1777" s="0" t="str">
        <f aca="false">I1777&amp;"-Q"&amp;ROUNDUP(MONTH(B1777)/3,0)</f>
        <v>2014-Q2</v>
      </c>
    </row>
    <row r="1778" customFormat="false" ht="15" hidden="false" customHeight="false" outlineLevel="0" collapsed="false">
      <c r="A1778" s="0" t="s">
        <v>936</v>
      </c>
      <c r="B1778" s="6" t="n">
        <v>41757</v>
      </c>
      <c r="C1778" s="7" t="s">
        <v>55</v>
      </c>
      <c r="D1778" s="7" t="s">
        <v>495</v>
      </c>
      <c r="E1778" s="7" t="s">
        <v>35</v>
      </c>
      <c r="F1778" s="0" t="n">
        <v>3.15</v>
      </c>
      <c r="G1778" s="0" t="n">
        <v>1.512</v>
      </c>
      <c r="H1778" s="0" t="n">
        <v>0</v>
      </c>
      <c r="I1778" s="7" t="n">
        <f aca="false">YEAR(B1778)</f>
        <v>2014</v>
      </c>
      <c r="J1778" s="0" t="str">
        <f aca="false">I1778&amp;"-Q"&amp;ROUNDUP(MONTH(B1778)/3,0)</f>
        <v>2014-Q2</v>
      </c>
    </row>
    <row r="1779" customFormat="false" ht="15" hidden="false" customHeight="false" outlineLevel="0" collapsed="false">
      <c r="A1779" s="0" t="s">
        <v>937</v>
      </c>
      <c r="B1779" s="6" t="n">
        <v>42332</v>
      </c>
      <c r="C1779" s="7" t="s">
        <v>33</v>
      </c>
      <c r="D1779" s="7" t="s">
        <v>34</v>
      </c>
      <c r="E1779" s="7" t="s">
        <v>35</v>
      </c>
      <c r="F1779" s="0" t="n">
        <v>368.91</v>
      </c>
      <c r="G1779" s="0" t="n">
        <v>180.7659</v>
      </c>
      <c r="H1779" s="0" t="n">
        <v>0</v>
      </c>
      <c r="I1779" s="7" t="n">
        <f aca="false">YEAR(B1779)</f>
        <v>2015</v>
      </c>
      <c r="J1779" s="0" t="str">
        <f aca="false">I1779&amp;"-Q"&amp;ROUNDUP(MONTH(B1779)/3,0)</f>
        <v>2015-Q4</v>
      </c>
    </row>
    <row r="1780" customFormat="false" ht="15" hidden="false" customHeight="false" outlineLevel="0" collapsed="false">
      <c r="A1780" s="0" t="s">
        <v>937</v>
      </c>
      <c r="B1780" s="6" t="n">
        <v>42332</v>
      </c>
      <c r="C1780" s="7" t="s">
        <v>33</v>
      </c>
      <c r="D1780" s="7" t="s">
        <v>34</v>
      </c>
      <c r="E1780" s="7" t="s">
        <v>35</v>
      </c>
      <c r="F1780" s="0" t="n">
        <v>14.7</v>
      </c>
      <c r="G1780" s="0" t="n">
        <v>6.615</v>
      </c>
      <c r="H1780" s="0" t="n">
        <v>0</v>
      </c>
      <c r="I1780" s="7" t="n">
        <f aca="false">YEAR(B1780)</f>
        <v>2015</v>
      </c>
      <c r="J1780" s="0" t="str">
        <f aca="false">I1780&amp;"-Q"&amp;ROUNDUP(MONTH(B1780)/3,0)</f>
        <v>2015-Q4</v>
      </c>
    </row>
    <row r="1781" customFormat="false" ht="15" hidden="false" customHeight="false" outlineLevel="0" collapsed="false">
      <c r="A1781" s="0" t="s">
        <v>938</v>
      </c>
      <c r="B1781" s="6" t="n">
        <v>42685</v>
      </c>
      <c r="C1781" s="7" t="s">
        <v>55</v>
      </c>
      <c r="D1781" s="7" t="s">
        <v>76</v>
      </c>
      <c r="E1781" s="7" t="s">
        <v>39</v>
      </c>
      <c r="F1781" s="0" t="n">
        <v>59.97</v>
      </c>
      <c r="G1781" s="0" t="n">
        <v>14.9925</v>
      </c>
      <c r="H1781" s="0" t="n">
        <v>0</v>
      </c>
      <c r="I1781" s="7" t="n">
        <f aca="false">YEAR(B1781)</f>
        <v>2016</v>
      </c>
      <c r="J1781" s="0" t="str">
        <f aca="false">I1781&amp;"-Q"&amp;ROUNDUP(MONTH(B1781)/3,0)</f>
        <v>2016-Q4</v>
      </c>
    </row>
    <row r="1782" customFormat="false" ht="15" hidden="false" customHeight="false" outlineLevel="0" collapsed="false">
      <c r="A1782" s="0" t="s">
        <v>938</v>
      </c>
      <c r="B1782" s="6" t="n">
        <v>42685</v>
      </c>
      <c r="C1782" s="7" t="s">
        <v>55</v>
      </c>
      <c r="D1782" s="7" t="s">
        <v>76</v>
      </c>
      <c r="E1782" s="7" t="s">
        <v>35</v>
      </c>
      <c r="F1782" s="0" t="n">
        <v>83.36</v>
      </c>
      <c r="G1782" s="0" t="n">
        <v>20.84</v>
      </c>
      <c r="H1782" s="0" t="n">
        <v>0</v>
      </c>
      <c r="I1782" s="7" t="n">
        <f aca="false">YEAR(B1782)</f>
        <v>2016</v>
      </c>
      <c r="J1782" s="0" t="str">
        <f aca="false">I1782&amp;"-Q"&amp;ROUNDUP(MONTH(B1782)/3,0)</f>
        <v>2016-Q4</v>
      </c>
    </row>
    <row r="1783" customFormat="false" ht="15" hidden="false" customHeight="false" outlineLevel="0" collapsed="false">
      <c r="A1783" s="0" t="s">
        <v>939</v>
      </c>
      <c r="B1783" s="6" t="n">
        <v>42194</v>
      </c>
      <c r="C1783" s="7" t="s">
        <v>55</v>
      </c>
      <c r="D1783" s="7" t="s">
        <v>225</v>
      </c>
      <c r="E1783" s="7" t="s">
        <v>35</v>
      </c>
      <c r="F1783" s="0" t="n">
        <v>6.58</v>
      </c>
      <c r="G1783" s="0" t="n">
        <v>3.0268</v>
      </c>
      <c r="H1783" s="0" t="n">
        <v>0</v>
      </c>
      <c r="I1783" s="7" t="n">
        <f aca="false">YEAR(B1783)</f>
        <v>2015</v>
      </c>
      <c r="J1783" s="0" t="str">
        <f aca="false">I1783&amp;"-Q"&amp;ROUNDUP(MONTH(B1783)/3,0)</f>
        <v>2015-Q3</v>
      </c>
    </row>
    <row r="1784" customFormat="false" ht="15" hidden="false" customHeight="false" outlineLevel="0" collapsed="false">
      <c r="A1784" s="0" t="s">
        <v>939</v>
      </c>
      <c r="B1784" s="6" t="n">
        <v>42194</v>
      </c>
      <c r="C1784" s="7" t="s">
        <v>55</v>
      </c>
      <c r="D1784" s="7" t="s">
        <v>225</v>
      </c>
      <c r="E1784" s="7" t="s">
        <v>35</v>
      </c>
      <c r="F1784" s="0" t="n">
        <v>122.94</v>
      </c>
      <c r="G1784" s="0" t="n">
        <v>59.0112</v>
      </c>
      <c r="H1784" s="0" t="n">
        <v>0</v>
      </c>
      <c r="I1784" s="7" t="n">
        <f aca="false">YEAR(B1784)</f>
        <v>2015</v>
      </c>
      <c r="J1784" s="0" t="str">
        <f aca="false">I1784&amp;"-Q"&amp;ROUNDUP(MONTH(B1784)/3,0)</f>
        <v>2015-Q3</v>
      </c>
    </row>
    <row r="1785" customFormat="false" ht="15" hidden="false" customHeight="false" outlineLevel="0" collapsed="false">
      <c r="A1785" s="0" t="s">
        <v>940</v>
      </c>
      <c r="B1785" s="6" t="n">
        <v>43000</v>
      </c>
      <c r="C1785" s="7" t="s">
        <v>45</v>
      </c>
      <c r="D1785" s="7" t="s">
        <v>48</v>
      </c>
      <c r="E1785" s="7" t="s">
        <v>35</v>
      </c>
      <c r="F1785" s="0" t="n">
        <v>219.84</v>
      </c>
      <c r="G1785" s="0" t="n">
        <v>107.7216</v>
      </c>
      <c r="H1785" s="0" t="n">
        <v>0</v>
      </c>
      <c r="I1785" s="7" t="n">
        <f aca="false">YEAR(B1785)</f>
        <v>2017</v>
      </c>
      <c r="J1785" s="0" t="str">
        <f aca="false">I1785&amp;"-Q"&amp;ROUNDUP(MONTH(B1785)/3,0)</f>
        <v>2017-Q3</v>
      </c>
    </row>
    <row r="1786" customFormat="false" ht="15" hidden="false" customHeight="false" outlineLevel="0" collapsed="false">
      <c r="A1786" s="0" t="s">
        <v>940</v>
      </c>
      <c r="B1786" s="6" t="n">
        <v>43000</v>
      </c>
      <c r="C1786" s="7" t="s">
        <v>45</v>
      </c>
      <c r="D1786" s="7" t="s">
        <v>48</v>
      </c>
      <c r="E1786" s="7" t="s">
        <v>39</v>
      </c>
      <c r="F1786" s="0" t="n">
        <v>98.16</v>
      </c>
      <c r="G1786" s="0" t="n">
        <v>9.816</v>
      </c>
      <c r="H1786" s="0" t="n">
        <v>0</v>
      </c>
      <c r="I1786" s="7" t="n">
        <f aca="false">YEAR(B1786)</f>
        <v>2017</v>
      </c>
      <c r="J1786" s="0" t="str">
        <f aca="false">I1786&amp;"-Q"&amp;ROUNDUP(MONTH(B1786)/3,0)</f>
        <v>2017-Q3</v>
      </c>
    </row>
    <row r="1787" customFormat="false" ht="15" hidden="false" customHeight="false" outlineLevel="0" collapsed="false">
      <c r="A1787" s="0" t="s">
        <v>940</v>
      </c>
      <c r="B1787" s="6" t="n">
        <v>43000</v>
      </c>
      <c r="C1787" s="7" t="s">
        <v>45</v>
      </c>
      <c r="D1787" s="7" t="s">
        <v>48</v>
      </c>
      <c r="E1787" s="7" t="s">
        <v>35</v>
      </c>
      <c r="F1787" s="0" t="n">
        <v>33.04</v>
      </c>
      <c r="G1787" s="0" t="n">
        <v>15.5288</v>
      </c>
      <c r="H1787" s="0" t="n">
        <v>0</v>
      </c>
      <c r="I1787" s="7" t="n">
        <f aca="false">YEAR(B1787)</f>
        <v>2017</v>
      </c>
      <c r="J1787" s="0" t="str">
        <f aca="false">I1787&amp;"-Q"&amp;ROUNDUP(MONTH(B1787)/3,0)</f>
        <v>2017-Q3</v>
      </c>
    </row>
    <row r="1788" customFormat="false" ht="15" hidden="false" customHeight="false" outlineLevel="0" collapsed="false">
      <c r="A1788" s="0" t="s">
        <v>940</v>
      </c>
      <c r="B1788" s="6" t="n">
        <v>43000</v>
      </c>
      <c r="C1788" s="7" t="s">
        <v>45</v>
      </c>
      <c r="D1788" s="7" t="s">
        <v>48</v>
      </c>
      <c r="E1788" s="7" t="s">
        <v>39</v>
      </c>
      <c r="F1788" s="0" t="n">
        <v>86.97</v>
      </c>
      <c r="G1788" s="0" t="n">
        <v>25.2213</v>
      </c>
      <c r="H1788" s="0" t="n">
        <v>0</v>
      </c>
      <c r="I1788" s="7" t="n">
        <f aca="false">YEAR(B1788)</f>
        <v>2017</v>
      </c>
      <c r="J1788" s="0" t="str">
        <f aca="false">I1788&amp;"-Q"&amp;ROUNDUP(MONTH(B1788)/3,0)</f>
        <v>2017-Q3</v>
      </c>
    </row>
    <row r="1789" customFormat="false" ht="15" hidden="false" customHeight="false" outlineLevel="0" collapsed="false">
      <c r="A1789" s="0" t="s">
        <v>941</v>
      </c>
      <c r="B1789" s="6" t="n">
        <v>42050</v>
      </c>
      <c r="C1789" s="7" t="s">
        <v>45</v>
      </c>
      <c r="D1789" s="7" t="s">
        <v>48</v>
      </c>
      <c r="E1789" s="7" t="s">
        <v>39</v>
      </c>
      <c r="F1789" s="0" t="n">
        <v>134.97</v>
      </c>
      <c r="G1789" s="0" t="n">
        <v>64.7856</v>
      </c>
      <c r="H1789" s="0" t="n">
        <v>0</v>
      </c>
      <c r="I1789" s="7" t="n">
        <f aca="false">YEAR(B1789)</f>
        <v>2015</v>
      </c>
      <c r="J1789" s="0" t="str">
        <f aca="false">I1789&amp;"-Q"&amp;ROUNDUP(MONTH(B1789)/3,0)</f>
        <v>2015-Q1</v>
      </c>
    </row>
    <row r="1790" customFormat="false" ht="15" hidden="false" customHeight="false" outlineLevel="0" collapsed="false">
      <c r="A1790" s="0" t="s">
        <v>941</v>
      </c>
      <c r="B1790" s="6" t="n">
        <v>42050</v>
      </c>
      <c r="C1790" s="7" t="s">
        <v>45</v>
      </c>
      <c r="D1790" s="7" t="s">
        <v>48</v>
      </c>
      <c r="E1790" s="7" t="s">
        <v>39</v>
      </c>
      <c r="F1790" s="0" t="n">
        <v>699.98</v>
      </c>
      <c r="G1790" s="0" t="n">
        <v>195.9944</v>
      </c>
      <c r="H1790" s="0" t="n">
        <v>0</v>
      </c>
      <c r="I1790" s="7" t="n">
        <f aca="false">YEAR(B1790)</f>
        <v>2015</v>
      </c>
      <c r="J1790" s="0" t="str">
        <f aca="false">I1790&amp;"-Q"&amp;ROUNDUP(MONTH(B1790)/3,0)</f>
        <v>2015-Q1</v>
      </c>
    </row>
    <row r="1791" customFormat="false" ht="15" hidden="false" customHeight="false" outlineLevel="0" collapsed="false">
      <c r="A1791" s="0" t="s">
        <v>941</v>
      </c>
      <c r="B1791" s="6" t="n">
        <v>42050</v>
      </c>
      <c r="C1791" s="7" t="s">
        <v>45</v>
      </c>
      <c r="D1791" s="7" t="s">
        <v>48</v>
      </c>
      <c r="E1791" s="7" t="s">
        <v>39</v>
      </c>
      <c r="F1791" s="0" t="n">
        <v>139.95</v>
      </c>
      <c r="G1791" s="0" t="n">
        <v>26.5905</v>
      </c>
      <c r="H1791" s="0" t="n">
        <v>0</v>
      </c>
      <c r="I1791" s="7" t="n">
        <f aca="false">YEAR(B1791)</f>
        <v>2015</v>
      </c>
      <c r="J1791" s="0" t="str">
        <f aca="false">I1791&amp;"-Q"&amp;ROUNDUP(MONTH(B1791)/3,0)</f>
        <v>2015-Q1</v>
      </c>
    </row>
    <row r="1792" customFormat="false" ht="15" hidden="false" customHeight="false" outlineLevel="0" collapsed="false">
      <c r="A1792" s="0" t="s">
        <v>942</v>
      </c>
      <c r="B1792" s="6" t="n">
        <v>41912</v>
      </c>
      <c r="C1792" s="7" t="s">
        <v>55</v>
      </c>
      <c r="D1792" s="7" t="s">
        <v>76</v>
      </c>
      <c r="E1792" s="7" t="s">
        <v>35</v>
      </c>
      <c r="F1792" s="0" t="n">
        <v>48.94</v>
      </c>
      <c r="G1792" s="0" t="n">
        <v>24.47</v>
      </c>
      <c r="H1792" s="0" t="n">
        <v>0</v>
      </c>
      <c r="I1792" s="7" t="n">
        <f aca="false">YEAR(B1792)</f>
        <v>2014</v>
      </c>
      <c r="J1792" s="0" t="str">
        <f aca="false">I1792&amp;"-Q"&amp;ROUNDUP(MONTH(B1792)/3,0)</f>
        <v>2014-Q3</v>
      </c>
    </row>
    <row r="1793" customFormat="false" ht="15" hidden="false" customHeight="false" outlineLevel="0" collapsed="false">
      <c r="A1793" s="0" t="s">
        <v>943</v>
      </c>
      <c r="B1793" s="6" t="n">
        <v>41974</v>
      </c>
      <c r="C1793" s="7" t="s">
        <v>45</v>
      </c>
      <c r="D1793" s="7" t="s">
        <v>48</v>
      </c>
      <c r="E1793" s="7" t="s">
        <v>31</v>
      </c>
      <c r="F1793" s="0" t="n">
        <v>2807.84</v>
      </c>
      <c r="G1793" s="0" t="n">
        <v>673.8816</v>
      </c>
      <c r="H1793" s="0" t="n">
        <v>0</v>
      </c>
      <c r="I1793" s="7" t="n">
        <f aca="false">YEAR(B1793)</f>
        <v>2014</v>
      </c>
      <c r="J1793" s="0" t="str">
        <f aca="false">I1793&amp;"-Q"&amp;ROUNDUP(MONTH(B1793)/3,0)</f>
        <v>2014-Q4</v>
      </c>
    </row>
    <row r="1794" customFormat="false" ht="15" hidden="false" customHeight="false" outlineLevel="0" collapsed="false">
      <c r="A1794" s="0" t="s">
        <v>943</v>
      </c>
      <c r="B1794" s="6" t="n">
        <v>41974</v>
      </c>
      <c r="C1794" s="7" t="s">
        <v>45</v>
      </c>
      <c r="D1794" s="7" t="s">
        <v>48</v>
      </c>
      <c r="E1794" s="7" t="s">
        <v>35</v>
      </c>
      <c r="F1794" s="0" t="n">
        <v>46.64</v>
      </c>
      <c r="G1794" s="0" t="n">
        <v>12.5928</v>
      </c>
      <c r="H1794" s="0" t="n">
        <v>0</v>
      </c>
      <c r="I1794" s="7" t="n">
        <f aca="false">YEAR(B1794)</f>
        <v>2014</v>
      </c>
      <c r="J1794" s="0" t="str">
        <f aca="false">I1794&amp;"-Q"&amp;ROUNDUP(MONTH(B1794)/3,0)</f>
        <v>2014-Q4</v>
      </c>
    </row>
    <row r="1795" customFormat="false" ht="15" hidden="false" customHeight="false" outlineLevel="0" collapsed="false">
      <c r="A1795" s="0" t="s">
        <v>944</v>
      </c>
      <c r="B1795" s="6" t="n">
        <v>41981</v>
      </c>
      <c r="C1795" s="7" t="s">
        <v>45</v>
      </c>
      <c r="D1795" s="7" t="s">
        <v>46</v>
      </c>
      <c r="E1795" s="7" t="s">
        <v>35</v>
      </c>
      <c r="F1795" s="0" t="n">
        <v>60.416</v>
      </c>
      <c r="G1795" s="0" t="n">
        <v>6.0416</v>
      </c>
      <c r="H1795" s="0" t="n">
        <v>0.2</v>
      </c>
      <c r="I1795" s="7" t="n">
        <f aca="false">YEAR(B1795)</f>
        <v>2014</v>
      </c>
      <c r="J1795" s="0" t="str">
        <f aca="false">I1795&amp;"-Q"&amp;ROUNDUP(MONTH(B1795)/3,0)</f>
        <v>2014-Q4</v>
      </c>
    </row>
    <row r="1796" customFormat="false" ht="15" hidden="false" customHeight="false" outlineLevel="0" collapsed="false">
      <c r="A1796" s="0" t="s">
        <v>945</v>
      </c>
      <c r="B1796" s="6" t="n">
        <v>42618</v>
      </c>
      <c r="C1796" s="7" t="s">
        <v>45</v>
      </c>
      <c r="D1796" s="7" t="s">
        <v>946</v>
      </c>
      <c r="E1796" s="7" t="s">
        <v>35</v>
      </c>
      <c r="F1796" s="0" t="n">
        <v>107.94</v>
      </c>
      <c r="G1796" s="0" t="n">
        <v>26.985</v>
      </c>
      <c r="H1796" s="0" t="n">
        <v>0</v>
      </c>
      <c r="I1796" s="7" t="n">
        <f aca="false">YEAR(B1796)</f>
        <v>2016</v>
      </c>
      <c r="J1796" s="0" t="str">
        <f aca="false">I1796&amp;"-Q"&amp;ROUNDUP(MONTH(B1796)/3,0)</f>
        <v>2016-Q3</v>
      </c>
    </row>
    <row r="1797" customFormat="false" ht="15" hidden="false" customHeight="false" outlineLevel="0" collapsed="false">
      <c r="A1797" s="0" t="s">
        <v>947</v>
      </c>
      <c r="B1797" s="6" t="n">
        <v>42974</v>
      </c>
      <c r="C1797" s="7" t="s">
        <v>55</v>
      </c>
      <c r="D1797" s="7" t="s">
        <v>76</v>
      </c>
      <c r="E1797" s="7" t="s">
        <v>35</v>
      </c>
      <c r="F1797" s="0" t="n">
        <v>63.84</v>
      </c>
      <c r="G1797" s="0" t="n">
        <v>16.5984</v>
      </c>
      <c r="H1797" s="0" t="n">
        <v>0</v>
      </c>
      <c r="I1797" s="7" t="n">
        <f aca="false">YEAR(B1797)</f>
        <v>2017</v>
      </c>
      <c r="J1797" s="0" t="str">
        <f aca="false">I1797&amp;"-Q"&amp;ROUNDUP(MONTH(B1797)/3,0)</f>
        <v>2017-Q3</v>
      </c>
    </row>
    <row r="1798" customFormat="false" ht="15" hidden="false" customHeight="false" outlineLevel="0" collapsed="false">
      <c r="A1798" s="0" t="s">
        <v>947</v>
      </c>
      <c r="B1798" s="6" t="n">
        <v>42974</v>
      </c>
      <c r="C1798" s="7" t="s">
        <v>55</v>
      </c>
      <c r="D1798" s="7" t="s">
        <v>76</v>
      </c>
      <c r="E1798" s="7" t="s">
        <v>39</v>
      </c>
      <c r="F1798" s="0" t="n">
        <v>347.97</v>
      </c>
      <c r="G1798" s="0" t="n">
        <v>100.9113</v>
      </c>
      <c r="H1798" s="0" t="n">
        <v>0</v>
      </c>
      <c r="I1798" s="7" t="n">
        <f aca="false">YEAR(B1798)</f>
        <v>2017</v>
      </c>
      <c r="J1798" s="0" t="str">
        <f aca="false">I1798&amp;"-Q"&amp;ROUNDUP(MONTH(B1798)/3,0)</f>
        <v>2017-Q3</v>
      </c>
    </row>
    <row r="1799" customFormat="false" ht="15" hidden="false" customHeight="false" outlineLevel="0" collapsed="false">
      <c r="A1799" s="0" t="s">
        <v>947</v>
      </c>
      <c r="B1799" s="6" t="n">
        <v>42974</v>
      </c>
      <c r="C1799" s="7" t="s">
        <v>55</v>
      </c>
      <c r="D1799" s="7" t="s">
        <v>76</v>
      </c>
      <c r="E1799" s="7" t="s">
        <v>35</v>
      </c>
      <c r="F1799" s="0" t="n">
        <v>37.008</v>
      </c>
      <c r="G1799" s="0" t="n">
        <v>11.565</v>
      </c>
      <c r="H1799" s="0" t="n">
        <v>0.2</v>
      </c>
      <c r="I1799" s="7" t="n">
        <f aca="false">YEAR(B1799)</f>
        <v>2017</v>
      </c>
      <c r="J1799" s="0" t="str">
        <f aca="false">I1799&amp;"-Q"&amp;ROUNDUP(MONTH(B1799)/3,0)</f>
        <v>2017-Q3</v>
      </c>
    </row>
    <row r="1800" customFormat="false" ht="15" hidden="false" customHeight="false" outlineLevel="0" collapsed="false">
      <c r="A1800" s="0" t="s">
        <v>948</v>
      </c>
      <c r="B1800" s="6" t="n">
        <v>42558</v>
      </c>
      <c r="C1800" s="7" t="s">
        <v>33</v>
      </c>
      <c r="D1800" s="7" t="s">
        <v>34</v>
      </c>
      <c r="E1800" s="7" t="s">
        <v>31</v>
      </c>
      <c r="F1800" s="0" t="n">
        <v>215.65</v>
      </c>
      <c r="G1800" s="0" t="n">
        <v>73.321</v>
      </c>
      <c r="H1800" s="0" t="n">
        <v>0</v>
      </c>
      <c r="I1800" s="7" t="n">
        <f aca="false">YEAR(B1800)</f>
        <v>2016</v>
      </c>
      <c r="J1800" s="0" t="str">
        <f aca="false">I1800&amp;"-Q"&amp;ROUNDUP(MONTH(B1800)/3,0)</f>
        <v>2016-Q3</v>
      </c>
    </row>
    <row r="1801" customFormat="false" ht="15" hidden="false" customHeight="false" outlineLevel="0" collapsed="false">
      <c r="A1801" s="0" t="s">
        <v>949</v>
      </c>
      <c r="B1801" s="6" t="n">
        <v>42590</v>
      </c>
      <c r="C1801" s="7" t="s">
        <v>45</v>
      </c>
      <c r="D1801" s="7" t="s">
        <v>46</v>
      </c>
      <c r="E1801" s="7" t="s">
        <v>35</v>
      </c>
      <c r="F1801" s="0" t="n">
        <v>11.168</v>
      </c>
      <c r="G1801" s="0" t="n">
        <v>3.6296</v>
      </c>
      <c r="H1801" s="0" t="n">
        <v>0.2</v>
      </c>
      <c r="I1801" s="7" t="n">
        <f aca="false">YEAR(B1801)</f>
        <v>2016</v>
      </c>
      <c r="J1801" s="0" t="str">
        <f aca="false">I1801&amp;"-Q"&amp;ROUNDUP(MONTH(B1801)/3,0)</f>
        <v>2016-Q3</v>
      </c>
    </row>
    <row r="1802" customFormat="false" ht="15" hidden="false" customHeight="false" outlineLevel="0" collapsed="false">
      <c r="A1802" s="0" t="s">
        <v>949</v>
      </c>
      <c r="B1802" s="6" t="n">
        <v>42590</v>
      </c>
      <c r="C1802" s="7" t="s">
        <v>45</v>
      </c>
      <c r="D1802" s="7" t="s">
        <v>46</v>
      </c>
      <c r="E1802" s="7" t="s">
        <v>35</v>
      </c>
      <c r="F1802" s="0" t="n">
        <v>53.952</v>
      </c>
      <c r="G1802" s="0" t="n">
        <v>17.5344</v>
      </c>
      <c r="H1802" s="0" t="n">
        <v>0.2</v>
      </c>
      <c r="I1802" s="7" t="n">
        <f aca="false">YEAR(B1802)</f>
        <v>2016</v>
      </c>
      <c r="J1802" s="0" t="str">
        <f aca="false">I1802&amp;"-Q"&amp;ROUNDUP(MONTH(B1802)/3,0)</f>
        <v>2016-Q3</v>
      </c>
    </row>
    <row r="1803" customFormat="false" ht="15" hidden="false" customHeight="false" outlineLevel="0" collapsed="false">
      <c r="A1803" s="0" t="s">
        <v>950</v>
      </c>
      <c r="B1803" s="6" t="n">
        <v>42687</v>
      </c>
      <c r="C1803" s="7" t="s">
        <v>33</v>
      </c>
      <c r="D1803" s="7" t="s">
        <v>43</v>
      </c>
      <c r="E1803" s="7" t="s">
        <v>31</v>
      </c>
      <c r="F1803" s="0" t="n">
        <v>4.18</v>
      </c>
      <c r="G1803" s="0" t="n">
        <v>1.5048</v>
      </c>
      <c r="H1803" s="0" t="n">
        <v>0</v>
      </c>
      <c r="I1803" s="7" t="n">
        <f aca="false">YEAR(B1803)</f>
        <v>2016</v>
      </c>
      <c r="J1803" s="0" t="str">
        <f aca="false">I1803&amp;"-Q"&amp;ROUNDUP(MONTH(B1803)/3,0)</f>
        <v>2016-Q4</v>
      </c>
    </row>
    <row r="1804" customFormat="false" ht="15" hidden="false" customHeight="false" outlineLevel="0" collapsed="false">
      <c r="A1804" s="0" t="s">
        <v>951</v>
      </c>
      <c r="B1804" s="6" t="n">
        <v>43000</v>
      </c>
      <c r="C1804" s="7" t="s">
        <v>55</v>
      </c>
      <c r="D1804" s="7" t="s">
        <v>56</v>
      </c>
      <c r="E1804" s="7" t="s">
        <v>35</v>
      </c>
      <c r="F1804" s="0" t="n">
        <v>5.607</v>
      </c>
      <c r="G1804" s="0" t="n">
        <v>-4.2987</v>
      </c>
      <c r="H1804" s="0" t="n">
        <v>0.7</v>
      </c>
      <c r="I1804" s="7" t="n">
        <f aca="false">YEAR(B1804)</f>
        <v>2017</v>
      </c>
      <c r="J1804" s="0" t="str">
        <f aca="false">I1804&amp;"-Q"&amp;ROUNDUP(MONTH(B1804)/3,0)</f>
        <v>2017-Q3</v>
      </c>
    </row>
    <row r="1805" customFormat="false" ht="15" hidden="false" customHeight="false" outlineLevel="0" collapsed="false">
      <c r="A1805" s="0" t="s">
        <v>951</v>
      </c>
      <c r="B1805" s="6" t="n">
        <v>43000</v>
      </c>
      <c r="C1805" s="7" t="s">
        <v>55</v>
      </c>
      <c r="D1805" s="7" t="s">
        <v>56</v>
      </c>
      <c r="E1805" s="7" t="s">
        <v>35</v>
      </c>
      <c r="F1805" s="0" t="n">
        <v>4663.736</v>
      </c>
      <c r="G1805" s="0" t="n">
        <v>-1049.3406</v>
      </c>
      <c r="H1805" s="0" t="n">
        <v>0.2</v>
      </c>
      <c r="I1805" s="7" t="n">
        <f aca="false">YEAR(B1805)</f>
        <v>2017</v>
      </c>
      <c r="J1805" s="0" t="str">
        <f aca="false">I1805&amp;"-Q"&amp;ROUNDUP(MONTH(B1805)/3,0)</f>
        <v>2017-Q3</v>
      </c>
    </row>
    <row r="1806" customFormat="false" ht="15" hidden="false" customHeight="false" outlineLevel="0" collapsed="false">
      <c r="A1806" s="0" t="s">
        <v>951</v>
      </c>
      <c r="B1806" s="6" t="n">
        <v>43000</v>
      </c>
      <c r="C1806" s="7" t="s">
        <v>55</v>
      </c>
      <c r="D1806" s="7" t="s">
        <v>56</v>
      </c>
      <c r="E1806" s="7" t="s">
        <v>39</v>
      </c>
      <c r="F1806" s="0" t="n">
        <v>79.984</v>
      </c>
      <c r="G1806" s="0" t="n">
        <v>22.9954</v>
      </c>
      <c r="H1806" s="0" t="n">
        <v>0.2</v>
      </c>
      <c r="I1806" s="7" t="n">
        <f aca="false">YEAR(B1806)</f>
        <v>2017</v>
      </c>
      <c r="J1806" s="0" t="str">
        <f aca="false">I1806&amp;"-Q"&amp;ROUNDUP(MONTH(B1806)/3,0)</f>
        <v>2017-Q3</v>
      </c>
    </row>
    <row r="1807" customFormat="false" ht="15" hidden="false" customHeight="false" outlineLevel="0" collapsed="false">
      <c r="A1807" s="0" t="s">
        <v>952</v>
      </c>
      <c r="B1807" s="6" t="n">
        <v>42729</v>
      </c>
      <c r="C1807" s="7" t="s">
        <v>33</v>
      </c>
      <c r="D1807" s="7" t="s">
        <v>34</v>
      </c>
      <c r="E1807" s="7" t="s">
        <v>39</v>
      </c>
      <c r="F1807" s="0" t="n">
        <v>2575.944</v>
      </c>
      <c r="G1807" s="0" t="n">
        <v>257.5944</v>
      </c>
      <c r="H1807" s="0" t="n">
        <v>0.2</v>
      </c>
      <c r="I1807" s="7" t="n">
        <f aca="false">YEAR(B1807)</f>
        <v>2016</v>
      </c>
      <c r="J1807" s="0" t="str">
        <f aca="false">I1807&amp;"-Q"&amp;ROUNDUP(MONTH(B1807)/3,0)</f>
        <v>2016-Q4</v>
      </c>
    </row>
    <row r="1808" customFormat="false" ht="15" hidden="false" customHeight="false" outlineLevel="0" collapsed="false">
      <c r="A1808" s="0" t="s">
        <v>952</v>
      </c>
      <c r="B1808" s="6" t="n">
        <v>42729</v>
      </c>
      <c r="C1808" s="7" t="s">
        <v>33</v>
      </c>
      <c r="D1808" s="7" t="s">
        <v>34</v>
      </c>
      <c r="E1808" s="7" t="s">
        <v>35</v>
      </c>
      <c r="F1808" s="0" t="n">
        <v>45.36</v>
      </c>
      <c r="G1808" s="0" t="n">
        <v>21.7728</v>
      </c>
      <c r="H1808" s="0" t="n">
        <v>0</v>
      </c>
      <c r="I1808" s="7" t="n">
        <f aca="false">YEAR(B1808)</f>
        <v>2016</v>
      </c>
      <c r="J1808" s="0" t="str">
        <f aca="false">I1808&amp;"-Q"&amp;ROUNDUP(MONTH(B1808)/3,0)</f>
        <v>2016-Q4</v>
      </c>
    </row>
    <row r="1809" customFormat="false" ht="15" hidden="false" customHeight="false" outlineLevel="0" collapsed="false">
      <c r="A1809" s="0" t="s">
        <v>952</v>
      </c>
      <c r="B1809" s="6" t="n">
        <v>42729</v>
      </c>
      <c r="C1809" s="7" t="s">
        <v>33</v>
      </c>
      <c r="D1809" s="7" t="s">
        <v>34</v>
      </c>
      <c r="E1809" s="7" t="s">
        <v>39</v>
      </c>
      <c r="F1809" s="0" t="n">
        <v>254.24</v>
      </c>
      <c r="G1809" s="0" t="n">
        <v>76.272</v>
      </c>
      <c r="H1809" s="0" t="n">
        <v>0</v>
      </c>
      <c r="I1809" s="7" t="n">
        <f aca="false">YEAR(B1809)</f>
        <v>2016</v>
      </c>
      <c r="J1809" s="0" t="str">
        <f aca="false">I1809&amp;"-Q"&amp;ROUNDUP(MONTH(B1809)/3,0)</f>
        <v>2016-Q4</v>
      </c>
    </row>
    <row r="1810" customFormat="false" ht="15" hidden="false" customHeight="false" outlineLevel="0" collapsed="false">
      <c r="A1810" s="0" t="s">
        <v>953</v>
      </c>
      <c r="B1810" s="6" t="n">
        <v>42411</v>
      </c>
      <c r="C1810" s="7" t="s">
        <v>45</v>
      </c>
      <c r="D1810" s="7" t="s">
        <v>138</v>
      </c>
      <c r="E1810" s="7" t="s">
        <v>39</v>
      </c>
      <c r="F1810" s="0" t="n">
        <v>69.93</v>
      </c>
      <c r="G1810" s="0" t="n">
        <v>0.6993</v>
      </c>
      <c r="H1810" s="0" t="n">
        <v>0</v>
      </c>
      <c r="I1810" s="7" t="n">
        <f aca="false">YEAR(B1810)</f>
        <v>2016</v>
      </c>
      <c r="J1810" s="0" t="str">
        <f aca="false">I1810&amp;"-Q"&amp;ROUNDUP(MONTH(B1810)/3,0)</f>
        <v>2016-Q1</v>
      </c>
    </row>
    <row r="1811" customFormat="false" ht="15" hidden="false" customHeight="false" outlineLevel="0" collapsed="false">
      <c r="A1811" s="0" t="s">
        <v>954</v>
      </c>
      <c r="B1811" s="6" t="n">
        <v>42666</v>
      </c>
      <c r="C1811" s="7" t="s">
        <v>45</v>
      </c>
      <c r="D1811" s="7" t="s">
        <v>64</v>
      </c>
      <c r="E1811" s="7" t="s">
        <v>31</v>
      </c>
      <c r="F1811" s="0" t="n">
        <v>16.156</v>
      </c>
      <c r="G1811" s="0" t="n">
        <v>-12.117</v>
      </c>
      <c r="H1811" s="0" t="n">
        <v>0.6</v>
      </c>
      <c r="I1811" s="7" t="n">
        <f aca="false">YEAR(B1811)</f>
        <v>2016</v>
      </c>
      <c r="J1811" s="0" t="str">
        <f aca="false">I1811&amp;"-Q"&amp;ROUNDUP(MONTH(B1811)/3,0)</f>
        <v>2016-Q4</v>
      </c>
    </row>
    <row r="1812" customFormat="false" ht="15" hidden="false" customHeight="false" outlineLevel="0" collapsed="false">
      <c r="A1812" s="0" t="s">
        <v>954</v>
      </c>
      <c r="B1812" s="6" t="n">
        <v>42666</v>
      </c>
      <c r="C1812" s="7" t="s">
        <v>45</v>
      </c>
      <c r="D1812" s="7" t="s">
        <v>64</v>
      </c>
      <c r="E1812" s="7" t="s">
        <v>35</v>
      </c>
      <c r="F1812" s="0" t="n">
        <v>54.816</v>
      </c>
      <c r="G1812" s="0" t="n">
        <v>17.8152</v>
      </c>
      <c r="H1812" s="0" t="n">
        <v>0.2</v>
      </c>
      <c r="I1812" s="7" t="n">
        <f aca="false">YEAR(B1812)</f>
        <v>2016</v>
      </c>
      <c r="J1812" s="0" t="str">
        <f aca="false">I1812&amp;"-Q"&amp;ROUNDUP(MONTH(B1812)/3,0)</f>
        <v>2016-Q4</v>
      </c>
    </row>
    <row r="1813" customFormat="false" ht="15" hidden="false" customHeight="false" outlineLevel="0" collapsed="false">
      <c r="A1813" s="0" t="s">
        <v>955</v>
      </c>
      <c r="B1813" s="6" t="n">
        <v>41799</v>
      </c>
      <c r="C1813" s="7" t="s">
        <v>29</v>
      </c>
      <c r="D1813" s="7" t="s">
        <v>83</v>
      </c>
      <c r="E1813" s="7" t="s">
        <v>31</v>
      </c>
      <c r="F1813" s="0" t="n">
        <v>1441.3</v>
      </c>
      <c r="G1813" s="0" t="n">
        <v>245.021</v>
      </c>
      <c r="H1813" s="0" t="n">
        <v>0</v>
      </c>
      <c r="I1813" s="7" t="n">
        <f aca="false">YEAR(B1813)</f>
        <v>2014</v>
      </c>
      <c r="J1813" s="0" t="str">
        <f aca="false">I1813&amp;"-Q"&amp;ROUNDUP(MONTH(B1813)/3,0)</f>
        <v>2014-Q2</v>
      </c>
    </row>
    <row r="1814" customFormat="false" ht="15" hidden="false" customHeight="false" outlineLevel="0" collapsed="false">
      <c r="A1814" s="0" t="s">
        <v>956</v>
      </c>
      <c r="B1814" s="6" t="n">
        <v>43059</v>
      </c>
      <c r="C1814" s="7" t="s">
        <v>55</v>
      </c>
      <c r="D1814" s="7" t="s">
        <v>116</v>
      </c>
      <c r="E1814" s="7" t="s">
        <v>31</v>
      </c>
      <c r="F1814" s="0" t="n">
        <v>77.6</v>
      </c>
      <c r="G1814" s="0" t="n">
        <v>28.13</v>
      </c>
      <c r="H1814" s="0" t="n">
        <v>0.2</v>
      </c>
      <c r="I1814" s="7" t="n">
        <f aca="false">YEAR(B1814)</f>
        <v>2017</v>
      </c>
      <c r="J1814" s="0" t="str">
        <f aca="false">I1814&amp;"-Q"&amp;ROUNDUP(MONTH(B1814)/3,0)</f>
        <v>2017-Q4</v>
      </c>
    </row>
    <row r="1815" customFormat="false" ht="15" hidden="false" customHeight="false" outlineLevel="0" collapsed="false">
      <c r="A1815" s="0" t="s">
        <v>956</v>
      </c>
      <c r="B1815" s="6" t="n">
        <v>43059</v>
      </c>
      <c r="C1815" s="7" t="s">
        <v>55</v>
      </c>
      <c r="D1815" s="7" t="s">
        <v>116</v>
      </c>
      <c r="E1815" s="7" t="s">
        <v>31</v>
      </c>
      <c r="F1815" s="0" t="n">
        <v>4.656</v>
      </c>
      <c r="G1815" s="0" t="n">
        <v>1.5714</v>
      </c>
      <c r="H1815" s="0" t="n">
        <v>0.2</v>
      </c>
      <c r="I1815" s="7" t="n">
        <f aca="false">YEAR(B1815)</f>
        <v>2017</v>
      </c>
      <c r="J1815" s="0" t="str">
        <f aca="false">I1815&amp;"-Q"&amp;ROUNDUP(MONTH(B1815)/3,0)</f>
        <v>2017-Q4</v>
      </c>
    </row>
    <row r="1816" customFormat="false" ht="15" hidden="false" customHeight="false" outlineLevel="0" collapsed="false">
      <c r="A1816" s="0" t="s">
        <v>957</v>
      </c>
      <c r="B1816" s="6" t="n">
        <v>42261</v>
      </c>
      <c r="C1816" s="7" t="s">
        <v>33</v>
      </c>
      <c r="D1816" s="7" t="s">
        <v>34</v>
      </c>
      <c r="E1816" s="7" t="s">
        <v>31</v>
      </c>
      <c r="F1816" s="0" t="n">
        <v>170.136</v>
      </c>
      <c r="G1816" s="0" t="n">
        <v>-8.5068</v>
      </c>
      <c r="H1816" s="0" t="n">
        <v>0.2</v>
      </c>
      <c r="I1816" s="7" t="n">
        <f aca="false">YEAR(B1816)</f>
        <v>2015</v>
      </c>
      <c r="J1816" s="0" t="str">
        <f aca="false">I1816&amp;"-Q"&amp;ROUNDUP(MONTH(B1816)/3,0)</f>
        <v>2015-Q3</v>
      </c>
    </row>
    <row r="1817" customFormat="false" ht="15" hidden="false" customHeight="false" outlineLevel="0" collapsed="false">
      <c r="A1817" s="0" t="s">
        <v>958</v>
      </c>
      <c r="B1817" s="6" t="n">
        <v>42159</v>
      </c>
      <c r="C1817" s="7" t="s">
        <v>33</v>
      </c>
      <c r="D1817" s="7" t="s">
        <v>43</v>
      </c>
      <c r="E1817" s="7" t="s">
        <v>35</v>
      </c>
      <c r="F1817" s="0" t="n">
        <v>7.38</v>
      </c>
      <c r="G1817" s="0" t="n">
        <v>3.4686</v>
      </c>
      <c r="H1817" s="0" t="n">
        <v>0</v>
      </c>
      <c r="I1817" s="7" t="n">
        <f aca="false">YEAR(B1817)</f>
        <v>2015</v>
      </c>
      <c r="J1817" s="0" t="str">
        <f aca="false">I1817&amp;"-Q"&amp;ROUNDUP(MONTH(B1817)/3,0)</f>
        <v>2015-Q2</v>
      </c>
    </row>
    <row r="1818" customFormat="false" ht="15" hidden="false" customHeight="false" outlineLevel="0" collapsed="false">
      <c r="A1818" s="0" t="s">
        <v>958</v>
      </c>
      <c r="B1818" s="6" t="n">
        <v>42159</v>
      </c>
      <c r="C1818" s="7" t="s">
        <v>33</v>
      </c>
      <c r="D1818" s="7" t="s">
        <v>43</v>
      </c>
      <c r="E1818" s="7" t="s">
        <v>35</v>
      </c>
      <c r="F1818" s="0" t="n">
        <v>9.26</v>
      </c>
      <c r="G1818" s="0" t="n">
        <v>3.0558</v>
      </c>
      <c r="H1818" s="0" t="n">
        <v>0</v>
      </c>
      <c r="I1818" s="7" t="n">
        <f aca="false">YEAR(B1818)</f>
        <v>2015</v>
      </c>
      <c r="J1818" s="0" t="str">
        <f aca="false">I1818&amp;"-Q"&amp;ROUNDUP(MONTH(B1818)/3,0)</f>
        <v>2015-Q2</v>
      </c>
    </row>
    <row r="1819" customFormat="false" ht="15" hidden="false" customHeight="false" outlineLevel="0" collapsed="false">
      <c r="A1819" s="0" t="s">
        <v>959</v>
      </c>
      <c r="B1819" s="6" t="n">
        <v>42351</v>
      </c>
      <c r="C1819" s="7" t="s">
        <v>33</v>
      </c>
      <c r="D1819" s="7" t="s">
        <v>34</v>
      </c>
      <c r="E1819" s="7" t="s">
        <v>35</v>
      </c>
      <c r="F1819" s="0" t="n">
        <v>9.96</v>
      </c>
      <c r="G1819" s="0" t="n">
        <v>4.5816</v>
      </c>
      <c r="H1819" s="0" t="n">
        <v>0</v>
      </c>
      <c r="I1819" s="7" t="n">
        <f aca="false">YEAR(B1819)</f>
        <v>2015</v>
      </c>
      <c r="J1819" s="0" t="str">
        <f aca="false">I1819&amp;"-Q"&amp;ROUNDUP(MONTH(B1819)/3,0)</f>
        <v>2015-Q4</v>
      </c>
    </row>
    <row r="1820" customFormat="false" ht="15" hidden="false" customHeight="false" outlineLevel="0" collapsed="false">
      <c r="A1820" s="0" t="s">
        <v>960</v>
      </c>
      <c r="B1820" s="6" t="n">
        <v>41784</v>
      </c>
      <c r="C1820" s="7" t="s">
        <v>45</v>
      </c>
      <c r="D1820" s="7" t="s">
        <v>64</v>
      </c>
      <c r="E1820" s="7" t="s">
        <v>35</v>
      </c>
      <c r="F1820" s="0" t="n">
        <v>75.6</v>
      </c>
      <c r="G1820" s="0" t="n">
        <v>-166.32</v>
      </c>
      <c r="H1820" s="0" t="n">
        <v>0.8</v>
      </c>
      <c r="I1820" s="7" t="n">
        <f aca="false">YEAR(B1820)</f>
        <v>2014</v>
      </c>
      <c r="J1820" s="0" t="str">
        <f aca="false">I1820&amp;"-Q"&amp;ROUNDUP(MONTH(B1820)/3,0)</f>
        <v>2014-Q2</v>
      </c>
    </row>
    <row r="1821" customFormat="false" ht="15" hidden="false" customHeight="false" outlineLevel="0" collapsed="false">
      <c r="A1821" s="0" t="s">
        <v>960</v>
      </c>
      <c r="B1821" s="6" t="n">
        <v>41784</v>
      </c>
      <c r="C1821" s="7" t="s">
        <v>45</v>
      </c>
      <c r="D1821" s="7" t="s">
        <v>64</v>
      </c>
      <c r="E1821" s="7" t="s">
        <v>31</v>
      </c>
      <c r="F1821" s="0" t="n">
        <v>29.32</v>
      </c>
      <c r="G1821" s="0" t="n">
        <v>-24.189</v>
      </c>
      <c r="H1821" s="0" t="n">
        <v>0.6</v>
      </c>
      <c r="I1821" s="7" t="n">
        <f aca="false">YEAR(B1821)</f>
        <v>2014</v>
      </c>
      <c r="J1821" s="0" t="str">
        <f aca="false">I1821&amp;"-Q"&amp;ROUNDUP(MONTH(B1821)/3,0)</f>
        <v>2014-Q2</v>
      </c>
    </row>
    <row r="1822" customFormat="false" ht="15" hidden="false" customHeight="false" outlineLevel="0" collapsed="false">
      <c r="A1822" s="0" t="s">
        <v>961</v>
      </c>
      <c r="B1822" s="6" t="n">
        <v>42416</v>
      </c>
      <c r="C1822" s="7" t="s">
        <v>45</v>
      </c>
      <c r="D1822" s="7" t="s">
        <v>64</v>
      </c>
      <c r="E1822" s="7" t="s">
        <v>35</v>
      </c>
      <c r="F1822" s="0" t="n">
        <v>92.064</v>
      </c>
      <c r="G1822" s="0" t="n">
        <v>-225.5568</v>
      </c>
      <c r="H1822" s="0" t="n">
        <v>0.8</v>
      </c>
      <c r="I1822" s="7" t="n">
        <f aca="false">YEAR(B1822)</f>
        <v>2016</v>
      </c>
      <c r="J1822" s="0" t="str">
        <f aca="false">I1822&amp;"-Q"&amp;ROUNDUP(MONTH(B1822)/3,0)</f>
        <v>2016-Q1</v>
      </c>
    </row>
    <row r="1823" customFormat="false" ht="15" hidden="false" customHeight="false" outlineLevel="0" collapsed="false">
      <c r="A1823" s="0" t="s">
        <v>961</v>
      </c>
      <c r="B1823" s="6" t="n">
        <v>42416</v>
      </c>
      <c r="C1823" s="7" t="s">
        <v>45</v>
      </c>
      <c r="D1823" s="7" t="s">
        <v>64</v>
      </c>
      <c r="E1823" s="7" t="s">
        <v>35</v>
      </c>
      <c r="F1823" s="0" t="n">
        <v>6.976</v>
      </c>
      <c r="G1823" s="0" t="n">
        <v>1.8312</v>
      </c>
      <c r="H1823" s="0" t="n">
        <v>0.2</v>
      </c>
      <c r="I1823" s="7" t="n">
        <f aca="false">YEAR(B1823)</f>
        <v>2016</v>
      </c>
      <c r="J1823" s="0" t="str">
        <f aca="false">I1823&amp;"-Q"&amp;ROUNDUP(MONTH(B1823)/3,0)</f>
        <v>2016-Q1</v>
      </c>
    </row>
    <row r="1824" customFormat="false" ht="15" hidden="false" customHeight="false" outlineLevel="0" collapsed="false">
      <c r="A1824" s="0" t="s">
        <v>961</v>
      </c>
      <c r="B1824" s="6" t="n">
        <v>42416</v>
      </c>
      <c r="C1824" s="7" t="s">
        <v>45</v>
      </c>
      <c r="D1824" s="7" t="s">
        <v>64</v>
      </c>
      <c r="E1824" s="7" t="s">
        <v>31</v>
      </c>
      <c r="F1824" s="0" t="n">
        <v>62.958</v>
      </c>
      <c r="G1824" s="0" t="n">
        <v>-2.6982</v>
      </c>
      <c r="H1824" s="0" t="n">
        <v>0.3</v>
      </c>
      <c r="I1824" s="7" t="n">
        <f aca="false">YEAR(B1824)</f>
        <v>2016</v>
      </c>
      <c r="J1824" s="0" t="str">
        <f aca="false">I1824&amp;"-Q"&amp;ROUNDUP(MONTH(B1824)/3,0)</f>
        <v>2016-Q1</v>
      </c>
    </row>
    <row r="1825" customFormat="false" ht="15" hidden="false" customHeight="false" outlineLevel="0" collapsed="false">
      <c r="A1825" s="0" t="s">
        <v>961</v>
      </c>
      <c r="B1825" s="6" t="n">
        <v>42416</v>
      </c>
      <c r="C1825" s="7" t="s">
        <v>45</v>
      </c>
      <c r="D1825" s="7" t="s">
        <v>64</v>
      </c>
      <c r="E1825" s="7" t="s">
        <v>35</v>
      </c>
      <c r="F1825" s="0" t="n">
        <v>5.184</v>
      </c>
      <c r="G1825" s="0" t="n">
        <v>1.8144</v>
      </c>
      <c r="H1825" s="0" t="n">
        <v>0.2</v>
      </c>
      <c r="I1825" s="7" t="n">
        <f aca="false">YEAR(B1825)</f>
        <v>2016</v>
      </c>
      <c r="J1825" s="0" t="str">
        <f aca="false">I1825&amp;"-Q"&amp;ROUNDUP(MONTH(B1825)/3,0)</f>
        <v>2016-Q1</v>
      </c>
    </row>
    <row r="1826" customFormat="false" ht="15" hidden="false" customHeight="false" outlineLevel="0" collapsed="false">
      <c r="A1826" s="0" t="s">
        <v>962</v>
      </c>
      <c r="B1826" s="6" t="n">
        <v>42726</v>
      </c>
      <c r="C1826" s="7" t="s">
        <v>33</v>
      </c>
      <c r="D1826" s="7" t="s">
        <v>102</v>
      </c>
      <c r="E1826" s="7" t="s">
        <v>35</v>
      </c>
      <c r="F1826" s="0" t="n">
        <v>31.32</v>
      </c>
      <c r="G1826" s="0" t="n">
        <v>-25.056</v>
      </c>
      <c r="H1826" s="0" t="n">
        <v>0.7</v>
      </c>
      <c r="I1826" s="7" t="n">
        <f aca="false">YEAR(B1826)</f>
        <v>2016</v>
      </c>
      <c r="J1826" s="0" t="str">
        <f aca="false">I1826&amp;"-Q"&amp;ROUNDUP(MONTH(B1826)/3,0)</f>
        <v>2016-Q4</v>
      </c>
    </row>
    <row r="1827" customFormat="false" ht="15" hidden="false" customHeight="false" outlineLevel="0" collapsed="false">
      <c r="A1827" s="0" t="s">
        <v>962</v>
      </c>
      <c r="B1827" s="6" t="n">
        <v>42726</v>
      </c>
      <c r="C1827" s="7" t="s">
        <v>33</v>
      </c>
      <c r="D1827" s="7" t="s">
        <v>102</v>
      </c>
      <c r="E1827" s="7" t="s">
        <v>31</v>
      </c>
      <c r="F1827" s="0" t="n">
        <v>11.84</v>
      </c>
      <c r="G1827" s="0" t="n">
        <v>3.108</v>
      </c>
      <c r="H1827" s="0" t="n">
        <v>0.2</v>
      </c>
      <c r="I1827" s="7" t="n">
        <f aca="false">YEAR(B1827)</f>
        <v>2016</v>
      </c>
      <c r="J1827" s="0" t="str">
        <f aca="false">I1827&amp;"-Q"&amp;ROUNDUP(MONTH(B1827)/3,0)</f>
        <v>2016-Q4</v>
      </c>
    </row>
    <row r="1828" customFormat="false" ht="15" hidden="false" customHeight="false" outlineLevel="0" collapsed="false">
      <c r="A1828" s="0" t="s">
        <v>962</v>
      </c>
      <c r="B1828" s="6" t="n">
        <v>42726</v>
      </c>
      <c r="C1828" s="7" t="s">
        <v>33</v>
      </c>
      <c r="D1828" s="7" t="s">
        <v>102</v>
      </c>
      <c r="E1828" s="7" t="s">
        <v>31</v>
      </c>
      <c r="F1828" s="0" t="n">
        <v>22.784</v>
      </c>
      <c r="G1828" s="0" t="n">
        <v>4.8416</v>
      </c>
      <c r="H1828" s="0" t="n">
        <v>0.2</v>
      </c>
      <c r="I1828" s="7" t="n">
        <f aca="false">YEAR(B1828)</f>
        <v>2016</v>
      </c>
      <c r="J1828" s="0" t="str">
        <f aca="false">I1828&amp;"-Q"&amp;ROUNDUP(MONTH(B1828)/3,0)</f>
        <v>2016-Q4</v>
      </c>
    </row>
    <row r="1829" customFormat="false" ht="15" hidden="false" customHeight="false" outlineLevel="0" collapsed="false">
      <c r="A1829" s="0" t="s">
        <v>963</v>
      </c>
      <c r="B1829" s="6" t="n">
        <v>42408</v>
      </c>
      <c r="C1829" s="7" t="s">
        <v>29</v>
      </c>
      <c r="D1829" s="7" t="s">
        <v>41</v>
      </c>
      <c r="E1829" s="7" t="s">
        <v>39</v>
      </c>
      <c r="F1829" s="0" t="n">
        <v>1127.976</v>
      </c>
      <c r="G1829" s="0" t="n">
        <v>126.8973</v>
      </c>
      <c r="H1829" s="0" t="n">
        <v>0.2</v>
      </c>
      <c r="I1829" s="7" t="n">
        <f aca="false">YEAR(B1829)</f>
        <v>2016</v>
      </c>
      <c r="J1829" s="0" t="str">
        <f aca="false">I1829&amp;"-Q"&amp;ROUNDUP(MONTH(B1829)/3,0)</f>
        <v>2016-Q1</v>
      </c>
    </row>
    <row r="1830" customFormat="false" ht="15" hidden="false" customHeight="false" outlineLevel="0" collapsed="false">
      <c r="A1830" s="0" t="s">
        <v>964</v>
      </c>
      <c r="B1830" s="6" t="n">
        <v>42198</v>
      </c>
      <c r="C1830" s="7" t="s">
        <v>29</v>
      </c>
      <c r="D1830" s="7" t="s">
        <v>230</v>
      </c>
      <c r="E1830" s="7" t="s">
        <v>35</v>
      </c>
      <c r="F1830" s="0" t="n">
        <v>38.88</v>
      </c>
      <c r="G1830" s="0" t="n">
        <v>18.6624</v>
      </c>
      <c r="H1830" s="0" t="n">
        <v>0</v>
      </c>
      <c r="I1830" s="7" t="n">
        <f aca="false">YEAR(B1830)</f>
        <v>2015</v>
      </c>
      <c r="J1830" s="0" t="str">
        <f aca="false">I1830&amp;"-Q"&amp;ROUNDUP(MONTH(B1830)/3,0)</f>
        <v>2015-Q3</v>
      </c>
    </row>
    <row r="1831" customFormat="false" ht="15" hidden="false" customHeight="false" outlineLevel="0" collapsed="false">
      <c r="A1831" s="0" t="s">
        <v>965</v>
      </c>
      <c r="B1831" s="6" t="n">
        <v>41777</v>
      </c>
      <c r="C1831" s="7" t="s">
        <v>55</v>
      </c>
      <c r="D1831" s="7" t="s">
        <v>116</v>
      </c>
      <c r="E1831" s="7" t="s">
        <v>39</v>
      </c>
      <c r="F1831" s="0" t="n">
        <v>779.796</v>
      </c>
      <c r="G1831" s="0" t="n">
        <v>-168.9558</v>
      </c>
      <c r="H1831" s="0" t="n">
        <v>0.4</v>
      </c>
      <c r="I1831" s="7" t="n">
        <f aca="false">YEAR(B1831)</f>
        <v>2014</v>
      </c>
      <c r="J1831" s="0" t="str">
        <f aca="false">I1831&amp;"-Q"&amp;ROUNDUP(MONTH(B1831)/3,0)</f>
        <v>2014-Q2</v>
      </c>
    </row>
    <row r="1832" customFormat="false" ht="15" hidden="false" customHeight="false" outlineLevel="0" collapsed="false">
      <c r="A1832" s="0" t="s">
        <v>966</v>
      </c>
      <c r="B1832" s="6" t="n">
        <v>43029</v>
      </c>
      <c r="C1832" s="7" t="s">
        <v>45</v>
      </c>
      <c r="D1832" s="7" t="s">
        <v>138</v>
      </c>
      <c r="E1832" s="7" t="s">
        <v>39</v>
      </c>
      <c r="F1832" s="0" t="n">
        <v>1439.92</v>
      </c>
      <c r="G1832" s="0" t="n">
        <v>374.3792</v>
      </c>
      <c r="H1832" s="0" t="n">
        <v>0</v>
      </c>
      <c r="I1832" s="7" t="n">
        <f aca="false">YEAR(B1832)</f>
        <v>2017</v>
      </c>
      <c r="J1832" s="0" t="str">
        <f aca="false">I1832&amp;"-Q"&amp;ROUNDUP(MONTH(B1832)/3,0)</f>
        <v>2017-Q4</v>
      </c>
    </row>
    <row r="1833" customFormat="false" ht="15" hidden="false" customHeight="false" outlineLevel="0" collapsed="false">
      <c r="A1833" s="0" t="s">
        <v>966</v>
      </c>
      <c r="B1833" s="6" t="n">
        <v>43029</v>
      </c>
      <c r="C1833" s="7" t="s">
        <v>45</v>
      </c>
      <c r="D1833" s="7" t="s">
        <v>138</v>
      </c>
      <c r="E1833" s="7" t="s">
        <v>31</v>
      </c>
      <c r="F1833" s="0" t="n">
        <v>262.11</v>
      </c>
      <c r="G1833" s="0" t="n">
        <v>62.9064</v>
      </c>
      <c r="H1833" s="0" t="n">
        <v>0</v>
      </c>
      <c r="I1833" s="7" t="n">
        <f aca="false">YEAR(B1833)</f>
        <v>2017</v>
      </c>
      <c r="J1833" s="0" t="str">
        <f aca="false">I1833&amp;"-Q"&amp;ROUNDUP(MONTH(B1833)/3,0)</f>
        <v>2017-Q4</v>
      </c>
    </row>
    <row r="1834" customFormat="false" ht="15" hidden="false" customHeight="false" outlineLevel="0" collapsed="false">
      <c r="A1834" s="0" t="s">
        <v>967</v>
      </c>
      <c r="B1834" s="6" t="n">
        <v>42313</v>
      </c>
      <c r="C1834" s="7" t="s">
        <v>29</v>
      </c>
      <c r="D1834" s="7" t="s">
        <v>41</v>
      </c>
      <c r="E1834" s="7" t="s">
        <v>31</v>
      </c>
      <c r="F1834" s="0" t="n">
        <v>207</v>
      </c>
      <c r="G1834" s="0" t="n">
        <v>25.875</v>
      </c>
      <c r="H1834" s="0" t="n">
        <v>0.2</v>
      </c>
      <c r="I1834" s="7" t="n">
        <f aca="false">YEAR(B1834)</f>
        <v>2015</v>
      </c>
      <c r="J1834" s="0" t="str">
        <f aca="false">I1834&amp;"-Q"&amp;ROUNDUP(MONTH(B1834)/3,0)</f>
        <v>2015-Q4</v>
      </c>
    </row>
    <row r="1835" customFormat="false" ht="15" hidden="false" customHeight="false" outlineLevel="0" collapsed="false">
      <c r="A1835" s="0" t="s">
        <v>968</v>
      </c>
      <c r="B1835" s="6" t="n">
        <v>42948</v>
      </c>
      <c r="C1835" s="7" t="s">
        <v>45</v>
      </c>
      <c r="D1835" s="7" t="s">
        <v>46</v>
      </c>
      <c r="E1835" s="7" t="s">
        <v>39</v>
      </c>
      <c r="F1835" s="0" t="n">
        <v>1439.982</v>
      </c>
      <c r="G1835" s="0" t="n">
        <v>-263.9967</v>
      </c>
      <c r="H1835" s="0" t="n">
        <v>0.4</v>
      </c>
      <c r="I1835" s="7" t="n">
        <f aca="false">YEAR(B1835)</f>
        <v>2017</v>
      </c>
      <c r="J1835" s="0" t="str">
        <f aca="false">I1835&amp;"-Q"&amp;ROUNDUP(MONTH(B1835)/3,0)</f>
        <v>2017-Q3</v>
      </c>
    </row>
    <row r="1836" customFormat="false" ht="15" hidden="false" customHeight="false" outlineLevel="0" collapsed="false">
      <c r="A1836" s="0" t="s">
        <v>968</v>
      </c>
      <c r="B1836" s="6" t="n">
        <v>42948</v>
      </c>
      <c r="C1836" s="7" t="s">
        <v>45</v>
      </c>
      <c r="D1836" s="7" t="s">
        <v>46</v>
      </c>
      <c r="E1836" s="7" t="s">
        <v>35</v>
      </c>
      <c r="F1836" s="0" t="n">
        <v>36.288</v>
      </c>
      <c r="G1836" s="0" t="n">
        <v>12.7008</v>
      </c>
      <c r="H1836" s="0" t="n">
        <v>0.2</v>
      </c>
      <c r="I1836" s="7" t="n">
        <f aca="false">YEAR(B1836)</f>
        <v>2017</v>
      </c>
      <c r="J1836" s="0" t="str">
        <f aca="false">I1836&amp;"-Q"&amp;ROUNDUP(MONTH(B1836)/3,0)</f>
        <v>2017-Q3</v>
      </c>
    </row>
    <row r="1837" customFormat="false" ht="15" hidden="false" customHeight="false" outlineLevel="0" collapsed="false">
      <c r="A1837" s="0" t="s">
        <v>969</v>
      </c>
      <c r="B1837" s="6" t="n">
        <v>41811</v>
      </c>
      <c r="C1837" s="7" t="s">
        <v>55</v>
      </c>
      <c r="D1837" s="7" t="s">
        <v>154</v>
      </c>
      <c r="E1837" s="7" t="s">
        <v>35</v>
      </c>
      <c r="F1837" s="0" t="n">
        <v>21.4</v>
      </c>
      <c r="G1837" s="0" t="n">
        <v>6.206</v>
      </c>
      <c r="H1837" s="0" t="n">
        <v>0</v>
      </c>
      <c r="I1837" s="7" t="n">
        <f aca="false">YEAR(B1837)</f>
        <v>2014</v>
      </c>
      <c r="J1837" s="0" t="str">
        <f aca="false">I1837&amp;"-Q"&amp;ROUNDUP(MONTH(B1837)/3,0)</f>
        <v>2014-Q2</v>
      </c>
    </row>
    <row r="1838" customFormat="false" ht="15" hidden="false" customHeight="false" outlineLevel="0" collapsed="false">
      <c r="A1838" s="0" t="s">
        <v>970</v>
      </c>
      <c r="B1838" s="6" t="n">
        <v>42785</v>
      </c>
      <c r="C1838" s="7" t="s">
        <v>29</v>
      </c>
      <c r="D1838" s="7" t="s">
        <v>230</v>
      </c>
      <c r="E1838" s="7" t="s">
        <v>35</v>
      </c>
      <c r="F1838" s="0" t="n">
        <v>1245.86</v>
      </c>
      <c r="G1838" s="0" t="n">
        <v>361.2994</v>
      </c>
      <c r="H1838" s="0" t="n">
        <v>0</v>
      </c>
      <c r="I1838" s="7" t="n">
        <f aca="false">YEAR(B1838)</f>
        <v>2017</v>
      </c>
      <c r="J1838" s="0" t="str">
        <f aca="false">I1838&amp;"-Q"&amp;ROUNDUP(MONTH(B1838)/3,0)</f>
        <v>2017-Q1</v>
      </c>
    </row>
    <row r="1839" customFormat="false" ht="15" hidden="false" customHeight="false" outlineLevel="0" collapsed="false">
      <c r="A1839" s="0" t="s">
        <v>971</v>
      </c>
      <c r="B1839" s="6" t="n">
        <v>41852</v>
      </c>
      <c r="C1839" s="7" t="s">
        <v>29</v>
      </c>
      <c r="D1839" s="7" t="s">
        <v>41</v>
      </c>
      <c r="E1839" s="7" t="s">
        <v>35</v>
      </c>
      <c r="F1839" s="0" t="n">
        <v>17.544</v>
      </c>
      <c r="G1839" s="0" t="n">
        <v>5.9211</v>
      </c>
      <c r="H1839" s="0" t="n">
        <v>0.2</v>
      </c>
      <c r="I1839" s="7" t="n">
        <f aca="false">YEAR(B1839)</f>
        <v>2014</v>
      </c>
      <c r="J1839" s="0" t="str">
        <f aca="false">I1839&amp;"-Q"&amp;ROUNDUP(MONTH(B1839)/3,0)</f>
        <v>2014-Q3</v>
      </c>
    </row>
    <row r="1840" customFormat="false" ht="15" hidden="false" customHeight="false" outlineLevel="0" collapsed="false">
      <c r="A1840" s="0" t="s">
        <v>971</v>
      </c>
      <c r="B1840" s="6" t="n">
        <v>41852</v>
      </c>
      <c r="C1840" s="7" t="s">
        <v>29</v>
      </c>
      <c r="D1840" s="7" t="s">
        <v>41</v>
      </c>
      <c r="E1840" s="7" t="s">
        <v>31</v>
      </c>
      <c r="F1840" s="0" t="n">
        <v>44.128</v>
      </c>
      <c r="G1840" s="0" t="n">
        <v>12.1352</v>
      </c>
      <c r="H1840" s="0" t="n">
        <v>0.2</v>
      </c>
      <c r="I1840" s="7" t="n">
        <f aca="false">YEAR(B1840)</f>
        <v>2014</v>
      </c>
      <c r="J1840" s="0" t="str">
        <f aca="false">I1840&amp;"-Q"&amp;ROUNDUP(MONTH(B1840)/3,0)</f>
        <v>2014-Q3</v>
      </c>
    </row>
    <row r="1841" customFormat="false" ht="15" hidden="false" customHeight="false" outlineLevel="0" collapsed="false">
      <c r="A1841" s="0" t="s">
        <v>971</v>
      </c>
      <c r="B1841" s="6" t="n">
        <v>41852</v>
      </c>
      <c r="C1841" s="7" t="s">
        <v>29</v>
      </c>
      <c r="D1841" s="7" t="s">
        <v>41</v>
      </c>
      <c r="E1841" s="7" t="s">
        <v>35</v>
      </c>
      <c r="F1841" s="0" t="n">
        <v>62.92</v>
      </c>
      <c r="G1841" s="0" t="n">
        <v>10.2245</v>
      </c>
      <c r="H1841" s="0" t="n">
        <v>0.2</v>
      </c>
      <c r="I1841" s="7" t="n">
        <f aca="false">YEAR(B1841)</f>
        <v>2014</v>
      </c>
      <c r="J1841" s="0" t="str">
        <f aca="false">I1841&amp;"-Q"&amp;ROUNDUP(MONTH(B1841)/3,0)</f>
        <v>2014-Q3</v>
      </c>
    </row>
    <row r="1842" customFormat="false" ht="15" hidden="false" customHeight="false" outlineLevel="0" collapsed="false">
      <c r="A1842" s="0" t="s">
        <v>971</v>
      </c>
      <c r="B1842" s="6" t="n">
        <v>41852</v>
      </c>
      <c r="C1842" s="7" t="s">
        <v>29</v>
      </c>
      <c r="D1842" s="7" t="s">
        <v>41</v>
      </c>
      <c r="E1842" s="7" t="s">
        <v>35</v>
      </c>
      <c r="F1842" s="0" t="n">
        <v>78.304</v>
      </c>
      <c r="G1842" s="0" t="n">
        <v>29.364</v>
      </c>
      <c r="H1842" s="0" t="n">
        <v>0.2</v>
      </c>
      <c r="I1842" s="7" t="n">
        <f aca="false">YEAR(B1842)</f>
        <v>2014</v>
      </c>
      <c r="J1842" s="0" t="str">
        <f aca="false">I1842&amp;"-Q"&amp;ROUNDUP(MONTH(B1842)/3,0)</f>
        <v>2014-Q3</v>
      </c>
    </row>
    <row r="1843" customFormat="false" ht="15" hidden="false" customHeight="false" outlineLevel="0" collapsed="false">
      <c r="A1843" s="0" t="s">
        <v>972</v>
      </c>
      <c r="B1843" s="6" t="n">
        <v>42569</v>
      </c>
      <c r="C1843" s="7" t="s">
        <v>29</v>
      </c>
      <c r="D1843" s="7" t="s">
        <v>30</v>
      </c>
      <c r="E1843" s="7" t="s">
        <v>31</v>
      </c>
      <c r="F1843" s="0" t="n">
        <v>140.81</v>
      </c>
      <c r="G1843" s="0" t="n">
        <v>39.4268</v>
      </c>
      <c r="H1843" s="0" t="n">
        <v>0</v>
      </c>
      <c r="I1843" s="7" t="n">
        <f aca="false">YEAR(B1843)</f>
        <v>2016</v>
      </c>
      <c r="J1843" s="0" t="str">
        <f aca="false">I1843&amp;"-Q"&amp;ROUNDUP(MONTH(B1843)/3,0)</f>
        <v>2016-Q3</v>
      </c>
    </row>
    <row r="1844" customFormat="false" ht="15" hidden="false" customHeight="false" outlineLevel="0" collapsed="false">
      <c r="A1844" s="0" t="s">
        <v>973</v>
      </c>
      <c r="B1844" s="6" t="n">
        <v>42044</v>
      </c>
      <c r="C1844" s="7" t="s">
        <v>45</v>
      </c>
      <c r="D1844" s="7" t="s">
        <v>46</v>
      </c>
      <c r="E1844" s="7" t="s">
        <v>35</v>
      </c>
      <c r="F1844" s="0" t="n">
        <v>40.096</v>
      </c>
      <c r="G1844" s="0" t="n">
        <v>13.5324</v>
      </c>
      <c r="H1844" s="0" t="n">
        <v>0.2</v>
      </c>
      <c r="I1844" s="7" t="n">
        <f aca="false">YEAR(B1844)</f>
        <v>2015</v>
      </c>
      <c r="J1844" s="0" t="str">
        <f aca="false">I1844&amp;"-Q"&amp;ROUNDUP(MONTH(B1844)/3,0)</f>
        <v>2015-Q1</v>
      </c>
    </row>
    <row r="1845" customFormat="false" ht="15" hidden="false" customHeight="false" outlineLevel="0" collapsed="false">
      <c r="A1845" s="0" t="s">
        <v>973</v>
      </c>
      <c r="B1845" s="6" t="n">
        <v>42044</v>
      </c>
      <c r="C1845" s="7" t="s">
        <v>45</v>
      </c>
      <c r="D1845" s="7" t="s">
        <v>46</v>
      </c>
      <c r="E1845" s="7" t="s">
        <v>31</v>
      </c>
      <c r="F1845" s="0" t="n">
        <v>40.784</v>
      </c>
      <c r="G1845" s="0" t="n">
        <v>-30.588</v>
      </c>
      <c r="H1845" s="0" t="n">
        <v>0.6</v>
      </c>
      <c r="I1845" s="7" t="n">
        <f aca="false">YEAR(B1845)</f>
        <v>2015</v>
      </c>
      <c r="J1845" s="0" t="str">
        <f aca="false">I1845&amp;"-Q"&amp;ROUNDUP(MONTH(B1845)/3,0)</f>
        <v>2015-Q1</v>
      </c>
    </row>
    <row r="1846" customFormat="false" ht="15" hidden="false" customHeight="false" outlineLevel="0" collapsed="false">
      <c r="A1846" s="0" t="s">
        <v>974</v>
      </c>
      <c r="B1846" s="6" t="n">
        <v>42945</v>
      </c>
      <c r="C1846" s="7" t="s">
        <v>33</v>
      </c>
      <c r="D1846" s="7" t="s">
        <v>43</v>
      </c>
      <c r="E1846" s="7" t="s">
        <v>39</v>
      </c>
      <c r="F1846" s="0" t="n">
        <v>90.57</v>
      </c>
      <c r="G1846" s="0" t="n">
        <v>11.7741</v>
      </c>
      <c r="H1846" s="0" t="n">
        <v>0</v>
      </c>
      <c r="I1846" s="7" t="n">
        <f aca="false">YEAR(B1846)</f>
        <v>2017</v>
      </c>
      <c r="J1846" s="0" t="str">
        <f aca="false">I1846&amp;"-Q"&amp;ROUNDUP(MONTH(B1846)/3,0)</f>
        <v>2017-Q3</v>
      </c>
    </row>
    <row r="1847" customFormat="false" ht="15" hidden="false" customHeight="false" outlineLevel="0" collapsed="false">
      <c r="A1847" s="0" t="s">
        <v>975</v>
      </c>
      <c r="B1847" s="6" t="n">
        <v>42747</v>
      </c>
      <c r="C1847" s="7" t="s">
        <v>55</v>
      </c>
      <c r="D1847" s="7" t="s">
        <v>567</v>
      </c>
      <c r="E1847" s="7" t="s">
        <v>35</v>
      </c>
      <c r="F1847" s="0" t="n">
        <v>40.08</v>
      </c>
      <c r="G1847" s="0" t="n">
        <v>19.2384</v>
      </c>
      <c r="H1847" s="0" t="n">
        <v>0</v>
      </c>
      <c r="I1847" s="7" t="n">
        <f aca="false">YEAR(B1847)</f>
        <v>2017</v>
      </c>
      <c r="J1847" s="0" t="str">
        <f aca="false">I1847&amp;"-Q"&amp;ROUNDUP(MONTH(B1847)/3,0)</f>
        <v>2017-Q1</v>
      </c>
    </row>
    <row r="1848" customFormat="false" ht="15" hidden="false" customHeight="false" outlineLevel="0" collapsed="false">
      <c r="A1848" s="0" t="s">
        <v>975</v>
      </c>
      <c r="B1848" s="6" t="n">
        <v>42747</v>
      </c>
      <c r="C1848" s="7" t="s">
        <v>55</v>
      </c>
      <c r="D1848" s="7" t="s">
        <v>567</v>
      </c>
      <c r="E1848" s="7" t="s">
        <v>31</v>
      </c>
      <c r="F1848" s="0" t="n">
        <v>37.68</v>
      </c>
      <c r="G1848" s="0" t="n">
        <v>15.8256</v>
      </c>
      <c r="H1848" s="0" t="n">
        <v>0</v>
      </c>
      <c r="I1848" s="7" t="n">
        <f aca="false">YEAR(B1848)</f>
        <v>2017</v>
      </c>
      <c r="J1848" s="0" t="str">
        <f aca="false">I1848&amp;"-Q"&amp;ROUNDUP(MONTH(B1848)/3,0)</f>
        <v>2017-Q1</v>
      </c>
    </row>
    <row r="1849" customFormat="false" ht="15" hidden="false" customHeight="false" outlineLevel="0" collapsed="false">
      <c r="A1849" s="0" t="s">
        <v>976</v>
      </c>
      <c r="B1849" s="6" t="n">
        <v>42988</v>
      </c>
      <c r="C1849" s="7" t="s">
        <v>33</v>
      </c>
      <c r="D1849" s="7" t="s">
        <v>34</v>
      </c>
      <c r="E1849" s="7" t="s">
        <v>31</v>
      </c>
      <c r="F1849" s="0" t="n">
        <v>362.352</v>
      </c>
      <c r="G1849" s="0" t="n">
        <v>27.1764</v>
      </c>
      <c r="H1849" s="0" t="n">
        <v>0.2</v>
      </c>
      <c r="I1849" s="7" t="n">
        <f aca="false">YEAR(B1849)</f>
        <v>2017</v>
      </c>
      <c r="J1849" s="0" t="str">
        <f aca="false">I1849&amp;"-Q"&amp;ROUNDUP(MONTH(B1849)/3,0)</f>
        <v>2017-Q3</v>
      </c>
    </row>
    <row r="1850" customFormat="false" ht="15" hidden="false" customHeight="false" outlineLevel="0" collapsed="false">
      <c r="A1850" s="0" t="s">
        <v>976</v>
      </c>
      <c r="B1850" s="6" t="n">
        <v>42988</v>
      </c>
      <c r="C1850" s="7" t="s">
        <v>33</v>
      </c>
      <c r="D1850" s="7" t="s">
        <v>34</v>
      </c>
      <c r="E1850" s="7" t="s">
        <v>35</v>
      </c>
      <c r="F1850" s="0" t="n">
        <v>7.184</v>
      </c>
      <c r="G1850" s="0" t="n">
        <v>2.245</v>
      </c>
      <c r="H1850" s="0" t="n">
        <v>0.2</v>
      </c>
      <c r="I1850" s="7" t="n">
        <f aca="false">YEAR(B1850)</f>
        <v>2017</v>
      </c>
      <c r="J1850" s="0" t="str">
        <f aca="false">I1850&amp;"-Q"&amp;ROUNDUP(MONTH(B1850)/3,0)</f>
        <v>2017-Q3</v>
      </c>
    </row>
    <row r="1851" customFormat="false" ht="15" hidden="false" customHeight="false" outlineLevel="0" collapsed="false">
      <c r="A1851" s="0" t="s">
        <v>977</v>
      </c>
      <c r="B1851" s="6" t="n">
        <v>42205</v>
      </c>
      <c r="C1851" s="7" t="s">
        <v>45</v>
      </c>
      <c r="D1851" s="7" t="s">
        <v>74</v>
      </c>
      <c r="E1851" s="7" t="s">
        <v>35</v>
      </c>
      <c r="F1851" s="0" t="n">
        <v>34.76</v>
      </c>
      <c r="G1851" s="0" t="n">
        <v>9.7328</v>
      </c>
      <c r="H1851" s="0" t="n">
        <v>0</v>
      </c>
      <c r="I1851" s="7" t="n">
        <f aca="false">YEAR(B1851)</f>
        <v>2015</v>
      </c>
      <c r="J1851" s="0" t="str">
        <f aca="false">I1851&amp;"-Q"&amp;ROUNDUP(MONTH(B1851)/3,0)</f>
        <v>2015-Q3</v>
      </c>
    </row>
    <row r="1852" customFormat="false" ht="15" hidden="false" customHeight="false" outlineLevel="0" collapsed="false">
      <c r="A1852" s="0" t="s">
        <v>977</v>
      </c>
      <c r="B1852" s="6" t="n">
        <v>42205</v>
      </c>
      <c r="C1852" s="7" t="s">
        <v>45</v>
      </c>
      <c r="D1852" s="7" t="s">
        <v>74</v>
      </c>
      <c r="E1852" s="7" t="s">
        <v>39</v>
      </c>
      <c r="F1852" s="0" t="n">
        <v>831.2</v>
      </c>
      <c r="G1852" s="0" t="n">
        <v>124.68</v>
      </c>
      <c r="H1852" s="0" t="n">
        <v>0</v>
      </c>
      <c r="I1852" s="7" t="n">
        <f aca="false">YEAR(B1852)</f>
        <v>2015</v>
      </c>
      <c r="J1852" s="0" t="str">
        <f aca="false">I1852&amp;"-Q"&amp;ROUNDUP(MONTH(B1852)/3,0)</f>
        <v>2015-Q3</v>
      </c>
    </row>
    <row r="1853" customFormat="false" ht="15" hidden="false" customHeight="false" outlineLevel="0" collapsed="false">
      <c r="A1853" s="0" t="s">
        <v>977</v>
      </c>
      <c r="B1853" s="6" t="n">
        <v>42205</v>
      </c>
      <c r="C1853" s="7" t="s">
        <v>45</v>
      </c>
      <c r="D1853" s="7" t="s">
        <v>74</v>
      </c>
      <c r="E1853" s="7" t="s">
        <v>35</v>
      </c>
      <c r="F1853" s="0" t="n">
        <v>26.4</v>
      </c>
      <c r="G1853" s="0" t="n">
        <v>11.88</v>
      </c>
      <c r="H1853" s="0" t="n">
        <v>0</v>
      </c>
      <c r="I1853" s="7" t="n">
        <f aca="false">YEAR(B1853)</f>
        <v>2015</v>
      </c>
      <c r="J1853" s="0" t="str">
        <f aca="false">I1853&amp;"-Q"&amp;ROUNDUP(MONTH(B1853)/3,0)</f>
        <v>2015-Q3</v>
      </c>
    </row>
    <row r="1854" customFormat="false" ht="15" hidden="false" customHeight="false" outlineLevel="0" collapsed="false">
      <c r="A1854" s="0" t="s">
        <v>977</v>
      </c>
      <c r="B1854" s="6" t="n">
        <v>42205</v>
      </c>
      <c r="C1854" s="7" t="s">
        <v>45</v>
      </c>
      <c r="D1854" s="7" t="s">
        <v>74</v>
      </c>
      <c r="E1854" s="7" t="s">
        <v>35</v>
      </c>
      <c r="F1854" s="0" t="n">
        <v>106.75</v>
      </c>
      <c r="G1854" s="0" t="n">
        <v>49.105</v>
      </c>
      <c r="H1854" s="0" t="n">
        <v>0</v>
      </c>
      <c r="I1854" s="7" t="n">
        <f aca="false">YEAR(B1854)</f>
        <v>2015</v>
      </c>
      <c r="J1854" s="0" t="str">
        <f aca="false">I1854&amp;"-Q"&amp;ROUNDUP(MONTH(B1854)/3,0)</f>
        <v>2015-Q3</v>
      </c>
    </row>
    <row r="1855" customFormat="false" ht="15" hidden="false" customHeight="false" outlineLevel="0" collapsed="false">
      <c r="A1855" s="0" t="s">
        <v>977</v>
      </c>
      <c r="B1855" s="6" t="n">
        <v>42205</v>
      </c>
      <c r="C1855" s="7" t="s">
        <v>45</v>
      </c>
      <c r="D1855" s="7" t="s">
        <v>74</v>
      </c>
      <c r="E1855" s="7" t="s">
        <v>35</v>
      </c>
      <c r="F1855" s="0" t="n">
        <v>97.82</v>
      </c>
      <c r="G1855" s="0" t="n">
        <v>45.9754</v>
      </c>
      <c r="H1855" s="0" t="n">
        <v>0</v>
      </c>
      <c r="I1855" s="7" t="n">
        <f aca="false">YEAR(B1855)</f>
        <v>2015</v>
      </c>
      <c r="J1855" s="0" t="str">
        <f aca="false">I1855&amp;"-Q"&amp;ROUNDUP(MONTH(B1855)/3,0)</f>
        <v>2015-Q3</v>
      </c>
    </row>
    <row r="1856" customFormat="false" ht="15" hidden="false" customHeight="false" outlineLevel="0" collapsed="false">
      <c r="A1856" s="0" t="s">
        <v>977</v>
      </c>
      <c r="B1856" s="6" t="n">
        <v>42205</v>
      </c>
      <c r="C1856" s="7" t="s">
        <v>45</v>
      </c>
      <c r="D1856" s="7" t="s">
        <v>74</v>
      </c>
      <c r="E1856" s="7" t="s">
        <v>35</v>
      </c>
      <c r="F1856" s="0" t="n">
        <v>141.4</v>
      </c>
      <c r="G1856" s="0" t="n">
        <v>38.178</v>
      </c>
      <c r="H1856" s="0" t="n">
        <v>0</v>
      </c>
      <c r="I1856" s="7" t="n">
        <f aca="false">YEAR(B1856)</f>
        <v>2015</v>
      </c>
      <c r="J1856" s="0" t="str">
        <f aca="false">I1856&amp;"-Q"&amp;ROUNDUP(MONTH(B1856)/3,0)</f>
        <v>2015-Q3</v>
      </c>
    </row>
    <row r="1857" customFormat="false" ht="15" hidden="false" customHeight="false" outlineLevel="0" collapsed="false">
      <c r="A1857" s="0" t="s">
        <v>978</v>
      </c>
      <c r="B1857" s="6" t="n">
        <v>41803</v>
      </c>
      <c r="C1857" s="7" t="s">
        <v>33</v>
      </c>
      <c r="D1857" s="7" t="s">
        <v>34</v>
      </c>
      <c r="E1857" s="7" t="s">
        <v>35</v>
      </c>
      <c r="F1857" s="0" t="n">
        <v>14.52</v>
      </c>
      <c r="G1857" s="0" t="n">
        <v>4.7916</v>
      </c>
      <c r="H1857" s="0" t="n">
        <v>0</v>
      </c>
      <c r="I1857" s="7" t="n">
        <f aca="false">YEAR(B1857)</f>
        <v>2014</v>
      </c>
      <c r="J1857" s="0" t="str">
        <f aca="false">I1857&amp;"-Q"&amp;ROUNDUP(MONTH(B1857)/3,0)</f>
        <v>2014-Q2</v>
      </c>
    </row>
    <row r="1858" customFormat="false" ht="15" hidden="false" customHeight="false" outlineLevel="0" collapsed="false">
      <c r="A1858" s="0" t="s">
        <v>979</v>
      </c>
      <c r="B1858" s="6" t="n">
        <v>42867</v>
      </c>
      <c r="C1858" s="7" t="s">
        <v>45</v>
      </c>
      <c r="D1858" s="7" t="s">
        <v>46</v>
      </c>
      <c r="E1858" s="7" t="s">
        <v>35</v>
      </c>
      <c r="F1858" s="0" t="n">
        <v>127.92</v>
      </c>
      <c r="G1858" s="0" t="n">
        <v>-15.99</v>
      </c>
      <c r="H1858" s="0" t="n">
        <v>0.2</v>
      </c>
      <c r="I1858" s="7" t="n">
        <f aca="false">YEAR(B1858)</f>
        <v>2017</v>
      </c>
      <c r="J1858" s="0" t="str">
        <f aca="false">I1858&amp;"-Q"&amp;ROUNDUP(MONTH(B1858)/3,0)</f>
        <v>2017-Q2</v>
      </c>
    </row>
    <row r="1859" customFormat="false" ht="15" hidden="false" customHeight="false" outlineLevel="0" collapsed="false">
      <c r="A1859" s="0" t="s">
        <v>979</v>
      </c>
      <c r="B1859" s="6" t="n">
        <v>42867</v>
      </c>
      <c r="C1859" s="7" t="s">
        <v>45</v>
      </c>
      <c r="D1859" s="7" t="s">
        <v>46</v>
      </c>
      <c r="E1859" s="7" t="s">
        <v>35</v>
      </c>
      <c r="F1859" s="0" t="n">
        <v>34.24</v>
      </c>
      <c r="G1859" s="0" t="n">
        <v>-53.072</v>
      </c>
      <c r="H1859" s="0" t="n">
        <v>0.8</v>
      </c>
      <c r="I1859" s="7" t="n">
        <f aca="false">YEAR(B1859)</f>
        <v>2017</v>
      </c>
      <c r="J1859" s="0" t="str">
        <f aca="false">I1859&amp;"-Q"&amp;ROUNDUP(MONTH(B1859)/3,0)</f>
        <v>2017-Q2</v>
      </c>
    </row>
    <row r="1860" customFormat="false" ht="15" hidden="false" customHeight="false" outlineLevel="0" collapsed="false">
      <c r="A1860" s="0" t="s">
        <v>980</v>
      </c>
      <c r="B1860" s="6" t="n">
        <v>42250</v>
      </c>
      <c r="C1860" s="7" t="s">
        <v>55</v>
      </c>
      <c r="D1860" s="7" t="s">
        <v>154</v>
      </c>
      <c r="E1860" s="7" t="s">
        <v>35</v>
      </c>
      <c r="F1860" s="0" t="n">
        <v>137.62</v>
      </c>
      <c r="G1860" s="0" t="n">
        <v>60.5528</v>
      </c>
      <c r="H1860" s="0" t="n">
        <v>0</v>
      </c>
      <c r="I1860" s="7" t="n">
        <f aca="false">YEAR(B1860)</f>
        <v>2015</v>
      </c>
      <c r="J1860" s="0" t="str">
        <f aca="false">I1860&amp;"-Q"&amp;ROUNDUP(MONTH(B1860)/3,0)</f>
        <v>2015-Q3</v>
      </c>
    </row>
    <row r="1861" customFormat="false" ht="15" hidden="false" customHeight="false" outlineLevel="0" collapsed="false">
      <c r="A1861" s="0" t="s">
        <v>980</v>
      </c>
      <c r="B1861" s="6" t="n">
        <v>42250</v>
      </c>
      <c r="C1861" s="7" t="s">
        <v>55</v>
      </c>
      <c r="D1861" s="7" t="s">
        <v>154</v>
      </c>
      <c r="E1861" s="7" t="s">
        <v>39</v>
      </c>
      <c r="F1861" s="0" t="n">
        <v>100.49</v>
      </c>
      <c r="G1861" s="0" t="n">
        <v>25.1225</v>
      </c>
      <c r="H1861" s="0" t="n">
        <v>0</v>
      </c>
      <c r="I1861" s="7" t="n">
        <f aca="false">YEAR(B1861)</f>
        <v>2015</v>
      </c>
      <c r="J1861" s="0" t="str">
        <f aca="false">I1861&amp;"-Q"&amp;ROUNDUP(MONTH(B1861)/3,0)</f>
        <v>2015-Q3</v>
      </c>
    </row>
    <row r="1862" customFormat="false" ht="15" hidden="false" customHeight="false" outlineLevel="0" collapsed="false">
      <c r="A1862" s="0" t="s">
        <v>981</v>
      </c>
      <c r="B1862" s="6" t="n">
        <v>42820</v>
      </c>
      <c r="C1862" s="7" t="s">
        <v>55</v>
      </c>
      <c r="D1862" s="7" t="s">
        <v>76</v>
      </c>
      <c r="E1862" s="7" t="s">
        <v>31</v>
      </c>
      <c r="F1862" s="0" t="n">
        <v>257.568</v>
      </c>
      <c r="G1862" s="0" t="n">
        <v>-28.9764</v>
      </c>
      <c r="H1862" s="0" t="n">
        <v>0.2</v>
      </c>
      <c r="I1862" s="7" t="n">
        <f aca="false">YEAR(B1862)</f>
        <v>2017</v>
      </c>
      <c r="J1862" s="0" t="str">
        <f aca="false">I1862&amp;"-Q"&amp;ROUNDUP(MONTH(B1862)/3,0)</f>
        <v>2017-Q1</v>
      </c>
    </row>
    <row r="1863" customFormat="false" ht="15" hidden="false" customHeight="false" outlineLevel="0" collapsed="false">
      <c r="A1863" s="0" t="s">
        <v>981</v>
      </c>
      <c r="B1863" s="6" t="n">
        <v>42820</v>
      </c>
      <c r="C1863" s="7" t="s">
        <v>55</v>
      </c>
      <c r="D1863" s="7" t="s">
        <v>76</v>
      </c>
      <c r="E1863" s="7" t="s">
        <v>39</v>
      </c>
      <c r="F1863" s="0" t="n">
        <v>119.96</v>
      </c>
      <c r="G1863" s="0" t="n">
        <v>33.5888</v>
      </c>
      <c r="H1863" s="0" t="n">
        <v>0</v>
      </c>
      <c r="I1863" s="7" t="n">
        <f aca="false">YEAR(B1863)</f>
        <v>2017</v>
      </c>
      <c r="J1863" s="0" t="str">
        <f aca="false">I1863&amp;"-Q"&amp;ROUNDUP(MONTH(B1863)/3,0)</f>
        <v>2017-Q1</v>
      </c>
    </row>
    <row r="1864" customFormat="false" ht="15" hidden="false" customHeight="false" outlineLevel="0" collapsed="false">
      <c r="A1864" s="0" t="s">
        <v>982</v>
      </c>
      <c r="B1864" s="6" t="n">
        <v>41955</v>
      </c>
      <c r="C1864" s="7" t="s">
        <v>45</v>
      </c>
      <c r="D1864" s="7" t="s">
        <v>46</v>
      </c>
      <c r="E1864" s="7" t="s">
        <v>35</v>
      </c>
      <c r="F1864" s="0" t="n">
        <v>49.632</v>
      </c>
      <c r="G1864" s="0" t="n">
        <v>4.9632</v>
      </c>
      <c r="H1864" s="0" t="n">
        <v>0.2</v>
      </c>
      <c r="I1864" s="7" t="n">
        <f aca="false">YEAR(B1864)</f>
        <v>2014</v>
      </c>
      <c r="J1864" s="0" t="str">
        <f aca="false">I1864&amp;"-Q"&amp;ROUNDUP(MONTH(B1864)/3,0)</f>
        <v>2014-Q4</v>
      </c>
    </row>
    <row r="1865" customFormat="false" ht="15" hidden="false" customHeight="false" outlineLevel="0" collapsed="false">
      <c r="A1865" s="0" t="s">
        <v>983</v>
      </c>
      <c r="B1865" s="6" t="n">
        <v>42656</v>
      </c>
      <c r="C1865" s="7" t="s">
        <v>33</v>
      </c>
      <c r="D1865" s="7" t="s">
        <v>109</v>
      </c>
      <c r="E1865" s="7" t="s">
        <v>31</v>
      </c>
      <c r="F1865" s="0" t="n">
        <v>727.45</v>
      </c>
      <c r="G1865" s="0" t="n">
        <v>-465.568</v>
      </c>
      <c r="H1865" s="0" t="n">
        <v>0.5</v>
      </c>
      <c r="I1865" s="7" t="n">
        <f aca="false">YEAR(B1865)</f>
        <v>2016</v>
      </c>
      <c r="J1865" s="0" t="str">
        <f aca="false">I1865&amp;"-Q"&amp;ROUNDUP(MONTH(B1865)/3,0)</f>
        <v>2016-Q4</v>
      </c>
    </row>
    <row r="1866" customFormat="false" ht="15" hidden="false" customHeight="false" outlineLevel="0" collapsed="false">
      <c r="A1866" s="0" t="s">
        <v>983</v>
      </c>
      <c r="B1866" s="6" t="n">
        <v>42656</v>
      </c>
      <c r="C1866" s="7" t="s">
        <v>33</v>
      </c>
      <c r="D1866" s="7" t="s">
        <v>109</v>
      </c>
      <c r="E1866" s="7" t="s">
        <v>31</v>
      </c>
      <c r="F1866" s="0" t="n">
        <v>24.96</v>
      </c>
      <c r="G1866" s="0" t="n">
        <v>4.368</v>
      </c>
      <c r="H1866" s="0" t="n">
        <v>0.2</v>
      </c>
      <c r="I1866" s="7" t="n">
        <f aca="false">YEAR(B1866)</f>
        <v>2016</v>
      </c>
      <c r="J1866" s="0" t="str">
        <f aca="false">I1866&amp;"-Q"&amp;ROUNDUP(MONTH(B1866)/3,0)</f>
        <v>2016-Q4</v>
      </c>
    </row>
    <row r="1867" customFormat="false" ht="15" hidden="false" customHeight="false" outlineLevel="0" collapsed="false">
      <c r="A1867" s="0" t="s">
        <v>984</v>
      </c>
      <c r="B1867" s="6" t="n">
        <v>43051</v>
      </c>
      <c r="C1867" s="7" t="s">
        <v>55</v>
      </c>
      <c r="D1867" s="7" t="s">
        <v>116</v>
      </c>
      <c r="E1867" s="7" t="s">
        <v>39</v>
      </c>
      <c r="F1867" s="0" t="n">
        <v>370.782</v>
      </c>
      <c r="G1867" s="0" t="n">
        <v>-92.6955</v>
      </c>
      <c r="H1867" s="0" t="n">
        <v>0.4</v>
      </c>
      <c r="I1867" s="7" t="n">
        <f aca="false">YEAR(B1867)</f>
        <v>2017</v>
      </c>
      <c r="J1867" s="0" t="str">
        <f aca="false">I1867&amp;"-Q"&amp;ROUNDUP(MONTH(B1867)/3,0)</f>
        <v>2017-Q4</v>
      </c>
    </row>
    <row r="1868" customFormat="false" ht="15" hidden="false" customHeight="false" outlineLevel="0" collapsed="false">
      <c r="A1868" s="0" t="s">
        <v>985</v>
      </c>
      <c r="B1868" s="6" t="n">
        <v>42840</v>
      </c>
      <c r="C1868" s="7" t="s">
        <v>33</v>
      </c>
      <c r="D1868" s="7" t="s">
        <v>248</v>
      </c>
      <c r="E1868" s="7" t="s">
        <v>31</v>
      </c>
      <c r="F1868" s="0" t="n">
        <v>196.45</v>
      </c>
      <c r="G1868" s="0" t="n">
        <v>70.722</v>
      </c>
      <c r="H1868" s="0" t="n">
        <v>0</v>
      </c>
      <c r="I1868" s="7" t="n">
        <f aca="false">YEAR(B1868)</f>
        <v>2017</v>
      </c>
      <c r="J1868" s="0" t="str">
        <f aca="false">I1868&amp;"-Q"&amp;ROUNDUP(MONTH(B1868)/3,0)</f>
        <v>2017-Q2</v>
      </c>
    </row>
    <row r="1869" customFormat="false" ht="15" hidden="false" customHeight="false" outlineLevel="0" collapsed="false">
      <c r="A1869" s="0" t="s">
        <v>986</v>
      </c>
      <c r="B1869" s="6" t="n">
        <v>42180</v>
      </c>
      <c r="C1869" s="7" t="s">
        <v>55</v>
      </c>
      <c r="D1869" s="7" t="s">
        <v>56</v>
      </c>
      <c r="E1869" s="7" t="s">
        <v>35</v>
      </c>
      <c r="F1869" s="0" t="n">
        <v>31.104</v>
      </c>
      <c r="G1869" s="0" t="n">
        <v>10.8864</v>
      </c>
      <c r="H1869" s="0" t="n">
        <v>0.2</v>
      </c>
      <c r="I1869" s="7" t="n">
        <f aca="false">YEAR(B1869)</f>
        <v>2015</v>
      </c>
      <c r="J1869" s="0" t="str">
        <f aca="false">I1869&amp;"-Q"&amp;ROUNDUP(MONTH(B1869)/3,0)</f>
        <v>2015-Q2</v>
      </c>
    </row>
    <row r="1870" customFormat="false" ht="15" hidden="false" customHeight="false" outlineLevel="0" collapsed="false">
      <c r="A1870" s="0" t="s">
        <v>986</v>
      </c>
      <c r="B1870" s="6" t="n">
        <v>42180</v>
      </c>
      <c r="C1870" s="7" t="s">
        <v>55</v>
      </c>
      <c r="D1870" s="7" t="s">
        <v>56</v>
      </c>
      <c r="E1870" s="7" t="s">
        <v>35</v>
      </c>
      <c r="F1870" s="0" t="n">
        <v>78.256</v>
      </c>
      <c r="G1870" s="0" t="n">
        <v>-17.6076</v>
      </c>
      <c r="H1870" s="0" t="n">
        <v>0.2</v>
      </c>
      <c r="I1870" s="7" t="n">
        <f aca="false">YEAR(B1870)</f>
        <v>2015</v>
      </c>
      <c r="J1870" s="0" t="str">
        <f aca="false">I1870&amp;"-Q"&amp;ROUNDUP(MONTH(B1870)/3,0)</f>
        <v>2015-Q2</v>
      </c>
    </row>
    <row r="1871" customFormat="false" ht="15" hidden="false" customHeight="false" outlineLevel="0" collapsed="false">
      <c r="A1871" s="0" t="s">
        <v>987</v>
      </c>
      <c r="B1871" s="6" t="n">
        <v>42608</v>
      </c>
      <c r="C1871" s="7" t="s">
        <v>33</v>
      </c>
      <c r="D1871" s="7" t="s">
        <v>43</v>
      </c>
      <c r="E1871" s="7" t="s">
        <v>35</v>
      </c>
      <c r="F1871" s="0" t="n">
        <v>6.48</v>
      </c>
      <c r="G1871" s="0" t="n">
        <v>3.1104</v>
      </c>
      <c r="H1871" s="0" t="n">
        <v>0</v>
      </c>
      <c r="I1871" s="7" t="n">
        <f aca="false">YEAR(B1871)</f>
        <v>2016</v>
      </c>
      <c r="J1871" s="0" t="str">
        <f aca="false">I1871&amp;"-Q"&amp;ROUNDUP(MONTH(B1871)/3,0)</f>
        <v>2016-Q3</v>
      </c>
    </row>
    <row r="1872" customFormat="false" ht="15" hidden="false" customHeight="false" outlineLevel="0" collapsed="false">
      <c r="A1872" s="0" t="s">
        <v>988</v>
      </c>
      <c r="B1872" s="6" t="n">
        <v>41841</v>
      </c>
      <c r="C1872" s="7" t="s">
        <v>33</v>
      </c>
      <c r="D1872" s="7" t="s">
        <v>34</v>
      </c>
      <c r="E1872" s="7" t="s">
        <v>35</v>
      </c>
      <c r="F1872" s="0" t="n">
        <v>99.2</v>
      </c>
      <c r="G1872" s="0" t="n">
        <v>25.792</v>
      </c>
      <c r="H1872" s="0" t="n">
        <v>0</v>
      </c>
      <c r="I1872" s="7" t="n">
        <f aca="false">YEAR(B1872)</f>
        <v>2014</v>
      </c>
      <c r="J1872" s="0" t="str">
        <f aca="false">I1872&amp;"-Q"&amp;ROUNDUP(MONTH(B1872)/3,0)</f>
        <v>2014-Q3</v>
      </c>
    </row>
    <row r="1873" customFormat="false" ht="15" hidden="false" customHeight="false" outlineLevel="0" collapsed="false">
      <c r="A1873" s="0" t="s">
        <v>988</v>
      </c>
      <c r="B1873" s="6" t="n">
        <v>41841</v>
      </c>
      <c r="C1873" s="7" t="s">
        <v>33</v>
      </c>
      <c r="D1873" s="7" t="s">
        <v>34</v>
      </c>
      <c r="E1873" s="7" t="s">
        <v>31</v>
      </c>
      <c r="F1873" s="0" t="n">
        <v>801.568</v>
      </c>
      <c r="G1873" s="0" t="n">
        <v>50.098</v>
      </c>
      <c r="H1873" s="0" t="n">
        <v>0.2</v>
      </c>
      <c r="I1873" s="7" t="n">
        <f aca="false">YEAR(B1873)</f>
        <v>2014</v>
      </c>
      <c r="J1873" s="0" t="str">
        <f aca="false">I1873&amp;"-Q"&amp;ROUNDUP(MONTH(B1873)/3,0)</f>
        <v>2014-Q3</v>
      </c>
    </row>
    <row r="1874" customFormat="false" ht="15" hidden="false" customHeight="false" outlineLevel="0" collapsed="false">
      <c r="A1874" s="0" t="s">
        <v>988</v>
      </c>
      <c r="B1874" s="6" t="n">
        <v>41841</v>
      </c>
      <c r="C1874" s="7" t="s">
        <v>33</v>
      </c>
      <c r="D1874" s="7" t="s">
        <v>34</v>
      </c>
      <c r="E1874" s="7" t="s">
        <v>31</v>
      </c>
      <c r="F1874" s="0" t="n">
        <v>272.848</v>
      </c>
      <c r="G1874" s="0" t="n">
        <v>27.2848</v>
      </c>
      <c r="H1874" s="0" t="n">
        <v>0.2</v>
      </c>
      <c r="I1874" s="7" t="n">
        <f aca="false">YEAR(B1874)</f>
        <v>2014</v>
      </c>
      <c r="J1874" s="0" t="str">
        <f aca="false">I1874&amp;"-Q"&amp;ROUNDUP(MONTH(B1874)/3,0)</f>
        <v>2014-Q3</v>
      </c>
    </row>
    <row r="1875" customFormat="false" ht="15" hidden="false" customHeight="false" outlineLevel="0" collapsed="false">
      <c r="A1875" s="0" t="s">
        <v>989</v>
      </c>
      <c r="B1875" s="6" t="n">
        <v>43060</v>
      </c>
      <c r="C1875" s="7" t="s">
        <v>33</v>
      </c>
      <c r="D1875" s="7" t="s">
        <v>43</v>
      </c>
      <c r="E1875" s="7" t="s">
        <v>31</v>
      </c>
      <c r="F1875" s="0" t="n">
        <v>70.98</v>
      </c>
      <c r="G1875" s="0" t="n">
        <v>20.5842</v>
      </c>
      <c r="H1875" s="0" t="n">
        <v>0</v>
      </c>
      <c r="I1875" s="7" t="n">
        <f aca="false">YEAR(B1875)</f>
        <v>2017</v>
      </c>
      <c r="J1875" s="0" t="str">
        <f aca="false">I1875&amp;"-Q"&amp;ROUNDUP(MONTH(B1875)/3,0)</f>
        <v>2017-Q4</v>
      </c>
    </row>
    <row r="1876" customFormat="false" ht="15" hidden="false" customHeight="false" outlineLevel="0" collapsed="false">
      <c r="A1876" s="0" t="s">
        <v>990</v>
      </c>
      <c r="B1876" s="6" t="n">
        <v>41794</v>
      </c>
      <c r="C1876" s="7" t="s">
        <v>55</v>
      </c>
      <c r="D1876" s="7" t="s">
        <v>116</v>
      </c>
      <c r="E1876" s="7" t="s">
        <v>35</v>
      </c>
      <c r="F1876" s="0" t="n">
        <v>16.224</v>
      </c>
      <c r="G1876" s="0" t="n">
        <v>5.8812</v>
      </c>
      <c r="H1876" s="0" t="n">
        <v>0.2</v>
      </c>
      <c r="I1876" s="7" t="n">
        <f aca="false">YEAR(B1876)</f>
        <v>2014</v>
      </c>
      <c r="J1876" s="0" t="str">
        <f aca="false">I1876&amp;"-Q"&amp;ROUNDUP(MONTH(B1876)/3,0)</f>
        <v>2014-Q2</v>
      </c>
    </row>
    <row r="1877" customFormat="false" ht="15" hidden="false" customHeight="false" outlineLevel="0" collapsed="false">
      <c r="A1877" s="0" t="s">
        <v>991</v>
      </c>
      <c r="B1877" s="6" t="n">
        <v>42439</v>
      </c>
      <c r="C1877" s="7" t="s">
        <v>55</v>
      </c>
      <c r="D1877" s="7" t="s">
        <v>76</v>
      </c>
      <c r="E1877" s="7" t="s">
        <v>31</v>
      </c>
      <c r="F1877" s="0" t="n">
        <v>176.784</v>
      </c>
      <c r="G1877" s="0" t="n">
        <v>-22.098</v>
      </c>
      <c r="H1877" s="0" t="n">
        <v>0.2</v>
      </c>
      <c r="I1877" s="7" t="n">
        <f aca="false">YEAR(B1877)</f>
        <v>2016</v>
      </c>
      <c r="J1877" s="0" t="str">
        <f aca="false">I1877&amp;"-Q"&amp;ROUNDUP(MONTH(B1877)/3,0)</f>
        <v>2016-Q1</v>
      </c>
    </row>
    <row r="1878" customFormat="false" ht="15" hidden="false" customHeight="false" outlineLevel="0" collapsed="false">
      <c r="A1878" s="0" t="s">
        <v>992</v>
      </c>
      <c r="B1878" s="6" t="n">
        <v>42819</v>
      </c>
      <c r="C1878" s="7" t="s">
        <v>45</v>
      </c>
      <c r="D1878" s="7" t="s">
        <v>46</v>
      </c>
      <c r="E1878" s="7" t="s">
        <v>39</v>
      </c>
      <c r="F1878" s="0" t="n">
        <v>470.376</v>
      </c>
      <c r="G1878" s="0" t="n">
        <v>47.0376</v>
      </c>
      <c r="H1878" s="0" t="n">
        <v>0.2</v>
      </c>
      <c r="I1878" s="7" t="n">
        <f aca="false">YEAR(B1878)</f>
        <v>2017</v>
      </c>
      <c r="J1878" s="0" t="str">
        <f aca="false">I1878&amp;"-Q"&amp;ROUNDUP(MONTH(B1878)/3,0)</f>
        <v>2017-Q1</v>
      </c>
    </row>
    <row r="1879" customFormat="false" ht="15" hidden="false" customHeight="false" outlineLevel="0" collapsed="false">
      <c r="A1879" s="0" t="s">
        <v>993</v>
      </c>
      <c r="B1879" s="6" t="n">
        <v>43098</v>
      </c>
      <c r="C1879" s="7" t="s">
        <v>33</v>
      </c>
      <c r="D1879" s="7" t="s">
        <v>34</v>
      </c>
      <c r="E1879" s="7" t="s">
        <v>31</v>
      </c>
      <c r="F1879" s="0" t="n">
        <v>393.568</v>
      </c>
      <c r="G1879" s="0" t="n">
        <v>-44.2764</v>
      </c>
      <c r="H1879" s="0" t="n">
        <v>0.2</v>
      </c>
      <c r="I1879" s="7" t="n">
        <f aca="false">YEAR(B1879)</f>
        <v>2017</v>
      </c>
      <c r="J1879" s="0" t="str">
        <f aca="false">I1879&amp;"-Q"&amp;ROUNDUP(MONTH(B1879)/3,0)</f>
        <v>2017-Q4</v>
      </c>
    </row>
    <row r="1880" customFormat="false" ht="15" hidden="false" customHeight="false" outlineLevel="0" collapsed="false">
      <c r="A1880" s="0" t="s">
        <v>993</v>
      </c>
      <c r="B1880" s="6" t="n">
        <v>43098</v>
      </c>
      <c r="C1880" s="7" t="s">
        <v>33</v>
      </c>
      <c r="D1880" s="7" t="s">
        <v>34</v>
      </c>
      <c r="E1880" s="7" t="s">
        <v>39</v>
      </c>
      <c r="F1880" s="0" t="n">
        <v>302.376</v>
      </c>
      <c r="G1880" s="0" t="n">
        <v>22.6782</v>
      </c>
      <c r="H1880" s="0" t="n">
        <v>0.2</v>
      </c>
      <c r="I1880" s="7" t="n">
        <f aca="false">YEAR(B1880)</f>
        <v>2017</v>
      </c>
      <c r="J1880" s="0" t="str">
        <f aca="false">I1880&amp;"-Q"&amp;ROUNDUP(MONTH(B1880)/3,0)</f>
        <v>2017-Q4</v>
      </c>
    </row>
    <row r="1881" customFormat="false" ht="15" hidden="false" customHeight="false" outlineLevel="0" collapsed="false">
      <c r="A1881" s="0" t="s">
        <v>994</v>
      </c>
      <c r="B1881" s="6" t="n">
        <v>42822</v>
      </c>
      <c r="C1881" s="7" t="s">
        <v>29</v>
      </c>
      <c r="D1881" s="7" t="s">
        <v>37</v>
      </c>
      <c r="E1881" s="7" t="s">
        <v>35</v>
      </c>
      <c r="F1881" s="0" t="n">
        <v>68.742</v>
      </c>
      <c r="G1881" s="0" t="n">
        <v>-48.1194</v>
      </c>
      <c r="H1881" s="0" t="n">
        <v>0.7</v>
      </c>
      <c r="I1881" s="7" t="n">
        <f aca="false">YEAR(B1881)</f>
        <v>2017</v>
      </c>
      <c r="J1881" s="0" t="str">
        <f aca="false">I1881&amp;"-Q"&amp;ROUNDUP(MONTH(B1881)/3,0)</f>
        <v>2017-Q1</v>
      </c>
    </row>
    <row r="1882" customFormat="false" ht="15" hidden="false" customHeight="false" outlineLevel="0" collapsed="false">
      <c r="A1882" s="0" t="s">
        <v>995</v>
      </c>
      <c r="B1882" s="6" t="n">
        <v>42068</v>
      </c>
      <c r="C1882" s="7" t="s">
        <v>55</v>
      </c>
      <c r="D1882" s="7" t="s">
        <v>76</v>
      </c>
      <c r="E1882" s="7" t="s">
        <v>35</v>
      </c>
      <c r="F1882" s="0" t="n">
        <v>29.34</v>
      </c>
      <c r="G1882" s="0" t="n">
        <v>14.67</v>
      </c>
      <c r="H1882" s="0" t="n">
        <v>0</v>
      </c>
      <c r="I1882" s="7" t="n">
        <f aca="false">YEAR(B1882)</f>
        <v>2015</v>
      </c>
      <c r="J1882" s="0" t="str">
        <f aca="false">I1882&amp;"-Q"&amp;ROUNDUP(MONTH(B1882)/3,0)</f>
        <v>2015-Q1</v>
      </c>
    </row>
    <row r="1883" customFormat="false" ht="15" hidden="false" customHeight="false" outlineLevel="0" collapsed="false">
      <c r="A1883" s="0" t="s">
        <v>995</v>
      </c>
      <c r="B1883" s="6" t="n">
        <v>42068</v>
      </c>
      <c r="C1883" s="7" t="s">
        <v>55</v>
      </c>
      <c r="D1883" s="7" t="s">
        <v>76</v>
      </c>
      <c r="E1883" s="7" t="s">
        <v>31</v>
      </c>
      <c r="F1883" s="0" t="n">
        <v>383.607</v>
      </c>
      <c r="G1883" s="0" t="n">
        <v>63.9345</v>
      </c>
      <c r="H1883" s="0" t="n">
        <v>0.1</v>
      </c>
      <c r="I1883" s="7" t="n">
        <f aca="false">YEAR(B1883)</f>
        <v>2015</v>
      </c>
      <c r="J1883" s="0" t="str">
        <f aca="false">I1883&amp;"-Q"&amp;ROUNDUP(MONTH(B1883)/3,0)</f>
        <v>2015-Q1</v>
      </c>
    </row>
    <row r="1884" customFormat="false" ht="15" hidden="false" customHeight="false" outlineLevel="0" collapsed="false">
      <c r="A1884" s="0" t="s">
        <v>995</v>
      </c>
      <c r="B1884" s="6" t="n">
        <v>42068</v>
      </c>
      <c r="C1884" s="7" t="s">
        <v>55</v>
      </c>
      <c r="D1884" s="7" t="s">
        <v>76</v>
      </c>
      <c r="E1884" s="7" t="s">
        <v>35</v>
      </c>
      <c r="F1884" s="0" t="n">
        <v>563.4</v>
      </c>
      <c r="G1884" s="0" t="n">
        <v>67.608</v>
      </c>
      <c r="H1884" s="0" t="n">
        <v>0</v>
      </c>
      <c r="I1884" s="7" t="n">
        <f aca="false">YEAR(B1884)</f>
        <v>2015</v>
      </c>
      <c r="J1884" s="0" t="str">
        <f aca="false">I1884&amp;"-Q"&amp;ROUNDUP(MONTH(B1884)/3,0)</f>
        <v>2015-Q1</v>
      </c>
    </row>
    <row r="1885" customFormat="false" ht="15" hidden="false" customHeight="false" outlineLevel="0" collapsed="false">
      <c r="A1885" s="0" t="s">
        <v>996</v>
      </c>
      <c r="B1885" s="6" t="n">
        <v>42687</v>
      </c>
      <c r="C1885" s="7" t="s">
        <v>55</v>
      </c>
      <c r="D1885" s="7" t="s">
        <v>56</v>
      </c>
      <c r="E1885" s="7" t="s">
        <v>35</v>
      </c>
      <c r="F1885" s="0" t="n">
        <v>217.056</v>
      </c>
      <c r="G1885" s="0" t="n">
        <v>78.6828</v>
      </c>
      <c r="H1885" s="0" t="n">
        <v>0.2</v>
      </c>
      <c r="I1885" s="7" t="n">
        <f aca="false">YEAR(B1885)</f>
        <v>2016</v>
      </c>
      <c r="J1885" s="0" t="str">
        <f aca="false">I1885&amp;"-Q"&amp;ROUNDUP(MONTH(B1885)/3,0)</f>
        <v>2016-Q4</v>
      </c>
    </row>
    <row r="1886" customFormat="false" ht="15" hidden="false" customHeight="false" outlineLevel="0" collapsed="false">
      <c r="A1886" s="0" t="s">
        <v>997</v>
      </c>
      <c r="B1886" s="6" t="n">
        <v>42754</v>
      </c>
      <c r="C1886" s="7" t="s">
        <v>45</v>
      </c>
      <c r="D1886" s="7" t="s">
        <v>46</v>
      </c>
      <c r="E1886" s="7" t="s">
        <v>35</v>
      </c>
      <c r="F1886" s="0" t="n">
        <v>6</v>
      </c>
      <c r="G1886" s="0" t="n">
        <v>2.1</v>
      </c>
      <c r="H1886" s="0" t="n">
        <v>0.2</v>
      </c>
      <c r="I1886" s="7" t="n">
        <f aca="false">YEAR(B1886)</f>
        <v>2017</v>
      </c>
      <c r="J1886" s="0" t="str">
        <f aca="false">I1886&amp;"-Q"&amp;ROUNDUP(MONTH(B1886)/3,0)</f>
        <v>2017-Q1</v>
      </c>
    </row>
    <row r="1887" customFormat="false" ht="15" hidden="false" customHeight="false" outlineLevel="0" collapsed="false">
      <c r="A1887" s="0" t="s">
        <v>998</v>
      </c>
      <c r="B1887" s="6" t="n">
        <v>42482</v>
      </c>
      <c r="C1887" s="7" t="s">
        <v>33</v>
      </c>
      <c r="D1887" s="7" t="s">
        <v>34</v>
      </c>
      <c r="E1887" s="7" t="s">
        <v>31</v>
      </c>
      <c r="F1887" s="0" t="n">
        <v>31.56</v>
      </c>
      <c r="G1887" s="0" t="n">
        <v>10.4148</v>
      </c>
      <c r="H1887" s="0" t="n">
        <v>0</v>
      </c>
      <c r="I1887" s="7" t="n">
        <f aca="false">YEAR(B1887)</f>
        <v>2016</v>
      </c>
      <c r="J1887" s="0" t="str">
        <f aca="false">I1887&amp;"-Q"&amp;ROUNDUP(MONTH(B1887)/3,0)</f>
        <v>2016-Q2</v>
      </c>
    </row>
    <row r="1888" customFormat="false" ht="15" hidden="false" customHeight="false" outlineLevel="0" collapsed="false">
      <c r="A1888" s="0" t="s">
        <v>999</v>
      </c>
      <c r="B1888" s="6" t="n">
        <v>41772</v>
      </c>
      <c r="C1888" s="7" t="s">
        <v>29</v>
      </c>
      <c r="D1888" s="7" t="s">
        <v>37</v>
      </c>
      <c r="E1888" s="7" t="s">
        <v>35</v>
      </c>
      <c r="F1888" s="0" t="n">
        <v>7.104</v>
      </c>
      <c r="G1888" s="0" t="n">
        <v>2.3976</v>
      </c>
      <c r="H1888" s="0" t="n">
        <v>0.2</v>
      </c>
      <c r="I1888" s="7" t="n">
        <f aca="false">YEAR(B1888)</f>
        <v>2014</v>
      </c>
      <c r="J1888" s="0" t="str">
        <f aca="false">I1888&amp;"-Q"&amp;ROUNDUP(MONTH(B1888)/3,0)</f>
        <v>2014-Q2</v>
      </c>
    </row>
    <row r="1889" customFormat="false" ht="15" hidden="false" customHeight="false" outlineLevel="0" collapsed="false">
      <c r="A1889" s="0" t="s">
        <v>999</v>
      </c>
      <c r="B1889" s="6" t="n">
        <v>41772</v>
      </c>
      <c r="C1889" s="7" t="s">
        <v>29</v>
      </c>
      <c r="D1889" s="7" t="s">
        <v>37</v>
      </c>
      <c r="E1889" s="7" t="s">
        <v>35</v>
      </c>
      <c r="F1889" s="0" t="n">
        <v>398.352</v>
      </c>
      <c r="G1889" s="0" t="n">
        <v>-331.96</v>
      </c>
      <c r="H1889" s="0" t="n">
        <v>0.7</v>
      </c>
      <c r="I1889" s="7" t="n">
        <f aca="false">YEAR(B1889)</f>
        <v>2014</v>
      </c>
      <c r="J1889" s="0" t="str">
        <f aca="false">I1889&amp;"-Q"&amp;ROUNDUP(MONTH(B1889)/3,0)</f>
        <v>2014-Q2</v>
      </c>
    </row>
    <row r="1890" customFormat="false" ht="15" hidden="false" customHeight="false" outlineLevel="0" collapsed="false">
      <c r="A1890" s="0" t="s">
        <v>1000</v>
      </c>
      <c r="B1890" s="6" t="n">
        <v>41933</v>
      </c>
      <c r="C1890" s="7" t="s">
        <v>55</v>
      </c>
      <c r="D1890" s="7" t="s">
        <v>116</v>
      </c>
      <c r="E1890" s="7" t="s">
        <v>35</v>
      </c>
      <c r="F1890" s="0" t="n">
        <v>121.792</v>
      </c>
      <c r="G1890" s="0" t="n">
        <v>13.7016</v>
      </c>
      <c r="H1890" s="0" t="n">
        <v>0.2</v>
      </c>
      <c r="I1890" s="7" t="n">
        <f aca="false">YEAR(B1890)</f>
        <v>2014</v>
      </c>
      <c r="J1890" s="0" t="str">
        <f aca="false">I1890&amp;"-Q"&amp;ROUNDUP(MONTH(B1890)/3,0)</f>
        <v>2014-Q4</v>
      </c>
    </row>
    <row r="1891" customFormat="false" ht="15" hidden="false" customHeight="false" outlineLevel="0" collapsed="false">
      <c r="A1891" s="0" t="s">
        <v>1000</v>
      </c>
      <c r="B1891" s="6" t="n">
        <v>41933</v>
      </c>
      <c r="C1891" s="7" t="s">
        <v>55</v>
      </c>
      <c r="D1891" s="7" t="s">
        <v>116</v>
      </c>
      <c r="E1891" s="7" t="s">
        <v>31</v>
      </c>
      <c r="F1891" s="0" t="n">
        <v>409.59</v>
      </c>
      <c r="G1891" s="0" t="n">
        <v>-122.877</v>
      </c>
      <c r="H1891" s="0" t="n">
        <v>0.4</v>
      </c>
      <c r="I1891" s="7" t="n">
        <f aca="false">YEAR(B1891)</f>
        <v>2014</v>
      </c>
      <c r="J1891" s="0" t="str">
        <f aca="false">I1891&amp;"-Q"&amp;ROUNDUP(MONTH(B1891)/3,0)</f>
        <v>2014-Q4</v>
      </c>
    </row>
    <row r="1892" customFormat="false" ht="15" hidden="false" customHeight="false" outlineLevel="0" collapsed="false">
      <c r="A1892" s="0" t="s">
        <v>1001</v>
      </c>
      <c r="B1892" s="6" t="n">
        <v>41712</v>
      </c>
      <c r="C1892" s="7" t="s">
        <v>33</v>
      </c>
      <c r="D1892" s="7" t="s">
        <v>34</v>
      </c>
      <c r="E1892" s="7" t="s">
        <v>35</v>
      </c>
      <c r="F1892" s="0" t="n">
        <v>10.56</v>
      </c>
      <c r="G1892" s="0" t="n">
        <v>4.752</v>
      </c>
      <c r="H1892" s="0" t="n">
        <v>0</v>
      </c>
      <c r="I1892" s="7" t="n">
        <f aca="false">YEAR(B1892)</f>
        <v>2014</v>
      </c>
      <c r="J1892" s="0" t="str">
        <f aca="false">I1892&amp;"-Q"&amp;ROUNDUP(MONTH(B1892)/3,0)</f>
        <v>2014-Q1</v>
      </c>
    </row>
    <row r="1893" customFormat="false" ht="15" hidden="false" customHeight="false" outlineLevel="0" collapsed="false">
      <c r="A1893" s="0" t="s">
        <v>1001</v>
      </c>
      <c r="B1893" s="6" t="n">
        <v>41712</v>
      </c>
      <c r="C1893" s="7" t="s">
        <v>33</v>
      </c>
      <c r="D1893" s="7" t="s">
        <v>34</v>
      </c>
      <c r="E1893" s="7" t="s">
        <v>35</v>
      </c>
      <c r="F1893" s="0" t="n">
        <v>3.38</v>
      </c>
      <c r="G1893" s="0" t="n">
        <v>1.2506</v>
      </c>
      <c r="H1893" s="0" t="n">
        <v>0</v>
      </c>
      <c r="I1893" s="7" t="n">
        <f aca="false">YEAR(B1893)</f>
        <v>2014</v>
      </c>
      <c r="J1893" s="0" t="str">
        <f aca="false">I1893&amp;"-Q"&amp;ROUNDUP(MONTH(B1893)/3,0)</f>
        <v>2014-Q1</v>
      </c>
    </row>
    <row r="1894" customFormat="false" ht="15" hidden="false" customHeight="false" outlineLevel="0" collapsed="false">
      <c r="A1894" s="0" t="s">
        <v>1002</v>
      </c>
      <c r="B1894" s="6" t="n">
        <v>43091</v>
      </c>
      <c r="C1894" s="7" t="s">
        <v>29</v>
      </c>
      <c r="D1894" s="7" t="s">
        <v>37</v>
      </c>
      <c r="E1894" s="7" t="s">
        <v>35</v>
      </c>
      <c r="F1894" s="0" t="n">
        <v>7.824</v>
      </c>
      <c r="G1894" s="0" t="n">
        <v>2.934</v>
      </c>
      <c r="H1894" s="0" t="n">
        <v>0.2</v>
      </c>
      <c r="I1894" s="7" t="n">
        <f aca="false">YEAR(B1894)</f>
        <v>2017</v>
      </c>
      <c r="J1894" s="0" t="str">
        <f aca="false">I1894&amp;"-Q"&amp;ROUNDUP(MONTH(B1894)/3,0)</f>
        <v>2017-Q4</v>
      </c>
    </row>
    <row r="1895" customFormat="false" ht="15" hidden="false" customHeight="false" outlineLevel="0" collapsed="false">
      <c r="A1895" s="0" t="s">
        <v>1003</v>
      </c>
      <c r="B1895" s="6" t="n">
        <v>42698</v>
      </c>
      <c r="C1895" s="7" t="s">
        <v>33</v>
      </c>
      <c r="D1895" s="7" t="s">
        <v>102</v>
      </c>
      <c r="E1895" s="7" t="s">
        <v>35</v>
      </c>
      <c r="F1895" s="0" t="n">
        <v>24.784</v>
      </c>
      <c r="G1895" s="0" t="n">
        <v>7.745</v>
      </c>
      <c r="H1895" s="0" t="n">
        <v>0.2</v>
      </c>
      <c r="I1895" s="7" t="n">
        <f aca="false">YEAR(B1895)</f>
        <v>2016</v>
      </c>
      <c r="J1895" s="0" t="str">
        <f aca="false">I1895&amp;"-Q"&amp;ROUNDUP(MONTH(B1895)/3,0)</f>
        <v>2016-Q4</v>
      </c>
    </row>
    <row r="1896" customFormat="false" ht="15" hidden="false" customHeight="false" outlineLevel="0" collapsed="false">
      <c r="A1896" s="0" t="s">
        <v>1004</v>
      </c>
      <c r="B1896" s="6" t="n">
        <v>43071</v>
      </c>
      <c r="C1896" s="7" t="s">
        <v>29</v>
      </c>
      <c r="D1896" s="7" t="s">
        <v>83</v>
      </c>
      <c r="E1896" s="7" t="s">
        <v>35</v>
      </c>
      <c r="F1896" s="0" t="n">
        <v>34.65</v>
      </c>
      <c r="G1896" s="0" t="n">
        <v>10.395</v>
      </c>
      <c r="H1896" s="0" t="n">
        <v>0</v>
      </c>
      <c r="I1896" s="7" t="n">
        <f aca="false">YEAR(B1896)</f>
        <v>2017</v>
      </c>
      <c r="J1896" s="0" t="str">
        <f aca="false">I1896&amp;"-Q"&amp;ROUNDUP(MONTH(B1896)/3,0)</f>
        <v>2017-Q4</v>
      </c>
    </row>
    <row r="1897" customFormat="false" ht="15" hidden="false" customHeight="false" outlineLevel="0" collapsed="false">
      <c r="A1897" s="0" t="s">
        <v>1005</v>
      </c>
      <c r="B1897" s="6" t="n">
        <v>42369</v>
      </c>
      <c r="C1897" s="7" t="s">
        <v>33</v>
      </c>
      <c r="D1897" s="7" t="s">
        <v>310</v>
      </c>
      <c r="E1897" s="7" t="s">
        <v>35</v>
      </c>
      <c r="F1897" s="0" t="n">
        <v>487.984</v>
      </c>
      <c r="G1897" s="0" t="n">
        <v>152.495</v>
      </c>
      <c r="H1897" s="0" t="n">
        <v>0.2</v>
      </c>
      <c r="I1897" s="7" t="n">
        <f aca="false">YEAR(B1897)</f>
        <v>2015</v>
      </c>
      <c r="J1897" s="0" t="str">
        <f aca="false">I1897&amp;"-Q"&amp;ROUNDUP(MONTH(B1897)/3,0)</f>
        <v>2015-Q4</v>
      </c>
    </row>
    <row r="1898" customFormat="false" ht="15" hidden="false" customHeight="false" outlineLevel="0" collapsed="false">
      <c r="A1898" s="0" t="s">
        <v>1006</v>
      </c>
      <c r="B1898" s="6" t="n">
        <v>43011</v>
      </c>
      <c r="C1898" s="7" t="s">
        <v>45</v>
      </c>
      <c r="D1898" s="7" t="s">
        <v>68</v>
      </c>
      <c r="E1898" s="7" t="s">
        <v>35</v>
      </c>
      <c r="F1898" s="0" t="n">
        <v>1793.98</v>
      </c>
      <c r="G1898" s="0" t="n">
        <v>843.1706</v>
      </c>
      <c r="H1898" s="0" t="n">
        <v>0</v>
      </c>
      <c r="I1898" s="7" t="n">
        <f aca="false">YEAR(B1898)</f>
        <v>2017</v>
      </c>
      <c r="J1898" s="0" t="str">
        <f aca="false">I1898&amp;"-Q"&amp;ROUNDUP(MONTH(B1898)/3,0)</f>
        <v>2017-Q4</v>
      </c>
    </row>
    <row r="1899" customFormat="false" ht="15" hidden="false" customHeight="false" outlineLevel="0" collapsed="false">
      <c r="A1899" s="0" t="s">
        <v>1007</v>
      </c>
      <c r="B1899" s="6" t="n">
        <v>41880</v>
      </c>
      <c r="C1899" s="7" t="s">
        <v>29</v>
      </c>
      <c r="D1899" s="7" t="s">
        <v>37</v>
      </c>
      <c r="E1899" s="7" t="s">
        <v>35</v>
      </c>
      <c r="F1899" s="0" t="n">
        <v>29.808</v>
      </c>
      <c r="G1899" s="0" t="n">
        <v>10.8054</v>
      </c>
      <c r="H1899" s="0" t="n">
        <v>0.2</v>
      </c>
      <c r="I1899" s="7" t="n">
        <f aca="false">YEAR(B1899)</f>
        <v>2014</v>
      </c>
      <c r="J1899" s="0" t="str">
        <f aca="false">I1899&amp;"-Q"&amp;ROUNDUP(MONTH(B1899)/3,0)</f>
        <v>2014-Q3</v>
      </c>
    </row>
    <row r="1900" customFormat="false" ht="15" hidden="false" customHeight="false" outlineLevel="0" collapsed="false">
      <c r="A1900" s="0" t="s">
        <v>1007</v>
      </c>
      <c r="B1900" s="6" t="n">
        <v>41880</v>
      </c>
      <c r="C1900" s="7" t="s">
        <v>29</v>
      </c>
      <c r="D1900" s="7" t="s">
        <v>37</v>
      </c>
      <c r="E1900" s="7" t="s">
        <v>35</v>
      </c>
      <c r="F1900" s="0" t="n">
        <v>505.176</v>
      </c>
      <c r="G1900" s="0" t="n">
        <v>-336.784</v>
      </c>
      <c r="H1900" s="0" t="n">
        <v>0.7</v>
      </c>
      <c r="I1900" s="7" t="n">
        <f aca="false">YEAR(B1900)</f>
        <v>2014</v>
      </c>
      <c r="J1900" s="0" t="str">
        <f aca="false">I1900&amp;"-Q"&amp;ROUNDUP(MONTH(B1900)/3,0)</f>
        <v>2014-Q3</v>
      </c>
    </row>
    <row r="1901" customFormat="false" ht="15" hidden="false" customHeight="false" outlineLevel="0" collapsed="false">
      <c r="A1901" s="0" t="s">
        <v>1007</v>
      </c>
      <c r="B1901" s="6" t="n">
        <v>41880</v>
      </c>
      <c r="C1901" s="7" t="s">
        <v>29</v>
      </c>
      <c r="D1901" s="7" t="s">
        <v>37</v>
      </c>
      <c r="E1901" s="7" t="s">
        <v>31</v>
      </c>
      <c r="F1901" s="0" t="n">
        <v>174.0585</v>
      </c>
      <c r="G1901" s="0" t="n">
        <v>-110.7645</v>
      </c>
      <c r="H1901" s="0" t="n">
        <v>0.45</v>
      </c>
      <c r="I1901" s="7" t="n">
        <f aca="false">YEAR(B1901)</f>
        <v>2014</v>
      </c>
      <c r="J1901" s="0" t="str">
        <f aca="false">I1901&amp;"-Q"&amp;ROUNDUP(MONTH(B1901)/3,0)</f>
        <v>2014-Q3</v>
      </c>
    </row>
    <row r="1902" customFormat="false" ht="15" hidden="false" customHeight="false" outlineLevel="0" collapsed="false">
      <c r="A1902" s="0" t="s">
        <v>1008</v>
      </c>
      <c r="B1902" s="6" t="n">
        <v>42550</v>
      </c>
      <c r="C1902" s="7" t="s">
        <v>29</v>
      </c>
      <c r="D1902" s="7" t="s">
        <v>96</v>
      </c>
      <c r="E1902" s="7" t="s">
        <v>35</v>
      </c>
      <c r="F1902" s="0" t="n">
        <v>191.88</v>
      </c>
      <c r="G1902" s="0" t="n">
        <v>19.188</v>
      </c>
      <c r="H1902" s="0" t="n">
        <v>0</v>
      </c>
      <c r="I1902" s="7" t="n">
        <f aca="false">YEAR(B1902)</f>
        <v>2016</v>
      </c>
      <c r="J1902" s="0" t="str">
        <f aca="false">I1902&amp;"-Q"&amp;ROUNDUP(MONTH(B1902)/3,0)</f>
        <v>2016-Q2</v>
      </c>
    </row>
    <row r="1903" customFormat="false" ht="15" hidden="false" customHeight="false" outlineLevel="0" collapsed="false">
      <c r="A1903" s="0" t="s">
        <v>1009</v>
      </c>
      <c r="B1903" s="6" t="n">
        <v>42602</v>
      </c>
      <c r="C1903" s="7" t="s">
        <v>45</v>
      </c>
      <c r="D1903" s="7" t="s">
        <v>70</v>
      </c>
      <c r="E1903" s="7" t="s">
        <v>39</v>
      </c>
      <c r="F1903" s="0" t="n">
        <v>14.78</v>
      </c>
      <c r="G1903" s="0" t="n">
        <v>3.9906</v>
      </c>
      <c r="H1903" s="0" t="n">
        <v>0</v>
      </c>
      <c r="I1903" s="7" t="n">
        <f aca="false">YEAR(B1903)</f>
        <v>2016</v>
      </c>
      <c r="J1903" s="0" t="str">
        <f aca="false">I1903&amp;"-Q"&amp;ROUNDUP(MONTH(B1903)/3,0)</f>
        <v>2016-Q3</v>
      </c>
    </row>
    <row r="1904" customFormat="false" ht="15" hidden="false" customHeight="false" outlineLevel="0" collapsed="false">
      <c r="A1904" s="0" t="s">
        <v>1010</v>
      </c>
      <c r="B1904" s="6" t="n">
        <v>43029</v>
      </c>
      <c r="C1904" s="7" t="s">
        <v>33</v>
      </c>
      <c r="D1904" s="7" t="s">
        <v>102</v>
      </c>
      <c r="E1904" s="7" t="s">
        <v>35</v>
      </c>
      <c r="F1904" s="0" t="n">
        <v>5.184</v>
      </c>
      <c r="G1904" s="0" t="n">
        <v>1.8144</v>
      </c>
      <c r="H1904" s="0" t="n">
        <v>0.2</v>
      </c>
      <c r="I1904" s="7" t="n">
        <f aca="false">YEAR(B1904)</f>
        <v>2017</v>
      </c>
      <c r="J1904" s="0" t="str">
        <f aca="false">I1904&amp;"-Q"&amp;ROUNDUP(MONTH(B1904)/3,0)</f>
        <v>2017-Q4</v>
      </c>
    </row>
    <row r="1905" customFormat="false" ht="15" hidden="false" customHeight="false" outlineLevel="0" collapsed="false">
      <c r="A1905" s="0" t="s">
        <v>1010</v>
      </c>
      <c r="B1905" s="6" t="n">
        <v>43029</v>
      </c>
      <c r="C1905" s="7" t="s">
        <v>33</v>
      </c>
      <c r="D1905" s="7" t="s">
        <v>102</v>
      </c>
      <c r="E1905" s="7" t="s">
        <v>31</v>
      </c>
      <c r="F1905" s="0" t="n">
        <v>478.48</v>
      </c>
      <c r="G1905" s="0" t="n">
        <v>47.848</v>
      </c>
      <c r="H1905" s="0" t="n">
        <v>0.2</v>
      </c>
      <c r="I1905" s="7" t="n">
        <f aca="false">YEAR(B1905)</f>
        <v>2017</v>
      </c>
      <c r="J1905" s="0" t="str">
        <f aca="false">I1905&amp;"-Q"&amp;ROUNDUP(MONTH(B1905)/3,0)</f>
        <v>2017-Q4</v>
      </c>
    </row>
    <row r="1906" customFormat="false" ht="15" hidden="false" customHeight="false" outlineLevel="0" collapsed="false">
      <c r="A1906" s="0" t="s">
        <v>1010</v>
      </c>
      <c r="B1906" s="6" t="n">
        <v>43029</v>
      </c>
      <c r="C1906" s="7" t="s">
        <v>33</v>
      </c>
      <c r="D1906" s="7" t="s">
        <v>102</v>
      </c>
      <c r="E1906" s="7" t="s">
        <v>39</v>
      </c>
      <c r="F1906" s="0" t="n">
        <v>28.4</v>
      </c>
      <c r="G1906" s="0" t="n">
        <v>6.745</v>
      </c>
      <c r="H1906" s="0" t="n">
        <v>0.2</v>
      </c>
      <c r="I1906" s="7" t="n">
        <f aca="false">YEAR(B1906)</f>
        <v>2017</v>
      </c>
      <c r="J1906" s="0" t="str">
        <f aca="false">I1906&amp;"-Q"&amp;ROUNDUP(MONTH(B1906)/3,0)</f>
        <v>2017-Q4</v>
      </c>
    </row>
    <row r="1907" customFormat="false" ht="15" hidden="false" customHeight="false" outlineLevel="0" collapsed="false">
      <c r="A1907" s="0" t="s">
        <v>1011</v>
      </c>
      <c r="B1907" s="6" t="n">
        <v>43029</v>
      </c>
      <c r="C1907" s="7" t="s">
        <v>45</v>
      </c>
      <c r="D1907" s="7" t="s">
        <v>74</v>
      </c>
      <c r="E1907" s="7" t="s">
        <v>35</v>
      </c>
      <c r="F1907" s="0" t="n">
        <v>909.12</v>
      </c>
      <c r="G1907" s="0" t="n">
        <v>9.0912</v>
      </c>
      <c r="H1907" s="0" t="n">
        <v>0</v>
      </c>
      <c r="I1907" s="7" t="n">
        <f aca="false">YEAR(B1907)</f>
        <v>2017</v>
      </c>
      <c r="J1907" s="0" t="str">
        <f aca="false">I1907&amp;"-Q"&amp;ROUNDUP(MONTH(B1907)/3,0)</f>
        <v>2017-Q4</v>
      </c>
    </row>
    <row r="1908" customFormat="false" ht="15" hidden="false" customHeight="false" outlineLevel="0" collapsed="false">
      <c r="A1908" s="0" t="s">
        <v>1012</v>
      </c>
      <c r="B1908" s="6" t="n">
        <v>42507</v>
      </c>
      <c r="C1908" s="7" t="s">
        <v>29</v>
      </c>
      <c r="D1908" s="7" t="s">
        <v>37</v>
      </c>
      <c r="E1908" s="7" t="s">
        <v>35</v>
      </c>
      <c r="F1908" s="0" t="n">
        <v>2.952</v>
      </c>
      <c r="G1908" s="0" t="n">
        <v>-2.1648</v>
      </c>
      <c r="H1908" s="0" t="n">
        <v>0.7</v>
      </c>
      <c r="I1908" s="7" t="n">
        <f aca="false">YEAR(B1908)</f>
        <v>2016</v>
      </c>
      <c r="J1908" s="0" t="str">
        <f aca="false">I1908&amp;"-Q"&amp;ROUNDUP(MONTH(B1908)/3,0)</f>
        <v>2016-Q2</v>
      </c>
    </row>
    <row r="1909" customFormat="false" ht="15" hidden="false" customHeight="false" outlineLevel="0" collapsed="false">
      <c r="A1909" s="0" t="s">
        <v>1012</v>
      </c>
      <c r="B1909" s="6" t="n">
        <v>42507</v>
      </c>
      <c r="C1909" s="7" t="s">
        <v>29</v>
      </c>
      <c r="D1909" s="7" t="s">
        <v>37</v>
      </c>
      <c r="E1909" s="7" t="s">
        <v>35</v>
      </c>
      <c r="F1909" s="0" t="n">
        <v>27.018</v>
      </c>
      <c r="G1909" s="0" t="n">
        <v>-21.6144</v>
      </c>
      <c r="H1909" s="0" t="n">
        <v>0.7</v>
      </c>
      <c r="I1909" s="7" t="n">
        <f aca="false">YEAR(B1909)</f>
        <v>2016</v>
      </c>
      <c r="J1909" s="0" t="str">
        <f aca="false">I1909&amp;"-Q"&amp;ROUNDUP(MONTH(B1909)/3,0)</f>
        <v>2016-Q2</v>
      </c>
    </row>
    <row r="1910" customFormat="false" ht="15" hidden="false" customHeight="false" outlineLevel="0" collapsed="false">
      <c r="A1910" s="0" t="s">
        <v>1013</v>
      </c>
      <c r="B1910" s="6" t="n">
        <v>42038</v>
      </c>
      <c r="C1910" s="7" t="s">
        <v>33</v>
      </c>
      <c r="D1910" s="7" t="s">
        <v>34</v>
      </c>
      <c r="E1910" s="7" t="s">
        <v>31</v>
      </c>
      <c r="F1910" s="0" t="n">
        <v>136.92</v>
      </c>
      <c r="G1910" s="0" t="n">
        <v>41.076</v>
      </c>
      <c r="H1910" s="0" t="n">
        <v>0</v>
      </c>
      <c r="I1910" s="7" t="n">
        <f aca="false">YEAR(B1910)</f>
        <v>2015</v>
      </c>
      <c r="J1910" s="0" t="str">
        <f aca="false">I1910&amp;"-Q"&amp;ROUNDUP(MONTH(B1910)/3,0)</f>
        <v>2015-Q1</v>
      </c>
    </row>
    <row r="1911" customFormat="false" ht="15" hidden="false" customHeight="false" outlineLevel="0" collapsed="false">
      <c r="A1911" s="0" t="s">
        <v>1014</v>
      </c>
      <c r="B1911" s="6" t="n">
        <v>43087</v>
      </c>
      <c r="C1911" s="7" t="s">
        <v>55</v>
      </c>
      <c r="D1911" s="7" t="s">
        <v>76</v>
      </c>
      <c r="E1911" s="7" t="s">
        <v>31</v>
      </c>
      <c r="F1911" s="0" t="n">
        <v>18.96</v>
      </c>
      <c r="G1911" s="0" t="n">
        <v>8.532</v>
      </c>
      <c r="H1911" s="0" t="n">
        <v>0</v>
      </c>
      <c r="I1911" s="7" t="n">
        <f aca="false">YEAR(B1911)</f>
        <v>2017</v>
      </c>
      <c r="J1911" s="0" t="str">
        <f aca="false">I1911&amp;"-Q"&amp;ROUNDUP(MONTH(B1911)/3,0)</f>
        <v>2017-Q4</v>
      </c>
    </row>
    <row r="1912" customFormat="false" ht="15" hidden="false" customHeight="false" outlineLevel="0" collapsed="false">
      <c r="A1912" s="0" t="s">
        <v>1015</v>
      </c>
      <c r="B1912" s="6" t="n">
        <v>42689</v>
      </c>
      <c r="C1912" s="7" t="s">
        <v>33</v>
      </c>
      <c r="D1912" s="7" t="s">
        <v>34</v>
      </c>
      <c r="E1912" s="7" t="s">
        <v>39</v>
      </c>
      <c r="F1912" s="0" t="n">
        <v>99.39</v>
      </c>
      <c r="G1912" s="0" t="n">
        <v>40.7499</v>
      </c>
      <c r="H1912" s="0" t="n">
        <v>0</v>
      </c>
      <c r="I1912" s="7" t="n">
        <f aca="false">YEAR(B1912)</f>
        <v>2016</v>
      </c>
      <c r="J1912" s="0" t="str">
        <f aca="false">I1912&amp;"-Q"&amp;ROUNDUP(MONTH(B1912)/3,0)</f>
        <v>2016-Q4</v>
      </c>
    </row>
    <row r="1913" customFormat="false" ht="15" hidden="false" customHeight="false" outlineLevel="0" collapsed="false">
      <c r="A1913" s="0" t="s">
        <v>1016</v>
      </c>
      <c r="B1913" s="6" t="n">
        <v>42919</v>
      </c>
      <c r="C1913" s="7" t="s">
        <v>45</v>
      </c>
      <c r="D1913" s="7" t="s">
        <v>46</v>
      </c>
      <c r="E1913" s="7" t="s">
        <v>35</v>
      </c>
      <c r="F1913" s="0" t="n">
        <v>273.896</v>
      </c>
      <c r="G1913" s="0" t="n">
        <v>92.4399</v>
      </c>
      <c r="H1913" s="0" t="n">
        <v>0.2</v>
      </c>
      <c r="I1913" s="7" t="n">
        <f aca="false">YEAR(B1913)</f>
        <v>2017</v>
      </c>
      <c r="J1913" s="0" t="str">
        <f aca="false">I1913&amp;"-Q"&amp;ROUNDUP(MONTH(B1913)/3,0)</f>
        <v>2017-Q3</v>
      </c>
    </row>
    <row r="1914" customFormat="false" ht="15" hidden="false" customHeight="false" outlineLevel="0" collapsed="false">
      <c r="A1914" s="0" t="s">
        <v>1016</v>
      </c>
      <c r="B1914" s="6" t="n">
        <v>42919</v>
      </c>
      <c r="C1914" s="7" t="s">
        <v>45</v>
      </c>
      <c r="D1914" s="7" t="s">
        <v>46</v>
      </c>
      <c r="E1914" s="7" t="s">
        <v>39</v>
      </c>
      <c r="F1914" s="0" t="n">
        <v>597.132</v>
      </c>
      <c r="G1914" s="0" t="n">
        <v>49.761</v>
      </c>
      <c r="H1914" s="0" t="n">
        <v>0.4</v>
      </c>
      <c r="I1914" s="7" t="n">
        <f aca="false">YEAR(B1914)</f>
        <v>2017</v>
      </c>
      <c r="J1914" s="0" t="str">
        <f aca="false">I1914&amp;"-Q"&amp;ROUNDUP(MONTH(B1914)/3,0)</f>
        <v>2017-Q3</v>
      </c>
    </row>
    <row r="1915" customFormat="false" ht="15" hidden="false" customHeight="false" outlineLevel="0" collapsed="false">
      <c r="A1915" s="0" t="s">
        <v>1017</v>
      </c>
      <c r="B1915" s="6" t="n">
        <v>41654</v>
      </c>
      <c r="C1915" s="7" t="s">
        <v>29</v>
      </c>
      <c r="D1915" s="7" t="s">
        <v>230</v>
      </c>
      <c r="E1915" s="7" t="s">
        <v>39</v>
      </c>
      <c r="F1915" s="0" t="n">
        <v>149.95</v>
      </c>
      <c r="G1915" s="0" t="n">
        <v>65.978</v>
      </c>
      <c r="H1915" s="0" t="n">
        <v>0</v>
      </c>
      <c r="I1915" s="7" t="n">
        <f aca="false">YEAR(B1915)</f>
        <v>2014</v>
      </c>
      <c r="J1915" s="0" t="str">
        <f aca="false">I1915&amp;"-Q"&amp;ROUNDUP(MONTH(B1915)/3,0)</f>
        <v>2014-Q1</v>
      </c>
    </row>
    <row r="1916" customFormat="false" ht="15" hidden="false" customHeight="false" outlineLevel="0" collapsed="false">
      <c r="A1916" s="0" t="s">
        <v>1018</v>
      </c>
      <c r="B1916" s="6" t="n">
        <v>42855</v>
      </c>
      <c r="C1916" s="7" t="s">
        <v>29</v>
      </c>
      <c r="D1916" s="7" t="s">
        <v>37</v>
      </c>
      <c r="E1916" s="7" t="s">
        <v>35</v>
      </c>
      <c r="F1916" s="0" t="n">
        <v>4.608</v>
      </c>
      <c r="G1916" s="0" t="n">
        <v>1.6704</v>
      </c>
      <c r="H1916" s="0" t="n">
        <v>0.2</v>
      </c>
      <c r="I1916" s="7" t="n">
        <f aca="false">YEAR(B1916)</f>
        <v>2017</v>
      </c>
      <c r="J1916" s="0" t="str">
        <f aca="false">I1916&amp;"-Q"&amp;ROUNDUP(MONTH(B1916)/3,0)</f>
        <v>2017-Q2</v>
      </c>
    </row>
    <row r="1917" customFormat="false" ht="15" hidden="false" customHeight="false" outlineLevel="0" collapsed="false">
      <c r="A1917" s="0" t="s">
        <v>1018</v>
      </c>
      <c r="B1917" s="6" t="n">
        <v>42855</v>
      </c>
      <c r="C1917" s="7" t="s">
        <v>29</v>
      </c>
      <c r="D1917" s="7" t="s">
        <v>37</v>
      </c>
      <c r="E1917" s="7" t="s">
        <v>35</v>
      </c>
      <c r="F1917" s="0" t="n">
        <v>15.528</v>
      </c>
      <c r="G1917" s="0" t="n">
        <v>4.8525</v>
      </c>
      <c r="H1917" s="0" t="n">
        <v>0.2</v>
      </c>
      <c r="I1917" s="7" t="n">
        <f aca="false">YEAR(B1917)</f>
        <v>2017</v>
      </c>
      <c r="J1917" s="0" t="str">
        <f aca="false">I1917&amp;"-Q"&amp;ROUNDUP(MONTH(B1917)/3,0)</f>
        <v>2017-Q2</v>
      </c>
    </row>
    <row r="1918" customFormat="false" ht="15" hidden="false" customHeight="false" outlineLevel="0" collapsed="false">
      <c r="A1918" s="0" t="s">
        <v>1018</v>
      </c>
      <c r="B1918" s="6" t="n">
        <v>42855</v>
      </c>
      <c r="C1918" s="7" t="s">
        <v>29</v>
      </c>
      <c r="D1918" s="7" t="s">
        <v>37</v>
      </c>
      <c r="E1918" s="7" t="s">
        <v>35</v>
      </c>
      <c r="F1918" s="0" t="n">
        <v>11.952</v>
      </c>
      <c r="G1918" s="0" t="n">
        <v>3.8844</v>
      </c>
      <c r="H1918" s="0" t="n">
        <v>0.2</v>
      </c>
      <c r="I1918" s="7" t="n">
        <f aca="false">YEAR(B1918)</f>
        <v>2017</v>
      </c>
      <c r="J1918" s="0" t="str">
        <f aca="false">I1918&amp;"-Q"&amp;ROUNDUP(MONTH(B1918)/3,0)</f>
        <v>2017-Q2</v>
      </c>
    </row>
    <row r="1919" customFormat="false" ht="15" hidden="false" customHeight="false" outlineLevel="0" collapsed="false">
      <c r="A1919" s="0" t="s">
        <v>1019</v>
      </c>
      <c r="B1919" s="6" t="n">
        <v>42316</v>
      </c>
      <c r="C1919" s="7" t="s">
        <v>55</v>
      </c>
      <c r="D1919" s="7" t="s">
        <v>225</v>
      </c>
      <c r="E1919" s="7" t="s">
        <v>35</v>
      </c>
      <c r="F1919" s="0" t="n">
        <v>11.65</v>
      </c>
      <c r="G1919" s="0" t="n">
        <v>3.3785</v>
      </c>
      <c r="H1919" s="0" t="n">
        <v>0</v>
      </c>
      <c r="I1919" s="7" t="n">
        <f aca="false">YEAR(B1919)</f>
        <v>2015</v>
      </c>
      <c r="J1919" s="0" t="str">
        <f aca="false">I1919&amp;"-Q"&amp;ROUNDUP(MONTH(B1919)/3,0)</f>
        <v>2015-Q4</v>
      </c>
    </row>
    <row r="1920" customFormat="false" ht="15" hidden="false" customHeight="false" outlineLevel="0" collapsed="false">
      <c r="A1920" s="0" t="s">
        <v>1020</v>
      </c>
      <c r="B1920" s="6" t="n">
        <v>42307</v>
      </c>
      <c r="C1920" s="7" t="s">
        <v>45</v>
      </c>
      <c r="D1920" s="7" t="s">
        <v>70</v>
      </c>
      <c r="E1920" s="7" t="s">
        <v>39</v>
      </c>
      <c r="F1920" s="0" t="n">
        <v>299.9</v>
      </c>
      <c r="G1920" s="0" t="n">
        <v>74.975</v>
      </c>
      <c r="H1920" s="0" t="n">
        <v>0</v>
      </c>
      <c r="I1920" s="7" t="n">
        <f aca="false">YEAR(B1920)</f>
        <v>2015</v>
      </c>
      <c r="J1920" s="0" t="str">
        <f aca="false">I1920&amp;"-Q"&amp;ROUNDUP(MONTH(B1920)/3,0)</f>
        <v>2015-Q4</v>
      </c>
    </row>
    <row r="1921" customFormat="false" ht="15" hidden="false" customHeight="false" outlineLevel="0" collapsed="false">
      <c r="A1921" s="0" t="s">
        <v>1021</v>
      </c>
      <c r="B1921" s="6" t="n">
        <v>42964</v>
      </c>
      <c r="C1921" s="7" t="s">
        <v>55</v>
      </c>
      <c r="D1921" s="7" t="s">
        <v>76</v>
      </c>
      <c r="E1921" s="7" t="s">
        <v>35</v>
      </c>
      <c r="F1921" s="0" t="n">
        <v>895.92</v>
      </c>
      <c r="G1921" s="0" t="n">
        <v>302.373</v>
      </c>
      <c r="H1921" s="0" t="n">
        <v>0.2</v>
      </c>
      <c r="I1921" s="7" t="n">
        <f aca="false">YEAR(B1921)</f>
        <v>2017</v>
      </c>
      <c r="J1921" s="0" t="str">
        <f aca="false">I1921&amp;"-Q"&amp;ROUNDUP(MONTH(B1921)/3,0)</f>
        <v>2017-Q3</v>
      </c>
    </row>
    <row r="1922" customFormat="false" ht="15" hidden="false" customHeight="false" outlineLevel="0" collapsed="false">
      <c r="A1922" s="0" t="s">
        <v>1021</v>
      </c>
      <c r="B1922" s="6" t="n">
        <v>42964</v>
      </c>
      <c r="C1922" s="7" t="s">
        <v>55</v>
      </c>
      <c r="D1922" s="7" t="s">
        <v>76</v>
      </c>
      <c r="E1922" s="7" t="s">
        <v>31</v>
      </c>
      <c r="F1922" s="0" t="n">
        <v>462.564</v>
      </c>
      <c r="G1922" s="0" t="n">
        <v>97.6524</v>
      </c>
      <c r="H1922" s="0" t="n">
        <v>0.1</v>
      </c>
      <c r="I1922" s="7" t="n">
        <f aca="false">YEAR(B1922)</f>
        <v>2017</v>
      </c>
      <c r="J1922" s="0" t="str">
        <f aca="false">I1922&amp;"-Q"&amp;ROUNDUP(MONTH(B1922)/3,0)</f>
        <v>2017-Q3</v>
      </c>
    </row>
    <row r="1923" customFormat="false" ht="15" hidden="false" customHeight="false" outlineLevel="0" collapsed="false">
      <c r="A1923" s="0" t="s">
        <v>1022</v>
      </c>
      <c r="B1923" s="6" t="n">
        <v>42280</v>
      </c>
      <c r="C1923" s="7" t="s">
        <v>55</v>
      </c>
      <c r="D1923" s="7" t="s">
        <v>56</v>
      </c>
      <c r="E1923" s="7" t="s">
        <v>35</v>
      </c>
      <c r="F1923" s="0" t="n">
        <v>15.008</v>
      </c>
      <c r="G1923" s="0" t="n">
        <v>1.5008</v>
      </c>
      <c r="H1923" s="0" t="n">
        <v>0.2</v>
      </c>
      <c r="I1923" s="7" t="n">
        <f aca="false">YEAR(B1923)</f>
        <v>2015</v>
      </c>
      <c r="J1923" s="0" t="str">
        <f aca="false">I1923&amp;"-Q"&amp;ROUNDUP(MONTH(B1923)/3,0)</f>
        <v>2015-Q4</v>
      </c>
    </row>
    <row r="1924" customFormat="false" ht="15" hidden="false" customHeight="false" outlineLevel="0" collapsed="false">
      <c r="A1924" s="0" t="s">
        <v>1023</v>
      </c>
      <c r="B1924" s="6" t="n">
        <v>42559</v>
      </c>
      <c r="C1924" s="7" t="s">
        <v>45</v>
      </c>
      <c r="D1924" s="7" t="s">
        <v>46</v>
      </c>
      <c r="E1924" s="7" t="s">
        <v>39</v>
      </c>
      <c r="F1924" s="0" t="n">
        <v>863.64</v>
      </c>
      <c r="G1924" s="0" t="n">
        <v>107.955</v>
      </c>
      <c r="H1924" s="0" t="n">
        <v>0.2</v>
      </c>
      <c r="I1924" s="7" t="n">
        <f aca="false">YEAR(B1924)</f>
        <v>2016</v>
      </c>
      <c r="J1924" s="0" t="str">
        <f aca="false">I1924&amp;"-Q"&amp;ROUNDUP(MONTH(B1924)/3,0)</f>
        <v>2016-Q3</v>
      </c>
    </row>
    <row r="1925" customFormat="false" ht="15" hidden="false" customHeight="false" outlineLevel="0" collapsed="false">
      <c r="A1925" s="0" t="s">
        <v>1023</v>
      </c>
      <c r="B1925" s="6" t="n">
        <v>42559</v>
      </c>
      <c r="C1925" s="7" t="s">
        <v>45</v>
      </c>
      <c r="D1925" s="7" t="s">
        <v>46</v>
      </c>
      <c r="E1925" s="7" t="s">
        <v>35</v>
      </c>
      <c r="F1925" s="0" t="n">
        <v>47.616</v>
      </c>
      <c r="G1925" s="0" t="n">
        <v>3.5712</v>
      </c>
      <c r="H1925" s="0" t="n">
        <v>0.2</v>
      </c>
      <c r="I1925" s="7" t="n">
        <f aca="false">YEAR(B1925)</f>
        <v>2016</v>
      </c>
      <c r="J1925" s="0" t="str">
        <f aca="false">I1925&amp;"-Q"&amp;ROUNDUP(MONTH(B1925)/3,0)</f>
        <v>2016-Q3</v>
      </c>
    </row>
    <row r="1926" customFormat="false" ht="15" hidden="false" customHeight="false" outlineLevel="0" collapsed="false">
      <c r="A1926" s="0" t="s">
        <v>1024</v>
      </c>
      <c r="B1926" s="6" t="n">
        <v>43074</v>
      </c>
      <c r="C1926" s="7" t="s">
        <v>33</v>
      </c>
      <c r="D1926" s="7" t="s">
        <v>34</v>
      </c>
      <c r="E1926" s="7" t="s">
        <v>35</v>
      </c>
      <c r="F1926" s="0" t="n">
        <v>92.94</v>
      </c>
      <c r="G1926" s="0" t="n">
        <v>41.823</v>
      </c>
      <c r="H1926" s="0" t="n">
        <v>0</v>
      </c>
      <c r="I1926" s="7" t="n">
        <f aca="false">YEAR(B1926)</f>
        <v>2017</v>
      </c>
      <c r="J1926" s="0" t="str">
        <f aca="false">I1926&amp;"-Q"&amp;ROUNDUP(MONTH(B1926)/3,0)</f>
        <v>2017-Q4</v>
      </c>
    </row>
    <row r="1927" customFormat="false" ht="15" hidden="false" customHeight="false" outlineLevel="0" collapsed="false">
      <c r="A1927" s="0" t="s">
        <v>1025</v>
      </c>
      <c r="B1927" s="6" t="n">
        <v>42803</v>
      </c>
      <c r="C1927" s="7" t="s">
        <v>33</v>
      </c>
      <c r="D1927" s="7" t="s">
        <v>34</v>
      </c>
      <c r="E1927" s="7" t="s">
        <v>39</v>
      </c>
      <c r="F1927" s="0" t="n">
        <v>199.98</v>
      </c>
      <c r="G1927" s="0" t="n">
        <v>69.993</v>
      </c>
      <c r="H1927" s="0" t="n">
        <v>0</v>
      </c>
      <c r="I1927" s="7" t="n">
        <f aca="false">YEAR(B1927)</f>
        <v>2017</v>
      </c>
      <c r="J1927" s="0" t="str">
        <f aca="false">I1927&amp;"-Q"&amp;ROUNDUP(MONTH(B1927)/3,0)</f>
        <v>2017-Q1</v>
      </c>
    </row>
    <row r="1928" customFormat="false" ht="15" hidden="false" customHeight="false" outlineLevel="0" collapsed="false">
      <c r="A1928" s="0" t="s">
        <v>1026</v>
      </c>
      <c r="B1928" s="6" t="n">
        <v>42530</v>
      </c>
      <c r="C1928" s="7" t="s">
        <v>33</v>
      </c>
      <c r="D1928" s="7" t="s">
        <v>34</v>
      </c>
      <c r="E1928" s="7" t="s">
        <v>39</v>
      </c>
      <c r="F1928" s="0" t="n">
        <v>177.48</v>
      </c>
      <c r="G1928" s="0" t="n">
        <v>19.9665</v>
      </c>
      <c r="H1928" s="0" t="n">
        <v>0.2</v>
      </c>
      <c r="I1928" s="7" t="n">
        <f aca="false">YEAR(B1928)</f>
        <v>2016</v>
      </c>
      <c r="J1928" s="0" t="str">
        <f aca="false">I1928&amp;"-Q"&amp;ROUNDUP(MONTH(B1928)/3,0)</f>
        <v>2016-Q2</v>
      </c>
    </row>
    <row r="1929" customFormat="false" ht="15" hidden="false" customHeight="false" outlineLevel="0" collapsed="false">
      <c r="A1929" s="0" t="s">
        <v>1027</v>
      </c>
      <c r="B1929" s="6" t="n">
        <v>43067</v>
      </c>
      <c r="C1929" s="7" t="s">
        <v>33</v>
      </c>
      <c r="D1929" s="7" t="s">
        <v>109</v>
      </c>
      <c r="E1929" s="7" t="s">
        <v>35</v>
      </c>
      <c r="F1929" s="0" t="n">
        <v>88.768</v>
      </c>
      <c r="G1929" s="0" t="n">
        <v>31.0688</v>
      </c>
      <c r="H1929" s="0" t="n">
        <v>0.2</v>
      </c>
      <c r="I1929" s="7" t="n">
        <f aca="false">YEAR(B1929)</f>
        <v>2017</v>
      </c>
      <c r="J1929" s="0" t="str">
        <f aca="false">I1929&amp;"-Q"&amp;ROUNDUP(MONTH(B1929)/3,0)</f>
        <v>2017-Q4</v>
      </c>
    </row>
    <row r="1930" customFormat="false" ht="15" hidden="false" customHeight="false" outlineLevel="0" collapsed="false">
      <c r="A1930" s="0" t="s">
        <v>1028</v>
      </c>
      <c r="B1930" s="6" t="n">
        <v>42810</v>
      </c>
      <c r="C1930" s="7" t="s">
        <v>33</v>
      </c>
      <c r="D1930" s="7" t="s">
        <v>43</v>
      </c>
      <c r="E1930" s="7" t="s">
        <v>35</v>
      </c>
      <c r="F1930" s="0" t="n">
        <v>6.48</v>
      </c>
      <c r="G1930" s="0" t="n">
        <v>3.1104</v>
      </c>
      <c r="H1930" s="0" t="n">
        <v>0</v>
      </c>
      <c r="I1930" s="7" t="n">
        <f aca="false">YEAR(B1930)</f>
        <v>2017</v>
      </c>
      <c r="J1930" s="0" t="str">
        <f aca="false">I1930&amp;"-Q"&amp;ROUNDUP(MONTH(B1930)/3,0)</f>
        <v>2017-Q1</v>
      </c>
    </row>
    <row r="1931" customFormat="false" ht="15" hidden="false" customHeight="false" outlineLevel="0" collapsed="false">
      <c r="A1931" s="0" t="s">
        <v>1028</v>
      </c>
      <c r="B1931" s="6" t="n">
        <v>42810</v>
      </c>
      <c r="C1931" s="7" t="s">
        <v>33</v>
      </c>
      <c r="D1931" s="7" t="s">
        <v>43</v>
      </c>
      <c r="E1931" s="7" t="s">
        <v>35</v>
      </c>
      <c r="F1931" s="0" t="n">
        <v>46.51</v>
      </c>
      <c r="G1931" s="0" t="n">
        <v>1.8604</v>
      </c>
      <c r="H1931" s="0" t="n">
        <v>0</v>
      </c>
      <c r="I1931" s="7" t="n">
        <f aca="false">YEAR(B1931)</f>
        <v>2017</v>
      </c>
      <c r="J1931" s="0" t="str">
        <f aca="false">I1931&amp;"-Q"&amp;ROUNDUP(MONTH(B1931)/3,0)</f>
        <v>2017-Q1</v>
      </c>
    </row>
    <row r="1932" customFormat="false" ht="15" hidden="false" customHeight="false" outlineLevel="0" collapsed="false">
      <c r="A1932" s="0" t="s">
        <v>1028</v>
      </c>
      <c r="B1932" s="6" t="n">
        <v>42810</v>
      </c>
      <c r="C1932" s="7" t="s">
        <v>33</v>
      </c>
      <c r="D1932" s="7" t="s">
        <v>43</v>
      </c>
      <c r="E1932" s="7" t="s">
        <v>39</v>
      </c>
      <c r="F1932" s="0" t="n">
        <v>659.976</v>
      </c>
      <c r="G1932" s="0" t="n">
        <v>49.4982</v>
      </c>
      <c r="H1932" s="0" t="n">
        <v>0.2</v>
      </c>
      <c r="I1932" s="7" t="n">
        <f aca="false">YEAR(B1932)</f>
        <v>2017</v>
      </c>
      <c r="J1932" s="0" t="str">
        <f aca="false">I1932&amp;"-Q"&amp;ROUNDUP(MONTH(B1932)/3,0)</f>
        <v>2017-Q1</v>
      </c>
    </row>
    <row r="1933" customFormat="false" ht="15" hidden="false" customHeight="false" outlineLevel="0" collapsed="false">
      <c r="A1933" s="0" t="s">
        <v>1029</v>
      </c>
      <c r="B1933" s="6" t="n">
        <v>42701</v>
      </c>
      <c r="C1933" s="7" t="s">
        <v>33</v>
      </c>
      <c r="D1933" s="7" t="s">
        <v>81</v>
      </c>
      <c r="E1933" s="7" t="s">
        <v>39</v>
      </c>
      <c r="F1933" s="0" t="n">
        <v>271.992</v>
      </c>
      <c r="G1933" s="0" t="n">
        <v>23.7993</v>
      </c>
      <c r="H1933" s="0" t="n">
        <v>0.2</v>
      </c>
      <c r="I1933" s="7" t="n">
        <f aca="false">YEAR(B1933)</f>
        <v>2016</v>
      </c>
      <c r="J1933" s="0" t="str">
        <f aca="false">I1933&amp;"-Q"&amp;ROUNDUP(MONTH(B1933)/3,0)</f>
        <v>2016-Q4</v>
      </c>
    </row>
    <row r="1934" customFormat="false" ht="15" hidden="false" customHeight="false" outlineLevel="0" collapsed="false">
      <c r="A1934" s="0" t="s">
        <v>1030</v>
      </c>
      <c r="B1934" s="6" t="n">
        <v>42953</v>
      </c>
      <c r="C1934" s="7" t="s">
        <v>29</v>
      </c>
      <c r="D1934" s="7" t="s">
        <v>152</v>
      </c>
      <c r="E1934" s="7" t="s">
        <v>31</v>
      </c>
      <c r="F1934" s="0" t="n">
        <v>145.74</v>
      </c>
      <c r="G1934" s="0" t="n">
        <v>23.3184</v>
      </c>
      <c r="H1934" s="0" t="n">
        <v>0</v>
      </c>
      <c r="I1934" s="7" t="n">
        <f aca="false">YEAR(B1934)</f>
        <v>2017</v>
      </c>
      <c r="J1934" s="0" t="str">
        <f aca="false">I1934&amp;"-Q"&amp;ROUNDUP(MONTH(B1934)/3,0)</f>
        <v>2017-Q3</v>
      </c>
    </row>
    <row r="1935" customFormat="false" ht="15" hidden="false" customHeight="false" outlineLevel="0" collapsed="false">
      <c r="A1935" s="0" t="s">
        <v>1030</v>
      </c>
      <c r="B1935" s="6" t="n">
        <v>42953</v>
      </c>
      <c r="C1935" s="7" t="s">
        <v>29</v>
      </c>
      <c r="D1935" s="7" t="s">
        <v>152</v>
      </c>
      <c r="E1935" s="7" t="s">
        <v>31</v>
      </c>
      <c r="F1935" s="0" t="n">
        <v>15.4</v>
      </c>
      <c r="G1935" s="0" t="n">
        <v>7.392</v>
      </c>
      <c r="H1935" s="0" t="n">
        <v>0</v>
      </c>
      <c r="I1935" s="7" t="n">
        <f aca="false">YEAR(B1935)</f>
        <v>2017</v>
      </c>
      <c r="J1935" s="0" t="str">
        <f aca="false">I1935&amp;"-Q"&amp;ROUNDUP(MONTH(B1935)/3,0)</f>
        <v>2017-Q3</v>
      </c>
    </row>
    <row r="1936" customFormat="false" ht="15" hidden="false" customHeight="false" outlineLevel="0" collapsed="false">
      <c r="A1936" s="0" t="s">
        <v>1031</v>
      </c>
      <c r="B1936" s="6" t="n">
        <v>43066</v>
      </c>
      <c r="C1936" s="7" t="s">
        <v>33</v>
      </c>
      <c r="D1936" s="7" t="s">
        <v>34</v>
      </c>
      <c r="E1936" s="7" t="s">
        <v>35</v>
      </c>
      <c r="F1936" s="0" t="n">
        <v>244.55</v>
      </c>
      <c r="G1936" s="0" t="n">
        <v>114.9385</v>
      </c>
      <c r="H1936" s="0" t="n">
        <v>0</v>
      </c>
      <c r="I1936" s="7" t="n">
        <f aca="false">YEAR(B1936)</f>
        <v>2017</v>
      </c>
      <c r="J1936" s="0" t="str">
        <f aca="false">I1936&amp;"-Q"&amp;ROUNDUP(MONTH(B1936)/3,0)</f>
        <v>2017-Q4</v>
      </c>
    </row>
    <row r="1937" customFormat="false" ht="15" hidden="false" customHeight="false" outlineLevel="0" collapsed="false">
      <c r="A1937" s="0" t="s">
        <v>1031</v>
      </c>
      <c r="B1937" s="6" t="n">
        <v>43066</v>
      </c>
      <c r="C1937" s="7" t="s">
        <v>33</v>
      </c>
      <c r="D1937" s="7" t="s">
        <v>34</v>
      </c>
      <c r="E1937" s="7" t="s">
        <v>39</v>
      </c>
      <c r="F1937" s="0" t="n">
        <v>166.16</v>
      </c>
      <c r="G1937" s="0" t="n">
        <v>59.8176</v>
      </c>
      <c r="H1937" s="0" t="n">
        <v>0</v>
      </c>
      <c r="I1937" s="7" t="n">
        <f aca="false">YEAR(B1937)</f>
        <v>2017</v>
      </c>
      <c r="J1937" s="0" t="str">
        <f aca="false">I1937&amp;"-Q"&amp;ROUNDUP(MONTH(B1937)/3,0)</f>
        <v>2017-Q4</v>
      </c>
    </row>
    <row r="1938" customFormat="false" ht="15" hidden="false" customHeight="false" outlineLevel="0" collapsed="false">
      <c r="A1938" s="0" t="s">
        <v>1032</v>
      </c>
      <c r="B1938" s="6" t="n">
        <v>42149</v>
      </c>
      <c r="C1938" s="7" t="s">
        <v>33</v>
      </c>
      <c r="D1938" s="7" t="s">
        <v>34</v>
      </c>
      <c r="E1938" s="7" t="s">
        <v>31</v>
      </c>
      <c r="F1938" s="0" t="n">
        <v>14.73</v>
      </c>
      <c r="G1938" s="0" t="n">
        <v>4.8609</v>
      </c>
      <c r="H1938" s="0" t="n">
        <v>0</v>
      </c>
      <c r="I1938" s="7" t="n">
        <f aca="false">YEAR(B1938)</f>
        <v>2015</v>
      </c>
      <c r="J1938" s="0" t="str">
        <f aca="false">I1938&amp;"-Q"&amp;ROUNDUP(MONTH(B1938)/3,0)</f>
        <v>2015-Q2</v>
      </c>
    </row>
    <row r="1939" customFormat="false" ht="15" hidden="false" customHeight="false" outlineLevel="0" collapsed="false">
      <c r="A1939" s="0" t="s">
        <v>1033</v>
      </c>
      <c r="B1939" s="6" t="n">
        <v>42559</v>
      </c>
      <c r="C1939" s="7" t="s">
        <v>33</v>
      </c>
      <c r="D1939" s="7" t="s">
        <v>109</v>
      </c>
      <c r="E1939" s="7" t="s">
        <v>35</v>
      </c>
      <c r="F1939" s="0" t="n">
        <v>19.968</v>
      </c>
      <c r="G1939" s="0" t="n">
        <v>-13.312</v>
      </c>
      <c r="H1939" s="0" t="n">
        <v>0.7</v>
      </c>
      <c r="I1939" s="7" t="n">
        <f aca="false">YEAR(B1939)</f>
        <v>2016</v>
      </c>
      <c r="J1939" s="0" t="str">
        <f aca="false">I1939&amp;"-Q"&amp;ROUNDUP(MONTH(B1939)/3,0)</f>
        <v>2016-Q3</v>
      </c>
    </row>
    <row r="1940" customFormat="false" ht="15" hidden="false" customHeight="false" outlineLevel="0" collapsed="false">
      <c r="A1940" s="0" t="s">
        <v>1033</v>
      </c>
      <c r="B1940" s="6" t="n">
        <v>42559</v>
      </c>
      <c r="C1940" s="7" t="s">
        <v>33</v>
      </c>
      <c r="D1940" s="7" t="s">
        <v>109</v>
      </c>
      <c r="E1940" s="7" t="s">
        <v>35</v>
      </c>
      <c r="F1940" s="0" t="n">
        <v>33.488</v>
      </c>
      <c r="G1940" s="0" t="n">
        <v>-1.2558</v>
      </c>
      <c r="H1940" s="0" t="n">
        <v>0.2</v>
      </c>
      <c r="I1940" s="7" t="n">
        <f aca="false">YEAR(B1940)</f>
        <v>2016</v>
      </c>
      <c r="J1940" s="0" t="str">
        <f aca="false">I1940&amp;"-Q"&amp;ROUNDUP(MONTH(B1940)/3,0)</f>
        <v>2016-Q3</v>
      </c>
    </row>
    <row r="1941" customFormat="false" ht="15" hidden="false" customHeight="false" outlineLevel="0" collapsed="false">
      <c r="A1941" s="0" t="s">
        <v>1033</v>
      </c>
      <c r="B1941" s="6" t="n">
        <v>42559</v>
      </c>
      <c r="C1941" s="7" t="s">
        <v>33</v>
      </c>
      <c r="D1941" s="7" t="s">
        <v>109</v>
      </c>
      <c r="E1941" s="7" t="s">
        <v>35</v>
      </c>
      <c r="F1941" s="0" t="n">
        <v>8.736</v>
      </c>
      <c r="G1941" s="0" t="n">
        <v>-6.1152</v>
      </c>
      <c r="H1941" s="0" t="n">
        <v>0.7</v>
      </c>
      <c r="I1941" s="7" t="n">
        <f aca="false">YEAR(B1941)</f>
        <v>2016</v>
      </c>
      <c r="J1941" s="0" t="str">
        <f aca="false">I1941&amp;"-Q"&amp;ROUNDUP(MONTH(B1941)/3,0)</f>
        <v>2016-Q3</v>
      </c>
    </row>
    <row r="1942" customFormat="false" ht="15" hidden="false" customHeight="false" outlineLevel="0" collapsed="false">
      <c r="A1942" s="0" t="s">
        <v>1033</v>
      </c>
      <c r="B1942" s="6" t="n">
        <v>42559</v>
      </c>
      <c r="C1942" s="7" t="s">
        <v>33</v>
      </c>
      <c r="D1942" s="7" t="s">
        <v>109</v>
      </c>
      <c r="E1942" s="7" t="s">
        <v>31</v>
      </c>
      <c r="F1942" s="0" t="n">
        <v>662.88</v>
      </c>
      <c r="G1942" s="0" t="n">
        <v>74.574</v>
      </c>
      <c r="H1942" s="0" t="n">
        <v>0.2</v>
      </c>
      <c r="I1942" s="7" t="n">
        <f aca="false">YEAR(B1942)</f>
        <v>2016</v>
      </c>
      <c r="J1942" s="0" t="str">
        <f aca="false">I1942&amp;"-Q"&amp;ROUNDUP(MONTH(B1942)/3,0)</f>
        <v>2016-Q3</v>
      </c>
    </row>
    <row r="1943" customFormat="false" ht="15" hidden="false" customHeight="false" outlineLevel="0" collapsed="false">
      <c r="A1943" s="0" t="s">
        <v>1034</v>
      </c>
      <c r="B1943" s="6" t="n">
        <v>42976</v>
      </c>
      <c r="C1943" s="7" t="s">
        <v>45</v>
      </c>
      <c r="D1943" s="7" t="s">
        <v>64</v>
      </c>
      <c r="E1943" s="7" t="s">
        <v>35</v>
      </c>
      <c r="F1943" s="0" t="n">
        <v>47.36</v>
      </c>
      <c r="G1943" s="0" t="n">
        <v>17.76</v>
      </c>
      <c r="H1943" s="0" t="n">
        <v>0.2</v>
      </c>
      <c r="I1943" s="7" t="n">
        <f aca="false">YEAR(B1943)</f>
        <v>2017</v>
      </c>
      <c r="J1943" s="0" t="str">
        <f aca="false">I1943&amp;"-Q"&amp;ROUNDUP(MONTH(B1943)/3,0)</f>
        <v>2017-Q3</v>
      </c>
    </row>
    <row r="1944" customFormat="false" ht="15" hidden="false" customHeight="false" outlineLevel="0" collapsed="false">
      <c r="A1944" s="0" t="s">
        <v>1034</v>
      </c>
      <c r="B1944" s="6" t="n">
        <v>42976</v>
      </c>
      <c r="C1944" s="7" t="s">
        <v>45</v>
      </c>
      <c r="D1944" s="7" t="s">
        <v>64</v>
      </c>
      <c r="E1944" s="7" t="s">
        <v>35</v>
      </c>
      <c r="F1944" s="0" t="n">
        <v>27.44</v>
      </c>
      <c r="G1944" s="0" t="n">
        <v>2.401</v>
      </c>
      <c r="H1944" s="0" t="n">
        <v>0.2</v>
      </c>
      <c r="I1944" s="7" t="n">
        <f aca="false">YEAR(B1944)</f>
        <v>2017</v>
      </c>
      <c r="J1944" s="0" t="str">
        <f aca="false">I1944&amp;"-Q"&amp;ROUNDUP(MONTH(B1944)/3,0)</f>
        <v>2017-Q3</v>
      </c>
    </row>
    <row r="1945" customFormat="false" ht="15" hidden="false" customHeight="false" outlineLevel="0" collapsed="false">
      <c r="A1945" s="0" t="s">
        <v>1034</v>
      </c>
      <c r="B1945" s="6" t="n">
        <v>42976</v>
      </c>
      <c r="C1945" s="7" t="s">
        <v>45</v>
      </c>
      <c r="D1945" s="7" t="s">
        <v>64</v>
      </c>
      <c r="E1945" s="7" t="s">
        <v>35</v>
      </c>
      <c r="F1945" s="0" t="n">
        <v>3.24</v>
      </c>
      <c r="G1945" s="0" t="n">
        <v>-5.184</v>
      </c>
      <c r="H1945" s="0" t="n">
        <v>0.8</v>
      </c>
      <c r="I1945" s="7" t="n">
        <f aca="false">YEAR(B1945)</f>
        <v>2017</v>
      </c>
      <c r="J1945" s="0" t="str">
        <f aca="false">I1945&amp;"-Q"&amp;ROUNDUP(MONTH(B1945)/3,0)</f>
        <v>2017-Q3</v>
      </c>
    </row>
    <row r="1946" customFormat="false" ht="15" hidden="false" customHeight="false" outlineLevel="0" collapsed="false">
      <c r="A1946" s="0" t="s">
        <v>1035</v>
      </c>
      <c r="B1946" s="6" t="n">
        <v>42541</v>
      </c>
      <c r="C1946" s="7" t="s">
        <v>45</v>
      </c>
      <c r="D1946" s="7" t="s">
        <v>46</v>
      </c>
      <c r="E1946" s="7" t="s">
        <v>39</v>
      </c>
      <c r="F1946" s="0" t="n">
        <v>95.968</v>
      </c>
      <c r="G1946" s="0" t="n">
        <v>26.3912</v>
      </c>
      <c r="H1946" s="0" t="n">
        <v>0.2</v>
      </c>
      <c r="I1946" s="7" t="n">
        <f aca="false">YEAR(B1946)</f>
        <v>2016</v>
      </c>
      <c r="J1946" s="0" t="str">
        <f aca="false">I1946&amp;"-Q"&amp;ROUNDUP(MONTH(B1946)/3,0)</f>
        <v>2016-Q2</v>
      </c>
    </row>
    <row r="1947" customFormat="false" ht="15" hidden="false" customHeight="false" outlineLevel="0" collapsed="false">
      <c r="A1947" s="0" t="s">
        <v>1035</v>
      </c>
      <c r="B1947" s="6" t="n">
        <v>42541</v>
      </c>
      <c r="C1947" s="7" t="s">
        <v>45</v>
      </c>
      <c r="D1947" s="7" t="s">
        <v>46</v>
      </c>
      <c r="E1947" s="7" t="s">
        <v>35</v>
      </c>
      <c r="F1947" s="0" t="n">
        <v>10.368</v>
      </c>
      <c r="G1947" s="0" t="n">
        <v>3.6288</v>
      </c>
      <c r="H1947" s="0" t="n">
        <v>0.2</v>
      </c>
      <c r="I1947" s="7" t="n">
        <f aca="false">YEAR(B1947)</f>
        <v>2016</v>
      </c>
      <c r="J1947" s="0" t="str">
        <f aca="false">I1947&amp;"-Q"&amp;ROUNDUP(MONTH(B1947)/3,0)</f>
        <v>2016-Q2</v>
      </c>
    </row>
    <row r="1948" customFormat="false" ht="15" hidden="false" customHeight="false" outlineLevel="0" collapsed="false">
      <c r="A1948" s="0" t="s">
        <v>1036</v>
      </c>
      <c r="B1948" s="6" t="n">
        <v>42980</v>
      </c>
      <c r="C1948" s="7" t="s">
        <v>55</v>
      </c>
      <c r="D1948" s="7" t="s">
        <v>76</v>
      </c>
      <c r="E1948" s="7" t="s">
        <v>35</v>
      </c>
      <c r="F1948" s="0" t="n">
        <v>23.1</v>
      </c>
      <c r="G1948" s="0" t="n">
        <v>6.468</v>
      </c>
      <c r="H1948" s="0" t="n">
        <v>0</v>
      </c>
      <c r="I1948" s="7" t="n">
        <f aca="false">YEAR(B1948)</f>
        <v>2017</v>
      </c>
      <c r="J1948" s="0" t="str">
        <f aca="false">I1948&amp;"-Q"&amp;ROUNDUP(MONTH(B1948)/3,0)</f>
        <v>2017-Q3</v>
      </c>
    </row>
    <row r="1949" customFormat="false" ht="15" hidden="false" customHeight="false" outlineLevel="0" collapsed="false">
      <c r="A1949" s="0" t="s">
        <v>1036</v>
      </c>
      <c r="B1949" s="6" t="n">
        <v>42980</v>
      </c>
      <c r="C1949" s="7" t="s">
        <v>55</v>
      </c>
      <c r="D1949" s="7" t="s">
        <v>76</v>
      </c>
      <c r="E1949" s="7" t="s">
        <v>31</v>
      </c>
      <c r="F1949" s="0" t="n">
        <v>11.54</v>
      </c>
      <c r="G1949" s="0" t="n">
        <v>3.462</v>
      </c>
      <c r="H1949" s="0" t="n">
        <v>0</v>
      </c>
      <c r="I1949" s="7" t="n">
        <f aca="false">YEAR(B1949)</f>
        <v>2017</v>
      </c>
      <c r="J1949" s="0" t="str">
        <f aca="false">I1949&amp;"-Q"&amp;ROUNDUP(MONTH(B1949)/3,0)</f>
        <v>2017-Q3</v>
      </c>
    </row>
    <row r="1950" customFormat="false" ht="15" hidden="false" customHeight="false" outlineLevel="0" collapsed="false">
      <c r="A1950" s="0" t="s">
        <v>1036</v>
      </c>
      <c r="B1950" s="6" t="n">
        <v>42980</v>
      </c>
      <c r="C1950" s="7" t="s">
        <v>55</v>
      </c>
      <c r="D1950" s="7" t="s">
        <v>76</v>
      </c>
      <c r="E1950" s="7" t="s">
        <v>31</v>
      </c>
      <c r="F1950" s="0" t="n">
        <v>254.526</v>
      </c>
      <c r="G1950" s="0" t="n">
        <v>-93.3262</v>
      </c>
      <c r="H1950" s="0" t="n">
        <v>0.4</v>
      </c>
      <c r="I1950" s="7" t="n">
        <f aca="false">YEAR(B1950)</f>
        <v>2017</v>
      </c>
      <c r="J1950" s="0" t="str">
        <f aca="false">I1950&amp;"-Q"&amp;ROUNDUP(MONTH(B1950)/3,0)</f>
        <v>2017-Q3</v>
      </c>
    </row>
    <row r="1951" customFormat="false" ht="15" hidden="false" customHeight="false" outlineLevel="0" collapsed="false">
      <c r="A1951" s="0" t="s">
        <v>1036</v>
      </c>
      <c r="B1951" s="6" t="n">
        <v>42980</v>
      </c>
      <c r="C1951" s="7" t="s">
        <v>55</v>
      </c>
      <c r="D1951" s="7" t="s">
        <v>76</v>
      </c>
      <c r="E1951" s="7" t="s">
        <v>35</v>
      </c>
      <c r="F1951" s="0" t="n">
        <v>12.98</v>
      </c>
      <c r="G1951" s="0" t="n">
        <v>3.7642</v>
      </c>
      <c r="H1951" s="0" t="n">
        <v>0</v>
      </c>
      <c r="I1951" s="7" t="n">
        <f aca="false">YEAR(B1951)</f>
        <v>2017</v>
      </c>
      <c r="J1951" s="0" t="str">
        <f aca="false">I1951&amp;"-Q"&amp;ROUNDUP(MONTH(B1951)/3,0)</f>
        <v>2017-Q3</v>
      </c>
    </row>
    <row r="1952" customFormat="false" ht="15" hidden="false" customHeight="false" outlineLevel="0" collapsed="false">
      <c r="A1952" s="0" t="s">
        <v>1036</v>
      </c>
      <c r="B1952" s="6" t="n">
        <v>42980</v>
      </c>
      <c r="C1952" s="7" t="s">
        <v>55</v>
      </c>
      <c r="D1952" s="7" t="s">
        <v>76</v>
      </c>
      <c r="E1952" s="7" t="s">
        <v>35</v>
      </c>
      <c r="F1952" s="0" t="n">
        <v>26.432</v>
      </c>
      <c r="G1952" s="0" t="n">
        <v>8.9208</v>
      </c>
      <c r="H1952" s="0" t="n">
        <v>0.2</v>
      </c>
      <c r="I1952" s="7" t="n">
        <f aca="false">YEAR(B1952)</f>
        <v>2017</v>
      </c>
      <c r="J1952" s="0" t="str">
        <f aca="false">I1952&amp;"-Q"&amp;ROUNDUP(MONTH(B1952)/3,0)</f>
        <v>2017-Q3</v>
      </c>
    </row>
    <row r="1953" customFormat="false" ht="15" hidden="false" customHeight="false" outlineLevel="0" collapsed="false">
      <c r="A1953" s="0" t="s">
        <v>1036</v>
      </c>
      <c r="B1953" s="6" t="n">
        <v>42980</v>
      </c>
      <c r="C1953" s="7" t="s">
        <v>55</v>
      </c>
      <c r="D1953" s="7" t="s">
        <v>76</v>
      </c>
      <c r="E1953" s="7" t="s">
        <v>39</v>
      </c>
      <c r="F1953" s="0" t="n">
        <v>197.97</v>
      </c>
      <c r="G1953" s="0" t="n">
        <v>57.4113</v>
      </c>
      <c r="H1953" s="0" t="n">
        <v>0</v>
      </c>
      <c r="I1953" s="7" t="n">
        <f aca="false">YEAR(B1953)</f>
        <v>2017</v>
      </c>
      <c r="J1953" s="0" t="str">
        <f aca="false">I1953&amp;"-Q"&amp;ROUNDUP(MONTH(B1953)/3,0)</f>
        <v>2017-Q3</v>
      </c>
    </row>
    <row r="1954" customFormat="false" ht="15" hidden="false" customHeight="false" outlineLevel="0" collapsed="false">
      <c r="A1954" s="0" t="s">
        <v>1036</v>
      </c>
      <c r="B1954" s="6" t="n">
        <v>42980</v>
      </c>
      <c r="C1954" s="7" t="s">
        <v>55</v>
      </c>
      <c r="D1954" s="7" t="s">
        <v>76</v>
      </c>
      <c r="E1954" s="7" t="s">
        <v>35</v>
      </c>
      <c r="F1954" s="0" t="n">
        <v>18.9</v>
      </c>
      <c r="G1954" s="0" t="n">
        <v>9.072</v>
      </c>
      <c r="H1954" s="0" t="n">
        <v>0</v>
      </c>
      <c r="I1954" s="7" t="n">
        <f aca="false">YEAR(B1954)</f>
        <v>2017</v>
      </c>
      <c r="J1954" s="0" t="str">
        <f aca="false">I1954&amp;"-Q"&amp;ROUNDUP(MONTH(B1954)/3,0)</f>
        <v>2017-Q3</v>
      </c>
    </row>
    <row r="1955" customFormat="false" ht="15" hidden="false" customHeight="false" outlineLevel="0" collapsed="false">
      <c r="A1955" s="0" t="s">
        <v>1036</v>
      </c>
      <c r="B1955" s="6" t="n">
        <v>42980</v>
      </c>
      <c r="C1955" s="7" t="s">
        <v>55</v>
      </c>
      <c r="D1955" s="7" t="s">
        <v>76</v>
      </c>
      <c r="E1955" s="7" t="s">
        <v>31</v>
      </c>
      <c r="F1955" s="0" t="n">
        <v>1282.41</v>
      </c>
      <c r="G1955" s="0" t="n">
        <v>213.735</v>
      </c>
      <c r="H1955" s="0" t="n">
        <v>0.1</v>
      </c>
      <c r="I1955" s="7" t="n">
        <f aca="false">YEAR(B1955)</f>
        <v>2017</v>
      </c>
      <c r="J1955" s="0" t="str">
        <f aca="false">I1955&amp;"-Q"&amp;ROUNDUP(MONTH(B1955)/3,0)</f>
        <v>2017-Q3</v>
      </c>
    </row>
    <row r="1956" customFormat="false" ht="15" hidden="false" customHeight="false" outlineLevel="0" collapsed="false">
      <c r="A1956" s="0" t="s">
        <v>1036</v>
      </c>
      <c r="B1956" s="6" t="n">
        <v>42980</v>
      </c>
      <c r="C1956" s="7" t="s">
        <v>55</v>
      </c>
      <c r="D1956" s="7" t="s">
        <v>76</v>
      </c>
      <c r="E1956" s="7" t="s">
        <v>35</v>
      </c>
      <c r="F1956" s="0" t="n">
        <v>4.92</v>
      </c>
      <c r="G1956" s="0" t="n">
        <v>2.214</v>
      </c>
      <c r="H1956" s="0" t="n">
        <v>0</v>
      </c>
      <c r="I1956" s="7" t="n">
        <f aca="false">YEAR(B1956)</f>
        <v>2017</v>
      </c>
      <c r="J1956" s="0" t="str">
        <f aca="false">I1956&amp;"-Q"&amp;ROUNDUP(MONTH(B1956)/3,0)</f>
        <v>2017-Q3</v>
      </c>
    </row>
    <row r="1957" customFormat="false" ht="15" hidden="false" customHeight="false" outlineLevel="0" collapsed="false">
      <c r="A1957" s="0" t="s">
        <v>1036</v>
      </c>
      <c r="B1957" s="6" t="n">
        <v>42980</v>
      </c>
      <c r="C1957" s="7" t="s">
        <v>55</v>
      </c>
      <c r="D1957" s="7" t="s">
        <v>76</v>
      </c>
      <c r="E1957" s="7" t="s">
        <v>39</v>
      </c>
      <c r="F1957" s="0" t="n">
        <v>238</v>
      </c>
      <c r="G1957" s="0" t="n">
        <v>38.08</v>
      </c>
      <c r="H1957" s="0" t="n">
        <v>0</v>
      </c>
      <c r="I1957" s="7" t="n">
        <f aca="false">YEAR(B1957)</f>
        <v>2017</v>
      </c>
      <c r="J1957" s="0" t="str">
        <f aca="false">I1957&amp;"-Q"&amp;ROUNDUP(MONTH(B1957)/3,0)</f>
        <v>2017-Q3</v>
      </c>
    </row>
    <row r="1958" customFormat="false" ht="15" hidden="false" customHeight="false" outlineLevel="0" collapsed="false">
      <c r="A1958" s="0" t="s">
        <v>1036</v>
      </c>
      <c r="B1958" s="6" t="n">
        <v>42980</v>
      </c>
      <c r="C1958" s="7" t="s">
        <v>55</v>
      </c>
      <c r="D1958" s="7" t="s">
        <v>76</v>
      </c>
      <c r="E1958" s="7" t="s">
        <v>39</v>
      </c>
      <c r="F1958" s="0" t="n">
        <v>167.97</v>
      </c>
      <c r="G1958" s="0" t="n">
        <v>40.3128</v>
      </c>
      <c r="H1958" s="0" t="n">
        <v>0</v>
      </c>
      <c r="I1958" s="7" t="n">
        <f aca="false">YEAR(B1958)</f>
        <v>2017</v>
      </c>
      <c r="J1958" s="0" t="str">
        <f aca="false">I1958&amp;"-Q"&amp;ROUNDUP(MONTH(B1958)/3,0)</f>
        <v>2017-Q3</v>
      </c>
    </row>
    <row r="1959" customFormat="false" ht="15" hidden="false" customHeight="false" outlineLevel="0" collapsed="false">
      <c r="A1959" s="0" t="s">
        <v>1036</v>
      </c>
      <c r="B1959" s="6" t="n">
        <v>42980</v>
      </c>
      <c r="C1959" s="7" t="s">
        <v>55</v>
      </c>
      <c r="D1959" s="7" t="s">
        <v>76</v>
      </c>
      <c r="E1959" s="7" t="s">
        <v>35</v>
      </c>
      <c r="F1959" s="0" t="n">
        <v>17.12</v>
      </c>
      <c r="G1959" s="0" t="n">
        <v>7.704</v>
      </c>
      <c r="H1959" s="0" t="n">
        <v>0</v>
      </c>
      <c r="I1959" s="7" t="n">
        <f aca="false">YEAR(B1959)</f>
        <v>2017</v>
      </c>
      <c r="J1959" s="0" t="str">
        <f aca="false">I1959&amp;"-Q"&amp;ROUNDUP(MONTH(B1959)/3,0)</f>
        <v>2017-Q3</v>
      </c>
    </row>
    <row r="1960" customFormat="false" ht="15" hidden="false" customHeight="false" outlineLevel="0" collapsed="false">
      <c r="A1960" s="0" t="s">
        <v>1037</v>
      </c>
      <c r="B1960" s="6" t="n">
        <v>42988</v>
      </c>
      <c r="C1960" s="7" t="s">
        <v>45</v>
      </c>
      <c r="D1960" s="7" t="s">
        <v>129</v>
      </c>
      <c r="E1960" s="7" t="s">
        <v>35</v>
      </c>
      <c r="F1960" s="0" t="n">
        <v>16.2</v>
      </c>
      <c r="G1960" s="0" t="n">
        <v>7.776</v>
      </c>
      <c r="H1960" s="0" t="n">
        <v>0</v>
      </c>
      <c r="I1960" s="7" t="n">
        <f aca="false">YEAR(B1960)</f>
        <v>2017</v>
      </c>
      <c r="J1960" s="0" t="str">
        <f aca="false">I1960&amp;"-Q"&amp;ROUNDUP(MONTH(B1960)/3,0)</f>
        <v>2017-Q3</v>
      </c>
    </row>
    <row r="1961" customFormat="false" ht="15" hidden="false" customHeight="false" outlineLevel="0" collapsed="false">
      <c r="A1961" s="0" t="s">
        <v>1037</v>
      </c>
      <c r="B1961" s="6" t="n">
        <v>42988</v>
      </c>
      <c r="C1961" s="7" t="s">
        <v>45</v>
      </c>
      <c r="D1961" s="7" t="s">
        <v>129</v>
      </c>
      <c r="E1961" s="7" t="s">
        <v>35</v>
      </c>
      <c r="F1961" s="0" t="n">
        <v>33.99</v>
      </c>
      <c r="G1961" s="0" t="n">
        <v>14.6157</v>
      </c>
      <c r="H1961" s="0" t="n">
        <v>0</v>
      </c>
      <c r="I1961" s="7" t="n">
        <f aca="false">YEAR(B1961)</f>
        <v>2017</v>
      </c>
      <c r="J1961" s="0" t="str">
        <f aca="false">I1961&amp;"-Q"&amp;ROUNDUP(MONTH(B1961)/3,0)</f>
        <v>2017-Q3</v>
      </c>
    </row>
    <row r="1962" customFormat="false" ht="15" hidden="false" customHeight="false" outlineLevel="0" collapsed="false">
      <c r="A1962" s="0" t="s">
        <v>1037</v>
      </c>
      <c r="B1962" s="6" t="n">
        <v>42988</v>
      </c>
      <c r="C1962" s="7" t="s">
        <v>45</v>
      </c>
      <c r="D1962" s="7" t="s">
        <v>129</v>
      </c>
      <c r="E1962" s="7" t="s">
        <v>39</v>
      </c>
      <c r="F1962" s="0" t="n">
        <v>296.85</v>
      </c>
      <c r="G1962" s="0" t="n">
        <v>53.433</v>
      </c>
      <c r="H1962" s="0" t="n">
        <v>0</v>
      </c>
      <c r="I1962" s="7" t="n">
        <f aca="false">YEAR(B1962)</f>
        <v>2017</v>
      </c>
      <c r="J1962" s="0" t="str">
        <f aca="false">I1962&amp;"-Q"&amp;ROUNDUP(MONTH(B1962)/3,0)</f>
        <v>2017-Q3</v>
      </c>
    </row>
    <row r="1963" customFormat="false" ht="15" hidden="false" customHeight="false" outlineLevel="0" collapsed="false">
      <c r="A1963" s="0" t="s">
        <v>1037</v>
      </c>
      <c r="B1963" s="6" t="n">
        <v>42988</v>
      </c>
      <c r="C1963" s="7" t="s">
        <v>45</v>
      </c>
      <c r="D1963" s="7" t="s">
        <v>129</v>
      </c>
      <c r="E1963" s="7" t="s">
        <v>39</v>
      </c>
      <c r="F1963" s="0" t="n">
        <v>112.8</v>
      </c>
      <c r="G1963" s="0" t="n">
        <v>6.768</v>
      </c>
      <c r="H1963" s="0" t="n">
        <v>0</v>
      </c>
      <c r="I1963" s="7" t="n">
        <f aca="false">YEAR(B1963)</f>
        <v>2017</v>
      </c>
      <c r="J1963" s="0" t="str">
        <f aca="false">I1963&amp;"-Q"&amp;ROUNDUP(MONTH(B1963)/3,0)</f>
        <v>2017-Q3</v>
      </c>
    </row>
    <row r="1964" customFormat="false" ht="15" hidden="false" customHeight="false" outlineLevel="0" collapsed="false">
      <c r="A1964" s="0" t="s">
        <v>1037</v>
      </c>
      <c r="B1964" s="6" t="n">
        <v>42988</v>
      </c>
      <c r="C1964" s="7" t="s">
        <v>45</v>
      </c>
      <c r="D1964" s="7" t="s">
        <v>129</v>
      </c>
      <c r="E1964" s="7" t="s">
        <v>35</v>
      </c>
      <c r="F1964" s="0" t="n">
        <v>13.71</v>
      </c>
      <c r="G1964" s="0" t="n">
        <v>6.5808</v>
      </c>
      <c r="H1964" s="0" t="n">
        <v>0</v>
      </c>
      <c r="I1964" s="7" t="n">
        <f aca="false">YEAR(B1964)</f>
        <v>2017</v>
      </c>
      <c r="J1964" s="0" t="str">
        <f aca="false">I1964&amp;"-Q"&amp;ROUNDUP(MONTH(B1964)/3,0)</f>
        <v>2017-Q3</v>
      </c>
    </row>
    <row r="1965" customFormat="false" ht="15" hidden="false" customHeight="false" outlineLevel="0" collapsed="false">
      <c r="A1965" s="0" t="s">
        <v>1037</v>
      </c>
      <c r="B1965" s="6" t="n">
        <v>42988</v>
      </c>
      <c r="C1965" s="7" t="s">
        <v>45</v>
      </c>
      <c r="D1965" s="7" t="s">
        <v>129</v>
      </c>
      <c r="E1965" s="7" t="s">
        <v>35</v>
      </c>
      <c r="F1965" s="0" t="n">
        <v>24.9</v>
      </c>
      <c r="G1965" s="0" t="n">
        <v>11.703</v>
      </c>
      <c r="H1965" s="0" t="n">
        <v>0</v>
      </c>
      <c r="I1965" s="7" t="n">
        <f aca="false">YEAR(B1965)</f>
        <v>2017</v>
      </c>
      <c r="J1965" s="0" t="str">
        <f aca="false">I1965&amp;"-Q"&amp;ROUNDUP(MONTH(B1965)/3,0)</f>
        <v>2017-Q3</v>
      </c>
    </row>
    <row r="1966" customFormat="false" ht="15" hidden="false" customHeight="false" outlineLevel="0" collapsed="false">
      <c r="A1966" s="0" t="s">
        <v>1037</v>
      </c>
      <c r="B1966" s="6" t="n">
        <v>42988</v>
      </c>
      <c r="C1966" s="7" t="s">
        <v>45</v>
      </c>
      <c r="D1966" s="7" t="s">
        <v>129</v>
      </c>
      <c r="E1966" s="7" t="s">
        <v>35</v>
      </c>
      <c r="F1966" s="0" t="n">
        <v>286.29</v>
      </c>
      <c r="G1966" s="0" t="n">
        <v>17.1774</v>
      </c>
      <c r="H1966" s="0" t="n">
        <v>0</v>
      </c>
      <c r="I1966" s="7" t="n">
        <f aca="false">YEAR(B1966)</f>
        <v>2017</v>
      </c>
      <c r="J1966" s="0" t="str">
        <f aca="false">I1966&amp;"-Q"&amp;ROUNDUP(MONTH(B1966)/3,0)</f>
        <v>2017-Q3</v>
      </c>
    </row>
    <row r="1967" customFormat="false" ht="15" hidden="false" customHeight="false" outlineLevel="0" collapsed="false">
      <c r="A1967" s="0" t="s">
        <v>1037</v>
      </c>
      <c r="B1967" s="6" t="n">
        <v>42988</v>
      </c>
      <c r="C1967" s="7" t="s">
        <v>45</v>
      </c>
      <c r="D1967" s="7" t="s">
        <v>129</v>
      </c>
      <c r="E1967" s="7" t="s">
        <v>35</v>
      </c>
      <c r="F1967" s="0" t="n">
        <v>24.18</v>
      </c>
      <c r="G1967" s="0" t="n">
        <v>7.254</v>
      </c>
      <c r="H1967" s="0" t="n">
        <v>0</v>
      </c>
      <c r="I1967" s="7" t="n">
        <f aca="false">YEAR(B1967)</f>
        <v>2017</v>
      </c>
      <c r="J1967" s="0" t="str">
        <f aca="false">I1967&amp;"-Q"&amp;ROUNDUP(MONTH(B1967)/3,0)</f>
        <v>2017-Q3</v>
      </c>
    </row>
    <row r="1968" customFormat="false" ht="15" hidden="false" customHeight="false" outlineLevel="0" collapsed="false">
      <c r="A1968" s="0" t="s">
        <v>1038</v>
      </c>
      <c r="B1968" s="6" t="n">
        <v>43090</v>
      </c>
      <c r="C1968" s="7" t="s">
        <v>55</v>
      </c>
      <c r="D1968" s="7" t="s">
        <v>161</v>
      </c>
      <c r="E1968" s="7" t="s">
        <v>39</v>
      </c>
      <c r="F1968" s="0" t="n">
        <v>281.97</v>
      </c>
      <c r="G1968" s="0" t="n">
        <v>78.9516</v>
      </c>
      <c r="H1968" s="0" t="n">
        <v>0</v>
      </c>
      <c r="I1968" s="7" t="n">
        <f aca="false">YEAR(B1968)</f>
        <v>2017</v>
      </c>
      <c r="J1968" s="0" t="str">
        <f aca="false">I1968&amp;"-Q"&amp;ROUNDUP(MONTH(B1968)/3,0)</f>
        <v>2017-Q4</v>
      </c>
    </row>
    <row r="1969" customFormat="false" ht="15" hidden="false" customHeight="false" outlineLevel="0" collapsed="false">
      <c r="A1969" s="0" t="s">
        <v>1038</v>
      </c>
      <c r="B1969" s="6" t="n">
        <v>43090</v>
      </c>
      <c r="C1969" s="7" t="s">
        <v>55</v>
      </c>
      <c r="D1969" s="7" t="s">
        <v>161</v>
      </c>
      <c r="E1969" s="7" t="s">
        <v>35</v>
      </c>
      <c r="F1969" s="0" t="n">
        <v>69.5</v>
      </c>
      <c r="G1969" s="0" t="n">
        <v>20.155</v>
      </c>
      <c r="H1969" s="0" t="n">
        <v>0</v>
      </c>
      <c r="I1969" s="7" t="n">
        <f aca="false">YEAR(B1969)</f>
        <v>2017</v>
      </c>
      <c r="J1969" s="0" t="str">
        <f aca="false">I1969&amp;"-Q"&amp;ROUNDUP(MONTH(B1969)/3,0)</f>
        <v>2017-Q4</v>
      </c>
    </row>
    <row r="1970" customFormat="false" ht="15" hidden="false" customHeight="false" outlineLevel="0" collapsed="false">
      <c r="A1970" s="0" t="s">
        <v>1038</v>
      </c>
      <c r="B1970" s="6" t="n">
        <v>43090</v>
      </c>
      <c r="C1970" s="7" t="s">
        <v>55</v>
      </c>
      <c r="D1970" s="7" t="s">
        <v>161</v>
      </c>
      <c r="E1970" s="7" t="s">
        <v>35</v>
      </c>
      <c r="F1970" s="0" t="n">
        <v>166.44</v>
      </c>
      <c r="G1970" s="0" t="n">
        <v>79.8912</v>
      </c>
      <c r="H1970" s="0" t="n">
        <v>0</v>
      </c>
      <c r="I1970" s="7" t="n">
        <f aca="false">YEAR(B1970)</f>
        <v>2017</v>
      </c>
      <c r="J1970" s="0" t="str">
        <f aca="false">I1970&amp;"-Q"&amp;ROUNDUP(MONTH(B1970)/3,0)</f>
        <v>2017-Q4</v>
      </c>
    </row>
    <row r="1971" customFormat="false" ht="15" hidden="false" customHeight="false" outlineLevel="0" collapsed="false">
      <c r="A1971" s="0" t="s">
        <v>1039</v>
      </c>
      <c r="B1971" s="6" t="n">
        <v>43001</v>
      </c>
      <c r="C1971" s="7" t="s">
        <v>45</v>
      </c>
      <c r="D1971" s="7" t="s">
        <v>138</v>
      </c>
      <c r="E1971" s="7" t="s">
        <v>39</v>
      </c>
      <c r="F1971" s="0" t="n">
        <v>291.96</v>
      </c>
      <c r="G1971" s="0" t="n">
        <v>102.186</v>
      </c>
      <c r="H1971" s="0" t="n">
        <v>0</v>
      </c>
      <c r="I1971" s="7" t="n">
        <f aca="false">YEAR(B1971)</f>
        <v>2017</v>
      </c>
      <c r="J1971" s="0" t="str">
        <f aca="false">I1971&amp;"-Q"&amp;ROUNDUP(MONTH(B1971)/3,0)</f>
        <v>2017-Q3</v>
      </c>
    </row>
    <row r="1972" customFormat="false" ht="15" hidden="false" customHeight="false" outlineLevel="0" collapsed="false">
      <c r="A1972" s="0" t="s">
        <v>1040</v>
      </c>
      <c r="B1972" s="6" t="n">
        <v>42861</v>
      </c>
      <c r="C1972" s="7" t="s">
        <v>45</v>
      </c>
      <c r="D1972" s="7" t="s">
        <v>64</v>
      </c>
      <c r="E1972" s="7" t="s">
        <v>35</v>
      </c>
      <c r="F1972" s="0" t="n">
        <v>6.408</v>
      </c>
      <c r="G1972" s="0" t="n">
        <v>0.6408</v>
      </c>
      <c r="H1972" s="0" t="n">
        <v>0.2</v>
      </c>
      <c r="I1972" s="7" t="n">
        <f aca="false">YEAR(B1972)</f>
        <v>2017</v>
      </c>
      <c r="J1972" s="0" t="str">
        <f aca="false">I1972&amp;"-Q"&amp;ROUNDUP(MONTH(B1972)/3,0)</f>
        <v>2017-Q2</v>
      </c>
    </row>
    <row r="1973" customFormat="false" ht="15" hidden="false" customHeight="false" outlineLevel="0" collapsed="false">
      <c r="A1973" s="0" t="s">
        <v>1040</v>
      </c>
      <c r="B1973" s="6" t="n">
        <v>42861</v>
      </c>
      <c r="C1973" s="7" t="s">
        <v>45</v>
      </c>
      <c r="D1973" s="7" t="s">
        <v>64</v>
      </c>
      <c r="E1973" s="7" t="s">
        <v>39</v>
      </c>
      <c r="F1973" s="0" t="n">
        <v>408.744</v>
      </c>
      <c r="G1973" s="0" t="n">
        <v>76.6395</v>
      </c>
      <c r="H1973" s="0" t="n">
        <v>0.2</v>
      </c>
      <c r="I1973" s="7" t="n">
        <f aca="false">YEAR(B1973)</f>
        <v>2017</v>
      </c>
      <c r="J1973" s="0" t="str">
        <f aca="false">I1973&amp;"-Q"&amp;ROUNDUP(MONTH(B1973)/3,0)</f>
        <v>2017-Q2</v>
      </c>
    </row>
    <row r="1974" customFormat="false" ht="15" hidden="false" customHeight="false" outlineLevel="0" collapsed="false">
      <c r="A1974" s="0" t="s">
        <v>1041</v>
      </c>
      <c r="B1974" s="6" t="n">
        <v>41987</v>
      </c>
      <c r="C1974" s="7" t="s">
        <v>45</v>
      </c>
      <c r="D1974" s="7" t="s">
        <v>64</v>
      </c>
      <c r="E1974" s="7" t="s">
        <v>35</v>
      </c>
      <c r="F1974" s="0" t="n">
        <v>5.104</v>
      </c>
      <c r="G1974" s="0" t="n">
        <v>-8.6768</v>
      </c>
      <c r="H1974" s="0" t="n">
        <v>0.8</v>
      </c>
      <c r="I1974" s="7" t="n">
        <f aca="false">YEAR(B1974)</f>
        <v>2014</v>
      </c>
      <c r="J1974" s="0" t="str">
        <f aca="false">I1974&amp;"-Q"&amp;ROUNDUP(MONTH(B1974)/3,0)</f>
        <v>2014-Q4</v>
      </c>
    </row>
    <row r="1975" customFormat="false" ht="15" hidden="false" customHeight="false" outlineLevel="0" collapsed="false">
      <c r="A1975" s="0" t="s">
        <v>1041</v>
      </c>
      <c r="B1975" s="6" t="n">
        <v>41987</v>
      </c>
      <c r="C1975" s="7" t="s">
        <v>45</v>
      </c>
      <c r="D1975" s="7" t="s">
        <v>64</v>
      </c>
      <c r="E1975" s="7" t="s">
        <v>35</v>
      </c>
      <c r="F1975" s="0" t="n">
        <v>2.896</v>
      </c>
      <c r="G1975" s="0" t="n">
        <v>0.4706</v>
      </c>
      <c r="H1975" s="0" t="n">
        <v>0.2</v>
      </c>
      <c r="I1975" s="7" t="n">
        <f aca="false">YEAR(B1975)</f>
        <v>2014</v>
      </c>
      <c r="J1975" s="0" t="str">
        <f aca="false">I1975&amp;"-Q"&amp;ROUNDUP(MONTH(B1975)/3,0)</f>
        <v>2014-Q4</v>
      </c>
    </row>
    <row r="1976" customFormat="false" ht="15" hidden="false" customHeight="false" outlineLevel="0" collapsed="false">
      <c r="A1976" s="0" t="s">
        <v>1041</v>
      </c>
      <c r="B1976" s="6" t="n">
        <v>41987</v>
      </c>
      <c r="C1976" s="7" t="s">
        <v>45</v>
      </c>
      <c r="D1976" s="7" t="s">
        <v>64</v>
      </c>
      <c r="E1976" s="7" t="s">
        <v>39</v>
      </c>
      <c r="F1976" s="0" t="n">
        <v>35.016</v>
      </c>
      <c r="G1976" s="0" t="n">
        <v>-2.1885</v>
      </c>
      <c r="H1976" s="0" t="n">
        <v>0.2</v>
      </c>
      <c r="I1976" s="7" t="n">
        <f aca="false">YEAR(B1976)</f>
        <v>2014</v>
      </c>
      <c r="J1976" s="0" t="str">
        <f aca="false">I1976&amp;"-Q"&amp;ROUNDUP(MONTH(B1976)/3,0)</f>
        <v>2014-Q4</v>
      </c>
    </row>
    <row r="1977" customFormat="false" ht="15" hidden="false" customHeight="false" outlineLevel="0" collapsed="false">
      <c r="A1977" s="0" t="s">
        <v>1042</v>
      </c>
      <c r="B1977" s="6" t="n">
        <v>41930</v>
      </c>
      <c r="C1977" s="7" t="s">
        <v>29</v>
      </c>
      <c r="D1977" s="7" t="s">
        <v>91</v>
      </c>
      <c r="E1977" s="7" t="s">
        <v>35</v>
      </c>
      <c r="F1977" s="0" t="n">
        <v>275.97</v>
      </c>
      <c r="G1977" s="0" t="n">
        <v>11.0388</v>
      </c>
      <c r="H1977" s="0" t="n">
        <v>0</v>
      </c>
      <c r="I1977" s="7" t="n">
        <f aca="false">YEAR(B1977)</f>
        <v>2014</v>
      </c>
      <c r="J1977" s="0" t="str">
        <f aca="false">I1977&amp;"-Q"&amp;ROUNDUP(MONTH(B1977)/3,0)</f>
        <v>2014-Q4</v>
      </c>
    </row>
    <row r="1978" customFormat="false" ht="15" hidden="false" customHeight="false" outlineLevel="0" collapsed="false">
      <c r="A1978" s="0" t="s">
        <v>1042</v>
      </c>
      <c r="B1978" s="6" t="n">
        <v>41930</v>
      </c>
      <c r="C1978" s="7" t="s">
        <v>29</v>
      </c>
      <c r="D1978" s="7" t="s">
        <v>91</v>
      </c>
      <c r="E1978" s="7" t="s">
        <v>39</v>
      </c>
      <c r="F1978" s="0" t="n">
        <v>1394.95</v>
      </c>
      <c r="G1978" s="0" t="n">
        <v>362.687</v>
      </c>
      <c r="H1978" s="0" t="n">
        <v>0</v>
      </c>
      <c r="I1978" s="7" t="n">
        <f aca="false">YEAR(B1978)</f>
        <v>2014</v>
      </c>
      <c r="J1978" s="0" t="str">
        <f aca="false">I1978&amp;"-Q"&amp;ROUNDUP(MONTH(B1978)/3,0)</f>
        <v>2014-Q4</v>
      </c>
    </row>
    <row r="1979" customFormat="false" ht="15" hidden="false" customHeight="false" outlineLevel="0" collapsed="false">
      <c r="A1979" s="0" t="s">
        <v>1042</v>
      </c>
      <c r="B1979" s="6" t="n">
        <v>41930</v>
      </c>
      <c r="C1979" s="7" t="s">
        <v>29</v>
      </c>
      <c r="D1979" s="7" t="s">
        <v>91</v>
      </c>
      <c r="E1979" s="7" t="s">
        <v>31</v>
      </c>
      <c r="F1979" s="0" t="n">
        <v>545.88</v>
      </c>
      <c r="G1979" s="0" t="n">
        <v>70.9644</v>
      </c>
      <c r="H1979" s="0" t="n">
        <v>0</v>
      </c>
      <c r="I1979" s="7" t="n">
        <f aca="false">YEAR(B1979)</f>
        <v>2014</v>
      </c>
      <c r="J1979" s="0" t="str">
        <f aca="false">I1979&amp;"-Q"&amp;ROUNDUP(MONTH(B1979)/3,0)</f>
        <v>2014-Q4</v>
      </c>
    </row>
    <row r="1980" customFormat="false" ht="15" hidden="false" customHeight="false" outlineLevel="0" collapsed="false">
      <c r="A1980" s="0" t="s">
        <v>1043</v>
      </c>
      <c r="B1980" s="6" t="n">
        <v>42132</v>
      </c>
      <c r="C1980" s="7" t="s">
        <v>33</v>
      </c>
      <c r="D1980" s="7" t="s">
        <v>102</v>
      </c>
      <c r="E1980" s="7" t="s">
        <v>35</v>
      </c>
      <c r="F1980" s="0" t="n">
        <v>5.248</v>
      </c>
      <c r="G1980" s="0" t="n">
        <v>0.5904</v>
      </c>
      <c r="H1980" s="0" t="n">
        <v>0.2</v>
      </c>
      <c r="I1980" s="7" t="n">
        <f aca="false">YEAR(B1980)</f>
        <v>2015</v>
      </c>
      <c r="J1980" s="0" t="str">
        <f aca="false">I1980&amp;"-Q"&amp;ROUNDUP(MONTH(B1980)/3,0)</f>
        <v>2015-Q2</v>
      </c>
    </row>
    <row r="1981" customFormat="false" ht="15" hidden="false" customHeight="false" outlineLevel="0" collapsed="false">
      <c r="A1981" s="0" t="s">
        <v>1044</v>
      </c>
      <c r="B1981" s="6" t="n">
        <v>42474</v>
      </c>
      <c r="C1981" s="7" t="s">
        <v>33</v>
      </c>
      <c r="D1981" s="7" t="s">
        <v>81</v>
      </c>
      <c r="E1981" s="7" t="s">
        <v>31</v>
      </c>
      <c r="F1981" s="0" t="n">
        <v>933.536</v>
      </c>
      <c r="G1981" s="0" t="n">
        <v>105.0228</v>
      </c>
      <c r="H1981" s="0" t="n">
        <v>0.2</v>
      </c>
      <c r="I1981" s="7" t="n">
        <f aca="false">YEAR(B1981)</f>
        <v>2016</v>
      </c>
      <c r="J1981" s="0" t="str">
        <f aca="false">I1981&amp;"-Q"&amp;ROUNDUP(MONTH(B1981)/3,0)</f>
        <v>2016-Q2</v>
      </c>
    </row>
    <row r="1982" customFormat="false" ht="15" hidden="false" customHeight="false" outlineLevel="0" collapsed="false">
      <c r="A1982" s="0" t="s">
        <v>1044</v>
      </c>
      <c r="B1982" s="6" t="n">
        <v>42474</v>
      </c>
      <c r="C1982" s="7" t="s">
        <v>33</v>
      </c>
      <c r="D1982" s="7" t="s">
        <v>81</v>
      </c>
      <c r="E1982" s="7" t="s">
        <v>35</v>
      </c>
      <c r="F1982" s="0" t="n">
        <v>42.976</v>
      </c>
      <c r="G1982" s="0" t="n">
        <v>4.2976</v>
      </c>
      <c r="H1982" s="0" t="n">
        <v>0.2</v>
      </c>
      <c r="I1982" s="7" t="n">
        <f aca="false">YEAR(B1982)</f>
        <v>2016</v>
      </c>
      <c r="J1982" s="0" t="str">
        <f aca="false">I1982&amp;"-Q"&amp;ROUNDUP(MONTH(B1982)/3,0)</f>
        <v>2016-Q2</v>
      </c>
    </row>
    <row r="1983" customFormat="false" ht="15" hidden="false" customHeight="false" outlineLevel="0" collapsed="false">
      <c r="A1983" s="0" t="s">
        <v>1045</v>
      </c>
      <c r="B1983" s="6" t="n">
        <v>42352</v>
      </c>
      <c r="C1983" s="7" t="s">
        <v>29</v>
      </c>
      <c r="D1983" s="7" t="s">
        <v>230</v>
      </c>
      <c r="E1983" s="7" t="s">
        <v>35</v>
      </c>
      <c r="F1983" s="0" t="n">
        <v>3.76</v>
      </c>
      <c r="G1983" s="0" t="n">
        <v>1.8048</v>
      </c>
      <c r="H1983" s="0" t="n">
        <v>0</v>
      </c>
      <c r="I1983" s="7" t="n">
        <f aca="false">YEAR(B1983)</f>
        <v>2015</v>
      </c>
      <c r="J1983" s="0" t="str">
        <f aca="false">I1983&amp;"-Q"&amp;ROUNDUP(MONTH(B1983)/3,0)</f>
        <v>2015-Q4</v>
      </c>
    </row>
    <row r="1984" customFormat="false" ht="15" hidden="false" customHeight="false" outlineLevel="0" collapsed="false">
      <c r="A1984" s="0" t="s">
        <v>1046</v>
      </c>
      <c r="B1984" s="6" t="n">
        <v>41976</v>
      </c>
      <c r="C1984" s="7" t="s">
        <v>45</v>
      </c>
      <c r="D1984" s="7" t="s">
        <v>138</v>
      </c>
      <c r="E1984" s="7" t="s">
        <v>39</v>
      </c>
      <c r="F1984" s="0" t="n">
        <v>479.96</v>
      </c>
      <c r="G1984" s="0" t="n">
        <v>134.3888</v>
      </c>
      <c r="H1984" s="0" t="n">
        <v>0</v>
      </c>
      <c r="I1984" s="7" t="n">
        <f aca="false">YEAR(B1984)</f>
        <v>2014</v>
      </c>
      <c r="J1984" s="0" t="str">
        <f aca="false">I1984&amp;"-Q"&amp;ROUNDUP(MONTH(B1984)/3,0)</f>
        <v>2014-Q4</v>
      </c>
    </row>
    <row r="1985" customFormat="false" ht="15" hidden="false" customHeight="false" outlineLevel="0" collapsed="false">
      <c r="A1985" s="0" t="s">
        <v>1047</v>
      </c>
      <c r="B1985" s="6" t="n">
        <v>41968</v>
      </c>
      <c r="C1985" s="7" t="s">
        <v>33</v>
      </c>
      <c r="D1985" s="7" t="s">
        <v>34</v>
      </c>
      <c r="E1985" s="7" t="s">
        <v>35</v>
      </c>
      <c r="F1985" s="0" t="n">
        <v>320.88</v>
      </c>
      <c r="G1985" s="0" t="n">
        <v>93.0552</v>
      </c>
      <c r="H1985" s="0" t="n">
        <v>0</v>
      </c>
      <c r="I1985" s="7" t="n">
        <f aca="false">YEAR(B1985)</f>
        <v>2014</v>
      </c>
      <c r="J1985" s="0" t="str">
        <f aca="false">I1985&amp;"-Q"&amp;ROUNDUP(MONTH(B1985)/3,0)</f>
        <v>2014-Q4</v>
      </c>
    </row>
    <row r="1986" customFormat="false" ht="15" hidden="false" customHeight="false" outlineLevel="0" collapsed="false">
      <c r="A1986" s="0" t="s">
        <v>1047</v>
      </c>
      <c r="B1986" s="6" t="n">
        <v>41968</v>
      </c>
      <c r="C1986" s="7" t="s">
        <v>33</v>
      </c>
      <c r="D1986" s="7" t="s">
        <v>34</v>
      </c>
      <c r="E1986" s="7" t="s">
        <v>31</v>
      </c>
      <c r="F1986" s="0" t="n">
        <v>23.88</v>
      </c>
      <c r="G1986" s="0" t="n">
        <v>10.5072</v>
      </c>
      <c r="H1986" s="0" t="n">
        <v>0</v>
      </c>
      <c r="I1986" s="7" t="n">
        <f aca="false">YEAR(B1986)</f>
        <v>2014</v>
      </c>
      <c r="J1986" s="0" t="str">
        <f aca="false">I1986&amp;"-Q"&amp;ROUNDUP(MONTH(B1986)/3,0)</f>
        <v>2014-Q4</v>
      </c>
    </row>
    <row r="1987" customFormat="false" ht="15" hidden="false" customHeight="false" outlineLevel="0" collapsed="false">
      <c r="A1987" s="0" t="s">
        <v>1047</v>
      </c>
      <c r="B1987" s="6" t="n">
        <v>41968</v>
      </c>
      <c r="C1987" s="7" t="s">
        <v>33</v>
      </c>
      <c r="D1987" s="7" t="s">
        <v>34</v>
      </c>
      <c r="E1987" s="7" t="s">
        <v>35</v>
      </c>
      <c r="F1987" s="0" t="n">
        <v>26.76</v>
      </c>
      <c r="G1987" s="0" t="n">
        <v>12.3096</v>
      </c>
      <c r="H1987" s="0" t="n">
        <v>0</v>
      </c>
      <c r="I1987" s="7" t="n">
        <f aca="false">YEAR(B1987)</f>
        <v>2014</v>
      </c>
      <c r="J1987" s="0" t="str">
        <f aca="false">I1987&amp;"-Q"&amp;ROUNDUP(MONTH(B1987)/3,0)</f>
        <v>2014-Q4</v>
      </c>
    </row>
    <row r="1988" customFormat="false" ht="15" hidden="false" customHeight="false" outlineLevel="0" collapsed="false">
      <c r="A1988" s="0" t="s">
        <v>1048</v>
      </c>
      <c r="B1988" s="6" t="n">
        <v>42576</v>
      </c>
      <c r="C1988" s="7" t="s">
        <v>55</v>
      </c>
      <c r="D1988" s="7" t="s">
        <v>116</v>
      </c>
      <c r="E1988" s="7" t="s">
        <v>39</v>
      </c>
      <c r="F1988" s="0" t="n">
        <v>1439.976</v>
      </c>
      <c r="G1988" s="0" t="n">
        <v>191.9968</v>
      </c>
      <c r="H1988" s="0" t="n">
        <v>0.4</v>
      </c>
      <c r="I1988" s="7" t="n">
        <f aca="false">YEAR(B1988)</f>
        <v>2016</v>
      </c>
      <c r="J1988" s="0" t="str">
        <f aca="false">I1988&amp;"-Q"&amp;ROUNDUP(MONTH(B1988)/3,0)</f>
        <v>2016-Q3</v>
      </c>
    </row>
    <row r="1989" customFormat="false" ht="15" hidden="false" customHeight="false" outlineLevel="0" collapsed="false">
      <c r="A1989" s="0" t="s">
        <v>1049</v>
      </c>
      <c r="B1989" s="6" t="n">
        <v>42317</v>
      </c>
      <c r="C1989" s="7" t="s">
        <v>45</v>
      </c>
      <c r="D1989" s="7" t="s">
        <v>129</v>
      </c>
      <c r="E1989" s="7" t="s">
        <v>35</v>
      </c>
      <c r="F1989" s="0" t="n">
        <v>17.22</v>
      </c>
      <c r="G1989" s="0" t="n">
        <v>7.9212</v>
      </c>
      <c r="H1989" s="0" t="n">
        <v>0</v>
      </c>
      <c r="I1989" s="7" t="n">
        <f aca="false">YEAR(B1989)</f>
        <v>2015</v>
      </c>
      <c r="J1989" s="0" t="str">
        <f aca="false">I1989&amp;"-Q"&amp;ROUNDUP(MONTH(B1989)/3,0)</f>
        <v>2015-Q4</v>
      </c>
    </row>
    <row r="1990" customFormat="false" ht="15" hidden="false" customHeight="false" outlineLevel="0" collapsed="false">
      <c r="A1990" s="0" t="s">
        <v>1049</v>
      </c>
      <c r="B1990" s="6" t="n">
        <v>42317</v>
      </c>
      <c r="C1990" s="7" t="s">
        <v>45</v>
      </c>
      <c r="D1990" s="7" t="s">
        <v>129</v>
      </c>
      <c r="E1990" s="7" t="s">
        <v>31</v>
      </c>
      <c r="F1990" s="0" t="n">
        <v>1024.38</v>
      </c>
      <c r="G1990" s="0" t="n">
        <v>215.1198</v>
      </c>
      <c r="H1990" s="0" t="n">
        <v>0</v>
      </c>
      <c r="I1990" s="7" t="n">
        <f aca="false">YEAR(B1990)</f>
        <v>2015</v>
      </c>
      <c r="J1990" s="0" t="str">
        <f aca="false">I1990&amp;"-Q"&amp;ROUNDUP(MONTH(B1990)/3,0)</f>
        <v>2015-Q4</v>
      </c>
    </row>
    <row r="1991" customFormat="false" ht="15" hidden="false" customHeight="false" outlineLevel="0" collapsed="false">
      <c r="A1991" s="0" t="s">
        <v>1049</v>
      </c>
      <c r="B1991" s="6" t="n">
        <v>42317</v>
      </c>
      <c r="C1991" s="7" t="s">
        <v>45</v>
      </c>
      <c r="D1991" s="7" t="s">
        <v>129</v>
      </c>
      <c r="E1991" s="7" t="s">
        <v>35</v>
      </c>
      <c r="F1991" s="0" t="n">
        <v>26.22</v>
      </c>
      <c r="G1991" s="0" t="n">
        <v>12.3234</v>
      </c>
      <c r="H1991" s="0" t="n">
        <v>0</v>
      </c>
      <c r="I1991" s="7" t="n">
        <f aca="false">YEAR(B1991)</f>
        <v>2015</v>
      </c>
      <c r="J1991" s="0" t="str">
        <f aca="false">I1991&amp;"-Q"&amp;ROUNDUP(MONTH(B1991)/3,0)</f>
        <v>2015-Q4</v>
      </c>
    </row>
    <row r="1992" customFormat="false" ht="15" hidden="false" customHeight="false" outlineLevel="0" collapsed="false">
      <c r="A1992" s="0" t="s">
        <v>1049</v>
      </c>
      <c r="B1992" s="6" t="n">
        <v>42317</v>
      </c>
      <c r="C1992" s="7" t="s">
        <v>45</v>
      </c>
      <c r="D1992" s="7" t="s">
        <v>129</v>
      </c>
      <c r="E1992" s="7" t="s">
        <v>35</v>
      </c>
      <c r="F1992" s="0" t="n">
        <v>17.34</v>
      </c>
      <c r="G1992" s="0" t="n">
        <v>8.4966</v>
      </c>
      <c r="H1992" s="0" t="n">
        <v>0</v>
      </c>
      <c r="I1992" s="7" t="n">
        <f aca="false">YEAR(B1992)</f>
        <v>2015</v>
      </c>
      <c r="J1992" s="0" t="str">
        <f aca="false">I1992&amp;"-Q"&amp;ROUNDUP(MONTH(B1992)/3,0)</f>
        <v>2015-Q4</v>
      </c>
    </row>
    <row r="1993" customFormat="false" ht="15" hidden="false" customHeight="false" outlineLevel="0" collapsed="false">
      <c r="A1993" s="0" t="s">
        <v>1050</v>
      </c>
      <c r="B1993" s="6" t="n">
        <v>42790</v>
      </c>
      <c r="C1993" s="7" t="s">
        <v>55</v>
      </c>
      <c r="D1993" s="7" t="s">
        <v>56</v>
      </c>
      <c r="E1993" s="7" t="s">
        <v>35</v>
      </c>
      <c r="F1993" s="0" t="n">
        <v>4.956</v>
      </c>
      <c r="G1993" s="0" t="n">
        <v>-3.7996</v>
      </c>
      <c r="H1993" s="0" t="n">
        <v>0.7</v>
      </c>
      <c r="I1993" s="7" t="n">
        <f aca="false">YEAR(B1993)</f>
        <v>2017</v>
      </c>
      <c r="J1993" s="0" t="str">
        <f aca="false">I1993&amp;"-Q"&amp;ROUNDUP(MONTH(B1993)/3,0)</f>
        <v>2017-Q1</v>
      </c>
    </row>
    <row r="1994" customFormat="false" ht="15" hidden="false" customHeight="false" outlineLevel="0" collapsed="false">
      <c r="A1994" s="0" t="s">
        <v>1051</v>
      </c>
      <c r="B1994" s="6" t="n">
        <v>42911</v>
      </c>
      <c r="C1994" s="7" t="s">
        <v>33</v>
      </c>
      <c r="D1994" s="7" t="s">
        <v>102</v>
      </c>
      <c r="E1994" s="7" t="s">
        <v>35</v>
      </c>
      <c r="F1994" s="0" t="n">
        <v>71.04</v>
      </c>
      <c r="G1994" s="0" t="n">
        <v>26.64</v>
      </c>
      <c r="H1994" s="0" t="n">
        <v>0.2</v>
      </c>
      <c r="I1994" s="7" t="n">
        <f aca="false">YEAR(B1994)</f>
        <v>2017</v>
      </c>
      <c r="J1994" s="0" t="str">
        <f aca="false">I1994&amp;"-Q"&amp;ROUNDUP(MONTH(B1994)/3,0)</f>
        <v>2017-Q2</v>
      </c>
    </row>
    <row r="1995" customFormat="false" ht="15" hidden="false" customHeight="false" outlineLevel="0" collapsed="false">
      <c r="A1995" s="0" t="s">
        <v>1051</v>
      </c>
      <c r="B1995" s="6" t="n">
        <v>42911</v>
      </c>
      <c r="C1995" s="7" t="s">
        <v>33</v>
      </c>
      <c r="D1995" s="7" t="s">
        <v>102</v>
      </c>
      <c r="E1995" s="7" t="s">
        <v>35</v>
      </c>
      <c r="F1995" s="0" t="n">
        <v>5.344</v>
      </c>
      <c r="G1995" s="0" t="n">
        <v>0.7348</v>
      </c>
      <c r="H1995" s="0" t="n">
        <v>0.2</v>
      </c>
      <c r="I1995" s="7" t="n">
        <f aca="false">YEAR(B1995)</f>
        <v>2017</v>
      </c>
      <c r="J1995" s="0" t="str">
        <f aca="false">I1995&amp;"-Q"&amp;ROUNDUP(MONTH(B1995)/3,0)</f>
        <v>2017-Q2</v>
      </c>
    </row>
    <row r="1996" customFormat="false" ht="15" hidden="false" customHeight="false" outlineLevel="0" collapsed="false">
      <c r="A1996" s="0" t="s">
        <v>1051</v>
      </c>
      <c r="B1996" s="6" t="n">
        <v>42911</v>
      </c>
      <c r="C1996" s="7" t="s">
        <v>33</v>
      </c>
      <c r="D1996" s="7" t="s">
        <v>102</v>
      </c>
      <c r="E1996" s="7" t="s">
        <v>35</v>
      </c>
      <c r="F1996" s="0" t="n">
        <v>11.304</v>
      </c>
      <c r="G1996" s="0" t="n">
        <v>-2.1195</v>
      </c>
      <c r="H1996" s="0" t="n">
        <v>0.2</v>
      </c>
      <c r="I1996" s="7" t="n">
        <f aca="false">YEAR(B1996)</f>
        <v>2017</v>
      </c>
      <c r="J1996" s="0" t="str">
        <f aca="false">I1996&amp;"-Q"&amp;ROUNDUP(MONTH(B1996)/3,0)</f>
        <v>2017-Q2</v>
      </c>
    </row>
    <row r="1997" customFormat="false" ht="15" hidden="false" customHeight="false" outlineLevel="0" collapsed="false">
      <c r="A1997" s="0" t="s">
        <v>1052</v>
      </c>
      <c r="B1997" s="6" t="n">
        <v>43071</v>
      </c>
      <c r="C1997" s="7" t="s">
        <v>45</v>
      </c>
      <c r="D1997" s="7" t="s">
        <v>46</v>
      </c>
      <c r="E1997" s="7" t="s">
        <v>35</v>
      </c>
      <c r="F1997" s="0" t="n">
        <v>294.62</v>
      </c>
      <c r="G1997" s="0" t="n">
        <v>-766.012</v>
      </c>
      <c r="H1997" s="0" t="n">
        <v>0.8</v>
      </c>
      <c r="I1997" s="7" t="n">
        <f aca="false">YEAR(B1997)</f>
        <v>2017</v>
      </c>
      <c r="J1997" s="0" t="str">
        <f aca="false">I1997&amp;"-Q"&amp;ROUNDUP(MONTH(B1997)/3,0)</f>
        <v>2017-Q4</v>
      </c>
    </row>
    <row r="1998" customFormat="false" ht="15" hidden="false" customHeight="false" outlineLevel="0" collapsed="false">
      <c r="A1998" s="0" t="s">
        <v>1052</v>
      </c>
      <c r="B1998" s="6" t="n">
        <v>43071</v>
      </c>
      <c r="C1998" s="7" t="s">
        <v>45</v>
      </c>
      <c r="D1998" s="7" t="s">
        <v>46</v>
      </c>
      <c r="E1998" s="7" t="s">
        <v>31</v>
      </c>
      <c r="F1998" s="0" t="n">
        <v>8.752</v>
      </c>
      <c r="G1998" s="0" t="n">
        <v>-3.7196</v>
      </c>
      <c r="H1998" s="0" t="n">
        <v>0.6</v>
      </c>
      <c r="I1998" s="7" t="n">
        <f aca="false">YEAR(B1998)</f>
        <v>2017</v>
      </c>
      <c r="J1998" s="0" t="str">
        <f aca="false">I1998&amp;"-Q"&amp;ROUNDUP(MONTH(B1998)/3,0)</f>
        <v>2017-Q4</v>
      </c>
    </row>
    <row r="1999" customFormat="false" ht="15" hidden="false" customHeight="false" outlineLevel="0" collapsed="false">
      <c r="A1999" s="0" t="s">
        <v>1053</v>
      </c>
      <c r="B1999" s="6" t="n">
        <v>41676</v>
      </c>
      <c r="C1999" s="7" t="s">
        <v>29</v>
      </c>
      <c r="D1999" s="7" t="s">
        <v>83</v>
      </c>
      <c r="E1999" s="7" t="s">
        <v>35</v>
      </c>
      <c r="F1999" s="0" t="n">
        <v>15</v>
      </c>
      <c r="G1999" s="0" t="n">
        <v>7.2</v>
      </c>
      <c r="H1999" s="0" t="n">
        <v>0</v>
      </c>
      <c r="I1999" s="7" t="n">
        <f aca="false">YEAR(B1999)</f>
        <v>2014</v>
      </c>
      <c r="J1999" s="0" t="str">
        <f aca="false">I1999&amp;"-Q"&amp;ROUNDUP(MONTH(B1999)/3,0)</f>
        <v>2014-Q1</v>
      </c>
    </row>
    <row r="2000" customFormat="false" ht="15" hidden="false" customHeight="false" outlineLevel="0" collapsed="false">
      <c r="A2000" s="0" t="s">
        <v>1053</v>
      </c>
      <c r="B2000" s="6" t="n">
        <v>41676</v>
      </c>
      <c r="C2000" s="7" t="s">
        <v>29</v>
      </c>
      <c r="D2000" s="7" t="s">
        <v>83</v>
      </c>
      <c r="E2000" s="7" t="s">
        <v>39</v>
      </c>
      <c r="F2000" s="0" t="n">
        <v>161.61</v>
      </c>
      <c r="G2000" s="0" t="n">
        <v>42.0186</v>
      </c>
      <c r="H2000" s="0" t="n">
        <v>0</v>
      </c>
      <c r="I2000" s="7" t="n">
        <f aca="false">YEAR(B2000)</f>
        <v>2014</v>
      </c>
      <c r="J2000" s="0" t="str">
        <f aca="false">I2000&amp;"-Q"&amp;ROUNDUP(MONTH(B2000)/3,0)</f>
        <v>2014-Q1</v>
      </c>
    </row>
    <row r="2001" customFormat="false" ht="15" hidden="false" customHeight="false" outlineLevel="0" collapsed="false">
      <c r="A2001" s="0" t="s">
        <v>1053</v>
      </c>
      <c r="B2001" s="6" t="n">
        <v>41676</v>
      </c>
      <c r="C2001" s="7" t="s">
        <v>29</v>
      </c>
      <c r="D2001" s="7" t="s">
        <v>83</v>
      </c>
      <c r="E2001" s="7" t="s">
        <v>39</v>
      </c>
      <c r="F2001" s="0" t="n">
        <v>144.95</v>
      </c>
      <c r="G2001" s="0" t="n">
        <v>42.0355</v>
      </c>
      <c r="H2001" s="0" t="n">
        <v>0</v>
      </c>
      <c r="I2001" s="7" t="n">
        <f aca="false">YEAR(B2001)</f>
        <v>2014</v>
      </c>
      <c r="J2001" s="0" t="str">
        <f aca="false">I2001&amp;"-Q"&amp;ROUNDUP(MONTH(B2001)/3,0)</f>
        <v>2014-Q1</v>
      </c>
    </row>
    <row r="2002" customFormat="false" ht="15" hidden="false" customHeight="false" outlineLevel="0" collapsed="false">
      <c r="A2002" s="0" t="s">
        <v>1054</v>
      </c>
      <c r="B2002" s="6" t="n">
        <v>42836</v>
      </c>
      <c r="C2002" s="7" t="s">
        <v>33</v>
      </c>
      <c r="D2002" s="7" t="s">
        <v>34</v>
      </c>
      <c r="E2002" s="7" t="s">
        <v>39</v>
      </c>
      <c r="F2002" s="0" t="n">
        <v>199.95</v>
      </c>
      <c r="G2002" s="0" t="n">
        <v>21.9945</v>
      </c>
      <c r="H2002" s="0" t="n">
        <v>0</v>
      </c>
      <c r="I2002" s="7" t="n">
        <f aca="false">YEAR(B2002)</f>
        <v>2017</v>
      </c>
      <c r="J2002" s="0" t="str">
        <f aca="false">I2002&amp;"-Q"&amp;ROUNDUP(MONTH(B2002)/3,0)</f>
        <v>2017-Q2</v>
      </c>
    </row>
    <row r="2003" customFormat="false" ht="15" hidden="false" customHeight="false" outlineLevel="0" collapsed="false">
      <c r="A2003" s="0" t="s">
        <v>1054</v>
      </c>
      <c r="B2003" s="6" t="n">
        <v>42836</v>
      </c>
      <c r="C2003" s="7" t="s">
        <v>33</v>
      </c>
      <c r="D2003" s="7" t="s">
        <v>34</v>
      </c>
      <c r="E2003" s="7" t="s">
        <v>35</v>
      </c>
      <c r="F2003" s="0" t="n">
        <v>41.86</v>
      </c>
      <c r="G2003" s="0" t="n">
        <v>14.2324</v>
      </c>
      <c r="H2003" s="0" t="n">
        <v>0</v>
      </c>
      <c r="I2003" s="7" t="n">
        <f aca="false">YEAR(B2003)</f>
        <v>2017</v>
      </c>
      <c r="J2003" s="0" t="str">
        <f aca="false">I2003&amp;"-Q"&amp;ROUNDUP(MONTH(B2003)/3,0)</f>
        <v>2017-Q2</v>
      </c>
    </row>
    <row r="2004" customFormat="false" ht="15" hidden="false" customHeight="false" outlineLevel="0" collapsed="false">
      <c r="A2004" s="0" t="s">
        <v>1055</v>
      </c>
      <c r="B2004" s="6" t="n">
        <v>43094</v>
      </c>
      <c r="C2004" s="7" t="s">
        <v>29</v>
      </c>
      <c r="D2004" s="7" t="s">
        <v>30</v>
      </c>
      <c r="E2004" s="7" t="s">
        <v>35</v>
      </c>
      <c r="F2004" s="0" t="n">
        <v>95.94</v>
      </c>
      <c r="G2004" s="0" t="n">
        <v>9.594</v>
      </c>
      <c r="H2004" s="0" t="n">
        <v>0</v>
      </c>
      <c r="I2004" s="7" t="n">
        <f aca="false">YEAR(B2004)</f>
        <v>2017</v>
      </c>
      <c r="J2004" s="0" t="str">
        <f aca="false">I2004&amp;"-Q"&amp;ROUNDUP(MONTH(B2004)/3,0)</f>
        <v>2017-Q4</v>
      </c>
    </row>
    <row r="2005" customFormat="false" ht="15" hidden="false" customHeight="false" outlineLevel="0" collapsed="false">
      <c r="A2005" s="0" t="s">
        <v>1055</v>
      </c>
      <c r="B2005" s="6" t="n">
        <v>43094</v>
      </c>
      <c r="C2005" s="7" t="s">
        <v>29</v>
      </c>
      <c r="D2005" s="7" t="s">
        <v>30</v>
      </c>
      <c r="E2005" s="7" t="s">
        <v>31</v>
      </c>
      <c r="F2005" s="0" t="n">
        <v>304.45</v>
      </c>
      <c r="G2005" s="0" t="n">
        <v>76.1125</v>
      </c>
      <c r="H2005" s="0" t="n">
        <v>0</v>
      </c>
      <c r="I2005" s="7" t="n">
        <f aca="false">YEAR(B2005)</f>
        <v>2017</v>
      </c>
      <c r="J2005" s="0" t="str">
        <f aca="false">I2005&amp;"-Q"&amp;ROUNDUP(MONTH(B2005)/3,0)</f>
        <v>2017-Q4</v>
      </c>
    </row>
    <row r="2006" customFormat="false" ht="15" hidden="false" customHeight="false" outlineLevel="0" collapsed="false">
      <c r="A2006" s="0" t="s">
        <v>1056</v>
      </c>
      <c r="B2006" s="6" t="n">
        <v>42836</v>
      </c>
      <c r="C2006" s="7" t="s">
        <v>45</v>
      </c>
      <c r="D2006" s="7" t="s">
        <v>46</v>
      </c>
      <c r="E2006" s="7" t="s">
        <v>35</v>
      </c>
      <c r="F2006" s="0" t="n">
        <v>11.364</v>
      </c>
      <c r="G2006" s="0" t="n">
        <v>-17.046</v>
      </c>
      <c r="H2006" s="0" t="n">
        <v>0.8</v>
      </c>
      <c r="I2006" s="7" t="n">
        <f aca="false">YEAR(B2006)</f>
        <v>2017</v>
      </c>
      <c r="J2006" s="0" t="str">
        <f aca="false">I2006&amp;"-Q"&amp;ROUNDUP(MONTH(B2006)/3,0)</f>
        <v>2017-Q2</v>
      </c>
    </row>
    <row r="2007" customFormat="false" ht="15" hidden="false" customHeight="false" outlineLevel="0" collapsed="false">
      <c r="A2007" s="0" t="s">
        <v>1057</v>
      </c>
      <c r="B2007" s="6" t="n">
        <v>42004</v>
      </c>
      <c r="C2007" s="7" t="s">
        <v>45</v>
      </c>
      <c r="D2007" s="7" t="s">
        <v>129</v>
      </c>
      <c r="E2007" s="7" t="s">
        <v>35</v>
      </c>
      <c r="F2007" s="0" t="n">
        <v>29.68</v>
      </c>
      <c r="G2007" s="0" t="n">
        <v>11.5752</v>
      </c>
      <c r="H2007" s="0" t="n">
        <v>0</v>
      </c>
      <c r="I2007" s="7" t="n">
        <f aca="false">YEAR(B2007)</f>
        <v>2014</v>
      </c>
      <c r="J2007" s="0" t="str">
        <f aca="false">I2007&amp;"-Q"&amp;ROUNDUP(MONTH(B2007)/3,0)</f>
        <v>2014-Q4</v>
      </c>
    </row>
    <row r="2008" customFormat="false" ht="15" hidden="false" customHeight="false" outlineLevel="0" collapsed="false">
      <c r="A2008" s="0" t="s">
        <v>1057</v>
      </c>
      <c r="B2008" s="6" t="n">
        <v>42004</v>
      </c>
      <c r="C2008" s="7" t="s">
        <v>45</v>
      </c>
      <c r="D2008" s="7" t="s">
        <v>129</v>
      </c>
      <c r="E2008" s="7" t="s">
        <v>39</v>
      </c>
      <c r="F2008" s="0" t="n">
        <v>47.53</v>
      </c>
      <c r="G2008" s="0" t="n">
        <v>16.1602</v>
      </c>
      <c r="H2008" s="0" t="n">
        <v>0</v>
      </c>
      <c r="I2008" s="7" t="n">
        <f aca="false">YEAR(B2008)</f>
        <v>2014</v>
      </c>
      <c r="J2008" s="0" t="str">
        <f aca="false">I2008&amp;"-Q"&amp;ROUNDUP(MONTH(B2008)/3,0)</f>
        <v>2014-Q4</v>
      </c>
    </row>
    <row r="2009" customFormat="false" ht="15" hidden="false" customHeight="false" outlineLevel="0" collapsed="false">
      <c r="A2009" s="0" t="s">
        <v>1058</v>
      </c>
      <c r="B2009" s="6" t="n">
        <v>42950</v>
      </c>
      <c r="C2009" s="7" t="s">
        <v>45</v>
      </c>
      <c r="D2009" s="7" t="s">
        <v>64</v>
      </c>
      <c r="E2009" s="7" t="s">
        <v>31</v>
      </c>
      <c r="F2009" s="0" t="n">
        <v>183.372</v>
      </c>
      <c r="G2009" s="0" t="n">
        <v>-36.6744</v>
      </c>
      <c r="H2009" s="0" t="n">
        <v>0.3</v>
      </c>
      <c r="I2009" s="7" t="n">
        <f aca="false">YEAR(B2009)</f>
        <v>2017</v>
      </c>
      <c r="J2009" s="0" t="str">
        <f aca="false">I2009&amp;"-Q"&amp;ROUNDUP(MONTH(B2009)/3,0)</f>
        <v>2017-Q3</v>
      </c>
    </row>
    <row r="2010" customFormat="false" ht="15" hidden="false" customHeight="false" outlineLevel="0" collapsed="false">
      <c r="A2010" s="0" t="s">
        <v>1059</v>
      </c>
      <c r="B2010" s="6" t="n">
        <v>41958</v>
      </c>
      <c r="C2010" s="7" t="s">
        <v>29</v>
      </c>
      <c r="D2010" s="7" t="s">
        <v>87</v>
      </c>
      <c r="E2010" s="7" t="s">
        <v>35</v>
      </c>
      <c r="F2010" s="0" t="n">
        <v>4.224</v>
      </c>
      <c r="G2010" s="0" t="n">
        <v>0.4752</v>
      </c>
      <c r="H2010" s="0" t="n">
        <v>0.2</v>
      </c>
      <c r="I2010" s="7" t="n">
        <f aca="false">YEAR(B2010)</f>
        <v>2014</v>
      </c>
      <c r="J2010" s="0" t="str">
        <f aca="false">I2010&amp;"-Q"&amp;ROUNDUP(MONTH(B2010)/3,0)</f>
        <v>2014-Q4</v>
      </c>
    </row>
    <row r="2011" customFormat="false" ht="15" hidden="false" customHeight="false" outlineLevel="0" collapsed="false">
      <c r="A2011" s="0" t="s">
        <v>1059</v>
      </c>
      <c r="B2011" s="6" t="n">
        <v>41958</v>
      </c>
      <c r="C2011" s="7" t="s">
        <v>29</v>
      </c>
      <c r="D2011" s="7" t="s">
        <v>87</v>
      </c>
      <c r="E2011" s="7" t="s">
        <v>35</v>
      </c>
      <c r="F2011" s="0" t="n">
        <v>333.056</v>
      </c>
      <c r="G2011" s="0" t="n">
        <v>29.1424</v>
      </c>
      <c r="H2011" s="0" t="n">
        <v>0.2</v>
      </c>
      <c r="I2011" s="7" t="n">
        <f aca="false">YEAR(B2011)</f>
        <v>2014</v>
      </c>
      <c r="J2011" s="0" t="str">
        <f aca="false">I2011&amp;"-Q"&amp;ROUNDUP(MONTH(B2011)/3,0)</f>
        <v>2014-Q4</v>
      </c>
    </row>
    <row r="2012" customFormat="false" ht="15" hidden="false" customHeight="false" outlineLevel="0" collapsed="false">
      <c r="A2012" s="0" t="s">
        <v>1059</v>
      </c>
      <c r="B2012" s="6" t="n">
        <v>41958</v>
      </c>
      <c r="C2012" s="7" t="s">
        <v>29</v>
      </c>
      <c r="D2012" s="7" t="s">
        <v>87</v>
      </c>
      <c r="E2012" s="7" t="s">
        <v>35</v>
      </c>
      <c r="F2012" s="0" t="n">
        <v>24.896</v>
      </c>
      <c r="G2012" s="0" t="n">
        <v>7.78</v>
      </c>
      <c r="H2012" s="0" t="n">
        <v>0.2</v>
      </c>
      <c r="I2012" s="7" t="n">
        <f aca="false">YEAR(B2012)</f>
        <v>2014</v>
      </c>
      <c r="J2012" s="0" t="str">
        <f aca="false">I2012&amp;"-Q"&amp;ROUNDUP(MONTH(B2012)/3,0)</f>
        <v>2014-Q4</v>
      </c>
    </row>
    <row r="2013" customFormat="false" ht="15" hidden="false" customHeight="false" outlineLevel="0" collapsed="false">
      <c r="A2013" s="0" t="s">
        <v>1060</v>
      </c>
      <c r="B2013" s="6" t="n">
        <v>42349</v>
      </c>
      <c r="C2013" s="7" t="s">
        <v>45</v>
      </c>
      <c r="D2013" s="7" t="s">
        <v>46</v>
      </c>
      <c r="E2013" s="7" t="s">
        <v>39</v>
      </c>
      <c r="F2013" s="0" t="n">
        <v>159.984</v>
      </c>
      <c r="G2013" s="0" t="n">
        <v>35.9964</v>
      </c>
      <c r="H2013" s="0" t="n">
        <v>0.2</v>
      </c>
      <c r="I2013" s="7" t="n">
        <f aca="false">YEAR(B2013)</f>
        <v>2015</v>
      </c>
      <c r="J2013" s="0" t="str">
        <f aca="false">I2013&amp;"-Q"&amp;ROUNDUP(MONTH(B2013)/3,0)</f>
        <v>2015-Q4</v>
      </c>
    </row>
    <row r="2014" customFormat="false" ht="15" hidden="false" customHeight="false" outlineLevel="0" collapsed="false">
      <c r="A2014" s="0" t="s">
        <v>1060</v>
      </c>
      <c r="B2014" s="6" t="n">
        <v>42349</v>
      </c>
      <c r="C2014" s="7" t="s">
        <v>45</v>
      </c>
      <c r="D2014" s="7" t="s">
        <v>46</v>
      </c>
      <c r="E2014" s="7" t="s">
        <v>35</v>
      </c>
      <c r="F2014" s="0" t="n">
        <v>46.344</v>
      </c>
      <c r="G2014" s="0" t="n">
        <v>4.6344</v>
      </c>
      <c r="H2014" s="0" t="n">
        <v>0.2</v>
      </c>
      <c r="I2014" s="7" t="n">
        <f aca="false">YEAR(B2014)</f>
        <v>2015</v>
      </c>
      <c r="J2014" s="0" t="str">
        <f aca="false">I2014&amp;"-Q"&amp;ROUNDUP(MONTH(B2014)/3,0)</f>
        <v>2015-Q4</v>
      </c>
    </row>
    <row r="2015" customFormat="false" ht="15" hidden="false" customHeight="false" outlineLevel="0" collapsed="false">
      <c r="A2015" s="0" t="s">
        <v>1061</v>
      </c>
      <c r="B2015" s="6" t="n">
        <v>42631</v>
      </c>
      <c r="C2015" s="7" t="s">
        <v>29</v>
      </c>
      <c r="D2015" s="7" t="s">
        <v>91</v>
      </c>
      <c r="E2015" s="7" t="s">
        <v>31</v>
      </c>
      <c r="F2015" s="0" t="n">
        <v>350.98</v>
      </c>
      <c r="G2015" s="0" t="n">
        <v>84.2352</v>
      </c>
      <c r="H2015" s="0" t="n">
        <v>0</v>
      </c>
      <c r="I2015" s="7" t="n">
        <f aca="false">YEAR(B2015)</f>
        <v>2016</v>
      </c>
      <c r="J2015" s="0" t="str">
        <f aca="false">I2015&amp;"-Q"&amp;ROUNDUP(MONTH(B2015)/3,0)</f>
        <v>2016-Q3</v>
      </c>
    </row>
    <row r="2016" customFormat="false" ht="15" hidden="false" customHeight="false" outlineLevel="0" collapsed="false">
      <c r="A2016" s="0" t="s">
        <v>1061</v>
      </c>
      <c r="B2016" s="6" t="n">
        <v>42631</v>
      </c>
      <c r="C2016" s="7" t="s">
        <v>29</v>
      </c>
      <c r="D2016" s="7" t="s">
        <v>91</v>
      </c>
      <c r="E2016" s="7" t="s">
        <v>35</v>
      </c>
      <c r="F2016" s="0" t="n">
        <v>13.08</v>
      </c>
      <c r="G2016" s="0" t="n">
        <v>6.0168</v>
      </c>
      <c r="H2016" s="0" t="n">
        <v>0</v>
      </c>
      <c r="I2016" s="7" t="n">
        <f aca="false">YEAR(B2016)</f>
        <v>2016</v>
      </c>
      <c r="J2016" s="0" t="str">
        <f aca="false">I2016&amp;"-Q"&amp;ROUNDUP(MONTH(B2016)/3,0)</f>
        <v>2016-Q3</v>
      </c>
    </row>
    <row r="2017" customFormat="false" ht="15" hidden="false" customHeight="false" outlineLevel="0" collapsed="false">
      <c r="A2017" s="0" t="s">
        <v>1061</v>
      </c>
      <c r="B2017" s="6" t="n">
        <v>42631</v>
      </c>
      <c r="C2017" s="7" t="s">
        <v>29</v>
      </c>
      <c r="D2017" s="7" t="s">
        <v>91</v>
      </c>
      <c r="E2017" s="7" t="s">
        <v>35</v>
      </c>
      <c r="F2017" s="0" t="n">
        <v>900.08</v>
      </c>
      <c r="G2017" s="0" t="n">
        <v>117.0104</v>
      </c>
      <c r="H2017" s="0" t="n">
        <v>0</v>
      </c>
      <c r="I2017" s="7" t="n">
        <f aca="false">YEAR(B2017)</f>
        <v>2016</v>
      </c>
      <c r="J2017" s="0" t="str">
        <f aca="false">I2017&amp;"-Q"&amp;ROUNDUP(MONTH(B2017)/3,0)</f>
        <v>2016-Q3</v>
      </c>
    </row>
    <row r="2018" customFormat="false" ht="15" hidden="false" customHeight="false" outlineLevel="0" collapsed="false">
      <c r="A2018" s="0" t="s">
        <v>1062</v>
      </c>
      <c r="B2018" s="6" t="n">
        <v>42082</v>
      </c>
      <c r="C2018" s="7" t="s">
        <v>33</v>
      </c>
      <c r="D2018" s="7" t="s">
        <v>34</v>
      </c>
      <c r="E2018" s="7" t="s">
        <v>35</v>
      </c>
      <c r="F2018" s="0" t="n">
        <v>17.568</v>
      </c>
      <c r="G2018" s="0" t="n">
        <v>6.3684</v>
      </c>
      <c r="H2018" s="0" t="n">
        <v>0.2</v>
      </c>
      <c r="I2018" s="7" t="n">
        <f aca="false">YEAR(B2018)</f>
        <v>2015</v>
      </c>
      <c r="J2018" s="0" t="str">
        <f aca="false">I2018&amp;"-Q"&amp;ROUNDUP(MONTH(B2018)/3,0)</f>
        <v>2015-Q1</v>
      </c>
    </row>
    <row r="2019" customFormat="false" ht="15" hidden="false" customHeight="false" outlineLevel="0" collapsed="false">
      <c r="A2019" s="0" t="s">
        <v>1062</v>
      </c>
      <c r="B2019" s="6" t="n">
        <v>42082</v>
      </c>
      <c r="C2019" s="7" t="s">
        <v>33</v>
      </c>
      <c r="D2019" s="7" t="s">
        <v>34</v>
      </c>
      <c r="E2019" s="7" t="s">
        <v>35</v>
      </c>
      <c r="F2019" s="0" t="n">
        <v>14.62</v>
      </c>
      <c r="G2019" s="0" t="n">
        <v>6.8714</v>
      </c>
      <c r="H2019" s="0" t="n">
        <v>0</v>
      </c>
      <c r="I2019" s="7" t="n">
        <f aca="false">YEAR(B2019)</f>
        <v>2015</v>
      </c>
      <c r="J2019" s="0" t="str">
        <f aca="false">I2019&amp;"-Q"&amp;ROUNDUP(MONTH(B2019)/3,0)</f>
        <v>2015-Q1</v>
      </c>
    </row>
    <row r="2020" customFormat="false" ht="15" hidden="false" customHeight="false" outlineLevel="0" collapsed="false">
      <c r="A2020" s="0" t="s">
        <v>1062</v>
      </c>
      <c r="B2020" s="6" t="n">
        <v>42082</v>
      </c>
      <c r="C2020" s="7" t="s">
        <v>33</v>
      </c>
      <c r="D2020" s="7" t="s">
        <v>34</v>
      </c>
      <c r="E2020" s="7" t="s">
        <v>35</v>
      </c>
      <c r="F2020" s="0" t="n">
        <v>33.36</v>
      </c>
      <c r="G2020" s="0" t="n">
        <v>8.6736</v>
      </c>
      <c r="H2020" s="0" t="n">
        <v>0</v>
      </c>
      <c r="I2020" s="7" t="n">
        <f aca="false">YEAR(B2020)</f>
        <v>2015</v>
      </c>
      <c r="J2020" s="0" t="str">
        <f aca="false">I2020&amp;"-Q"&amp;ROUNDUP(MONTH(B2020)/3,0)</f>
        <v>2015-Q1</v>
      </c>
    </row>
    <row r="2021" customFormat="false" ht="15" hidden="false" customHeight="false" outlineLevel="0" collapsed="false">
      <c r="A2021" s="0" t="s">
        <v>1062</v>
      </c>
      <c r="B2021" s="6" t="n">
        <v>42082</v>
      </c>
      <c r="C2021" s="7" t="s">
        <v>33</v>
      </c>
      <c r="D2021" s="7" t="s">
        <v>34</v>
      </c>
      <c r="E2021" s="7" t="s">
        <v>35</v>
      </c>
      <c r="F2021" s="0" t="n">
        <v>40.14</v>
      </c>
      <c r="G2021" s="0" t="n">
        <v>19.6686</v>
      </c>
      <c r="H2021" s="0" t="n">
        <v>0</v>
      </c>
      <c r="I2021" s="7" t="n">
        <f aca="false">YEAR(B2021)</f>
        <v>2015</v>
      </c>
      <c r="J2021" s="0" t="str">
        <f aca="false">I2021&amp;"-Q"&amp;ROUNDUP(MONTH(B2021)/3,0)</f>
        <v>2015-Q1</v>
      </c>
    </row>
    <row r="2022" customFormat="false" ht="15" hidden="false" customHeight="false" outlineLevel="0" collapsed="false">
      <c r="A2022" s="0" t="s">
        <v>1063</v>
      </c>
      <c r="B2022" s="6" t="n">
        <v>42632</v>
      </c>
      <c r="C2022" s="7" t="s">
        <v>55</v>
      </c>
      <c r="D2022" s="7" t="s">
        <v>250</v>
      </c>
      <c r="E2022" s="7" t="s">
        <v>35</v>
      </c>
      <c r="F2022" s="0" t="n">
        <v>1606.23</v>
      </c>
      <c r="G2022" s="0" t="n">
        <v>481.869</v>
      </c>
      <c r="H2022" s="0" t="n">
        <v>0</v>
      </c>
      <c r="I2022" s="7" t="n">
        <f aca="false">YEAR(B2022)</f>
        <v>2016</v>
      </c>
      <c r="J2022" s="0" t="str">
        <f aca="false">I2022&amp;"-Q"&amp;ROUNDUP(MONTH(B2022)/3,0)</f>
        <v>2016-Q3</v>
      </c>
    </row>
    <row r="2023" customFormat="false" ht="15" hidden="false" customHeight="false" outlineLevel="0" collapsed="false">
      <c r="A2023" s="0" t="s">
        <v>1063</v>
      </c>
      <c r="B2023" s="6" t="n">
        <v>42632</v>
      </c>
      <c r="C2023" s="7" t="s">
        <v>55</v>
      </c>
      <c r="D2023" s="7" t="s">
        <v>250</v>
      </c>
      <c r="E2023" s="7" t="s">
        <v>35</v>
      </c>
      <c r="F2023" s="0" t="n">
        <v>17.04</v>
      </c>
      <c r="G2023" s="0" t="n">
        <v>7.668</v>
      </c>
      <c r="H2023" s="0" t="n">
        <v>0</v>
      </c>
      <c r="I2023" s="7" t="n">
        <f aca="false">YEAR(B2023)</f>
        <v>2016</v>
      </c>
      <c r="J2023" s="0" t="str">
        <f aca="false">I2023&amp;"-Q"&amp;ROUNDUP(MONTH(B2023)/3,0)</f>
        <v>2016-Q3</v>
      </c>
    </row>
    <row r="2024" customFormat="false" ht="15" hidden="false" customHeight="false" outlineLevel="0" collapsed="false">
      <c r="A2024" s="0" t="s">
        <v>1063</v>
      </c>
      <c r="B2024" s="6" t="n">
        <v>42632</v>
      </c>
      <c r="C2024" s="7" t="s">
        <v>55</v>
      </c>
      <c r="D2024" s="7" t="s">
        <v>250</v>
      </c>
      <c r="E2024" s="7" t="s">
        <v>35</v>
      </c>
      <c r="F2024" s="0" t="n">
        <v>49.53</v>
      </c>
      <c r="G2024" s="0" t="n">
        <v>23.7744</v>
      </c>
      <c r="H2024" s="0" t="n">
        <v>0</v>
      </c>
      <c r="I2024" s="7" t="n">
        <f aca="false">YEAR(B2024)</f>
        <v>2016</v>
      </c>
      <c r="J2024" s="0" t="str">
        <f aca="false">I2024&amp;"-Q"&amp;ROUNDUP(MONTH(B2024)/3,0)</f>
        <v>2016-Q3</v>
      </c>
    </row>
    <row r="2025" customFormat="false" ht="15" hidden="false" customHeight="false" outlineLevel="0" collapsed="false">
      <c r="A2025" s="0" t="s">
        <v>1063</v>
      </c>
      <c r="B2025" s="6" t="n">
        <v>42632</v>
      </c>
      <c r="C2025" s="7" t="s">
        <v>55</v>
      </c>
      <c r="D2025" s="7" t="s">
        <v>250</v>
      </c>
      <c r="E2025" s="7" t="s">
        <v>31</v>
      </c>
      <c r="F2025" s="0" t="n">
        <v>872.32</v>
      </c>
      <c r="G2025" s="0" t="n">
        <v>244.2496</v>
      </c>
      <c r="H2025" s="0" t="n">
        <v>0</v>
      </c>
      <c r="I2025" s="7" t="n">
        <f aca="false">YEAR(B2025)</f>
        <v>2016</v>
      </c>
      <c r="J2025" s="0" t="str">
        <f aca="false">I2025&amp;"-Q"&amp;ROUNDUP(MONTH(B2025)/3,0)</f>
        <v>2016-Q3</v>
      </c>
    </row>
    <row r="2026" customFormat="false" ht="15" hidden="false" customHeight="false" outlineLevel="0" collapsed="false">
      <c r="A2026" s="0" t="s">
        <v>1064</v>
      </c>
      <c r="B2026" s="6" t="n">
        <v>42967</v>
      </c>
      <c r="C2026" s="7" t="s">
        <v>33</v>
      </c>
      <c r="D2026" s="7" t="s">
        <v>34</v>
      </c>
      <c r="E2026" s="7" t="s">
        <v>35</v>
      </c>
      <c r="F2026" s="0" t="n">
        <v>239.12</v>
      </c>
      <c r="G2026" s="0" t="n">
        <v>77.714</v>
      </c>
      <c r="H2026" s="0" t="n">
        <v>0.2</v>
      </c>
      <c r="I2026" s="7" t="n">
        <f aca="false">YEAR(B2026)</f>
        <v>2017</v>
      </c>
      <c r="J2026" s="0" t="str">
        <f aca="false">I2026&amp;"-Q"&amp;ROUNDUP(MONTH(B2026)/3,0)</f>
        <v>2017-Q3</v>
      </c>
    </row>
    <row r="2027" customFormat="false" ht="15" hidden="false" customHeight="false" outlineLevel="0" collapsed="false">
      <c r="A2027" s="0" t="s">
        <v>1065</v>
      </c>
      <c r="B2027" s="6" t="n">
        <v>42076</v>
      </c>
      <c r="C2027" s="7" t="s">
        <v>33</v>
      </c>
      <c r="D2027" s="7" t="s">
        <v>43</v>
      </c>
      <c r="E2027" s="7" t="s">
        <v>31</v>
      </c>
      <c r="F2027" s="0" t="n">
        <v>141.96</v>
      </c>
      <c r="G2027" s="0" t="n">
        <v>39.7488</v>
      </c>
      <c r="H2027" s="0" t="n">
        <v>0</v>
      </c>
      <c r="I2027" s="7" t="n">
        <f aca="false">YEAR(B2027)</f>
        <v>2015</v>
      </c>
      <c r="J2027" s="0" t="str">
        <f aca="false">I2027&amp;"-Q"&amp;ROUNDUP(MONTH(B2027)/3,0)</f>
        <v>2015-Q1</v>
      </c>
    </row>
    <row r="2028" customFormat="false" ht="15" hidden="false" customHeight="false" outlineLevel="0" collapsed="false">
      <c r="A2028" s="0" t="s">
        <v>1066</v>
      </c>
      <c r="B2028" s="6" t="n">
        <v>42621</v>
      </c>
      <c r="C2028" s="7" t="s">
        <v>33</v>
      </c>
      <c r="D2028" s="7" t="s">
        <v>34</v>
      </c>
      <c r="E2028" s="7" t="s">
        <v>35</v>
      </c>
      <c r="F2028" s="0" t="n">
        <v>33.024</v>
      </c>
      <c r="G2028" s="0" t="n">
        <v>11.5584</v>
      </c>
      <c r="H2028" s="0" t="n">
        <v>0.2</v>
      </c>
      <c r="I2028" s="7" t="n">
        <f aca="false">YEAR(B2028)</f>
        <v>2016</v>
      </c>
      <c r="J2028" s="0" t="str">
        <f aca="false">I2028&amp;"-Q"&amp;ROUNDUP(MONTH(B2028)/3,0)</f>
        <v>2016-Q3</v>
      </c>
    </row>
    <row r="2029" customFormat="false" ht="15" hidden="false" customHeight="false" outlineLevel="0" collapsed="false">
      <c r="A2029" s="0" t="s">
        <v>1066</v>
      </c>
      <c r="B2029" s="6" t="n">
        <v>42621</v>
      </c>
      <c r="C2029" s="7" t="s">
        <v>33</v>
      </c>
      <c r="D2029" s="7" t="s">
        <v>34</v>
      </c>
      <c r="E2029" s="7" t="s">
        <v>35</v>
      </c>
      <c r="F2029" s="0" t="n">
        <v>67.136</v>
      </c>
      <c r="G2029" s="0" t="n">
        <v>23.4976</v>
      </c>
      <c r="H2029" s="0" t="n">
        <v>0.2</v>
      </c>
      <c r="I2029" s="7" t="n">
        <f aca="false">YEAR(B2029)</f>
        <v>2016</v>
      </c>
      <c r="J2029" s="0" t="str">
        <f aca="false">I2029&amp;"-Q"&amp;ROUNDUP(MONTH(B2029)/3,0)</f>
        <v>2016-Q3</v>
      </c>
    </row>
    <row r="2030" customFormat="false" ht="15" hidden="false" customHeight="false" outlineLevel="0" collapsed="false">
      <c r="A2030" s="0" t="s">
        <v>1067</v>
      </c>
      <c r="B2030" s="6" t="n">
        <v>42334</v>
      </c>
      <c r="C2030" s="7" t="s">
        <v>55</v>
      </c>
      <c r="D2030" s="7" t="s">
        <v>225</v>
      </c>
      <c r="E2030" s="7" t="s">
        <v>35</v>
      </c>
      <c r="F2030" s="0" t="n">
        <v>14.73</v>
      </c>
      <c r="G2030" s="0" t="n">
        <v>6.9231</v>
      </c>
      <c r="H2030" s="0" t="n">
        <v>0</v>
      </c>
      <c r="I2030" s="7" t="n">
        <f aca="false">YEAR(B2030)</f>
        <v>2015</v>
      </c>
      <c r="J2030" s="0" t="str">
        <f aca="false">I2030&amp;"-Q"&amp;ROUNDUP(MONTH(B2030)/3,0)</f>
        <v>2015-Q4</v>
      </c>
    </row>
    <row r="2031" customFormat="false" ht="15" hidden="false" customHeight="false" outlineLevel="0" collapsed="false">
      <c r="A2031" s="0" t="s">
        <v>1067</v>
      </c>
      <c r="B2031" s="6" t="n">
        <v>42334</v>
      </c>
      <c r="C2031" s="7" t="s">
        <v>55</v>
      </c>
      <c r="D2031" s="7" t="s">
        <v>225</v>
      </c>
      <c r="E2031" s="7" t="s">
        <v>35</v>
      </c>
      <c r="F2031" s="0" t="n">
        <v>104.9</v>
      </c>
      <c r="G2031" s="0" t="n">
        <v>25.176</v>
      </c>
      <c r="H2031" s="0" t="n">
        <v>0</v>
      </c>
      <c r="I2031" s="7" t="n">
        <f aca="false">YEAR(B2031)</f>
        <v>2015</v>
      </c>
      <c r="J2031" s="0" t="str">
        <f aca="false">I2031&amp;"-Q"&amp;ROUNDUP(MONTH(B2031)/3,0)</f>
        <v>2015-Q4</v>
      </c>
    </row>
    <row r="2032" customFormat="false" ht="15" hidden="false" customHeight="false" outlineLevel="0" collapsed="false">
      <c r="A2032" s="0" t="s">
        <v>1067</v>
      </c>
      <c r="B2032" s="6" t="n">
        <v>42334</v>
      </c>
      <c r="C2032" s="7" t="s">
        <v>55</v>
      </c>
      <c r="D2032" s="7" t="s">
        <v>225</v>
      </c>
      <c r="E2032" s="7" t="s">
        <v>35</v>
      </c>
      <c r="F2032" s="0" t="n">
        <v>61.04</v>
      </c>
      <c r="G2032" s="0" t="n">
        <v>30.52</v>
      </c>
      <c r="H2032" s="0" t="n">
        <v>0</v>
      </c>
      <c r="I2032" s="7" t="n">
        <f aca="false">YEAR(B2032)</f>
        <v>2015</v>
      </c>
      <c r="J2032" s="0" t="str">
        <f aca="false">I2032&amp;"-Q"&amp;ROUNDUP(MONTH(B2032)/3,0)</f>
        <v>2015-Q4</v>
      </c>
    </row>
    <row r="2033" customFormat="false" ht="15" hidden="false" customHeight="false" outlineLevel="0" collapsed="false">
      <c r="A2033" s="0" t="s">
        <v>1067</v>
      </c>
      <c r="B2033" s="6" t="n">
        <v>42334</v>
      </c>
      <c r="C2033" s="7" t="s">
        <v>55</v>
      </c>
      <c r="D2033" s="7" t="s">
        <v>225</v>
      </c>
      <c r="E2033" s="7" t="s">
        <v>35</v>
      </c>
      <c r="F2033" s="0" t="n">
        <v>10.95</v>
      </c>
      <c r="G2033" s="0" t="n">
        <v>5.1465</v>
      </c>
      <c r="H2033" s="0" t="n">
        <v>0</v>
      </c>
      <c r="I2033" s="7" t="n">
        <f aca="false">YEAR(B2033)</f>
        <v>2015</v>
      </c>
      <c r="J2033" s="0" t="str">
        <f aca="false">I2033&amp;"-Q"&amp;ROUNDUP(MONTH(B2033)/3,0)</f>
        <v>2015-Q4</v>
      </c>
    </row>
    <row r="2034" customFormat="false" ht="15" hidden="false" customHeight="false" outlineLevel="0" collapsed="false">
      <c r="A2034" s="0" t="s">
        <v>1068</v>
      </c>
      <c r="B2034" s="6" t="n">
        <v>42713</v>
      </c>
      <c r="C2034" s="7" t="s">
        <v>45</v>
      </c>
      <c r="D2034" s="7" t="s">
        <v>46</v>
      </c>
      <c r="E2034" s="7" t="s">
        <v>35</v>
      </c>
      <c r="F2034" s="0" t="n">
        <v>9.392</v>
      </c>
      <c r="G2034" s="0" t="n">
        <v>3.2872</v>
      </c>
      <c r="H2034" s="0" t="n">
        <v>0.2</v>
      </c>
      <c r="I2034" s="7" t="n">
        <f aca="false">YEAR(B2034)</f>
        <v>2016</v>
      </c>
      <c r="J2034" s="0" t="str">
        <f aca="false">I2034&amp;"-Q"&amp;ROUNDUP(MONTH(B2034)/3,0)</f>
        <v>2016-Q4</v>
      </c>
    </row>
    <row r="2035" customFormat="false" ht="15" hidden="false" customHeight="false" outlineLevel="0" collapsed="false">
      <c r="A2035" s="0" t="s">
        <v>1068</v>
      </c>
      <c r="B2035" s="6" t="n">
        <v>42713</v>
      </c>
      <c r="C2035" s="7" t="s">
        <v>45</v>
      </c>
      <c r="D2035" s="7" t="s">
        <v>46</v>
      </c>
      <c r="E2035" s="7" t="s">
        <v>35</v>
      </c>
      <c r="F2035" s="0" t="n">
        <v>9.328</v>
      </c>
      <c r="G2035" s="0" t="n">
        <v>0.8162</v>
      </c>
      <c r="H2035" s="0" t="n">
        <v>0.2</v>
      </c>
      <c r="I2035" s="7" t="n">
        <f aca="false">YEAR(B2035)</f>
        <v>2016</v>
      </c>
      <c r="J2035" s="0" t="str">
        <f aca="false">I2035&amp;"-Q"&amp;ROUNDUP(MONTH(B2035)/3,0)</f>
        <v>2016-Q4</v>
      </c>
    </row>
    <row r="2036" customFormat="false" ht="15" hidden="false" customHeight="false" outlineLevel="0" collapsed="false">
      <c r="A2036" s="0" t="s">
        <v>1069</v>
      </c>
      <c r="B2036" s="6" t="n">
        <v>43003</v>
      </c>
      <c r="C2036" s="7" t="s">
        <v>45</v>
      </c>
      <c r="D2036" s="7" t="s">
        <v>68</v>
      </c>
      <c r="E2036" s="7" t="s">
        <v>35</v>
      </c>
      <c r="F2036" s="0" t="n">
        <v>8.26</v>
      </c>
      <c r="G2036" s="0" t="n">
        <v>3.8822</v>
      </c>
      <c r="H2036" s="0" t="n">
        <v>0</v>
      </c>
      <c r="I2036" s="7" t="n">
        <f aca="false">YEAR(B2036)</f>
        <v>2017</v>
      </c>
      <c r="J2036" s="0" t="str">
        <f aca="false">I2036&amp;"-Q"&amp;ROUNDUP(MONTH(B2036)/3,0)</f>
        <v>2017-Q3</v>
      </c>
    </row>
    <row r="2037" customFormat="false" ht="15" hidden="false" customHeight="false" outlineLevel="0" collapsed="false">
      <c r="A2037" s="0" t="s">
        <v>1069</v>
      </c>
      <c r="B2037" s="6" t="n">
        <v>43003</v>
      </c>
      <c r="C2037" s="7" t="s">
        <v>45</v>
      </c>
      <c r="D2037" s="7" t="s">
        <v>68</v>
      </c>
      <c r="E2037" s="7" t="s">
        <v>31</v>
      </c>
      <c r="F2037" s="0" t="n">
        <v>269.97</v>
      </c>
      <c r="G2037" s="0" t="n">
        <v>51.2943</v>
      </c>
      <c r="H2037" s="0" t="n">
        <v>0</v>
      </c>
      <c r="I2037" s="7" t="n">
        <f aca="false">YEAR(B2037)</f>
        <v>2017</v>
      </c>
      <c r="J2037" s="0" t="str">
        <f aca="false">I2037&amp;"-Q"&amp;ROUNDUP(MONTH(B2037)/3,0)</f>
        <v>2017-Q3</v>
      </c>
    </row>
    <row r="2038" customFormat="false" ht="15" hidden="false" customHeight="false" outlineLevel="0" collapsed="false">
      <c r="A2038" s="0" t="s">
        <v>1070</v>
      </c>
      <c r="B2038" s="6" t="n">
        <v>42027</v>
      </c>
      <c r="C2038" s="7" t="s">
        <v>33</v>
      </c>
      <c r="D2038" s="7" t="s">
        <v>310</v>
      </c>
      <c r="E2038" s="7" t="s">
        <v>35</v>
      </c>
      <c r="F2038" s="0" t="n">
        <v>29.04</v>
      </c>
      <c r="G2038" s="0" t="n">
        <v>13.9392</v>
      </c>
      <c r="H2038" s="0" t="n">
        <v>0</v>
      </c>
      <c r="I2038" s="7" t="n">
        <f aca="false">YEAR(B2038)</f>
        <v>2015</v>
      </c>
      <c r="J2038" s="0" t="str">
        <f aca="false">I2038&amp;"-Q"&amp;ROUNDUP(MONTH(B2038)/3,0)</f>
        <v>2015-Q1</v>
      </c>
    </row>
    <row r="2039" customFormat="false" ht="15" hidden="false" customHeight="false" outlineLevel="0" collapsed="false">
      <c r="A2039" s="0" t="s">
        <v>1070</v>
      </c>
      <c r="B2039" s="6" t="n">
        <v>42027</v>
      </c>
      <c r="C2039" s="7" t="s">
        <v>33</v>
      </c>
      <c r="D2039" s="7" t="s">
        <v>310</v>
      </c>
      <c r="E2039" s="7" t="s">
        <v>35</v>
      </c>
      <c r="F2039" s="0" t="n">
        <v>14.62</v>
      </c>
      <c r="G2039" s="0" t="n">
        <v>6.8714</v>
      </c>
      <c r="H2039" s="0" t="n">
        <v>0</v>
      </c>
      <c r="I2039" s="7" t="n">
        <f aca="false">YEAR(B2039)</f>
        <v>2015</v>
      </c>
      <c r="J2039" s="0" t="str">
        <f aca="false">I2039&amp;"-Q"&amp;ROUNDUP(MONTH(B2039)/3,0)</f>
        <v>2015-Q1</v>
      </c>
    </row>
    <row r="2040" customFormat="false" ht="15" hidden="false" customHeight="false" outlineLevel="0" collapsed="false">
      <c r="A2040" s="0" t="s">
        <v>1071</v>
      </c>
      <c r="B2040" s="6" t="n">
        <v>42173</v>
      </c>
      <c r="C2040" s="7" t="s">
        <v>33</v>
      </c>
      <c r="D2040" s="7" t="s">
        <v>81</v>
      </c>
      <c r="E2040" s="7" t="s">
        <v>35</v>
      </c>
      <c r="F2040" s="0" t="n">
        <v>11.952</v>
      </c>
      <c r="G2040" s="0" t="n">
        <v>4.3326</v>
      </c>
      <c r="H2040" s="0" t="n">
        <v>0.2</v>
      </c>
      <c r="I2040" s="7" t="n">
        <f aca="false">YEAR(B2040)</f>
        <v>2015</v>
      </c>
      <c r="J2040" s="0" t="str">
        <f aca="false">I2040&amp;"-Q"&amp;ROUNDUP(MONTH(B2040)/3,0)</f>
        <v>2015-Q2</v>
      </c>
    </row>
    <row r="2041" customFormat="false" ht="15" hidden="false" customHeight="false" outlineLevel="0" collapsed="false">
      <c r="A2041" s="0" t="s">
        <v>1071</v>
      </c>
      <c r="B2041" s="6" t="n">
        <v>42173</v>
      </c>
      <c r="C2041" s="7" t="s">
        <v>33</v>
      </c>
      <c r="D2041" s="7" t="s">
        <v>81</v>
      </c>
      <c r="E2041" s="7" t="s">
        <v>35</v>
      </c>
      <c r="F2041" s="0" t="n">
        <v>4.536</v>
      </c>
      <c r="G2041" s="0" t="n">
        <v>-3.3264</v>
      </c>
      <c r="H2041" s="0" t="n">
        <v>0.7</v>
      </c>
      <c r="I2041" s="7" t="n">
        <f aca="false">YEAR(B2041)</f>
        <v>2015</v>
      </c>
      <c r="J2041" s="0" t="str">
        <f aca="false">I2041&amp;"-Q"&amp;ROUNDUP(MONTH(B2041)/3,0)</f>
        <v>2015-Q2</v>
      </c>
    </row>
    <row r="2042" customFormat="false" ht="15" hidden="false" customHeight="false" outlineLevel="0" collapsed="false">
      <c r="A2042" s="0" t="s">
        <v>1071</v>
      </c>
      <c r="B2042" s="6" t="n">
        <v>42173</v>
      </c>
      <c r="C2042" s="7" t="s">
        <v>33</v>
      </c>
      <c r="D2042" s="7" t="s">
        <v>81</v>
      </c>
      <c r="E2042" s="7" t="s">
        <v>35</v>
      </c>
      <c r="F2042" s="0" t="n">
        <v>9.156</v>
      </c>
      <c r="G2042" s="0" t="n">
        <v>-6.104</v>
      </c>
      <c r="H2042" s="0" t="n">
        <v>0.7</v>
      </c>
      <c r="I2042" s="7" t="n">
        <f aca="false">YEAR(B2042)</f>
        <v>2015</v>
      </c>
      <c r="J2042" s="0" t="str">
        <f aca="false">I2042&amp;"-Q"&amp;ROUNDUP(MONTH(B2042)/3,0)</f>
        <v>2015-Q2</v>
      </c>
    </row>
    <row r="2043" customFormat="false" ht="15" hidden="false" customHeight="false" outlineLevel="0" collapsed="false">
      <c r="A2043" s="0" t="s">
        <v>1071</v>
      </c>
      <c r="B2043" s="6" t="n">
        <v>42173</v>
      </c>
      <c r="C2043" s="7" t="s">
        <v>33</v>
      </c>
      <c r="D2043" s="7" t="s">
        <v>81</v>
      </c>
      <c r="E2043" s="7" t="s">
        <v>31</v>
      </c>
      <c r="F2043" s="0" t="n">
        <v>75.36</v>
      </c>
      <c r="G2043" s="0" t="n">
        <v>20.724</v>
      </c>
      <c r="H2043" s="0" t="n">
        <v>0.2</v>
      </c>
      <c r="I2043" s="7" t="n">
        <f aca="false">YEAR(B2043)</f>
        <v>2015</v>
      </c>
      <c r="J2043" s="0" t="str">
        <f aca="false">I2043&amp;"-Q"&amp;ROUNDUP(MONTH(B2043)/3,0)</f>
        <v>2015-Q2</v>
      </c>
    </row>
    <row r="2044" customFormat="false" ht="15" hidden="false" customHeight="false" outlineLevel="0" collapsed="false">
      <c r="A2044" s="0" t="s">
        <v>1072</v>
      </c>
      <c r="B2044" s="6" t="n">
        <v>42279</v>
      </c>
      <c r="C2044" s="7" t="s">
        <v>33</v>
      </c>
      <c r="D2044" s="7" t="s">
        <v>34</v>
      </c>
      <c r="E2044" s="7" t="s">
        <v>35</v>
      </c>
      <c r="F2044" s="0" t="n">
        <v>57.504</v>
      </c>
      <c r="G2044" s="0" t="n">
        <v>20.1264</v>
      </c>
      <c r="H2044" s="0" t="n">
        <v>0.2</v>
      </c>
      <c r="I2044" s="7" t="n">
        <f aca="false">YEAR(B2044)</f>
        <v>2015</v>
      </c>
      <c r="J2044" s="0" t="str">
        <f aca="false">I2044&amp;"-Q"&amp;ROUNDUP(MONTH(B2044)/3,0)</f>
        <v>2015-Q4</v>
      </c>
    </row>
    <row r="2045" customFormat="false" ht="15" hidden="false" customHeight="false" outlineLevel="0" collapsed="false">
      <c r="A2045" s="0" t="s">
        <v>1073</v>
      </c>
      <c r="B2045" s="6" t="n">
        <v>43057</v>
      </c>
      <c r="C2045" s="7" t="s">
        <v>55</v>
      </c>
      <c r="D2045" s="7" t="s">
        <v>116</v>
      </c>
      <c r="E2045" s="7" t="s">
        <v>35</v>
      </c>
      <c r="F2045" s="0" t="n">
        <v>38.864</v>
      </c>
      <c r="G2045" s="0" t="n">
        <v>7.7728</v>
      </c>
      <c r="H2045" s="0" t="n">
        <v>0.2</v>
      </c>
      <c r="I2045" s="7" t="n">
        <f aca="false">YEAR(B2045)</f>
        <v>2017</v>
      </c>
      <c r="J2045" s="0" t="str">
        <f aca="false">I2045&amp;"-Q"&amp;ROUNDUP(MONTH(B2045)/3,0)</f>
        <v>2017-Q4</v>
      </c>
    </row>
    <row r="2046" customFormat="false" ht="15" hidden="false" customHeight="false" outlineLevel="0" collapsed="false">
      <c r="A2046" s="0" t="s">
        <v>1074</v>
      </c>
      <c r="B2046" s="6" t="n">
        <v>41868</v>
      </c>
      <c r="C2046" s="7" t="s">
        <v>45</v>
      </c>
      <c r="D2046" s="7" t="s">
        <v>46</v>
      </c>
      <c r="E2046" s="7" t="s">
        <v>35</v>
      </c>
      <c r="F2046" s="0" t="n">
        <v>15.552</v>
      </c>
      <c r="G2046" s="0" t="n">
        <v>5.4432</v>
      </c>
      <c r="H2046" s="0" t="n">
        <v>0.2</v>
      </c>
      <c r="I2046" s="7" t="n">
        <f aca="false">YEAR(B2046)</f>
        <v>2014</v>
      </c>
      <c r="J2046" s="0" t="str">
        <f aca="false">I2046&amp;"-Q"&amp;ROUNDUP(MONTH(B2046)/3,0)</f>
        <v>2014-Q3</v>
      </c>
    </row>
    <row r="2047" customFormat="false" ht="15" hidden="false" customHeight="false" outlineLevel="0" collapsed="false">
      <c r="A2047" s="0" t="s">
        <v>1075</v>
      </c>
      <c r="B2047" s="6" t="n">
        <v>42568</v>
      </c>
      <c r="C2047" s="7" t="s">
        <v>55</v>
      </c>
      <c r="D2047" s="7" t="s">
        <v>161</v>
      </c>
      <c r="E2047" s="7" t="s">
        <v>35</v>
      </c>
      <c r="F2047" s="0" t="n">
        <v>162.64</v>
      </c>
      <c r="G2047" s="0" t="n">
        <v>45.5392</v>
      </c>
      <c r="H2047" s="0" t="n">
        <v>0</v>
      </c>
      <c r="I2047" s="7" t="n">
        <f aca="false">YEAR(B2047)</f>
        <v>2016</v>
      </c>
      <c r="J2047" s="0" t="str">
        <f aca="false">I2047&amp;"-Q"&amp;ROUNDUP(MONTH(B2047)/3,0)</f>
        <v>2016-Q3</v>
      </c>
    </row>
    <row r="2048" customFormat="false" ht="15" hidden="false" customHeight="false" outlineLevel="0" collapsed="false">
      <c r="A2048" s="0" t="s">
        <v>1075</v>
      </c>
      <c r="B2048" s="6" t="n">
        <v>42568</v>
      </c>
      <c r="C2048" s="7" t="s">
        <v>55</v>
      </c>
      <c r="D2048" s="7" t="s">
        <v>161</v>
      </c>
      <c r="E2048" s="7" t="s">
        <v>39</v>
      </c>
      <c r="F2048" s="0" t="n">
        <v>597</v>
      </c>
      <c r="G2048" s="0" t="n">
        <v>280.59</v>
      </c>
      <c r="H2048" s="0" t="n">
        <v>0</v>
      </c>
      <c r="I2048" s="7" t="n">
        <f aca="false">YEAR(B2048)</f>
        <v>2016</v>
      </c>
      <c r="J2048" s="0" t="str">
        <f aca="false">I2048&amp;"-Q"&amp;ROUNDUP(MONTH(B2048)/3,0)</f>
        <v>2016-Q3</v>
      </c>
    </row>
    <row r="2049" customFormat="false" ht="15" hidden="false" customHeight="false" outlineLevel="0" collapsed="false">
      <c r="A2049" s="0" t="s">
        <v>1075</v>
      </c>
      <c r="B2049" s="6" t="n">
        <v>42568</v>
      </c>
      <c r="C2049" s="7" t="s">
        <v>55</v>
      </c>
      <c r="D2049" s="7" t="s">
        <v>161</v>
      </c>
      <c r="E2049" s="7" t="s">
        <v>35</v>
      </c>
      <c r="F2049" s="0" t="n">
        <v>55.48</v>
      </c>
      <c r="G2049" s="0" t="n">
        <v>26.6304</v>
      </c>
      <c r="H2049" s="0" t="n">
        <v>0</v>
      </c>
      <c r="I2049" s="7" t="n">
        <f aca="false">YEAR(B2049)</f>
        <v>2016</v>
      </c>
      <c r="J2049" s="0" t="str">
        <f aca="false">I2049&amp;"-Q"&amp;ROUNDUP(MONTH(B2049)/3,0)</f>
        <v>2016-Q3</v>
      </c>
    </row>
    <row r="2050" customFormat="false" ht="15" hidden="false" customHeight="false" outlineLevel="0" collapsed="false">
      <c r="A2050" s="0" t="s">
        <v>1076</v>
      </c>
      <c r="B2050" s="6" t="n">
        <v>42196</v>
      </c>
      <c r="C2050" s="7" t="s">
        <v>55</v>
      </c>
      <c r="D2050" s="7" t="s">
        <v>56</v>
      </c>
      <c r="E2050" s="7" t="s">
        <v>31</v>
      </c>
      <c r="F2050" s="0" t="n">
        <v>289.8</v>
      </c>
      <c r="G2050" s="0" t="n">
        <v>36.225</v>
      </c>
      <c r="H2050" s="0" t="n">
        <v>0.2</v>
      </c>
      <c r="I2050" s="7" t="n">
        <f aca="false">YEAR(B2050)</f>
        <v>2015</v>
      </c>
      <c r="J2050" s="0" t="str">
        <f aca="false">I2050&amp;"-Q"&amp;ROUNDUP(MONTH(B2050)/3,0)</f>
        <v>2015-Q3</v>
      </c>
    </row>
    <row r="2051" customFormat="false" ht="15" hidden="false" customHeight="false" outlineLevel="0" collapsed="false">
      <c r="A2051" s="0" t="s">
        <v>1076</v>
      </c>
      <c r="B2051" s="6" t="n">
        <v>42196</v>
      </c>
      <c r="C2051" s="7" t="s">
        <v>55</v>
      </c>
      <c r="D2051" s="7" t="s">
        <v>56</v>
      </c>
      <c r="E2051" s="7" t="s">
        <v>35</v>
      </c>
      <c r="F2051" s="0" t="n">
        <v>2.502</v>
      </c>
      <c r="G2051" s="0" t="n">
        <v>-2.0016</v>
      </c>
      <c r="H2051" s="0" t="n">
        <v>0.7</v>
      </c>
      <c r="I2051" s="7" t="n">
        <f aca="false">YEAR(B2051)</f>
        <v>2015</v>
      </c>
      <c r="J2051" s="0" t="str">
        <f aca="false">I2051&amp;"-Q"&amp;ROUNDUP(MONTH(B2051)/3,0)</f>
        <v>2015-Q3</v>
      </c>
    </row>
    <row r="2052" customFormat="false" ht="15" hidden="false" customHeight="false" outlineLevel="0" collapsed="false">
      <c r="A2052" s="0" t="s">
        <v>1076</v>
      </c>
      <c r="B2052" s="6" t="n">
        <v>42196</v>
      </c>
      <c r="C2052" s="7" t="s">
        <v>55</v>
      </c>
      <c r="D2052" s="7" t="s">
        <v>56</v>
      </c>
      <c r="E2052" s="7" t="s">
        <v>35</v>
      </c>
      <c r="F2052" s="0" t="n">
        <v>6.48</v>
      </c>
      <c r="G2052" s="0" t="n">
        <v>-4.752</v>
      </c>
      <c r="H2052" s="0" t="n">
        <v>0.7</v>
      </c>
      <c r="I2052" s="7" t="n">
        <f aca="false">YEAR(B2052)</f>
        <v>2015</v>
      </c>
      <c r="J2052" s="0" t="str">
        <f aca="false">I2052&amp;"-Q"&amp;ROUNDUP(MONTH(B2052)/3,0)</f>
        <v>2015-Q3</v>
      </c>
    </row>
    <row r="2053" customFormat="false" ht="15" hidden="false" customHeight="false" outlineLevel="0" collapsed="false">
      <c r="A2053" s="0" t="s">
        <v>1076</v>
      </c>
      <c r="B2053" s="6" t="n">
        <v>42196</v>
      </c>
      <c r="C2053" s="7" t="s">
        <v>55</v>
      </c>
      <c r="D2053" s="7" t="s">
        <v>56</v>
      </c>
      <c r="E2053" s="7" t="s">
        <v>31</v>
      </c>
      <c r="F2053" s="0" t="n">
        <v>341.488</v>
      </c>
      <c r="G2053" s="0" t="n">
        <v>-73.176</v>
      </c>
      <c r="H2053" s="0" t="n">
        <v>0.3</v>
      </c>
      <c r="I2053" s="7" t="n">
        <f aca="false">YEAR(B2053)</f>
        <v>2015</v>
      </c>
      <c r="J2053" s="0" t="str">
        <f aca="false">I2053&amp;"-Q"&amp;ROUNDUP(MONTH(B2053)/3,0)</f>
        <v>2015-Q3</v>
      </c>
    </row>
    <row r="2054" customFormat="false" ht="15" hidden="false" customHeight="false" outlineLevel="0" collapsed="false">
      <c r="A2054" s="0" t="s">
        <v>1076</v>
      </c>
      <c r="B2054" s="6" t="n">
        <v>42196</v>
      </c>
      <c r="C2054" s="7" t="s">
        <v>55</v>
      </c>
      <c r="D2054" s="7" t="s">
        <v>56</v>
      </c>
      <c r="E2054" s="7" t="s">
        <v>35</v>
      </c>
      <c r="F2054" s="0" t="n">
        <v>11.12</v>
      </c>
      <c r="G2054" s="0" t="n">
        <v>0.834</v>
      </c>
      <c r="H2054" s="0" t="n">
        <v>0.2</v>
      </c>
      <c r="I2054" s="7" t="n">
        <f aca="false">YEAR(B2054)</f>
        <v>2015</v>
      </c>
      <c r="J2054" s="0" t="str">
        <f aca="false">I2054&amp;"-Q"&amp;ROUNDUP(MONTH(B2054)/3,0)</f>
        <v>2015-Q3</v>
      </c>
    </row>
    <row r="2055" customFormat="false" ht="15" hidden="false" customHeight="false" outlineLevel="0" collapsed="false">
      <c r="A2055" s="0" t="s">
        <v>1076</v>
      </c>
      <c r="B2055" s="6" t="n">
        <v>42196</v>
      </c>
      <c r="C2055" s="7" t="s">
        <v>55</v>
      </c>
      <c r="D2055" s="7" t="s">
        <v>56</v>
      </c>
      <c r="E2055" s="7" t="s">
        <v>31</v>
      </c>
      <c r="F2055" s="0" t="n">
        <v>25.344</v>
      </c>
      <c r="G2055" s="0" t="n">
        <v>3.4848</v>
      </c>
      <c r="H2055" s="0" t="n">
        <v>0.2</v>
      </c>
      <c r="I2055" s="7" t="n">
        <f aca="false">YEAR(B2055)</f>
        <v>2015</v>
      </c>
      <c r="J2055" s="0" t="str">
        <f aca="false">I2055&amp;"-Q"&amp;ROUNDUP(MONTH(B2055)/3,0)</f>
        <v>2015-Q3</v>
      </c>
    </row>
    <row r="2056" customFormat="false" ht="15" hidden="false" customHeight="false" outlineLevel="0" collapsed="false">
      <c r="A2056" s="0" t="s">
        <v>1077</v>
      </c>
      <c r="B2056" s="6" t="n">
        <v>42705</v>
      </c>
      <c r="C2056" s="7" t="s">
        <v>45</v>
      </c>
      <c r="D2056" s="7" t="s">
        <v>74</v>
      </c>
      <c r="E2056" s="7" t="s">
        <v>31</v>
      </c>
      <c r="F2056" s="0" t="n">
        <v>17.31</v>
      </c>
      <c r="G2056" s="0" t="n">
        <v>5.193</v>
      </c>
      <c r="H2056" s="0" t="n">
        <v>0</v>
      </c>
      <c r="I2056" s="7" t="n">
        <f aca="false">YEAR(B2056)</f>
        <v>2016</v>
      </c>
      <c r="J2056" s="0" t="str">
        <f aca="false">I2056&amp;"-Q"&amp;ROUNDUP(MONTH(B2056)/3,0)</f>
        <v>2016-Q4</v>
      </c>
    </row>
    <row r="2057" customFormat="false" ht="15" hidden="false" customHeight="false" outlineLevel="0" collapsed="false">
      <c r="A2057" s="0" t="s">
        <v>1078</v>
      </c>
      <c r="B2057" s="6" t="n">
        <v>43091</v>
      </c>
      <c r="C2057" s="7" t="s">
        <v>45</v>
      </c>
      <c r="D2057" s="7" t="s">
        <v>70</v>
      </c>
      <c r="E2057" s="7" t="s">
        <v>39</v>
      </c>
      <c r="F2057" s="0" t="n">
        <v>199.95</v>
      </c>
      <c r="G2057" s="0" t="n">
        <v>63.984</v>
      </c>
      <c r="H2057" s="0" t="n">
        <v>0</v>
      </c>
      <c r="I2057" s="7" t="n">
        <f aca="false">YEAR(B2057)</f>
        <v>2017</v>
      </c>
      <c r="J2057" s="0" t="str">
        <f aca="false">I2057&amp;"-Q"&amp;ROUNDUP(MONTH(B2057)/3,0)</f>
        <v>2017-Q4</v>
      </c>
    </row>
    <row r="2058" customFormat="false" ht="15" hidden="false" customHeight="false" outlineLevel="0" collapsed="false">
      <c r="A2058" s="0" t="s">
        <v>1078</v>
      </c>
      <c r="B2058" s="6" t="n">
        <v>43091</v>
      </c>
      <c r="C2058" s="7" t="s">
        <v>45</v>
      </c>
      <c r="D2058" s="7" t="s">
        <v>70</v>
      </c>
      <c r="E2058" s="7" t="s">
        <v>31</v>
      </c>
      <c r="F2058" s="0" t="n">
        <v>1586.69</v>
      </c>
      <c r="G2058" s="0" t="n">
        <v>412.5394</v>
      </c>
      <c r="H2058" s="0" t="n">
        <v>0</v>
      </c>
      <c r="I2058" s="7" t="n">
        <f aca="false">YEAR(B2058)</f>
        <v>2017</v>
      </c>
      <c r="J2058" s="0" t="str">
        <f aca="false">I2058&amp;"-Q"&amp;ROUNDUP(MONTH(B2058)/3,0)</f>
        <v>2017-Q4</v>
      </c>
    </row>
    <row r="2059" customFormat="false" ht="15" hidden="false" customHeight="false" outlineLevel="0" collapsed="false">
      <c r="A2059" s="0" t="s">
        <v>1078</v>
      </c>
      <c r="B2059" s="6" t="n">
        <v>43091</v>
      </c>
      <c r="C2059" s="7" t="s">
        <v>45</v>
      </c>
      <c r="D2059" s="7" t="s">
        <v>70</v>
      </c>
      <c r="E2059" s="7" t="s">
        <v>39</v>
      </c>
      <c r="F2059" s="0" t="n">
        <v>84.99</v>
      </c>
      <c r="G2059" s="0" t="n">
        <v>30.5964</v>
      </c>
      <c r="H2059" s="0" t="n">
        <v>0</v>
      </c>
      <c r="I2059" s="7" t="n">
        <f aca="false">YEAR(B2059)</f>
        <v>2017</v>
      </c>
      <c r="J2059" s="0" t="str">
        <f aca="false">I2059&amp;"-Q"&amp;ROUNDUP(MONTH(B2059)/3,0)</f>
        <v>2017-Q4</v>
      </c>
    </row>
    <row r="2060" customFormat="false" ht="15" hidden="false" customHeight="false" outlineLevel="0" collapsed="false">
      <c r="A2060" s="0" t="s">
        <v>1078</v>
      </c>
      <c r="B2060" s="6" t="n">
        <v>43091</v>
      </c>
      <c r="C2060" s="7" t="s">
        <v>45</v>
      </c>
      <c r="D2060" s="7" t="s">
        <v>70</v>
      </c>
      <c r="E2060" s="7" t="s">
        <v>31</v>
      </c>
      <c r="F2060" s="0" t="n">
        <v>411.8</v>
      </c>
      <c r="G2060" s="0" t="n">
        <v>70.006</v>
      </c>
      <c r="H2060" s="0" t="n">
        <v>0</v>
      </c>
      <c r="I2060" s="7" t="n">
        <f aca="false">YEAR(B2060)</f>
        <v>2017</v>
      </c>
      <c r="J2060" s="0" t="str">
        <f aca="false">I2060&amp;"-Q"&amp;ROUNDUP(MONTH(B2060)/3,0)</f>
        <v>2017-Q4</v>
      </c>
    </row>
    <row r="2061" customFormat="false" ht="15" hidden="false" customHeight="false" outlineLevel="0" collapsed="false">
      <c r="A2061" s="0" t="s">
        <v>1079</v>
      </c>
      <c r="B2061" s="6" t="n">
        <v>41943</v>
      </c>
      <c r="C2061" s="7" t="s">
        <v>33</v>
      </c>
      <c r="D2061" s="7" t="s">
        <v>34</v>
      </c>
      <c r="E2061" s="7" t="s">
        <v>35</v>
      </c>
      <c r="F2061" s="0" t="n">
        <v>11.34</v>
      </c>
      <c r="G2061" s="0" t="n">
        <v>5.2164</v>
      </c>
      <c r="H2061" s="0" t="n">
        <v>0</v>
      </c>
      <c r="I2061" s="7" t="n">
        <f aca="false">YEAR(B2061)</f>
        <v>2014</v>
      </c>
      <c r="J2061" s="0" t="str">
        <f aca="false">I2061&amp;"-Q"&amp;ROUNDUP(MONTH(B2061)/3,0)</f>
        <v>2014-Q4</v>
      </c>
    </row>
    <row r="2062" customFormat="false" ht="15" hidden="false" customHeight="false" outlineLevel="0" collapsed="false">
      <c r="A2062" s="0" t="s">
        <v>1079</v>
      </c>
      <c r="B2062" s="6" t="n">
        <v>41943</v>
      </c>
      <c r="C2062" s="7" t="s">
        <v>33</v>
      </c>
      <c r="D2062" s="7" t="s">
        <v>34</v>
      </c>
      <c r="E2062" s="7" t="s">
        <v>35</v>
      </c>
      <c r="F2062" s="0" t="n">
        <v>80.3</v>
      </c>
      <c r="G2062" s="0" t="n">
        <v>20.878</v>
      </c>
      <c r="H2062" s="0" t="n">
        <v>0</v>
      </c>
      <c r="I2062" s="7" t="n">
        <f aca="false">YEAR(B2062)</f>
        <v>2014</v>
      </c>
      <c r="J2062" s="0" t="str">
        <f aca="false">I2062&amp;"-Q"&amp;ROUNDUP(MONTH(B2062)/3,0)</f>
        <v>2014-Q4</v>
      </c>
    </row>
    <row r="2063" customFormat="false" ht="15" hidden="false" customHeight="false" outlineLevel="0" collapsed="false">
      <c r="A2063" s="0" t="s">
        <v>1079</v>
      </c>
      <c r="B2063" s="6" t="n">
        <v>41943</v>
      </c>
      <c r="C2063" s="7" t="s">
        <v>33</v>
      </c>
      <c r="D2063" s="7" t="s">
        <v>34</v>
      </c>
      <c r="E2063" s="7" t="s">
        <v>35</v>
      </c>
      <c r="F2063" s="0" t="n">
        <v>15.968</v>
      </c>
      <c r="G2063" s="0" t="n">
        <v>5.3892</v>
      </c>
      <c r="H2063" s="0" t="n">
        <v>0.2</v>
      </c>
      <c r="I2063" s="7" t="n">
        <f aca="false">YEAR(B2063)</f>
        <v>2014</v>
      </c>
      <c r="J2063" s="0" t="str">
        <f aca="false">I2063&amp;"-Q"&amp;ROUNDUP(MONTH(B2063)/3,0)</f>
        <v>2014-Q4</v>
      </c>
    </row>
    <row r="2064" customFormat="false" ht="15" hidden="false" customHeight="false" outlineLevel="0" collapsed="false">
      <c r="A2064" s="0" t="s">
        <v>1079</v>
      </c>
      <c r="B2064" s="6" t="n">
        <v>41943</v>
      </c>
      <c r="C2064" s="7" t="s">
        <v>33</v>
      </c>
      <c r="D2064" s="7" t="s">
        <v>34</v>
      </c>
      <c r="E2064" s="7" t="s">
        <v>35</v>
      </c>
      <c r="F2064" s="0" t="n">
        <v>64.74</v>
      </c>
      <c r="G2064" s="0" t="n">
        <v>30.4278</v>
      </c>
      <c r="H2064" s="0" t="n">
        <v>0</v>
      </c>
      <c r="I2064" s="7" t="n">
        <f aca="false">YEAR(B2064)</f>
        <v>2014</v>
      </c>
      <c r="J2064" s="0" t="str">
        <f aca="false">I2064&amp;"-Q"&amp;ROUNDUP(MONTH(B2064)/3,0)</f>
        <v>2014-Q4</v>
      </c>
    </row>
    <row r="2065" customFormat="false" ht="15" hidden="false" customHeight="false" outlineLevel="0" collapsed="false">
      <c r="A2065" s="0" t="s">
        <v>1079</v>
      </c>
      <c r="B2065" s="6" t="n">
        <v>41943</v>
      </c>
      <c r="C2065" s="7" t="s">
        <v>33</v>
      </c>
      <c r="D2065" s="7" t="s">
        <v>34</v>
      </c>
      <c r="E2065" s="7" t="s">
        <v>35</v>
      </c>
      <c r="F2065" s="0" t="n">
        <v>19.296</v>
      </c>
      <c r="G2065" s="0" t="n">
        <v>6.03</v>
      </c>
      <c r="H2065" s="0" t="n">
        <v>0.2</v>
      </c>
      <c r="I2065" s="7" t="n">
        <f aca="false">YEAR(B2065)</f>
        <v>2014</v>
      </c>
      <c r="J2065" s="0" t="str">
        <f aca="false">I2065&amp;"-Q"&amp;ROUNDUP(MONTH(B2065)/3,0)</f>
        <v>2014-Q4</v>
      </c>
    </row>
    <row r="2066" customFormat="false" ht="15" hidden="false" customHeight="false" outlineLevel="0" collapsed="false">
      <c r="A2066" s="0" t="s">
        <v>1079</v>
      </c>
      <c r="B2066" s="6" t="n">
        <v>41943</v>
      </c>
      <c r="C2066" s="7" t="s">
        <v>33</v>
      </c>
      <c r="D2066" s="7" t="s">
        <v>34</v>
      </c>
      <c r="E2066" s="7" t="s">
        <v>35</v>
      </c>
      <c r="F2066" s="0" t="n">
        <v>405.64</v>
      </c>
      <c r="G2066" s="0" t="n">
        <v>12.1692</v>
      </c>
      <c r="H2066" s="0" t="n">
        <v>0</v>
      </c>
      <c r="I2066" s="7" t="n">
        <f aca="false">YEAR(B2066)</f>
        <v>2014</v>
      </c>
      <c r="J2066" s="0" t="str">
        <f aca="false">I2066&amp;"-Q"&amp;ROUNDUP(MONTH(B2066)/3,0)</f>
        <v>2014-Q4</v>
      </c>
    </row>
    <row r="2067" customFormat="false" ht="15" hidden="false" customHeight="false" outlineLevel="0" collapsed="false">
      <c r="A2067" s="0" t="s">
        <v>1079</v>
      </c>
      <c r="B2067" s="6" t="n">
        <v>41943</v>
      </c>
      <c r="C2067" s="7" t="s">
        <v>33</v>
      </c>
      <c r="D2067" s="7" t="s">
        <v>34</v>
      </c>
      <c r="E2067" s="7" t="s">
        <v>31</v>
      </c>
      <c r="F2067" s="0" t="n">
        <v>146.352</v>
      </c>
      <c r="G2067" s="0" t="n">
        <v>-9.147</v>
      </c>
      <c r="H2067" s="0" t="n">
        <v>0.2</v>
      </c>
      <c r="I2067" s="7" t="n">
        <f aca="false">YEAR(B2067)</f>
        <v>2014</v>
      </c>
      <c r="J2067" s="0" t="str">
        <f aca="false">I2067&amp;"-Q"&amp;ROUNDUP(MONTH(B2067)/3,0)</f>
        <v>2014-Q4</v>
      </c>
    </row>
    <row r="2068" customFormat="false" ht="15" hidden="false" customHeight="false" outlineLevel="0" collapsed="false">
      <c r="A2068" s="0" t="s">
        <v>1079</v>
      </c>
      <c r="B2068" s="6" t="n">
        <v>41943</v>
      </c>
      <c r="C2068" s="7" t="s">
        <v>33</v>
      </c>
      <c r="D2068" s="7" t="s">
        <v>34</v>
      </c>
      <c r="E2068" s="7" t="s">
        <v>39</v>
      </c>
      <c r="F2068" s="0" t="n">
        <v>251.91</v>
      </c>
      <c r="G2068" s="0" t="n">
        <v>47.8629</v>
      </c>
      <c r="H2068" s="0" t="n">
        <v>0</v>
      </c>
      <c r="I2068" s="7" t="n">
        <f aca="false">YEAR(B2068)</f>
        <v>2014</v>
      </c>
      <c r="J2068" s="0" t="str">
        <f aca="false">I2068&amp;"-Q"&amp;ROUNDUP(MONTH(B2068)/3,0)</f>
        <v>2014-Q4</v>
      </c>
    </row>
    <row r="2069" customFormat="false" ht="15" hidden="false" customHeight="false" outlineLevel="0" collapsed="false">
      <c r="A2069" s="0" t="s">
        <v>1079</v>
      </c>
      <c r="B2069" s="6" t="n">
        <v>41943</v>
      </c>
      <c r="C2069" s="7" t="s">
        <v>33</v>
      </c>
      <c r="D2069" s="7" t="s">
        <v>34</v>
      </c>
      <c r="E2069" s="7" t="s">
        <v>35</v>
      </c>
      <c r="F2069" s="0" t="n">
        <v>12.39</v>
      </c>
      <c r="G2069" s="0" t="n">
        <v>3.717</v>
      </c>
      <c r="H2069" s="0" t="n">
        <v>0</v>
      </c>
      <c r="I2069" s="7" t="n">
        <f aca="false">YEAR(B2069)</f>
        <v>2014</v>
      </c>
      <c r="J2069" s="0" t="str">
        <f aca="false">I2069&amp;"-Q"&amp;ROUNDUP(MONTH(B2069)/3,0)</f>
        <v>2014-Q4</v>
      </c>
    </row>
    <row r="2070" customFormat="false" ht="15" hidden="false" customHeight="false" outlineLevel="0" collapsed="false">
      <c r="A2070" s="0" t="s">
        <v>1080</v>
      </c>
      <c r="B2070" s="6" t="n">
        <v>42107</v>
      </c>
      <c r="C2070" s="7" t="s">
        <v>33</v>
      </c>
      <c r="D2070" s="7" t="s">
        <v>34</v>
      </c>
      <c r="E2070" s="7" t="s">
        <v>39</v>
      </c>
      <c r="F2070" s="0" t="n">
        <v>199.96</v>
      </c>
      <c r="G2070" s="0" t="n">
        <v>69.986</v>
      </c>
      <c r="H2070" s="0" t="n">
        <v>0</v>
      </c>
      <c r="I2070" s="7" t="n">
        <f aca="false">YEAR(B2070)</f>
        <v>2015</v>
      </c>
      <c r="J2070" s="0" t="str">
        <f aca="false">I2070&amp;"-Q"&amp;ROUNDUP(MONTH(B2070)/3,0)</f>
        <v>2015-Q2</v>
      </c>
    </row>
    <row r="2071" customFormat="false" ht="15" hidden="false" customHeight="false" outlineLevel="0" collapsed="false">
      <c r="A2071" s="0" t="s">
        <v>1080</v>
      </c>
      <c r="B2071" s="6" t="n">
        <v>42107</v>
      </c>
      <c r="C2071" s="7" t="s">
        <v>33</v>
      </c>
      <c r="D2071" s="7" t="s">
        <v>34</v>
      </c>
      <c r="E2071" s="7" t="s">
        <v>31</v>
      </c>
      <c r="F2071" s="0" t="n">
        <v>710.832</v>
      </c>
      <c r="G2071" s="0" t="n">
        <v>-97.7394</v>
      </c>
      <c r="H2071" s="0" t="n">
        <v>0.2</v>
      </c>
      <c r="I2071" s="7" t="n">
        <f aca="false">YEAR(B2071)</f>
        <v>2015</v>
      </c>
      <c r="J2071" s="0" t="str">
        <f aca="false">I2071&amp;"-Q"&amp;ROUNDUP(MONTH(B2071)/3,0)</f>
        <v>2015-Q2</v>
      </c>
    </row>
    <row r="2072" customFormat="false" ht="15" hidden="false" customHeight="false" outlineLevel="0" collapsed="false">
      <c r="A2072" s="0" t="s">
        <v>1081</v>
      </c>
      <c r="B2072" s="6" t="n">
        <v>42572</v>
      </c>
      <c r="C2072" s="7" t="s">
        <v>55</v>
      </c>
      <c r="D2072" s="7" t="s">
        <v>56</v>
      </c>
      <c r="E2072" s="7" t="s">
        <v>35</v>
      </c>
      <c r="F2072" s="0" t="n">
        <v>1.941</v>
      </c>
      <c r="G2072" s="0" t="n">
        <v>-1.294</v>
      </c>
      <c r="H2072" s="0" t="n">
        <v>0.7</v>
      </c>
      <c r="I2072" s="7" t="n">
        <f aca="false">YEAR(B2072)</f>
        <v>2016</v>
      </c>
      <c r="J2072" s="0" t="str">
        <f aca="false">I2072&amp;"-Q"&amp;ROUNDUP(MONTH(B2072)/3,0)</f>
        <v>2016-Q3</v>
      </c>
    </row>
    <row r="2073" customFormat="false" ht="15" hidden="false" customHeight="false" outlineLevel="0" collapsed="false">
      <c r="A2073" s="0" t="s">
        <v>1082</v>
      </c>
      <c r="B2073" s="6" t="n">
        <v>43059</v>
      </c>
      <c r="C2073" s="7" t="s">
        <v>33</v>
      </c>
      <c r="D2073" s="7" t="s">
        <v>34</v>
      </c>
      <c r="E2073" s="7" t="s">
        <v>31</v>
      </c>
      <c r="F2073" s="0" t="n">
        <v>283.92</v>
      </c>
      <c r="G2073" s="0" t="n">
        <v>-46.137</v>
      </c>
      <c r="H2073" s="0" t="n">
        <v>0.2</v>
      </c>
      <c r="I2073" s="7" t="n">
        <f aca="false">YEAR(B2073)</f>
        <v>2017</v>
      </c>
      <c r="J2073" s="0" t="str">
        <f aca="false">I2073&amp;"-Q"&amp;ROUNDUP(MONTH(B2073)/3,0)</f>
        <v>2017-Q4</v>
      </c>
    </row>
    <row r="2074" customFormat="false" ht="15" hidden="false" customHeight="false" outlineLevel="0" collapsed="false">
      <c r="A2074" s="0" t="s">
        <v>1083</v>
      </c>
      <c r="B2074" s="6" t="n">
        <v>42700</v>
      </c>
      <c r="C2074" s="7" t="s">
        <v>33</v>
      </c>
      <c r="D2074" s="7" t="s">
        <v>43</v>
      </c>
      <c r="E2074" s="7" t="s">
        <v>35</v>
      </c>
      <c r="F2074" s="0" t="n">
        <v>7.312</v>
      </c>
      <c r="G2074" s="0" t="n">
        <v>2.5592</v>
      </c>
      <c r="H2074" s="0" t="n">
        <v>0.2</v>
      </c>
      <c r="I2074" s="7" t="n">
        <f aca="false">YEAR(B2074)</f>
        <v>2016</v>
      </c>
      <c r="J2074" s="0" t="str">
        <f aca="false">I2074&amp;"-Q"&amp;ROUNDUP(MONTH(B2074)/3,0)</f>
        <v>2016-Q4</v>
      </c>
    </row>
    <row r="2075" customFormat="false" ht="15" hidden="false" customHeight="false" outlineLevel="0" collapsed="false">
      <c r="A2075" s="0" t="s">
        <v>1084</v>
      </c>
      <c r="B2075" s="6" t="n">
        <v>43046</v>
      </c>
      <c r="C2075" s="7" t="s">
        <v>33</v>
      </c>
      <c r="D2075" s="7" t="s">
        <v>34</v>
      </c>
      <c r="E2075" s="7" t="s">
        <v>39</v>
      </c>
      <c r="F2075" s="0" t="n">
        <v>59.97</v>
      </c>
      <c r="G2075" s="0" t="n">
        <v>13.7931</v>
      </c>
      <c r="H2075" s="0" t="n">
        <v>0</v>
      </c>
      <c r="I2075" s="7" t="n">
        <f aca="false">YEAR(B2075)</f>
        <v>2017</v>
      </c>
      <c r="J2075" s="0" t="str">
        <f aca="false">I2075&amp;"-Q"&amp;ROUNDUP(MONTH(B2075)/3,0)</f>
        <v>2017-Q4</v>
      </c>
    </row>
    <row r="2076" customFormat="false" ht="15" hidden="false" customHeight="false" outlineLevel="0" collapsed="false">
      <c r="A2076" s="0" t="s">
        <v>1084</v>
      </c>
      <c r="B2076" s="6" t="n">
        <v>43046</v>
      </c>
      <c r="C2076" s="7" t="s">
        <v>33</v>
      </c>
      <c r="D2076" s="7" t="s">
        <v>34</v>
      </c>
      <c r="E2076" s="7" t="s">
        <v>39</v>
      </c>
      <c r="F2076" s="0" t="n">
        <v>761.544</v>
      </c>
      <c r="G2076" s="0" t="n">
        <v>66.6351</v>
      </c>
      <c r="H2076" s="0" t="n">
        <v>0.2</v>
      </c>
      <c r="I2076" s="7" t="n">
        <f aca="false">YEAR(B2076)</f>
        <v>2017</v>
      </c>
      <c r="J2076" s="0" t="str">
        <f aca="false">I2076&amp;"-Q"&amp;ROUNDUP(MONTH(B2076)/3,0)</f>
        <v>2017-Q4</v>
      </c>
    </row>
    <row r="2077" customFormat="false" ht="15" hidden="false" customHeight="false" outlineLevel="0" collapsed="false">
      <c r="A2077" s="0" t="s">
        <v>1085</v>
      </c>
      <c r="B2077" s="6" t="n">
        <v>41974</v>
      </c>
      <c r="C2077" s="7" t="s">
        <v>33</v>
      </c>
      <c r="D2077" s="7" t="s">
        <v>34</v>
      </c>
      <c r="E2077" s="7" t="s">
        <v>31</v>
      </c>
      <c r="F2077" s="0" t="n">
        <v>58.2</v>
      </c>
      <c r="G2077" s="0" t="n">
        <v>28.518</v>
      </c>
      <c r="H2077" s="0" t="n">
        <v>0</v>
      </c>
      <c r="I2077" s="7" t="n">
        <f aca="false">YEAR(B2077)</f>
        <v>2014</v>
      </c>
      <c r="J2077" s="0" t="str">
        <f aca="false">I2077&amp;"-Q"&amp;ROUNDUP(MONTH(B2077)/3,0)</f>
        <v>2014-Q4</v>
      </c>
    </row>
    <row r="2078" customFormat="false" ht="15" hidden="false" customHeight="false" outlineLevel="0" collapsed="false">
      <c r="A2078" s="0" t="s">
        <v>1086</v>
      </c>
      <c r="B2078" s="6" t="n">
        <v>42990</v>
      </c>
      <c r="C2078" s="7" t="s">
        <v>55</v>
      </c>
      <c r="D2078" s="7" t="s">
        <v>495</v>
      </c>
      <c r="E2078" s="7" t="s">
        <v>35</v>
      </c>
      <c r="F2078" s="0" t="n">
        <v>39.9</v>
      </c>
      <c r="G2078" s="0" t="n">
        <v>19.95</v>
      </c>
      <c r="H2078" s="0" t="n">
        <v>0</v>
      </c>
      <c r="I2078" s="7" t="n">
        <f aca="false">YEAR(B2078)</f>
        <v>2017</v>
      </c>
      <c r="J2078" s="0" t="str">
        <f aca="false">I2078&amp;"-Q"&amp;ROUNDUP(MONTH(B2078)/3,0)</f>
        <v>2017-Q3</v>
      </c>
    </row>
    <row r="2079" customFormat="false" ht="15" hidden="false" customHeight="false" outlineLevel="0" collapsed="false">
      <c r="A2079" s="0" t="s">
        <v>1086</v>
      </c>
      <c r="B2079" s="6" t="n">
        <v>42990</v>
      </c>
      <c r="C2079" s="7" t="s">
        <v>55</v>
      </c>
      <c r="D2079" s="7" t="s">
        <v>495</v>
      </c>
      <c r="E2079" s="7" t="s">
        <v>35</v>
      </c>
      <c r="F2079" s="0" t="n">
        <v>90.86</v>
      </c>
      <c r="G2079" s="0" t="n">
        <v>26.3494</v>
      </c>
      <c r="H2079" s="0" t="n">
        <v>0</v>
      </c>
      <c r="I2079" s="7" t="n">
        <f aca="false">YEAR(B2079)</f>
        <v>2017</v>
      </c>
      <c r="J2079" s="0" t="str">
        <f aca="false">I2079&amp;"-Q"&amp;ROUNDUP(MONTH(B2079)/3,0)</f>
        <v>2017-Q3</v>
      </c>
    </row>
    <row r="2080" customFormat="false" ht="15" hidden="false" customHeight="false" outlineLevel="0" collapsed="false">
      <c r="A2080" s="0" t="s">
        <v>1086</v>
      </c>
      <c r="B2080" s="6" t="n">
        <v>42990</v>
      </c>
      <c r="C2080" s="7" t="s">
        <v>55</v>
      </c>
      <c r="D2080" s="7" t="s">
        <v>495</v>
      </c>
      <c r="E2080" s="7" t="s">
        <v>35</v>
      </c>
      <c r="F2080" s="0" t="n">
        <v>94.85</v>
      </c>
      <c r="G2080" s="0" t="n">
        <v>45.528</v>
      </c>
      <c r="H2080" s="0" t="n">
        <v>0</v>
      </c>
      <c r="I2080" s="7" t="n">
        <f aca="false">YEAR(B2080)</f>
        <v>2017</v>
      </c>
      <c r="J2080" s="0" t="str">
        <f aca="false">I2080&amp;"-Q"&amp;ROUNDUP(MONTH(B2080)/3,0)</f>
        <v>2017-Q3</v>
      </c>
    </row>
    <row r="2081" customFormat="false" ht="15" hidden="false" customHeight="false" outlineLevel="0" collapsed="false">
      <c r="A2081" s="0" t="s">
        <v>1087</v>
      </c>
      <c r="B2081" s="6" t="n">
        <v>42362</v>
      </c>
      <c r="C2081" s="7" t="s">
        <v>33</v>
      </c>
      <c r="D2081" s="7" t="s">
        <v>81</v>
      </c>
      <c r="E2081" s="7" t="s">
        <v>35</v>
      </c>
      <c r="F2081" s="0" t="n">
        <v>106.232</v>
      </c>
      <c r="G2081" s="0" t="n">
        <v>37.1812</v>
      </c>
      <c r="H2081" s="0" t="n">
        <v>0.2</v>
      </c>
      <c r="I2081" s="7" t="n">
        <f aca="false">YEAR(B2081)</f>
        <v>2015</v>
      </c>
      <c r="J2081" s="0" t="str">
        <f aca="false">I2081&amp;"-Q"&amp;ROUNDUP(MONTH(B2081)/3,0)</f>
        <v>2015-Q4</v>
      </c>
    </row>
    <row r="2082" customFormat="false" ht="15" hidden="false" customHeight="false" outlineLevel="0" collapsed="false">
      <c r="A2082" s="0" t="s">
        <v>1087</v>
      </c>
      <c r="B2082" s="6" t="n">
        <v>42362</v>
      </c>
      <c r="C2082" s="7" t="s">
        <v>33</v>
      </c>
      <c r="D2082" s="7" t="s">
        <v>81</v>
      </c>
      <c r="E2082" s="7" t="s">
        <v>39</v>
      </c>
      <c r="F2082" s="0" t="n">
        <v>111.984</v>
      </c>
      <c r="G2082" s="0" t="n">
        <v>11.1984</v>
      </c>
      <c r="H2082" s="0" t="n">
        <v>0.2</v>
      </c>
      <c r="I2082" s="7" t="n">
        <f aca="false">YEAR(B2082)</f>
        <v>2015</v>
      </c>
      <c r="J2082" s="0" t="str">
        <f aca="false">I2082&amp;"-Q"&amp;ROUNDUP(MONTH(B2082)/3,0)</f>
        <v>2015-Q4</v>
      </c>
    </row>
    <row r="2083" customFormat="false" ht="15" hidden="false" customHeight="false" outlineLevel="0" collapsed="false">
      <c r="A2083" s="0" t="s">
        <v>1087</v>
      </c>
      <c r="B2083" s="6" t="n">
        <v>42362</v>
      </c>
      <c r="C2083" s="7" t="s">
        <v>33</v>
      </c>
      <c r="D2083" s="7" t="s">
        <v>81</v>
      </c>
      <c r="E2083" s="7" t="s">
        <v>31</v>
      </c>
      <c r="F2083" s="0" t="n">
        <v>7.712</v>
      </c>
      <c r="G2083" s="0" t="n">
        <v>1.7352</v>
      </c>
      <c r="H2083" s="0" t="n">
        <v>0.2</v>
      </c>
      <c r="I2083" s="7" t="n">
        <f aca="false">YEAR(B2083)</f>
        <v>2015</v>
      </c>
      <c r="J2083" s="0" t="str">
        <f aca="false">I2083&amp;"-Q"&amp;ROUNDUP(MONTH(B2083)/3,0)</f>
        <v>2015-Q4</v>
      </c>
    </row>
    <row r="2084" customFormat="false" ht="15" hidden="false" customHeight="false" outlineLevel="0" collapsed="false">
      <c r="A2084" s="0" t="s">
        <v>1088</v>
      </c>
      <c r="B2084" s="6" t="n">
        <v>42789</v>
      </c>
      <c r="C2084" s="7" t="s">
        <v>33</v>
      </c>
      <c r="D2084" s="7" t="s">
        <v>34</v>
      </c>
      <c r="E2084" s="7" t="s">
        <v>35</v>
      </c>
      <c r="F2084" s="0" t="n">
        <v>37.44</v>
      </c>
      <c r="G2084" s="0" t="n">
        <v>16.848</v>
      </c>
      <c r="H2084" s="0" t="n">
        <v>0</v>
      </c>
      <c r="I2084" s="7" t="n">
        <f aca="false">YEAR(B2084)</f>
        <v>2017</v>
      </c>
      <c r="J2084" s="0" t="str">
        <f aca="false">I2084&amp;"-Q"&amp;ROUNDUP(MONTH(B2084)/3,0)</f>
        <v>2017-Q1</v>
      </c>
    </row>
    <row r="2085" customFormat="false" ht="15" hidden="false" customHeight="false" outlineLevel="0" collapsed="false">
      <c r="A2085" s="0" t="s">
        <v>1089</v>
      </c>
      <c r="B2085" s="6" t="n">
        <v>41966</v>
      </c>
      <c r="C2085" s="7" t="s">
        <v>45</v>
      </c>
      <c r="D2085" s="7" t="s">
        <v>46</v>
      </c>
      <c r="E2085" s="7" t="s">
        <v>35</v>
      </c>
      <c r="F2085" s="0" t="n">
        <v>23.68</v>
      </c>
      <c r="G2085" s="0" t="n">
        <v>8.88</v>
      </c>
      <c r="H2085" s="0" t="n">
        <v>0.2</v>
      </c>
      <c r="I2085" s="7" t="n">
        <f aca="false">YEAR(B2085)</f>
        <v>2014</v>
      </c>
      <c r="J2085" s="0" t="str">
        <f aca="false">I2085&amp;"-Q"&amp;ROUNDUP(MONTH(B2085)/3,0)</f>
        <v>2014-Q4</v>
      </c>
    </row>
    <row r="2086" customFormat="false" ht="15" hidden="false" customHeight="false" outlineLevel="0" collapsed="false">
      <c r="A2086" s="0" t="s">
        <v>1090</v>
      </c>
      <c r="B2086" s="6" t="n">
        <v>42544</v>
      </c>
      <c r="C2086" s="7" t="s">
        <v>55</v>
      </c>
      <c r="D2086" s="7" t="s">
        <v>76</v>
      </c>
      <c r="E2086" s="7" t="s">
        <v>35</v>
      </c>
      <c r="F2086" s="0" t="n">
        <v>122.12</v>
      </c>
      <c r="G2086" s="0" t="n">
        <v>56.1752</v>
      </c>
      <c r="H2086" s="0" t="n">
        <v>0</v>
      </c>
      <c r="I2086" s="7" t="n">
        <f aca="false">YEAR(B2086)</f>
        <v>2016</v>
      </c>
      <c r="J2086" s="0" t="str">
        <f aca="false">I2086&amp;"-Q"&amp;ROUNDUP(MONTH(B2086)/3,0)</f>
        <v>2016-Q2</v>
      </c>
    </row>
    <row r="2087" customFormat="false" ht="15" hidden="false" customHeight="false" outlineLevel="0" collapsed="false">
      <c r="A2087" s="0" t="s">
        <v>1090</v>
      </c>
      <c r="B2087" s="6" t="n">
        <v>42544</v>
      </c>
      <c r="C2087" s="7" t="s">
        <v>55</v>
      </c>
      <c r="D2087" s="7" t="s">
        <v>76</v>
      </c>
      <c r="E2087" s="7" t="s">
        <v>35</v>
      </c>
      <c r="F2087" s="0" t="n">
        <v>18.45</v>
      </c>
      <c r="G2087" s="0" t="n">
        <v>8.6715</v>
      </c>
      <c r="H2087" s="0" t="n">
        <v>0</v>
      </c>
      <c r="I2087" s="7" t="n">
        <f aca="false">YEAR(B2087)</f>
        <v>2016</v>
      </c>
      <c r="J2087" s="0" t="str">
        <f aca="false">I2087&amp;"-Q"&amp;ROUNDUP(MONTH(B2087)/3,0)</f>
        <v>2016-Q2</v>
      </c>
    </row>
    <row r="2088" customFormat="false" ht="15" hidden="false" customHeight="false" outlineLevel="0" collapsed="false">
      <c r="A2088" s="0" t="s">
        <v>1090</v>
      </c>
      <c r="B2088" s="6" t="n">
        <v>42544</v>
      </c>
      <c r="C2088" s="7" t="s">
        <v>55</v>
      </c>
      <c r="D2088" s="7" t="s">
        <v>76</v>
      </c>
      <c r="E2088" s="7" t="s">
        <v>35</v>
      </c>
      <c r="F2088" s="0" t="n">
        <v>324.9</v>
      </c>
      <c r="G2088" s="0" t="n">
        <v>38.988</v>
      </c>
      <c r="H2088" s="0" t="n">
        <v>0</v>
      </c>
      <c r="I2088" s="7" t="n">
        <f aca="false">YEAR(B2088)</f>
        <v>2016</v>
      </c>
      <c r="J2088" s="0" t="str">
        <f aca="false">I2088&amp;"-Q"&amp;ROUNDUP(MONTH(B2088)/3,0)</f>
        <v>2016-Q2</v>
      </c>
    </row>
    <row r="2089" customFormat="false" ht="15" hidden="false" customHeight="false" outlineLevel="0" collapsed="false">
      <c r="A2089" s="0" t="s">
        <v>1090</v>
      </c>
      <c r="B2089" s="6" t="n">
        <v>42544</v>
      </c>
      <c r="C2089" s="7" t="s">
        <v>55</v>
      </c>
      <c r="D2089" s="7" t="s">
        <v>76</v>
      </c>
      <c r="E2089" s="7" t="s">
        <v>35</v>
      </c>
      <c r="F2089" s="0" t="n">
        <v>146.73</v>
      </c>
      <c r="G2089" s="0" t="n">
        <v>68.9631</v>
      </c>
      <c r="H2089" s="0" t="n">
        <v>0</v>
      </c>
      <c r="I2089" s="7" t="n">
        <f aca="false">YEAR(B2089)</f>
        <v>2016</v>
      </c>
      <c r="J2089" s="0" t="str">
        <f aca="false">I2089&amp;"-Q"&amp;ROUNDUP(MONTH(B2089)/3,0)</f>
        <v>2016-Q2</v>
      </c>
    </row>
    <row r="2090" customFormat="false" ht="15" hidden="false" customHeight="false" outlineLevel="0" collapsed="false">
      <c r="A2090" s="0" t="s">
        <v>1090</v>
      </c>
      <c r="B2090" s="6" t="n">
        <v>42544</v>
      </c>
      <c r="C2090" s="7" t="s">
        <v>55</v>
      </c>
      <c r="D2090" s="7" t="s">
        <v>76</v>
      </c>
      <c r="E2090" s="7" t="s">
        <v>35</v>
      </c>
      <c r="F2090" s="0" t="n">
        <v>3.96</v>
      </c>
      <c r="G2090" s="0" t="n">
        <v>1.4652</v>
      </c>
      <c r="H2090" s="0" t="n">
        <v>0</v>
      </c>
      <c r="I2090" s="7" t="n">
        <f aca="false">YEAR(B2090)</f>
        <v>2016</v>
      </c>
      <c r="J2090" s="0" t="str">
        <f aca="false">I2090&amp;"-Q"&amp;ROUNDUP(MONTH(B2090)/3,0)</f>
        <v>2016-Q2</v>
      </c>
    </row>
    <row r="2091" customFormat="false" ht="15" hidden="false" customHeight="false" outlineLevel="0" collapsed="false">
      <c r="A2091" s="0" t="s">
        <v>1091</v>
      </c>
      <c r="B2091" s="6" t="n">
        <v>42303</v>
      </c>
      <c r="C2091" s="7" t="s">
        <v>33</v>
      </c>
      <c r="D2091" s="7" t="s">
        <v>34</v>
      </c>
      <c r="E2091" s="7" t="s">
        <v>35</v>
      </c>
      <c r="F2091" s="0" t="n">
        <v>5.76</v>
      </c>
      <c r="G2091" s="0" t="n">
        <v>2.6496</v>
      </c>
      <c r="H2091" s="0" t="n">
        <v>0</v>
      </c>
      <c r="I2091" s="7" t="n">
        <f aca="false">YEAR(B2091)</f>
        <v>2015</v>
      </c>
      <c r="J2091" s="0" t="str">
        <f aca="false">I2091&amp;"-Q"&amp;ROUNDUP(MONTH(B2091)/3,0)</f>
        <v>2015-Q4</v>
      </c>
    </row>
    <row r="2092" customFormat="false" ht="15" hidden="false" customHeight="false" outlineLevel="0" collapsed="false">
      <c r="A2092" s="0" t="s">
        <v>1092</v>
      </c>
      <c r="B2092" s="6" t="n">
        <v>42931</v>
      </c>
      <c r="C2092" s="7" t="s">
        <v>55</v>
      </c>
      <c r="D2092" s="7" t="s">
        <v>72</v>
      </c>
      <c r="E2092" s="7" t="s">
        <v>35</v>
      </c>
      <c r="F2092" s="0" t="n">
        <v>26.55</v>
      </c>
      <c r="G2092" s="0" t="n">
        <v>13.0095</v>
      </c>
      <c r="H2092" s="0" t="n">
        <v>0</v>
      </c>
      <c r="I2092" s="7" t="n">
        <f aca="false">YEAR(B2092)</f>
        <v>2017</v>
      </c>
      <c r="J2092" s="0" t="str">
        <f aca="false">I2092&amp;"-Q"&amp;ROUNDUP(MONTH(B2092)/3,0)</f>
        <v>2017-Q3</v>
      </c>
    </row>
    <row r="2093" customFormat="false" ht="15" hidden="false" customHeight="false" outlineLevel="0" collapsed="false">
      <c r="A2093" s="0" t="s">
        <v>1092</v>
      </c>
      <c r="B2093" s="6" t="n">
        <v>42931</v>
      </c>
      <c r="C2093" s="7" t="s">
        <v>55</v>
      </c>
      <c r="D2093" s="7" t="s">
        <v>72</v>
      </c>
      <c r="E2093" s="7" t="s">
        <v>31</v>
      </c>
      <c r="F2093" s="0" t="n">
        <v>310.443</v>
      </c>
      <c r="G2093" s="0" t="n">
        <v>-48.7839</v>
      </c>
      <c r="H2093" s="0" t="n">
        <v>0.3</v>
      </c>
      <c r="I2093" s="7" t="n">
        <f aca="false">YEAR(B2093)</f>
        <v>2017</v>
      </c>
      <c r="J2093" s="0" t="str">
        <f aca="false">I2093&amp;"-Q"&amp;ROUNDUP(MONTH(B2093)/3,0)</f>
        <v>2017-Q3</v>
      </c>
    </row>
    <row r="2094" customFormat="false" ht="15" hidden="false" customHeight="false" outlineLevel="0" collapsed="false">
      <c r="A2094" s="0" t="s">
        <v>1093</v>
      </c>
      <c r="B2094" s="6" t="n">
        <v>41960</v>
      </c>
      <c r="C2094" s="7" t="s">
        <v>45</v>
      </c>
      <c r="D2094" s="7" t="s">
        <v>68</v>
      </c>
      <c r="E2094" s="7" t="s">
        <v>31</v>
      </c>
      <c r="F2094" s="0" t="n">
        <v>479.9</v>
      </c>
      <c r="G2094" s="0" t="n">
        <v>81.583</v>
      </c>
      <c r="H2094" s="0" t="n">
        <v>0</v>
      </c>
      <c r="I2094" s="7" t="n">
        <f aca="false">YEAR(B2094)</f>
        <v>2014</v>
      </c>
      <c r="J2094" s="0" t="str">
        <f aca="false">I2094&amp;"-Q"&amp;ROUNDUP(MONTH(B2094)/3,0)</f>
        <v>2014-Q4</v>
      </c>
    </row>
    <row r="2095" customFormat="false" ht="15" hidden="false" customHeight="false" outlineLevel="0" collapsed="false">
      <c r="A2095" s="0" t="s">
        <v>1094</v>
      </c>
      <c r="B2095" s="6" t="n">
        <v>42107</v>
      </c>
      <c r="C2095" s="7" t="s">
        <v>33</v>
      </c>
      <c r="D2095" s="7" t="s">
        <v>142</v>
      </c>
      <c r="E2095" s="7" t="s">
        <v>35</v>
      </c>
      <c r="F2095" s="0" t="n">
        <v>12.88</v>
      </c>
      <c r="G2095" s="0" t="n">
        <v>0.3864</v>
      </c>
      <c r="H2095" s="0" t="n">
        <v>0</v>
      </c>
      <c r="I2095" s="7" t="n">
        <f aca="false">YEAR(B2095)</f>
        <v>2015</v>
      </c>
      <c r="J2095" s="0" t="str">
        <f aca="false">I2095&amp;"-Q"&amp;ROUNDUP(MONTH(B2095)/3,0)</f>
        <v>2015-Q2</v>
      </c>
    </row>
    <row r="2096" customFormat="false" ht="15" hidden="false" customHeight="false" outlineLevel="0" collapsed="false">
      <c r="A2096" s="0" t="s">
        <v>1095</v>
      </c>
      <c r="B2096" s="6" t="n">
        <v>42333</v>
      </c>
      <c r="C2096" s="7" t="s">
        <v>29</v>
      </c>
      <c r="D2096" s="7" t="s">
        <v>41</v>
      </c>
      <c r="E2096" s="7" t="s">
        <v>35</v>
      </c>
      <c r="F2096" s="0" t="n">
        <v>13.12</v>
      </c>
      <c r="G2096" s="0" t="n">
        <v>1.476</v>
      </c>
      <c r="H2096" s="0" t="n">
        <v>0.2</v>
      </c>
      <c r="I2096" s="7" t="n">
        <f aca="false">YEAR(B2096)</f>
        <v>2015</v>
      </c>
      <c r="J2096" s="0" t="str">
        <f aca="false">I2096&amp;"-Q"&amp;ROUNDUP(MONTH(B2096)/3,0)</f>
        <v>2015-Q4</v>
      </c>
    </row>
    <row r="2097" customFormat="false" ht="15" hidden="false" customHeight="false" outlineLevel="0" collapsed="false">
      <c r="A2097" s="0" t="s">
        <v>1096</v>
      </c>
      <c r="B2097" s="6" t="n">
        <v>42505</v>
      </c>
      <c r="C2097" s="7" t="s">
        <v>29</v>
      </c>
      <c r="D2097" s="7" t="s">
        <v>265</v>
      </c>
      <c r="E2097" s="7" t="s">
        <v>35</v>
      </c>
      <c r="F2097" s="0" t="n">
        <v>511.84</v>
      </c>
      <c r="G2097" s="0" t="n">
        <v>240.5648</v>
      </c>
      <c r="H2097" s="0" t="n">
        <v>0</v>
      </c>
      <c r="I2097" s="7" t="n">
        <f aca="false">YEAR(B2097)</f>
        <v>2016</v>
      </c>
      <c r="J2097" s="0" t="str">
        <f aca="false">I2097&amp;"-Q"&amp;ROUNDUP(MONTH(B2097)/3,0)</f>
        <v>2016-Q2</v>
      </c>
    </row>
    <row r="2098" customFormat="false" ht="15" hidden="false" customHeight="false" outlineLevel="0" collapsed="false">
      <c r="A2098" s="0" t="s">
        <v>1096</v>
      </c>
      <c r="B2098" s="6" t="n">
        <v>42505</v>
      </c>
      <c r="C2098" s="7" t="s">
        <v>29</v>
      </c>
      <c r="D2098" s="7" t="s">
        <v>265</v>
      </c>
      <c r="E2098" s="7" t="s">
        <v>35</v>
      </c>
      <c r="F2098" s="0" t="n">
        <v>91.96</v>
      </c>
      <c r="G2098" s="0" t="n">
        <v>25.7488</v>
      </c>
      <c r="H2098" s="0" t="n">
        <v>0</v>
      </c>
      <c r="I2098" s="7" t="n">
        <f aca="false">YEAR(B2098)</f>
        <v>2016</v>
      </c>
      <c r="J2098" s="0" t="str">
        <f aca="false">I2098&amp;"-Q"&amp;ROUNDUP(MONTH(B2098)/3,0)</f>
        <v>2016-Q2</v>
      </c>
    </row>
    <row r="2099" customFormat="false" ht="15" hidden="false" customHeight="false" outlineLevel="0" collapsed="false">
      <c r="A2099" s="0" t="s">
        <v>1096</v>
      </c>
      <c r="B2099" s="6" t="n">
        <v>42505</v>
      </c>
      <c r="C2099" s="7" t="s">
        <v>29</v>
      </c>
      <c r="D2099" s="7" t="s">
        <v>265</v>
      </c>
      <c r="E2099" s="7" t="s">
        <v>35</v>
      </c>
      <c r="F2099" s="0" t="n">
        <v>8.34</v>
      </c>
      <c r="G2099" s="0" t="n">
        <v>2.1684</v>
      </c>
      <c r="H2099" s="0" t="n">
        <v>0</v>
      </c>
      <c r="I2099" s="7" t="n">
        <f aca="false">YEAR(B2099)</f>
        <v>2016</v>
      </c>
      <c r="J2099" s="0" t="str">
        <f aca="false">I2099&amp;"-Q"&amp;ROUNDUP(MONTH(B2099)/3,0)</f>
        <v>2016-Q2</v>
      </c>
    </row>
    <row r="2100" customFormat="false" ht="15" hidden="false" customHeight="false" outlineLevel="0" collapsed="false">
      <c r="A2100" s="0" t="s">
        <v>1097</v>
      </c>
      <c r="B2100" s="6" t="n">
        <v>42985</v>
      </c>
      <c r="C2100" s="7" t="s">
        <v>33</v>
      </c>
      <c r="D2100" s="7" t="s">
        <v>102</v>
      </c>
      <c r="E2100" s="7" t="s">
        <v>35</v>
      </c>
      <c r="F2100" s="0" t="n">
        <v>37.68</v>
      </c>
      <c r="G2100" s="0" t="n">
        <v>2.355</v>
      </c>
      <c r="H2100" s="0" t="n">
        <v>0.2</v>
      </c>
      <c r="I2100" s="7" t="n">
        <f aca="false">YEAR(B2100)</f>
        <v>2017</v>
      </c>
      <c r="J2100" s="0" t="str">
        <f aca="false">I2100&amp;"-Q"&amp;ROUNDUP(MONTH(B2100)/3,0)</f>
        <v>2017-Q3</v>
      </c>
    </row>
    <row r="2101" customFormat="false" ht="15" hidden="false" customHeight="false" outlineLevel="0" collapsed="false">
      <c r="A2101" s="0" t="s">
        <v>1097</v>
      </c>
      <c r="B2101" s="6" t="n">
        <v>42985</v>
      </c>
      <c r="C2101" s="7" t="s">
        <v>33</v>
      </c>
      <c r="D2101" s="7" t="s">
        <v>102</v>
      </c>
      <c r="E2101" s="7" t="s">
        <v>39</v>
      </c>
      <c r="F2101" s="0" t="n">
        <v>279.944</v>
      </c>
      <c r="G2101" s="0" t="n">
        <v>80.4839</v>
      </c>
      <c r="H2101" s="0" t="n">
        <v>0.2</v>
      </c>
      <c r="I2101" s="7" t="n">
        <f aca="false">YEAR(B2101)</f>
        <v>2017</v>
      </c>
      <c r="J2101" s="0" t="str">
        <f aca="false">I2101&amp;"-Q"&amp;ROUNDUP(MONTH(B2101)/3,0)</f>
        <v>2017-Q3</v>
      </c>
    </row>
    <row r="2102" customFormat="false" ht="15" hidden="false" customHeight="false" outlineLevel="0" collapsed="false">
      <c r="A2102" s="0" t="s">
        <v>1098</v>
      </c>
      <c r="B2102" s="6" t="n">
        <v>41708</v>
      </c>
      <c r="C2102" s="7" t="s">
        <v>33</v>
      </c>
      <c r="D2102" s="7" t="s">
        <v>109</v>
      </c>
      <c r="E2102" s="7" t="s">
        <v>35</v>
      </c>
      <c r="F2102" s="0" t="n">
        <v>636.408</v>
      </c>
      <c r="G2102" s="0" t="n">
        <v>-15.9102</v>
      </c>
      <c r="H2102" s="0" t="n">
        <v>0.2</v>
      </c>
      <c r="I2102" s="7" t="n">
        <f aca="false">YEAR(B2102)</f>
        <v>2014</v>
      </c>
      <c r="J2102" s="0" t="str">
        <f aca="false">I2102&amp;"-Q"&amp;ROUNDUP(MONTH(B2102)/3,0)</f>
        <v>2014-Q1</v>
      </c>
    </row>
    <row r="2103" customFormat="false" ht="15" hidden="false" customHeight="false" outlineLevel="0" collapsed="false">
      <c r="A2103" s="0" t="s">
        <v>1098</v>
      </c>
      <c r="B2103" s="6" t="n">
        <v>41708</v>
      </c>
      <c r="C2103" s="7" t="s">
        <v>33</v>
      </c>
      <c r="D2103" s="7" t="s">
        <v>109</v>
      </c>
      <c r="E2103" s="7" t="s">
        <v>35</v>
      </c>
      <c r="F2103" s="0" t="n">
        <v>83.168</v>
      </c>
      <c r="G2103" s="0" t="n">
        <v>9.3564</v>
      </c>
      <c r="H2103" s="0" t="n">
        <v>0.2</v>
      </c>
      <c r="I2103" s="7" t="n">
        <f aca="false">YEAR(B2103)</f>
        <v>2014</v>
      </c>
      <c r="J2103" s="0" t="str">
        <f aca="false">I2103&amp;"-Q"&amp;ROUNDUP(MONTH(B2103)/3,0)</f>
        <v>2014-Q1</v>
      </c>
    </row>
    <row r="2104" customFormat="false" ht="15" hidden="false" customHeight="false" outlineLevel="0" collapsed="false">
      <c r="A2104" s="0" t="s">
        <v>1099</v>
      </c>
      <c r="B2104" s="6" t="n">
        <v>41838</v>
      </c>
      <c r="C2104" s="7" t="s">
        <v>33</v>
      </c>
      <c r="D2104" s="7" t="s">
        <v>81</v>
      </c>
      <c r="E2104" s="7" t="s">
        <v>31</v>
      </c>
      <c r="F2104" s="0" t="n">
        <v>259.136</v>
      </c>
      <c r="G2104" s="0" t="n">
        <v>-25.9136</v>
      </c>
      <c r="H2104" s="0" t="n">
        <v>0.2</v>
      </c>
      <c r="I2104" s="7" t="n">
        <f aca="false">YEAR(B2104)</f>
        <v>2014</v>
      </c>
      <c r="J2104" s="0" t="str">
        <f aca="false">I2104&amp;"-Q"&amp;ROUNDUP(MONTH(B2104)/3,0)</f>
        <v>2014-Q3</v>
      </c>
    </row>
    <row r="2105" customFormat="false" ht="15" hidden="false" customHeight="false" outlineLevel="0" collapsed="false">
      <c r="A2105" s="0" t="s">
        <v>1100</v>
      </c>
      <c r="B2105" s="6" t="n">
        <v>42818</v>
      </c>
      <c r="C2105" s="7" t="s">
        <v>55</v>
      </c>
      <c r="D2105" s="7" t="s">
        <v>76</v>
      </c>
      <c r="E2105" s="7" t="s">
        <v>35</v>
      </c>
      <c r="F2105" s="0" t="n">
        <v>221.92</v>
      </c>
      <c r="G2105" s="0" t="n">
        <v>106.5216</v>
      </c>
      <c r="H2105" s="0" t="n">
        <v>0</v>
      </c>
      <c r="I2105" s="7" t="n">
        <f aca="false">YEAR(B2105)</f>
        <v>2017</v>
      </c>
      <c r="J2105" s="0" t="str">
        <f aca="false">I2105&amp;"-Q"&amp;ROUNDUP(MONTH(B2105)/3,0)</f>
        <v>2017-Q1</v>
      </c>
    </row>
    <row r="2106" customFormat="false" ht="15" hidden="false" customHeight="false" outlineLevel="0" collapsed="false">
      <c r="A2106" s="0" t="s">
        <v>1100</v>
      </c>
      <c r="B2106" s="6" t="n">
        <v>42818</v>
      </c>
      <c r="C2106" s="7" t="s">
        <v>55</v>
      </c>
      <c r="D2106" s="7" t="s">
        <v>76</v>
      </c>
      <c r="E2106" s="7" t="s">
        <v>39</v>
      </c>
      <c r="F2106" s="0" t="n">
        <v>26</v>
      </c>
      <c r="G2106" s="0" t="n">
        <v>11.7</v>
      </c>
      <c r="H2106" s="0" t="n">
        <v>0</v>
      </c>
      <c r="I2106" s="7" t="n">
        <f aca="false">YEAR(B2106)</f>
        <v>2017</v>
      </c>
      <c r="J2106" s="0" t="str">
        <f aca="false">I2106&amp;"-Q"&amp;ROUNDUP(MONTH(B2106)/3,0)</f>
        <v>2017-Q1</v>
      </c>
    </row>
    <row r="2107" customFormat="false" ht="15" hidden="false" customHeight="false" outlineLevel="0" collapsed="false">
      <c r="A2107" s="0" t="s">
        <v>1101</v>
      </c>
      <c r="B2107" s="6" t="n">
        <v>41912</v>
      </c>
      <c r="C2107" s="7" t="s">
        <v>29</v>
      </c>
      <c r="D2107" s="7" t="s">
        <v>37</v>
      </c>
      <c r="E2107" s="7" t="s">
        <v>35</v>
      </c>
      <c r="F2107" s="0" t="n">
        <v>15.552</v>
      </c>
      <c r="G2107" s="0" t="n">
        <v>5.4432</v>
      </c>
      <c r="H2107" s="0" t="n">
        <v>0.2</v>
      </c>
      <c r="I2107" s="7" t="n">
        <f aca="false">YEAR(B2107)</f>
        <v>2014</v>
      </c>
      <c r="J2107" s="0" t="str">
        <f aca="false">I2107&amp;"-Q"&amp;ROUNDUP(MONTH(B2107)/3,0)</f>
        <v>2014-Q3</v>
      </c>
    </row>
    <row r="2108" customFormat="false" ht="15" hidden="false" customHeight="false" outlineLevel="0" collapsed="false">
      <c r="A2108" s="0" t="s">
        <v>1102</v>
      </c>
      <c r="B2108" s="6" t="n">
        <v>41908</v>
      </c>
      <c r="C2108" s="7" t="s">
        <v>45</v>
      </c>
      <c r="D2108" s="7" t="s">
        <v>46</v>
      </c>
      <c r="E2108" s="7" t="s">
        <v>35</v>
      </c>
      <c r="F2108" s="0" t="n">
        <v>0.876</v>
      </c>
      <c r="G2108" s="0" t="n">
        <v>-1.4016</v>
      </c>
      <c r="H2108" s="0" t="n">
        <v>0.8</v>
      </c>
      <c r="I2108" s="7" t="n">
        <f aca="false">YEAR(B2108)</f>
        <v>2014</v>
      </c>
      <c r="J2108" s="0" t="str">
        <f aca="false">I2108&amp;"-Q"&amp;ROUNDUP(MONTH(B2108)/3,0)</f>
        <v>2014-Q3</v>
      </c>
    </row>
    <row r="2109" customFormat="false" ht="15" hidden="false" customHeight="false" outlineLevel="0" collapsed="false">
      <c r="A2109" s="0" t="s">
        <v>1103</v>
      </c>
      <c r="B2109" s="6" t="n">
        <v>42308</v>
      </c>
      <c r="C2109" s="7" t="s">
        <v>33</v>
      </c>
      <c r="D2109" s="7" t="s">
        <v>34</v>
      </c>
      <c r="E2109" s="7" t="s">
        <v>35</v>
      </c>
      <c r="F2109" s="0" t="n">
        <v>19.98</v>
      </c>
      <c r="G2109" s="0" t="n">
        <v>9.3906</v>
      </c>
      <c r="H2109" s="0" t="n">
        <v>0</v>
      </c>
      <c r="I2109" s="7" t="n">
        <f aca="false">YEAR(B2109)</f>
        <v>2015</v>
      </c>
      <c r="J2109" s="0" t="str">
        <f aca="false">I2109&amp;"-Q"&amp;ROUNDUP(MONTH(B2109)/3,0)</f>
        <v>2015-Q4</v>
      </c>
    </row>
    <row r="2110" customFormat="false" ht="15" hidden="false" customHeight="false" outlineLevel="0" collapsed="false">
      <c r="A2110" s="0" t="s">
        <v>1103</v>
      </c>
      <c r="B2110" s="6" t="n">
        <v>42308</v>
      </c>
      <c r="C2110" s="7" t="s">
        <v>33</v>
      </c>
      <c r="D2110" s="7" t="s">
        <v>34</v>
      </c>
      <c r="E2110" s="7" t="s">
        <v>35</v>
      </c>
      <c r="F2110" s="0" t="n">
        <v>398.352</v>
      </c>
      <c r="G2110" s="0" t="n">
        <v>124.485</v>
      </c>
      <c r="H2110" s="0" t="n">
        <v>0.2</v>
      </c>
      <c r="I2110" s="7" t="n">
        <f aca="false">YEAR(B2110)</f>
        <v>2015</v>
      </c>
      <c r="J2110" s="0" t="str">
        <f aca="false">I2110&amp;"-Q"&amp;ROUNDUP(MONTH(B2110)/3,0)</f>
        <v>2015-Q4</v>
      </c>
    </row>
    <row r="2111" customFormat="false" ht="15" hidden="false" customHeight="false" outlineLevel="0" collapsed="false">
      <c r="A2111" s="0" t="s">
        <v>1103</v>
      </c>
      <c r="B2111" s="6" t="n">
        <v>42308</v>
      </c>
      <c r="C2111" s="7" t="s">
        <v>33</v>
      </c>
      <c r="D2111" s="7" t="s">
        <v>34</v>
      </c>
      <c r="E2111" s="7" t="s">
        <v>35</v>
      </c>
      <c r="F2111" s="0" t="n">
        <v>5.04</v>
      </c>
      <c r="G2111" s="0" t="n">
        <v>1.26</v>
      </c>
      <c r="H2111" s="0" t="n">
        <v>0</v>
      </c>
      <c r="I2111" s="7" t="n">
        <f aca="false">YEAR(B2111)</f>
        <v>2015</v>
      </c>
      <c r="J2111" s="0" t="str">
        <f aca="false">I2111&amp;"-Q"&amp;ROUNDUP(MONTH(B2111)/3,0)</f>
        <v>2015-Q4</v>
      </c>
    </row>
    <row r="2112" customFormat="false" ht="15" hidden="false" customHeight="false" outlineLevel="0" collapsed="false">
      <c r="A2112" s="0" t="s">
        <v>1103</v>
      </c>
      <c r="B2112" s="6" t="n">
        <v>42308</v>
      </c>
      <c r="C2112" s="7" t="s">
        <v>33</v>
      </c>
      <c r="D2112" s="7" t="s">
        <v>34</v>
      </c>
      <c r="E2112" s="7" t="s">
        <v>35</v>
      </c>
      <c r="F2112" s="0" t="n">
        <v>17.45</v>
      </c>
      <c r="G2112" s="0" t="n">
        <v>8.027</v>
      </c>
      <c r="H2112" s="0" t="n">
        <v>0</v>
      </c>
      <c r="I2112" s="7" t="n">
        <f aca="false">YEAR(B2112)</f>
        <v>2015</v>
      </c>
      <c r="J2112" s="0" t="str">
        <f aca="false">I2112&amp;"-Q"&amp;ROUNDUP(MONTH(B2112)/3,0)</f>
        <v>2015-Q4</v>
      </c>
    </row>
    <row r="2113" customFormat="false" ht="15" hidden="false" customHeight="false" outlineLevel="0" collapsed="false">
      <c r="A2113" s="0" t="s">
        <v>1103</v>
      </c>
      <c r="B2113" s="6" t="n">
        <v>42308</v>
      </c>
      <c r="C2113" s="7" t="s">
        <v>33</v>
      </c>
      <c r="D2113" s="7" t="s">
        <v>34</v>
      </c>
      <c r="E2113" s="7" t="s">
        <v>31</v>
      </c>
      <c r="F2113" s="0" t="n">
        <v>323.136</v>
      </c>
      <c r="G2113" s="0" t="n">
        <v>20.196</v>
      </c>
      <c r="H2113" s="0" t="n">
        <v>0.2</v>
      </c>
      <c r="I2113" s="7" t="n">
        <f aca="false">YEAR(B2113)</f>
        <v>2015</v>
      </c>
      <c r="J2113" s="0" t="str">
        <f aca="false">I2113&amp;"-Q"&amp;ROUNDUP(MONTH(B2113)/3,0)</f>
        <v>2015-Q4</v>
      </c>
    </row>
    <row r="2114" customFormat="false" ht="15" hidden="false" customHeight="false" outlineLevel="0" collapsed="false">
      <c r="A2114" s="0" t="s">
        <v>1103</v>
      </c>
      <c r="B2114" s="6" t="n">
        <v>42308</v>
      </c>
      <c r="C2114" s="7" t="s">
        <v>33</v>
      </c>
      <c r="D2114" s="7" t="s">
        <v>34</v>
      </c>
      <c r="E2114" s="7" t="s">
        <v>35</v>
      </c>
      <c r="F2114" s="0" t="n">
        <v>29.7</v>
      </c>
      <c r="G2114" s="0" t="n">
        <v>8.019</v>
      </c>
      <c r="H2114" s="0" t="n">
        <v>0</v>
      </c>
      <c r="I2114" s="7" t="n">
        <f aca="false">YEAR(B2114)</f>
        <v>2015</v>
      </c>
      <c r="J2114" s="0" t="str">
        <f aca="false">I2114&amp;"-Q"&amp;ROUNDUP(MONTH(B2114)/3,0)</f>
        <v>2015-Q4</v>
      </c>
    </row>
    <row r="2115" customFormat="false" ht="15" hidden="false" customHeight="false" outlineLevel="0" collapsed="false">
      <c r="A2115" s="0" t="s">
        <v>1103</v>
      </c>
      <c r="B2115" s="6" t="n">
        <v>42308</v>
      </c>
      <c r="C2115" s="7" t="s">
        <v>33</v>
      </c>
      <c r="D2115" s="7" t="s">
        <v>34</v>
      </c>
      <c r="E2115" s="7" t="s">
        <v>39</v>
      </c>
      <c r="F2115" s="0" t="n">
        <v>1295.84</v>
      </c>
      <c r="G2115" s="0" t="n">
        <v>145.782</v>
      </c>
      <c r="H2115" s="0" t="n">
        <v>0.2</v>
      </c>
      <c r="I2115" s="7" t="n">
        <f aca="false">YEAR(B2115)</f>
        <v>2015</v>
      </c>
      <c r="J2115" s="0" t="str">
        <f aca="false">I2115&amp;"-Q"&amp;ROUNDUP(MONTH(B2115)/3,0)</f>
        <v>2015-Q4</v>
      </c>
    </row>
    <row r="2116" customFormat="false" ht="15" hidden="false" customHeight="false" outlineLevel="0" collapsed="false">
      <c r="A2116" s="0" t="s">
        <v>1103</v>
      </c>
      <c r="B2116" s="6" t="n">
        <v>42308</v>
      </c>
      <c r="C2116" s="7" t="s">
        <v>33</v>
      </c>
      <c r="D2116" s="7" t="s">
        <v>34</v>
      </c>
      <c r="E2116" s="7" t="s">
        <v>35</v>
      </c>
      <c r="F2116" s="0" t="n">
        <v>46.84</v>
      </c>
      <c r="G2116" s="0" t="n">
        <v>12.6468</v>
      </c>
      <c r="H2116" s="0" t="n">
        <v>0</v>
      </c>
      <c r="I2116" s="7" t="n">
        <f aca="false">YEAR(B2116)</f>
        <v>2015</v>
      </c>
      <c r="J2116" s="0" t="str">
        <f aca="false">I2116&amp;"-Q"&amp;ROUNDUP(MONTH(B2116)/3,0)</f>
        <v>2015-Q4</v>
      </c>
    </row>
    <row r="2117" customFormat="false" ht="15" hidden="false" customHeight="false" outlineLevel="0" collapsed="false">
      <c r="A2117" s="0" t="s">
        <v>1103</v>
      </c>
      <c r="B2117" s="6" t="n">
        <v>42308</v>
      </c>
      <c r="C2117" s="7" t="s">
        <v>33</v>
      </c>
      <c r="D2117" s="7" t="s">
        <v>34</v>
      </c>
      <c r="E2117" s="7" t="s">
        <v>31</v>
      </c>
      <c r="F2117" s="0" t="n">
        <v>425.833</v>
      </c>
      <c r="G2117" s="0" t="n">
        <v>20.0392</v>
      </c>
      <c r="H2117" s="0" t="n">
        <v>0.15</v>
      </c>
      <c r="I2117" s="7" t="n">
        <f aca="false">YEAR(B2117)</f>
        <v>2015</v>
      </c>
      <c r="J2117" s="0" t="str">
        <f aca="false">I2117&amp;"-Q"&amp;ROUNDUP(MONTH(B2117)/3,0)</f>
        <v>2015-Q4</v>
      </c>
    </row>
    <row r="2118" customFormat="false" ht="15" hidden="false" customHeight="false" outlineLevel="0" collapsed="false">
      <c r="A2118" s="0" t="s">
        <v>1104</v>
      </c>
      <c r="B2118" s="6" t="n">
        <v>42289</v>
      </c>
      <c r="C2118" s="7" t="s">
        <v>55</v>
      </c>
      <c r="D2118" s="7" t="s">
        <v>76</v>
      </c>
      <c r="E2118" s="7" t="s">
        <v>31</v>
      </c>
      <c r="F2118" s="0" t="n">
        <v>209.67</v>
      </c>
      <c r="G2118" s="0" t="n">
        <v>-13.978</v>
      </c>
      <c r="H2118" s="0" t="n">
        <v>0.4</v>
      </c>
      <c r="I2118" s="7" t="n">
        <f aca="false">YEAR(B2118)</f>
        <v>2015</v>
      </c>
      <c r="J2118" s="0" t="str">
        <f aca="false">I2118&amp;"-Q"&amp;ROUNDUP(MONTH(B2118)/3,0)</f>
        <v>2015-Q4</v>
      </c>
    </row>
    <row r="2119" customFormat="false" ht="15" hidden="false" customHeight="false" outlineLevel="0" collapsed="false">
      <c r="A2119" s="0" t="s">
        <v>1105</v>
      </c>
      <c r="B2119" s="6" t="n">
        <v>42632</v>
      </c>
      <c r="C2119" s="7" t="s">
        <v>33</v>
      </c>
      <c r="D2119" s="7" t="s">
        <v>34</v>
      </c>
      <c r="E2119" s="7" t="s">
        <v>35</v>
      </c>
      <c r="F2119" s="0" t="n">
        <v>159.88</v>
      </c>
      <c r="G2119" s="0" t="n">
        <v>73.5448</v>
      </c>
      <c r="H2119" s="0" t="n">
        <v>0</v>
      </c>
      <c r="I2119" s="7" t="n">
        <f aca="false">YEAR(B2119)</f>
        <v>2016</v>
      </c>
      <c r="J2119" s="0" t="str">
        <f aca="false">I2119&amp;"-Q"&amp;ROUNDUP(MONTH(B2119)/3,0)</f>
        <v>2016-Q3</v>
      </c>
    </row>
    <row r="2120" customFormat="false" ht="15" hidden="false" customHeight="false" outlineLevel="0" collapsed="false">
      <c r="A2120" s="0" t="s">
        <v>1106</v>
      </c>
      <c r="B2120" s="6" t="n">
        <v>42838</v>
      </c>
      <c r="C2120" s="7" t="s">
        <v>33</v>
      </c>
      <c r="D2120" s="7" t="s">
        <v>43</v>
      </c>
      <c r="E2120" s="7" t="s">
        <v>35</v>
      </c>
      <c r="F2120" s="0" t="n">
        <v>5.28</v>
      </c>
      <c r="G2120" s="0" t="n">
        <v>2.376</v>
      </c>
      <c r="H2120" s="0" t="n">
        <v>0</v>
      </c>
      <c r="I2120" s="7" t="n">
        <f aca="false">YEAR(B2120)</f>
        <v>2017</v>
      </c>
      <c r="J2120" s="0" t="str">
        <f aca="false">I2120&amp;"-Q"&amp;ROUNDUP(MONTH(B2120)/3,0)</f>
        <v>2017-Q2</v>
      </c>
    </row>
    <row r="2121" customFormat="false" ht="15" hidden="false" customHeight="false" outlineLevel="0" collapsed="false">
      <c r="A2121" s="0" t="s">
        <v>1106</v>
      </c>
      <c r="B2121" s="6" t="n">
        <v>42838</v>
      </c>
      <c r="C2121" s="7" t="s">
        <v>33</v>
      </c>
      <c r="D2121" s="7" t="s">
        <v>43</v>
      </c>
      <c r="E2121" s="7" t="s">
        <v>35</v>
      </c>
      <c r="F2121" s="0" t="n">
        <v>895.92</v>
      </c>
      <c r="G2121" s="0" t="n">
        <v>302.373</v>
      </c>
      <c r="H2121" s="0" t="n">
        <v>0.2</v>
      </c>
      <c r="I2121" s="7" t="n">
        <f aca="false">YEAR(B2121)</f>
        <v>2017</v>
      </c>
      <c r="J2121" s="0" t="str">
        <f aca="false">I2121&amp;"-Q"&amp;ROUNDUP(MONTH(B2121)/3,0)</f>
        <v>2017-Q2</v>
      </c>
    </row>
    <row r="2122" customFormat="false" ht="15" hidden="false" customHeight="false" outlineLevel="0" collapsed="false">
      <c r="A2122" s="0" t="s">
        <v>1107</v>
      </c>
      <c r="B2122" s="6" t="n">
        <v>42742</v>
      </c>
      <c r="C2122" s="7" t="s">
        <v>29</v>
      </c>
      <c r="D2122" s="7" t="s">
        <v>37</v>
      </c>
      <c r="E2122" s="7" t="s">
        <v>35</v>
      </c>
      <c r="F2122" s="0" t="n">
        <v>2.808</v>
      </c>
      <c r="G2122" s="0" t="n">
        <v>-1.9656</v>
      </c>
      <c r="H2122" s="0" t="n">
        <v>0.7</v>
      </c>
      <c r="I2122" s="7" t="n">
        <f aca="false">YEAR(B2122)</f>
        <v>2017</v>
      </c>
      <c r="J2122" s="0" t="str">
        <f aca="false">I2122&amp;"-Q"&amp;ROUNDUP(MONTH(B2122)/3,0)</f>
        <v>2017-Q1</v>
      </c>
    </row>
    <row r="2123" customFormat="false" ht="15" hidden="false" customHeight="false" outlineLevel="0" collapsed="false">
      <c r="A2123" s="0" t="s">
        <v>1108</v>
      </c>
      <c r="B2123" s="6" t="n">
        <v>43048</v>
      </c>
      <c r="C2123" s="7" t="s">
        <v>33</v>
      </c>
      <c r="D2123" s="7" t="s">
        <v>34</v>
      </c>
      <c r="E2123" s="7" t="s">
        <v>31</v>
      </c>
      <c r="F2123" s="0" t="n">
        <v>215.976</v>
      </c>
      <c r="G2123" s="0" t="n">
        <v>-2.6997</v>
      </c>
      <c r="H2123" s="0" t="n">
        <v>0.2</v>
      </c>
      <c r="I2123" s="7" t="n">
        <f aca="false">YEAR(B2123)</f>
        <v>2017</v>
      </c>
      <c r="J2123" s="0" t="str">
        <f aca="false">I2123&amp;"-Q"&amp;ROUNDUP(MONTH(B2123)/3,0)</f>
        <v>2017-Q4</v>
      </c>
    </row>
    <row r="2124" customFormat="false" ht="15" hidden="false" customHeight="false" outlineLevel="0" collapsed="false">
      <c r="A2124" s="0" t="s">
        <v>1109</v>
      </c>
      <c r="B2124" s="6" t="n">
        <v>43000</v>
      </c>
      <c r="C2124" s="7" t="s">
        <v>45</v>
      </c>
      <c r="D2124" s="7" t="s">
        <v>70</v>
      </c>
      <c r="E2124" s="7" t="s">
        <v>31</v>
      </c>
      <c r="F2124" s="0" t="n">
        <v>241.96</v>
      </c>
      <c r="G2124" s="0" t="n">
        <v>41.1332</v>
      </c>
      <c r="H2124" s="0" t="n">
        <v>0</v>
      </c>
      <c r="I2124" s="7" t="n">
        <f aca="false">YEAR(B2124)</f>
        <v>2017</v>
      </c>
      <c r="J2124" s="0" t="str">
        <f aca="false">I2124&amp;"-Q"&amp;ROUNDUP(MONTH(B2124)/3,0)</f>
        <v>2017-Q3</v>
      </c>
    </row>
    <row r="2125" customFormat="false" ht="15" hidden="false" customHeight="false" outlineLevel="0" collapsed="false">
      <c r="A2125" s="0" t="s">
        <v>1109</v>
      </c>
      <c r="B2125" s="6" t="n">
        <v>43000</v>
      </c>
      <c r="C2125" s="7" t="s">
        <v>45</v>
      </c>
      <c r="D2125" s="7" t="s">
        <v>70</v>
      </c>
      <c r="E2125" s="7" t="s">
        <v>35</v>
      </c>
      <c r="F2125" s="0" t="n">
        <v>27.72</v>
      </c>
      <c r="G2125" s="0" t="n">
        <v>13.3056</v>
      </c>
      <c r="H2125" s="0" t="n">
        <v>0</v>
      </c>
      <c r="I2125" s="7" t="n">
        <f aca="false">YEAR(B2125)</f>
        <v>2017</v>
      </c>
      <c r="J2125" s="0" t="str">
        <f aca="false">I2125&amp;"-Q"&amp;ROUNDUP(MONTH(B2125)/3,0)</f>
        <v>2017-Q3</v>
      </c>
    </row>
    <row r="2126" customFormat="false" ht="15" hidden="false" customHeight="false" outlineLevel="0" collapsed="false">
      <c r="A2126" s="0" t="s">
        <v>1110</v>
      </c>
      <c r="B2126" s="6" t="n">
        <v>43070</v>
      </c>
      <c r="C2126" s="7" t="s">
        <v>55</v>
      </c>
      <c r="D2126" s="7" t="s">
        <v>56</v>
      </c>
      <c r="E2126" s="7" t="s">
        <v>35</v>
      </c>
      <c r="F2126" s="0" t="n">
        <v>104.68</v>
      </c>
      <c r="G2126" s="0" t="n">
        <v>35.3295</v>
      </c>
      <c r="H2126" s="0" t="n">
        <v>0.2</v>
      </c>
      <c r="I2126" s="7" t="n">
        <f aca="false">YEAR(B2126)</f>
        <v>2017</v>
      </c>
      <c r="J2126" s="0" t="str">
        <f aca="false">I2126&amp;"-Q"&amp;ROUNDUP(MONTH(B2126)/3,0)</f>
        <v>2017-Q4</v>
      </c>
    </row>
    <row r="2127" customFormat="false" ht="15" hidden="false" customHeight="false" outlineLevel="0" collapsed="false">
      <c r="A2127" s="0" t="s">
        <v>1110</v>
      </c>
      <c r="B2127" s="6" t="n">
        <v>43070</v>
      </c>
      <c r="C2127" s="7" t="s">
        <v>55</v>
      </c>
      <c r="D2127" s="7" t="s">
        <v>56</v>
      </c>
      <c r="E2127" s="7" t="s">
        <v>39</v>
      </c>
      <c r="F2127" s="0" t="n">
        <v>62.958</v>
      </c>
      <c r="G2127" s="0" t="n">
        <v>9.4437</v>
      </c>
      <c r="H2127" s="0" t="n">
        <v>0.4</v>
      </c>
      <c r="I2127" s="7" t="n">
        <f aca="false">YEAR(B2127)</f>
        <v>2017</v>
      </c>
      <c r="J2127" s="0" t="str">
        <f aca="false">I2127&amp;"-Q"&amp;ROUNDUP(MONTH(B2127)/3,0)</f>
        <v>2017-Q4</v>
      </c>
    </row>
    <row r="2128" customFormat="false" ht="15" hidden="false" customHeight="false" outlineLevel="0" collapsed="false">
      <c r="A2128" s="0" t="s">
        <v>1111</v>
      </c>
      <c r="B2128" s="6" t="n">
        <v>41813</v>
      </c>
      <c r="C2128" s="7" t="s">
        <v>55</v>
      </c>
      <c r="D2128" s="7" t="s">
        <v>56</v>
      </c>
      <c r="E2128" s="7" t="s">
        <v>39</v>
      </c>
      <c r="F2128" s="0" t="n">
        <v>86.376</v>
      </c>
      <c r="G2128" s="0" t="n">
        <v>1.0797</v>
      </c>
      <c r="H2128" s="0" t="n">
        <v>0.2</v>
      </c>
      <c r="I2128" s="7" t="n">
        <f aca="false">YEAR(B2128)</f>
        <v>2014</v>
      </c>
      <c r="J2128" s="0" t="str">
        <f aca="false">I2128&amp;"-Q"&amp;ROUNDUP(MONTH(B2128)/3,0)</f>
        <v>2014-Q2</v>
      </c>
    </row>
    <row r="2129" customFormat="false" ht="15" hidden="false" customHeight="false" outlineLevel="0" collapsed="false">
      <c r="A2129" s="0" t="s">
        <v>1112</v>
      </c>
      <c r="B2129" s="6" t="n">
        <v>42281</v>
      </c>
      <c r="C2129" s="7" t="s">
        <v>55</v>
      </c>
      <c r="D2129" s="7" t="s">
        <v>56</v>
      </c>
      <c r="E2129" s="7" t="s">
        <v>31</v>
      </c>
      <c r="F2129" s="0" t="n">
        <v>64.944</v>
      </c>
      <c r="G2129" s="0" t="n">
        <v>6.4944</v>
      </c>
      <c r="H2129" s="0" t="n">
        <v>0.2</v>
      </c>
      <c r="I2129" s="7" t="n">
        <f aca="false">YEAR(B2129)</f>
        <v>2015</v>
      </c>
      <c r="J2129" s="0" t="str">
        <f aca="false">I2129&amp;"-Q"&amp;ROUNDUP(MONTH(B2129)/3,0)</f>
        <v>2015-Q4</v>
      </c>
    </row>
    <row r="2130" customFormat="false" ht="15" hidden="false" customHeight="false" outlineLevel="0" collapsed="false">
      <c r="A2130" s="0" t="s">
        <v>1112</v>
      </c>
      <c r="B2130" s="6" t="n">
        <v>42281</v>
      </c>
      <c r="C2130" s="7" t="s">
        <v>55</v>
      </c>
      <c r="D2130" s="7" t="s">
        <v>56</v>
      </c>
      <c r="E2130" s="7" t="s">
        <v>35</v>
      </c>
      <c r="F2130" s="0" t="n">
        <v>20.736</v>
      </c>
      <c r="G2130" s="0" t="n">
        <v>7.2576</v>
      </c>
      <c r="H2130" s="0" t="n">
        <v>0.2</v>
      </c>
      <c r="I2130" s="7" t="n">
        <f aca="false">YEAR(B2130)</f>
        <v>2015</v>
      </c>
      <c r="J2130" s="0" t="str">
        <f aca="false">I2130&amp;"-Q"&amp;ROUNDUP(MONTH(B2130)/3,0)</f>
        <v>2015-Q4</v>
      </c>
    </row>
    <row r="2131" customFormat="false" ht="15" hidden="false" customHeight="false" outlineLevel="0" collapsed="false">
      <c r="A2131" s="0" t="s">
        <v>1113</v>
      </c>
      <c r="B2131" s="6" t="n">
        <v>41779</v>
      </c>
      <c r="C2131" s="7" t="s">
        <v>55</v>
      </c>
      <c r="D2131" s="7" t="s">
        <v>482</v>
      </c>
      <c r="E2131" s="7" t="s">
        <v>35</v>
      </c>
      <c r="F2131" s="0" t="n">
        <v>33.28</v>
      </c>
      <c r="G2131" s="0" t="n">
        <v>9.3184</v>
      </c>
      <c r="H2131" s="0" t="n">
        <v>0</v>
      </c>
      <c r="I2131" s="7" t="n">
        <f aca="false">YEAR(B2131)</f>
        <v>2014</v>
      </c>
      <c r="J2131" s="0" t="str">
        <f aca="false">I2131&amp;"-Q"&amp;ROUNDUP(MONTH(B2131)/3,0)</f>
        <v>2014-Q2</v>
      </c>
    </row>
    <row r="2132" customFormat="false" ht="15" hidden="false" customHeight="false" outlineLevel="0" collapsed="false">
      <c r="A2132" s="0" t="s">
        <v>1113</v>
      </c>
      <c r="B2132" s="6" t="n">
        <v>41779</v>
      </c>
      <c r="C2132" s="7" t="s">
        <v>55</v>
      </c>
      <c r="D2132" s="7" t="s">
        <v>482</v>
      </c>
      <c r="E2132" s="7" t="s">
        <v>35</v>
      </c>
      <c r="F2132" s="0" t="n">
        <v>38.52</v>
      </c>
      <c r="G2132" s="0" t="n">
        <v>11.9412</v>
      </c>
      <c r="H2132" s="0" t="n">
        <v>0</v>
      </c>
      <c r="I2132" s="7" t="n">
        <f aca="false">YEAR(B2132)</f>
        <v>2014</v>
      </c>
      <c r="J2132" s="0" t="str">
        <f aca="false">I2132&amp;"-Q"&amp;ROUNDUP(MONTH(B2132)/3,0)</f>
        <v>2014-Q2</v>
      </c>
    </row>
    <row r="2133" customFormat="false" ht="15" hidden="false" customHeight="false" outlineLevel="0" collapsed="false">
      <c r="A2133" s="0" t="s">
        <v>1113</v>
      </c>
      <c r="B2133" s="6" t="n">
        <v>41779</v>
      </c>
      <c r="C2133" s="7" t="s">
        <v>55</v>
      </c>
      <c r="D2133" s="7" t="s">
        <v>482</v>
      </c>
      <c r="E2133" s="7" t="s">
        <v>31</v>
      </c>
      <c r="F2133" s="0" t="n">
        <v>139.86</v>
      </c>
      <c r="G2133" s="0" t="n">
        <v>60.1398</v>
      </c>
      <c r="H2133" s="0" t="n">
        <v>0</v>
      </c>
      <c r="I2133" s="7" t="n">
        <f aca="false">YEAR(B2133)</f>
        <v>2014</v>
      </c>
      <c r="J2133" s="0" t="str">
        <f aca="false">I2133&amp;"-Q"&amp;ROUNDUP(MONTH(B2133)/3,0)</f>
        <v>2014-Q2</v>
      </c>
    </row>
    <row r="2134" customFormat="false" ht="15" hidden="false" customHeight="false" outlineLevel="0" collapsed="false">
      <c r="A2134" s="0" t="s">
        <v>1114</v>
      </c>
      <c r="B2134" s="6" t="n">
        <v>42328</v>
      </c>
      <c r="C2134" s="7" t="s">
        <v>55</v>
      </c>
      <c r="D2134" s="7" t="s">
        <v>76</v>
      </c>
      <c r="E2134" s="7" t="s">
        <v>35</v>
      </c>
      <c r="F2134" s="0" t="n">
        <v>19.65</v>
      </c>
      <c r="G2134" s="0" t="n">
        <v>9.039</v>
      </c>
      <c r="H2134" s="0" t="n">
        <v>0</v>
      </c>
      <c r="I2134" s="7" t="n">
        <f aca="false">YEAR(B2134)</f>
        <v>2015</v>
      </c>
      <c r="J2134" s="0" t="str">
        <f aca="false">I2134&amp;"-Q"&amp;ROUNDUP(MONTH(B2134)/3,0)</f>
        <v>2015-Q4</v>
      </c>
    </row>
    <row r="2135" customFormat="false" ht="15" hidden="false" customHeight="false" outlineLevel="0" collapsed="false">
      <c r="A2135" s="0" t="s">
        <v>1115</v>
      </c>
      <c r="B2135" s="6" t="n">
        <v>42338</v>
      </c>
      <c r="C2135" s="7" t="s">
        <v>55</v>
      </c>
      <c r="D2135" s="7" t="s">
        <v>56</v>
      </c>
      <c r="E2135" s="7" t="s">
        <v>35</v>
      </c>
      <c r="F2135" s="0" t="n">
        <v>152.991</v>
      </c>
      <c r="G2135" s="0" t="n">
        <v>-122.3928</v>
      </c>
      <c r="H2135" s="0" t="n">
        <v>0.7</v>
      </c>
      <c r="I2135" s="7" t="n">
        <f aca="false">YEAR(B2135)</f>
        <v>2015</v>
      </c>
      <c r="J2135" s="0" t="str">
        <f aca="false">I2135&amp;"-Q"&amp;ROUNDUP(MONTH(B2135)/3,0)</f>
        <v>2015-Q4</v>
      </c>
    </row>
    <row r="2136" customFormat="false" ht="15" hidden="false" customHeight="false" outlineLevel="0" collapsed="false">
      <c r="A2136" s="0" t="s">
        <v>1115</v>
      </c>
      <c r="B2136" s="6" t="n">
        <v>42338</v>
      </c>
      <c r="C2136" s="7" t="s">
        <v>55</v>
      </c>
      <c r="D2136" s="7" t="s">
        <v>56</v>
      </c>
      <c r="E2136" s="7" t="s">
        <v>35</v>
      </c>
      <c r="F2136" s="0" t="n">
        <v>10.584</v>
      </c>
      <c r="G2136" s="0" t="n">
        <v>-2.3814</v>
      </c>
      <c r="H2136" s="0" t="n">
        <v>0.2</v>
      </c>
      <c r="I2136" s="7" t="n">
        <f aca="false">YEAR(B2136)</f>
        <v>2015</v>
      </c>
      <c r="J2136" s="0" t="str">
        <f aca="false">I2136&amp;"-Q"&amp;ROUNDUP(MONTH(B2136)/3,0)</f>
        <v>2015-Q4</v>
      </c>
    </row>
    <row r="2137" customFormat="false" ht="15" hidden="false" customHeight="false" outlineLevel="0" collapsed="false">
      <c r="A2137" s="0" t="s">
        <v>1115</v>
      </c>
      <c r="B2137" s="6" t="n">
        <v>42338</v>
      </c>
      <c r="C2137" s="7" t="s">
        <v>55</v>
      </c>
      <c r="D2137" s="7" t="s">
        <v>56</v>
      </c>
      <c r="E2137" s="7" t="s">
        <v>39</v>
      </c>
      <c r="F2137" s="0" t="n">
        <v>94.92</v>
      </c>
      <c r="G2137" s="0" t="n">
        <v>15.82</v>
      </c>
      <c r="H2137" s="0" t="n">
        <v>0.4</v>
      </c>
      <c r="I2137" s="7" t="n">
        <f aca="false">YEAR(B2137)</f>
        <v>2015</v>
      </c>
      <c r="J2137" s="0" t="str">
        <f aca="false">I2137&amp;"-Q"&amp;ROUNDUP(MONTH(B2137)/3,0)</f>
        <v>2015-Q4</v>
      </c>
    </row>
    <row r="2138" customFormat="false" ht="15" hidden="false" customHeight="false" outlineLevel="0" collapsed="false">
      <c r="A2138" s="0" t="s">
        <v>1116</v>
      </c>
      <c r="B2138" s="6" t="n">
        <v>42369</v>
      </c>
      <c r="C2138" s="7" t="s">
        <v>45</v>
      </c>
      <c r="D2138" s="7" t="s">
        <v>46</v>
      </c>
      <c r="E2138" s="7" t="s">
        <v>31</v>
      </c>
      <c r="F2138" s="0" t="n">
        <v>14.76</v>
      </c>
      <c r="G2138" s="0" t="n">
        <v>-11.439</v>
      </c>
      <c r="H2138" s="0" t="n">
        <v>0.6</v>
      </c>
      <c r="I2138" s="7" t="n">
        <f aca="false">YEAR(B2138)</f>
        <v>2015</v>
      </c>
      <c r="J2138" s="0" t="str">
        <f aca="false">I2138&amp;"-Q"&amp;ROUNDUP(MONTH(B2138)/3,0)</f>
        <v>2015-Q4</v>
      </c>
    </row>
    <row r="2139" customFormat="false" ht="15" hidden="false" customHeight="false" outlineLevel="0" collapsed="false">
      <c r="A2139" s="0" t="s">
        <v>1116</v>
      </c>
      <c r="B2139" s="6" t="n">
        <v>42369</v>
      </c>
      <c r="C2139" s="7" t="s">
        <v>45</v>
      </c>
      <c r="D2139" s="7" t="s">
        <v>46</v>
      </c>
      <c r="E2139" s="7" t="s">
        <v>35</v>
      </c>
      <c r="F2139" s="0" t="n">
        <v>3.656</v>
      </c>
      <c r="G2139" s="0" t="n">
        <v>-5.8496</v>
      </c>
      <c r="H2139" s="0" t="n">
        <v>0.8</v>
      </c>
      <c r="I2139" s="7" t="n">
        <f aca="false">YEAR(B2139)</f>
        <v>2015</v>
      </c>
      <c r="J2139" s="0" t="str">
        <f aca="false">I2139&amp;"-Q"&amp;ROUNDUP(MONTH(B2139)/3,0)</f>
        <v>2015-Q4</v>
      </c>
    </row>
    <row r="2140" customFormat="false" ht="15" hidden="false" customHeight="false" outlineLevel="0" collapsed="false">
      <c r="A2140" s="0" t="s">
        <v>1117</v>
      </c>
      <c r="B2140" s="6" t="n">
        <v>43055</v>
      </c>
      <c r="C2140" s="7" t="s">
        <v>55</v>
      </c>
      <c r="D2140" s="7" t="s">
        <v>76</v>
      </c>
      <c r="E2140" s="7" t="s">
        <v>35</v>
      </c>
      <c r="F2140" s="0" t="n">
        <v>146.82</v>
      </c>
      <c r="G2140" s="0" t="n">
        <v>73.41</v>
      </c>
      <c r="H2140" s="0" t="n">
        <v>0</v>
      </c>
      <c r="I2140" s="7" t="n">
        <f aca="false">YEAR(B2140)</f>
        <v>2017</v>
      </c>
      <c r="J2140" s="0" t="str">
        <f aca="false">I2140&amp;"-Q"&amp;ROUNDUP(MONTH(B2140)/3,0)</f>
        <v>2017-Q4</v>
      </c>
    </row>
    <row r="2141" customFormat="false" ht="15" hidden="false" customHeight="false" outlineLevel="0" collapsed="false">
      <c r="A2141" s="0" t="s">
        <v>1118</v>
      </c>
      <c r="B2141" s="6" t="n">
        <v>41796</v>
      </c>
      <c r="C2141" s="7" t="s">
        <v>55</v>
      </c>
      <c r="D2141" s="7" t="s">
        <v>76</v>
      </c>
      <c r="E2141" s="7" t="s">
        <v>35</v>
      </c>
      <c r="F2141" s="0" t="n">
        <v>149.544</v>
      </c>
      <c r="G2141" s="0" t="n">
        <v>50.4711</v>
      </c>
      <c r="H2141" s="0" t="n">
        <v>0.2</v>
      </c>
      <c r="I2141" s="7" t="n">
        <f aca="false">YEAR(B2141)</f>
        <v>2014</v>
      </c>
      <c r="J2141" s="0" t="str">
        <f aca="false">I2141&amp;"-Q"&amp;ROUNDUP(MONTH(B2141)/3,0)</f>
        <v>2014-Q2</v>
      </c>
    </row>
    <row r="2142" customFormat="false" ht="15" hidden="false" customHeight="false" outlineLevel="0" collapsed="false">
      <c r="A2142" s="0" t="s">
        <v>1118</v>
      </c>
      <c r="B2142" s="6" t="n">
        <v>41796</v>
      </c>
      <c r="C2142" s="7" t="s">
        <v>55</v>
      </c>
      <c r="D2142" s="7" t="s">
        <v>76</v>
      </c>
      <c r="E2142" s="7" t="s">
        <v>35</v>
      </c>
      <c r="F2142" s="0" t="n">
        <v>17.14</v>
      </c>
      <c r="G2142" s="0" t="n">
        <v>4.4564</v>
      </c>
      <c r="H2142" s="0" t="n">
        <v>0</v>
      </c>
      <c r="I2142" s="7" t="n">
        <f aca="false">YEAR(B2142)</f>
        <v>2014</v>
      </c>
      <c r="J2142" s="0" t="str">
        <f aca="false">I2142&amp;"-Q"&amp;ROUNDUP(MONTH(B2142)/3,0)</f>
        <v>2014-Q2</v>
      </c>
    </row>
    <row r="2143" customFormat="false" ht="15" hidden="false" customHeight="false" outlineLevel="0" collapsed="false">
      <c r="A2143" s="0" t="s">
        <v>1118</v>
      </c>
      <c r="B2143" s="6" t="n">
        <v>41796</v>
      </c>
      <c r="C2143" s="7" t="s">
        <v>55</v>
      </c>
      <c r="D2143" s="7" t="s">
        <v>76</v>
      </c>
      <c r="E2143" s="7" t="s">
        <v>31</v>
      </c>
      <c r="F2143" s="0" t="n">
        <v>991.764</v>
      </c>
      <c r="G2143" s="0" t="n">
        <v>-347.1174</v>
      </c>
      <c r="H2143" s="0" t="n">
        <v>0.4</v>
      </c>
      <c r="I2143" s="7" t="n">
        <f aca="false">YEAR(B2143)</f>
        <v>2014</v>
      </c>
      <c r="J2143" s="0" t="str">
        <f aca="false">I2143&amp;"-Q"&amp;ROUNDUP(MONTH(B2143)/3,0)</f>
        <v>2014-Q2</v>
      </c>
    </row>
    <row r="2144" customFormat="false" ht="15" hidden="false" customHeight="false" outlineLevel="0" collapsed="false">
      <c r="A2144" s="0" t="s">
        <v>1119</v>
      </c>
      <c r="B2144" s="6" t="n">
        <v>42614</v>
      </c>
      <c r="C2144" s="7" t="s">
        <v>55</v>
      </c>
      <c r="D2144" s="7" t="s">
        <v>56</v>
      </c>
      <c r="E2144" s="7" t="s">
        <v>35</v>
      </c>
      <c r="F2144" s="0" t="n">
        <v>30.48</v>
      </c>
      <c r="G2144" s="0" t="n">
        <v>9.906</v>
      </c>
      <c r="H2144" s="0" t="n">
        <v>0.2</v>
      </c>
      <c r="I2144" s="7" t="n">
        <f aca="false">YEAR(B2144)</f>
        <v>2016</v>
      </c>
      <c r="J2144" s="0" t="str">
        <f aca="false">I2144&amp;"-Q"&amp;ROUNDUP(MONTH(B2144)/3,0)</f>
        <v>2016-Q3</v>
      </c>
    </row>
    <row r="2145" customFormat="false" ht="15" hidden="false" customHeight="false" outlineLevel="0" collapsed="false">
      <c r="A2145" s="0" t="s">
        <v>1119</v>
      </c>
      <c r="B2145" s="6" t="n">
        <v>42614</v>
      </c>
      <c r="C2145" s="7" t="s">
        <v>55</v>
      </c>
      <c r="D2145" s="7" t="s">
        <v>56</v>
      </c>
      <c r="E2145" s="7" t="s">
        <v>39</v>
      </c>
      <c r="F2145" s="0" t="n">
        <v>23.988</v>
      </c>
      <c r="G2145" s="0" t="n">
        <v>-4.7976</v>
      </c>
      <c r="H2145" s="0" t="n">
        <v>0.4</v>
      </c>
      <c r="I2145" s="7" t="n">
        <f aca="false">YEAR(B2145)</f>
        <v>2016</v>
      </c>
      <c r="J2145" s="0" t="str">
        <f aca="false">I2145&amp;"-Q"&amp;ROUNDUP(MONTH(B2145)/3,0)</f>
        <v>2016-Q3</v>
      </c>
    </row>
    <row r="2146" customFormat="false" ht="15" hidden="false" customHeight="false" outlineLevel="0" collapsed="false">
      <c r="A2146" s="0" t="s">
        <v>1119</v>
      </c>
      <c r="B2146" s="6" t="n">
        <v>42614</v>
      </c>
      <c r="C2146" s="7" t="s">
        <v>55</v>
      </c>
      <c r="D2146" s="7" t="s">
        <v>56</v>
      </c>
      <c r="E2146" s="7" t="s">
        <v>35</v>
      </c>
      <c r="F2146" s="0" t="n">
        <v>16.688</v>
      </c>
      <c r="G2146" s="0" t="n">
        <v>5.4236</v>
      </c>
      <c r="H2146" s="0" t="n">
        <v>0.2</v>
      </c>
      <c r="I2146" s="7" t="n">
        <f aca="false">YEAR(B2146)</f>
        <v>2016</v>
      </c>
      <c r="J2146" s="0" t="str">
        <f aca="false">I2146&amp;"-Q"&amp;ROUNDUP(MONTH(B2146)/3,0)</f>
        <v>2016-Q3</v>
      </c>
    </row>
    <row r="2147" customFormat="false" ht="15" hidden="false" customHeight="false" outlineLevel="0" collapsed="false">
      <c r="A2147" s="0" t="s">
        <v>1120</v>
      </c>
      <c r="B2147" s="6" t="n">
        <v>42546</v>
      </c>
      <c r="C2147" s="7" t="s">
        <v>55</v>
      </c>
      <c r="D2147" s="7" t="s">
        <v>56</v>
      </c>
      <c r="E2147" s="7" t="s">
        <v>31</v>
      </c>
      <c r="F2147" s="0" t="n">
        <v>422.058</v>
      </c>
      <c r="G2147" s="0" t="n">
        <v>-18.0882</v>
      </c>
      <c r="H2147" s="0" t="n">
        <v>0.3</v>
      </c>
      <c r="I2147" s="7" t="n">
        <f aca="false">YEAR(B2147)</f>
        <v>2016</v>
      </c>
      <c r="J2147" s="0" t="str">
        <f aca="false">I2147&amp;"-Q"&amp;ROUNDUP(MONTH(B2147)/3,0)</f>
        <v>2016-Q2</v>
      </c>
    </row>
    <row r="2148" customFormat="false" ht="15" hidden="false" customHeight="false" outlineLevel="0" collapsed="false">
      <c r="A2148" s="0" t="s">
        <v>1120</v>
      </c>
      <c r="B2148" s="6" t="n">
        <v>42546</v>
      </c>
      <c r="C2148" s="7" t="s">
        <v>55</v>
      </c>
      <c r="D2148" s="7" t="s">
        <v>56</v>
      </c>
      <c r="E2148" s="7" t="s">
        <v>35</v>
      </c>
      <c r="F2148" s="0" t="n">
        <v>38.088</v>
      </c>
      <c r="G2148" s="0" t="n">
        <v>-27.9312</v>
      </c>
      <c r="H2148" s="0" t="n">
        <v>0.7</v>
      </c>
      <c r="I2148" s="7" t="n">
        <f aca="false">YEAR(B2148)</f>
        <v>2016</v>
      </c>
      <c r="J2148" s="0" t="str">
        <f aca="false">I2148&amp;"-Q"&amp;ROUNDUP(MONTH(B2148)/3,0)</f>
        <v>2016-Q2</v>
      </c>
    </row>
    <row r="2149" customFormat="false" ht="15" hidden="false" customHeight="false" outlineLevel="0" collapsed="false">
      <c r="A2149" s="0" t="s">
        <v>1120</v>
      </c>
      <c r="B2149" s="6" t="n">
        <v>42546</v>
      </c>
      <c r="C2149" s="7" t="s">
        <v>55</v>
      </c>
      <c r="D2149" s="7" t="s">
        <v>56</v>
      </c>
      <c r="E2149" s="7" t="s">
        <v>35</v>
      </c>
      <c r="F2149" s="0" t="n">
        <v>254.352</v>
      </c>
      <c r="G2149" s="0" t="n">
        <v>-50.8704</v>
      </c>
      <c r="H2149" s="0" t="n">
        <v>0.2</v>
      </c>
      <c r="I2149" s="7" t="n">
        <f aca="false">YEAR(B2149)</f>
        <v>2016</v>
      </c>
      <c r="J2149" s="0" t="str">
        <f aca="false">I2149&amp;"-Q"&amp;ROUNDUP(MONTH(B2149)/3,0)</f>
        <v>2016-Q2</v>
      </c>
    </row>
    <row r="2150" customFormat="false" ht="15" hidden="false" customHeight="false" outlineLevel="0" collapsed="false">
      <c r="A2150" s="0" t="s">
        <v>1121</v>
      </c>
      <c r="B2150" s="6" t="n">
        <v>41985</v>
      </c>
      <c r="C2150" s="7" t="s">
        <v>33</v>
      </c>
      <c r="D2150" s="7" t="s">
        <v>34</v>
      </c>
      <c r="E2150" s="7" t="s">
        <v>31</v>
      </c>
      <c r="F2150" s="0" t="n">
        <v>43.31</v>
      </c>
      <c r="G2150" s="0" t="n">
        <v>4.331</v>
      </c>
      <c r="H2150" s="0" t="n">
        <v>0</v>
      </c>
      <c r="I2150" s="7" t="n">
        <f aca="false">YEAR(B2150)</f>
        <v>2014</v>
      </c>
      <c r="J2150" s="0" t="str">
        <f aca="false">I2150&amp;"-Q"&amp;ROUNDUP(MONTH(B2150)/3,0)</f>
        <v>2014-Q4</v>
      </c>
    </row>
    <row r="2151" customFormat="false" ht="15" hidden="false" customHeight="false" outlineLevel="0" collapsed="false">
      <c r="A2151" s="0" t="s">
        <v>1122</v>
      </c>
      <c r="B2151" s="6" t="n">
        <v>42825</v>
      </c>
      <c r="C2151" s="7" t="s">
        <v>55</v>
      </c>
      <c r="D2151" s="7" t="s">
        <v>76</v>
      </c>
      <c r="E2151" s="7" t="s">
        <v>39</v>
      </c>
      <c r="F2151" s="0" t="n">
        <v>84.95</v>
      </c>
      <c r="G2151" s="0" t="n">
        <v>22.087</v>
      </c>
      <c r="H2151" s="0" t="n">
        <v>0</v>
      </c>
      <c r="I2151" s="7" t="n">
        <f aca="false">YEAR(B2151)</f>
        <v>2017</v>
      </c>
      <c r="J2151" s="0" t="str">
        <f aca="false">I2151&amp;"-Q"&amp;ROUNDUP(MONTH(B2151)/3,0)</f>
        <v>2017-Q1</v>
      </c>
    </row>
    <row r="2152" customFormat="false" ht="15" hidden="false" customHeight="false" outlineLevel="0" collapsed="false">
      <c r="A2152" s="0" t="s">
        <v>1123</v>
      </c>
      <c r="B2152" s="6" t="n">
        <v>43058</v>
      </c>
      <c r="C2152" s="7" t="s">
        <v>45</v>
      </c>
      <c r="D2152" s="7" t="s">
        <v>46</v>
      </c>
      <c r="E2152" s="7" t="s">
        <v>31</v>
      </c>
      <c r="F2152" s="0" t="n">
        <v>233.058</v>
      </c>
      <c r="G2152" s="0" t="n">
        <v>-53.2704</v>
      </c>
      <c r="H2152" s="0" t="n">
        <v>0.3</v>
      </c>
      <c r="I2152" s="7" t="n">
        <f aca="false">YEAR(B2152)</f>
        <v>2017</v>
      </c>
      <c r="J2152" s="0" t="str">
        <f aca="false">I2152&amp;"-Q"&amp;ROUNDUP(MONTH(B2152)/3,0)</f>
        <v>2017-Q4</v>
      </c>
    </row>
    <row r="2153" customFormat="false" ht="15" hidden="false" customHeight="false" outlineLevel="0" collapsed="false">
      <c r="A2153" s="0" t="s">
        <v>1124</v>
      </c>
      <c r="B2153" s="6" t="n">
        <v>41967</v>
      </c>
      <c r="C2153" s="7" t="s">
        <v>45</v>
      </c>
      <c r="D2153" s="7" t="s">
        <v>129</v>
      </c>
      <c r="E2153" s="7" t="s">
        <v>39</v>
      </c>
      <c r="F2153" s="0" t="n">
        <v>111.79</v>
      </c>
      <c r="G2153" s="0" t="n">
        <v>43.5981</v>
      </c>
      <c r="H2153" s="0" t="n">
        <v>0</v>
      </c>
      <c r="I2153" s="7" t="n">
        <f aca="false">YEAR(B2153)</f>
        <v>2014</v>
      </c>
      <c r="J2153" s="0" t="str">
        <f aca="false">I2153&amp;"-Q"&amp;ROUNDUP(MONTH(B2153)/3,0)</f>
        <v>2014-Q4</v>
      </c>
    </row>
    <row r="2154" customFormat="false" ht="15" hidden="false" customHeight="false" outlineLevel="0" collapsed="false">
      <c r="A2154" s="0" t="s">
        <v>1125</v>
      </c>
      <c r="B2154" s="6" t="n">
        <v>42330</v>
      </c>
      <c r="C2154" s="7" t="s">
        <v>55</v>
      </c>
      <c r="D2154" s="7" t="s">
        <v>225</v>
      </c>
      <c r="E2154" s="7" t="s">
        <v>35</v>
      </c>
      <c r="F2154" s="0" t="n">
        <v>14.94</v>
      </c>
      <c r="G2154" s="0" t="n">
        <v>7.0218</v>
      </c>
      <c r="H2154" s="0" t="n">
        <v>0</v>
      </c>
      <c r="I2154" s="7" t="n">
        <f aca="false">YEAR(B2154)</f>
        <v>2015</v>
      </c>
      <c r="J2154" s="0" t="str">
        <f aca="false">I2154&amp;"-Q"&amp;ROUNDUP(MONTH(B2154)/3,0)</f>
        <v>2015-Q4</v>
      </c>
    </row>
    <row r="2155" customFormat="false" ht="15" hidden="false" customHeight="false" outlineLevel="0" collapsed="false">
      <c r="A2155" s="0" t="s">
        <v>1126</v>
      </c>
      <c r="B2155" s="6" t="n">
        <v>42565</v>
      </c>
      <c r="C2155" s="7" t="s">
        <v>55</v>
      </c>
      <c r="D2155" s="7" t="s">
        <v>76</v>
      </c>
      <c r="E2155" s="7" t="s">
        <v>35</v>
      </c>
      <c r="F2155" s="0" t="n">
        <v>14.16</v>
      </c>
      <c r="G2155" s="0" t="n">
        <v>5.133</v>
      </c>
      <c r="H2155" s="0" t="n">
        <v>0.2</v>
      </c>
      <c r="I2155" s="7" t="n">
        <f aca="false">YEAR(B2155)</f>
        <v>2016</v>
      </c>
      <c r="J2155" s="0" t="str">
        <f aca="false">I2155&amp;"-Q"&amp;ROUNDUP(MONTH(B2155)/3,0)</f>
        <v>2016-Q3</v>
      </c>
    </row>
    <row r="2156" customFormat="false" ht="15" hidden="false" customHeight="false" outlineLevel="0" collapsed="false">
      <c r="A2156" s="0" t="s">
        <v>1127</v>
      </c>
      <c r="B2156" s="6" t="n">
        <v>42490</v>
      </c>
      <c r="C2156" s="7" t="s">
        <v>45</v>
      </c>
      <c r="D2156" s="7" t="s">
        <v>46</v>
      </c>
      <c r="E2156" s="7" t="s">
        <v>31</v>
      </c>
      <c r="F2156" s="0" t="n">
        <v>22.608</v>
      </c>
      <c r="G2156" s="0" t="n">
        <v>-10.1736</v>
      </c>
      <c r="H2156" s="0" t="n">
        <v>0.6</v>
      </c>
      <c r="I2156" s="7" t="n">
        <f aca="false">YEAR(B2156)</f>
        <v>2016</v>
      </c>
      <c r="J2156" s="0" t="str">
        <f aca="false">I2156&amp;"-Q"&amp;ROUNDUP(MONTH(B2156)/3,0)</f>
        <v>2016-Q2</v>
      </c>
    </row>
    <row r="2157" customFormat="false" ht="15" hidden="false" customHeight="false" outlineLevel="0" collapsed="false">
      <c r="A2157" s="0" t="s">
        <v>1128</v>
      </c>
      <c r="B2157" s="6" t="n">
        <v>42576</v>
      </c>
      <c r="C2157" s="7" t="s">
        <v>33</v>
      </c>
      <c r="D2157" s="7" t="s">
        <v>34</v>
      </c>
      <c r="E2157" s="7" t="s">
        <v>35</v>
      </c>
      <c r="F2157" s="0" t="n">
        <v>21.48</v>
      </c>
      <c r="G2157" s="0" t="n">
        <v>10.74</v>
      </c>
      <c r="H2157" s="0" t="n">
        <v>0</v>
      </c>
      <c r="I2157" s="7" t="n">
        <f aca="false">YEAR(B2157)</f>
        <v>2016</v>
      </c>
      <c r="J2157" s="0" t="str">
        <f aca="false">I2157&amp;"-Q"&amp;ROUNDUP(MONTH(B2157)/3,0)</f>
        <v>2016-Q3</v>
      </c>
    </row>
    <row r="2158" customFormat="false" ht="15" hidden="false" customHeight="false" outlineLevel="0" collapsed="false">
      <c r="A2158" s="0" t="s">
        <v>1129</v>
      </c>
      <c r="B2158" s="6" t="n">
        <v>41812</v>
      </c>
      <c r="C2158" s="7" t="s">
        <v>45</v>
      </c>
      <c r="D2158" s="7" t="s">
        <v>68</v>
      </c>
      <c r="E2158" s="7" t="s">
        <v>35</v>
      </c>
      <c r="F2158" s="0" t="n">
        <v>501.81</v>
      </c>
      <c r="G2158" s="0" t="n">
        <v>0</v>
      </c>
      <c r="H2158" s="0" t="n">
        <v>0</v>
      </c>
      <c r="I2158" s="7" t="n">
        <f aca="false">YEAR(B2158)</f>
        <v>2014</v>
      </c>
      <c r="J2158" s="0" t="str">
        <f aca="false">I2158&amp;"-Q"&amp;ROUNDUP(MONTH(B2158)/3,0)</f>
        <v>2014-Q2</v>
      </c>
    </row>
    <row r="2159" customFormat="false" ht="15" hidden="false" customHeight="false" outlineLevel="0" collapsed="false">
      <c r="A2159" s="0" t="s">
        <v>1129</v>
      </c>
      <c r="B2159" s="6" t="n">
        <v>41812</v>
      </c>
      <c r="C2159" s="7" t="s">
        <v>45</v>
      </c>
      <c r="D2159" s="7" t="s">
        <v>68</v>
      </c>
      <c r="E2159" s="7" t="s">
        <v>35</v>
      </c>
      <c r="F2159" s="0" t="n">
        <v>161.94</v>
      </c>
      <c r="G2159" s="0" t="n">
        <v>9.7164</v>
      </c>
      <c r="H2159" s="0" t="n">
        <v>0</v>
      </c>
      <c r="I2159" s="7" t="n">
        <f aca="false">YEAR(B2159)</f>
        <v>2014</v>
      </c>
      <c r="J2159" s="0" t="str">
        <f aca="false">I2159&amp;"-Q"&amp;ROUNDUP(MONTH(B2159)/3,0)</f>
        <v>2014-Q2</v>
      </c>
    </row>
    <row r="2160" customFormat="false" ht="15" hidden="false" customHeight="false" outlineLevel="0" collapsed="false">
      <c r="A2160" s="0" t="s">
        <v>1130</v>
      </c>
      <c r="B2160" s="6" t="n">
        <v>43029</v>
      </c>
      <c r="C2160" s="7" t="s">
        <v>29</v>
      </c>
      <c r="D2160" s="7" t="s">
        <v>37</v>
      </c>
      <c r="E2160" s="7" t="s">
        <v>35</v>
      </c>
      <c r="F2160" s="0" t="n">
        <v>17.856</v>
      </c>
      <c r="G2160" s="0" t="n">
        <v>2.0088</v>
      </c>
      <c r="H2160" s="0" t="n">
        <v>0.2</v>
      </c>
      <c r="I2160" s="7" t="n">
        <f aca="false">YEAR(B2160)</f>
        <v>2017</v>
      </c>
      <c r="J2160" s="0" t="str">
        <f aca="false">I2160&amp;"-Q"&amp;ROUNDUP(MONTH(B2160)/3,0)</f>
        <v>2017-Q4</v>
      </c>
    </row>
    <row r="2161" customFormat="false" ht="15" hidden="false" customHeight="false" outlineLevel="0" collapsed="false">
      <c r="A2161" s="0" t="s">
        <v>1131</v>
      </c>
      <c r="B2161" s="6" t="n">
        <v>42616</v>
      </c>
      <c r="C2161" s="7" t="s">
        <v>45</v>
      </c>
      <c r="D2161" s="7" t="s">
        <v>64</v>
      </c>
      <c r="E2161" s="7" t="s">
        <v>35</v>
      </c>
      <c r="F2161" s="0" t="n">
        <v>8.808</v>
      </c>
      <c r="G2161" s="0" t="n">
        <v>-14.9736</v>
      </c>
      <c r="H2161" s="0" t="n">
        <v>0.8</v>
      </c>
      <c r="I2161" s="7" t="n">
        <f aca="false">YEAR(B2161)</f>
        <v>2016</v>
      </c>
      <c r="J2161" s="0" t="str">
        <f aca="false">I2161&amp;"-Q"&amp;ROUNDUP(MONTH(B2161)/3,0)</f>
        <v>2016-Q3</v>
      </c>
    </row>
    <row r="2162" customFormat="false" ht="15" hidden="false" customHeight="false" outlineLevel="0" collapsed="false">
      <c r="A2162" s="0" t="s">
        <v>1132</v>
      </c>
      <c r="B2162" s="6" t="n">
        <v>42504</v>
      </c>
      <c r="C2162" s="7" t="s">
        <v>55</v>
      </c>
      <c r="D2162" s="7" t="s">
        <v>116</v>
      </c>
      <c r="E2162" s="7" t="s">
        <v>31</v>
      </c>
      <c r="F2162" s="0" t="n">
        <v>79.384</v>
      </c>
      <c r="G2162" s="0" t="n">
        <v>29.769</v>
      </c>
      <c r="H2162" s="0" t="n">
        <v>0.2</v>
      </c>
      <c r="I2162" s="7" t="n">
        <f aca="false">YEAR(B2162)</f>
        <v>2016</v>
      </c>
      <c r="J2162" s="0" t="str">
        <f aca="false">I2162&amp;"-Q"&amp;ROUNDUP(MONTH(B2162)/3,0)</f>
        <v>2016-Q2</v>
      </c>
    </row>
    <row r="2163" customFormat="false" ht="15" hidden="false" customHeight="false" outlineLevel="0" collapsed="false">
      <c r="A2163" s="0" t="s">
        <v>1133</v>
      </c>
      <c r="B2163" s="6" t="n">
        <v>42376</v>
      </c>
      <c r="C2163" s="7" t="s">
        <v>33</v>
      </c>
      <c r="D2163" s="7" t="s">
        <v>34</v>
      </c>
      <c r="E2163" s="7" t="s">
        <v>35</v>
      </c>
      <c r="F2163" s="0" t="n">
        <v>34.58</v>
      </c>
      <c r="G2163" s="0" t="n">
        <v>10.0282</v>
      </c>
      <c r="H2163" s="0" t="n">
        <v>0</v>
      </c>
      <c r="I2163" s="7" t="n">
        <f aca="false">YEAR(B2163)</f>
        <v>2016</v>
      </c>
      <c r="J2163" s="0" t="str">
        <f aca="false">I2163&amp;"-Q"&amp;ROUNDUP(MONTH(B2163)/3,0)</f>
        <v>2016-Q1</v>
      </c>
    </row>
    <row r="2164" customFormat="false" ht="15" hidden="false" customHeight="false" outlineLevel="0" collapsed="false">
      <c r="A2164" s="0" t="s">
        <v>1134</v>
      </c>
      <c r="B2164" s="6" t="n">
        <v>42807</v>
      </c>
      <c r="C2164" s="7" t="s">
        <v>33</v>
      </c>
      <c r="D2164" s="7" t="s">
        <v>34</v>
      </c>
      <c r="E2164" s="7" t="s">
        <v>35</v>
      </c>
      <c r="F2164" s="0" t="n">
        <v>314.55</v>
      </c>
      <c r="G2164" s="0" t="n">
        <v>150.984</v>
      </c>
      <c r="H2164" s="0" t="n">
        <v>0</v>
      </c>
      <c r="I2164" s="7" t="n">
        <f aca="false">YEAR(B2164)</f>
        <v>2017</v>
      </c>
      <c r="J2164" s="0" t="str">
        <f aca="false">I2164&amp;"-Q"&amp;ROUNDUP(MONTH(B2164)/3,0)</f>
        <v>2017-Q1</v>
      </c>
    </row>
    <row r="2165" customFormat="false" ht="15" hidden="false" customHeight="false" outlineLevel="0" collapsed="false">
      <c r="A2165" s="0" t="s">
        <v>1135</v>
      </c>
      <c r="B2165" s="6" t="n">
        <v>42656</v>
      </c>
      <c r="C2165" s="7" t="s">
        <v>45</v>
      </c>
      <c r="D2165" s="7" t="s">
        <v>46</v>
      </c>
      <c r="E2165" s="7" t="s">
        <v>39</v>
      </c>
      <c r="F2165" s="0" t="n">
        <v>191.976</v>
      </c>
      <c r="G2165" s="0" t="n">
        <v>23.997</v>
      </c>
      <c r="H2165" s="0" t="n">
        <v>0.2</v>
      </c>
      <c r="I2165" s="7" t="n">
        <f aca="false">YEAR(B2165)</f>
        <v>2016</v>
      </c>
      <c r="J2165" s="0" t="str">
        <f aca="false">I2165&amp;"-Q"&amp;ROUNDUP(MONTH(B2165)/3,0)</f>
        <v>2016-Q4</v>
      </c>
    </row>
    <row r="2166" customFormat="false" ht="15" hidden="false" customHeight="false" outlineLevel="0" collapsed="false">
      <c r="A2166" s="0" t="s">
        <v>1135</v>
      </c>
      <c r="B2166" s="6" t="n">
        <v>42656</v>
      </c>
      <c r="C2166" s="7" t="s">
        <v>45</v>
      </c>
      <c r="D2166" s="7" t="s">
        <v>46</v>
      </c>
      <c r="E2166" s="7" t="s">
        <v>35</v>
      </c>
      <c r="F2166" s="0" t="n">
        <v>8.288</v>
      </c>
      <c r="G2166" s="0" t="n">
        <v>3.0044</v>
      </c>
      <c r="H2166" s="0" t="n">
        <v>0.2</v>
      </c>
      <c r="I2166" s="7" t="n">
        <f aca="false">YEAR(B2166)</f>
        <v>2016</v>
      </c>
      <c r="J2166" s="0" t="str">
        <f aca="false">I2166&amp;"-Q"&amp;ROUNDUP(MONTH(B2166)/3,0)</f>
        <v>2016-Q4</v>
      </c>
    </row>
    <row r="2167" customFormat="false" ht="15" hidden="false" customHeight="false" outlineLevel="0" collapsed="false">
      <c r="A2167" s="0" t="s">
        <v>1135</v>
      </c>
      <c r="B2167" s="6" t="n">
        <v>42656</v>
      </c>
      <c r="C2167" s="7" t="s">
        <v>45</v>
      </c>
      <c r="D2167" s="7" t="s">
        <v>46</v>
      </c>
      <c r="E2167" s="7" t="s">
        <v>31</v>
      </c>
      <c r="F2167" s="0" t="n">
        <v>139.92</v>
      </c>
      <c r="G2167" s="0" t="n">
        <v>-150.414</v>
      </c>
      <c r="H2167" s="0" t="n">
        <v>0.6</v>
      </c>
      <c r="I2167" s="7" t="n">
        <f aca="false">YEAR(B2167)</f>
        <v>2016</v>
      </c>
      <c r="J2167" s="0" t="str">
        <f aca="false">I2167&amp;"-Q"&amp;ROUNDUP(MONTH(B2167)/3,0)</f>
        <v>2016-Q4</v>
      </c>
    </row>
    <row r="2168" customFormat="false" ht="15" hidden="false" customHeight="false" outlineLevel="0" collapsed="false">
      <c r="A2168" s="0" t="s">
        <v>1135</v>
      </c>
      <c r="B2168" s="6" t="n">
        <v>42656</v>
      </c>
      <c r="C2168" s="7" t="s">
        <v>45</v>
      </c>
      <c r="D2168" s="7" t="s">
        <v>46</v>
      </c>
      <c r="E2168" s="7" t="s">
        <v>35</v>
      </c>
      <c r="F2168" s="0" t="n">
        <v>15.872</v>
      </c>
      <c r="G2168" s="0" t="n">
        <v>1.1904</v>
      </c>
      <c r="H2168" s="0" t="n">
        <v>0.2</v>
      </c>
      <c r="I2168" s="7" t="n">
        <f aca="false">YEAR(B2168)</f>
        <v>2016</v>
      </c>
      <c r="J2168" s="0" t="str">
        <f aca="false">I2168&amp;"-Q"&amp;ROUNDUP(MONTH(B2168)/3,0)</f>
        <v>2016-Q4</v>
      </c>
    </row>
    <row r="2169" customFormat="false" ht="15" hidden="false" customHeight="false" outlineLevel="0" collapsed="false">
      <c r="A2169" s="0" t="s">
        <v>1135</v>
      </c>
      <c r="B2169" s="6" t="n">
        <v>42656</v>
      </c>
      <c r="C2169" s="7" t="s">
        <v>45</v>
      </c>
      <c r="D2169" s="7" t="s">
        <v>46</v>
      </c>
      <c r="E2169" s="7" t="s">
        <v>35</v>
      </c>
      <c r="F2169" s="0" t="n">
        <v>6.286</v>
      </c>
      <c r="G2169" s="0" t="n">
        <v>-11.0005</v>
      </c>
      <c r="H2169" s="0" t="n">
        <v>0.8</v>
      </c>
      <c r="I2169" s="7" t="n">
        <f aca="false">YEAR(B2169)</f>
        <v>2016</v>
      </c>
      <c r="J2169" s="0" t="str">
        <f aca="false">I2169&amp;"-Q"&amp;ROUNDUP(MONTH(B2169)/3,0)</f>
        <v>2016-Q4</v>
      </c>
    </row>
    <row r="2170" customFormat="false" ht="15" hidden="false" customHeight="false" outlineLevel="0" collapsed="false">
      <c r="A2170" s="0" t="s">
        <v>1136</v>
      </c>
      <c r="B2170" s="6" t="n">
        <v>42762</v>
      </c>
      <c r="C2170" s="7" t="s">
        <v>55</v>
      </c>
      <c r="D2170" s="7" t="s">
        <v>116</v>
      </c>
      <c r="E2170" s="7" t="s">
        <v>35</v>
      </c>
      <c r="F2170" s="0" t="n">
        <v>14.016</v>
      </c>
      <c r="G2170" s="0" t="n">
        <v>1.752</v>
      </c>
      <c r="H2170" s="0" t="n">
        <v>0.2</v>
      </c>
      <c r="I2170" s="7" t="n">
        <f aca="false">YEAR(B2170)</f>
        <v>2017</v>
      </c>
      <c r="J2170" s="0" t="str">
        <f aca="false">I2170&amp;"-Q"&amp;ROUNDUP(MONTH(B2170)/3,0)</f>
        <v>2017-Q1</v>
      </c>
    </row>
    <row r="2171" customFormat="false" ht="15" hidden="false" customHeight="false" outlineLevel="0" collapsed="false">
      <c r="A2171" s="0" t="s">
        <v>1136</v>
      </c>
      <c r="B2171" s="6" t="n">
        <v>42762</v>
      </c>
      <c r="C2171" s="7" t="s">
        <v>55</v>
      </c>
      <c r="D2171" s="7" t="s">
        <v>116</v>
      </c>
      <c r="E2171" s="7" t="s">
        <v>39</v>
      </c>
      <c r="F2171" s="0" t="n">
        <v>71.976</v>
      </c>
      <c r="G2171" s="0" t="n">
        <v>-8.997</v>
      </c>
      <c r="H2171" s="0" t="n">
        <v>0.2</v>
      </c>
      <c r="I2171" s="7" t="n">
        <f aca="false">YEAR(B2171)</f>
        <v>2017</v>
      </c>
      <c r="J2171" s="0" t="str">
        <f aca="false">I2171&amp;"-Q"&amp;ROUNDUP(MONTH(B2171)/3,0)</f>
        <v>2017-Q1</v>
      </c>
    </row>
    <row r="2172" customFormat="false" ht="15" hidden="false" customHeight="false" outlineLevel="0" collapsed="false">
      <c r="A2172" s="0" t="s">
        <v>1136</v>
      </c>
      <c r="B2172" s="6" t="n">
        <v>42762</v>
      </c>
      <c r="C2172" s="7" t="s">
        <v>55</v>
      </c>
      <c r="D2172" s="7" t="s">
        <v>116</v>
      </c>
      <c r="E2172" s="7" t="s">
        <v>39</v>
      </c>
      <c r="F2172" s="0" t="n">
        <v>107.982</v>
      </c>
      <c r="G2172" s="0" t="n">
        <v>-26.9955</v>
      </c>
      <c r="H2172" s="0" t="n">
        <v>0.4</v>
      </c>
      <c r="I2172" s="7" t="n">
        <f aca="false">YEAR(B2172)</f>
        <v>2017</v>
      </c>
      <c r="J2172" s="0" t="str">
        <f aca="false">I2172&amp;"-Q"&amp;ROUNDUP(MONTH(B2172)/3,0)</f>
        <v>2017-Q1</v>
      </c>
    </row>
    <row r="2173" customFormat="false" ht="15" hidden="false" customHeight="false" outlineLevel="0" collapsed="false">
      <c r="A2173" s="0" t="s">
        <v>1137</v>
      </c>
      <c r="B2173" s="6" t="n">
        <v>43058</v>
      </c>
      <c r="C2173" s="7" t="s">
        <v>45</v>
      </c>
      <c r="D2173" s="7" t="s">
        <v>46</v>
      </c>
      <c r="E2173" s="7" t="s">
        <v>31</v>
      </c>
      <c r="F2173" s="0" t="n">
        <v>305.312</v>
      </c>
      <c r="G2173" s="0" t="n">
        <v>-8.7232</v>
      </c>
      <c r="H2173" s="0" t="n">
        <v>0.3</v>
      </c>
      <c r="I2173" s="7" t="n">
        <f aca="false">YEAR(B2173)</f>
        <v>2017</v>
      </c>
      <c r="J2173" s="0" t="str">
        <f aca="false">I2173&amp;"-Q"&amp;ROUNDUP(MONTH(B2173)/3,0)</f>
        <v>2017-Q4</v>
      </c>
    </row>
    <row r="2174" customFormat="false" ht="15" hidden="false" customHeight="false" outlineLevel="0" collapsed="false">
      <c r="A2174" s="0" t="s">
        <v>1138</v>
      </c>
      <c r="B2174" s="6" t="n">
        <v>41852</v>
      </c>
      <c r="C2174" s="7" t="s">
        <v>33</v>
      </c>
      <c r="D2174" s="7" t="s">
        <v>34</v>
      </c>
      <c r="E2174" s="7" t="s">
        <v>35</v>
      </c>
      <c r="F2174" s="0" t="n">
        <v>19.752</v>
      </c>
      <c r="G2174" s="0" t="n">
        <v>6.9132</v>
      </c>
      <c r="H2174" s="0" t="n">
        <v>0.2</v>
      </c>
      <c r="I2174" s="7" t="n">
        <f aca="false">YEAR(B2174)</f>
        <v>2014</v>
      </c>
      <c r="J2174" s="0" t="str">
        <f aca="false">I2174&amp;"-Q"&amp;ROUNDUP(MONTH(B2174)/3,0)</f>
        <v>2014-Q3</v>
      </c>
    </row>
    <row r="2175" customFormat="false" ht="15" hidden="false" customHeight="false" outlineLevel="0" collapsed="false">
      <c r="A2175" s="0" t="s">
        <v>1139</v>
      </c>
      <c r="B2175" s="6" t="n">
        <v>42581</v>
      </c>
      <c r="C2175" s="7" t="s">
        <v>45</v>
      </c>
      <c r="D2175" s="7" t="s">
        <v>46</v>
      </c>
      <c r="E2175" s="7" t="s">
        <v>35</v>
      </c>
      <c r="F2175" s="0" t="n">
        <v>9.264</v>
      </c>
      <c r="G2175" s="0" t="n">
        <v>-13.896</v>
      </c>
      <c r="H2175" s="0" t="n">
        <v>0.8</v>
      </c>
      <c r="I2175" s="7" t="n">
        <f aca="false">YEAR(B2175)</f>
        <v>2016</v>
      </c>
      <c r="J2175" s="0" t="str">
        <f aca="false">I2175&amp;"-Q"&amp;ROUNDUP(MONTH(B2175)/3,0)</f>
        <v>2016-Q3</v>
      </c>
    </row>
    <row r="2176" customFormat="false" ht="15" hidden="false" customHeight="false" outlineLevel="0" collapsed="false">
      <c r="A2176" s="0" t="s">
        <v>1140</v>
      </c>
      <c r="B2176" s="6" t="n">
        <v>42215</v>
      </c>
      <c r="C2176" s="7" t="s">
        <v>45</v>
      </c>
      <c r="D2176" s="7" t="s">
        <v>46</v>
      </c>
      <c r="E2176" s="7" t="s">
        <v>35</v>
      </c>
      <c r="F2176" s="0" t="n">
        <v>61.792</v>
      </c>
      <c r="G2176" s="0" t="n">
        <v>6.1792</v>
      </c>
      <c r="H2176" s="0" t="n">
        <v>0.2</v>
      </c>
      <c r="I2176" s="7" t="n">
        <f aca="false">YEAR(B2176)</f>
        <v>2015</v>
      </c>
      <c r="J2176" s="0" t="str">
        <f aca="false">I2176&amp;"-Q"&amp;ROUNDUP(MONTH(B2176)/3,0)</f>
        <v>2015-Q3</v>
      </c>
    </row>
    <row r="2177" customFormat="false" ht="15" hidden="false" customHeight="false" outlineLevel="0" collapsed="false">
      <c r="A2177" s="0" t="s">
        <v>1141</v>
      </c>
      <c r="B2177" s="6" t="n">
        <v>42658</v>
      </c>
      <c r="C2177" s="7" t="s">
        <v>33</v>
      </c>
      <c r="D2177" s="7" t="s">
        <v>50</v>
      </c>
      <c r="E2177" s="7" t="s">
        <v>35</v>
      </c>
      <c r="F2177" s="0" t="n">
        <v>45.68</v>
      </c>
      <c r="G2177" s="0" t="n">
        <v>21.0128</v>
      </c>
      <c r="H2177" s="0" t="n">
        <v>0</v>
      </c>
      <c r="I2177" s="7" t="n">
        <f aca="false">YEAR(B2177)</f>
        <v>2016</v>
      </c>
      <c r="J2177" s="0" t="str">
        <f aca="false">I2177&amp;"-Q"&amp;ROUNDUP(MONTH(B2177)/3,0)</f>
        <v>2016-Q4</v>
      </c>
    </row>
    <row r="2178" customFormat="false" ht="15" hidden="false" customHeight="false" outlineLevel="0" collapsed="false">
      <c r="A2178" s="0" t="s">
        <v>1141</v>
      </c>
      <c r="B2178" s="6" t="n">
        <v>42658</v>
      </c>
      <c r="C2178" s="7" t="s">
        <v>33</v>
      </c>
      <c r="D2178" s="7" t="s">
        <v>50</v>
      </c>
      <c r="E2178" s="7" t="s">
        <v>35</v>
      </c>
      <c r="F2178" s="0" t="n">
        <v>60.12</v>
      </c>
      <c r="G2178" s="0" t="n">
        <v>28.8576</v>
      </c>
      <c r="H2178" s="0" t="n">
        <v>0</v>
      </c>
      <c r="I2178" s="7" t="n">
        <f aca="false">YEAR(B2178)</f>
        <v>2016</v>
      </c>
      <c r="J2178" s="0" t="str">
        <f aca="false">I2178&amp;"-Q"&amp;ROUNDUP(MONTH(B2178)/3,0)</f>
        <v>2016-Q4</v>
      </c>
    </row>
    <row r="2179" customFormat="false" ht="15" hidden="false" customHeight="false" outlineLevel="0" collapsed="false">
      <c r="A2179" s="0" t="s">
        <v>1141</v>
      </c>
      <c r="B2179" s="6" t="n">
        <v>42658</v>
      </c>
      <c r="C2179" s="7" t="s">
        <v>33</v>
      </c>
      <c r="D2179" s="7" t="s">
        <v>50</v>
      </c>
      <c r="E2179" s="7" t="s">
        <v>35</v>
      </c>
      <c r="F2179" s="0" t="n">
        <v>41.72</v>
      </c>
      <c r="G2179" s="0" t="n">
        <v>13.0375</v>
      </c>
      <c r="H2179" s="0" t="n">
        <v>0.2</v>
      </c>
      <c r="I2179" s="7" t="n">
        <f aca="false">YEAR(B2179)</f>
        <v>2016</v>
      </c>
      <c r="J2179" s="0" t="str">
        <f aca="false">I2179&amp;"-Q"&amp;ROUNDUP(MONTH(B2179)/3,0)</f>
        <v>2016-Q4</v>
      </c>
    </row>
    <row r="2180" customFormat="false" ht="15" hidden="false" customHeight="false" outlineLevel="0" collapsed="false">
      <c r="A2180" s="0" t="s">
        <v>1141</v>
      </c>
      <c r="B2180" s="6" t="n">
        <v>42658</v>
      </c>
      <c r="C2180" s="7" t="s">
        <v>33</v>
      </c>
      <c r="D2180" s="7" t="s">
        <v>50</v>
      </c>
      <c r="E2180" s="7" t="s">
        <v>35</v>
      </c>
      <c r="F2180" s="0" t="n">
        <v>71.6</v>
      </c>
      <c r="G2180" s="0" t="n">
        <v>32.936</v>
      </c>
      <c r="H2180" s="0" t="n">
        <v>0</v>
      </c>
      <c r="I2180" s="7" t="n">
        <f aca="false">YEAR(B2180)</f>
        <v>2016</v>
      </c>
      <c r="J2180" s="0" t="str">
        <f aca="false">I2180&amp;"-Q"&amp;ROUNDUP(MONTH(B2180)/3,0)</f>
        <v>2016-Q4</v>
      </c>
    </row>
    <row r="2181" customFormat="false" ht="15" hidden="false" customHeight="false" outlineLevel="0" collapsed="false">
      <c r="A2181" s="0" t="s">
        <v>1142</v>
      </c>
      <c r="B2181" s="6" t="n">
        <v>42497</v>
      </c>
      <c r="C2181" s="7" t="s">
        <v>55</v>
      </c>
      <c r="D2181" s="7" t="s">
        <v>76</v>
      </c>
      <c r="E2181" s="7" t="s">
        <v>35</v>
      </c>
      <c r="F2181" s="0" t="n">
        <v>85.232</v>
      </c>
      <c r="G2181" s="0" t="n">
        <v>30.8966</v>
      </c>
      <c r="H2181" s="0" t="n">
        <v>0.2</v>
      </c>
      <c r="I2181" s="7" t="n">
        <f aca="false">YEAR(B2181)</f>
        <v>2016</v>
      </c>
      <c r="J2181" s="0" t="str">
        <f aca="false">I2181&amp;"-Q"&amp;ROUNDUP(MONTH(B2181)/3,0)</f>
        <v>2016-Q2</v>
      </c>
    </row>
    <row r="2182" customFormat="false" ht="15" hidden="false" customHeight="false" outlineLevel="0" collapsed="false">
      <c r="A2182" s="0" t="s">
        <v>1142</v>
      </c>
      <c r="B2182" s="6" t="n">
        <v>42497</v>
      </c>
      <c r="C2182" s="7" t="s">
        <v>55</v>
      </c>
      <c r="D2182" s="7" t="s">
        <v>76</v>
      </c>
      <c r="E2182" s="7" t="s">
        <v>35</v>
      </c>
      <c r="F2182" s="0" t="n">
        <v>44.4</v>
      </c>
      <c r="G2182" s="0" t="n">
        <v>22.2</v>
      </c>
      <c r="H2182" s="0" t="n">
        <v>0</v>
      </c>
      <c r="I2182" s="7" t="n">
        <f aca="false">YEAR(B2182)</f>
        <v>2016</v>
      </c>
      <c r="J2182" s="0" t="str">
        <f aca="false">I2182&amp;"-Q"&amp;ROUNDUP(MONTH(B2182)/3,0)</f>
        <v>2016-Q2</v>
      </c>
    </row>
    <row r="2183" customFormat="false" ht="15" hidden="false" customHeight="false" outlineLevel="0" collapsed="false">
      <c r="A2183" s="0" t="s">
        <v>1142</v>
      </c>
      <c r="B2183" s="6" t="n">
        <v>42497</v>
      </c>
      <c r="C2183" s="7" t="s">
        <v>55</v>
      </c>
      <c r="D2183" s="7" t="s">
        <v>76</v>
      </c>
      <c r="E2183" s="7" t="s">
        <v>31</v>
      </c>
      <c r="F2183" s="0" t="n">
        <v>442.764</v>
      </c>
      <c r="G2183" s="0" t="n">
        <v>59.0352</v>
      </c>
      <c r="H2183" s="0" t="n">
        <v>0.1</v>
      </c>
      <c r="I2183" s="7" t="n">
        <f aca="false">YEAR(B2183)</f>
        <v>2016</v>
      </c>
      <c r="J2183" s="0" t="str">
        <f aca="false">I2183&amp;"-Q"&amp;ROUNDUP(MONTH(B2183)/3,0)</f>
        <v>2016-Q2</v>
      </c>
    </row>
    <row r="2184" customFormat="false" ht="15" hidden="false" customHeight="false" outlineLevel="0" collapsed="false">
      <c r="A2184" s="0" t="s">
        <v>1142</v>
      </c>
      <c r="B2184" s="6" t="n">
        <v>42497</v>
      </c>
      <c r="C2184" s="7" t="s">
        <v>55</v>
      </c>
      <c r="D2184" s="7" t="s">
        <v>76</v>
      </c>
      <c r="E2184" s="7" t="s">
        <v>39</v>
      </c>
      <c r="F2184" s="0" t="n">
        <v>3999.95</v>
      </c>
      <c r="G2184" s="0" t="n">
        <v>1159.9855</v>
      </c>
      <c r="H2184" s="0" t="n">
        <v>0</v>
      </c>
      <c r="I2184" s="7" t="n">
        <f aca="false">YEAR(B2184)</f>
        <v>2016</v>
      </c>
      <c r="J2184" s="0" t="str">
        <f aca="false">I2184&amp;"-Q"&amp;ROUNDUP(MONTH(B2184)/3,0)</f>
        <v>2016-Q2</v>
      </c>
    </row>
    <row r="2185" customFormat="false" ht="15" hidden="false" customHeight="false" outlineLevel="0" collapsed="false">
      <c r="A2185" s="0" t="s">
        <v>1142</v>
      </c>
      <c r="B2185" s="6" t="n">
        <v>42497</v>
      </c>
      <c r="C2185" s="7" t="s">
        <v>55</v>
      </c>
      <c r="D2185" s="7" t="s">
        <v>76</v>
      </c>
      <c r="E2185" s="7" t="s">
        <v>39</v>
      </c>
      <c r="F2185" s="0" t="n">
        <v>199.95</v>
      </c>
      <c r="G2185" s="0" t="n">
        <v>21.9945</v>
      </c>
      <c r="H2185" s="0" t="n">
        <v>0</v>
      </c>
      <c r="I2185" s="7" t="n">
        <f aca="false">YEAR(B2185)</f>
        <v>2016</v>
      </c>
      <c r="J2185" s="0" t="str">
        <f aca="false">I2185&amp;"-Q"&amp;ROUNDUP(MONTH(B2185)/3,0)</f>
        <v>2016-Q2</v>
      </c>
    </row>
    <row r="2186" customFormat="false" ht="15" hidden="false" customHeight="false" outlineLevel="0" collapsed="false">
      <c r="A2186" s="0" t="s">
        <v>1142</v>
      </c>
      <c r="B2186" s="6" t="n">
        <v>42497</v>
      </c>
      <c r="C2186" s="7" t="s">
        <v>55</v>
      </c>
      <c r="D2186" s="7" t="s">
        <v>76</v>
      </c>
      <c r="E2186" s="7" t="s">
        <v>31</v>
      </c>
      <c r="F2186" s="0" t="n">
        <v>63.68</v>
      </c>
      <c r="G2186" s="0" t="n">
        <v>28.0192</v>
      </c>
      <c r="H2186" s="0" t="n">
        <v>0</v>
      </c>
      <c r="I2186" s="7" t="n">
        <f aca="false">YEAR(B2186)</f>
        <v>2016</v>
      </c>
      <c r="J2186" s="0" t="str">
        <f aca="false">I2186&amp;"-Q"&amp;ROUNDUP(MONTH(B2186)/3,0)</f>
        <v>2016-Q2</v>
      </c>
    </row>
    <row r="2187" customFormat="false" ht="15" hidden="false" customHeight="false" outlineLevel="0" collapsed="false">
      <c r="A2187" s="0" t="s">
        <v>1143</v>
      </c>
      <c r="B2187" s="6" t="n">
        <v>42948</v>
      </c>
      <c r="C2187" s="7" t="s">
        <v>33</v>
      </c>
      <c r="D2187" s="7" t="s">
        <v>34</v>
      </c>
      <c r="E2187" s="7" t="s">
        <v>35</v>
      </c>
      <c r="F2187" s="0" t="n">
        <v>54.896</v>
      </c>
      <c r="G2187" s="0" t="n">
        <v>18.5274</v>
      </c>
      <c r="H2187" s="0" t="n">
        <v>0.2</v>
      </c>
      <c r="I2187" s="7" t="n">
        <f aca="false">YEAR(B2187)</f>
        <v>2017</v>
      </c>
      <c r="J2187" s="0" t="str">
        <f aca="false">I2187&amp;"-Q"&amp;ROUNDUP(MONTH(B2187)/3,0)</f>
        <v>2017-Q3</v>
      </c>
    </row>
    <row r="2188" customFormat="false" ht="15" hidden="false" customHeight="false" outlineLevel="0" collapsed="false">
      <c r="A2188" s="0" t="s">
        <v>1144</v>
      </c>
      <c r="B2188" s="6" t="n">
        <v>42565</v>
      </c>
      <c r="C2188" s="7" t="s">
        <v>29</v>
      </c>
      <c r="D2188" s="7" t="s">
        <v>91</v>
      </c>
      <c r="E2188" s="7" t="s">
        <v>39</v>
      </c>
      <c r="F2188" s="0" t="n">
        <v>29</v>
      </c>
      <c r="G2188" s="0" t="n">
        <v>7.25</v>
      </c>
      <c r="H2188" s="0" t="n">
        <v>0</v>
      </c>
      <c r="I2188" s="7" t="n">
        <f aca="false">YEAR(B2188)</f>
        <v>2016</v>
      </c>
      <c r="J2188" s="0" t="str">
        <f aca="false">I2188&amp;"-Q"&amp;ROUNDUP(MONTH(B2188)/3,0)</f>
        <v>2016-Q3</v>
      </c>
    </row>
    <row r="2189" customFormat="false" ht="15" hidden="false" customHeight="false" outlineLevel="0" collapsed="false">
      <c r="A2189" s="0" t="s">
        <v>1145</v>
      </c>
      <c r="B2189" s="6" t="n">
        <v>42957</v>
      </c>
      <c r="C2189" s="7" t="s">
        <v>45</v>
      </c>
      <c r="D2189" s="7" t="s">
        <v>74</v>
      </c>
      <c r="E2189" s="7" t="s">
        <v>35</v>
      </c>
      <c r="F2189" s="0" t="n">
        <v>70.08</v>
      </c>
      <c r="G2189" s="0" t="n">
        <v>35.04</v>
      </c>
      <c r="H2189" s="0" t="n">
        <v>0</v>
      </c>
      <c r="I2189" s="7" t="n">
        <f aca="false">YEAR(B2189)</f>
        <v>2017</v>
      </c>
      <c r="J2189" s="0" t="str">
        <f aca="false">I2189&amp;"-Q"&amp;ROUNDUP(MONTH(B2189)/3,0)</f>
        <v>2017-Q3</v>
      </c>
    </row>
    <row r="2190" customFormat="false" ht="15" hidden="false" customHeight="false" outlineLevel="0" collapsed="false">
      <c r="A2190" s="0" t="s">
        <v>1145</v>
      </c>
      <c r="B2190" s="6" t="n">
        <v>42957</v>
      </c>
      <c r="C2190" s="7" t="s">
        <v>45</v>
      </c>
      <c r="D2190" s="7" t="s">
        <v>74</v>
      </c>
      <c r="E2190" s="7" t="s">
        <v>31</v>
      </c>
      <c r="F2190" s="0" t="n">
        <v>121.3</v>
      </c>
      <c r="G2190" s="0" t="n">
        <v>25.473</v>
      </c>
      <c r="H2190" s="0" t="n">
        <v>0</v>
      </c>
      <c r="I2190" s="7" t="n">
        <f aca="false">YEAR(B2190)</f>
        <v>2017</v>
      </c>
      <c r="J2190" s="0" t="str">
        <f aca="false">I2190&amp;"-Q"&amp;ROUNDUP(MONTH(B2190)/3,0)</f>
        <v>2017-Q3</v>
      </c>
    </row>
    <row r="2191" customFormat="false" ht="15" hidden="false" customHeight="false" outlineLevel="0" collapsed="false">
      <c r="A2191" s="0" t="s">
        <v>1145</v>
      </c>
      <c r="B2191" s="6" t="n">
        <v>42957</v>
      </c>
      <c r="C2191" s="7" t="s">
        <v>45</v>
      </c>
      <c r="D2191" s="7" t="s">
        <v>74</v>
      </c>
      <c r="E2191" s="7" t="s">
        <v>39</v>
      </c>
      <c r="F2191" s="0" t="n">
        <v>1454.49</v>
      </c>
      <c r="G2191" s="0" t="n">
        <v>378.1674</v>
      </c>
      <c r="H2191" s="0" t="n">
        <v>0</v>
      </c>
      <c r="I2191" s="7" t="n">
        <f aca="false">YEAR(B2191)</f>
        <v>2017</v>
      </c>
      <c r="J2191" s="0" t="str">
        <f aca="false">I2191&amp;"-Q"&amp;ROUNDUP(MONTH(B2191)/3,0)</f>
        <v>2017-Q3</v>
      </c>
    </row>
    <row r="2192" customFormat="false" ht="15" hidden="false" customHeight="false" outlineLevel="0" collapsed="false">
      <c r="A2192" s="0" t="s">
        <v>1146</v>
      </c>
      <c r="B2192" s="6" t="n">
        <v>42546</v>
      </c>
      <c r="C2192" s="7" t="s">
        <v>33</v>
      </c>
      <c r="D2192" s="7" t="s">
        <v>34</v>
      </c>
      <c r="E2192" s="7" t="s">
        <v>35</v>
      </c>
      <c r="F2192" s="0" t="n">
        <v>60.81</v>
      </c>
      <c r="G2192" s="0" t="n">
        <v>17.0268</v>
      </c>
      <c r="H2192" s="0" t="n">
        <v>0</v>
      </c>
      <c r="I2192" s="7" t="n">
        <f aca="false">YEAR(B2192)</f>
        <v>2016</v>
      </c>
      <c r="J2192" s="0" t="str">
        <f aca="false">I2192&amp;"-Q"&amp;ROUNDUP(MONTH(B2192)/3,0)</f>
        <v>2016-Q2</v>
      </c>
    </row>
    <row r="2193" customFormat="false" ht="15" hidden="false" customHeight="false" outlineLevel="0" collapsed="false">
      <c r="A2193" s="0" t="s">
        <v>1147</v>
      </c>
      <c r="B2193" s="6" t="n">
        <v>42714</v>
      </c>
      <c r="C2193" s="7" t="s">
        <v>33</v>
      </c>
      <c r="D2193" s="7" t="s">
        <v>43</v>
      </c>
      <c r="E2193" s="7" t="s">
        <v>35</v>
      </c>
      <c r="F2193" s="0" t="n">
        <v>153.552</v>
      </c>
      <c r="G2193" s="0" t="n">
        <v>51.8238</v>
      </c>
      <c r="H2193" s="0" t="n">
        <v>0.2</v>
      </c>
      <c r="I2193" s="7" t="n">
        <f aca="false">YEAR(B2193)</f>
        <v>2016</v>
      </c>
      <c r="J2193" s="0" t="str">
        <f aca="false">I2193&amp;"-Q"&amp;ROUNDUP(MONTH(B2193)/3,0)</f>
        <v>2016-Q4</v>
      </c>
    </row>
    <row r="2194" customFormat="false" ht="15" hidden="false" customHeight="false" outlineLevel="0" collapsed="false">
      <c r="A2194" s="0" t="s">
        <v>1147</v>
      </c>
      <c r="B2194" s="6" t="n">
        <v>42714</v>
      </c>
      <c r="C2194" s="7" t="s">
        <v>33</v>
      </c>
      <c r="D2194" s="7" t="s">
        <v>43</v>
      </c>
      <c r="E2194" s="7" t="s">
        <v>35</v>
      </c>
      <c r="F2194" s="0" t="n">
        <v>65.34</v>
      </c>
      <c r="G2194" s="0" t="n">
        <v>22.869</v>
      </c>
      <c r="H2194" s="0" t="n">
        <v>0</v>
      </c>
      <c r="I2194" s="7" t="n">
        <f aca="false">YEAR(B2194)</f>
        <v>2016</v>
      </c>
      <c r="J2194" s="0" t="str">
        <f aca="false">I2194&amp;"-Q"&amp;ROUNDUP(MONTH(B2194)/3,0)</f>
        <v>2016-Q4</v>
      </c>
    </row>
    <row r="2195" customFormat="false" ht="15" hidden="false" customHeight="false" outlineLevel="0" collapsed="false">
      <c r="A2195" s="0" t="s">
        <v>1147</v>
      </c>
      <c r="B2195" s="6" t="n">
        <v>42714</v>
      </c>
      <c r="C2195" s="7" t="s">
        <v>33</v>
      </c>
      <c r="D2195" s="7" t="s">
        <v>43</v>
      </c>
      <c r="E2195" s="7" t="s">
        <v>35</v>
      </c>
      <c r="F2195" s="0" t="n">
        <v>123.92</v>
      </c>
      <c r="G2195" s="0" t="n">
        <v>55.764</v>
      </c>
      <c r="H2195" s="0" t="n">
        <v>0</v>
      </c>
      <c r="I2195" s="7" t="n">
        <f aca="false">YEAR(B2195)</f>
        <v>2016</v>
      </c>
      <c r="J2195" s="0" t="str">
        <f aca="false">I2195&amp;"-Q"&amp;ROUNDUP(MONTH(B2195)/3,0)</f>
        <v>2016-Q4</v>
      </c>
    </row>
    <row r="2196" customFormat="false" ht="15" hidden="false" customHeight="false" outlineLevel="0" collapsed="false">
      <c r="A2196" s="0" t="s">
        <v>1147</v>
      </c>
      <c r="B2196" s="6" t="n">
        <v>42714</v>
      </c>
      <c r="C2196" s="7" t="s">
        <v>33</v>
      </c>
      <c r="D2196" s="7" t="s">
        <v>43</v>
      </c>
      <c r="E2196" s="7" t="s">
        <v>35</v>
      </c>
      <c r="F2196" s="0" t="n">
        <v>35.1</v>
      </c>
      <c r="G2196" s="0" t="n">
        <v>12.285</v>
      </c>
      <c r="H2196" s="0" t="n">
        <v>0</v>
      </c>
      <c r="I2196" s="7" t="n">
        <f aca="false">YEAR(B2196)</f>
        <v>2016</v>
      </c>
      <c r="J2196" s="0" t="str">
        <f aca="false">I2196&amp;"-Q"&amp;ROUNDUP(MONTH(B2196)/3,0)</f>
        <v>2016-Q4</v>
      </c>
    </row>
    <row r="2197" customFormat="false" ht="15" hidden="false" customHeight="false" outlineLevel="0" collapsed="false">
      <c r="A2197" s="0" t="s">
        <v>1147</v>
      </c>
      <c r="B2197" s="6" t="n">
        <v>42714</v>
      </c>
      <c r="C2197" s="7" t="s">
        <v>33</v>
      </c>
      <c r="D2197" s="7" t="s">
        <v>43</v>
      </c>
      <c r="E2197" s="7" t="s">
        <v>39</v>
      </c>
      <c r="F2197" s="0" t="n">
        <v>44.75</v>
      </c>
      <c r="G2197" s="0" t="n">
        <v>8.5025</v>
      </c>
      <c r="H2197" s="0" t="n">
        <v>0</v>
      </c>
      <c r="I2197" s="7" t="n">
        <f aca="false">YEAR(B2197)</f>
        <v>2016</v>
      </c>
      <c r="J2197" s="0" t="str">
        <f aca="false">I2197&amp;"-Q"&amp;ROUNDUP(MONTH(B2197)/3,0)</f>
        <v>2016-Q4</v>
      </c>
    </row>
    <row r="2198" customFormat="false" ht="15" hidden="false" customHeight="false" outlineLevel="0" collapsed="false">
      <c r="A2198" s="0" t="s">
        <v>1148</v>
      </c>
      <c r="B2198" s="6" t="n">
        <v>42705</v>
      </c>
      <c r="C2198" s="7" t="s">
        <v>29</v>
      </c>
      <c r="D2198" s="7" t="s">
        <v>87</v>
      </c>
      <c r="E2198" s="7" t="s">
        <v>35</v>
      </c>
      <c r="F2198" s="0" t="n">
        <v>4.704</v>
      </c>
      <c r="G2198" s="0" t="n">
        <v>0.4116</v>
      </c>
      <c r="H2198" s="0" t="n">
        <v>0.2</v>
      </c>
      <c r="I2198" s="7" t="n">
        <f aca="false">YEAR(B2198)</f>
        <v>2016</v>
      </c>
      <c r="J2198" s="0" t="str">
        <f aca="false">I2198&amp;"-Q"&amp;ROUNDUP(MONTH(B2198)/3,0)</f>
        <v>2016-Q4</v>
      </c>
    </row>
    <row r="2199" customFormat="false" ht="15" hidden="false" customHeight="false" outlineLevel="0" collapsed="false">
      <c r="A2199" s="0" t="s">
        <v>1149</v>
      </c>
      <c r="B2199" s="6" t="n">
        <v>41971</v>
      </c>
      <c r="C2199" s="7" t="s">
        <v>29</v>
      </c>
      <c r="D2199" s="7" t="s">
        <v>91</v>
      </c>
      <c r="E2199" s="7" t="s">
        <v>35</v>
      </c>
      <c r="F2199" s="0" t="n">
        <v>14.67</v>
      </c>
      <c r="G2199" s="0" t="n">
        <v>3.9609</v>
      </c>
      <c r="H2199" s="0" t="n">
        <v>0</v>
      </c>
      <c r="I2199" s="7" t="n">
        <f aca="false">YEAR(B2199)</f>
        <v>2014</v>
      </c>
      <c r="J2199" s="0" t="str">
        <f aca="false">I2199&amp;"-Q"&amp;ROUNDUP(MONTH(B2199)/3,0)</f>
        <v>2014-Q4</v>
      </c>
    </row>
    <row r="2200" customFormat="false" ht="15" hidden="false" customHeight="false" outlineLevel="0" collapsed="false">
      <c r="A2200" s="0" t="s">
        <v>1150</v>
      </c>
      <c r="B2200" s="6" t="n">
        <v>42091</v>
      </c>
      <c r="C2200" s="7" t="s">
        <v>55</v>
      </c>
      <c r="D2200" s="7" t="s">
        <v>56</v>
      </c>
      <c r="E2200" s="7" t="s">
        <v>35</v>
      </c>
      <c r="F2200" s="0" t="n">
        <v>15.552</v>
      </c>
      <c r="G2200" s="0" t="n">
        <v>5.4432</v>
      </c>
      <c r="H2200" s="0" t="n">
        <v>0.2</v>
      </c>
      <c r="I2200" s="7" t="n">
        <f aca="false">YEAR(B2200)</f>
        <v>2015</v>
      </c>
      <c r="J2200" s="0" t="str">
        <f aca="false">I2200&amp;"-Q"&amp;ROUNDUP(MONTH(B2200)/3,0)</f>
        <v>2015-Q1</v>
      </c>
    </row>
    <row r="2201" customFormat="false" ht="15" hidden="false" customHeight="false" outlineLevel="0" collapsed="false">
      <c r="A2201" s="0" t="s">
        <v>1150</v>
      </c>
      <c r="B2201" s="6" t="n">
        <v>42091</v>
      </c>
      <c r="C2201" s="7" t="s">
        <v>55</v>
      </c>
      <c r="D2201" s="7" t="s">
        <v>56</v>
      </c>
      <c r="E2201" s="7" t="s">
        <v>35</v>
      </c>
      <c r="F2201" s="0" t="n">
        <v>5.232</v>
      </c>
      <c r="G2201" s="0" t="n">
        <v>1.7004</v>
      </c>
      <c r="H2201" s="0" t="n">
        <v>0.2</v>
      </c>
      <c r="I2201" s="7" t="n">
        <f aca="false">YEAR(B2201)</f>
        <v>2015</v>
      </c>
      <c r="J2201" s="0" t="str">
        <f aca="false">I2201&amp;"-Q"&amp;ROUNDUP(MONTH(B2201)/3,0)</f>
        <v>2015-Q1</v>
      </c>
    </row>
    <row r="2202" customFormat="false" ht="15" hidden="false" customHeight="false" outlineLevel="0" collapsed="false">
      <c r="A2202" s="0" t="s">
        <v>1151</v>
      </c>
      <c r="B2202" s="6" t="n">
        <v>41791</v>
      </c>
      <c r="C2202" s="7" t="s">
        <v>29</v>
      </c>
      <c r="D2202" s="7" t="s">
        <v>301</v>
      </c>
      <c r="E2202" s="7" t="s">
        <v>31</v>
      </c>
      <c r="F2202" s="0" t="n">
        <v>22.2</v>
      </c>
      <c r="G2202" s="0" t="n">
        <v>9.102</v>
      </c>
      <c r="H2202" s="0" t="n">
        <v>0</v>
      </c>
      <c r="I2202" s="7" t="n">
        <f aca="false">YEAR(B2202)</f>
        <v>2014</v>
      </c>
      <c r="J2202" s="0" t="str">
        <f aca="false">I2202&amp;"-Q"&amp;ROUNDUP(MONTH(B2202)/3,0)</f>
        <v>2014-Q2</v>
      </c>
    </row>
    <row r="2203" customFormat="false" ht="15" hidden="false" customHeight="false" outlineLevel="0" collapsed="false">
      <c r="A2203" s="0" t="s">
        <v>1151</v>
      </c>
      <c r="B2203" s="6" t="n">
        <v>41791</v>
      </c>
      <c r="C2203" s="7" t="s">
        <v>29</v>
      </c>
      <c r="D2203" s="7" t="s">
        <v>301</v>
      </c>
      <c r="E2203" s="7" t="s">
        <v>39</v>
      </c>
      <c r="F2203" s="0" t="n">
        <v>881.93</v>
      </c>
      <c r="G2203" s="0" t="n">
        <v>229.3018</v>
      </c>
      <c r="H2203" s="0" t="n">
        <v>0</v>
      </c>
      <c r="I2203" s="7" t="n">
        <f aca="false">YEAR(B2203)</f>
        <v>2014</v>
      </c>
      <c r="J2203" s="0" t="str">
        <f aca="false">I2203&amp;"-Q"&amp;ROUNDUP(MONTH(B2203)/3,0)</f>
        <v>2014-Q2</v>
      </c>
    </row>
    <row r="2204" customFormat="false" ht="15" hidden="false" customHeight="false" outlineLevel="0" collapsed="false">
      <c r="A2204" s="0" t="s">
        <v>1152</v>
      </c>
      <c r="B2204" s="6" t="n">
        <v>42253</v>
      </c>
      <c r="C2204" s="7" t="s">
        <v>33</v>
      </c>
      <c r="D2204" s="7" t="s">
        <v>43</v>
      </c>
      <c r="E2204" s="7" t="s">
        <v>35</v>
      </c>
      <c r="F2204" s="0" t="n">
        <v>6.096</v>
      </c>
      <c r="G2204" s="0" t="n">
        <v>2.1336</v>
      </c>
      <c r="H2204" s="0" t="n">
        <v>0.2</v>
      </c>
      <c r="I2204" s="7" t="n">
        <f aca="false">YEAR(B2204)</f>
        <v>2015</v>
      </c>
      <c r="J2204" s="0" t="str">
        <f aca="false">I2204&amp;"-Q"&amp;ROUNDUP(MONTH(B2204)/3,0)</f>
        <v>2015-Q3</v>
      </c>
    </row>
    <row r="2205" customFormat="false" ht="15" hidden="false" customHeight="false" outlineLevel="0" collapsed="false">
      <c r="A2205" s="0" t="s">
        <v>1152</v>
      </c>
      <c r="B2205" s="6" t="n">
        <v>42253</v>
      </c>
      <c r="C2205" s="7" t="s">
        <v>33</v>
      </c>
      <c r="D2205" s="7" t="s">
        <v>43</v>
      </c>
      <c r="E2205" s="7" t="s">
        <v>31</v>
      </c>
      <c r="F2205" s="0" t="n">
        <v>191.82</v>
      </c>
      <c r="G2205" s="0" t="n">
        <v>74.8098</v>
      </c>
      <c r="H2205" s="0" t="n">
        <v>0</v>
      </c>
      <c r="I2205" s="7" t="n">
        <f aca="false">YEAR(B2205)</f>
        <v>2015</v>
      </c>
      <c r="J2205" s="0" t="str">
        <f aca="false">I2205&amp;"-Q"&amp;ROUNDUP(MONTH(B2205)/3,0)</f>
        <v>2015-Q3</v>
      </c>
    </row>
    <row r="2206" customFormat="false" ht="15" hidden="false" customHeight="false" outlineLevel="0" collapsed="false">
      <c r="A2206" s="0" t="s">
        <v>1153</v>
      </c>
      <c r="B2206" s="6" t="n">
        <v>42184</v>
      </c>
      <c r="C2206" s="7" t="s">
        <v>55</v>
      </c>
      <c r="D2206" s="7" t="s">
        <v>56</v>
      </c>
      <c r="E2206" s="7" t="s">
        <v>31</v>
      </c>
      <c r="F2206" s="0" t="n">
        <v>20.104</v>
      </c>
      <c r="G2206" s="0" t="n">
        <v>1.7591</v>
      </c>
      <c r="H2206" s="0" t="n">
        <v>0.2</v>
      </c>
      <c r="I2206" s="7" t="n">
        <f aca="false">YEAR(B2206)</f>
        <v>2015</v>
      </c>
      <c r="J2206" s="0" t="str">
        <f aca="false">I2206&amp;"-Q"&amp;ROUNDUP(MONTH(B2206)/3,0)</f>
        <v>2015-Q2</v>
      </c>
    </row>
    <row r="2207" customFormat="false" ht="15" hidden="false" customHeight="false" outlineLevel="0" collapsed="false">
      <c r="A2207" s="0" t="s">
        <v>1154</v>
      </c>
      <c r="B2207" s="6" t="n">
        <v>42623</v>
      </c>
      <c r="C2207" s="7" t="s">
        <v>29</v>
      </c>
      <c r="D2207" s="7" t="s">
        <v>87</v>
      </c>
      <c r="E2207" s="7" t="s">
        <v>35</v>
      </c>
      <c r="F2207" s="0" t="n">
        <v>67.56</v>
      </c>
      <c r="G2207" s="0" t="n">
        <v>8.445</v>
      </c>
      <c r="H2207" s="0" t="n">
        <v>0.2</v>
      </c>
      <c r="I2207" s="7" t="n">
        <f aca="false">YEAR(B2207)</f>
        <v>2016</v>
      </c>
      <c r="J2207" s="0" t="str">
        <f aca="false">I2207&amp;"-Q"&amp;ROUNDUP(MONTH(B2207)/3,0)</f>
        <v>2016-Q3</v>
      </c>
    </row>
    <row r="2208" customFormat="false" ht="15" hidden="false" customHeight="false" outlineLevel="0" collapsed="false">
      <c r="A2208" s="0" t="s">
        <v>1155</v>
      </c>
      <c r="B2208" s="6" t="n">
        <v>41834</v>
      </c>
      <c r="C2208" s="7" t="s">
        <v>45</v>
      </c>
      <c r="D2208" s="7" t="s">
        <v>64</v>
      </c>
      <c r="E2208" s="7" t="s">
        <v>35</v>
      </c>
      <c r="F2208" s="0" t="n">
        <v>29.932</v>
      </c>
      <c r="G2208" s="0" t="n">
        <v>-46.3946</v>
      </c>
      <c r="H2208" s="0" t="n">
        <v>0.8</v>
      </c>
      <c r="I2208" s="7" t="n">
        <f aca="false">YEAR(B2208)</f>
        <v>2014</v>
      </c>
      <c r="J2208" s="0" t="str">
        <f aca="false">I2208&amp;"-Q"&amp;ROUNDUP(MONTH(B2208)/3,0)</f>
        <v>2014-Q3</v>
      </c>
    </row>
    <row r="2209" customFormat="false" ht="15" hidden="false" customHeight="false" outlineLevel="0" collapsed="false">
      <c r="A2209" s="0" t="s">
        <v>1155</v>
      </c>
      <c r="B2209" s="6" t="n">
        <v>41834</v>
      </c>
      <c r="C2209" s="7" t="s">
        <v>45</v>
      </c>
      <c r="D2209" s="7" t="s">
        <v>64</v>
      </c>
      <c r="E2209" s="7" t="s">
        <v>39</v>
      </c>
      <c r="F2209" s="0" t="n">
        <v>38.272</v>
      </c>
      <c r="G2209" s="0" t="n">
        <v>3.8272</v>
      </c>
      <c r="H2209" s="0" t="n">
        <v>0.2</v>
      </c>
      <c r="I2209" s="7" t="n">
        <f aca="false">YEAR(B2209)</f>
        <v>2014</v>
      </c>
      <c r="J2209" s="0" t="str">
        <f aca="false">I2209&amp;"-Q"&amp;ROUNDUP(MONTH(B2209)/3,0)</f>
        <v>2014-Q3</v>
      </c>
    </row>
    <row r="2210" customFormat="false" ht="15" hidden="false" customHeight="false" outlineLevel="0" collapsed="false">
      <c r="A2210" s="0" t="s">
        <v>1156</v>
      </c>
      <c r="B2210" s="6" t="n">
        <v>42238</v>
      </c>
      <c r="C2210" s="7" t="s">
        <v>55</v>
      </c>
      <c r="D2210" s="7" t="s">
        <v>76</v>
      </c>
      <c r="E2210" s="7" t="s">
        <v>35</v>
      </c>
      <c r="F2210" s="0" t="n">
        <v>16.52</v>
      </c>
      <c r="G2210" s="0" t="n">
        <v>7.5992</v>
      </c>
      <c r="H2210" s="0" t="n">
        <v>0</v>
      </c>
      <c r="I2210" s="7" t="n">
        <f aca="false">YEAR(B2210)</f>
        <v>2015</v>
      </c>
      <c r="J2210" s="0" t="str">
        <f aca="false">I2210&amp;"-Q"&amp;ROUNDUP(MONTH(B2210)/3,0)</f>
        <v>2015-Q3</v>
      </c>
    </row>
    <row r="2211" customFormat="false" ht="15" hidden="false" customHeight="false" outlineLevel="0" collapsed="false">
      <c r="A2211" s="0" t="s">
        <v>1157</v>
      </c>
      <c r="B2211" s="6" t="n">
        <v>41957</v>
      </c>
      <c r="C2211" s="7" t="s">
        <v>55</v>
      </c>
      <c r="D2211" s="7" t="s">
        <v>154</v>
      </c>
      <c r="E2211" s="7" t="s">
        <v>39</v>
      </c>
      <c r="F2211" s="0" t="n">
        <v>832.93</v>
      </c>
      <c r="G2211" s="0" t="n">
        <v>233.2204</v>
      </c>
      <c r="H2211" s="0" t="n">
        <v>0</v>
      </c>
      <c r="I2211" s="7" t="n">
        <f aca="false">YEAR(B2211)</f>
        <v>2014</v>
      </c>
      <c r="J2211" s="0" t="str">
        <f aca="false">I2211&amp;"-Q"&amp;ROUNDUP(MONTH(B2211)/3,0)</f>
        <v>2014-Q4</v>
      </c>
    </row>
    <row r="2212" customFormat="false" ht="15" hidden="false" customHeight="false" outlineLevel="0" collapsed="false">
      <c r="A2212" s="0" t="s">
        <v>1157</v>
      </c>
      <c r="B2212" s="6" t="n">
        <v>41957</v>
      </c>
      <c r="C2212" s="7" t="s">
        <v>55</v>
      </c>
      <c r="D2212" s="7" t="s">
        <v>154</v>
      </c>
      <c r="E2212" s="7" t="s">
        <v>35</v>
      </c>
      <c r="F2212" s="0" t="n">
        <v>43.8</v>
      </c>
      <c r="G2212" s="0" t="n">
        <v>21.024</v>
      </c>
      <c r="H2212" s="0" t="n">
        <v>0</v>
      </c>
      <c r="I2212" s="7" t="n">
        <f aca="false">YEAR(B2212)</f>
        <v>2014</v>
      </c>
      <c r="J2212" s="0" t="str">
        <f aca="false">I2212&amp;"-Q"&amp;ROUNDUP(MONTH(B2212)/3,0)</f>
        <v>2014-Q4</v>
      </c>
    </row>
    <row r="2213" customFormat="false" ht="15" hidden="false" customHeight="false" outlineLevel="0" collapsed="false">
      <c r="A2213" s="0" t="s">
        <v>1158</v>
      </c>
      <c r="B2213" s="6" t="n">
        <v>42701</v>
      </c>
      <c r="C2213" s="7" t="s">
        <v>45</v>
      </c>
      <c r="D2213" s="7" t="s">
        <v>70</v>
      </c>
      <c r="E2213" s="7" t="s">
        <v>35</v>
      </c>
      <c r="F2213" s="0" t="n">
        <v>167.292</v>
      </c>
      <c r="G2213" s="0" t="n">
        <v>29.7408</v>
      </c>
      <c r="H2213" s="0" t="n">
        <v>0.1</v>
      </c>
      <c r="I2213" s="7" t="n">
        <f aca="false">YEAR(B2213)</f>
        <v>2016</v>
      </c>
      <c r="J2213" s="0" t="str">
        <f aca="false">I2213&amp;"-Q"&amp;ROUNDUP(MONTH(B2213)/3,0)</f>
        <v>2016-Q4</v>
      </c>
    </row>
    <row r="2214" customFormat="false" ht="15" hidden="false" customHeight="false" outlineLevel="0" collapsed="false">
      <c r="A2214" s="0" t="s">
        <v>1159</v>
      </c>
      <c r="B2214" s="6" t="n">
        <v>43060</v>
      </c>
      <c r="C2214" s="7" t="s">
        <v>55</v>
      </c>
      <c r="D2214" s="7" t="s">
        <v>76</v>
      </c>
      <c r="E2214" s="7" t="s">
        <v>31</v>
      </c>
      <c r="F2214" s="0" t="n">
        <v>27.42</v>
      </c>
      <c r="G2214" s="0" t="n">
        <v>11.2422</v>
      </c>
      <c r="H2214" s="0" t="n">
        <v>0</v>
      </c>
      <c r="I2214" s="7" t="n">
        <f aca="false">YEAR(B2214)</f>
        <v>2017</v>
      </c>
      <c r="J2214" s="0" t="str">
        <f aca="false">I2214&amp;"-Q"&amp;ROUNDUP(MONTH(B2214)/3,0)</f>
        <v>2017-Q4</v>
      </c>
    </row>
    <row r="2215" customFormat="false" ht="15" hidden="false" customHeight="false" outlineLevel="0" collapsed="false">
      <c r="A2215" s="0" t="s">
        <v>1160</v>
      </c>
      <c r="B2215" s="6" t="n">
        <v>43009</v>
      </c>
      <c r="C2215" s="7" t="s">
        <v>33</v>
      </c>
      <c r="D2215" s="7" t="s">
        <v>34</v>
      </c>
      <c r="E2215" s="7" t="s">
        <v>35</v>
      </c>
      <c r="F2215" s="0" t="n">
        <v>1.44</v>
      </c>
      <c r="G2215" s="0" t="n">
        <v>0.504</v>
      </c>
      <c r="H2215" s="0" t="n">
        <v>0.2</v>
      </c>
      <c r="I2215" s="7" t="n">
        <f aca="false">YEAR(B2215)</f>
        <v>2017</v>
      </c>
      <c r="J2215" s="0" t="str">
        <f aca="false">I2215&amp;"-Q"&amp;ROUNDUP(MONTH(B2215)/3,0)</f>
        <v>2017-Q4</v>
      </c>
    </row>
    <row r="2216" customFormat="false" ht="15" hidden="false" customHeight="false" outlineLevel="0" collapsed="false">
      <c r="A2216" s="0" t="s">
        <v>1160</v>
      </c>
      <c r="B2216" s="6" t="n">
        <v>43009</v>
      </c>
      <c r="C2216" s="7" t="s">
        <v>33</v>
      </c>
      <c r="D2216" s="7" t="s">
        <v>34</v>
      </c>
      <c r="E2216" s="7" t="s">
        <v>35</v>
      </c>
      <c r="F2216" s="0" t="n">
        <v>61.776</v>
      </c>
      <c r="G2216" s="0" t="n">
        <v>20.8494</v>
      </c>
      <c r="H2216" s="0" t="n">
        <v>0.2</v>
      </c>
      <c r="I2216" s="7" t="n">
        <f aca="false">YEAR(B2216)</f>
        <v>2017</v>
      </c>
      <c r="J2216" s="0" t="str">
        <f aca="false">I2216&amp;"-Q"&amp;ROUNDUP(MONTH(B2216)/3,0)</f>
        <v>2017-Q4</v>
      </c>
    </row>
    <row r="2217" customFormat="false" ht="15" hidden="false" customHeight="false" outlineLevel="0" collapsed="false">
      <c r="A2217" s="0" t="s">
        <v>1160</v>
      </c>
      <c r="B2217" s="6" t="n">
        <v>43009</v>
      </c>
      <c r="C2217" s="7" t="s">
        <v>33</v>
      </c>
      <c r="D2217" s="7" t="s">
        <v>34</v>
      </c>
      <c r="E2217" s="7" t="s">
        <v>35</v>
      </c>
      <c r="F2217" s="0" t="n">
        <v>241.96</v>
      </c>
      <c r="G2217" s="0" t="n">
        <v>60.49</v>
      </c>
      <c r="H2217" s="0" t="n">
        <v>0</v>
      </c>
      <c r="I2217" s="7" t="n">
        <f aca="false">YEAR(B2217)</f>
        <v>2017</v>
      </c>
      <c r="J2217" s="0" t="str">
        <f aca="false">I2217&amp;"-Q"&amp;ROUNDUP(MONTH(B2217)/3,0)</f>
        <v>2017-Q4</v>
      </c>
    </row>
    <row r="2218" customFormat="false" ht="15" hidden="false" customHeight="false" outlineLevel="0" collapsed="false">
      <c r="A2218" s="0" t="s">
        <v>1160</v>
      </c>
      <c r="B2218" s="6" t="n">
        <v>43009</v>
      </c>
      <c r="C2218" s="7" t="s">
        <v>33</v>
      </c>
      <c r="D2218" s="7" t="s">
        <v>34</v>
      </c>
      <c r="E2218" s="7" t="s">
        <v>31</v>
      </c>
      <c r="F2218" s="0" t="n">
        <v>108.608</v>
      </c>
      <c r="G2218" s="0" t="n">
        <v>9.5032</v>
      </c>
      <c r="H2218" s="0" t="n">
        <v>0.2</v>
      </c>
      <c r="I2218" s="7" t="n">
        <f aca="false">YEAR(B2218)</f>
        <v>2017</v>
      </c>
      <c r="J2218" s="0" t="str">
        <f aca="false">I2218&amp;"-Q"&amp;ROUNDUP(MONTH(B2218)/3,0)</f>
        <v>2017-Q4</v>
      </c>
    </row>
    <row r="2219" customFormat="false" ht="15" hidden="false" customHeight="false" outlineLevel="0" collapsed="false">
      <c r="A2219" s="0" t="s">
        <v>1161</v>
      </c>
      <c r="B2219" s="6" t="n">
        <v>41902</v>
      </c>
      <c r="C2219" s="7" t="s">
        <v>29</v>
      </c>
      <c r="D2219" s="7" t="s">
        <v>37</v>
      </c>
      <c r="E2219" s="7" t="s">
        <v>35</v>
      </c>
      <c r="F2219" s="0" t="n">
        <v>2.816</v>
      </c>
      <c r="G2219" s="0" t="n">
        <v>0.9856</v>
      </c>
      <c r="H2219" s="0" t="n">
        <v>0.2</v>
      </c>
      <c r="I2219" s="7" t="n">
        <f aca="false">YEAR(B2219)</f>
        <v>2014</v>
      </c>
      <c r="J2219" s="0" t="str">
        <f aca="false">I2219&amp;"-Q"&amp;ROUNDUP(MONTH(B2219)/3,0)</f>
        <v>2014-Q3</v>
      </c>
    </row>
    <row r="2220" customFormat="false" ht="15" hidden="false" customHeight="false" outlineLevel="0" collapsed="false">
      <c r="A2220" s="0" t="s">
        <v>1162</v>
      </c>
      <c r="B2220" s="6" t="n">
        <v>42944</v>
      </c>
      <c r="C2220" s="7" t="s">
        <v>33</v>
      </c>
      <c r="D2220" s="7" t="s">
        <v>34</v>
      </c>
      <c r="E2220" s="7" t="s">
        <v>35</v>
      </c>
      <c r="F2220" s="0" t="n">
        <v>9.984</v>
      </c>
      <c r="G2220" s="0" t="n">
        <v>3.6192</v>
      </c>
      <c r="H2220" s="0" t="n">
        <v>0.2</v>
      </c>
      <c r="I2220" s="7" t="n">
        <f aca="false">YEAR(B2220)</f>
        <v>2017</v>
      </c>
      <c r="J2220" s="0" t="str">
        <f aca="false">I2220&amp;"-Q"&amp;ROUNDUP(MONTH(B2220)/3,0)</f>
        <v>2017-Q3</v>
      </c>
    </row>
    <row r="2221" customFormat="false" ht="15" hidden="false" customHeight="false" outlineLevel="0" collapsed="false">
      <c r="A2221" s="0" t="s">
        <v>1162</v>
      </c>
      <c r="B2221" s="6" t="n">
        <v>42944</v>
      </c>
      <c r="C2221" s="7" t="s">
        <v>33</v>
      </c>
      <c r="D2221" s="7" t="s">
        <v>34</v>
      </c>
      <c r="E2221" s="7" t="s">
        <v>35</v>
      </c>
      <c r="F2221" s="0" t="n">
        <v>14.98</v>
      </c>
      <c r="G2221" s="0" t="n">
        <v>4.1944</v>
      </c>
      <c r="H2221" s="0" t="n">
        <v>0</v>
      </c>
      <c r="I2221" s="7" t="n">
        <f aca="false">YEAR(B2221)</f>
        <v>2017</v>
      </c>
      <c r="J2221" s="0" t="str">
        <f aca="false">I2221&amp;"-Q"&amp;ROUNDUP(MONTH(B2221)/3,0)</f>
        <v>2017-Q3</v>
      </c>
    </row>
    <row r="2222" customFormat="false" ht="15" hidden="false" customHeight="false" outlineLevel="0" collapsed="false">
      <c r="A2222" s="0" t="s">
        <v>1162</v>
      </c>
      <c r="B2222" s="6" t="n">
        <v>42944</v>
      </c>
      <c r="C2222" s="7" t="s">
        <v>33</v>
      </c>
      <c r="D2222" s="7" t="s">
        <v>34</v>
      </c>
      <c r="E2222" s="7" t="s">
        <v>39</v>
      </c>
      <c r="F2222" s="0" t="n">
        <v>1145.6</v>
      </c>
      <c r="G2222" s="0" t="n">
        <v>100.24</v>
      </c>
      <c r="H2222" s="0" t="n">
        <v>0.2</v>
      </c>
      <c r="I2222" s="7" t="n">
        <f aca="false">YEAR(B2222)</f>
        <v>2017</v>
      </c>
      <c r="J2222" s="0" t="str">
        <f aca="false">I2222&amp;"-Q"&amp;ROUNDUP(MONTH(B2222)/3,0)</f>
        <v>2017-Q3</v>
      </c>
    </row>
    <row r="2223" customFormat="false" ht="15" hidden="false" customHeight="false" outlineLevel="0" collapsed="false">
      <c r="A2223" s="0" t="s">
        <v>1163</v>
      </c>
      <c r="B2223" s="6" t="n">
        <v>42344</v>
      </c>
      <c r="C2223" s="7" t="s">
        <v>55</v>
      </c>
      <c r="D2223" s="7" t="s">
        <v>116</v>
      </c>
      <c r="E2223" s="7" t="s">
        <v>39</v>
      </c>
      <c r="F2223" s="0" t="n">
        <v>485.94</v>
      </c>
      <c r="G2223" s="0" t="n">
        <v>-89.089</v>
      </c>
      <c r="H2223" s="0" t="n">
        <v>0.4</v>
      </c>
      <c r="I2223" s="7" t="n">
        <f aca="false">YEAR(B2223)</f>
        <v>2015</v>
      </c>
      <c r="J2223" s="0" t="str">
        <f aca="false">I2223&amp;"-Q"&amp;ROUNDUP(MONTH(B2223)/3,0)</f>
        <v>2015-Q4</v>
      </c>
    </row>
    <row r="2224" customFormat="false" ht="15" hidden="false" customHeight="false" outlineLevel="0" collapsed="false">
      <c r="A2224" s="0" t="s">
        <v>1163</v>
      </c>
      <c r="B2224" s="6" t="n">
        <v>42344</v>
      </c>
      <c r="C2224" s="7" t="s">
        <v>55</v>
      </c>
      <c r="D2224" s="7" t="s">
        <v>116</v>
      </c>
      <c r="E2224" s="7" t="s">
        <v>35</v>
      </c>
      <c r="F2224" s="0" t="n">
        <v>37.376</v>
      </c>
      <c r="G2224" s="0" t="n">
        <v>4.672</v>
      </c>
      <c r="H2224" s="0" t="n">
        <v>0.2</v>
      </c>
      <c r="I2224" s="7" t="n">
        <f aca="false">YEAR(B2224)</f>
        <v>2015</v>
      </c>
      <c r="J2224" s="0" t="str">
        <f aca="false">I2224&amp;"-Q"&amp;ROUNDUP(MONTH(B2224)/3,0)</f>
        <v>2015-Q4</v>
      </c>
    </row>
    <row r="2225" customFormat="false" ht="15" hidden="false" customHeight="false" outlineLevel="0" collapsed="false">
      <c r="A2225" s="0" t="s">
        <v>1163</v>
      </c>
      <c r="B2225" s="6" t="n">
        <v>42344</v>
      </c>
      <c r="C2225" s="7" t="s">
        <v>55</v>
      </c>
      <c r="D2225" s="7" t="s">
        <v>116</v>
      </c>
      <c r="E2225" s="7" t="s">
        <v>31</v>
      </c>
      <c r="F2225" s="0" t="n">
        <v>70.686</v>
      </c>
      <c r="G2225" s="0" t="n">
        <v>-24.2352</v>
      </c>
      <c r="H2225" s="0" t="n">
        <v>0.3</v>
      </c>
      <c r="I2225" s="7" t="n">
        <f aca="false">YEAR(B2225)</f>
        <v>2015</v>
      </c>
      <c r="J2225" s="0" t="str">
        <f aca="false">I2225&amp;"-Q"&amp;ROUNDUP(MONTH(B2225)/3,0)</f>
        <v>2015-Q4</v>
      </c>
    </row>
    <row r="2226" customFormat="false" ht="15" hidden="false" customHeight="false" outlineLevel="0" collapsed="false">
      <c r="A2226" s="0" t="s">
        <v>1164</v>
      </c>
      <c r="B2226" s="6" t="n">
        <v>42947</v>
      </c>
      <c r="C2226" s="7" t="s">
        <v>55</v>
      </c>
      <c r="D2226" s="7" t="s">
        <v>56</v>
      </c>
      <c r="E2226" s="7" t="s">
        <v>35</v>
      </c>
      <c r="F2226" s="0" t="n">
        <v>54.816</v>
      </c>
      <c r="G2226" s="0" t="n">
        <v>17.8152</v>
      </c>
      <c r="H2226" s="0" t="n">
        <v>0.2</v>
      </c>
      <c r="I2226" s="7" t="n">
        <f aca="false">YEAR(B2226)</f>
        <v>2017</v>
      </c>
      <c r="J2226" s="0" t="str">
        <f aca="false">I2226&amp;"-Q"&amp;ROUNDUP(MONTH(B2226)/3,0)</f>
        <v>2017-Q3</v>
      </c>
    </row>
    <row r="2227" customFormat="false" ht="15" hidden="false" customHeight="false" outlineLevel="0" collapsed="false">
      <c r="A2227" s="0" t="s">
        <v>1165</v>
      </c>
      <c r="B2227" s="6" t="n">
        <v>42448</v>
      </c>
      <c r="C2227" s="7" t="s">
        <v>33</v>
      </c>
      <c r="D2227" s="7" t="s">
        <v>109</v>
      </c>
      <c r="E2227" s="7" t="s">
        <v>31</v>
      </c>
      <c r="F2227" s="0" t="n">
        <v>72.294</v>
      </c>
      <c r="G2227" s="0" t="n">
        <v>-98.8018</v>
      </c>
      <c r="H2227" s="0" t="n">
        <v>0.7</v>
      </c>
      <c r="I2227" s="7" t="n">
        <f aca="false">YEAR(B2227)</f>
        <v>2016</v>
      </c>
      <c r="J2227" s="0" t="str">
        <f aca="false">I2227&amp;"-Q"&amp;ROUNDUP(MONTH(B2227)/3,0)</f>
        <v>2016-Q1</v>
      </c>
    </row>
    <row r="2228" customFormat="false" ht="15" hidden="false" customHeight="false" outlineLevel="0" collapsed="false">
      <c r="A2228" s="0" t="s">
        <v>1166</v>
      </c>
      <c r="B2228" s="6" t="n">
        <v>42945</v>
      </c>
      <c r="C2228" s="7" t="s">
        <v>45</v>
      </c>
      <c r="D2228" s="7" t="s">
        <v>46</v>
      </c>
      <c r="E2228" s="7" t="s">
        <v>35</v>
      </c>
      <c r="F2228" s="0" t="n">
        <v>2.896</v>
      </c>
      <c r="G2228" s="0" t="n">
        <v>0.4706</v>
      </c>
      <c r="H2228" s="0" t="n">
        <v>0.2</v>
      </c>
      <c r="I2228" s="7" t="n">
        <f aca="false">YEAR(B2228)</f>
        <v>2017</v>
      </c>
      <c r="J2228" s="0" t="str">
        <f aca="false">I2228&amp;"-Q"&amp;ROUNDUP(MONTH(B2228)/3,0)</f>
        <v>2017-Q3</v>
      </c>
    </row>
    <row r="2229" customFormat="false" ht="15" hidden="false" customHeight="false" outlineLevel="0" collapsed="false">
      <c r="A2229" s="0" t="s">
        <v>1166</v>
      </c>
      <c r="B2229" s="6" t="n">
        <v>42945</v>
      </c>
      <c r="C2229" s="7" t="s">
        <v>45</v>
      </c>
      <c r="D2229" s="7" t="s">
        <v>46</v>
      </c>
      <c r="E2229" s="7" t="s">
        <v>39</v>
      </c>
      <c r="F2229" s="0" t="n">
        <v>124.792</v>
      </c>
      <c r="G2229" s="0" t="n">
        <v>15.599</v>
      </c>
      <c r="H2229" s="0" t="n">
        <v>0.2</v>
      </c>
      <c r="I2229" s="7" t="n">
        <f aca="false">YEAR(B2229)</f>
        <v>2017</v>
      </c>
      <c r="J2229" s="0" t="str">
        <f aca="false">I2229&amp;"-Q"&amp;ROUNDUP(MONTH(B2229)/3,0)</f>
        <v>2017-Q3</v>
      </c>
    </row>
    <row r="2230" customFormat="false" ht="15" hidden="false" customHeight="false" outlineLevel="0" collapsed="false">
      <c r="A2230" s="0" t="s">
        <v>1167</v>
      </c>
      <c r="B2230" s="6" t="n">
        <v>42644</v>
      </c>
      <c r="C2230" s="7" t="s">
        <v>55</v>
      </c>
      <c r="D2230" s="7" t="s">
        <v>76</v>
      </c>
      <c r="E2230" s="7" t="s">
        <v>31</v>
      </c>
      <c r="F2230" s="0" t="n">
        <v>330.588</v>
      </c>
      <c r="G2230" s="0" t="n">
        <v>-115.7058</v>
      </c>
      <c r="H2230" s="0" t="n">
        <v>0.4</v>
      </c>
      <c r="I2230" s="7" t="n">
        <f aca="false">YEAR(B2230)</f>
        <v>2016</v>
      </c>
      <c r="J2230" s="0" t="str">
        <f aca="false">I2230&amp;"-Q"&amp;ROUNDUP(MONTH(B2230)/3,0)</f>
        <v>2016-Q4</v>
      </c>
    </row>
    <row r="2231" customFormat="false" ht="15" hidden="false" customHeight="false" outlineLevel="0" collapsed="false">
      <c r="A2231" s="0" t="s">
        <v>1168</v>
      </c>
      <c r="B2231" s="6" t="n">
        <v>41729</v>
      </c>
      <c r="C2231" s="7" t="s">
        <v>33</v>
      </c>
      <c r="D2231" s="7" t="s">
        <v>34</v>
      </c>
      <c r="E2231" s="7" t="s">
        <v>35</v>
      </c>
      <c r="F2231" s="0" t="n">
        <v>673.568</v>
      </c>
      <c r="G2231" s="0" t="n">
        <v>252.588</v>
      </c>
      <c r="H2231" s="0" t="n">
        <v>0.2</v>
      </c>
      <c r="I2231" s="7" t="n">
        <f aca="false">YEAR(B2231)</f>
        <v>2014</v>
      </c>
      <c r="J2231" s="0" t="str">
        <f aca="false">I2231&amp;"-Q"&amp;ROUNDUP(MONTH(B2231)/3,0)</f>
        <v>2014-Q1</v>
      </c>
    </row>
    <row r="2232" customFormat="false" ht="15" hidden="false" customHeight="false" outlineLevel="0" collapsed="false">
      <c r="A2232" s="0" t="s">
        <v>1168</v>
      </c>
      <c r="B2232" s="6" t="n">
        <v>41729</v>
      </c>
      <c r="C2232" s="7" t="s">
        <v>33</v>
      </c>
      <c r="D2232" s="7" t="s">
        <v>34</v>
      </c>
      <c r="E2232" s="7" t="s">
        <v>35</v>
      </c>
      <c r="F2232" s="0" t="n">
        <v>52.98</v>
      </c>
      <c r="G2232" s="0" t="n">
        <v>14.8344</v>
      </c>
      <c r="H2232" s="0" t="n">
        <v>0</v>
      </c>
      <c r="I2232" s="7" t="n">
        <f aca="false">YEAR(B2232)</f>
        <v>2014</v>
      </c>
      <c r="J2232" s="0" t="str">
        <f aca="false">I2232&amp;"-Q"&amp;ROUNDUP(MONTH(B2232)/3,0)</f>
        <v>2014-Q1</v>
      </c>
    </row>
    <row r="2233" customFormat="false" ht="15" hidden="false" customHeight="false" outlineLevel="0" collapsed="false">
      <c r="A2233" s="0" t="s">
        <v>1169</v>
      </c>
      <c r="B2233" s="6" t="n">
        <v>42912</v>
      </c>
      <c r="C2233" s="7" t="s">
        <v>45</v>
      </c>
      <c r="D2233" s="7" t="s">
        <v>74</v>
      </c>
      <c r="E2233" s="7" t="s">
        <v>31</v>
      </c>
      <c r="F2233" s="0" t="n">
        <v>526.45</v>
      </c>
      <c r="G2233" s="0" t="n">
        <v>31.587</v>
      </c>
      <c r="H2233" s="0" t="n">
        <v>0</v>
      </c>
      <c r="I2233" s="7" t="n">
        <f aca="false">YEAR(B2233)</f>
        <v>2017</v>
      </c>
      <c r="J2233" s="0" t="str">
        <f aca="false">I2233&amp;"-Q"&amp;ROUNDUP(MONTH(B2233)/3,0)</f>
        <v>2017-Q2</v>
      </c>
    </row>
    <row r="2234" customFormat="false" ht="15" hidden="false" customHeight="false" outlineLevel="0" collapsed="false">
      <c r="A2234" s="0" t="s">
        <v>1170</v>
      </c>
      <c r="B2234" s="6" t="n">
        <v>42925</v>
      </c>
      <c r="C2234" s="7" t="s">
        <v>45</v>
      </c>
      <c r="D2234" s="7" t="s">
        <v>64</v>
      </c>
      <c r="E2234" s="7" t="s">
        <v>35</v>
      </c>
      <c r="F2234" s="0" t="n">
        <v>228.92</v>
      </c>
      <c r="G2234" s="0" t="n">
        <v>14.3075</v>
      </c>
      <c r="H2234" s="0" t="n">
        <v>0.2</v>
      </c>
      <c r="I2234" s="7" t="n">
        <f aca="false">YEAR(B2234)</f>
        <v>2017</v>
      </c>
      <c r="J2234" s="0" t="str">
        <f aca="false">I2234&amp;"-Q"&amp;ROUNDUP(MONTH(B2234)/3,0)</f>
        <v>2017-Q3</v>
      </c>
    </row>
    <row r="2235" customFormat="false" ht="15" hidden="false" customHeight="false" outlineLevel="0" collapsed="false">
      <c r="A2235" s="0" t="s">
        <v>1171</v>
      </c>
      <c r="B2235" s="6" t="n">
        <v>42352</v>
      </c>
      <c r="C2235" s="7" t="s">
        <v>33</v>
      </c>
      <c r="D2235" s="7" t="s">
        <v>102</v>
      </c>
      <c r="E2235" s="7" t="s">
        <v>39</v>
      </c>
      <c r="F2235" s="0" t="n">
        <v>319.968</v>
      </c>
      <c r="G2235" s="0" t="n">
        <v>35.9964</v>
      </c>
      <c r="H2235" s="0" t="n">
        <v>0.2</v>
      </c>
      <c r="I2235" s="7" t="n">
        <f aca="false">YEAR(B2235)</f>
        <v>2015</v>
      </c>
      <c r="J2235" s="0" t="str">
        <f aca="false">I2235&amp;"-Q"&amp;ROUNDUP(MONTH(B2235)/3,0)</f>
        <v>2015-Q4</v>
      </c>
    </row>
    <row r="2236" customFormat="false" ht="15" hidden="false" customHeight="false" outlineLevel="0" collapsed="false">
      <c r="A2236" s="0" t="s">
        <v>1172</v>
      </c>
      <c r="B2236" s="6" t="n">
        <v>43074</v>
      </c>
      <c r="C2236" s="7" t="s">
        <v>55</v>
      </c>
      <c r="D2236" s="7" t="s">
        <v>1173</v>
      </c>
      <c r="E2236" s="7" t="s">
        <v>39</v>
      </c>
      <c r="F2236" s="0" t="n">
        <v>205.03</v>
      </c>
      <c r="G2236" s="0" t="n">
        <v>67.6599</v>
      </c>
      <c r="H2236" s="0" t="n">
        <v>0</v>
      </c>
      <c r="I2236" s="7" t="n">
        <f aca="false">YEAR(B2236)</f>
        <v>2017</v>
      </c>
      <c r="J2236" s="0" t="str">
        <f aca="false">I2236&amp;"-Q"&amp;ROUNDUP(MONTH(B2236)/3,0)</f>
        <v>2017-Q4</v>
      </c>
    </row>
    <row r="2237" customFormat="false" ht="15" hidden="false" customHeight="false" outlineLevel="0" collapsed="false">
      <c r="A2237" s="0" t="s">
        <v>1174</v>
      </c>
      <c r="B2237" s="6" t="n">
        <v>42262</v>
      </c>
      <c r="C2237" s="7" t="s">
        <v>45</v>
      </c>
      <c r="D2237" s="7" t="s">
        <v>74</v>
      </c>
      <c r="E2237" s="7" t="s">
        <v>35</v>
      </c>
      <c r="F2237" s="0" t="n">
        <v>190.86</v>
      </c>
      <c r="G2237" s="0" t="n">
        <v>11.4516</v>
      </c>
      <c r="H2237" s="0" t="n">
        <v>0</v>
      </c>
      <c r="I2237" s="7" t="n">
        <f aca="false">YEAR(B2237)</f>
        <v>2015</v>
      </c>
      <c r="J2237" s="0" t="str">
        <f aca="false">I2237&amp;"-Q"&amp;ROUNDUP(MONTH(B2237)/3,0)</f>
        <v>2015-Q3</v>
      </c>
    </row>
    <row r="2238" customFormat="false" ht="15" hidden="false" customHeight="false" outlineLevel="0" collapsed="false">
      <c r="A2238" s="0" t="s">
        <v>1174</v>
      </c>
      <c r="B2238" s="6" t="n">
        <v>42262</v>
      </c>
      <c r="C2238" s="7" t="s">
        <v>45</v>
      </c>
      <c r="D2238" s="7" t="s">
        <v>74</v>
      </c>
      <c r="E2238" s="7" t="s">
        <v>35</v>
      </c>
      <c r="F2238" s="0" t="n">
        <v>24.32</v>
      </c>
      <c r="G2238" s="0" t="n">
        <v>8.2688</v>
      </c>
      <c r="H2238" s="0" t="n">
        <v>0</v>
      </c>
      <c r="I2238" s="7" t="n">
        <f aca="false">YEAR(B2238)</f>
        <v>2015</v>
      </c>
      <c r="J2238" s="0" t="str">
        <f aca="false">I2238&amp;"-Q"&amp;ROUNDUP(MONTH(B2238)/3,0)</f>
        <v>2015-Q3</v>
      </c>
    </row>
    <row r="2239" customFormat="false" ht="15" hidden="false" customHeight="false" outlineLevel="0" collapsed="false">
      <c r="A2239" s="0" t="s">
        <v>1175</v>
      </c>
      <c r="B2239" s="6" t="n">
        <v>42566</v>
      </c>
      <c r="C2239" s="7" t="s">
        <v>33</v>
      </c>
      <c r="D2239" s="7" t="s">
        <v>50</v>
      </c>
      <c r="E2239" s="7" t="s">
        <v>35</v>
      </c>
      <c r="F2239" s="0" t="n">
        <v>44.4</v>
      </c>
      <c r="G2239" s="0" t="n">
        <v>12.432</v>
      </c>
      <c r="H2239" s="0" t="n">
        <v>0</v>
      </c>
      <c r="I2239" s="7" t="n">
        <f aca="false">YEAR(B2239)</f>
        <v>2016</v>
      </c>
      <c r="J2239" s="0" t="str">
        <f aca="false">I2239&amp;"-Q"&amp;ROUNDUP(MONTH(B2239)/3,0)</f>
        <v>2016-Q3</v>
      </c>
    </row>
    <row r="2240" customFormat="false" ht="15" hidden="false" customHeight="false" outlineLevel="0" collapsed="false">
      <c r="A2240" s="0" t="s">
        <v>1176</v>
      </c>
      <c r="B2240" s="6" t="n">
        <v>42845</v>
      </c>
      <c r="C2240" s="7" t="s">
        <v>45</v>
      </c>
      <c r="D2240" s="7" t="s">
        <v>64</v>
      </c>
      <c r="E2240" s="7" t="s">
        <v>31</v>
      </c>
      <c r="F2240" s="0" t="n">
        <v>44.4</v>
      </c>
      <c r="G2240" s="0" t="n">
        <v>-52.17</v>
      </c>
      <c r="H2240" s="0" t="n">
        <v>0.6</v>
      </c>
      <c r="I2240" s="7" t="n">
        <f aca="false">YEAR(B2240)</f>
        <v>2017</v>
      </c>
      <c r="J2240" s="0" t="str">
        <f aca="false">I2240&amp;"-Q"&amp;ROUNDUP(MONTH(B2240)/3,0)</f>
        <v>2017-Q2</v>
      </c>
    </row>
    <row r="2241" customFormat="false" ht="15" hidden="false" customHeight="false" outlineLevel="0" collapsed="false">
      <c r="A2241" s="0" t="s">
        <v>1177</v>
      </c>
      <c r="B2241" s="6" t="n">
        <v>42689</v>
      </c>
      <c r="C2241" s="7" t="s">
        <v>33</v>
      </c>
      <c r="D2241" s="7" t="s">
        <v>34</v>
      </c>
      <c r="E2241" s="7" t="s">
        <v>35</v>
      </c>
      <c r="F2241" s="0" t="n">
        <v>1016.792</v>
      </c>
      <c r="G2241" s="0" t="n">
        <v>381.297</v>
      </c>
      <c r="H2241" s="0" t="n">
        <v>0.2</v>
      </c>
      <c r="I2241" s="7" t="n">
        <f aca="false">YEAR(B2241)</f>
        <v>2016</v>
      </c>
      <c r="J2241" s="0" t="str">
        <f aca="false">I2241&amp;"-Q"&amp;ROUNDUP(MONTH(B2241)/3,0)</f>
        <v>2016-Q4</v>
      </c>
    </row>
    <row r="2242" customFormat="false" ht="15" hidden="false" customHeight="false" outlineLevel="0" collapsed="false">
      <c r="A2242" s="0" t="s">
        <v>1177</v>
      </c>
      <c r="B2242" s="6" t="n">
        <v>42689</v>
      </c>
      <c r="C2242" s="7" t="s">
        <v>33</v>
      </c>
      <c r="D2242" s="7" t="s">
        <v>34</v>
      </c>
      <c r="E2242" s="7" t="s">
        <v>35</v>
      </c>
      <c r="F2242" s="0" t="n">
        <v>38.136</v>
      </c>
      <c r="G2242" s="0" t="n">
        <v>13.3476</v>
      </c>
      <c r="H2242" s="0" t="n">
        <v>0.2</v>
      </c>
      <c r="I2242" s="7" t="n">
        <f aca="false">YEAR(B2242)</f>
        <v>2016</v>
      </c>
      <c r="J2242" s="0" t="str">
        <f aca="false">I2242&amp;"-Q"&amp;ROUNDUP(MONTH(B2242)/3,0)</f>
        <v>2016-Q4</v>
      </c>
    </row>
    <row r="2243" customFormat="false" ht="15" hidden="false" customHeight="false" outlineLevel="0" collapsed="false">
      <c r="A2243" s="0" t="s">
        <v>1178</v>
      </c>
      <c r="B2243" s="6" t="n">
        <v>42700</v>
      </c>
      <c r="C2243" s="7" t="s">
        <v>55</v>
      </c>
      <c r="D2243" s="7" t="s">
        <v>56</v>
      </c>
      <c r="E2243" s="7" t="s">
        <v>39</v>
      </c>
      <c r="F2243" s="0" t="n">
        <v>494.982</v>
      </c>
      <c r="G2243" s="0" t="n">
        <v>-115.4958</v>
      </c>
      <c r="H2243" s="0" t="n">
        <v>0.4</v>
      </c>
      <c r="I2243" s="7" t="n">
        <f aca="false">YEAR(B2243)</f>
        <v>2016</v>
      </c>
      <c r="J2243" s="0" t="str">
        <f aca="false">I2243&amp;"-Q"&amp;ROUNDUP(MONTH(B2243)/3,0)</f>
        <v>2016-Q4</v>
      </c>
    </row>
    <row r="2244" customFormat="false" ht="15" hidden="false" customHeight="false" outlineLevel="0" collapsed="false">
      <c r="A2244" s="0" t="s">
        <v>1179</v>
      </c>
      <c r="B2244" s="6" t="n">
        <v>43060</v>
      </c>
      <c r="C2244" s="7" t="s">
        <v>33</v>
      </c>
      <c r="D2244" s="7" t="s">
        <v>34</v>
      </c>
      <c r="E2244" s="7" t="s">
        <v>35</v>
      </c>
      <c r="F2244" s="0" t="n">
        <v>56.56</v>
      </c>
      <c r="G2244" s="0" t="n">
        <v>15.2712</v>
      </c>
      <c r="H2244" s="0" t="n">
        <v>0</v>
      </c>
      <c r="I2244" s="7" t="n">
        <f aca="false">YEAR(B2244)</f>
        <v>2017</v>
      </c>
      <c r="J2244" s="0" t="str">
        <f aca="false">I2244&amp;"-Q"&amp;ROUNDUP(MONTH(B2244)/3,0)</f>
        <v>2017-Q4</v>
      </c>
    </row>
    <row r="2245" customFormat="false" ht="15" hidden="false" customHeight="false" outlineLevel="0" collapsed="false">
      <c r="A2245" s="0" t="s">
        <v>1179</v>
      </c>
      <c r="B2245" s="6" t="n">
        <v>43060</v>
      </c>
      <c r="C2245" s="7" t="s">
        <v>33</v>
      </c>
      <c r="D2245" s="7" t="s">
        <v>34</v>
      </c>
      <c r="E2245" s="7" t="s">
        <v>35</v>
      </c>
      <c r="F2245" s="0" t="n">
        <v>5.56</v>
      </c>
      <c r="G2245" s="0" t="n">
        <v>1.4456</v>
      </c>
      <c r="H2245" s="0" t="n">
        <v>0</v>
      </c>
      <c r="I2245" s="7" t="n">
        <f aca="false">YEAR(B2245)</f>
        <v>2017</v>
      </c>
      <c r="J2245" s="0" t="str">
        <f aca="false">I2245&amp;"-Q"&amp;ROUNDUP(MONTH(B2245)/3,0)</f>
        <v>2017-Q4</v>
      </c>
    </row>
    <row r="2246" customFormat="false" ht="15" hidden="false" customHeight="false" outlineLevel="0" collapsed="false">
      <c r="A2246" s="0" t="s">
        <v>1179</v>
      </c>
      <c r="B2246" s="6" t="n">
        <v>43060</v>
      </c>
      <c r="C2246" s="7" t="s">
        <v>33</v>
      </c>
      <c r="D2246" s="7" t="s">
        <v>34</v>
      </c>
      <c r="E2246" s="7" t="s">
        <v>35</v>
      </c>
      <c r="F2246" s="0" t="n">
        <v>9.02</v>
      </c>
      <c r="G2246" s="0" t="n">
        <v>3.5178</v>
      </c>
      <c r="H2246" s="0" t="n">
        <v>0</v>
      </c>
      <c r="I2246" s="7" t="n">
        <f aca="false">YEAR(B2246)</f>
        <v>2017</v>
      </c>
      <c r="J2246" s="0" t="str">
        <f aca="false">I2246&amp;"-Q"&amp;ROUNDUP(MONTH(B2246)/3,0)</f>
        <v>2017-Q4</v>
      </c>
    </row>
    <row r="2247" customFormat="false" ht="15" hidden="false" customHeight="false" outlineLevel="0" collapsed="false">
      <c r="A2247" s="0" t="s">
        <v>1179</v>
      </c>
      <c r="B2247" s="6" t="n">
        <v>43060</v>
      </c>
      <c r="C2247" s="7" t="s">
        <v>33</v>
      </c>
      <c r="D2247" s="7" t="s">
        <v>34</v>
      </c>
      <c r="E2247" s="7" t="s">
        <v>35</v>
      </c>
      <c r="F2247" s="0" t="n">
        <v>8.62</v>
      </c>
      <c r="G2247" s="0" t="n">
        <v>2.2412</v>
      </c>
      <c r="H2247" s="0" t="n">
        <v>0</v>
      </c>
      <c r="I2247" s="7" t="n">
        <f aca="false">YEAR(B2247)</f>
        <v>2017</v>
      </c>
      <c r="J2247" s="0" t="str">
        <f aca="false">I2247&amp;"-Q"&amp;ROUNDUP(MONTH(B2247)/3,0)</f>
        <v>2017-Q4</v>
      </c>
    </row>
    <row r="2248" customFormat="false" ht="15" hidden="false" customHeight="false" outlineLevel="0" collapsed="false">
      <c r="A2248" s="0" t="s">
        <v>1179</v>
      </c>
      <c r="B2248" s="6" t="n">
        <v>43060</v>
      </c>
      <c r="C2248" s="7" t="s">
        <v>33</v>
      </c>
      <c r="D2248" s="7" t="s">
        <v>34</v>
      </c>
      <c r="E2248" s="7" t="s">
        <v>39</v>
      </c>
      <c r="F2248" s="0" t="n">
        <v>659.976</v>
      </c>
      <c r="G2248" s="0" t="n">
        <v>49.4982</v>
      </c>
      <c r="H2248" s="0" t="n">
        <v>0.2</v>
      </c>
      <c r="I2248" s="7" t="n">
        <f aca="false">YEAR(B2248)</f>
        <v>2017</v>
      </c>
      <c r="J2248" s="0" t="str">
        <f aca="false">I2248&amp;"-Q"&amp;ROUNDUP(MONTH(B2248)/3,0)</f>
        <v>2017-Q4</v>
      </c>
    </row>
    <row r="2249" customFormat="false" ht="15" hidden="false" customHeight="false" outlineLevel="0" collapsed="false">
      <c r="A2249" s="0" t="s">
        <v>1180</v>
      </c>
      <c r="B2249" s="6" t="n">
        <v>42050</v>
      </c>
      <c r="C2249" s="7" t="s">
        <v>33</v>
      </c>
      <c r="D2249" s="7" t="s">
        <v>34</v>
      </c>
      <c r="E2249" s="7" t="s">
        <v>35</v>
      </c>
      <c r="F2249" s="0" t="n">
        <v>13.36</v>
      </c>
      <c r="G2249" s="0" t="n">
        <v>6.4128</v>
      </c>
      <c r="H2249" s="0" t="n">
        <v>0</v>
      </c>
      <c r="I2249" s="7" t="n">
        <f aca="false">YEAR(B2249)</f>
        <v>2015</v>
      </c>
      <c r="J2249" s="0" t="str">
        <f aca="false">I2249&amp;"-Q"&amp;ROUNDUP(MONTH(B2249)/3,0)</f>
        <v>2015-Q1</v>
      </c>
    </row>
    <row r="2250" customFormat="false" ht="15" hidden="false" customHeight="false" outlineLevel="0" collapsed="false">
      <c r="A2250" s="0" t="s">
        <v>1180</v>
      </c>
      <c r="B2250" s="6" t="n">
        <v>42050</v>
      </c>
      <c r="C2250" s="7" t="s">
        <v>33</v>
      </c>
      <c r="D2250" s="7" t="s">
        <v>34</v>
      </c>
      <c r="E2250" s="7" t="s">
        <v>35</v>
      </c>
      <c r="F2250" s="0" t="n">
        <v>41.72</v>
      </c>
      <c r="G2250" s="0" t="n">
        <v>13.0375</v>
      </c>
      <c r="H2250" s="0" t="n">
        <v>0.2</v>
      </c>
      <c r="I2250" s="7" t="n">
        <f aca="false">YEAR(B2250)</f>
        <v>2015</v>
      </c>
      <c r="J2250" s="0" t="str">
        <f aca="false">I2250&amp;"-Q"&amp;ROUNDUP(MONTH(B2250)/3,0)</f>
        <v>2015-Q1</v>
      </c>
    </row>
    <row r="2251" customFormat="false" ht="15" hidden="false" customHeight="false" outlineLevel="0" collapsed="false">
      <c r="A2251" s="0" t="s">
        <v>1180</v>
      </c>
      <c r="B2251" s="6" t="n">
        <v>42050</v>
      </c>
      <c r="C2251" s="7" t="s">
        <v>33</v>
      </c>
      <c r="D2251" s="7" t="s">
        <v>34</v>
      </c>
      <c r="E2251" s="7" t="s">
        <v>35</v>
      </c>
      <c r="F2251" s="0" t="n">
        <v>11.52</v>
      </c>
      <c r="G2251" s="0" t="n">
        <v>4.176</v>
      </c>
      <c r="H2251" s="0" t="n">
        <v>0.2</v>
      </c>
      <c r="I2251" s="7" t="n">
        <f aca="false">YEAR(B2251)</f>
        <v>2015</v>
      </c>
      <c r="J2251" s="0" t="str">
        <f aca="false">I2251&amp;"-Q"&amp;ROUNDUP(MONTH(B2251)/3,0)</f>
        <v>2015-Q1</v>
      </c>
    </row>
    <row r="2252" customFormat="false" ht="15" hidden="false" customHeight="false" outlineLevel="0" collapsed="false">
      <c r="A2252" s="0" t="s">
        <v>1180</v>
      </c>
      <c r="B2252" s="6" t="n">
        <v>42050</v>
      </c>
      <c r="C2252" s="7" t="s">
        <v>33</v>
      </c>
      <c r="D2252" s="7" t="s">
        <v>34</v>
      </c>
      <c r="E2252" s="7" t="s">
        <v>35</v>
      </c>
      <c r="F2252" s="0" t="n">
        <v>541.44</v>
      </c>
      <c r="G2252" s="0" t="n">
        <v>157.0176</v>
      </c>
      <c r="H2252" s="0" t="n">
        <v>0</v>
      </c>
      <c r="I2252" s="7" t="n">
        <f aca="false">YEAR(B2252)</f>
        <v>2015</v>
      </c>
      <c r="J2252" s="0" t="str">
        <f aca="false">I2252&amp;"-Q"&amp;ROUNDUP(MONTH(B2252)/3,0)</f>
        <v>2015-Q1</v>
      </c>
    </row>
    <row r="2253" customFormat="false" ht="15" hidden="false" customHeight="false" outlineLevel="0" collapsed="false">
      <c r="A2253" s="0" t="s">
        <v>1180</v>
      </c>
      <c r="B2253" s="6" t="n">
        <v>42050</v>
      </c>
      <c r="C2253" s="7" t="s">
        <v>33</v>
      </c>
      <c r="D2253" s="7" t="s">
        <v>34</v>
      </c>
      <c r="E2253" s="7" t="s">
        <v>35</v>
      </c>
      <c r="F2253" s="0" t="n">
        <v>19.44</v>
      </c>
      <c r="G2253" s="0" t="n">
        <v>9.3312</v>
      </c>
      <c r="H2253" s="0" t="n">
        <v>0</v>
      </c>
      <c r="I2253" s="7" t="n">
        <f aca="false">YEAR(B2253)</f>
        <v>2015</v>
      </c>
      <c r="J2253" s="0" t="str">
        <f aca="false">I2253&amp;"-Q"&amp;ROUNDUP(MONTH(B2253)/3,0)</f>
        <v>2015-Q1</v>
      </c>
    </row>
    <row r="2254" customFormat="false" ht="15" hidden="false" customHeight="false" outlineLevel="0" collapsed="false">
      <c r="A2254" s="0" t="s">
        <v>1181</v>
      </c>
      <c r="B2254" s="6" t="n">
        <v>42475</v>
      </c>
      <c r="C2254" s="7" t="s">
        <v>33</v>
      </c>
      <c r="D2254" s="7" t="s">
        <v>34</v>
      </c>
      <c r="E2254" s="7" t="s">
        <v>35</v>
      </c>
      <c r="F2254" s="0" t="n">
        <v>143.7</v>
      </c>
      <c r="G2254" s="0" t="n">
        <v>68.976</v>
      </c>
      <c r="H2254" s="0" t="n">
        <v>0</v>
      </c>
      <c r="I2254" s="7" t="n">
        <f aca="false">YEAR(B2254)</f>
        <v>2016</v>
      </c>
      <c r="J2254" s="0" t="str">
        <f aca="false">I2254&amp;"-Q"&amp;ROUNDUP(MONTH(B2254)/3,0)</f>
        <v>2016-Q2</v>
      </c>
    </row>
    <row r="2255" customFormat="false" ht="15" hidden="false" customHeight="false" outlineLevel="0" collapsed="false">
      <c r="A2255" s="0" t="s">
        <v>1182</v>
      </c>
      <c r="B2255" s="6" t="n">
        <v>42275</v>
      </c>
      <c r="C2255" s="7" t="s">
        <v>33</v>
      </c>
      <c r="D2255" s="7" t="s">
        <v>34</v>
      </c>
      <c r="E2255" s="7" t="s">
        <v>35</v>
      </c>
      <c r="F2255" s="0" t="n">
        <v>43.26</v>
      </c>
      <c r="G2255" s="0" t="n">
        <v>14.2758</v>
      </c>
      <c r="H2255" s="0" t="n">
        <v>0</v>
      </c>
      <c r="I2255" s="7" t="n">
        <f aca="false">YEAR(B2255)</f>
        <v>2015</v>
      </c>
      <c r="J2255" s="0" t="str">
        <f aca="false">I2255&amp;"-Q"&amp;ROUNDUP(MONTH(B2255)/3,0)</f>
        <v>2015-Q3</v>
      </c>
    </row>
    <row r="2256" customFormat="false" ht="15" hidden="false" customHeight="false" outlineLevel="0" collapsed="false">
      <c r="A2256" s="0" t="s">
        <v>1182</v>
      </c>
      <c r="B2256" s="6" t="n">
        <v>42275</v>
      </c>
      <c r="C2256" s="7" t="s">
        <v>33</v>
      </c>
      <c r="D2256" s="7" t="s">
        <v>34</v>
      </c>
      <c r="E2256" s="7" t="s">
        <v>35</v>
      </c>
      <c r="F2256" s="0" t="n">
        <v>43.56</v>
      </c>
      <c r="G2256" s="0" t="n">
        <v>15.246</v>
      </c>
      <c r="H2256" s="0" t="n">
        <v>0</v>
      </c>
      <c r="I2256" s="7" t="n">
        <f aca="false">YEAR(B2256)</f>
        <v>2015</v>
      </c>
      <c r="J2256" s="0" t="str">
        <f aca="false">I2256&amp;"-Q"&amp;ROUNDUP(MONTH(B2256)/3,0)</f>
        <v>2015-Q3</v>
      </c>
    </row>
    <row r="2257" customFormat="false" ht="15" hidden="false" customHeight="false" outlineLevel="0" collapsed="false">
      <c r="A2257" s="0" t="s">
        <v>1183</v>
      </c>
      <c r="B2257" s="6" t="n">
        <v>42630</v>
      </c>
      <c r="C2257" s="7" t="s">
        <v>55</v>
      </c>
      <c r="D2257" s="7" t="s">
        <v>1184</v>
      </c>
      <c r="E2257" s="7" t="s">
        <v>39</v>
      </c>
      <c r="F2257" s="0" t="n">
        <v>437.85</v>
      </c>
      <c r="G2257" s="0" t="n">
        <v>131.355</v>
      </c>
      <c r="H2257" s="0" t="n">
        <v>0</v>
      </c>
      <c r="I2257" s="7" t="n">
        <f aca="false">YEAR(B2257)</f>
        <v>2016</v>
      </c>
      <c r="J2257" s="0" t="str">
        <f aca="false">I2257&amp;"-Q"&amp;ROUNDUP(MONTH(B2257)/3,0)</f>
        <v>2016-Q3</v>
      </c>
    </row>
    <row r="2258" customFormat="false" ht="15" hidden="false" customHeight="false" outlineLevel="0" collapsed="false">
      <c r="A2258" s="0" t="s">
        <v>1183</v>
      </c>
      <c r="B2258" s="6" t="n">
        <v>42630</v>
      </c>
      <c r="C2258" s="7" t="s">
        <v>55</v>
      </c>
      <c r="D2258" s="7" t="s">
        <v>1184</v>
      </c>
      <c r="E2258" s="7" t="s">
        <v>31</v>
      </c>
      <c r="F2258" s="0" t="n">
        <v>109.48</v>
      </c>
      <c r="G2258" s="0" t="n">
        <v>33.9388</v>
      </c>
      <c r="H2258" s="0" t="n">
        <v>0</v>
      </c>
      <c r="I2258" s="7" t="n">
        <f aca="false">YEAR(B2258)</f>
        <v>2016</v>
      </c>
      <c r="J2258" s="0" t="str">
        <f aca="false">I2258&amp;"-Q"&amp;ROUNDUP(MONTH(B2258)/3,0)</f>
        <v>2016-Q3</v>
      </c>
    </row>
    <row r="2259" customFormat="false" ht="15" hidden="false" customHeight="false" outlineLevel="0" collapsed="false">
      <c r="A2259" s="0" t="s">
        <v>1185</v>
      </c>
      <c r="B2259" s="6" t="n">
        <v>42902</v>
      </c>
      <c r="C2259" s="7" t="s">
        <v>33</v>
      </c>
      <c r="D2259" s="7" t="s">
        <v>34</v>
      </c>
      <c r="E2259" s="7" t="s">
        <v>31</v>
      </c>
      <c r="F2259" s="0" t="n">
        <v>1212.96</v>
      </c>
      <c r="G2259" s="0" t="n">
        <v>90.972</v>
      </c>
      <c r="H2259" s="0" t="n">
        <v>0.2</v>
      </c>
      <c r="I2259" s="7" t="n">
        <f aca="false">YEAR(B2259)</f>
        <v>2017</v>
      </c>
      <c r="J2259" s="0" t="str">
        <f aca="false">I2259&amp;"-Q"&amp;ROUNDUP(MONTH(B2259)/3,0)</f>
        <v>2017-Q2</v>
      </c>
    </row>
    <row r="2260" customFormat="false" ht="15" hidden="false" customHeight="false" outlineLevel="0" collapsed="false">
      <c r="A2260" s="0" t="s">
        <v>1185</v>
      </c>
      <c r="B2260" s="6" t="n">
        <v>42902</v>
      </c>
      <c r="C2260" s="7" t="s">
        <v>33</v>
      </c>
      <c r="D2260" s="7" t="s">
        <v>34</v>
      </c>
      <c r="E2260" s="7" t="s">
        <v>35</v>
      </c>
      <c r="F2260" s="0" t="n">
        <v>18.54</v>
      </c>
      <c r="G2260" s="0" t="n">
        <v>8.7138</v>
      </c>
      <c r="H2260" s="0" t="n">
        <v>0</v>
      </c>
      <c r="I2260" s="7" t="n">
        <f aca="false">YEAR(B2260)</f>
        <v>2017</v>
      </c>
      <c r="J2260" s="0" t="str">
        <f aca="false">I2260&amp;"-Q"&amp;ROUNDUP(MONTH(B2260)/3,0)</f>
        <v>2017-Q2</v>
      </c>
    </row>
    <row r="2261" customFormat="false" ht="15" hidden="false" customHeight="false" outlineLevel="0" collapsed="false">
      <c r="A2261" s="0" t="s">
        <v>1186</v>
      </c>
      <c r="B2261" s="6" t="n">
        <v>42316</v>
      </c>
      <c r="C2261" s="7" t="s">
        <v>33</v>
      </c>
      <c r="D2261" s="7" t="s">
        <v>34</v>
      </c>
      <c r="E2261" s="7" t="s">
        <v>35</v>
      </c>
      <c r="F2261" s="0" t="n">
        <v>5</v>
      </c>
      <c r="G2261" s="0" t="n">
        <v>2.4</v>
      </c>
      <c r="H2261" s="0" t="n">
        <v>0</v>
      </c>
      <c r="I2261" s="7" t="n">
        <f aca="false">YEAR(B2261)</f>
        <v>2015</v>
      </c>
      <c r="J2261" s="0" t="str">
        <f aca="false">I2261&amp;"-Q"&amp;ROUNDUP(MONTH(B2261)/3,0)</f>
        <v>2015-Q4</v>
      </c>
    </row>
    <row r="2262" customFormat="false" ht="15" hidden="false" customHeight="false" outlineLevel="0" collapsed="false">
      <c r="A2262" s="0" t="s">
        <v>1186</v>
      </c>
      <c r="B2262" s="6" t="n">
        <v>42316</v>
      </c>
      <c r="C2262" s="7" t="s">
        <v>33</v>
      </c>
      <c r="D2262" s="7" t="s">
        <v>34</v>
      </c>
      <c r="E2262" s="7" t="s">
        <v>39</v>
      </c>
      <c r="F2262" s="0" t="n">
        <v>371.97</v>
      </c>
      <c r="G2262" s="0" t="n">
        <v>66.9546</v>
      </c>
      <c r="H2262" s="0" t="n">
        <v>0</v>
      </c>
      <c r="I2262" s="7" t="n">
        <f aca="false">YEAR(B2262)</f>
        <v>2015</v>
      </c>
      <c r="J2262" s="0" t="str">
        <f aca="false">I2262&amp;"-Q"&amp;ROUNDUP(MONTH(B2262)/3,0)</f>
        <v>2015-Q4</v>
      </c>
    </row>
    <row r="2263" customFormat="false" ht="15" hidden="false" customHeight="false" outlineLevel="0" collapsed="false">
      <c r="A2263" s="0" t="s">
        <v>1187</v>
      </c>
      <c r="B2263" s="6" t="n">
        <v>42356</v>
      </c>
      <c r="C2263" s="7" t="s">
        <v>55</v>
      </c>
      <c r="D2263" s="7" t="s">
        <v>76</v>
      </c>
      <c r="E2263" s="7" t="s">
        <v>39</v>
      </c>
      <c r="F2263" s="0" t="n">
        <v>166.24</v>
      </c>
      <c r="G2263" s="0" t="n">
        <v>24.936</v>
      </c>
      <c r="H2263" s="0" t="n">
        <v>0</v>
      </c>
      <c r="I2263" s="7" t="n">
        <f aca="false">YEAR(B2263)</f>
        <v>2015</v>
      </c>
      <c r="J2263" s="0" t="str">
        <f aca="false">I2263&amp;"-Q"&amp;ROUNDUP(MONTH(B2263)/3,0)</f>
        <v>2015-Q4</v>
      </c>
    </row>
    <row r="2264" customFormat="false" ht="15" hidden="false" customHeight="false" outlineLevel="0" collapsed="false">
      <c r="A2264" s="0" t="s">
        <v>1188</v>
      </c>
      <c r="B2264" s="6" t="n">
        <v>42772</v>
      </c>
      <c r="C2264" s="7" t="s">
        <v>29</v>
      </c>
      <c r="D2264" s="7" t="s">
        <v>83</v>
      </c>
      <c r="E2264" s="7" t="s">
        <v>31</v>
      </c>
      <c r="F2264" s="0" t="n">
        <v>359.97</v>
      </c>
      <c r="G2264" s="0" t="n">
        <v>79.1934</v>
      </c>
      <c r="H2264" s="0" t="n">
        <v>0</v>
      </c>
      <c r="I2264" s="7" t="n">
        <f aca="false">YEAR(B2264)</f>
        <v>2017</v>
      </c>
      <c r="J2264" s="0" t="str">
        <f aca="false">I2264&amp;"-Q"&amp;ROUNDUP(MONTH(B2264)/3,0)</f>
        <v>2017-Q1</v>
      </c>
    </row>
    <row r="2265" customFormat="false" ht="15" hidden="false" customHeight="false" outlineLevel="0" collapsed="false">
      <c r="A2265" s="0" t="s">
        <v>1189</v>
      </c>
      <c r="B2265" s="6" t="n">
        <v>42688</v>
      </c>
      <c r="C2265" s="7" t="s">
        <v>29</v>
      </c>
      <c r="D2265" s="7" t="s">
        <v>230</v>
      </c>
      <c r="E2265" s="7" t="s">
        <v>39</v>
      </c>
      <c r="F2265" s="0" t="n">
        <v>499.98</v>
      </c>
      <c r="G2265" s="0" t="n">
        <v>114.9954</v>
      </c>
      <c r="H2265" s="0" t="n">
        <v>0</v>
      </c>
      <c r="I2265" s="7" t="n">
        <f aca="false">YEAR(B2265)</f>
        <v>2016</v>
      </c>
      <c r="J2265" s="0" t="str">
        <f aca="false">I2265&amp;"-Q"&amp;ROUNDUP(MONTH(B2265)/3,0)</f>
        <v>2016-Q4</v>
      </c>
    </row>
    <row r="2266" customFormat="false" ht="15" hidden="false" customHeight="false" outlineLevel="0" collapsed="false">
      <c r="A2266" s="0" t="s">
        <v>1189</v>
      </c>
      <c r="B2266" s="6" t="n">
        <v>42688</v>
      </c>
      <c r="C2266" s="7" t="s">
        <v>29</v>
      </c>
      <c r="D2266" s="7" t="s">
        <v>230</v>
      </c>
      <c r="E2266" s="7" t="s">
        <v>35</v>
      </c>
      <c r="F2266" s="0" t="n">
        <v>5.28</v>
      </c>
      <c r="G2266" s="0" t="n">
        <v>2.376</v>
      </c>
      <c r="H2266" s="0" t="n">
        <v>0</v>
      </c>
      <c r="I2266" s="7" t="n">
        <f aca="false">YEAR(B2266)</f>
        <v>2016</v>
      </c>
      <c r="J2266" s="0" t="str">
        <f aca="false">I2266&amp;"-Q"&amp;ROUNDUP(MONTH(B2266)/3,0)</f>
        <v>2016-Q4</v>
      </c>
    </row>
    <row r="2267" customFormat="false" ht="15" hidden="false" customHeight="false" outlineLevel="0" collapsed="false">
      <c r="A2267" s="0" t="s">
        <v>1189</v>
      </c>
      <c r="B2267" s="6" t="n">
        <v>42688</v>
      </c>
      <c r="C2267" s="7" t="s">
        <v>29</v>
      </c>
      <c r="D2267" s="7" t="s">
        <v>230</v>
      </c>
      <c r="E2267" s="7" t="s">
        <v>35</v>
      </c>
      <c r="F2267" s="0" t="n">
        <v>8.26</v>
      </c>
      <c r="G2267" s="0" t="n">
        <v>3.8822</v>
      </c>
      <c r="H2267" s="0" t="n">
        <v>0</v>
      </c>
      <c r="I2267" s="7" t="n">
        <f aca="false">YEAR(B2267)</f>
        <v>2016</v>
      </c>
      <c r="J2267" s="0" t="str">
        <f aca="false">I2267&amp;"-Q"&amp;ROUNDUP(MONTH(B2267)/3,0)</f>
        <v>2016-Q4</v>
      </c>
    </row>
    <row r="2268" customFormat="false" ht="15" hidden="false" customHeight="false" outlineLevel="0" collapsed="false">
      <c r="A2268" s="0" t="s">
        <v>1190</v>
      </c>
      <c r="B2268" s="6" t="n">
        <v>43020</v>
      </c>
      <c r="C2268" s="7" t="s">
        <v>29</v>
      </c>
      <c r="D2268" s="7" t="s">
        <v>41</v>
      </c>
      <c r="E2268" s="7" t="s">
        <v>35</v>
      </c>
      <c r="F2268" s="0" t="n">
        <v>7.968</v>
      </c>
      <c r="G2268" s="0" t="n">
        <v>2.6892</v>
      </c>
      <c r="H2268" s="0" t="n">
        <v>0.2</v>
      </c>
      <c r="I2268" s="7" t="n">
        <f aca="false">YEAR(B2268)</f>
        <v>2017</v>
      </c>
      <c r="J2268" s="0" t="str">
        <f aca="false">I2268&amp;"-Q"&amp;ROUNDUP(MONTH(B2268)/3,0)</f>
        <v>2017-Q4</v>
      </c>
    </row>
    <row r="2269" customFormat="false" ht="15" hidden="false" customHeight="false" outlineLevel="0" collapsed="false">
      <c r="A2269" s="0" t="s">
        <v>1191</v>
      </c>
      <c r="B2269" s="6" t="n">
        <v>42995</v>
      </c>
      <c r="C2269" s="7" t="s">
        <v>33</v>
      </c>
      <c r="D2269" s="7" t="s">
        <v>43</v>
      </c>
      <c r="E2269" s="7" t="s">
        <v>35</v>
      </c>
      <c r="F2269" s="0" t="n">
        <v>12.96</v>
      </c>
      <c r="G2269" s="0" t="n">
        <v>6.3504</v>
      </c>
      <c r="H2269" s="0" t="n">
        <v>0</v>
      </c>
      <c r="I2269" s="7" t="n">
        <f aca="false">YEAR(B2269)</f>
        <v>2017</v>
      </c>
      <c r="J2269" s="0" t="str">
        <f aca="false">I2269&amp;"-Q"&amp;ROUNDUP(MONTH(B2269)/3,0)</f>
        <v>2017-Q3</v>
      </c>
    </row>
    <row r="2270" customFormat="false" ht="15" hidden="false" customHeight="false" outlineLevel="0" collapsed="false">
      <c r="A2270" s="0" t="s">
        <v>1192</v>
      </c>
      <c r="B2270" s="6" t="n">
        <v>43089</v>
      </c>
      <c r="C2270" s="7" t="s">
        <v>55</v>
      </c>
      <c r="D2270" s="7" t="s">
        <v>76</v>
      </c>
      <c r="E2270" s="7" t="s">
        <v>35</v>
      </c>
      <c r="F2270" s="0" t="n">
        <v>6.48</v>
      </c>
      <c r="G2270" s="0" t="n">
        <v>3.1104</v>
      </c>
      <c r="H2270" s="0" t="n">
        <v>0</v>
      </c>
      <c r="I2270" s="7" t="n">
        <f aca="false">YEAR(B2270)</f>
        <v>2017</v>
      </c>
      <c r="J2270" s="0" t="str">
        <f aca="false">I2270&amp;"-Q"&amp;ROUNDUP(MONTH(B2270)/3,0)</f>
        <v>2017-Q4</v>
      </c>
    </row>
    <row r="2271" customFormat="false" ht="15" hidden="false" customHeight="false" outlineLevel="0" collapsed="false">
      <c r="A2271" s="0" t="s">
        <v>1192</v>
      </c>
      <c r="B2271" s="6" t="n">
        <v>43089</v>
      </c>
      <c r="C2271" s="7" t="s">
        <v>55</v>
      </c>
      <c r="D2271" s="7" t="s">
        <v>76</v>
      </c>
      <c r="E2271" s="7" t="s">
        <v>35</v>
      </c>
      <c r="F2271" s="0" t="n">
        <v>6.984</v>
      </c>
      <c r="G2271" s="0" t="n">
        <v>2.3571</v>
      </c>
      <c r="H2271" s="0" t="n">
        <v>0.2</v>
      </c>
      <c r="I2271" s="7" t="n">
        <f aca="false">YEAR(B2271)</f>
        <v>2017</v>
      </c>
      <c r="J2271" s="0" t="str">
        <f aca="false">I2271&amp;"-Q"&amp;ROUNDUP(MONTH(B2271)/3,0)</f>
        <v>2017-Q4</v>
      </c>
    </row>
    <row r="2272" customFormat="false" ht="15" hidden="false" customHeight="false" outlineLevel="0" collapsed="false">
      <c r="A2272" s="0" t="s">
        <v>1193</v>
      </c>
      <c r="B2272" s="6" t="n">
        <v>43071</v>
      </c>
      <c r="C2272" s="7" t="s">
        <v>29</v>
      </c>
      <c r="D2272" s="7" t="s">
        <v>37</v>
      </c>
      <c r="E2272" s="7" t="s">
        <v>35</v>
      </c>
      <c r="F2272" s="0" t="n">
        <v>47.96</v>
      </c>
      <c r="G2272" s="0" t="n">
        <v>4.1965</v>
      </c>
      <c r="H2272" s="0" t="n">
        <v>0.2</v>
      </c>
      <c r="I2272" s="7" t="n">
        <f aca="false">YEAR(B2272)</f>
        <v>2017</v>
      </c>
      <c r="J2272" s="0" t="str">
        <f aca="false">I2272&amp;"-Q"&amp;ROUNDUP(MONTH(B2272)/3,0)</f>
        <v>2017-Q4</v>
      </c>
    </row>
    <row r="2273" customFormat="false" ht="15" hidden="false" customHeight="false" outlineLevel="0" collapsed="false">
      <c r="A2273" s="0" t="s">
        <v>1194</v>
      </c>
      <c r="B2273" s="6" t="n">
        <v>42268</v>
      </c>
      <c r="C2273" s="7" t="s">
        <v>33</v>
      </c>
      <c r="D2273" s="7" t="s">
        <v>43</v>
      </c>
      <c r="E2273" s="7" t="s">
        <v>35</v>
      </c>
      <c r="F2273" s="0" t="n">
        <v>199.74</v>
      </c>
      <c r="G2273" s="0" t="n">
        <v>47.9376</v>
      </c>
      <c r="H2273" s="0" t="n">
        <v>0</v>
      </c>
      <c r="I2273" s="7" t="n">
        <f aca="false">YEAR(B2273)</f>
        <v>2015</v>
      </c>
      <c r="J2273" s="0" t="str">
        <f aca="false">I2273&amp;"-Q"&amp;ROUNDUP(MONTH(B2273)/3,0)</f>
        <v>2015-Q3</v>
      </c>
    </row>
    <row r="2274" customFormat="false" ht="15" hidden="false" customHeight="false" outlineLevel="0" collapsed="false">
      <c r="A2274" s="0" t="s">
        <v>1195</v>
      </c>
      <c r="B2274" s="6" t="n">
        <v>42069</v>
      </c>
      <c r="C2274" s="7" t="s">
        <v>33</v>
      </c>
      <c r="D2274" s="7" t="s">
        <v>34</v>
      </c>
      <c r="E2274" s="7" t="s">
        <v>31</v>
      </c>
      <c r="F2274" s="0" t="n">
        <v>435.26</v>
      </c>
      <c r="G2274" s="0" t="n">
        <v>95.7572</v>
      </c>
      <c r="H2274" s="0" t="n">
        <v>0</v>
      </c>
      <c r="I2274" s="7" t="n">
        <f aca="false">YEAR(B2274)</f>
        <v>2015</v>
      </c>
      <c r="J2274" s="0" t="str">
        <f aca="false">I2274&amp;"-Q"&amp;ROUNDUP(MONTH(B2274)/3,0)</f>
        <v>2015-Q1</v>
      </c>
    </row>
    <row r="2275" customFormat="false" ht="15" hidden="false" customHeight="false" outlineLevel="0" collapsed="false">
      <c r="A2275" s="0" t="s">
        <v>1195</v>
      </c>
      <c r="B2275" s="6" t="n">
        <v>42069</v>
      </c>
      <c r="C2275" s="7" t="s">
        <v>33</v>
      </c>
      <c r="D2275" s="7" t="s">
        <v>34</v>
      </c>
      <c r="E2275" s="7" t="s">
        <v>39</v>
      </c>
      <c r="F2275" s="0" t="n">
        <v>1119.984</v>
      </c>
      <c r="G2275" s="0" t="n">
        <v>377.9946</v>
      </c>
      <c r="H2275" s="0" t="n">
        <v>0.2</v>
      </c>
      <c r="I2275" s="7" t="n">
        <f aca="false">YEAR(B2275)</f>
        <v>2015</v>
      </c>
      <c r="J2275" s="0" t="str">
        <f aca="false">I2275&amp;"-Q"&amp;ROUNDUP(MONTH(B2275)/3,0)</f>
        <v>2015-Q1</v>
      </c>
    </row>
    <row r="2276" customFormat="false" ht="15" hidden="false" customHeight="false" outlineLevel="0" collapsed="false">
      <c r="A2276" s="0" t="s">
        <v>1196</v>
      </c>
      <c r="B2276" s="6" t="n">
        <v>41915</v>
      </c>
      <c r="C2276" s="7" t="s">
        <v>33</v>
      </c>
      <c r="D2276" s="7" t="s">
        <v>34</v>
      </c>
      <c r="E2276" s="7" t="s">
        <v>31</v>
      </c>
      <c r="F2276" s="0" t="n">
        <v>143.432</v>
      </c>
      <c r="G2276" s="0" t="n">
        <v>3.5858</v>
      </c>
      <c r="H2276" s="0" t="n">
        <v>0.2</v>
      </c>
      <c r="I2276" s="7" t="n">
        <f aca="false">YEAR(B2276)</f>
        <v>2014</v>
      </c>
      <c r="J2276" s="0" t="str">
        <f aca="false">I2276&amp;"-Q"&amp;ROUNDUP(MONTH(B2276)/3,0)</f>
        <v>2014-Q4</v>
      </c>
    </row>
    <row r="2277" customFormat="false" ht="15" hidden="false" customHeight="false" outlineLevel="0" collapsed="false">
      <c r="A2277" s="0" t="s">
        <v>1196</v>
      </c>
      <c r="B2277" s="6" t="n">
        <v>41915</v>
      </c>
      <c r="C2277" s="7" t="s">
        <v>33</v>
      </c>
      <c r="D2277" s="7" t="s">
        <v>34</v>
      </c>
      <c r="E2277" s="7" t="s">
        <v>31</v>
      </c>
      <c r="F2277" s="0" t="n">
        <v>122.352</v>
      </c>
      <c r="G2277" s="0" t="n">
        <v>13.7646</v>
      </c>
      <c r="H2277" s="0" t="n">
        <v>0.2</v>
      </c>
      <c r="I2277" s="7" t="n">
        <f aca="false">YEAR(B2277)</f>
        <v>2014</v>
      </c>
      <c r="J2277" s="0" t="str">
        <f aca="false">I2277&amp;"-Q"&amp;ROUNDUP(MONTH(B2277)/3,0)</f>
        <v>2014-Q4</v>
      </c>
    </row>
    <row r="2278" customFormat="false" ht="15" hidden="false" customHeight="false" outlineLevel="0" collapsed="false">
      <c r="A2278" s="0" t="s">
        <v>1197</v>
      </c>
      <c r="B2278" s="6" t="n">
        <v>41817</v>
      </c>
      <c r="C2278" s="7" t="s">
        <v>29</v>
      </c>
      <c r="D2278" s="7" t="s">
        <v>265</v>
      </c>
      <c r="E2278" s="7" t="s">
        <v>35</v>
      </c>
      <c r="F2278" s="0" t="n">
        <v>306.2</v>
      </c>
      <c r="G2278" s="0" t="n">
        <v>0</v>
      </c>
      <c r="H2278" s="0" t="n">
        <v>0</v>
      </c>
      <c r="I2278" s="7" t="n">
        <f aca="false">YEAR(B2278)</f>
        <v>2014</v>
      </c>
      <c r="J2278" s="0" t="str">
        <f aca="false">I2278&amp;"-Q"&amp;ROUNDUP(MONTH(B2278)/3,0)</f>
        <v>2014-Q2</v>
      </c>
    </row>
    <row r="2279" customFormat="false" ht="15" hidden="false" customHeight="false" outlineLevel="0" collapsed="false">
      <c r="A2279" s="0" t="s">
        <v>1197</v>
      </c>
      <c r="B2279" s="6" t="n">
        <v>41817</v>
      </c>
      <c r="C2279" s="7" t="s">
        <v>29</v>
      </c>
      <c r="D2279" s="7" t="s">
        <v>265</v>
      </c>
      <c r="E2279" s="7" t="s">
        <v>31</v>
      </c>
      <c r="F2279" s="0" t="n">
        <v>85.98</v>
      </c>
      <c r="G2279" s="0" t="n">
        <v>22.3548</v>
      </c>
      <c r="H2279" s="0" t="n">
        <v>0</v>
      </c>
      <c r="I2279" s="7" t="n">
        <f aca="false">YEAR(B2279)</f>
        <v>2014</v>
      </c>
      <c r="J2279" s="0" t="str">
        <f aca="false">I2279&amp;"-Q"&amp;ROUNDUP(MONTH(B2279)/3,0)</f>
        <v>2014-Q2</v>
      </c>
    </row>
    <row r="2280" customFormat="false" ht="15" hidden="false" customHeight="false" outlineLevel="0" collapsed="false">
      <c r="A2280" s="0" t="s">
        <v>1197</v>
      </c>
      <c r="B2280" s="6" t="n">
        <v>41817</v>
      </c>
      <c r="C2280" s="7" t="s">
        <v>29</v>
      </c>
      <c r="D2280" s="7" t="s">
        <v>265</v>
      </c>
      <c r="E2280" s="7" t="s">
        <v>39</v>
      </c>
      <c r="F2280" s="0" t="n">
        <v>223.96</v>
      </c>
      <c r="G2280" s="0" t="n">
        <v>53.7504</v>
      </c>
      <c r="H2280" s="0" t="n">
        <v>0</v>
      </c>
      <c r="I2280" s="7" t="n">
        <f aca="false">YEAR(B2280)</f>
        <v>2014</v>
      </c>
      <c r="J2280" s="0" t="str">
        <f aca="false">I2280&amp;"-Q"&amp;ROUNDUP(MONTH(B2280)/3,0)</f>
        <v>2014-Q2</v>
      </c>
    </row>
    <row r="2281" customFormat="false" ht="15" hidden="false" customHeight="false" outlineLevel="0" collapsed="false">
      <c r="A2281" s="0" t="s">
        <v>1198</v>
      </c>
      <c r="B2281" s="6" t="n">
        <v>43038</v>
      </c>
      <c r="C2281" s="7" t="s">
        <v>33</v>
      </c>
      <c r="D2281" s="7" t="s">
        <v>43</v>
      </c>
      <c r="E2281" s="7" t="s">
        <v>31</v>
      </c>
      <c r="F2281" s="0" t="n">
        <v>97.568</v>
      </c>
      <c r="G2281" s="0" t="n">
        <v>-6.098</v>
      </c>
      <c r="H2281" s="0" t="n">
        <v>0.2</v>
      </c>
      <c r="I2281" s="7" t="n">
        <f aca="false">YEAR(B2281)</f>
        <v>2017</v>
      </c>
      <c r="J2281" s="0" t="str">
        <f aca="false">I2281&amp;"-Q"&amp;ROUNDUP(MONTH(B2281)/3,0)</f>
        <v>2017-Q4</v>
      </c>
    </row>
    <row r="2282" customFormat="false" ht="15" hidden="false" customHeight="false" outlineLevel="0" collapsed="false">
      <c r="A2282" s="0" t="s">
        <v>1198</v>
      </c>
      <c r="B2282" s="6" t="n">
        <v>43038</v>
      </c>
      <c r="C2282" s="7" t="s">
        <v>33</v>
      </c>
      <c r="D2282" s="7" t="s">
        <v>43</v>
      </c>
      <c r="E2282" s="7" t="s">
        <v>31</v>
      </c>
      <c r="F2282" s="0" t="n">
        <v>614.272</v>
      </c>
      <c r="G2282" s="0" t="n">
        <v>-23.0352</v>
      </c>
      <c r="H2282" s="0" t="n">
        <v>0.2</v>
      </c>
      <c r="I2282" s="7" t="n">
        <f aca="false">YEAR(B2282)</f>
        <v>2017</v>
      </c>
      <c r="J2282" s="0" t="str">
        <f aca="false">I2282&amp;"-Q"&amp;ROUNDUP(MONTH(B2282)/3,0)</f>
        <v>2017-Q4</v>
      </c>
    </row>
    <row r="2283" customFormat="false" ht="15" hidden="false" customHeight="false" outlineLevel="0" collapsed="false">
      <c r="A2283" s="0" t="s">
        <v>1198</v>
      </c>
      <c r="B2283" s="6" t="n">
        <v>43038</v>
      </c>
      <c r="C2283" s="7" t="s">
        <v>33</v>
      </c>
      <c r="D2283" s="7" t="s">
        <v>43</v>
      </c>
      <c r="E2283" s="7" t="s">
        <v>31</v>
      </c>
      <c r="F2283" s="0" t="n">
        <v>199.98</v>
      </c>
      <c r="G2283" s="0" t="n">
        <v>37.9962</v>
      </c>
      <c r="H2283" s="0" t="n">
        <v>0</v>
      </c>
      <c r="I2283" s="7" t="n">
        <f aca="false">YEAR(B2283)</f>
        <v>2017</v>
      </c>
      <c r="J2283" s="0" t="str">
        <f aca="false">I2283&amp;"-Q"&amp;ROUNDUP(MONTH(B2283)/3,0)</f>
        <v>2017-Q4</v>
      </c>
    </row>
    <row r="2284" customFormat="false" ht="15" hidden="false" customHeight="false" outlineLevel="0" collapsed="false">
      <c r="A2284" s="0" t="s">
        <v>1199</v>
      </c>
      <c r="B2284" s="6" t="n">
        <v>42616</v>
      </c>
      <c r="C2284" s="7" t="s">
        <v>55</v>
      </c>
      <c r="D2284" s="7" t="s">
        <v>154</v>
      </c>
      <c r="E2284" s="7" t="s">
        <v>35</v>
      </c>
      <c r="F2284" s="0" t="n">
        <v>48.16</v>
      </c>
      <c r="G2284" s="0" t="n">
        <v>22.1536</v>
      </c>
      <c r="H2284" s="0" t="n">
        <v>0</v>
      </c>
      <c r="I2284" s="7" t="n">
        <f aca="false">YEAR(B2284)</f>
        <v>2016</v>
      </c>
      <c r="J2284" s="0" t="str">
        <f aca="false">I2284&amp;"-Q"&amp;ROUNDUP(MONTH(B2284)/3,0)</f>
        <v>2016-Q3</v>
      </c>
    </row>
    <row r="2285" customFormat="false" ht="15" hidden="false" customHeight="false" outlineLevel="0" collapsed="false">
      <c r="A2285" s="0" t="s">
        <v>1200</v>
      </c>
      <c r="B2285" s="6" t="n">
        <v>42068</v>
      </c>
      <c r="C2285" s="7" t="s">
        <v>45</v>
      </c>
      <c r="D2285" s="7" t="s">
        <v>74</v>
      </c>
      <c r="E2285" s="7" t="s">
        <v>39</v>
      </c>
      <c r="F2285" s="0" t="n">
        <v>23.92</v>
      </c>
      <c r="G2285" s="0" t="n">
        <v>6.6976</v>
      </c>
      <c r="H2285" s="0" t="n">
        <v>0</v>
      </c>
      <c r="I2285" s="7" t="n">
        <f aca="false">YEAR(B2285)</f>
        <v>2015</v>
      </c>
      <c r="J2285" s="0" t="str">
        <f aca="false">I2285&amp;"-Q"&amp;ROUNDUP(MONTH(B2285)/3,0)</f>
        <v>2015-Q1</v>
      </c>
    </row>
    <row r="2286" customFormat="false" ht="15" hidden="false" customHeight="false" outlineLevel="0" collapsed="false">
      <c r="A2286" s="0" t="s">
        <v>1200</v>
      </c>
      <c r="B2286" s="6" t="n">
        <v>42068</v>
      </c>
      <c r="C2286" s="7" t="s">
        <v>45</v>
      </c>
      <c r="D2286" s="7" t="s">
        <v>74</v>
      </c>
      <c r="E2286" s="7" t="s">
        <v>35</v>
      </c>
      <c r="F2286" s="0" t="n">
        <v>60.69</v>
      </c>
      <c r="G2286" s="0" t="n">
        <v>16.3863</v>
      </c>
      <c r="H2286" s="0" t="n">
        <v>0</v>
      </c>
      <c r="I2286" s="7" t="n">
        <f aca="false">YEAR(B2286)</f>
        <v>2015</v>
      </c>
      <c r="J2286" s="0" t="str">
        <f aca="false">I2286&amp;"-Q"&amp;ROUNDUP(MONTH(B2286)/3,0)</f>
        <v>2015-Q1</v>
      </c>
    </row>
    <row r="2287" customFormat="false" ht="15" hidden="false" customHeight="false" outlineLevel="0" collapsed="false">
      <c r="A2287" s="0" t="s">
        <v>1201</v>
      </c>
      <c r="B2287" s="6" t="n">
        <v>42495</v>
      </c>
      <c r="C2287" s="7" t="s">
        <v>29</v>
      </c>
      <c r="D2287" s="7" t="s">
        <v>87</v>
      </c>
      <c r="E2287" s="7" t="s">
        <v>35</v>
      </c>
      <c r="F2287" s="0" t="n">
        <v>14.352</v>
      </c>
      <c r="G2287" s="0" t="n">
        <v>5.2026</v>
      </c>
      <c r="H2287" s="0" t="n">
        <v>0.2</v>
      </c>
      <c r="I2287" s="7" t="n">
        <f aca="false">YEAR(B2287)</f>
        <v>2016</v>
      </c>
      <c r="J2287" s="0" t="str">
        <f aca="false">I2287&amp;"-Q"&amp;ROUNDUP(MONTH(B2287)/3,0)</f>
        <v>2016-Q2</v>
      </c>
    </row>
    <row r="2288" customFormat="false" ht="15" hidden="false" customHeight="false" outlineLevel="0" collapsed="false">
      <c r="A2288" s="0" t="s">
        <v>1202</v>
      </c>
      <c r="B2288" s="6" t="n">
        <v>43056</v>
      </c>
      <c r="C2288" s="7" t="s">
        <v>29</v>
      </c>
      <c r="D2288" s="7" t="s">
        <v>83</v>
      </c>
      <c r="E2288" s="7" t="s">
        <v>35</v>
      </c>
      <c r="F2288" s="0" t="n">
        <v>35.04</v>
      </c>
      <c r="G2288" s="0" t="n">
        <v>12.264</v>
      </c>
      <c r="H2288" s="0" t="n">
        <v>0</v>
      </c>
      <c r="I2288" s="7" t="n">
        <f aca="false">YEAR(B2288)</f>
        <v>2017</v>
      </c>
      <c r="J2288" s="0" t="str">
        <f aca="false">I2288&amp;"-Q"&amp;ROUNDUP(MONTH(B2288)/3,0)</f>
        <v>2017-Q4</v>
      </c>
    </row>
    <row r="2289" customFormat="false" ht="15" hidden="false" customHeight="false" outlineLevel="0" collapsed="false">
      <c r="A2289" s="0" t="s">
        <v>1203</v>
      </c>
      <c r="B2289" s="6" t="n">
        <v>42887</v>
      </c>
      <c r="C2289" s="7" t="s">
        <v>55</v>
      </c>
      <c r="D2289" s="7" t="s">
        <v>116</v>
      </c>
      <c r="E2289" s="7" t="s">
        <v>35</v>
      </c>
      <c r="F2289" s="0" t="n">
        <v>17.48</v>
      </c>
      <c r="G2289" s="0" t="n">
        <v>1.311</v>
      </c>
      <c r="H2289" s="0" t="n">
        <v>0.2</v>
      </c>
      <c r="I2289" s="7" t="n">
        <f aca="false">YEAR(B2289)</f>
        <v>2017</v>
      </c>
      <c r="J2289" s="0" t="str">
        <f aca="false">I2289&amp;"-Q"&amp;ROUNDUP(MONTH(B2289)/3,0)</f>
        <v>2017-Q2</v>
      </c>
    </row>
    <row r="2290" customFormat="false" ht="15" hidden="false" customHeight="false" outlineLevel="0" collapsed="false">
      <c r="A2290" s="0" t="s">
        <v>1204</v>
      </c>
      <c r="B2290" s="6" t="n">
        <v>42896</v>
      </c>
      <c r="C2290" s="7" t="s">
        <v>33</v>
      </c>
      <c r="D2290" s="7" t="s">
        <v>34</v>
      </c>
      <c r="E2290" s="7" t="s">
        <v>35</v>
      </c>
      <c r="F2290" s="0" t="n">
        <v>16.4</v>
      </c>
      <c r="G2290" s="0" t="n">
        <v>4.756</v>
      </c>
      <c r="H2290" s="0" t="n">
        <v>0</v>
      </c>
      <c r="I2290" s="7" t="n">
        <f aca="false">YEAR(B2290)</f>
        <v>2017</v>
      </c>
      <c r="J2290" s="0" t="str">
        <f aca="false">I2290&amp;"-Q"&amp;ROUNDUP(MONTH(B2290)/3,0)</f>
        <v>2017-Q2</v>
      </c>
    </row>
    <row r="2291" customFormat="false" ht="15" hidden="false" customHeight="false" outlineLevel="0" collapsed="false">
      <c r="A2291" s="0" t="s">
        <v>1205</v>
      </c>
      <c r="B2291" s="6" t="n">
        <v>42743</v>
      </c>
      <c r="C2291" s="7" t="s">
        <v>33</v>
      </c>
      <c r="D2291" s="7" t="s">
        <v>43</v>
      </c>
      <c r="E2291" s="7" t="s">
        <v>31</v>
      </c>
      <c r="F2291" s="0" t="n">
        <v>892.98</v>
      </c>
      <c r="G2291" s="0" t="n">
        <v>80.3682</v>
      </c>
      <c r="H2291" s="0" t="n">
        <v>0</v>
      </c>
      <c r="I2291" s="7" t="n">
        <f aca="false">YEAR(B2291)</f>
        <v>2017</v>
      </c>
      <c r="J2291" s="0" t="str">
        <f aca="false">I2291&amp;"-Q"&amp;ROUNDUP(MONTH(B2291)/3,0)</f>
        <v>2017-Q1</v>
      </c>
    </row>
    <row r="2292" customFormat="false" ht="15" hidden="false" customHeight="false" outlineLevel="0" collapsed="false">
      <c r="A2292" s="0" t="s">
        <v>1206</v>
      </c>
      <c r="B2292" s="6" t="n">
        <v>42114</v>
      </c>
      <c r="C2292" s="7" t="s">
        <v>29</v>
      </c>
      <c r="D2292" s="7" t="s">
        <v>230</v>
      </c>
      <c r="E2292" s="7" t="s">
        <v>39</v>
      </c>
      <c r="F2292" s="0" t="n">
        <v>287.97</v>
      </c>
      <c r="G2292" s="0" t="n">
        <v>77.7519</v>
      </c>
      <c r="H2292" s="0" t="n">
        <v>0</v>
      </c>
      <c r="I2292" s="7" t="n">
        <f aca="false">YEAR(B2292)</f>
        <v>2015</v>
      </c>
      <c r="J2292" s="0" t="str">
        <f aca="false">I2292&amp;"-Q"&amp;ROUNDUP(MONTH(B2292)/3,0)</f>
        <v>2015-Q2</v>
      </c>
    </row>
    <row r="2293" customFormat="false" ht="15" hidden="false" customHeight="false" outlineLevel="0" collapsed="false">
      <c r="A2293" s="0" t="s">
        <v>1206</v>
      </c>
      <c r="B2293" s="6" t="n">
        <v>42114</v>
      </c>
      <c r="C2293" s="7" t="s">
        <v>29</v>
      </c>
      <c r="D2293" s="7" t="s">
        <v>230</v>
      </c>
      <c r="E2293" s="7" t="s">
        <v>31</v>
      </c>
      <c r="F2293" s="0" t="n">
        <v>595.38</v>
      </c>
      <c r="G2293" s="0" t="n">
        <v>297.69</v>
      </c>
      <c r="H2293" s="0" t="n">
        <v>0</v>
      </c>
      <c r="I2293" s="7" t="n">
        <f aca="false">YEAR(B2293)</f>
        <v>2015</v>
      </c>
      <c r="J2293" s="0" t="str">
        <f aca="false">I2293&amp;"-Q"&amp;ROUNDUP(MONTH(B2293)/3,0)</f>
        <v>2015-Q2</v>
      </c>
    </row>
    <row r="2294" customFormat="false" ht="15" hidden="false" customHeight="false" outlineLevel="0" collapsed="false">
      <c r="A2294" s="0" t="s">
        <v>1206</v>
      </c>
      <c r="B2294" s="6" t="n">
        <v>42114</v>
      </c>
      <c r="C2294" s="7" t="s">
        <v>29</v>
      </c>
      <c r="D2294" s="7" t="s">
        <v>230</v>
      </c>
      <c r="E2294" s="7" t="s">
        <v>35</v>
      </c>
      <c r="F2294" s="0" t="n">
        <v>12.96</v>
      </c>
      <c r="G2294" s="0" t="n">
        <v>6.2208</v>
      </c>
      <c r="H2294" s="0" t="n">
        <v>0</v>
      </c>
      <c r="I2294" s="7" t="n">
        <f aca="false">YEAR(B2294)</f>
        <v>2015</v>
      </c>
      <c r="J2294" s="0" t="str">
        <f aca="false">I2294&amp;"-Q"&amp;ROUNDUP(MONTH(B2294)/3,0)</f>
        <v>2015-Q2</v>
      </c>
    </row>
    <row r="2295" customFormat="false" ht="15" hidden="false" customHeight="false" outlineLevel="0" collapsed="false">
      <c r="A2295" s="0" t="s">
        <v>1207</v>
      </c>
      <c r="B2295" s="6" t="n">
        <v>42309</v>
      </c>
      <c r="C2295" s="7" t="s">
        <v>55</v>
      </c>
      <c r="D2295" s="7" t="s">
        <v>76</v>
      </c>
      <c r="E2295" s="7" t="s">
        <v>39</v>
      </c>
      <c r="F2295" s="0" t="n">
        <v>4.95</v>
      </c>
      <c r="G2295" s="0" t="n">
        <v>1.3365</v>
      </c>
      <c r="H2295" s="0" t="n">
        <v>0</v>
      </c>
      <c r="I2295" s="7" t="n">
        <f aca="false">YEAR(B2295)</f>
        <v>2015</v>
      </c>
      <c r="J2295" s="0" t="str">
        <f aca="false">I2295&amp;"-Q"&amp;ROUNDUP(MONTH(B2295)/3,0)</f>
        <v>2015-Q4</v>
      </c>
    </row>
    <row r="2296" customFormat="false" ht="15" hidden="false" customHeight="false" outlineLevel="0" collapsed="false">
      <c r="A2296" s="0" t="s">
        <v>1208</v>
      </c>
      <c r="B2296" s="6" t="n">
        <v>43092</v>
      </c>
      <c r="C2296" s="7" t="s">
        <v>55</v>
      </c>
      <c r="D2296" s="7" t="s">
        <v>154</v>
      </c>
      <c r="E2296" s="7" t="s">
        <v>31</v>
      </c>
      <c r="F2296" s="0" t="n">
        <v>181.95</v>
      </c>
      <c r="G2296" s="0" t="n">
        <v>38.2095</v>
      </c>
      <c r="H2296" s="0" t="n">
        <v>0</v>
      </c>
      <c r="I2296" s="7" t="n">
        <f aca="false">YEAR(B2296)</f>
        <v>2017</v>
      </c>
      <c r="J2296" s="0" t="str">
        <f aca="false">I2296&amp;"-Q"&amp;ROUNDUP(MONTH(B2296)/3,0)</f>
        <v>2017-Q4</v>
      </c>
    </row>
    <row r="2297" customFormat="false" ht="15" hidden="false" customHeight="false" outlineLevel="0" collapsed="false">
      <c r="A2297" s="0" t="s">
        <v>1209</v>
      </c>
      <c r="B2297" s="6" t="n">
        <v>42309</v>
      </c>
      <c r="C2297" s="7" t="s">
        <v>55</v>
      </c>
      <c r="D2297" s="7" t="s">
        <v>76</v>
      </c>
      <c r="E2297" s="7" t="s">
        <v>35</v>
      </c>
      <c r="F2297" s="0" t="n">
        <v>13.52</v>
      </c>
      <c r="G2297" s="0" t="n">
        <v>6.2192</v>
      </c>
      <c r="H2297" s="0" t="n">
        <v>0</v>
      </c>
      <c r="I2297" s="7" t="n">
        <f aca="false">YEAR(B2297)</f>
        <v>2015</v>
      </c>
      <c r="J2297" s="0" t="str">
        <f aca="false">I2297&amp;"-Q"&amp;ROUNDUP(MONTH(B2297)/3,0)</f>
        <v>2015-Q4</v>
      </c>
    </row>
    <row r="2298" customFormat="false" ht="15" hidden="false" customHeight="false" outlineLevel="0" collapsed="false">
      <c r="A2298" s="0" t="s">
        <v>1209</v>
      </c>
      <c r="B2298" s="6" t="n">
        <v>42309</v>
      </c>
      <c r="C2298" s="7" t="s">
        <v>55</v>
      </c>
      <c r="D2298" s="7" t="s">
        <v>76</v>
      </c>
      <c r="E2298" s="7" t="s">
        <v>31</v>
      </c>
      <c r="F2298" s="0" t="n">
        <v>259.7</v>
      </c>
      <c r="G2298" s="0" t="n">
        <v>106.477</v>
      </c>
      <c r="H2298" s="0" t="n">
        <v>0</v>
      </c>
      <c r="I2298" s="7" t="n">
        <f aca="false">YEAR(B2298)</f>
        <v>2015</v>
      </c>
      <c r="J2298" s="0" t="str">
        <f aca="false">I2298&amp;"-Q"&amp;ROUNDUP(MONTH(B2298)/3,0)</f>
        <v>2015-Q4</v>
      </c>
    </row>
    <row r="2299" customFormat="false" ht="15" hidden="false" customHeight="false" outlineLevel="0" collapsed="false">
      <c r="A2299" s="0" t="s">
        <v>1209</v>
      </c>
      <c r="B2299" s="6" t="n">
        <v>42309</v>
      </c>
      <c r="C2299" s="7" t="s">
        <v>55</v>
      </c>
      <c r="D2299" s="7" t="s">
        <v>76</v>
      </c>
      <c r="E2299" s="7" t="s">
        <v>39</v>
      </c>
      <c r="F2299" s="0" t="n">
        <v>42.95</v>
      </c>
      <c r="G2299" s="0" t="n">
        <v>1.2885</v>
      </c>
      <c r="H2299" s="0" t="n">
        <v>0</v>
      </c>
      <c r="I2299" s="7" t="n">
        <f aca="false">YEAR(B2299)</f>
        <v>2015</v>
      </c>
      <c r="J2299" s="0" t="str">
        <f aca="false">I2299&amp;"-Q"&amp;ROUNDUP(MONTH(B2299)/3,0)</f>
        <v>2015-Q4</v>
      </c>
    </row>
    <row r="2300" customFormat="false" ht="15" hidden="false" customHeight="false" outlineLevel="0" collapsed="false">
      <c r="A2300" s="0" t="s">
        <v>1209</v>
      </c>
      <c r="B2300" s="6" t="n">
        <v>42309</v>
      </c>
      <c r="C2300" s="7" t="s">
        <v>55</v>
      </c>
      <c r="D2300" s="7" t="s">
        <v>76</v>
      </c>
      <c r="E2300" s="7" t="s">
        <v>39</v>
      </c>
      <c r="F2300" s="0" t="n">
        <v>1399.93</v>
      </c>
      <c r="G2300" s="0" t="n">
        <v>601.9699</v>
      </c>
      <c r="H2300" s="0" t="n">
        <v>0</v>
      </c>
      <c r="I2300" s="7" t="n">
        <f aca="false">YEAR(B2300)</f>
        <v>2015</v>
      </c>
      <c r="J2300" s="0" t="str">
        <f aca="false">I2300&amp;"-Q"&amp;ROUNDUP(MONTH(B2300)/3,0)</f>
        <v>2015-Q4</v>
      </c>
    </row>
    <row r="2301" customFormat="false" ht="15" hidden="false" customHeight="false" outlineLevel="0" collapsed="false">
      <c r="A2301" s="0" t="s">
        <v>1209</v>
      </c>
      <c r="B2301" s="6" t="n">
        <v>42309</v>
      </c>
      <c r="C2301" s="7" t="s">
        <v>55</v>
      </c>
      <c r="D2301" s="7" t="s">
        <v>76</v>
      </c>
      <c r="E2301" s="7" t="s">
        <v>39</v>
      </c>
      <c r="F2301" s="0" t="n">
        <v>503.96</v>
      </c>
      <c r="G2301" s="0" t="n">
        <v>125.99</v>
      </c>
      <c r="H2301" s="0" t="n">
        <v>0</v>
      </c>
      <c r="I2301" s="7" t="n">
        <f aca="false">YEAR(B2301)</f>
        <v>2015</v>
      </c>
      <c r="J2301" s="0" t="str">
        <f aca="false">I2301&amp;"-Q"&amp;ROUNDUP(MONTH(B2301)/3,0)</f>
        <v>2015-Q4</v>
      </c>
    </row>
    <row r="2302" customFormat="false" ht="15" hidden="false" customHeight="false" outlineLevel="0" collapsed="false">
      <c r="A2302" s="0" t="s">
        <v>1210</v>
      </c>
      <c r="B2302" s="6" t="n">
        <v>41957</v>
      </c>
      <c r="C2302" s="7" t="s">
        <v>45</v>
      </c>
      <c r="D2302" s="7" t="s">
        <v>70</v>
      </c>
      <c r="E2302" s="7" t="s">
        <v>35</v>
      </c>
      <c r="F2302" s="0" t="n">
        <v>12.72</v>
      </c>
      <c r="G2302" s="0" t="n">
        <v>6.36</v>
      </c>
      <c r="H2302" s="0" t="n">
        <v>0</v>
      </c>
      <c r="I2302" s="7" t="n">
        <f aca="false">YEAR(B2302)</f>
        <v>2014</v>
      </c>
      <c r="J2302" s="0" t="str">
        <f aca="false">I2302&amp;"-Q"&amp;ROUNDUP(MONTH(B2302)/3,0)</f>
        <v>2014-Q4</v>
      </c>
    </row>
    <row r="2303" customFormat="false" ht="15" hidden="false" customHeight="false" outlineLevel="0" collapsed="false">
      <c r="A2303" s="0" t="s">
        <v>1210</v>
      </c>
      <c r="B2303" s="6" t="n">
        <v>41957</v>
      </c>
      <c r="C2303" s="7" t="s">
        <v>45</v>
      </c>
      <c r="D2303" s="7" t="s">
        <v>70</v>
      </c>
      <c r="E2303" s="7" t="s">
        <v>35</v>
      </c>
      <c r="F2303" s="0" t="n">
        <v>11.52</v>
      </c>
      <c r="G2303" s="0" t="n">
        <v>5.6448</v>
      </c>
      <c r="H2303" s="0" t="n">
        <v>0</v>
      </c>
      <c r="I2303" s="7" t="n">
        <f aca="false">YEAR(B2303)</f>
        <v>2014</v>
      </c>
      <c r="J2303" s="0" t="str">
        <f aca="false">I2303&amp;"-Q"&amp;ROUNDUP(MONTH(B2303)/3,0)</f>
        <v>2014-Q4</v>
      </c>
    </row>
    <row r="2304" customFormat="false" ht="15" hidden="false" customHeight="false" outlineLevel="0" collapsed="false">
      <c r="A2304" s="0" t="s">
        <v>1211</v>
      </c>
      <c r="B2304" s="6" t="n">
        <v>42386</v>
      </c>
      <c r="C2304" s="7" t="s">
        <v>29</v>
      </c>
      <c r="D2304" s="7" t="s">
        <v>230</v>
      </c>
      <c r="E2304" s="7" t="s">
        <v>39</v>
      </c>
      <c r="F2304" s="0" t="n">
        <v>316</v>
      </c>
      <c r="G2304" s="0" t="n">
        <v>31.6</v>
      </c>
      <c r="H2304" s="0" t="n">
        <v>0</v>
      </c>
      <c r="I2304" s="7" t="n">
        <f aca="false">YEAR(B2304)</f>
        <v>2016</v>
      </c>
      <c r="J2304" s="0" t="str">
        <f aca="false">I2304&amp;"-Q"&amp;ROUNDUP(MONTH(B2304)/3,0)</f>
        <v>2016-Q1</v>
      </c>
    </row>
    <row r="2305" customFormat="false" ht="15" hidden="false" customHeight="false" outlineLevel="0" collapsed="false">
      <c r="A2305" s="0" t="s">
        <v>1212</v>
      </c>
      <c r="B2305" s="6" t="n">
        <v>42995</v>
      </c>
      <c r="C2305" s="7" t="s">
        <v>29</v>
      </c>
      <c r="D2305" s="7" t="s">
        <v>230</v>
      </c>
      <c r="E2305" s="7" t="s">
        <v>31</v>
      </c>
      <c r="F2305" s="0" t="n">
        <v>723.92</v>
      </c>
      <c r="G2305" s="0" t="n">
        <v>188.2192</v>
      </c>
      <c r="H2305" s="0" t="n">
        <v>0</v>
      </c>
      <c r="I2305" s="7" t="n">
        <f aca="false">YEAR(B2305)</f>
        <v>2017</v>
      </c>
      <c r="J2305" s="0" t="str">
        <f aca="false">I2305&amp;"-Q"&amp;ROUNDUP(MONTH(B2305)/3,0)</f>
        <v>2017-Q3</v>
      </c>
    </row>
    <row r="2306" customFormat="false" ht="15" hidden="false" customHeight="false" outlineLevel="0" collapsed="false">
      <c r="A2306" s="0" t="s">
        <v>1212</v>
      </c>
      <c r="B2306" s="6" t="n">
        <v>42995</v>
      </c>
      <c r="C2306" s="7" t="s">
        <v>29</v>
      </c>
      <c r="D2306" s="7" t="s">
        <v>230</v>
      </c>
      <c r="E2306" s="7" t="s">
        <v>35</v>
      </c>
      <c r="F2306" s="0" t="n">
        <v>106.32</v>
      </c>
      <c r="G2306" s="0" t="n">
        <v>49.9704</v>
      </c>
      <c r="H2306" s="0" t="n">
        <v>0</v>
      </c>
      <c r="I2306" s="7" t="n">
        <f aca="false">YEAR(B2306)</f>
        <v>2017</v>
      </c>
      <c r="J2306" s="0" t="str">
        <f aca="false">I2306&amp;"-Q"&amp;ROUNDUP(MONTH(B2306)/3,0)</f>
        <v>2017-Q3</v>
      </c>
    </row>
    <row r="2307" customFormat="false" ht="15" hidden="false" customHeight="false" outlineLevel="0" collapsed="false">
      <c r="A2307" s="0" t="s">
        <v>1213</v>
      </c>
      <c r="B2307" s="6" t="n">
        <v>42727</v>
      </c>
      <c r="C2307" s="7" t="s">
        <v>45</v>
      </c>
      <c r="D2307" s="7" t="s">
        <v>64</v>
      </c>
      <c r="E2307" s="7" t="s">
        <v>31</v>
      </c>
      <c r="F2307" s="0" t="n">
        <v>141.372</v>
      </c>
      <c r="G2307" s="0" t="n">
        <v>-14.1372</v>
      </c>
      <c r="H2307" s="0" t="n">
        <v>0.3</v>
      </c>
      <c r="I2307" s="7" t="n">
        <f aca="false">YEAR(B2307)</f>
        <v>2016</v>
      </c>
      <c r="J2307" s="0" t="str">
        <f aca="false">I2307&amp;"-Q"&amp;ROUNDUP(MONTH(B2307)/3,0)</f>
        <v>2016-Q4</v>
      </c>
    </row>
    <row r="2308" customFormat="false" ht="15" hidden="false" customHeight="false" outlineLevel="0" collapsed="false">
      <c r="A2308" s="0" t="s">
        <v>1214</v>
      </c>
      <c r="B2308" s="6" t="n">
        <v>42222</v>
      </c>
      <c r="C2308" s="7" t="s">
        <v>45</v>
      </c>
      <c r="D2308" s="7" t="s">
        <v>46</v>
      </c>
      <c r="E2308" s="7" t="s">
        <v>35</v>
      </c>
      <c r="F2308" s="0" t="n">
        <v>27.216</v>
      </c>
      <c r="G2308" s="0" t="n">
        <v>9.8658</v>
      </c>
      <c r="H2308" s="0" t="n">
        <v>0.2</v>
      </c>
      <c r="I2308" s="7" t="n">
        <f aca="false">YEAR(B2308)</f>
        <v>2015</v>
      </c>
      <c r="J2308" s="0" t="str">
        <f aca="false">I2308&amp;"-Q"&amp;ROUNDUP(MONTH(B2308)/3,0)</f>
        <v>2015-Q3</v>
      </c>
    </row>
    <row r="2309" customFormat="false" ht="15" hidden="false" customHeight="false" outlineLevel="0" collapsed="false">
      <c r="A2309" s="0" t="s">
        <v>1215</v>
      </c>
      <c r="B2309" s="6" t="n">
        <v>43044</v>
      </c>
      <c r="C2309" s="7" t="s">
        <v>55</v>
      </c>
      <c r="D2309" s="7" t="s">
        <v>76</v>
      </c>
      <c r="E2309" s="7" t="s">
        <v>39</v>
      </c>
      <c r="F2309" s="0" t="n">
        <v>390.75</v>
      </c>
      <c r="G2309" s="0" t="n">
        <v>171.93</v>
      </c>
      <c r="H2309" s="0" t="n">
        <v>0</v>
      </c>
      <c r="I2309" s="7" t="n">
        <f aca="false">YEAR(B2309)</f>
        <v>2017</v>
      </c>
      <c r="J2309" s="0" t="str">
        <f aca="false">I2309&amp;"-Q"&amp;ROUNDUP(MONTH(B2309)/3,0)</f>
        <v>2017-Q4</v>
      </c>
    </row>
    <row r="2310" customFormat="false" ht="15" hidden="false" customHeight="false" outlineLevel="0" collapsed="false">
      <c r="A2310" s="0" t="s">
        <v>1216</v>
      </c>
      <c r="B2310" s="6" t="n">
        <v>42897</v>
      </c>
      <c r="C2310" s="7" t="s">
        <v>33</v>
      </c>
      <c r="D2310" s="7" t="s">
        <v>81</v>
      </c>
      <c r="E2310" s="7" t="s">
        <v>31</v>
      </c>
      <c r="F2310" s="0" t="n">
        <v>280.792</v>
      </c>
      <c r="G2310" s="0" t="n">
        <v>35.099</v>
      </c>
      <c r="H2310" s="0" t="n">
        <v>0.2</v>
      </c>
      <c r="I2310" s="7" t="n">
        <f aca="false">YEAR(B2310)</f>
        <v>2017</v>
      </c>
      <c r="J2310" s="0" t="str">
        <f aca="false">I2310&amp;"-Q"&amp;ROUNDUP(MONTH(B2310)/3,0)</f>
        <v>2017-Q2</v>
      </c>
    </row>
    <row r="2311" customFormat="false" ht="15" hidden="false" customHeight="false" outlineLevel="0" collapsed="false">
      <c r="A2311" s="0" t="s">
        <v>1216</v>
      </c>
      <c r="B2311" s="6" t="n">
        <v>42897</v>
      </c>
      <c r="C2311" s="7" t="s">
        <v>33</v>
      </c>
      <c r="D2311" s="7" t="s">
        <v>81</v>
      </c>
      <c r="E2311" s="7" t="s">
        <v>35</v>
      </c>
      <c r="F2311" s="0" t="n">
        <v>68.448</v>
      </c>
      <c r="G2311" s="0" t="n">
        <v>7.7004</v>
      </c>
      <c r="H2311" s="0" t="n">
        <v>0.2</v>
      </c>
      <c r="I2311" s="7" t="n">
        <f aca="false">YEAR(B2311)</f>
        <v>2017</v>
      </c>
      <c r="J2311" s="0" t="str">
        <f aca="false">I2311&amp;"-Q"&amp;ROUNDUP(MONTH(B2311)/3,0)</f>
        <v>2017-Q2</v>
      </c>
    </row>
    <row r="2312" customFormat="false" ht="15" hidden="false" customHeight="false" outlineLevel="0" collapsed="false">
      <c r="A2312" s="0" t="s">
        <v>1216</v>
      </c>
      <c r="B2312" s="6" t="n">
        <v>42897</v>
      </c>
      <c r="C2312" s="7" t="s">
        <v>33</v>
      </c>
      <c r="D2312" s="7" t="s">
        <v>81</v>
      </c>
      <c r="E2312" s="7" t="s">
        <v>35</v>
      </c>
      <c r="F2312" s="0" t="n">
        <v>88.04</v>
      </c>
      <c r="G2312" s="0" t="n">
        <v>6.603</v>
      </c>
      <c r="H2312" s="0" t="n">
        <v>0.2</v>
      </c>
      <c r="I2312" s="7" t="n">
        <f aca="false">YEAR(B2312)</f>
        <v>2017</v>
      </c>
      <c r="J2312" s="0" t="str">
        <f aca="false">I2312&amp;"-Q"&amp;ROUNDUP(MONTH(B2312)/3,0)</f>
        <v>2017-Q2</v>
      </c>
    </row>
    <row r="2313" customFormat="false" ht="15" hidden="false" customHeight="false" outlineLevel="0" collapsed="false">
      <c r="A2313" s="0" t="s">
        <v>1216</v>
      </c>
      <c r="B2313" s="6" t="n">
        <v>42897</v>
      </c>
      <c r="C2313" s="7" t="s">
        <v>33</v>
      </c>
      <c r="D2313" s="7" t="s">
        <v>81</v>
      </c>
      <c r="E2313" s="7" t="s">
        <v>35</v>
      </c>
      <c r="F2313" s="0" t="n">
        <v>15.872</v>
      </c>
      <c r="G2313" s="0" t="n">
        <v>1.984</v>
      </c>
      <c r="H2313" s="0" t="n">
        <v>0.2</v>
      </c>
      <c r="I2313" s="7" t="n">
        <f aca="false">YEAR(B2313)</f>
        <v>2017</v>
      </c>
      <c r="J2313" s="0" t="str">
        <f aca="false">I2313&amp;"-Q"&amp;ROUNDUP(MONTH(B2313)/3,0)</f>
        <v>2017-Q2</v>
      </c>
    </row>
    <row r="2314" customFormat="false" ht="15" hidden="false" customHeight="false" outlineLevel="0" collapsed="false">
      <c r="A2314" s="0" t="s">
        <v>1216</v>
      </c>
      <c r="B2314" s="6" t="n">
        <v>42897</v>
      </c>
      <c r="C2314" s="7" t="s">
        <v>33</v>
      </c>
      <c r="D2314" s="7" t="s">
        <v>81</v>
      </c>
      <c r="E2314" s="7" t="s">
        <v>35</v>
      </c>
      <c r="F2314" s="0" t="n">
        <v>215.592</v>
      </c>
      <c r="G2314" s="0" t="n">
        <v>-48.5082</v>
      </c>
      <c r="H2314" s="0" t="n">
        <v>0.2</v>
      </c>
      <c r="I2314" s="7" t="n">
        <f aca="false">YEAR(B2314)</f>
        <v>2017</v>
      </c>
      <c r="J2314" s="0" t="str">
        <f aca="false">I2314&amp;"-Q"&amp;ROUNDUP(MONTH(B2314)/3,0)</f>
        <v>2017-Q2</v>
      </c>
    </row>
    <row r="2315" customFormat="false" ht="15" hidden="false" customHeight="false" outlineLevel="0" collapsed="false">
      <c r="A2315" s="0" t="s">
        <v>1217</v>
      </c>
      <c r="B2315" s="6" t="n">
        <v>42936</v>
      </c>
      <c r="C2315" s="7" t="s">
        <v>45</v>
      </c>
      <c r="D2315" s="7" t="s">
        <v>1218</v>
      </c>
      <c r="E2315" s="7" t="s">
        <v>35</v>
      </c>
      <c r="F2315" s="0" t="n">
        <v>14.62</v>
      </c>
      <c r="G2315" s="0" t="n">
        <v>6.8714</v>
      </c>
      <c r="H2315" s="0" t="n">
        <v>0</v>
      </c>
      <c r="I2315" s="7" t="n">
        <f aca="false">YEAR(B2315)</f>
        <v>2017</v>
      </c>
      <c r="J2315" s="0" t="str">
        <f aca="false">I2315&amp;"-Q"&amp;ROUNDUP(MONTH(B2315)/3,0)</f>
        <v>2017-Q3</v>
      </c>
    </row>
    <row r="2316" customFormat="false" ht="15" hidden="false" customHeight="false" outlineLevel="0" collapsed="false">
      <c r="A2316" s="0" t="s">
        <v>1217</v>
      </c>
      <c r="B2316" s="6" t="n">
        <v>42936</v>
      </c>
      <c r="C2316" s="7" t="s">
        <v>45</v>
      </c>
      <c r="D2316" s="7" t="s">
        <v>1218</v>
      </c>
      <c r="E2316" s="7" t="s">
        <v>35</v>
      </c>
      <c r="F2316" s="0" t="n">
        <v>416.32</v>
      </c>
      <c r="G2316" s="0" t="n">
        <v>112.4064</v>
      </c>
      <c r="H2316" s="0" t="n">
        <v>0</v>
      </c>
      <c r="I2316" s="7" t="n">
        <f aca="false">YEAR(B2316)</f>
        <v>2017</v>
      </c>
      <c r="J2316" s="0" t="str">
        <f aca="false">I2316&amp;"-Q"&amp;ROUNDUP(MONTH(B2316)/3,0)</f>
        <v>2017-Q3</v>
      </c>
    </row>
    <row r="2317" customFormat="false" ht="15" hidden="false" customHeight="false" outlineLevel="0" collapsed="false">
      <c r="A2317" s="0" t="s">
        <v>1217</v>
      </c>
      <c r="B2317" s="6" t="n">
        <v>42936</v>
      </c>
      <c r="C2317" s="7" t="s">
        <v>45</v>
      </c>
      <c r="D2317" s="7" t="s">
        <v>1218</v>
      </c>
      <c r="E2317" s="7" t="s">
        <v>35</v>
      </c>
      <c r="F2317" s="0" t="n">
        <v>43</v>
      </c>
      <c r="G2317" s="0" t="n">
        <v>20.21</v>
      </c>
      <c r="H2317" s="0" t="n">
        <v>0</v>
      </c>
      <c r="I2317" s="7" t="n">
        <f aca="false">YEAR(B2317)</f>
        <v>2017</v>
      </c>
      <c r="J2317" s="0" t="str">
        <f aca="false">I2317&amp;"-Q"&amp;ROUNDUP(MONTH(B2317)/3,0)</f>
        <v>2017-Q3</v>
      </c>
    </row>
    <row r="2318" customFormat="false" ht="15" hidden="false" customHeight="false" outlineLevel="0" collapsed="false">
      <c r="A2318" s="0" t="s">
        <v>1217</v>
      </c>
      <c r="B2318" s="6" t="n">
        <v>42936</v>
      </c>
      <c r="C2318" s="7" t="s">
        <v>45</v>
      </c>
      <c r="D2318" s="7" t="s">
        <v>1218</v>
      </c>
      <c r="E2318" s="7" t="s">
        <v>31</v>
      </c>
      <c r="F2318" s="0" t="n">
        <v>182.94</v>
      </c>
      <c r="G2318" s="0" t="n">
        <v>27.441</v>
      </c>
      <c r="H2318" s="0" t="n">
        <v>0</v>
      </c>
      <c r="I2318" s="7" t="n">
        <f aca="false">YEAR(B2318)</f>
        <v>2017</v>
      </c>
      <c r="J2318" s="0" t="str">
        <f aca="false">I2318&amp;"-Q"&amp;ROUNDUP(MONTH(B2318)/3,0)</f>
        <v>2017-Q3</v>
      </c>
    </row>
    <row r="2319" customFormat="false" ht="15" hidden="false" customHeight="false" outlineLevel="0" collapsed="false">
      <c r="A2319" s="0" t="s">
        <v>1217</v>
      </c>
      <c r="B2319" s="6" t="n">
        <v>42936</v>
      </c>
      <c r="C2319" s="7" t="s">
        <v>45</v>
      </c>
      <c r="D2319" s="7" t="s">
        <v>1218</v>
      </c>
      <c r="E2319" s="7" t="s">
        <v>35</v>
      </c>
      <c r="F2319" s="0" t="n">
        <v>60.83</v>
      </c>
      <c r="G2319" s="0" t="n">
        <v>30.415</v>
      </c>
      <c r="H2319" s="0" t="n">
        <v>0</v>
      </c>
      <c r="I2319" s="7" t="n">
        <f aca="false">YEAR(B2319)</f>
        <v>2017</v>
      </c>
      <c r="J2319" s="0" t="str">
        <f aca="false">I2319&amp;"-Q"&amp;ROUNDUP(MONTH(B2319)/3,0)</f>
        <v>2017-Q3</v>
      </c>
    </row>
    <row r="2320" customFormat="false" ht="15" hidden="false" customHeight="false" outlineLevel="0" collapsed="false">
      <c r="A2320" s="0" t="s">
        <v>1217</v>
      </c>
      <c r="B2320" s="6" t="n">
        <v>42936</v>
      </c>
      <c r="C2320" s="7" t="s">
        <v>45</v>
      </c>
      <c r="D2320" s="7" t="s">
        <v>1218</v>
      </c>
      <c r="E2320" s="7" t="s">
        <v>39</v>
      </c>
      <c r="F2320" s="0" t="n">
        <v>389.97</v>
      </c>
      <c r="G2320" s="0" t="n">
        <v>132.5898</v>
      </c>
      <c r="H2320" s="0" t="n">
        <v>0</v>
      </c>
      <c r="I2320" s="7" t="n">
        <f aca="false">YEAR(B2320)</f>
        <v>2017</v>
      </c>
      <c r="J2320" s="0" t="str">
        <f aca="false">I2320&amp;"-Q"&amp;ROUNDUP(MONTH(B2320)/3,0)</f>
        <v>2017-Q3</v>
      </c>
    </row>
    <row r="2321" customFormat="false" ht="15" hidden="false" customHeight="false" outlineLevel="0" collapsed="false">
      <c r="A2321" s="0" t="s">
        <v>1219</v>
      </c>
      <c r="B2321" s="6" t="n">
        <v>42361</v>
      </c>
      <c r="C2321" s="7" t="s">
        <v>29</v>
      </c>
      <c r="D2321" s="7" t="s">
        <v>83</v>
      </c>
      <c r="E2321" s="7" t="s">
        <v>35</v>
      </c>
      <c r="F2321" s="0" t="n">
        <v>194.32</v>
      </c>
      <c r="G2321" s="0" t="n">
        <v>56.3528</v>
      </c>
      <c r="H2321" s="0" t="n">
        <v>0</v>
      </c>
      <c r="I2321" s="7" t="n">
        <f aca="false">YEAR(B2321)</f>
        <v>2015</v>
      </c>
      <c r="J2321" s="0" t="str">
        <f aca="false">I2321&amp;"-Q"&amp;ROUNDUP(MONTH(B2321)/3,0)</f>
        <v>2015-Q4</v>
      </c>
    </row>
    <row r="2322" customFormat="false" ht="15" hidden="false" customHeight="false" outlineLevel="0" collapsed="false">
      <c r="A2322" s="0" t="s">
        <v>1220</v>
      </c>
      <c r="B2322" s="6" t="n">
        <v>42814</v>
      </c>
      <c r="C2322" s="7" t="s">
        <v>33</v>
      </c>
      <c r="D2322" s="7" t="s">
        <v>43</v>
      </c>
      <c r="E2322" s="7" t="s">
        <v>39</v>
      </c>
      <c r="F2322" s="0" t="n">
        <v>265.93</v>
      </c>
      <c r="G2322" s="0" t="n">
        <v>63.8232</v>
      </c>
      <c r="H2322" s="0" t="n">
        <v>0</v>
      </c>
      <c r="I2322" s="7" t="n">
        <f aca="false">YEAR(B2322)</f>
        <v>2017</v>
      </c>
      <c r="J2322" s="0" t="str">
        <f aca="false">I2322&amp;"-Q"&amp;ROUNDUP(MONTH(B2322)/3,0)</f>
        <v>2017-Q1</v>
      </c>
    </row>
    <row r="2323" customFormat="false" ht="15" hidden="false" customHeight="false" outlineLevel="0" collapsed="false">
      <c r="A2323" s="0" t="s">
        <v>1221</v>
      </c>
      <c r="B2323" s="6" t="n">
        <v>42369</v>
      </c>
      <c r="C2323" s="7" t="s">
        <v>29</v>
      </c>
      <c r="D2323" s="7" t="s">
        <v>30</v>
      </c>
      <c r="E2323" s="7" t="s">
        <v>35</v>
      </c>
      <c r="F2323" s="0" t="n">
        <v>94.74</v>
      </c>
      <c r="G2323" s="0" t="n">
        <v>44.5278</v>
      </c>
      <c r="H2323" s="0" t="n">
        <v>0</v>
      </c>
      <c r="I2323" s="7" t="n">
        <f aca="false">YEAR(B2323)</f>
        <v>2015</v>
      </c>
      <c r="J2323" s="0" t="str">
        <f aca="false">I2323&amp;"-Q"&amp;ROUNDUP(MONTH(B2323)/3,0)</f>
        <v>2015-Q4</v>
      </c>
    </row>
    <row r="2324" customFormat="false" ht="15" hidden="false" customHeight="false" outlineLevel="0" collapsed="false">
      <c r="A2324" s="0" t="s">
        <v>1221</v>
      </c>
      <c r="B2324" s="6" t="n">
        <v>42369</v>
      </c>
      <c r="C2324" s="7" t="s">
        <v>29</v>
      </c>
      <c r="D2324" s="7" t="s">
        <v>30</v>
      </c>
      <c r="E2324" s="7" t="s">
        <v>35</v>
      </c>
      <c r="F2324" s="0" t="n">
        <v>60.64</v>
      </c>
      <c r="G2324" s="0" t="n">
        <v>27.8944</v>
      </c>
      <c r="H2324" s="0" t="n">
        <v>0</v>
      </c>
      <c r="I2324" s="7" t="n">
        <f aca="false">YEAR(B2324)</f>
        <v>2015</v>
      </c>
      <c r="J2324" s="0" t="str">
        <f aca="false">I2324&amp;"-Q"&amp;ROUNDUP(MONTH(B2324)/3,0)</f>
        <v>2015-Q4</v>
      </c>
    </row>
    <row r="2325" customFormat="false" ht="15" hidden="false" customHeight="false" outlineLevel="0" collapsed="false">
      <c r="A2325" s="0" t="s">
        <v>1221</v>
      </c>
      <c r="B2325" s="6" t="n">
        <v>42369</v>
      </c>
      <c r="C2325" s="7" t="s">
        <v>29</v>
      </c>
      <c r="D2325" s="7" t="s">
        <v>30</v>
      </c>
      <c r="E2325" s="7" t="s">
        <v>35</v>
      </c>
      <c r="F2325" s="0" t="n">
        <v>76.3</v>
      </c>
      <c r="G2325" s="0" t="n">
        <v>38.15</v>
      </c>
      <c r="H2325" s="0" t="n">
        <v>0</v>
      </c>
      <c r="I2325" s="7" t="n">
        <f aca="false">YEAR(B2325)</f>
        <v>2015</v>
      </c>
      <c r="J2325" s="0" t="str">
        <f aca="false">I2325&amp;"-Q"&amp;ROUNDUP(MONTH(B2325)/3,0)</f>
        <v>2015-Q4</v>
      </c>
    </row>
    <row r="2326" customFormat="false" ht="15" hidden="false" customHeight="false" outlineLevel="0" collapsed="false">
      <c r="A2326" s="0" t="s">
        <v>1221</v>
      </c>
      <c r="B2326" s="6" t="n">
        <v>42369</v>
      </c>
      <c r="C2326" s="7" t="s">
        <v>29</v>
      </c>
      <c r="D2326" s="7" t="s">
        <v>30</v>
      </c>
      <c r="E2326" s="7" t="s">
        <v>35</v>
      </c>
      <c r="F2326" s="0" t="n">
        <v>364.8</v>
      </c>
      <c r="G2326" s="0" t="n">
        <v>167.808</v>
      </c>
      <c r="H2326" s="0" t="n">
        <v>0</v>
      </c>
      <c r="I2326" s="7" t="n">
        <f aca="false">YEAR(B2326)</f>
        <v>2015</v>
      </c>
      <c r="J2326" s="0" t="str">
        <f aca="false">I2326&amp;"-Q"&amp;ROUNDUP(MONTH(B2326)/3,0)</f>
        <v>2015-Q4</v>
      </c>
    </row>
    <row r="2327" customFormat="false" ht="15" hidden="false" customHeight="false" outlineLevel="0" collapsed="false">
      <c r="A2327" s="0" t="s">
        <v>1222</v>
      </c>
      <c r="B2327" s="6" t="n">
        <v>42262</v>
      </c>
      <c r="C2327" s="7" t="s">
        <v>55</v>
      </c>
      <c r="D2327" s="7" t="s">
        <v>76</v>
      </c>
      <c r="E2327" s="7" t="s">
        <v>35</v>
      </c>
      <c r="F2327" s="0" t="n">
        <v>79.872</v>
      </c>
      <c r="G2327" s="0" t="n">
        <v>29.952</v>
      </c>
      <c r="H2327" s="0" t="n">
        <v>0.2</v>
      </c>
      <c r="I2327" s="7" t="n">
        <f aca="false">YEAR(B2327)</f>
        <v>2015</v>
      </c>
      <c r="J2327" s="0" t="str">
        <f aca="false">I2327&amp;"-Q"&amp;ROUNDUP(MONTH(B2327)/3,0)</f>
        <v>2015-Q3</v>
      </c>
    </row>
    <row r="2328" customFormat="false" ht="15" hidden="false" customHeight="false" outlineLevel="0" collapsed="false">
      <c r="A2328" s="0" t="s">
        <v>1222</v>
      </c>
      <c r="B2328" s="6" t="n">
        <v>42262</v>
      </c>
      <c r="C2328" s="7" t="s">
        <v>55</v>
      </c>
      <c r="D2328" s="7" t="s">
        <v>76</v>
      </c>
      <c r="E2328" s="7" t="s">
        <v>31</v>
      </c>
      <c r="F2328" s="0" t="n">
        <v>46.384</v>
      </c>
      <c r="G2328" s="0" t="n">
        <v>1.1596</v>
      </c>
      <c r="H2328" s="0" t="n">
        <v>0.2</v>
      </c>
      <c r="I2328" s="7" t="n">
        <f aca="false">YEAR(B2328)</f>
        <v>2015</v>
      </c>
      <c r="J2328" s="0" t="str">
        <f aca="false">I2328&amp;"-Q"&amp;ROUNDUP(MONTH(B2328)/3,0)</f>
        <v>2015-Q3</v>
      </c>
    </row>
    <row r="2329" customFormat="false" ht="15" hidden="false" customHeight="false" outlineLevel="0" collapsed="false">
      <c r="A2329" s="0" t="s">
        <v>1222</v>
      </c>
      <c r="B2329" s="6" t="n">
        <v>42262</v>
      </c>
      <c r="C2329" s="7" t="s">
        <v>55</v>
      </c>
      <c r="D2329" s="7" t="s">
        <v>76</v>
      </c>
      <c r="E2329" s="7" t="s">
        <v>35</v>
      </c>
      <c r="F2329" s="0" t="n">
        <v>12.96</v>
      </c>
      <c r="G2329" s="0" t="n">
        <v>6.2208</v>
      </c>
      <c r="H2329" s="0" t="n">
        <v>0</v>
      </c>
      <c r="I2329" s="7" t="n">
        <f aca="false">YEAR(B2329)</f>
        <v>2015</v>
      </c>
      <c r="J2329" s="0" t="str">
        <f aca="false">I2329&amp;"-Q"&amp;ROUNDUP(MONTH(B2329)/3,0)</f>
        <v>2015-Q3</v>
      </c>
    </row>
    <row r="2330" customFormat="false" ht="15" hidden="false" customHeight="false" outlineLevel="0" collapsed="false">
      <c r="A2330" s="0" t="s">
        <v>1223</v>
      </c>
      <c r="B2330" s="6" t="n">
        <v>43001</v>
      </c>
      <c r="C2330" s="7" t="s">
        <v>33</v>
      </c>
      <c r="D2330" s="7" t="s">
        <v>109</v>
      </c>
      <c r="E2330" s="7" t="s">
        <v>35</v>
      </c>
      <c r="F2330" s="0" t="n">
        <v>14.352</v>
      </c>
      <c r="G2330" s="0" t="n">
        <v>5.2026</v>
      </c>
      <c r="H2330" s="0" t="n">
        <v>0.2</v>
      </c>
      <c r="I2330" s="7" t="n">
        <f aca="false">YEAR(B2330)</f>
        <v>2017</v>
      </c>
      <c r="J2330" s="0" t="str">
        <f aca="false">I2330&amp;"-Q"&amp;ROUNDUP(MONTH(B2330)/3,0)</f>
        <v>2017-Q3</v>
      </c>
    </row>
    <row r="2331" customFormat="false" ht="15" hidden="false" customHeight="false" outlineLevel="0" collapsed="false">
      <c r="A2331" s="0" t="s">
        <v>1224</v>
      </c>
      <c r="B2331" s="6" t="n">
        <v>42363</v>
      </c>
      <c r="C2331" s="7" t="s">
        <v>55</v>
      </c>
      <c r="D2331" s="7" t="s">
        <v>56</v>
      </c>
      <c r="E2331" s="7" t="s">
        <v>31</v>
      </c>
      <c r="F2331" s="0" t="n">
        <v>547.136</v>
      </c>
      <c r="G2331" s="0" t="n">
        <v>-68.392</v>
      </c>
      <c r="H2331" s="0" t="n">
        <v>0.2</v>
      </c>
      <c r="I2331" s="7" t="n">
        <f aca="false">YEAR(B2331)</f>
        <v>2015</v>
      </c>
      <c r="J2331" s="0" t="str">
        <f aca="false">I2331&amp;"-Q"&amp;ROUNDUP(MONTH(B2331)/3,0)</f>
        <v>2015-Q4</v>
      </c>
    </row>
    <row r="2332" customFormat="false" ht="15" hidden="false" customHeight="false" outlineLevel="0" collapsed="false">
      <c r="A2332" s="0" t="s">
        <v>1225</v>
      </c>
      <c r="B2332" s="6" t="n">
        <v>42637</v>
      </c>
      <c r="C2332" s="7" t="s">
        <v>33</v>
      </c>
      <c r="D2332" s="7" t="s">
        <v>34</v>
      </c>
      <c r="E2332" s="7" t="s">
        <v>35</v>
      </c>
      <c r="F2332" s="0" t="n">
        <v>41.96</v>
      </c>
      <c r="G2332" s="0" t="n">
        <v>2.9372</v>
      </c>
      <c r="H2332" s="0" t="n">
        <v>0</v>
      </c>
      <c r="I2332" s="7" t="n">
        <f aca="false">YEAR(B2332)</f>
        <v>2016</v>
      </c>
      <c r="J2332" s="0" t="str">
        <f aca="false">I2332&amp;"-Q"&amp;ROUNDUP(MONTH(B2332)/3,0)</f>
        <v>2016-Q3</v>
      </c>
    </row>
    <row r="2333" customFormat="false" ht="15" hidden="false" customHeight="false" outlineLevel="0" collapsed="false">
      <c r="A2333" s="0" t="s">
        <v>1225</v>
      </c>
      <c r="B2333" s="6" t="n">
        <v>42637</v>
      </c>
      <c r="C2333" s="7" t="s">
        <v>33</v>
      </c>
      <c r="D2333" s="7" t="s">
        <v>34</v>
      </c>
      <c r="E2333" s="7" t="s">
        <v>35</v>
      </c>
      <c r="F2333" s="0" t="n">
        <v>41.7</v>
      </c>
      <c r="G2333" s="0" t="n">
        <v>20.85</v>
      </c>
      <c r="H2333" s="0" t="n">
        <v>0</v>
      </c>
      <c r="I2333" s="7" t="n">
        <f aca="false">YEAR(B2333)</f>
        <v>2016</v>
      </c>
      <c r="J2333" s="0" t="str">
        <f aca="false">I2333&amp;"-Q"&amp;ROUNDUP(MONTH(B2333)/3,0)</f>
        <v>2016-Q3</v>
      </c>
    </row>
    <row r="2334" customFormat="false" ht="15" hidden="false" customHeight="false" outlineLevel="0" collapsed="false">
      <c r="A2334" s="0" t="s">
        <v>1226</v>
      </c>
      <c r="B2334" s="6" t="n">
        <v>42815</v>
      </c>
      <c r="C2334" s="7" t="s">
        <v>45</v>
      </c>
      <c r="D2334" s="7" t="s">
        <v>74</v>
      </c>
      <c r="E2334" s="7" t="s">
        <v>35</v>
      </c>
      <c r="F2334" s="0" t="n">
        <v>277.4</v>
      </c>
      <c r="G2334" s="0" t="n">
        <v>133.152</v>
      </c>
      <c r="H2334" s="0" t="n">
        <v>0</v>
      </c>
      <c r="I2334" s="7" t="n">
        <f aca="false">YEAR(B2334)</f>
        <v>2017</v>
      </c>
      <c r="J2334" s="0" t="str">
        <f aca="false">I2334&amp;"-Q"&amp;ROUNDUP(MONTH(B2334)/3,0)</f>
        <v>2017-Q1</v>
      </c>
    </row>
    <row r="2335" customFormat="false" ht="15" hidden="false" customHeight="false" outlineLevel="0" collapsed="false">
      <c r="A2335" s="0" t="s">
        <v>1226</v>
      </c>
      <c r="B2335" s="6" t="n">
        <v>42815</v>
      </c>
      <c r="C2335" s="7" t="s">
        <v>45</v>
      </c>
      <c r="D2335" s="7" t="s">
        <v>74</v>
      </c>
      <c r="E2335" s="7" t="s">
        <v>35</v>
      </c>
      <c r="F2335" s="0" t="n">
        <v>5.78</v>
      </c>
      <c r="G2335" s="0" t="n">
        <v>2.8322</v>
      </c>
      <c r="H2335" s="0" t="n">
        <v>0</v>
      </c>
      <c r="I2335" s="7" t="n">
        <f aca="false">YEAR(B2335)</f>
        <v>2017</v>
      </c>
      <c r="J2335" s="0" t="str">
        <f aca="false">I2335&amp;"-Q"&amp;ROUNDUP(MONTH(B2335)/3,0)</f>
        <v>2017-Q1</v>
      </c>
    </row>
    <row r="2336" customFormat="false" ht="15" hidden="false" customHeight="false" outlineLevel="0" collapsed="false">
      <c r="A2336" s="0" t="s">
        <v>1227</v>
      </c>
      <c r="B2336" s="6" t="n">
        <v>41912</v>
      </c>
      <c r="C2336" s="7" t="s">
        <v>29</v>
      </c>
      <c r="D2336" s="7" t="s">
        <v>87</v>
      </c>
      <c r="E2336" s="7" t="s">
        <v>35</v>
      </c>
      <c r="F2336" s="0" t="n">
        <v>69.216</v>
      </c>
      <c r="G2336" s="0" t="n">
        <v>11.2476</v>
      </c>
      <c r="H2336" s="0" t="n">
        <v>0.2</v>
      </c>
      <c r="I2336" s="7" t="n">
        <f aca="false">YEAR(B2336)</f>
        <v>2014</v>
      </c>
      <c r="J2336" s="0" t="str">
        <f aca="false">I2336&amp;"-Q"&amp;ROUNDUP(MONTH(B2336)/3,0)</f>
        <v>2014-Q3</v>
      </c>
    </row>
    <row r="2337" customFormat="false" ht="15" hidden="false" customHeight="false" outlineLevel="0" collapsed="false">
      <c r="A2337" s="0" t="s">
        <v>1228</v>
      </c>
      <c r="B2337" s="6" t="n">
        <v>43079</v>
      </c>
      <c r="C2337" s="7" t="s">
        <v>55</v>
      </c>
      <c r="D2337" s="7" t="s">
        <v>154</v>
      </c>
      <c r="E2337" s="7" t="s">
        <v>35</v>
      </c>
      <c r="F2337" s="0" t="n">
        <v>10.86</v>
      </c>
      <c r="G2337" s="0" t="n">
        <v>5.1042</v>
      </c>
      <c r="H2337" s="0" t="n">
        <v>0</v>
      </c>
      <c r="I2337" s="7" t="n">
        <f aca="false">YEAR(B2337)</f>
        <v>2017</v>
      </c>
      <c r="J2337" s="0" t="str">
        <f aca="false">I2337&amp;"-Q"&amp;ROUNDUP(MONTH(B2337)/3,0)</f>
        <v>2017-Q4</v>
      </c>
    </row>
    <row r="2338" customFormat="false" ht="15" hidden="false" customHeight="false" outlineLevel="0" collapsed="false">
      <c r="A2338" s="0" t="s">
        <v>1228</v>
      </c>
      <c r="B2338" s="6" t="n">
        <v>43079</v>
      </c>
      <c r="C2338" s="7" t="s">
        <v>55</v>
      </c>
      <c r="D2338" s="7" t="s">
        <v>154</v>
      </c>
      <c r="E2338" s="7" t="s">
        <v>35</v>
      </c>
      <c r="F2338" s="0" t="n">
        <v>426.79</v>
      </c>
      <c r="G2338" s="0" t="n">
        <v>123.7691</v>
      </c>
      <c r="H2338" s="0" t="n">
        <v>0</v>
      </c>
      <c r="I2338" s="7" t="n">
        <f aca="false">YEAR(B2338)</f>
        <v>2017</v>
      </c>
      <c r="J2338" s="0" t="str">
        <f aca="false">I2338&amp;"-Q"&amp;ROUNDUP(MONTH(B2338)/3,0)</f>
        <v>2017-Q4</v>
      </c>
    </row>
    <row r="2339" customFormat="false" ht="15" hidden="false" customHeight="false" outlineLevel="0" collapsed="false">
      <c r="A2339" s="0" t="s">
        <v>1229</v>
      </c>
      <c r="B2339" s="6" t="n">
        <v>41874</v>
      </c>
      <c r="C2339" s="7" t="s">
        <v>55</v>
      </c>
      <c r="D2339" s="7" t="s">
        <v>76</v>
      </c>
      <c r="E2339" s="7" t="s">
        <v>35</v>
      </c>
      <c r="F2339" s="0" t="n">
        <v>25.92</v>
      </c>
      <c r="G2339" s="0" t="n">
        <v>12.4416</v>
      </c>
      <c r="H2339" s="0" t="n">
        <v>0</v>
      </c>
      <c r="I2339" s="7" t="n">
        <f aca="false">YEAR(B2339)</f>
        <v>2014</v>
      </c>
      <c r="J2339" s="0" t="str">
        <f aca="false">I2339&amp;"-Q"&amp;ROUNDUP(MONTH(B2339)/3,0)</f>
        <v>2014-Q3</v>
      </c>
    </row>
    <row r="2340" customFormat="false" ht="15" hidden="false" customHeight="false" outlineLevel="0" collapsed="false">
      <c r="A2340" s="0" t="s">
        <v>1229</v>
      </c>
      <c r="B2340" s="6" t="n">
        <v>41874</v>
      </c>
      <c r="C2340" s="7" t="s">
        <v>55</v>
      </c>
      <c r="D2340" s="7" t="s">
        <v>76</v>
      </c>
      <c r="E2340" s="7" t="s">
        <v>35</v>
      </c>
      <c r="F2340" s="0" t="n">
        <v>45.92</v>
      </c>
      <c r="G2340" s="0" t="n">
        <v>22.5008</v>
      </c>
      <c r="H2340" s="0" t="n">
        <v>0</v>
      </c>
      <c r="I2340" s="7" t="n">
        <f aca="false">YEAR(B2340)</f>
        <v>2014</v>
      </c>
      <c r="J2340" s="0" t="str">
        <f aca="false">I2340&amp;"-Q"&amp;ROUNDUP(MONTH(B2340)/3,0)</f>
        <v>2014-Q3</v>
      </c>
    </row>
    <row r="2341" customFormat="false" ht="15" hidden="false" customHeight="false" outlineLevel="0" collapsed="false">
      <c r="A2341" s="0" t="s">
        <v>1230</v>
      </c>
      <c r="B2341" s="6" t="n">
        <v>41870</v>
      </c>
      <c r="C2341" s="7" t="s">
        <v>55</v>
      </c>
      <c r="D2341" s="7" t="s">
        <v>116</v>
      </c>
      <c r="E2341" s="7" t="s">
        <v>35</v>
      </c>
      <c r="F2341" s="0" t="n">
        <v>10.72</v>
      </c>
      <c r="G2341" s="0" t="n">
        <v>1.742</v>
      </c>
      <c r="H2341" s="0" t="n">
        <v>0.2</v>
      </c>
      <c r="I2341" s="7" t="n">
        <f aca="false">YEAR(B2341)</f>
        <v>2014</v>
      </c>
      <c r="J2341" s="0" t="str">
        <f aca="false">I2341&amp;"-Q"&amp;ROUNDUP(MONTH(B2341)/3,0)</f>
        <v>2014-Q3</v>
      </c>
    </row>
    <row r="2342" customFormat="false" ht="15" hidden="false" customHeight="false" outlineLevel="0" collapsed="false">
      <c r="A2342" s="0" t="s">
        <v>1231</v>
      </c>
      <c r="B2342" s="6" t="n">
        <v>42684</v>
      </c>
      <c r="C2342" s="7" t="s">
        <v>29</v>
      </c>
      <c r="D2342" s="7" t="s">
        <v>230</v>
      </c>
      <c r="E2342" s="7" t="s">
        <v>35</v>
      </c>
      <c r="F2342" s="0" t="n">
        <v>41.86</v>
      </c>
      <c r="G2342" s="0" t="n">
        <v>10.465</v>
      </c>
      <c r="H2342" s="0" t="n">
        <v>0</v>
      </c>
      <c r="I2342" s="7" t="n">
        <f aca="false">YEAR(B2342)</f>
        <v>2016</v>
      </c>
      <c r="J2342" s="0" t="str">
        <f aca="false">I2342&amp;"-Q"&amp;ROUNDUP(MONTH(B2342)/3,0)</f>
        <v>2016-Q4</v>
      </c>
    </row>
    <row r="2343" customFormat="false" ht="15" hidden="false" customHeight="false" outlineLevel="0" collapsed="false">
      <c r="A2343" s="0" t="s">
        <v>1232</v>
      </c>
      <c r="B2343" s="6" t="n">
        <v>42004</v>
      </c>
      <c r="C2343" s="7" t="s">
        <v>55</v>
      </c>
      <c r="D2343" s="7" t="s">
        <v>225</v>
      </c>
      <c r="E2343" s="7" t="s">
        <v>31</v>
      </c>
      <c r="F2343" s="0" t="n">
        <v>63.2</v>
      </c>
      <c r="G2343" s="0" t="n">
        <v>23.384</v>
      </c>
      <c r="H2343" s="0" t="n">
        <v>0</v>
      </c>
      <c r="I2343" s="7" t="n">
        <f aca="false">YEAR(B2343)</f>
        <v>2014</v>
      </c>
      <c r="J2343" s="0" t="str">
        <f aca="false">I2343&amp;"-Q"&amp;ROUNDUP(MONTH(B2343)/3,0)</f>
        <v>2014-Q4</v>
      </c>
    </row>
    <row r="2344" customFormat="false" ht="15" hidden="false" customHeight="false" outlineLevel="0" collapsed="false">
      <c r="A2344" s="0" t="s">
        <v>1232</v>
      </c>
      <c r="B2344" s="6" t="n">
        <v>42004</v>
      </c>
      <c r="C2344" s="7" t="s">
        <v>55</v>
      </c>
      <c r="D2344" s="7" t="s">
        <v>225</v>
      </c>
      <c r="E2344" s="7" t="s">
        <v>39</v>
      </c>
      <c r="F2344" s="0" t="n">
        <v>113.97</v>
      </c>
      <c r="G2344" s="0" t="n">
        <v>27.3528</v>
      </c>
      <c r="H2344" s="0" t="n">
        <v>0</v>
      </c>
      <c r="I2344" s="7" t="n">
        <f aca="false">YEAR(B2344)</f>
        <v>2014</v>
      </c>
      <c r="J2344" s="0" t="str">
        <f aca="false">I2344&amp;"-Q"&amp;ROUNDUP(MONTH(B2344)/3,0)</f>
        <v>2014-Q4</v>
      </c>
    </row>
    <row r="2345" customFormat="false" ht="15" hidden="false" customHeight="false" outlineLevel="0" collapsed="false">
      <c r="A2345" s="0" t="s">
        <v>1233</v>
      </c>
      <c r="B2345" s="6" t="n">
        <v>41846</v>
      </c>
      <c r="C2345" s="7" t="s">
        <v>45</v>
      </c>
      <c r="D2345" s="7" t="s">
        <v>64</v>
      </c>
      <c r="E2345" s="7" t="s">
        <v>35</v>
      </c>
      <c r="F2345" s="0" t="n">
        <v>123.552</v>
      </c>
      <c r="G2345" s="0" t="n">
        <v>-29.3436</v>
      </c>
      <c r="H2345" s="0" t="n">
        <v>0.2</v>
      </c>
      <c r="I2345" s="7" t="n">
        <f aca="false">YEAR(B2345)</f>
        <v>2014</v>
      </c>
      <c r="J2345" s="0" t="str">
        <f aca="false">I2345&amp;"-Q"&amp;ROUNDUP(MONTH(B2345)/3,0)</f>
        <v>2014-Q3</v>
      </c>
    </row>
    <row r="2346" customFormat="false" ht="15" hidden="false" customHeight="false" outlineLevel="0" collapsed="false">
      <c r="A2346" s="0" t="s">
        <v>1234</v>
      </c>
      <c r="B2346" s="6" t="n">
        <v>42422</v>
      </c>
      <c r="C2346" s="7" t="s">
        <v>45</v>
      </c>
      <c r="D2346" s="7" t="s">
        <v>48</v>
      </c>
      <c r="E2346" s="7" t="s">
        <v>35</v>
      </c>
      <c r="F2346" s="0" t="n">
        <v>490.32</v>
      </c>
      <c r="G2346" s="0" t="n">
        <v>137.2896</v>
      </c>
      <c r="H2346" s="0" t="n">
        <v>0</v>
      </c>
      <c r="I2346" s="7" t="n">
        <f aca="false">YEAR(B2346)</f>
        <v>2016</v>
      </c>
      <c r="J2346" s="0" t="str">
        <f aca="false">I2346&amp;"-Q"&amp;ROUNDUP(MONTH(B2346)/3,0)</f>
        <v>2016-Q1</v>
      </c>
    </row>
    <row r="2347" customFormat="false" ht="15" hidden="false" customHeight="false" outlineLevel="0" collapsed="false">
      <c r="A2347" s="0" t="s">
        <v>1235</v>
      </c>
      <c r="B2347" s="6" t="n">
        <v>42442</v>
      </c>
      <c r="C2347" s="7" t="s">
        <v>45</v>
      </c>
      <c r="D2347" s="7" t="s">
        <v>46</v>
      </c>
      <c r="E2347" s="7" t="s">
        <v>35</v>
      </c>
      <c r="F2347" s="0" t="n">
        <v>70.08</v>
      </c>
      <c r="G2347" s="0" t="n">
        <v>24.528</v>
      </c>
      <c r="H2347" s="0" t="n">
        <v>0.2</v>
      </c>
      <c r="I2347" s="7" t="n">
        <f aca="false">YEAR(B2347)</f>
        <v>2016</v>
      </c>
      <c r="J2347" s="0" t="str">
        <f aca="false">I2347&amp;"-Q"&amp;ROUNDUP(MONTH(B2347)/3,0)</f>
        <v>2016-Q1</v>
      </c>
    </row>
    <row r="2348" customFormat="false" ht="15" hidden="false" customHeight="false" outlineLevel="0" collapsed="false">
      <c r="A2348" s="0" t="s">
        <v>1235</v>
      </c>
      <c r="B2348" s="6" t="n">
        <v>42442</v>
      </c>
      <c r="C2348" s="7" t="s">
        <v>45</v>
      </c>
      <c r="D2348" s="7" t="s">
        <v>46</v>
      </c>
      <c r="E2348" s="7" t="s">
        <v>35</v>
      </c>
      <c r="F2348" s="0" t="n">
        <v>1.272</v>
      </c>
      <c r="G2348" s="0" t="n">
        <v>-2.1624</v>
      </c>
      <c r="H2348" s="0" t="n">
        <v>0.8</v>
      </c>
      <c r="I2348" s="7" t="n">
        <f aca="false">YEAR(B2348)</f>
        <v>2016</v>
      </c>
      <c r="J2348" s="0" t="str">
        <f aca="false">I2348&amp;"-Q"&amp;ROUNDUP(MONTH(B2348)/3,0)</f>
        <v>2016-Q1</v>
      </c>
    </row>
    <row r="2349" customFormat="false" ht="15" hidden="false" customHeight="false" outlineLevel="0" collapsed="false">
      <c r="A2349" s="0" t="s">
        <v>1235</v>
      </c>
      <c r="B2349" s="6" t="n">
        <v>42442</v>
      </c>
      <c r="C2349" s="7" t="s">
        <v>45</v>
      </c>
      <c r="D2349" s="7" t="s">
        <v>46</v>
      </c>
      <c r="E2349" s="7" t="s">
        <v>31</v>
      </c>
      <c r="F2349" s="0" t="n">
        <v>557.585</v>
      </c>
      <c r="G2349" s="0" t="n">
        <v>0</v>
      </c>
      <c r="H2349" s="0" t="n">
        <v>0.3</v>
      </c>
      <c r="I2349" s="7" t="n">
        <f aca="false">YEAR(B2349)</f>
        <v>2016</v>
      </c>
      <c r="J2349" s="0" t="str">
        <f aca="false">I2349&amp;"-Q"&amp;ROUNDUP(MONTH(B2349)/3,0)</f>
        <v>2016-Q1</v>
      </c>
    </row>
    <row r="2350" customFormat="false" ht="15" hidden="false" customHeight="false" outlineLevel="0" collapsed="false">
      <c r="A2350" s="0" t="s">
        <v>1236</v>
      </c>
      <c r="B2350" s="6" t="n">
        <v>43071</v>
      </c>
      <c r="C2350" s="7" t="s">
        <v>33</v>
      </c>
      <c r="D2350" s="7" t="s">
        <v>34</v>
      </c>
      <c r="E2350" s="7" t="s">
        <v>35</v>
      </c>
      <c r="F2350" s="0" t="n">
        <v>9.024</v>
      </c>
      <c r="G2350" s="0" t="n">
        <v>3.1584</v>
      </c>
      <c r="H2350" s="0" t="n">
        <v>0.2</v>
      </c>
      <c r="I2350" s="7" t="n">
        <f aca="false">YEAR(B2350)</f>
        <v>2017</v>
      </c>
      <c r="J2350" s="0" t="str">
        <f aca="false">I2350&amp;"-Q"&amp;ROUNDUP(MONTH(B2350)/3,0)</f>
        <v>2017-Q4</v>
      </c>
    </row>
    <row r="2351" customFormat="false" ht="15" hidden="false" customHeight="false" outlineLevel="0" collapsed="false">
      <c r="A2351" s="0" t="s">
        <v>1236</v>
      </c>
      <c r="B2351" s="6" t="n">
        <v>43071</v>
      </c>
      <c r="C2351" s="7" t="s">
        <v>33</v>
      </c>
      <c r="D2351" s="7" t="s">
        <v>34</v>
      </c>
      <c r="E2351" s="7" t="s">
        <v>35</v>
      </c>
      <c r="F2351" s="0" t="n">
        <v>69.456</v>
      </c>
      <c r="G2351" s="0" t="n">
        <v>22.5732</v>
      </c>
      <c r="H2351" s="0" t="n">
        <v>0.2</v>
      </c>
      <c r="I2351" s="7" t="n">
        <f aca="false">YEAR(B2351)</f>
        <v>2017</v>
      </c>
      <c r="J2351" s="0" t="str">
        <f aca="false">I2351&amp;"-Q"&amp;ROUNDUP(MONTH(B2351)/3,0)</f>
        <v>2017-Q4</v>
      </c>
    </row>
    <row r="2352" customFormat="false" ht="15" hidden="false" customHeight="false" outlineLevel="0" collapsed="false">
      <c r="A2352" s="0" t="s">
        <v>1236</v>
      </c>
      <c r="B2352" s="6" t="n">
        <v>43071</v>
      </c>
      <c r="C2352" s="7" t="s">
        <v>33</v>
      </c>
      <c r="D2352" s="7" t="s">
        <v>34</v>
      </c>
      <c r="E2352" s="7" t="s">
        <v>35</v>
      </c>
      <c r="F2352" s="0" t="n">
        <v>10.86</v>
      </c>
      <c r="G2352" s="0" t="n">
        <v>5.3214</v>
      </c>
      <c r="H2352" s="0" t="n">
        <v>0</v>
      </c>
      <c r="I2352" s="7" t="n">
        <f aca="false">YEAR(B2352)</f>
        <v>2017</v>
      </c>
      <c r="J2352" s="0" t="str">
        <f aca="false">I2352&amp;"-Q"&amp;ROUNDUP(MONTH(B2352)/3,0)</f>
        <v>2017-Q4</v>
      </c>
    </row>
    <row r="2353" customFormat="false" ht="15" hidden="false" customHeight="false" outlineLevel="0" collapsed="false">
      <c r="A2353" s="0" t="s">
        <v>1236</v>
      </c>
      <c r="B2353" s="6" t="n">
        <v>43071</v>
      </c>
      <c r="C2353" s="7" t="s">
        <v>33</v>
      </c>
      <c r="D2353" s="7" t="s">
        <v>34</v>
      </c>
      <c r="E2353" s="7" t="s">
        <v>35</v>
      </c>
      <c r="F2353" s="0" t="n">
        <v>79.47</v>
      </c>
      <c r="G2353" s="0" t="n">
        <v>22.2516</v>
      </c>
      <c r="H2353" s="0" t="n">
        <v>0</v>
      </c>
      <c r="I2353" s="7" t="n">
        <f aca="false">YEAR(B2353)</f>
        <v>2017</v>
      </c>
      <c r="J2353" s="0" t="str">
        <f aca="false">I2353&amp;"-Q"&amp;ROUNDUP(MONTH(B2353)/3,0)</f>
        <v>2017-Q4</v>
      </c>
    </row>
    <row r="2354" customFormat="false" ht="15" hidden="false" customHeight="false" outlineLevel="0" collapsed="false">
      <c r="A2354" s="0" t="s">
        <v>1236</v>
      </c>
      <c r="B2354" s="6" t="n">
        <v>43071</v>
      </c>
      <c r="C2354" s="7" t="s">
        <v>33</v>
      </c>
      <c r="D2354" s="7" t="s">
        <v>34</v>
      </c>
      <c r="E2354" s="7" t="s">
        <v>35</v>
      </c>
      <c r="F2354" s="0" t="n">
        <v>10.08</v>
      </c>
      <c r="G2354" s="0" t="n">
        <v>5.04</v>
      </c>
      <c r="H2354" s="0" t="n">
        <v>0</v>
      </c>
      <c r="I2354" s="7" t="n">
        <f aca="false">YEAR(B2354)</f>
        <v>2017</v>
      </c>
      <c r="J2354" s="0" t="str">
        <f aca="false">I2354&amp;"-Q"&amp;ROUNDUP(MONTH(B2354)/3,0)</f>
        <v>2017-Q4</v>
      </c>
    </row>
    <row r="2355" customFormat="false" ht="15" hidden="false" customHeight="false" outlineLevel="0" collapsed="false">
      <c r="A2355" s="0" t="s">
        <v>1237</v>
      </c>
      <c r="B2355" s="6" t="n">
        <v>42247</v>
      </c>
      <c r="C2355" s="7" t="s">
        <v>33</v>
      </c>
      <c r="D2355" s="7" t="s">
        <v>34</v>
      </c>
      <c r="E2355" s="7" t="s">
        <v>31</v>
      </c>
      <c r="F2355" s="0" t="n">
        <v>1552.831</v>
      </c>
      <c r="G2355" s="0" t="n">
        <v>200.9546</v>
      </c>
      <c r="H2355" s="0" t="n">
        <v>0.15</v>
      </c>
      <c r="I2355" s="7" t="n">
        <f aca="false">YEAR(B2355)</f>
        <v>2015</v>
      </c>
      <c r="J2355" s="0" t="str">
        <f aca="false">I2355&amp;"-Q"&amp;ROUNDUP(MONTH(B2355)/3,0)</f>
        <v>2015-Q3</v>
      </c>
    </row>
    <row r="2356" customFormat="false" ht="15" hidden="false" customHeight="false" outlineLevel="0" collapsed="false">
      <c r="A2356" s="0" t="s">
        <v>1237</v>
      </c>
      <c r="B2356" s="6" t="n">
        <v>42247</v>
      </c>
      <c r="C2356" s="7" t="s">
        <v>33</v>
      </c>
      <c r="D2356" s="7" t="s">
        <v>34</v>
      </c>
      <c r="E2356" s="7" t="s">
        <v>35</v>
      </c>
      <c r="F2356" s="0" t="n">
        <v>137.24</v>
      </c>
      <c r="G2356" s="0" t="n">
        <v>46.3185</v>
      </c>
      <c r="H2356" s="0" t="n">
        <v>0.2</v>
      </c>
      <c r="I2356" s="7" t="n">
        <f aca="false">YEAR(B2356)</f>
        <v>2015</v>
      </c>
      <c r="J2356" s="0" t="str">
        <f aca="false">I2356&amp;"-Q"&amp;ROUNDUP(MONTH(B2356)/3,0)</f>
        <v>2015-Q3</v>
      </c>
    </row>
    <row r="2357" customFormat="false" ht="15" hidden="false" customHeight="false" outlineLevel="0" collapsed="false">
      <c r="A2357" s="0" t="s">
        <v>1237</v>
      </c>
      <c r="B2357" s="6" t="n">
        <v>42247</v>
      </c>
      <c r="C2357" s="7" t="s">
        <v>33</v>
      </c>
      <c r="D2357" s="7" t="s">
        <v>34</v>
      </c>
      <c r="E2357" s="7" t="s">
        <v>39</v>
      </c>
      <c r="F2357" s="0" t="n">
        <v>36.51</v>
      </c>
      <c r="G2357" s="0" t="n">
        <v>15.6993</v>
      </c>
      <c r="H2357" s="0" t="n">
        <v>0</v>
      </c>
      <c r="I2357" s="7" t="n">
        <f aca="false">YEAR(B2357)</f>
        <v>2015</v>
      </c>
      <c r="J2357" s="0" t="str">
        <f aca="false">I2357&amp;"-Q"&amp;ROUNDUP(MONTH(B2357)/3,0)</f>
        <v>2015-Q3</v>
      </c>
    </row>
    <row r="2358" customFormat="false" ht="15" hidden="false" customHeight="false" outlineLevel="0" collapsed="false">
      <c r="A2358" s="0" t="s">
        <v>1237</v>
      </c>
      <c r="B2358" s="6" t="n">
        <v>42247</v>
      </c>
      <c r="C2358" s="7" t="s">
        <v>33</v>
      </c>
      <c r="D2358" s="7" t="s">
        <v>34</v>
      </c>
      <c r="E2358" s="7" t="s">
        <v>39</v>
      </c>
      <c r="F2358" s="0" t="n">
        <v>239.976</v>
      </c>
      <c r="G2358" s="0" t="n">
        <v>80.9919</v>
      </c>
      <c r="H2358" s="0" t="n">
        <v>0.2</v>
      </c>
      <c r="I2358" s="7" t="n">
        <f aca="false">YEAR(B2358)</f>
        <v>2015</v>
      </c>
      <c r="J2358" s="0" t="str">
        <f aca="false">I2358&amp;"-Q"&amp;ROUNDUP(MONTH(B2358)/3,0)</f>
        <v>2015-Q3</v>
      </c>
    </row>
    <row r="2359" customFormat="false" ht="15" hidden="false" customHeight="false" outlineLevel="0" collapsed="false">
      <c r="A2359" s="0" t="s">
        <v>1238</v>
      </c>
      <c r="B2359" s="6" t="n">
        <v>41715</v>
      </c>
      <c r="C2359" s="7" t="s">
        <v>55</v>
      </c>
      <c r="D2359" s="7" t="s">
        <v>76</v>
      </c>
      <c r="E2359" s="7" t="s">
        <v>31</v>
      </c>
      <c r="F2359" s="0" t="n">
        <v>1579.746</v>
      </c>
      <c r="G2359" s="0" t="n">
        <v>-447.5947</v>
      </c>
      <c r="H2359" s="0" t="n">
        <v>0.4</v>
      </c>
      <c r="I2359" s="7" t="n">
        <f aca="false">YEAR(B2359)</f>
        <v>2014</v>
      </c>
      <c r="J2359" s="0" t="str">
        <f aca="false">I2359&amp;"-Q"&amp;ROUNDUP(MONTH(B2359)/3,0)</f>
        <v>2014-Q1</v>
      </c>
    </row>
    <row r="2360" customFormat="false" ht="15" hidden="false" customHeight="false" outlineLevel="0" collapsed="false">
      <c r="A2360" s="0" t="s">
        <v>1238</v>
      </c>
      <c r="B2360" s="6" t="n">
        <v>41715</v>
      </c>
      <c r="C2360" s="7" t="s">
        <v>55</v>
      </c>
      <c r="D2360" s="7" t="s">
        <v>76</v>
      </c>
      <c r="E2360" s="7" t="s">
        <v>31</v>
      </c>
      <c r="F2360" s="0" t="n">
        <v>1071.576</v>
      </c>
      <c r="G2360" s="0" t="n">
        <v>-553.6476</v>
      </c>
      <c r="H2360" s="0" t="n">
        <v>0.4</v>
      </c>
      <c r="I2360" s="7" t="n">
        <f aca="false">YEAR(B2360)</f>
        <v>2014</v>
      </c>
      <c r="J2360" s="0" t="str">
        <f aca="false">I2360&amp;"-Q"&amp;ROUNDUP(MONTH(B2360)/3,0)</f>
        <v>2014-Q1</v>
      </c>
    </row>
    <row r="2361" customFormat="false" ht="15" hidden="false" customHeight="false" outlineLevel="0" collapsed="false">
      <c r="A2361" s="0" t="s">
        <v>1238</v>
      </c>
      <c r="B2361" s="6" t="n">
        <v>41715</v>
      </c>
      <c r="C2361" s="7" t="s">
        <v>55</v>
      </c>
      <c r="D2361" s="7" t="s">
        <v>76</v>
      </c>
      <c r="E2361" s="7" t="s">
        <v>31</v>
      </c>
      <c r="F2361" s="0" t="n">
        <v>613.908</v>
      </c>
      <c r="G2361" s="0" t="n">
        <v>-122.7816</v>
      </c>
      <c r="H2361" s="0" t="n">
        <v>0.4</v>
      </c>
      <c r="I2361" s="7" t="n">
        <f aca="false">YEAR(B2361)</f>
        <v>2014</v>
      </c>
      <c r="J2361" s="0" t="str">
        <f aca="false">I2361&amp;"-Q"&amp;ROUNDUP(MONTH(B2361)/3,0)</f>
        <v>2014-Q1</v>
      </c>
    </row>
    <row r="2362" customFormat="false" ht="15" hidden="false" customHeight="false" outlineLevel="0" collapsed="false">
      <c r="A2362" s="0" t="s">
        <v>1238</v>
      </c>
      <c r="B2362" s="6" t="n">
        <v>41715</v>
      </c>
      <c r="C2362" s="7" t="s">
        <v>55</v>
      </c>
      <c r="D2362" s="7" t="s">
        <v>76</v>
      </c>
      <c r="E2362" s="7" t="s">
        <v>35</v>
      </c>
      <c r="F2362" s="0" t="n">
        <v>34.86</v>
      </c>
      <c r="G2362" s="0" t="n">
        <v>16.3842</v>
      </c>
      <c r="H2362" s="0" t="n">
        <v>0</v>
      </c>
      <c r="I2362" s="7" t="n">
        <f aca="false">YEAR(B2362)</f>
        <v>2014</v>
      </c>
      <c r="J2362" s="0" t="str">
        <f aca="false">I2362&amp;"-Q"&amp;ROUNDUP(MONTH(B2362)/3,0)</f>
        <v>2014-Q1</v>
      </c>
    </row>
    <row r="2363" customFormat="false" ht="15" hidden="false" customHeight="false" outlineLevel="0" collapsed="false">
      <c r="A2363" s="0" t="s">
        <v>1238</v>
      </c>
      <c r="B2363" s="6" t="n">
        <v>41715</v>
      </c>
      <c r="C2363" s="7" t="s">
        <v>55</v>
      </c>
      <c r="D2363" s="7" t="s">
        <v>76</v>
      </c>
      <c r="E2363" s="7" t="s">
        <v>35</v>
      </c>
      <c r="F2363" s="0" t="n">
        <v>155.04</v>
      </c>
      <c r="G2363" s="0" t="n">
        <v>75.9696</v>
      </c>
      <c r="H2363" s="0" t="n">
        <v>0</v>
      </c>
      <c r="I2363" s="7" t="n">
        <f aca="false">YEAR(B2363)</f>
        <v>2014</v>
      </c>
      <c r="J2363" s="0" t="str">
        <f aca="false">I2363&amp;"-Q"&amp;ROUNDUP(MONTH(B2363)/3,0)</f>
        <v>2014-Q1</v>
      </c>
    </row>
    <row r="2364" customFormat="false" ht="15" hidden="false" customHeight="false" outlineLevel="0" collapsed="false">
      <c r="A2364" s="0" t="s">
        <v>1239</v>
      </c>
      <c r="B2364" s="6" t="n">
        <v>42841</v>
      </c>
      <c r="C2364" s="7" t="s">
        <v>55</v>
      </c>
      <c r="D2364" s="7" t="s">
        <v>116</v>
      </c>
      <c r="E2364" s="7" t="s">
        <v>35</v>
      </c>
      <c r="F2364" s="0" t="n">
        <v>13.71</v>
      </c>
      <c r="G2364" s="0" t="n">
        <v>-10.054</v>
      </c>
      <c r="H2364" s="0" t="n">
        <v>0.7</v>
      </c>
      <c r="I2364" s="7" t="n">
        <f aca="false">YEAR(B2364)</f>
        <v>2017</v>
      </c>
      <c r="J2364" s="0" t="str">
        <f aca="false">I2364&amp;"-Q"&amp;ROUNDUP(MONTH(B2364)/3,0)</f>
        <v>2017-Q2</v>
      </c>
    </row>
    <row r="2365" customFormat="false" ht="15" hidden="false" customHeight="false" outlineLevel="0" collapsed="false">
      <c r="A2365" s="0" t="s">
        <v>1240</v>
      </c>
      <c r="B2365" s="6" t="n">
        <v>42442</v>
      </c>
      <c r="C2365" s="7" t="s">
        <v>29</v>
      </c>
      <c r="D2365" s="7" t="s">
        <v>83</v>
      </c>
      <c r="E2365" s="7" t="s">
        <v>31</v>
      </c>
      <c r="F2365" s="0" t="n">
        <v>127.88</v>
      </c>
      <c r="G2365" s="0" t="n">
        <v>40.9216</v>
      </c>
      <c r="H2365" s="0" t="n">
        <v>0</v>
      </c>
      <c r="I2365" s="7" t="n">
        <f aca="false">YEAR(B2365)</f>
        <v>2016</v>
      </c>
      <c r="J2365" s="0" t="str">
        <f aca="false">I2365&amp;"-Q"&amp;ROUNDUP(MONTH(B2365)/3,0)</f>
        <v>2016-Q1</v>
      </c>
    </row>
    <row r="2366" customFormat="false" ht="15" hidden="false" customHeight="false" outlineLevel="0" collapsed="false">
      <c r="A2366" s="0" t="s">
        <v>1240</v>
      </c>
      <c r="B2366" s="6" t="n">
        <v>42442</v>
      </c>
      <c r="C2366" s="7" t="s">
        <v>29</v>
      </c>
      <c r="D2366" s="7" t="s">
        <v>83</v>
      </c>
      <c r="E2366" s="7" t="s">
        <v>35</v>
      </c>
      <c r="F2366" s="0" t="n">
        <v>160.32</v>
      </c>
      <c r="G2366" s="0" t="n">
        <v>44.8896</v>
      </c>
      <c r="H2366" s="0" t="n">
        <v>0</v>
      </c>
      <c r="I2366" s="7" t="n">
        <f aca="false">YEAR(B2366)</f>
        <v>2016</v>
      </c>
      <c r="J2366" s="0" t="str">
        <f aca="false">I2366&amp;"-Q"&amp;ROUNDUP(MONTH(B2366)/3,0)</f>
        <v>2016-Q1</v>
      </c>
    </row>
    <row r="2367" customFormat="false" ht="15" hidden="false" customHeight="false" outlineLevel="0" collapsed="false">
      <c r="A2367" s="0" t="s">
        <v>1240</v>
      </c>
      <c r="B2367" s="6" t="n">
        <v>42442</v>
      </c>
      <c r="C2367" s="7" t="s">
        <v>29</v>
      </c>
      <c r="D2367" s="7" t="s">
        <v>83</v>
      </c>
      <c r="E2367" s="7" t="s">
        <v>35</v>
      </c>
      <c r="F2367" s="0" t="n">
        <v>46</v>
      </c>
      <c r="G2367" s="0" t="n">
        <v>20.7</v>
      </c>
      <c r="H2367" s="0" t="n">
        <v>0</v>
      </c>
      <c r="I2367" s="7" t="n">
        <f aca="false">YEAR(B2367)</f>
        <v>2016</v>
      </c>
      <c r="J2367" s="0" t="str">
        <f aca="false">I2367&amp;"-Q"&amp;ROUNDUP(MONTH(B2367)/3,0)</f>
        <v>2016-Q1</v>
      </c>
    </row>
    <row r="2368" customFormat="false" ht="15" hidden="false" customHeight="false" outlineLevel="0" collapsed="false">
      <c r="A2368" s="0" t="s">
        <v>1241</v>
      </c>
      <c r="B2368" s="6" t="n">
        <v>41967</v>
      </c>
      <c r="C2368" s="7" t="s">
        <v>33</v>
      </c>
      <c r="D2368" s="7" t="s">
        <v>34</v>
      </c>
      <c r="E2368" s="7" t="s">
        <v>31</v>
      </c>
      <c r="F2368" s="0" t="n">
        <v>120.712</v>
      </c>
      <c r="G2368" s="0" t="n">
        <v>-18.1068</v>
      </c>
      <c r="H2368" s="0" t="n">
        <v>0.2</v>
      </c>
      <c r="I2368" s="7" t="n">
        <f aca="false">YEAR(B2368)</f>
        <v>2014</v>
      </c>
      <c r="J2368" s="0" t="str">
        <f aca="false">I2368&amp;"-Q"&amp;ROUNDUP(MONTH(B2368)/3,0)</f>
        <v>2014-Q4</v>
      </c>
    </row>
    <row r="2369" customFormat="false" ht="15" hidden="false" customHeight="false" outlineLevel="0" collapsed="false">
      <c r="A2369" s="0" t="s">
        <v>1242</v>
      </c>
      <c r="B2369" s="6" t="n">
        <v>42776</v>
      </c>
      <c r="C2369" s="7" t="s">
        <v>55</v>
      </c>
      <c r="D2369" s="7" t="s">
        <v>495</v>
      </c>
      <c r="E2369" s="7" t="s">
        <v>35</v>
      </c>
      <c r="F2369" s="0" t="n">
        <v>23.12</v>
      </c>
      <c r="G2369" s="0" t="n">
        <v>11.3288</v>
      </c>
      <c r="H2369" s="0" t="n">
        <v>0</v>
      </c>
      <c r="I2369" s="7" t="n">
        <f aca="false">YEAR(B2369)</f>
        <v>2017</v>
      </c>
      <c r="J2369" s="0" t="str">
        <f aca="false">I2369&amp;"-Q"&amp;ROUNDUP(MONTH(B2369)/3,0)</f>
        <v>2017-Q1</v>
      </c>
    </row>
    <row r="2370" customFormat="false" ht="15" hidden="false" customHeight="false" outlineLevel="0" collapsed="false">
      <c r="A2370" s="0" t="s">
        <v>1243</v>
      </c>
      <c r="B2370" s="6" t="n">
        <v>42636</v>
      </c>
      <c r="C2370" s="7" t="s">
        <v>55</v>
      </c>
      <c r="D2370" s="7" t="s">
        <v>116</v>
      </c>
      <c r="E2370" s="7" t="s">
        <v>31</v>
      </c>
      <c r="F2370" s="0" t="n">
        <v>532.704</v>
      </c>
      <c r="G2370" s="0" t="n">
        <v>-26.6352</v>
      </c>
      <c r="H2370" s="0" t="n">
        <v>0.2</v>
      </c>
      <c r="I2370" s="7" t="n">
        <f aca="false">YEAR(B2370)</f>
        <v>2016</v>
      </c>
      <c r="J2370" s="0" t="str">
        <f aca="false">I2370&amp;"-Q"&amp;ROUNDUP(MONTH(B2370)/3,0)</f>
        <v>2016-Q3</v>
      </c>
    </row>
    <row r="2371" customFormat="false" ht="15" hidden="false" customHeight="false" outlineLevel="0" collapsed="false">
      <c r="A2371" s="0" t="s">
        <v>1243</v>
      </c>
      <c r="B2371" s="6" t="n">
        <v>42636</v>
      </c>
      <c r="C2371" s="7" t="s">
        <v>55</v>
      </c>
      <c r="D2371" s="7" t="s">
        <v>116</v>
      </c>
      <c r="E2371" s="7" t="s">
        <v>35</v>
      </c>
      <c r="F2371" s="0" t="n">
        <v>4.912</v>
      </c>
      <c r="G2371" s="0" t="n">
        <v>0.307</v>
      </c>
      <c r="H2371" s="0" t="n">
        <v>0.2</v>
      </c>
      <c r="I2371" s="7" t="n">
        <f aca="false">YEAR(B2371)</f>
        <v>2016</v>
      </c>
      <c r="J2371" s="0" t="str">
        <f aca="false">I2371&amp;"-Q"&amp;ROUNDUP(MONTH(B2371)/3,0)</f>
        <v>2016-Q3</v>
      </c>
    </row>
    <row r="2372" customFormat="false" ht="15" hidden="false" customHeight="false" outlineLevel="0" collapsed="false">
      <c r="A2372" s="0" t="s">
        <v>1244</v>
      </c>
      <c r="B2372" s="6" t="n">
        <v>42923</v>
      </c>
      <c r="C2372" s="7" t="s">
        <v>55</v>
      </c>
      <c r="D2372" s="7" t="s">
        <v>250</v>
      </c>
      <c r="E2372" s="7" t="s">
        <v>39</v>
      </c>
      <c r="F2372" s="0" t="n">
        <v>252</v>
      </c>
      <c r="G2372" s="0" t="n">
        <v>93.24</v>
      </c>
      <c r="H2372" s="0" t="n">
        <v>0</v>
      </c>
      <c r="I2372" s="7" t="n">
        <f aca="false">YEAR(B2372)</f>
        <v>2017</v>
      </c>
      <c r="J2372" s="0" t="str">
        <f aca="false">I2372&amp;"-Q"&amp;ROUNDUP(MONTH(B2372)/3,0)</f>
        <v>2017-Q3</v>
      </c>
    </row>
    <row r="2373" customFormat="false" ht="15" hidden="false" customHeight="false" outlineLevel="0" collapsed="false">
      <c r="A2373" s="0" t="s">
        <v>1245</v>
      </c>
      <c r="B2373" s="6" t="n">
        <v>42558</v>
      </c>
      <c r="C2373" s="7" t="s">
        <v>45</v>
      </c>
      <c r="D2373" s="7" t="s">
        <v>64</v>
      </c>
      <c r="E2373" s="7" t="s">
        <v>31</v>
      </c>
      <c r="F2373" s="0" t="n">
        <v>60.288</v>
      </c>
      <c r="G2373" s="0" t="n">
        <v>-27.1296</v>
      </c>
      <c r="H2373" s="0" t="n">
        <v>0.6</v>
      </c>
      <c r="I2373" s="7" t="n">
        <f aca="false">YEAR(B2373)</f>
        <v>2016</v>
      </c>
      <c r="J2373" s="0" t="str">
        <f aca="false">I2373&amp;"-Q"&amp;ROUNDUP(MONTH(B2373)/3,0)</f>
        <v>2016-Q3</v>
      </c>
    </row>
    <row r="2374" customFormat="false" ht="15" hidden="false" customHeight="false" outlineLevel="0" collapsed="false">
      <c r="A2374" s="0" t="s">
        <v>1245</v>
      </c>
      <c r="B2374" s="6" t="n">
        <v>42558</v>
      </c>
      <c r="C2374" s="7" t="s">
        <v>45</v>
      </c>
      <c r="D2374" s="7" t="s">
        <v>64</v>
      </c>
      <c r="E2374" s="7" t="s">
        <v>35</v>
      </c>
      <c r="F2374" s="0" t="n">
        <v>2.632</v>
      </c>
      <c r="G2374" s="0" t="n">
        <v>0.8225</v>
      </c>
      <c r="H2374" s="0" t="n">
        <v>0.2</v>
      </c>
      <c r="I2374" s="7" t="n">
        <f aca="false">YEAR(B2374)</f>
        <v>2016</v>
      </c>
      <c r="J2374" s="0" t="str">
        <f aca="false">I2374&amp;"-Q"&amp;ROUNDUP(MONTH(B2374)/3,0)</f>
        <v>2016-Q3</v>
      </c>
    </row>
    <row r="2375" customFormat="false" ht="15" hidden="false" customHeight="false" outlineLevel="0" collapsed="false">
      <c r="A2375" s="0" t="s">
        <v>1245</v>
      </c>
      <c r="B2375" s="6" t="n">
        <v>42558</v>
      </c>
      <c r="C2375" s="7" t="s">
        <v>45</v>
      </c>
      <c r="D2375" s="7" t="s">
        <v>64</v>
      </c>
      <c r="E2375" s="7" t="s">
        <v>35</v>
      </c>
      <c r="F2375" s="0" t="n">
        <v>23.688</v>
      </c>
      <c r="G2375" s="0" t="n">
        <v>7.6986</v>
      </c>
      <c r="H2375" s="0" t="n">
        <v>0.2</v>
      </c>
      <c r="I2375" s="7" t="n">
        <f aca="false">YEAR(B2375)</f>
        <v>2016</v>
      </c>
      <c r="J2375" s="0" t="str">
        <f aca="false">I2375&amp;"-Q"&amp;ROUNDUP(MONTH(B2375)/3,0)</f>
        <v>2016-Q3</v>
      </c>
    </row>
    <row r="2376" customFormat="false" ht="15" hidden="false" customHeight="false" outlineLevel="0" collapsed="false">
      <c r="A2376" s="0" t="s">
        <v>1245</v>
      </c>
      <c r="B2376" s="6" t="n">
        <v>42558</v>
      </c>
      <c r="C2376" s="7" t="s">
        <v>45</v>
      </c>
      <c r="D2376" s="7" t="s">
        <v>64</v>
      </c>
      <c r="E2376" s="7" t="s">
        <v>31</v>
      </c>
      <c r="F2376" s="0" t="n">
        <v>253.372</v>
      </c>
      <c r="G2376" s="0" t="n">
        <v>-14.4784</v>
      </c>
      <c r="H2376" s="0" t="n">
        <v>0.3</v>
      </c>
      <c r="I2376" s="7" t="n">
        <f aca="false">YEAR(B2376)</f>
        <v>2016</v>
      </c>
      <c r="J2376" s="0" t="str">
        <f aca="false">I2376&amp;"-Q"&amp;ROUNDUP(MONTH(B2376)/3,0)</f>
        <v>2016-Q3</v>
      </c>
    </row>
    <row r="2377" customFormat="false" ht="15" hidden="false" customHeight="false" outlineLevel="0" collapsed="false">
      <c r="A2377" s="0" t="s">
        <v>1246</v>
      </c>
      <c r="B2377" s="6" t="n">
        <v>42759</v>
      </c>
      <c r="C2377" s="7" t="s">
        <v>29</v>
      </c>
      <c r="D2377" s="7" t="s">
        <v>230</v>
      </c>
      <c r="E2377" s="7" t="s">
        <v>35</v>
      </c>
      <c r="F2377" s="0" t="n">
        <v>5.67</v>
      </c>
      <c r="G2377" s="0" t="n">
        <v>0.1134</v>
      </c>
      <c r="H2377" s="0" t="n">
        <v>0</v>
      </c>
      <c r="I2377" s="7" t="n">
        <f aca="false">YEAR(B2377)</f>
        <v>2017</v>
      </c>
      <c r="J2377" s="0" t="str">
        <f aca="false">I2377&amp;"-Q"&amp;ROUNDUP(MONTH(B2377)/3,0)</f>
        <v>2017-Q1</v>
      </c>
    </row>
    <row r="2378" customFormat="false" ht="15" hidden="false" customHeight="false" outlineLevel="0" collapsed="false">
      <c r="A2378" s="0" t="s">
        <v>1247</v>
      </c>
      <c r="B2378" s="6" t="n">
        <v>41870</v>
      </c>
      <c r="C2378" s="7" t="s">
        <v>55</v>
      </c>
      <c r="D2378" s="7" t="s">
        <v>116</v>
      </c>
      <c r="E2378" s="7" t="s">
        <v>35</v>
      </c>
      <c r="F2378" s="0" t="n">
        <v>76.776</v>
      </c>
      <c r="G2378" s="0" t="n">
        <v>-58.8616</v>
      </c>
      <c r="H2378" s="0" t="n">
        <v>0.7</v>
      </c>
      <c r="I2378" s="7" t="n">
        <f aca="false">YEAR(B2378)</f>
        <v>2014</v>
      </c>
      <c r="J2378" s="0" t="str">
        <f aca="false">I2378&amp;"-Q"&amp;ROUNDUP(MONTH(B2378)/3,0)</f>
        <v>2014-Q3</v>
      </c>
    </row>
    <row r="2379" customFormat="false" ht="15" hidden="false" customHeight="false" outlineLevel="0" collapsed="false">
      <c r="A2379" s="0" t="s">
        <v>1247</v>
      </c>
      <c r="B2379" s="6" t="n">
        <v>41870</v>
      </c>
      <c r="C2379" s="7" t="s">
        <v>55</v>
      </c>
      <c r="D2379" s="7" t="s">
        <v>116</v>
      </c>
      <c r="E2379" s="7" t="s">
        <v>35</v>
      </c>
      <c r="F2379" s="0" t="n">
        <v>9.184</v>
      </c>
      <c r="G2379" s="0" t="n">
        <v>1.148</v>
      </c>
      <c r="H2379" s="0" t="n">
        <v>0.2</v>
      </c>
      <c r="I2379" s="7" t="n">
        <f aca="false">YEAR(B2379)</f>
        <v>2014</v>
      </c>
      <c r="J2379" s="0" t="str">
        <f aca="false">I2379&amp;"-Q"&amp;ROUNDUP(MONTH(B2379)/3,0)</f>
        <v>2014-Q3</v>
      </c>
    </row>
    <row r="2380" customFormat="false" ht="15" hidden="false" customHeight="false" outlineLevel="0" collapsed="false">
      <c r="A2380" s="0" t="s">
        <v>1248</v>
      </c>
      <c r="B2380" s="6" t="n">
        <v>42344</v>
      </c>
      <c r="C2380" s="7" t="s">
        <v>33</v>
      </c>
      <c r="D2380" s="7" t="s">
        <v>34</v>
      </c>
      <c r="E2380" s="7" t="s">
        <v>35</v>
      </c>
      <c r="F2380" s="0" t="n">
        <v>32.75</v>
      </c>
      <c r="G2380" s="0" t="n">
        <v>15.065</v>
      </c>
      <c r="H2380" s="0" t="n">
        <v>0</v>
      </c>
      <c r="I2380" s="7" t="n">
        <f aca="false">YEAR(B2380)</f>
        <v>2015</v>
      </c>
      <c r="J2380" s="0" t="str">
        <f aca="false">I2380&amp;"-Q"&amp;ROUNDUP(MONTH(B2380)/3,0)</f>
        <v>2015-Q4</v>
      </c>
    </row>
    <row r="2381" customFormat="false" ht="15" hidden="false" customHeight="false" outlineLevel="0" collapsed="false">
      <c r="A2381" s="0" t="s">
        <v>1249</v>
      </c>
      <c r="B2381" s="6" t="n">
        <v>42496</v>
      </c>
      <c r="C2381" s="7" t="s">
        <v>55</v>
      </c>
      <c r="D2381" s="7" t="s">
        <v>116</v>
      </c>
      <c r="E2381" s="7" t="s">
        <v>35</v>
      </c>
      <c r="F2381" s="0" t="n">
        <v>7.216</v>
      </c>
      <c r="G2381" s="0" t="n">
        <v>1.7138</v>
      </c>
      <c r="H2381" s="0" t="n">
        <v>0.2</v>
      </c>
      <c r="I2381" s="7" t="n">
        <f aca="false">YEAR(B2381)</f>
        <v>2016</v>
      </c>
      <c r="J2381" s="0" t="str">
        <f aca="false">I2381&amp;"-Q"&amp;ROUNDUP(MONTH(B2381)/3,0)</f>
        <v>2016-Q2</v>
      </c>
    </row>
    <row r="2382" customFormat="false" ht="15" hidden="false" customHeight="false" outlineLevel="0" collapsed="false">
      <c r="A2382" s="0" t="s">
        <v>1249</v>
      </c>
      <c r="B2382" s="6" t="n">
        <v>42496</v>
      </c>
      <c r="C2382" s="7" t="s">
        <v>55</v>
      </c>
      <c r="D2382" s="7" t="s">
        <v>116</v>
      </c>
      <c r="E2382" s="7" t="s">
        <v>35</v>
      </c>
      <c r="F2382" s="0" t="n">
        <v>49.568</v>
      </c>
      <c r="G2382" s="0" t="n">
        <v>15.49</v>
      </c>
      <c r="H2382" s="0" t="n">
        <v>0.2</v>
      </c>
      <c r="I2382" s="7" t="n">
        <f aca="false">YEAR(B2382)</f>
        <v>2016</v>
      </c>
      <c r="J2382" s="0" t="str">
        <f aca="false">I2382&amp;"-Q"&amp;ROUNDUP(MONTH(B2382)/3,0)</f>
        <v>2016-Q2</v>
      </c>
    </row>
    <row r="2383" customFormat="false" ht="15" hidden="false" customHeight="false" outlineLevel="0" collapsed="false">
      <c r="A2383" s="0" t="s">
        <v>1249</v>
      </c>
      <c r="B2383" s="6" t="n">
        <v>42496</v>
      </c>
      <c r="C2383" s="7" t="s">
        <v>55</v>
      </c>
      <c r="D2383" s="7" t="s">
        <v>116</v>
      </c>
      <c r="E2383" s="7" t="s">
        <v>31</v>
      </c>
      <c r="F2383" s="0" t="n">
        <v>54.712</v>
      </c>
      <c r="G2383" s="0" t="n">
        <v>11.6263</v>
      </c>
      <c r="H2383" s="0" t="n">
        <v>0.2</v>
      </c>
      <c r="I2383" s="7" t="n">
        <f aca="false">YEAR(B2383)</f>
        <v>2016</v>
      </c>
      <c r="J2383" s="0" t="str">
        <f aca="false">I2383&amp;"-Q"&amp;ROUNDUP(MONTH(B2383)/3,0)</f>
        <v>2016-Q2</v>
      </c>
    </row>
    <row r="2384" customFormat="false" ht="15" hidden="false" customHeight="false" outlineLevel="0" collapsed="false">
      <c r="A2384" s="0" t="s">
        <v>1250</v>
      </c>
      <c r="B2384" s="6" t="n">
        <v>42819</v>
      </c>
      <c r="C2384" s="7" t="s">
        <v>33</v>
      </c>
      <c r="D2384" s="7" t="s">
        <v>34</v>
      </c>
      <c r="E2384" s="7" t="s">
        <v>35</v>
      </c>
      <c r="F2384" s="0" t="n">
        <v>176.04</v>
      </c>
      <c r="G2384" s="0" t="n">
        <v>45.7704</v>
      </c>
      <c r="H2384" s="0" t="n">
        <v>0</v>
      </c>
      <c r="I2384" s="7" t="n">
        <f aca="false">YEAR(B2384)</f>
        <v>2017</v>
      </c>
      <c r="J2384" s="0" t="str">
        <f aca="false">I2384&amp;"-Q"&amp;ROUNDUP(MONTH(B2384)/3,0)</f>
        <v>2017-Q1</v>
      </c>
    </row>
    <row r="2385" customFormat="false" ht="15" hidden="false" customHeight="false" outlineLevel="0" collapsed="false">
      <c r="A2385" s="0" t="s">
        <v>1250</v>
      </c>
      <c r="B2385" s="6" t="n">
        <v>42819</v>
      </c>
      <c r="C2385" s="7" t="s">
        <v>33</v>
      </c>
      <c r="D2385" s="7" t="s">
        <v>34</v>
      </c>
      <c r="E2385" s="7" t="s">
        <v>35</v>
      </c>
      <c r="F2385" s="0" t="n">
        <v>16.02</v>
      </c>
      <c r="G2385" s="0" t="n">
        <v>4.4856</v>
      </c>
      <c r="H2385" s="0" t="n">
        <v>0</v>
      </c>
      <c r="I2385" s="7" t="n">
        <f aca="false">YEAR(B2385)</f>
        <v>2017</v>
      </c>
      <c r="J2385" s="0" t="str">
        <f aca="false">I2385&amp;"-Q"&amp;ROUNDUP(MONTH(B2385)/3,0)</f>
        <v>2017-Q1</v>
      </c>
    </row>
    <row r="2386" customFormat="false" ht="15" hidden="false" customHeight="false" outlineLevel="0" collapsed="false">
      <c r="A2386" s="0" t="s">
        <v>1250</v>
      </c>
      <c r="B2386" s="6" t="n">
        <v>42819</v>
      </c>
      <c r="C2386" s="7" t="s">
        <v>33</v>
      </c>
      <c r="D2386" s="7" t="s">
        <v>34</v>
      </c>
      <c r="E2386" s="7" t="s">
        <v>35</v>
      </c>
      <c r="F2386" s="0" t="n">
        <v>185.92</v>
      </c>
      <c r="G2386" s="0" t="n">
        <v>62.748</v>
      </c>
      <c r="H2386" s="0" t="n">
        <v>0.2</v>
      </c>
      <c r="I2386" s="7" t="n">
        <f aca="false">YEAR(B2386)</f>
        <v>2017</v>
      </c>
      <c r="J2386" s="0" t="str">
        <f aca="false">I2386&amp;"-Q"&amp;ROUNDUP(MONTH(B2386)/3,0)</f>
        <v>2017-Q1</v>
      </c>
    </row>
    <row r="2387" customFormat="false" ht="15" hidden="false" customHeight="false" outlineLevel="0" collapsed="false">
      <c r="A2387" s="0" t="s">
        <v>1250</v>
      </c>
      <c r="B2387" s="6" t="n">
        <v>42819</v>
      </c>
      <c r="C2387" s="7" t="s">
        <v>33</v>
      </c>
      <c r="D2387" s="7" t="s">
        <v>34</v>
      </c>
      <c r="E2387" s="7" t="s">
        <v>39</v>
      </c>
      <c r="F2387" s="0" t="n">
        <v>211.168</v>
      </c>
      <c r="G2387" s="0" t="n">
        <v>15.8376</v>
      </c>
      <c r="H2387" s="0" t="n">
        <v>0.2</v>
      </c>
      <c r="I2387" s="7" t="n">
        <f aca="false">YEAR(B2387)</f>
        <v>2017</v>
      </c>
      <c r="J2387" s="0" t="str">
        <f aca="false">I2387&amp;"-Q"&amp;ROUNDUP(MONTH(B2387)/3,0)</f>
        <v>2017-Q1</v>
      </c>
    </row>
    <row r="2388" customFormat="false" ht="15" hidden="false" customHeight="false" outlineLevel="0" collapsed="false">
      <c r="A2388" s="0" t="s">
        <v>1250</v>
      </c>
      <c r="B2388" s="6" t="n">
        <v>42819</v>
      </c>
      <c r="C2388" s="7" t="s">
        <v>33</v>
      </c>
      <c r="D2388" s="7" t="s">
        <v>34</v>
      </c>
      <c r="E2388" s="7" t="s">
        <v>39</v>
      </c>
      <c r="F2388" s="0" t="n">
        <v>479.984</v>
      </c>
      <c r="G2388" s="0" t="n">
        <v>59.998</v>
      </c>
      <c r="H2388" s="0" t="n">
        <v>0.2</v>
      </c>
      <c r="I2388" s="7" t="n">
        <f aca="false">YEAR(B2388)</f>
        <v>2017</v>
      </c>
      <c r="J2388" s="0" t="str">
        <f aca="false">I2388&amp;"-Q"&amp;ROUNDUP(MONTH(B2388)/3,0)</f>
        <v>2017-Q1</v>
      </c>
    </row>
    <row r="2389" customFormat="false" ht="15" hidden="false" customHeight="false" outlineLevel="0" collapsed="false">
      <c r="A2389" s="0" t="s">
        <v>1251</v>
      </c>
      <c r="B2389" s="6" t="n">
        <v>42350</v>
      </c>
      <c r="C2389" s="7" t="s">
        <v>33</v>
      </c>
      <c r="D2389" s="7" t="s">
        <v>34</v>
      </c>
      <c r="E2389" s="7" t="s">
        <v>35</v>
      </c>
      <c r="F2389" s="0" t="n">
        <v>7.86</v>
      </c>
      <c r="G2389" s="0" t="n">
        <v>3.6156</v>
      </c>
      <c r="H2389" s="0" t="n">
        <v>0</v>
      </c>
      <c r="I2389" s="7" t="n">
        <f aca="false">YEAR(B2389)</f>
        <v>2015</v>
      </c>
      <c r="J2389" s="0" t="str">
        <f aca="false">I2389&amp;"-Q"&amp;ROUNDUP(MONTH(B2389)/3,0)</f>
        <v>2015-Q4</v>
      </c>
    </row>
    <row r="2390" customFormat="false" ht="15" hidden="false" customHeight="false" outlineLevel="0" collapsed="false">
      <c r="A2390" s="0" t="s">
        <v>1251</v>
      </c>
      <c r="B2390" s="6" t="n">
        <v>42350</v>
      </c>
      <c r="C2390" s="7" t="s">
        <v>33</v>
      </c>
      <c r="D2390" s="7" t="s">
        <v>34</v>
      </c>
      <c r="E2390" s="7" t="s">
        <v>35</v>
      </c>
      <c r="F2390" s="0" t="n">
        <v>24.448</v>
      </c>
      <c r="G2390" s="0" t="n">
        <v>8.8624</v>
      </c>
      <c r="H2390" s="0" t="n">
        <v>0.2</v>
      </c>
      <c r="I2390" s="7" t="n">
        <f aca="false">YEAR(B2390)</f>
        <v>2015</v>
      </c>
      <c r="J2390" s="0" t="str">
        <f aca="false">I2390&amp;"-Q"&amp;ROUNDUP(MONTH(B2390)/3,0)</f>
        <v>2015-Q4</v>
      </c>
    </row>
    <row r="2391" customFormat="false" ht="15" hidden="false" customHeight="false" outlineLevel="0" collapsed="false">
      <c r="A2391" s="0" t="s">
        <v>1252</v>
      </c>
      <c r="B2391" s="6" t="n">
        <v>42344</v>
      </c>
      <c r="C2391" s="7" t="s">
        <v>55</v>
      </c>
      <c r="D2391" s="7" t="s">
        <v>76</v>
      </c>
      <c r="E2391" s="7" t="s">
        <v>35</v>
      </c>
      <c r="F2391" s="0" t="n">
        <v>6.48</v>
      </c>
      <c r="G2391" s="0" t="n">
        <v>3.1104</v>
      </c>
      <c r="H2391" s="0" t="n">
        <v>0</v>
      </c>
      <c r="I2391" s="7" t="n">
        <f aca="false">YEAR(B2391)</f>
        <v>2015</v>
      </c>
      <c r="J2391" s="0" t="str">
        <f aca="false">I2391&amp;"-Q"&amp;ROUNDUP(MONTH(B2391)/3,0)</f>
        <v>2015-Q4</v>
      </c>
    </row>
    <row r="2392" customFormat="false" ht="15" hidden="false" customHeight="false" outlineLevel="0" collapsed="false">
      <c r="A2392" s="0" t="s">
        <v>1252</v>
      </c>
      <c r="B2392" s="6" t="n">
        <v>42344</v>
      </c>
      <c r="C2392" s="7" t="s">
        <v>55</v>
      </c>
      <c r="D2392" s="7" t="s">
        <v>76</v>
      </c>
      <c r="E2392" s="7" t="s">
        <v>35</v>
      </c>
      <c r="F2392" s="0" t="n">
        <v>41.86</v>
      </c>
      <c r="G2392" s="0" t="n">
        <v>20.5114</v>
      </c>
      <c r="H2392" s="0" t="n">
        <v>0</v>
      </c>
      <c r="I2392" s="7" t="n">
        <f aca="false">YEAR(B2392)</f>
        <v>2015</v>
      </c>
      <c r="J2392" s="0" t="str">
        <f aca="false">I2392&amp;"-Q"&amp;ROUNDUP(MONTH(B2392)/3,0)</f>
        <v>2015-Q4</v>
      </c>
    </row>
    <row r="2393" customFormat="false" ht="15" hidden="false" customHeight="false" outlineLevel="0" collapsed="false">
      <c r="A2393" s="0" t="s">
        <v>1252</v>
      </c>
      <c r="B2393" s="6" t="n">
        <v>42344</v>
      </c>
      <c r="C2393" s="7" t="s">
        <v>55</v>
      </c>
      <c r="D2393" s="7" t="s">
        <v>76</v>
      </c>
      <c r="E2393" s="7" t="s">
        <v>39</v>
      </c>
      <c r="F2393" s="0" t="n">
        <v>1619.91</v>
      </c>
      <c r="G2393" s="0" t="n">
        <v>97.1946</v>
      </c>
      <c r="H2393" s="0" t="n">
        <v>0</v>
      </c>
      <c r="I2393" s="7" t="n">
        <f aca="false">YEAR(B2393)</f>
        <v>2015</v>
      </c>
      <c r="J2393" s="0" t="str">
        <f aca="false">I2393&amp;"-Q"&amp;ROUNDUP(MONTH(B2393)/3,0)</f>
        <v>2015-Q4</v>
      </c>
    </row>
    <row r="2394" customFormat="false" ht="15" hidden="false" customHeight="false" outlineLevel="0" collapsed="false">
      <c r="A2394" s="0" t="s">
        <v>1252</v>
      </c>
      <c r="B2394" s="6" t="n">
        <v>42344</v>
      </c>
      <c r="C2394" s="7" t="s">
        <v>55</v>
      </c>
      <c r="D2394" s="7" t="s">
        <v>76</v>
      </c>
      <c r="E2394" s="7" t="s">
        <v>31</v>
      </c>
      <c r="F2394" s="0" t="n">
        <v>113.92</v>
      </c>
      <c r="G2394" s="0" t="n">
        <v>42.1504</v>
      </c>
      <c r="H2394" s="0" t="n">
        <v>0</v>
      </c>
      <c r="I2394" s="7" t="n">
        <f aca="false">YEAR(B2394)</f>
        <v>2015</v>
      </c>
      <c r="J2394" s="0" t="str">
        <f aca="false">I2394&amp;"-Q"&amp;ROUNDUP(MONTH(B2394)/3,0)</f>
        <v>2015-Q4</v>
      </c>
    </row>
    <row r="2395" customFormat="false" ht="15" hidden="false" customHeight="false" outlineLevel="0" collapsed="false">
      <c r="A2395" s="0" t="s">
        <v>1253</v>
      </c>
      <c r="B2395" s="6" t="n">
        <v>42446</v>
      </c>
      <c r="C2395" s="7" t="s">
        <v>55</v>
      </c>
      <c r="D2395" s="7" t="s">
        <v>225</v>
      </c>
      <c r="E2395" s="7" t="s">
        <v>35</v>
      </c>
      <c r="F2395" s="0" t="n">
        <v>39.68</v>
      </c>
      <c r="G2395" s="0" t="n">
        <v>10.3168</v>
      </c>
      <c r="H2395" s="0" t="n">
        <v>0</v>
      </c>
      <c r="I2395" s="7" t="n">
        <f aca="false">YEAR(B2395)</f>
        <v>2016</v>
      </c>
      <c r="J2395" s="0" t="str">
        <f aca="false">I2395&amp;"-Q"&amp;ROUNDUP(MONTH(B2395)/3,0)</f>
        <v>2016-Q1</v>
      </c>
    </row>
    <row r="2396" customFormat="false" ht="15" hidden="false" customHeight="false" outlineLevel="0" collapsed="false">
      <c r="A2396" s="0" t="s">
        <v>1254</v>
      </c>
      <c r="B2396" s="6" t="n">
        <v>42322</v>
      </c>
      <c r="C2396" s="7" t="s">
        <v>55</v>
      </c>
      <c r="D2396" s="7" t="s">
        <v>76</v>
      </c>
      <c r="E2396" s="7" t="s">
        <v>39</v>
      </c>
      <c r="F2396" s="0" t="n">
        <v>37.6</v>
      </c>
      <c r="G2396" s="0" t="n">
        <v>2.256</v>
      </c>
      <c r="H2396" s="0" t="n">
        <v>0</v>
      </c>
      <c r="I2396" s="7" t="n">
        <f aca="false">YEAR(B2396)</f>
        <v>2015</v>
      </c>
      <c r="J2396" s="0" t="str">
        <f aca="false">I2396&amp;"-Q"&amp;ROUNDUP(MONTH(B2396)/3,0)</f>
        <v>2015-Q4</v>
      </c>
    </row>
    <row r="2397" customFormat="false" ht="15" hidden="false" customHeight="false" outlineLevel="0" collapsed="false">
      <c r="A2397" s="0" t="s">
        <v>1254</v>
      </c>
      <c r="B2397" s="6" t="n">
        <v>42322</v>
      </c>
      <c r="C2397" s="7" t="s">
        <v>55</v>
      </c>
      <c r="D2397" s="7" t="s">
        <v>76</v>
      </c>
      <c r="E2397" s="7" t="s">
        <v>39</v>
      </c>
      <c r="F2397" s="0" t="n">
        <v>59.9</v>
      </c>
      <c r="G2397" s="0" t="n">
        <v>23.96</v>
      </c>
      <c r="H2397" s="0" t="n">
        <v>0</v>
      </c>
      <c r="I2397" s="7" t="n">
        <f aca="false">YEAR(B2397)</f>
        <v>2015</v>
      </c>
      <c r="J2397" s="0" t="str">
        <f aca="false">I2397&amp;"-Q"&amp;ROUNDUP(MONTH(B2397)/3,0)</f>
        <v>2015-Q4</v>
      </c>
    </row>
    <row r="2398" customFormat="false" ht="15" hidden="false" customHeight="false" outlineLevel="0" collapsed="false">
      <c r="A2398" s="0" t="s">
        <v>1254</v>
      </c>
      <c r="B2398" s="6" t="n">
        <v>42322</v>
      </c>
      <c r="C2398" s="7" t="s">
        <v>55</v>
      </c>
      <c r="D2398" s="7" t="s">
        <v>76</v>
      </c>
      <c r="E2398" s="7" t="s">
        <v>35</v>
      </c>
      <c r="F2398" s="0" t="n">
        <v>37</v>
      </c>
      <c r="G2398" s="0" t="n">
        <v>16.65</v>
      </c>
      <c r="H2398" s="0" t="n">
        <v>0</v>
      </c>
      <c r="I2398" s="7" t="n">
        <f aca="false">YEAR(B2398)</f>
        <v>2015</v>
      </c>
      <c r="J2398" s="0" t="str">
        <f aca="false">I2398&amp;"-Q"&amp;ROUNDUP(MONTH(B2398)/3,0)</f>
        <v>2015-Q4</v>
      </c>
    </row>
    <row r="2399" customFormat="false" ht="15" hidden="false" customHeight="false" outlineLevel="0" collapsed="false">
      <c r="A2399" s="0" t="s">
        <v>1255</v>
      </c>
      <c r="B2399" s="6" t="n">
        <v>42961</v>
      </c>
      <c r="C2399" s="7" t="s">
        <v>33</v>
      </c>
      <c r="D2399" s="7" t="s">
        <v>34</v>
      </c>
      <c r="E2399" s="7" t="s">
        <v>35</v>
      </c>
      <c r="F2399" s="0" t="n">
        <v>5.76</v>
      </c>
      <c r="G2399" s="0" t="n">
        <v>2.8224</v>
      </c>
      <c r="H2399" s="0" t="n">
        <v>0</v>
      </c>
      <c r="I2399" s="7" t="n">
        <f aca="false">YEAR(B2399)</f>
        <v>2017</v>
      </c>
      <c r="J2399" s="0" t="str">
        <f aca="false">I2399&amp;"-Q"&amp;ROUNDUP(MONTH(B2399)/3,0)</f>
        <v>2017-Q3</v>
      </c>
    </row>
    <row r="2400" customFormat="false" ht="15" hidden="false" customHeight="false" outlineLevel="0" collapsed="false">
      <c r="A2400" s="0" t="s">
        <v>1255</v>
      </c>
      <c r="B2400" s="6" t="n">
        <v>42961</v>
      </c>
      <c r="C2400" s="7" t="s">
        <v>33</v>
      </c>
      <c r="D2400" s="7" t="s">
        <v>34</v>
      </c>
      <c r="E2400" s="7" t="s">
        <v>35</v>
      </c>
      <c r="F2400" s="0" t="n">
        <v>16.68</v>
      </c>
      <c r="G2400" s="0" t="n">
        <v>4.3368</v>
      </c>
      <c r="H2400" s="0" t="n">
        <v>0</v>
      </c>
      <c r="I2400" s="7" t="n">
        <f aca="false">YEAR(B2400)</f>
        <v>2017</v>
      </c>
      <c r="J2400" s="0" t="str">
        <f aca="false">I2400&amp;"-Q"&amp;ROUNDUP(MONTH(B2400)/3,0)</f>
        <v>2017-Q3</v>
      </c>
    </row>
    <row r="2401" customFormat="false" ht="15" hidden="false" customHeight="false" outlineLevel="0" collapsed="false">
      <c r="A2401" s="0" t="s">
        <v>1256</v>
      </c>
      <c r="B2401" s="6" t="n">
        <v>42987</v>
      </c>
      <c r="C2401" s="7" t="s">
        <v>29</v>
      </c>
      <c r="D2401" s="7" t="s">
        <v>96</v>
      </c>
      <c r="E2401" s="7" t="s">
        <v>35</v>
      </c>
      <c r="F2401" s="0" t="n">
        <v>628.81</v>
      </c>
      <c r="G2401" s="0" t="n">
        <v>12.5762</v>
      </c>
      <c r="H2401" s="0" t="n">
        <v>0</v>
      </c>
      <c r="I2401" s="7" t="n">
        <f aca="false">YEAR(B2401)</f>
        <v>2017</v>
      </c>
      <c r="J2401" s="0" t="str">
        <f aca="false">I2401&amp;"-Q"&amp;ROUNDUP(MONTH(B2401)/3,0)</f>
        <v>2017-Q3</v>
      </c>
    </row>
    <row r="2402" customFormat="false" ht="15" hidden="false" customHeight="false" outlineLevel="0" collapsed="false">
      <c r="A2402" s="0" t="s">
        <v>1256</v>
      </c>
      <c r="B2402" s="6" t="n">
        <v>42987</v>
      </c>
      <c r="C2402" s="7" t="s">
        <v>29</v>
      </c>
      <c r="D2402" s="7" t="s">
        <v>96</v>
      </c>
      <c r="E2402" s="7" t="s">
        <v>35</v>
      </c>
      <c r="F2402" s="0" t="n">
        <v>56.45</v>
      </c>
      <c r="G2402" s="0" t="n">
        <v>14.677</v>
      </c>
      <c r="H2402" s="0" t="n">
        <v>0</v>
      </c>
      <c r="I2402" s="7" t="n">
        <f aca="false">YEAR(B2402)</f>
        <v>2017</v>
      </c>
      <c r="J2402" s="0" t="str">
        <f aca="false">I2402&amp;"-Q"&amp;ROUNDUP(MONTH(B2402)/3,0)</f>
        <v>2017-Q3</v>
      </c>
    </row>
    <row r="2403" customFormat="false" ht="15" hidden="false" customHeight="false" outlineLevel="0" collapsed="false">
      <c r="A2403" s="0" t="s">
        <v>1257</v>
      </c>
      <c r="B2403" s="6" t="n">
        <v>42826</v>
      </c>
      <c r="C2403" s="7" t="s">
        <v>45</v>
      </c>
      <c r="D2403" s="7" t="s">
        <v>129</v>
      </c>
      <c r="E2403" s="7" t="s">
        <v>35</v>
      </c>
      <c r="F2403" s="0" t="n">
        <v>94.2</v>
      </c>
      <c r="G2403" s="0" t="n">
        <v>23.55</v>
      </c>
      <c r="H2403" s="0" t="n">
        <v>0</v>
      </c>
      <c r="I2403" s="7" t="n">
        <f aca="false">YEAR(B2403)</f>
        <v>2017</v>
      </c>
      <c r="J2403" s="0" t="str">
        <f aca="false">I2403&amp;"-Q"&amp;ROUNDUP(MONTH(B2403)/3,0)</f>
        <v>2017-Q2</v>
      </c>
    </row>
    <row r="2404" customFormat="false" ht="15" hidden="false" customHeight="false" outlineLevel="0" collapsed="false">
      <c r="A2404" s="0" t="s">
        <v>1257</v>
      </c>
      <c r="B2404" s="6" t="n">
        <v>42826</v>
      </c>
      <c r="C2404" s="7" t="s">
        <v>45</v>
      </c>
      <c r="D2404" s="7" t="s">
        <v>129</v>
      </c>
      <c r="E2404" s="7" t="s">
        <v>35</v>
      </c>
      <c r="F2404" s="0" t="n">
        <v>28.4</v>
      </c>
      <c r="G2404" s="0" t="n">
        <v>13.348</v>
      </c>
      <c r="H2404" s="0" t="n">
        <v>0</v>
      </c>
      <c r="I2404" s="7" t="n">
        <f aca="false">YEAR(B2404)</f>
        <v>2017</v>
      </c>
      <c r="J2404" s="0" t="str">
        <f aca="false">I2404&amp;"-Q"&amp;ROUNDUP(MONTH(B2404)/3,0)</f>
        <v>2017-Q2</v>
      </c>
    </row>
    <row r="2405" customFormat="false" ht="15" hidden="false" customHeight="false" outlineLevel="0" collapsed="false">
      <c r="A2405" s="0" t="s">
        <v>1258</v>
      </c>
      <c r="B2405" s="6" t="n">
        <v>42640</v>
      </c>
      <c r="C2405" s="7" t="s">
        <v>45</v>
      </c>
      <c r="D2405" s="7" t="s">
        <v>46</v>
      </c>
      <c r="E2405" s="7" t="s">
        <v>31</v>
      </c>
      <c r="F2405" s="0" t="n">
        <v>956.6648</v>
      </c>
      <c r="G2405" s="0" t="n">
        <v>-225.0976</v>
      </c>
      <c r="H2405" s="0" t="n">
        <v>0.32</v>
      </c>
      <c r="I2405" s="7" t="n">
        <f aca="false">YEAR(B2405)</f>
        <v>2016</v>
      </c>
      <c r="J2405" s="0" t="str">
        <f aca="false">I2405&amp;"-Q"&amp;ROUNDUP(MONTH(B2405)/3,0)</f>
        <v>2016-Q3</v>
      </c>
    </row>
    <row r="2406" customFormat="false" ht="15" hidden="false" customHeight="false" outlineLevel="0" collapsed="false">
      <c r="A2406" s="0" t="s">
        <v>1259</v>
      </c>
      <c r="B2406" s="6" t="n">
        <v>43015</v>
      </c>
      <c r="C2406" s="7" t="s">
        <v>33</v>
      </c>
      <c r="D2406" s="7" t="s">
        <v>34</v>
      </c>
      <c r="E2406" s="7" t="s">
        <v>39</v>
      </c>
      <c r="F2406" s="0" t="n">
        <v>1115.91</v>
      </c>
      <c r="G2406" s="0" t="n">
        <v>200.8638</v>
      </c>
      <c r="H2406" s="0" t="n">
        <v>0</v>
      </c>
      <c r="I2406" s="7" t="n">
        <f aca="false">YEAR(B2406)</f>
        <v>2017</v>
      </c>
      <c r="J2406" s="0" t="str">
        <f aca="false">I2406&amp;"-Q"&amp;ROUNDUP(MONTH(B2406)/3,0)</f>
        <v>2017-Q4</v>
      </c>
    </row>
    <row r="2407" customFormat="false" ht="15" hidden="false" customHeight="false" outlineLevel="0" collapsed="false">
      <c r="A2407" s="0" t="s">
        <v>1259</v>
      </c>
      <c r="B2407" s="6" t="n">
        <v>43015</v>
      </c>
      <c r="C2407" s="7" t="s">
        <v>33</v>
      </c>
      <c r="D2407" s="7" t="s">
        <v>34</v>
      </c>
      <c r="E2407" s="7" t="s">
        <v>39</v>
      </c>
      <c r="F2407" s="0" t="n">
        <v>128.744</v>
      </c>
      <c r="G2407" s="0" t="n">
        <v>-28.9674</v>
      </c>
      <c r="H2407" s="0" t="n">
        <v>0.2</v>
      </c>
      <c r="I2407" s="7" t="n">
        <f aca="false">YEAR(B2407)</f>
        <v>2017</v>
      </c>
      <c r="J2407" s="0" t="str">
        <f aca="false">I2407&amp;"-Q"&amp;ROUNDUP(MONTH(B2407)/3,0)</f>
        <v>2017-Q4</v>
      </c>
    </row>
    <row r="2408" customFormat="false" ht="15" hidden="false" customHeight="false" outlineLevel="0" collapsed="false">
      <c r="A2408" s="0" t="s">
        <v>1259</v>
      </c>
      <c r="B2408" s="6" t="n">
        <v>43015</v>
      </c>
      <c r="C2408" s="7" t="s">
        <v>33</v>
      </c>
      <c r="D2408" s="7" t="s">
        <v>34</v>
      </c>
      <c r="E2408" s="7" t="s">
        <v>39</v>
      </c>
      <c r="F2408" s="0" t="n">
        <v>79.92</v>
      </c>
      <c r="G2408" s="0" t="n">
        <v>26.973</v>
      </c>
      <c r="H2408" s="0" t="n">
        <v>0.2</v>
      </c>
      <c r="I2408" s="7" t="n">
        <f aca="false">YEAR(B2408)</f>
        <v>2017</v>
      </c>
      <c r="J2408" s="0" t="str">
        <f aca="false">I2408&amp;"-Q"&amp;ROUNDUP(MONTH(B2408)/3,0)</f>
        <v>2017-Q4</v>
      </c>
    </row>
    <row r="2409" customFormat="false" ht="15" hidden="false" customHeight="false" outlineLevel="0" collapsed="false">
      <c r="A2409" s="0" t="s">
        <v>1260</v>
      </c>
      <c r="B2409" s="6" t="n">
        <v>42755</v>
      </c>
      <c r="C2409" s="7" t="s">
        <v>33</v>
      </c>
      <c r="D2409" s="7" t="s">
        <v>34</v>
      </c>
      <c r="E2409" s="7" t="s">
        <v>35</v>
      </c>
      <c r="F2409" s="0" t="n">
        <v>24.2</v>
      </c>
      <c r="G2409" s="0" t="n">
        <v>7.986</v>
      </c>
      <c r="H2409" s="0" t="n">
        <v>0</v>
      </c>
      <c r="I2409" s="7" t="n">
        <f aca="false">YEAR(B2409)</f>
        <v>2017</v>
      </c>
      <c r="J2409" s="0" t="str">
        <f aca="false">I2409&amp;"-Q"&amp;ROUNDUP(MONTH(B2409)/3,0)</f>
        <v>2017-Q1</v>
      </c>
    </row>
    <row r="2410" customFormat="false" ht="15" hidden="false" customHeight="false" outlineLevel="0" collapsed="false">
      <c r="A2410" s="0" t="s">
        <v>1260</v>
      </c>
      <c r="B2410" s="6" t="n">
        <v>42755</v>
      </c>
      <c r="C2410" s="7" t="s">
        <v>33</v>
      </c>
      <c r="D2410" s="7" t="s">
        <v>34</v>
      </c>
      <c r="E2410" s="7" t="s">
        <v>39</v>
      </c>
      <c r="F2410" s="0" t="n">
        <v>359.976</v>
      </c>
      <c r="G2410" s="0" t="n">
        <v>130.4913</v>
      </c>
      <c r="H2410" s="0" t="n">
        <v>0.2</v>
      </c>
      <c r="I2410" s="7" t="n">
        <f aca="false">YEAR(B2410)</f>
        <v>2017</v>
      </c>
      <c r="J2410" s="0" t="str">
        <f aca="false">I2410&amp;"-Q"&amp;ROUNDUP(MONTH(B2410)/3,0)</f>
        <v>2017-Q1</v>
      </c>
    </row>
    <row r="2411" customFormat="false" ht="15" hidden="false" customHeight="false" outlineLevel="0" collapsed="false">
      <c r="A2411" s="0" t="s">
        <v>1261</v>
      </c>
      <c r="B2411" s="6" t="n">
        <v>42817</v>
      </c>
      <c r="C2411" s="7" t="s">
        <v>33</v>
      </c>
      <c r="D2411" s="7" t="s">
        <v>34</v>
      </c>
      <c r="E2411" s="7" t="s">
        <v>31</v>
      </c>
      <c r="F2411" s="0" t="n">
        <v>211.84</v>
      </c>
      <c r="G2411" s="0" t="n">
        <v>76.2624</v>
      </c>
      <c r="H2411" s="0" t="n">
        <v>0</v>
      </c>
      <c r="I2411" s="7" t="n">
        <f aca="false">YEAR(B2411)</f>
        <v>2017</v>
      </c>
      <c r="J2411" s="0" t="str">
        <f aca="false">I2411&amp;"-Q"&amp;ROUNDUP(MONTH(B2411)/3,0)</f>
        <v>2017-Q1</v>
      </c>
    </row>
    <row r="2412" customFormat="false" ht="15" hidden="false" customHeight="false" outlineLevel="0" collapsed="false">
      <c r="A2412" s="0" t="s">
        <v>1262</v>
      </c>
      <c r="B2412" s="6" t="n">
        <v>41852</v>
      </c>
      <c r="C2412" s="7" t="s">
        <v>55</v>
      </c>
      <c r="D2412" s="7" t="s">
        <v>56</v>
      </c>
      <c r="E2412" s="7" t="s">
        <v>35</v>
      </c>
      <c r="F2412" s="0" t="n">
        <v>5.68</v>
      </c>
      <c r="G2412" s="0" t="n">
        <v>1.917</v>
      </c>
      <c r="H2412" s="0" t="n">
        <v>0.2</v>
      </c>
      <c r="I2412" s="7" t="n">
        <f aca="false">YEAR(B2412)</f>
        <v>2014</v>
      </c>
      <c r="J2412" s="0" t="str">
        <f aca="false">I2412&amp;"-Q"&amp;ROUNDUP(MONTH(B2412)/3,0)</f>
        <v>2014-Q3</v>
      </c>
    </row>
    <row r="2413" customFormat="false" ht="15" hidden="false" customHeight="false" outlineLevel="0" collapsed="false">
      <c r="A2413" s="0" t="s">
        <v>1263</v>
      </c>
      <c r="B2413" s="6" t="n">
        <v>42162</v>
      </c>
      <c r="C2413" s="7" t="s">
        <v>33</v>
      </c>
      <c r="D2413" s="7" t="s">
        <v>34</v>
      </c>
      <c r="E2413" s="7" t="s">
        <v>35</v>
      </c>
      <c r="F2413" s="0" t="n">
        <v>7.52</v>
      </c>
      <c r="G2413" s="0" t="n">
        <v>2.632</v>
      </c>
      <c r="H2413" s="0" t="n">
        <v>0.2</v>
      </c>
      <c r="I2413" s="7" t="n">
        <f aca="false">YEAR(B2413)</f>
        <v>2015</v>
      </c>
      <c r="J2413" s="0" t="str">
        <f aca="false">I2413&amp;"-Q"&amp;ROUNDUP(MONTH(B2413)/3,0)</f>
        <v>2015-Q2</v>
      </c>
    </row>
    <row r="2414" customFormat="false" ht="15" hidden="false" customHeight="false" outlineLevel="0" collapsed="false">
      <c r="A2414" s="0" t="s">
        <v>1264</v>
      </c>
      <c r="B2414" s="6" t="n">
        <v>41955</v>
      </c>
      <c r="C2414" s="7" t="s">
        <v>33</v>
      </c>
      <c r="D2414" s="7" t="s">
        <v>34</v>
      </c>
      <c r="E2414" s="7" t="s">
        <v>35</v>
      </c>
      <c r="F2414" s="0" t="n">
        <v>11.96</v>
      </c>
      <c r="G2414" s="0" t="n">
        <v>5.8604</v>
      </c>
      <c r="H2414" s="0" t="n">
        <v>0</v>
      </c>
      <c r="I2414" s="7" t="n">
        <f aca="false">YEAR(B2414)</f>
        <v>2014</v>
      </c>
      <c r="J2414" s="0" t="str">
        <f aca="false">I2414&amp;"-Q"&amp;ROUNDUP(MONTH(B2414)/3,0)</f>
        <v>2014-Q4</v>
      </c>
    </row>
    <row r="2415" customFormat="false" ht="15" hidden="false" customHeight="false" outlineLevel="0" collapsed="false">
      <c r="A2415" s="0" t="s">
        <v>1264</v>
      </c>
      <c r="B2415" s="6" t="n">
        <v>41955</v>
      </c>
      <c r="C2415" s="7" t="s">
        <v>33</v>
      </c>
      <c r="D2415" s="7" t="s">
        <v>34</v>
      </c>
      <c r="E2415" s="7" t="s">
        <v>31</v>
      </c>
      <c r="F2415" s="0" t="n">
        <v>629.064</v>
      </c>
      <c r="G2415" s="0" t="n">
        <v>31.4532</v>
      </c>
      <c r="H2415" s="0" t="n">
        <v>0.2</v>
      </c>
      <c r="I2415" s="7" t="n">
        <f aca="false">YEAR(B2415)</f>
        <v>2014</v>
      </c>
      <c r="J2415" s="0" t="str">
        <f aca="false">I2415&amp;"-Q"&amp;ROUNDUP(MONTH(B2415)/3,0)</f>
        <v>2014-Q4</v>
      </c>
    </row>
    <row r="2416" customFormat="false" ht="15" hidden="false" customHeight="false" outlineLevel="0" collapsed="false">
      <c r="A2416" s="0" t="s">
        <v>1265</v>
      </c>
      <c r="B2416" s="6" t="n">
        <v>42733</v>
      </c>
      <c r="C2416" s="7" t="s">
        <v>45</v>
      </c>
      <c r="D2416" s="7" t="s">
        <v>48</v>
      </c>
      <c r="E2416" s="7" t="s">
        <v>31</v>
      </c>
      <c r="F2416" s="0" t="n">
        <v>754.45</v>
      </c>
      <c r="G2416" s="0" t="n">
        <v>60.356</v>
      </c>
      <c r="H2416" s="0" t="n">
        <v>0</v>
      </c>
      <c r="I2416" s="7" t="n">
        <f aca="false">YEAR(B2416)</f>
        <v>2016</v>
      </c>
      <c r="J2416" s="0" t="str">
        <f aca="false">I2416&amp;"-Q"&amp;ROUNDUP(MONTH(B2416)/3,0)</f>
        <v>2016-Q4</v>
      </c>
    </row>
    <row r="2417" customFormat="false" ht="15" hidden="false" customHeight="false" outlineLevel="0" collapsed="false">
      <c r="A2417" s="0" t="s">
        <v>1266</v>
      </c>
      <c r="B2417" s="6" t="n">
        <v>42191</v>
      </c>
      <c r="C2417" s="7" t="s">
        <v>55</v>
      </c>
      <c r="D2417" s="7" t="s">
        <v>225</v>
      </c>
      <c r="E2417" s="7" t="s">
        <v>31</v>
      </c>
      <c r="F2417" s="0" t="n">
        <v>301.96</v>
      </c>
      <c r="G2417" s="0" t="n">
        <v>60.392</v>
      </c>
      <c r="H2417" s="0" t="n">
        <v>0</v>
      </c>
      <c r="I2417" s="7" t="n">
        <f aca="false">YEAR(B2417)</f>
        <v>2015</v>
      </c>
      <c r="J2417" s="0" t="str">
        <f aca="false">I2417&amp;"-Q"&amp;ROUNDUP(MONTH(B2417)/3,0)</f>
        <v>2015-Q3</v>
      </c>
    </row>
    <row r="2418" customFormat="false" ht="15" hidden="false" customHeight="false" outlineLevel="0" collapsed="false">
      <c r="A2418" s="0" t="s">
        <v>1267</v>
      </c>
      <c r="B2418" s="6" t="n">
        <v>43020</v>
      </c>
      <c r="C2418" s="7" t="s">
        <v>33</v>
      </c>
      <c r="D2418" s="7" t="s">
        <v>142</v>
      </c>
      <c r="E2418" s="7" t="s">
        <v>39</v>
      </c>
      <c r="F2418" s="0" t="n">
        <v>595</v>
      </c>
      <c r="G2418" s="0" t="n">
        <v>95.2</v>
      </c>
      <c r="H2418" s="0" t="n">
        <v>0</v>
      </c>
      <c r="I2418" s="7" t="n">
        <f aca="false">YEAR(B2418)</f>
        <v>2017</v>
      </c>
      <c r="J2418" s="0" t="str">
        <f aca="false">I2418&amp;"-Q"&amp;ROUNDUP(MONTH(B2418)/3,0)</f>
        <v>2017-Q4</v>
      </c>
    </row>
    <row r="2419" customFormat="false" ht="15" hidden="false" customHeight="false" outlineLevel="0" collapsed="false">
      <c r="A2419" s="0" t="s">
        <v>1267</v>
      </c>
      <c r="B2419" s="6" t="n">
        <v>43020</v>
      </c>
      <c r="C2419" s="7" t="s">
        <v>33</v>
      </c>
      <c r="D2419" s="7" t="s">
        <v>142</v>
      </c>
      <c r="E2419" s="7" t="s">
        <v>35</v>
      </c>
      <c r="F2419" s="0" t="n">
        <v>79.872</v>
      </c>
      <c r="G2419" s="0" t="n">
        <v>29.952</v>
      </c>
      <c r="H2419" s="0" t="n">
        <v>0.2</v>
      </c>
      <c r="I2419" s="7" t="n">
        <f aca="false">YEAR(B2419)</f>
        <v>2017</v>
      </c>
      <c r="J2419" s="0" t="str">
        <f aca="false">I2419&amp;"-Q"&amp;ROUNDUP(MONTH(B2419)/3,0)</f>
        <v>2017-Q4</v>
      </c>
    </row>
    <row r="2420" customFormat="false" ht="15" hidden="false" customHeight="false" outlineLevel="0" collapsed="false">
      <c r="A2420" s="0" t="s">
        <v>1268</v>
      </c>
      <c r="B2420" s="6" t="n">
        <v>42511</v>
      </c>
      <c r="C2420" s="7" t="s">
        <v>33</v>
      </c>
      <c r="D2420" s="7" t="s">
        <v>248</v>
      </c>
      <c r="E2420" s="7" t="s">
        <v>39</v>
      </c>
      <c r="F2420" s="0" t="n">
        <v>2396.4</v>
      </c>
      <c r="G2420" s="0" t="n">
        <v>179.73</v>
      </c>
      <c r="H2420" s="0" t="n">
        <v>0.2</v>
      </c>
      <c r="I2420" s="7" t="n">
        <f aca="false">YEAR(B2420)</f>
        <v>2016</v>
      </c>
      <c r="J2420" s="0" t="str">
        <f aca="false">I2420&amp;"-Q"&amp;ROUNDUP(MONTH(B2420)/3,0)</f>
        <v>2016-Q2</v>
      </c>
    </row>
    <row r="2421" customFormat="false" ht="15" hidden="false" customHeight="false" outlineLevel="0" collapsed="false">
      <c r="A2421" s="0" t="s">
        <v>1269</v>
      </c>
      <c r="B2421" s="6" t="n">
        <v>43048</v>
      </c>
      <c r="C2421" s="7" t="s">
        <v>33</v>
      </c>
      <c r="D2421" s="7" t="s">
        <v>34</v>
      </c>
      <c r="E2421" s="7" t="s">
        <v>35</v>
      </c>
      <c r="F2421" s="0" t="n">
        <v>63.56</v>
      </c>
      <c r="G2421" s="0" t="n">
        <v>3.178</v>
      </c>
      <c r="H2421" s="0" t="n">
        <v>0</v>
      </c>
      <c r="I2421" s="7" t="n">
        <f aca="false">YEAR(B2421)</f>
        <v>2017</v>
      </c>
      <c r="J2421" s="0" t="str">
        <f aca="false">I2421&amp;"-Q"&amp;ROUNDUP(MONTH(B2421)/3,0)</f>
        <v>2017-Q4</v>
      </c>
    </row>
    <row r="2422" customFormat="false" ht="15" hidden="false" customHeight="false" outlineLevel="0" collapsed="false">
      <c r="A2422" s="0" t="s">
        <v>1269</v>
      </c>
      <c r="B2422" s="6" t="n">
        <v>43048</v>
      </c>
      <c r="C2422" s="7" t="s">
        <v>33</v>
      </c>
      <c r="D2422" s="7" t="s">
        <v>34</v>
      </c>
      <c r="E2422" s="7" t="s">
        <v>39</v>
      </c>
      <c r="F2422" s="0" t="n">
        <v>99.99</v>
      </c>
      <c r="G2422" s="0" t="n">
        <v>43.9956</v>
      </c>
      <c r="H2422" s="0" t="n">
        <v>0</v>
      </c>
      <c r="I2422" s="7" t="n">
        <f aca="false">YEAR(B2422)</f>
        <v>2017</v>
      </c>
      <c r="J2422" s="0" t="str">
        <f aca="false">I2422&amp;"-Q"&amp;ROUNDUP(MONTH(B2422)/3,0)</f>
        <v>2017-Q4</v>
      </c>
    </row>
    <row r="2423" customFormat="false" ht="15" hidden="false" customHeight="false" outlineLevel="0" collapsed="false">
      <c r="A2423" s="0" t="s">
        <v>1270</v>
      </c>
      <c r="B2423" s="6" t="n">
        <v>42478</v>
      </c>
      <c r="C2423" s="7" t="s">
        <v>45</v>
      </c>
      <c r="D2423" s="7" t="s">
        <v>64</v>
      </c>
      <c r="E2423" s="7" t="s">
        <v>35</v>
      </c>
      <c r="F2423" s="0" t="n">
        <v>230.376</v>
      </c>
      <c r="G2423" s="0" t="n">
        <v>-48.9549</v>
      </c>
      <c r="H2423" s="0" t="n">
        <v>0.2</v>
      </c>
      <c r="I2423" s="7" t="n">
        <f aca="false">YEAR(B2423)</f>
        <v>2016</v>
      </c>
      <c r="J2423" s="0" t="str">
        <f aca="false">I2423&amp;"-Q"&amp;ROUNDUP(MONTH(B2423)/3,0)</f>
        <v>2016-Q2</v>
      </c>
    </row>
    <row r="2424" customFormat="false" ht="15" hidden="false" customHeight="false" outlineLevel="0" collapsed="false">
      <c r="A2424" s="0" t="s">
        <v>1270</v>
      </c>
      <c r="B2424" s="6" t="n">
        <v>42478</v>
      </c>
      <c r="C2424" s="7" t="s">
        <v>45</v>
      </c>
      <c r="D2424" s="7" t="s">
        <v>64</v>
      </c>
      <c r="E2424" s="7" t="s">
        <v>35</v>
      </c>
      <c r="F2424" s="0" t="n">
        <v>9.664</v>
      </c>
      <c r="G2424" s="0" t="n">
        <v>3.2616</v>
      </c>
      <c r="H2424" s="0" t="n">
        <v>0.2</v>
      </c>
      <c r="I2424" s="7" t="n">
        <f aca="false">YEAR(B2424)</f>
        <v>2016</v>
      </c>
      <c r="J2424" s="0" t="str">
        <f aca="false">I2424&amp;"-Q"&amp;ROUNDUP(MONTH(B2424)/3,0)</f>
        <v>2016-Q2</v>
      </c>
    </row>
    <row r="2425" customFormat="false" ht="15" hidden="false" customHeight="false" outlineLevel="0" collapsed="false">
      <c r="A2425" s="0" t="s">
        <v>1271</v>
      </c>
      <c r="B2425" s="6" t="n">
        <v>43094</v>
      </c>
      <c r="C2425" s="7" t="s">
        <v>55</v>
      </c>
      <c r="D2425" s="7" t="s">
        <v>116</v>
      </c>
      <c r="E2425" s="7" t="s">
        <v>39</v>
      </c>
      <c r="F2425" s="0" t="n">
        <v>158.928</v>
      </c>
      <c r="G2425" s="0" t="n">
        <v>41.7186</v>
      </c>
      <c r="H2425" s="0" t="n">
        <v>0.2</v>
      </c>
      <c r="I2425" s="7" t="n">
        <f aca="false">YEAR(B2425)</f>
        <v>2017</v>
      </c>
      <c r="J2425" s="0" t="str">
        <f aca="false">I2425&amp;"-Q"&amp;ROUNDUP(MONTH(B2425)/3,0)</f>
        <v>2017-Q4</v>
      </c>
    </row>
    <row r="2426" customFormat="false" ht="15" hidden="false" customHeight="false" outlineLevel="0" collapsed="false">
      <c r="A2426" s="0" t="s">
        <v>1271</v>
      </c>
      <c r="B2426" s="6" t="n">
        <v>43094</v>
      </c>
      <c r="C2426" s="7" t="s">
        <v>55</v>
      </c>
      <c r="D2426" s="7" t="s">
        <v>116</v>
      </c>
      <c r="E2426" s="7" t="s">
        <v>35</v>
      </c>
      <c r="F2426" s="0" t="n">
        <v>13.023</v>
      </c>
      <c r="G2426" s="0" t="n">
        <v>-10.4184</v>
      </c>
      <c r="H2426" s="0" t="n">
        <v>0.7</v>
      </c>
      <c r="I2426" s="7" t="n">
        <f aca="false">YEAR(B2426)</f>
        <v>2017</v>
      </c>
      <c r="J2426" s="0" t="str">
        <f aca="false">I2426&amp;"-Q"&amp;ROUNDUP(MONTH(B2426)/3,0)</f>
        <v>2017-Q4</v>
      </c>
    </row>
    <row r="2427" customFormat="false" ht="15" hidden="false" customHeight="false" outlineLevel="0" collapsed="false">
      <c r="A2427" s="0" t="s">
        <v>1271</v>
      </c>
      <c r="B2427" s="6" t="n">
        <v>43094</v>
      </c>
      <c r="C2427" s="7" t="s">
        <v>55</v>
      </c>
      <c r="D2427" s="7" t="s">
        <v>116</v>
      </c>
      <c r="E2427" s="7" t="s">
        <v>31</v>
      </c>
      <c r="F2427" s="0" t="n">
        <v>273.06</v>
      </c>
      <c r="G2427" s="0" t="n">
        <v>-104.673</v>
      </c>
      <c r="H2427" s="0" t="n">
        <v>0.4</v>
      </c>
      <c r="I2427" s="7" t="n">
        <f aca="false">YEAR(B2427)</f>
        <v>2017</v>
      </c>
      <c r="J2427" s="0" t="str">
        <f aca="false">I2427&amp;"-Q"&amp;ROUNDUP(MONTH(B2427)/3,0)</f>
        <v>2017-Q4</v>
      </c>
    </row>
    <row r="2428" customFormat="false" ht="15" hidden="false" customHeight="false" outlineLevel="0" collapsed="false">
      <c r="A2428" s="0" t="s">
        <v>1271</v>
      </c>
      <c r="B2428" s="6" t="n">
        <v>43094</v>
      </c>
      <c r="C2428" s="7" t="s">
        <v>55</v>
      </c>
      <c r="D2428" s="7" t="s">
        <v>116</v>
      </c>
      <c r="E2428" s="7" t="s">
        <v>35</v>
      </c>
      <c r="F2428" s="0" t="n">
        <v>39.312</v>
      </c>
      <c r="G2428" s="0" t="n">
        <v>12.7764</v>
      </c>
      <c r="H2428" s="0" t="n">
        <v>0.2</v>
      </c>
      <c r="I2428" s="7" t="n">
        <f aca="false">YEAR(B2428)</f>
        <v>2017</v>
      </c>
      <c r="J2428" s="0" t="str">
        <f aca="false">I2428&amp;"-Q"&amp;ROUNDUP(MONTH(B2428)/3,0)</f>
        <v>2017-Q4</v>
      </c>
    </row>
    <row r="2429" customFormat="false" ht="15" hidden="false" customHeight="false" outlineLevel="0" collapsed="false">
      <c r="A2429" s="0" t="s">
        <v>1272</v>
      </c>
      <c r="B2429" s="6" t="n">
        <v>42532</v>
      </c>
      <c r="C2429" s="7" t="s">
        <v>45</v>
      </c>
      <c r="D2429" s="7" t="s">
        <v>46</v>
      </c>
      <c r="E2429" s="7" t="s">
        <v>35</v>
      </c>
      <c r="F2429" s="0" t="n">
        <v>1.344</v>
      </c>
      <c r="G2429" s="0" t="n">
        <v>-2.1504</v>
      </c>
      <c r="H2429" s="0" t="n">
        <v>0.8</v>
      </c>
      <c r="I2429" s="7" t="n">
        <f aca="false">YEAR(B2429)</f>
        <v>2016</v>
      </c>
      <c r="J2429" s="0" t="str">
        <f aca="false">I2429&amp;"-Q"&amp;ROUNDUP(MONTH(B2429)/3,0)</f>
        <v>2016-Q2</v>
      </c>
    </row>
    <row r="2430" customFormat="false" ht="15" hidden="false" customHeight="false" outlineLevel="0" collapsed="false">
      <c r="A2430" s="0" t="s">
        <v>1272</v>
      </c>
      <c r="B2430" s="6" t="n">
        <v>42532</v>
      </c>
      <c r="C2430" s="7" t="s">
        <v>45</v>
      </c>
      <c r="D2430" s="7" t="s">
        <v>46</v>
      </c>
      <c r="E2430" s="7" t="s">
        <v>35</v>
      </c>
      <c r="F2430" s="0" t="n">
        <v>8.272</v>
      </c>
      <c r="G2430" s="0" t="n">
        <v>-13.6488</v>
      </c>
      <c r="H2430" s="0" t="n">
        <v>0.8</v>
      </c>
      <c r="I2430" s="7" t="n">
        <f aca="false">YEAR(B2430)</f>
        <v>2016</v>
      </c>
      <c r="J2430" s="0" t="str">
        <f aca="false">I2430&amp;"-Q"&amp;ROUNDUP(MONTH(B2430)/3,0)</f>
        <v>2016-Q2</v>
      </c>
    </row>
    <row r="2431" customFormat="false" ht="15" hidden="false" customHeight="false" outlineLevel="0" collapsed="false">
      <c r="A2431" s="0" t="s">
        <v>1272</v>
      </c>
      <c r="B2431" s="6" t="n">
        <v>42532</v>
      </c>
      <c r="C2431" s="7" t="s">
        <v>45</v>
      </c>
      <c r="D2431" s="7" t="s">
        <v>46</v>
      </c>
      <c r="E2431" s="7" t="s">
        <v>31</v>
      </c>
      <c r="F2431" s="0" t="n">
        <v>12.544</v>
      </c>
      <c r="G2431" s="0" t="n">
        <v>-9.0944</v>
      </c>
      <c r="H2431" s="0" t="n">
        <v>0.6</v>
      </c>
      <c r="I2431" s="7" t="n">
        <f aca="false">YEAR(B2431)</f>
        <v>2016</v>
      </c>
      <c r="J2431" s="0" t="str">
        <f aca="false">I2431&amp;"-Q"&amp;ROUNDUP(MONTH(B2431)/3,0)</f>
        <v>2016-Q2</v>
      </c>
    </row>
    <row r="2432" customFormat="false" ht="15" hidden="false" customHeight="false" outlineLevel="0" collapsed="false">
      <c r="A2432" s="0" t="s">
        <v>1273</v>
      </c>
      <c r="B2432" s="6" t="n">
        <v>42868</v>
      </c>
      <c r="C2432" s="7" t="s">
        <v>33</v>
      </c>
      <c r="D2432" s="7" t="s">
        <v>34</v>
      </c>
      <c r="E2432" s="7" t="s">
        <v>35</v>
      </c>
      <c r="F2432" s="0" t="n">
        <v>58.48</v>
      </c>
      <c r="G2432" s="0" t="n">
        <v>27.4856</v>
      </c>
      <c r="H2432" s="0" t="n">
        <v>0</v>
      </c>
      <c r="I2432" s="7" t="n">
        <f aca="false">YEAR(B2432)</f>
        <v>2017</v>
      </c>
      <c r="J2432" s="0" t="str">
        <f aca="false">I2432&amp;"-Q"&amp;ROUNDUP(MONTH(B2432)/3,0)</f>
        <v>2017-Q2</v>
      </c>
    </row>
    <row r="2433" customFormat="false" ht="15" hidden="false" customHeight="false" outlineLevel="0" collapsed="false">
      <c r="A2433" s="0" t="s">
        <v>1274</v>
      </c>
      <c r="B2433" s="6" t="n">
        <v>43097</v>
      </c>
      <c r="C2433" s="7" t="s">
        <v>33</v>
      </c>
      <c r="D2433" s="7" t="s">
        <v>43</v>
      </c>
      <c r="E2433" s="7" t="s">
        <v>31</v>
      </c>
      <c r="F2433" s="0" t="n">
        <v>7.4</v>
      </c>
      <c r="G2433" s="0" t="n">
        <v>3.034</v>
      </c>
      <c r="H2433" s="0" t="n">
        <v>0</v>
      </c>
      <c r="I2433" s="7" t="n">
        <f aca="false">YEAR(B2433)</f>
        <v>2017</v>
      </c>
      <c r="J2433" s="0" t="str">
        <f aca="false">I2433&amp;"-Q"&amp;ROUNDUP(MONTH(B2433)/3,0)</f>
        <v>2017-Q4</v>
      </c>
    </row>
    <row r="2434" customFormat="false" ht="15" hidden="false" customHeight="false" outlineLevel="0" collapsed="false">
      <c r="A2434" s="0" t="s">
        <v>1275</v>
      </c>
      <c r="B2434" s="6" t="n">
        <v>41723</v>
      </c>
      <c r="C2434" s="7" t="s">
        <v>55</v>
      </c>
      <c r="D2434" s="7" t="s">
        <v>76</v>
      </c>
      <c r="E2434" s="7" t="s">
        <v>31</v>
      </c>
      <c r="F2434" s="0" t="n">
        <v>366.786</v>
      </c>
      <c r="G2434" s="0" t="n">
        <v>65.2064</v>
      </c>
      <c r="H2434" s="0" t="n">
        <v>0.1</v>
      </c>
      <c r="I2434" s="7" t="n">
        <f aca="false">YEAR(B2434)</f>
        <v>2014</v>
      </c>
      <c r="J2434" s="0" t="str">
        <f aca="false">I2434&amp;"-Q"&amp;ROUNDUP(MONTH(B2434)/3,0)</f>
        <v>2014-Q1</v>
      </c>
    </row>
    <row r="2435" customFormat="false" ht="15" hidden="false" customHeight="false" outlineLevel="0" collapsed="false">
      <c r="A2435" s="0" t="s">
        <v>1276</v>
      </c>
      <c r="B2435" s="6" t="n">
        <v>42883</v>
      </c>
      <c r="C2435" s="7" t="s">
        <v>45</v>
      </c>
      <c r="D2435" s="7" t="s">
        <v>46</v>
      </c>
      <c r="E2435" s="7" t="s">
        <v>39</v>
      </c>
      <c r="F2435" s="0" t="n">
        <v>54.368</v>
      </c>
      <c r="G2435" s="0" t="n">
        <v>4.0776</v>
      </c>
      <c r="H2435" s="0" t="n">
        <v>0.2</v>
      </c>
      <c r="I2435" s="7" t="n">
        <f aca="false">YEAR(B2435)</f>
        <v>2017</v>
      </c>
      <c r="J2435" s="0" t="str">
        <f aca="false">I2435&amp;"-Q"&amp;ROUNDUP(MONTH(B2435)/3,0)</f>
        <v>2017-Q2</v>
      </c>
    </row>
    <row r="2436" customFormat="false" ht="15" hidden="false" customHeight="false" outlineLevel="0" collapsed="false">
      <c r="A2436" s="0" t="s">
        <v>1277</v>
      </c>
      <c r="B2436" s="6" t="n">
        <v>42322</v>
      </c>
      <c r="C2436" s="7" t="s">
        <v>29</v>
      </c>
      <c r="D2436" s="7" t="s">
        <v>83</v>
      </c>
      <c r="E2436" s="7" t="s">
        <v>35</v>
      </c>
      <c r="F2436" s="0" t="n">
        <v>33.96</v>
      </c>
      <c r="G2436" s="0" t="n">
        <v>16.98</v>
      </c>
      <c r="H2436" s="0" t="n">
        <v>0</v>
      </c>
      <c r="I2436" s="7" t="n">
        <f aca="false">YEAR(B2436)</f>
        <v>2015</v>
      </c>
      <c r="J2436" s="0" t="str">
        <f aca="false">I2436&amp;"-Q"&amp;ROUNDUP(MONTH(B2436)/3,0)</f>
        <v>2015-Q4</v>
      </c>
    </row>
    <row r="2437" customFormat="false" ht="15" hidden="false" customHeight="false" outlineLevel="0" collapsed="false">
      <c r="A2437" s="0" t="s">
        <v>1277</v>
      </c>
      <c r="B2437" s="6" t="n">
        <v>42322</v>
      </c>
      <c r="C2437" s="7" t="s">
        <v>29</v>
      </c>
      <c r="D2437" s="7" t="s">
        <v>83</v>
      </c>
      <c r="E2437" s="7" t="s">
        <v>35</v>
      </c>
      <c r="F2437" s="0" t="n">
        <v>826.11</v>
      </c>
      <c r="G2437" s="0" t="n">
        <v>322.1829</v>
      </c>
      <c r="H2437" s="0" t="n">
        <v>0</v>
      </c>
      <c r="I2437" s="7" t="n">
        <f aca="false">YEAR(B2437)</f>
        <v>2015</v>
      </c>
      <c r="J2437" s="0" t="str">
        <f aca="false">I2437&amp;"-Q"&amp;ROUNDUP(MONTH(B2437)/3,0)</f>
        <v>2015-Q4</v>
      </c>
    </row>
    <row r="2438" customFormat="false" ht="15" hidden="false" customHeight="false" outlineLevel="0" collapsed="false">
      <c r="A2438" s="0" t="s">
        <v>1278</v>
      </c>
      <c r="B2438" s="6" t="n">
        <v>42919</v>
      </c>
      <c r="C2438" s="7" t="s">
        <v>33</v>
      </c>
      <c r="D2438" s="7" t="s">
        <v>142</v>
      </c>
      <c r="E2438" s="7" t="s">
        <v>31</v>
      </c>
      <c r="F2438" s="0" t="n">
        <v>545.85</v>
      </c>
      <c r="G2438" s="0" t="n">
        <v>114.6285</v>
      </c>
      <c r="H2438" s="0" t="n">
        <v>0</v>
      </c>
      <c r="I2438" s="7" t="n">
        <f aca="false">YEAR(B2438)</f>
        <v>2017</v>
      </c>
      <c r="J2438" s="0" t="str">
        <f aca="false">I2438&amp;"-Q"&amp;ROUNDUP(MONTH(B2438)/3,0)</f>
        <v>2017-Q3</v>
      </c>
    </row>
    <row r="2439" customFormat="false" ht="15" hidden="false" customHeight="false" outlineLevel="0" collapsed="false">
      <c r="A2439" s="0" t="s">
        <v>1279</v>
      </c>
      <c r="B2439" s="6" t="n">
        <v>41961</v>
      </c>
      <c r="C2439" s="7" t="s">
        <v>33</v>
      </c>
      <c r="D2439" s="7" t="s">
        <v>109</v>
      </c>
      <c r="E2439" s="7" t="s">
        <v>31</v>
      </c>
      <c r="F2439" s="0" t="n">
        <v>145.98</v>
      </c>
      <c r="G2439" s="0" t="n">
        <v>-99.2664</v>
      </c>
      <c r="H2439" s="0" t="n">
        <v>0.5</v>
      </c>
      <c r="I2439" s="7" t="n">
        <f aca="false">YEAR(B2439)</f>
        <v>2014</v>
      </c>
      <c r="J2439" s="0" t="str">
        <f aca="false">I2439&amp;"-Q"&amp;ROUNDUP(MONTH(B2439)/3,0)</f>
        <v>2014-Q4</v>
      </c>
    </row>
    <row r="2440" customFormat="false" ht="15" hidden="false" customHeight="false" outlineLevel="0" collapsed="false">
      <c r="A2440" s="0" t="s">
        <v>1279</v>
      </c>
      <c r="B2440" s="6" t="n">
        <v>41961</v>
      </c>
      <c r="C2440" s="7" t="s">
        <v>33</v>
      </c>
      <c r="D2440" s="7" t="s">
        <v>109</v>
      </c>
      <c r="E2440" s="7" t="s">
        <v>35</v>
      </c>
      <c r="F2440" s="0" t="n">
        <v>35.808</v>
      </c>
      <c r="G2440" s="0" t="n">
        <v>12.5328</v>
      </c>
      <c r="H2440" s="0" t="n">
        <v>0.2</v>
      </c>
      <c r="I2440" s="7" t="n">
        <f aca="false">YEAR(B2440)</f>
        <v>2014</v>
      </c>
      <c r="J2440" s="0" t="str">
        <f aca="false">I2440&amp;"-Q"&amp;ROUNDUP(MONTH(B2440)/3,0)</f>
        <v>2014-Q4</v>
      </c>
    </row>
    <row r="2441" customFormat="false" ht="15" hidden="false" customHeight="false" outlineLevel="0" collapsed="false">
      <c r="A2441" s="0" t="s">
        <v>1280</v>
      </c>
      <c r="B2441" s="6" t="n">
        <v>42933</v>
      </c>
      <c r="C2441" s="7" t="s">
        <v>29</v>
      </c>
      <c r="D2441" s="7" t="s">
        <v>37</v>
      </c>
      <c r="E2441" s="7" t="s">
        <v>31</v>
      </c>
      <c r="F2441" s="0" t="n">
        <v>7.904</v>
      </c>
      <c r="G2441" s="0" t="n">
        <v>2.1736</v>
      </c>
      <c r="H2441" s="0" t="n">
        <v>0.2</v>
      </c>
      <c r="I2441" s="7" t="n">
        <f aca="false">YEAR(B2441)</f>
        <v>2017</v>
      </c>
      <c r="J2441" s="0" t="str">
        <f aca="false">I2441&amp;"-Q"&amp;ROUNDUP(MONTH(B2441)/3,0)</f>
        <v>2017-Q3</v>
      </c>
    </row>
    <row r="2442" customFormat="false" ht="15" hidden="false" customHeight="false" outlineLevel="0" collapsed="false">
      <c r="A2442" s="0" t="s">
        <v>1281</v>
      </c>
      <c r="B2442" s="6" t="n">
        <v>42512</v>
      </c>
      <c r="C2442" s="7" t="s">
        <v>55</v>
      </c>
      <c r="D2442" s="7" t="s">
        <v>161</v>
      </c>
      <c r="E2442" s="7" t="s">
        <v>39</v>
      </c>
      <c r="F2442" s="0" t="n">
        <v>345</v>
      </c>
      <c r="G2442" s="0" t="n">
        <v>86.25</v>
      </c>
      <c r="H2442" s="0" t="n">
        <v>0</v>
      </c>
      <c r="I2442" s="7" t="n">
        <f aca="false">YEAR(B2442)</f>
        <v>2016</v>
      </c>
      <c r="J2442" s="0" t="str">
        <f aca="false">I2442&amp;"-Q"&amp;ROUNDUP(MONTH(B2442)/3,0)</f>
        <v>2016-Q2</v>
      </c>
    </row>
    <row r="2443" customFormat="false" ht="15" hidden="false" customHeight="false" outlineLevel="0" collapsed="false">
      <c r="A2443" s="0" t="s">
        <v>1281</v>
      </c>
      <c r="B2443" s="6" t="n">
        <v>42512</v>
      </c>
      <c r="C2443" s="7" t="s">
        <v>55</v>
      </c>
      <c r="D2443" s="7" t="s">
        <v>161</v>
      </c>
      <c r="E2443" s="7" t="s">
        <v>31</v>
      </c>
      <c r="F2443" s="0" t="n">
        <v>174.286</v>
      </c>
      <c r="G2443" s="0" t="n">
        <v>-19.9184</v>
      </c>
      <c r="H2443" s="0" t="n">
        <v>0.3</v>
      </c>
      <c r="I2443" s="7" t="n">
        <f aca="false">YEAR(B2443)</f>
        <v>2016</v>
      </c>
      <c r="J2443" s="0" t="str">
        <f aca="false">I2443&amp;"-Q"&amp;ROUNDUP(MONTH(B2443)/3,0)</f>
        <v>2016-Q2</v>
      </c>
    </row>
    <row r="2444" customFormat="false" ht="15" hidden="false" customHeight="false" outlineLevel="0" collapsed="false">
      <c r="A2444" s="0" t="s">
        <v>1281</v>
      </c>
      <c r="B2444" s="6" t="n">
        <v>42512</v>
      </c>
      <c r="C2444" s="7" t="s">
        <v>55</v>
      </c>
      <c r="D2444" s="7" t="s">
        <v>161</v>
      </c>
      <c r="E2444" s="7" t="s">
        <v>35</v>
      </c>
      <c r="F2444" s="0" t="n">
        <v>662.84</v>
      </c>
      <c r="G2444" s="0" t="n">
        <v>172.3384</v>
      </c>
      <c r="H2444" s="0" t="n">
        <v>0</v>
      </c>
      <c r="I2444" s="7" t="n">
        <f aca="false">YEAR(B2444)</f>
        <v>2016</v>
      </c>
      <c r="J2444" s="0" t="str">
        <f aca="false">I2444&amp;"-Q"&amp;ROUNDUP(MONTH(B2444)/3,0)</f>
        <v>2016-Q2</v>
      </c>
    </row>
    <row r="2445" customFormat="false" ht="15" hidden="false" customHeight="false" outlineLevel="0" collapsed="false">
      <c r="A2445" s="0" t="s">
        <v>1281</v>
      </c>
      <c r="B2445" s="6" t="n">
        <v>42512</v>
      </c>
      <c r="C2445" s="7" t="s">
        <v>55</v>
      </c>
      <c r="D2445" s="7" t="s">
        <v>161</v>
      </c>
      <c r="E2445" s="7" t="s">
        <v>39</v>
      </c>
      <c r="F2445" s="0" t="n">
        <v>95.1</v>
      </c>
      <c r="G2445" s="0" t="n">
        <v>30.432</v>
      </c>
      <c r="H2445" s="0" t="n">
        <v>0</v>
      </c>
      <c r="I2445" s="7" t="n">
        <f aca="false">YEAR(B2445)</f>
        <v>2016</v>
      </c>
      <c r="J2445" s="0" t="str">
        <f aca="false">I2445&amp;"-Q"&amp;ROUNDUP(MONTH(B2445)/3,0)</f>
        <v>2016-Q2</v>
      </c>
    </row>
    <row r="2446" customFormat="false" ht="15" hidden="false" customHeight="false" outlineLevel="0" collapsed="false">
      <c r="A2446" s="0" t="s">
        <v>1281</v>
      </c>
      <c r="B2446" s="6" t="n">
        <v>42512</v>
      </c>
      <c r="C2446" s="7" t="s">
        <v>55</v>
      </c>
      <c r="D2446" s="7" t="s">
        <v>161</v>
      </c>
      <c r="E2446" s="7" t="s">
        <v>35</v>
      </c>
      <c r="F2446" s="0" t="n">
        <v>26.88</v>
      </c>
      <c r="G2446" s="0" t="n">
        <v>12.9024</v>
      </c>
      <c r="H2446" s="0" t="n">
        <v>0</v>
      </c>
      <c r="I2446" s="7" t="n">
        <f aca="false">YEAR(B2446)</f>
        <v>2016</v>
      </c>
      <c r="J2446" s="0" t="str">
        <f aca="false">I2446&amp;"-Q"&amp;ROUNDUP(MONTH(B2446)/3,0)</f>
        <v>2016-Q2</v>
      </c>
    </row>
    <row r="2447" customFormat="false" ht="15" hidden="false" customHeight="false" outlineLevel="0" collapsed="false">
      <c r="A2447" s="0" t="s">
        <v>1281</v>
      </c>
      <c r="B2447" s="6" t="n">
        <v>42512</v>
      </c>
      <c r="C2447" s="7" t="s">
        <v>55</v>
      </c>
      <c r="D2447" s="7" t="s">
        <v>161</v>
      </c>
      <c r="E2447" s="7" t="s">
        <v>39</v>
      </c>
      <c r="F2447" s="0" t="n">
        <v>257.98</v>
      </c>
      <c r="G2447" s="0" t="n">
        <v>74.8142</v>
      </c>
      <c r="H2447" s="0" t="n">
        <v>0</v>
      </c>
      <c r="I2447" s="7" t="n">
        <f aca="false">YEAR(B2447)</f>
        <v>2016</v>
      </c>
      <c r="J2447" s="0" t="str">
        <f aca="false">I2447&amp;"-Q"&amp;ROUNDUP(MONTH(B2447)/3,0)</f>
        <v>2016-Q2</v>
      </c>
    </row>
    <row r="2448" customFormat="false" ht="15" hidden="false" customHeight="false" outlineLevel="0" collapsed="false">
      <c r="A2448" s="0" t="s">
        <v>1282</v>
      </c>
      <c r="B2448" s="6" t="n">
        <v>42272</v>
      </c>
      <c r="C2448" s="7" t="s">
        <v>33</v>
      </c>
      <c r="D2448" s="7" t="s">
        <v>34</v>
      </c>
      <c r="E2448" s="7" t="s">
        <v>35</v>
      </c>
      <c r="F2448" s="0" t="n">
        <v>17.48</v>
      </c>
      <c r="G2448" s="0" t="n">
        <v>8.2156</v>
      </c>
      <c r="H2448" s="0" t="n">
        <v>0</v>
      </c>
      <c r="I2448" s="7" t="n">
        <f aca="false">YEAR(B2448)</f>
        <v>2015</v>
      </c>
      <c r="J2448" s="0" t="str">
        <f aca="false">I2448&amp;"-Q"&amp;ROUNDUP(MONTH(B2448)/3,0)</f>
        <v>2015-Q3</v>
      </c>
    </row>
    <row r="2449" customFormat="false" ht="15" hidden="false" customHeight="false" outlineLevel="0" collapsed="false">
      <c r="A2449" s="0" t="s">
        <v>1283</v>
      </c>
      <c r="B2449" s="6" t="n">
        <v>42674</v>
      </c>
      <c r="C2449" s="7" t="s">
        <v>55</v>
      </c>
      <c r="D2449" s="7" t="s">
        <v>56</v>
      </c>
      <c r="E2449" s="7" t="s">
        <v>31</v>
      </c>
      <c r="F2449" s="0" t="n">
        <v>492.835</v>
      </c>
      <c r="G2449" s="0" t="n">
        <v>-14.081</v>
      </c>
      <c r="H2449" s="0" t="n">
        <v>0.3</v>
      </c>
      <c r="I2449" s="7" t="n">
        <f aca="false">YEAR(B2449)</f>
        <v>2016</v>
      </c>
      <c r="J2449" s="0" t="str">
        <f aca="false">I2449&amp;"-Q"&amp;ROUNDUP(MONTH(B2449)/3,0)</f>
        <v>2016-Q4</v>
      </c>
    </row>
    <row r="2450" customFormat="false" ht="15" hidden="false" customHeight="false" outlineLevel="0" collapsed="false">
      <c r="A2450" s="0" t="s">
        <v>1284</v>
      </c>
      <c r="B2450" s="6" t="n">
        <v>42261</v>
      </c>
      <c r="C2450" s="7" t="s">
        <v>29</v>
      </c>
      <c r="D2450" s="7" t="s">
        <v>96</v>
      </c>
      <c r="E2450" s="7" t="s">
        <v>35</v>
      </c>
      <c r="F2450" s="0" t="n">
        <v>269.49</v>
      </c>
      <c r="G2450" s="0" t="n">
        <v>5.3898</v>
      </c>
      <c r="H2450" s="0" t="n">
        <v>0</v>
      </c>
      <c r="I2450" s="7" t="n">
        <f aca="false">YEAR(B2450)</f>
        <v>2015</v>
      </c>
      <c r="J2450" s="0" t="str">
        <f aca="false">I2450&amp;"-Q"&amp;ROUNDUP(MONTH(B2450)/3,0)</f>
        <v>2015-Q3</v>
      </c>
    </row>
    <row r="2451" customFormat="false" ht="15" hidden="false" customHeight="false" outlineLevel="0" collapsed="false">
      <c r="A2451" s="0" t="s">
        <v>1285</v>
      </c>
      <c r="B2451" s="6" t="n">
        <v>42679</v>
      </c>
      <c r="C2451" s="7" t="s">
        <v>33</v>
      </c>
      <c r="D2451" s="7" t="s">
        <v>34</v>
      </c>
      <c r="E2451" s="7" t="s">
        <v>35</v>
      </c>
      <c r="F2451" s="0" t="n">
        <v>29.12</v>
      </c>
      <c r="G2451" s="0" t="n">
        <v>9.828</v>
      </c>
      <c r="H2451" s="0" t="n">
        <v>0.2</v>
      </c>
      <c r="I2451" s="7" t="n">
        <f aca="false">YEAR(B2451)</f>
        <v>2016</v>
      </c>
      <c r="J2451" s="0" t="str">
        <f aca="false">I2451&amp;"-Q"&amp;ROUNDUP(MONTH(B2451)/3,0)</f>
        <v>2016-Q4</v>
      </c>
    </row>
    <row r="2452" customFormat="false" ht="15" hidden="false" customHeight="false" outlineLevel="0" collapsed="false">
      <c r="A2452" s="0" t="s">
        <v>1286</v>
      </c>
      <c r="B2452" s="6" t="n">
        <v>42811</v>
      </c>
      <c r="C2452" s="7" t="s">
        <v>55</v>
      </c>
      <c r="D2452" s="7" t="s">
        <v>76</v>
      </c>
      <c r="E2452" s="7" t="s">
        <v>35</v>
      </c>
      <c r="F2452" s="0" t="n">
        <v>18.75</v>
      </c>
      <c r="G2452" s="0" t="n">
        <v>9</v>
      </c>
      <c r="H2452" s="0" t="n">
        <v>0</v>
      </c>
      <c r="I2452" s="7" t="n">
        <f aca="false">YEAR(B2452)</f>
        <v>2017</v>
      </c>
      <c r="J2452" s="0" t="str">
        <f aca="false">I2452&amp;"-Q"&amp;ROUNDUP(MONTH(B2452)/3,0)</f>
        <v>2017-Q1</v>
      </c>
    </row>
    <row r="2453" customFormat="false" ht="15" hidden="false" customHeight="false" outlineLevel="0" collapsed="false">
      <c r="A2453" s="0" t="s">
        <v>1286</v>
      </c>
      <c r="B2453" s="6" t="n">
        <v>42811</v>
      </c>
      <c r="C2453" s="7" t="s">
        <v>55</v>
      </c>
      <c r="D2453" s="7" t="s">
        <v>76</v>
      </c>
      <c r="E2453" s="7" t="s">
        <v>39</v>
      </c>
      <c r="F2453" s="0" t="n">
        <v>119.7</v>
      </c>
      <c r="G2453" s="0" t="n">
        <v>31.122</v>
      </c>
      <c r="H2453" s="0" t="n">
        <v>0</v>
      </c>
      <c r="I2453" s="7" t="n">
        <f aca="false">YEAR(B2453)</f>
        <v>2017</v>
      </c>
      <c r="J2453" s="0" t="str">
        <f aca="false">I2453&amp;"-Q"&amp;ROUNDUP(MONTH(B2453)/3,0)</f>
        <v>2017-Q1</v>
      </c>
    </row>
    <row r="2454" customFormat="false" ht="15" hidden="false" customHeight="false" outlineLevel="0" collapsed="false">
      <c r="A2454" s="0" t="s">
        <v>1286</v>
      </c>
      <c r="B2454" s="6" t="n">
        <v>42811</v>
      </c>
      <c r="C2454" s="7" t="s">
        <v>55</v>
      </c>
      <c r="D2454" s="7" t="s">
        <v>76</v>
      </c>
      <c r="E2454" s="7" t="s">
        <v>35</v>
      </c>
      <c r="F2454" s="0" t="n">
        <v>9.144</v>
      </c>
      <c r="G2454" s="0" t="n">
        <v>3.0861</v>
      </c>
      <c r="H2454" s="0" t="n">
        <v>0.2</v>
      </c>
      <c r="I2454" s="7" t="n">
        <f aca="false">YEAR(B2454)</f>
        <v>2017</v>
      </c>
      <c r="J2454" s="0" t="str">
        <f aca="false">I2454&amp;"-Q"&amp;ROUNDUP(MONTH(B2454)/3,0)</f>
        <v>2017-Q1</v>
      </c>
    </row>
    <row r="2455" customFormat="false" ht="15" hidden="false" customHeight="false" outlineLevel="0" collapsed="false">
      <c r="A2455" s="0" t="s">
        <v>1286</v>
      </c>
      <c r="B2455" s="6" t="n">
        <v>42811</v>
      </c>
      <c r="C2455" s="7" t="s">
        <v>55</v>
      </c>
      <c r="D2455" s="7" t="s">
        <v>76</v>
      </c>
      <c r="E2455" s="7" t="s">
        <v>39</v>
      </c>
      <c r="F2455" s="0" t="n">
        <v>57.06</v>
      </c>
      <c r="G2455" s="0" t="n">
        <v>18.2592</v>
      </c>
      <c r="H2455" s="0" t="n">
        <v>0</v>
      </c>
      <c r="I2455" s="7" t="n">
        <f aca="false">YEAR(B2455)</f>
        <v>2017</v>
      </c>
      <c r="J2455" s="0" t="str">
        <f aca="false">I2455&amp;"-Q"&amp;ROUNDUP(MONTH(B2455)/3,0)</f>
        <v>2017-Q1</v>
      </c>
    </row>
    <row r="2456" customFormat="false" ht="15" hidden="false" customHeight="false" outlineLevel="0" collapsed="false">
      <c r="A2456" s="0" t="s">
        <v>1286</v>
      </c>
      <c r="B2456" s="6" t="n">
        <v>42811</v>
      </c>
      <c r="C2456" s="7" t="s">
        <v>55</v>
      </c>
      <c r="D2456" s="7" t="s">
        <v>76</v>
      </c>
      <c r="E2456" s="7" t="s">
        <v>39</v>
      </c>
      <c r="F2456" s="0" t="n">
        <v>71.6</v>
      </c>
      <c r="G2456" s="0" t="n">
        <v>13.604</v>
      </c>
      <c r="H2456" s="0" t="n">
        <v>0</v>
      </c>
      <c r="I2456" s="7" t="n">
        <f aca="false">YEAR(B2456)</f>
        <v>2017</v>
      </c>
      <c r="J2456" s="0" t="str">
        <f aca="false">I2456&amp;"-Q"&amp;ROUNDUP(MONTH(B2456)/3,0)</f>
        <v>2017-Q1</v>
      </c>
    </row>
    <row r="2457" customFormat="false" ht="15" hidden="false" customHeight="false" outlineLevel="0" collapsed="false">
      <c r="A2457" s="0" t="s">
        <v>1286</v>
      </c>
      <c r="B2457" s="6" t="n">
        <v>42811</v>
      </c>
      <c r="C2457" s="7" t="s">
        <v>55</v>
      </c>
      <c r="D2457" s="7" t="s">
        <v>76</v>
      </c>
      <c r="E2457" s="7" t="s">
        <v>35</v>
      </c>
      <c r="F2457" s="0" t="n">
        <v>107.44</v>
      </c>
      <c r="G2457" s="0" t="n">
        <v>27.9344</v>
      </c>
      <c r="H2457" s="0" t="n">
        <v>0</v>
      </c>
      <c r="I2457" s="7" t="n">
        <f aca="false">YEAR(B2457)</f>
        <v>2017</v>
      </c>
      <c r="J2457" s="0" t="str">
        <f aca="false">I2457&amp;"-Q"&amp;ROUNDUP(MONTH(B2457)/3,0)</f>
        <v>2017-Q1</v>
      </c>
    </row>
    <row r="2458" customFormat="false" ht="15" hidden="false" customHeight="false" outlineLevel="0" collapsed="false">
      <c r="A2458" s="0" t="s">
        <v>1286</v>
      </c>
      <c r="B2458" s="6" t="n">
        <v>42811</v>
      </c>
      <c r="C2458" s="7" t="s">
        <v>55</v>
      </c>
      <c r="D2458" s="7" t="s">
        <v>76</v>
      </c>
      <c r="E2458" s="7" t="s">
        <v>35</v>
      </c>
      <c r="F2458" s="0" t="n">
        <v>7.31</v>
      </c>
      <c r="G2458" s="0" t="n">
        <v>3.4357</v>
      </c>
      <c r="H2458" s="0" t="n">
        <v>0</v>
      </c>
      <c r="I2458" s="7" t="n">
        <f aca="false">YEAR(B2458)</f>
        <v>2017</v>
      </c>
      <c r="J2458" s="0" t="str">
        <f aca="false">I2458&amp;"-Q"&amp;ROUNDUP(MONTH(B2458)/3,0)</f>
        <v>2017-Q1</v>
      </c>
    </row>
    <row r="2459" customFormat="false" ht="15" hidden="false" customHeight="false" outlineLevel="0" collapsed="false">
      <c r="A2459" s="0" t="s">
        <v>1286</v>
      </c>
      <c r="B2459" s="6" t="n">
        <v>42811</v>
      </c>
      <c r="C2459" s="7" t="s">
        <v>55</v>
      </c>
      <c r="D2459" s="7" t="s">
        <v>76</v>
      </c>
      <c r="E2459" s="7" t="s">
        <v>35</v>
      </c>
      <c r="F2459" s="0" t="n">
        <v>59.1</v>
      </c>
      <c r="G2459" s="0" t="n">
        <v>22.458</v>
      </c>
      <c r="H2459" s="0" t="n">
        <v>0</v>
      </c>
      <c r="I2459" s="7" t="n">
        <f aca="false">YEAR(B2459)</f>
        <v>2017</v>
      </c>
      <c r="J2459" s="0" t="str">
        <f aca="false">I2459&amp;"-Q"&amp;ROUNDUP(MONTH(B2459)/3,0)</f>
        <v>2017-Q1</v>
      </c>
    </row>
    <row r="2460" customFormat="false" ht="15" hidden="false" customHeight="false" outlineLevel="0" collapsed="false">
      <c r="A2460" s="0" t="s">
        <v>1286</v>
      </c>
      <c r="B2460" s="6" t="n">
        <v>42811</v>
      </c>
      <c r="C2460" s="7" t="s">
        <v>55</v>
      </c>
      <c r="D2460" s="7" t="s">
        <v>76</v>
      </c>
      <c r="E2460" s="7" t="s">
        <v>35</v>
      </c>
      <c r="F2460" s="0" t="n">
        <v>46.53</v>
      </c>
      <c r="G2460" s="0" t="n">
        <v>12.0978</v>
      </c>
      <c r="H2460" s="0" t="n">
        <v>0</v>
      </c>
      <c r="I2460" s="7" t="n">
        <f aca="false">YEAR(B2460)</f>
        <v>2017</v>
      </c>
      <c r="J2460" s="0" t="str">
        <f aca="false">I2460&amp;"-Q"&amp;ROUNDUP(MONTH(B2460)/3,0)</f>
        <v>2017-Q1</v>
      </c>
    </row>
    <row r="2461" customFormat="false" ht="15" hidden="false" customHeight="false" outlineLevel="0" collapsed="false">
      <c r="A2461" s="0" t="s">
        <v>1287</v>
      </c>
      <c r="B2461" s="6" t="n">
        <v>42962</v>
      </c>
      <c r="C2461" s="7" t="s">
        <v>55</v>
      </c>
      <c r="D2461" s="7" t="s">
        <v>161</v>
      </c>
      <c r="E2461" s="7" t="s">
        <v>35</v>
      </c>
      <c r="F2461" s="0" t="n">
        <v>97.84</v>
      </c>
      <c r="G2461" s="0" t="n">
        <v>25.4384</v>
      </c>
      <c r="H2461" s="0" t="n">
        <v>0</v>
      </c>
      <c r="I2461" s="7" t="n">
        <f aca="false">YEAR(B2461)</f>
        <v>2017</v>
      </c>
      <c r="J2461" s="0" t="str">
        <f aca="false">I2461&amp;"-Q"&amp;ROUNDUP(MONTH(B2461)/3,0)</f>
        <v>2017-Q3</v>
      </c>
    </row>
    <row r="2462" customFormat="false" ht="15" hidden="false" customHeight="false" outlineLevel="0" collapsed="false">
      <c r="A2462" s="0" t="s">
        <v>1288</v>
      </c>
      <c r="B2462" s="6" t="n">
        <v>42196</v>
      </c>
      <c r="C2462" s="7" t="s">
        <v>33</v>
      </c>
      <c r="D2462" s="7" t="s">
        <v>43</v>
      </c>
      <c r="E2462" s="7" t="s">
        <v>35</v>
      </c>
      <c r="F2462" s="0" t="n">
        <v>29.97</v>
      </c>
      <c r="G2462" s="0" t="n">
        <v>13.4865</v>
      </c>
      <c r="H2462" s="0" t="n">
        <v>0</v>
      </c>
      <c r="I2462" s="7" t="n">
        <f aca="false">YEAR(B2462)</f>
        <v>2015</v>
      </c>
      <c r="J2462" s="0" t="str">
        <f aca="false">I2462&amp;"-Q"&amp;ROUNDUP(MONTH(B2462)/3,0)</f>
        <v>2015-Q3</v>
      </c>
    </row>
    <row r="2463" customFormat="false" ht="15" hidden="false" customHeight="false" outlineLevel="0" collapsed="false">
      <c r="A2463" s="0" t="s">
        <v>1288</v>
      </c>
      <c r="B2463" s="6" t="n">
        <v>42196</v>
      </c>
      <c r="C2463" s="7" t="s">
        <v>33</v>
      </c>
      <c r="D2463" s="7" t="s">
        <v>43</v>
      </c>
      <c r="E2463" s="7" t="s">
        <v>35</v>
      </c>
      <c r="F2463" s="0" t="n">
        <v>98.352</v>
      </c>
      <c r="G2463" s="0" t="n">
        <v>34.4232</v>
      </c>
      <c r="H2463" s="0" t="n">
        <v>0.2</v>
      </c>
      <c r="I2463" s="7" t="n">
        <f aca="false">YEAR(B2463)</f>
        <v>2015</v>
      </c>
      <c r="J2463" s="0" t="str">
        <f aca="false">I2463&amp;"-Q"&amp;ROUNDUP(MONTH(B2463)/3,0)</f>
        <v>2015-Q3</v>
      </c>
    </row>
    <row r="2464" customFormat="false" ht="15" hidden="false" customHeight="false" outlineLevel="0" collapsed="false">
      <c r="A2464" s="0" t="s">
        <v>1289</v>
      </c>
      <c r="B2464" s="6" t="n">
        <v>43072</v>
      </c>
      <c r="C2464" s="7" t="s">
        <v>55</v>
      </c>
      <c r="D2464" s="7" t="s">
        <v>76</v>
      </c>
      <c r="E2464" s="7" t="s">
        <v>35</v>
      </c>
      <c r="F2464" s="0" t="n">
        <v>83.92</v>
      </c>
      <c r="G2464" s="0" t="n">
        <v>29.372</v>
      </c>
      <c r="H2464" s="0" t="n">
        <v>0.2</v>
      </c>
      <c r="I2464" s="7" t="n">
        <f aca="false">YEAR(B2464)</f>
        <v>2017</v>
      </c>
      <c r="J2464" s="0" t="str">
        <f aca="false">I2464&amp;"-Q"&amp;ROUNDUP(MONTH(B2464)/3,0)</f>
        <v>2017-Q4</v>
      </c>
    </row>
    <row r="2465" customFormat="false" ht="15" hidden="false" customHeight="false" outlineLevel="0" collapsed="false">
      <c r="A2465" s="0" t="s">
        <v>1289</v>
      </c>
      <c r="B2465" s="6" t="n">
        <v>43072</v>
      </c>
      <c r="C2465" s="7" t="s">
        <v>55</v>
      </c>
      <c r="D2465" s="7" t="s">
        <v>76</v>
      </c>
      <c r="E2465" s="7" t="s">
        <v>35</v>
      </c>
      <c r="F2465" s="0" t="n">
        <v>14.624</v>
      </c>
      <c r="G2465" s="0" t="n">
        <v>5.1184</v>
      </c>
      <c r="H2465" s="0" t="n">
        <v>0.2</v>
      </c>
      <c r="I2465" s="7" t="n">
        <f aca="false">YEAR(B2465)</f>
        <v>2017</v>
      </c>
      <c r="J2465" s="0" t="str">
        <f aca="false">I2465&amp;"-Q"&amp;ROUNDUP(MONTH(B2465)/3,0)</f>
        <v>2017-Q4</v>
      </c>
    </row>
    <row r="2466" customFormat="false" ht="15" hidden="false" customHeight="false" outlineLevel="0" collapsed="false">
      <c r="A2466" s="0" t="s">
        <v>1289</v>
      </c>
      <c r="B2466" s="6" t="n">
        <v>43072</v>
      </c>
      <c r="C2466" s="7" t="s">
        <v>55</v>
      </c>
      <c r="D2466" s="7" t="s">
        <v>76</v>
      </c>
      <c r="E2466" s="7" t="s">
        <v>39</v>
      </c>
      <c r="F2466" s="0" t="n">
        <v>136.99</v>
      </c>
      <c r="G2466" s="0" t="n">
        <v>36.9873</v>
      </c>
      <c r="H2466" s="0" t="n">
        <v>0</v>
      </c>
      <c r="I2466" s="7" t="n">
        <f aca="false">YEAR(B2466)</f>
        <v>2017</v>
      </c>
      <c r="J2466" s="0" t="str">
        <f aca="false">I2466&amp;"-Q"&amp;ROUNDUP(MONTH(B2466)/3,0)</f>
        <v>2017-Q4</v>
      </c>
    </row>
    <row r="2467" customFormat="false" ht="15" hidden="false" customHeight="false" outlineLevel="0" collapsed="false">
      <c r="A2467" s="0" t="s">
        <v>1289</v>
      </c>
      <c r="B2467" s="6" t="n">
        <v>43072</v>
      </c>
      <c r="C2467" s="7" t="s">
        <v>55</v>
      </c>
      <c r="D2467" s="7" t="s">
        <v>76</v>
      </c>
      <c r="E2467" s="7" t="s">
        <v>35</v>
      </c>
      <c r="F2467" s="0" t="n">
        <v>3.15</v>
      </c>
      <c r="G2467" s="0" t="n">
        <v>1.512</v>
      </c>
      <c r="H2467" s="0" t="n">
        <v>0</v>
      </c>
      <c r="I2467" s="7" t="n">
        <f aca="false">YEAR(B2467)</f>
        <v>2017</v>
      </c>
      <c r="J2467" s="0" t="str">
        <f aca="false">I2467&amp;"-Q"&amp;ROUNDUP(MONTH(B2467)/3,0)</f>
        <v>2017-Q4</v>
      </c>
    </row>
    <row r="2468" customFormat="false" ht="15" hidden="false" customHeight="false" outlineLevel="0" collapsed="false">
      <c r="A2468" s="0" t="s">
        <v>1290</v>
      </c>
      <c r="B2468" s="6" t="n">
        <v>42859</v>
      </c>
      <c r="C2468" s="7" t="s">
        <v>29</v>
      </c>
      <c r="D2468" s="7" t="s">
        <v>83</v>
      </c>
      <c r="E2468" s="7" t="s">
        <v>35</v>
      </c>
      <c r="F2468" s="0" t="n">
        <v>9.11</v>
      </c>
      <c r="G2468" s="0" t="n">
        <v>4.0995</v>
      </c>
      <c r="H2468" s="0" t="n">
        <v>0</v>
      </c>
      <c r="I2468" s="7" t="n">
        <f aca="false">YEAR(B2468)</f>
        <v>2017</v>
      </c>
      <c r="J2468" s="0" t="str">
        <f aca="false">I2468&amp;"-Q"&amp;ROUNDUP(MONTH(B2468)/3,0)</f>
        <v>2017-Q2</v>
      </c>
    </row>
    <row r="2469" customFormat="false" ht="15" hidden="false" customHeight="false" outlineLevel="0" collapsed="false">
      <c r="A2469" s="0" t="s">
        <v>1290</v>
      </c>
      <c r="B2469" s="6" t="n">
        <v>42859</v>
      </c>
      <c r="C2469" s="7" t="s">
        <v>29</v>
      </c>
      <c r="D2469" s="7" t="s">
        <v>83</v>
      </c>
      <c r="E2469" s="7" t="s">
        <v>35</v>
      </c>
      <c r="F2469" s="0" t="n">
        <v>571.44</v>
      </c>
      <c r="G2469" s="0" t="n">
        <v>165.7176</v>
      </c>
      <c r="H2469" s="0" t="n">
        <v>0</v>
      </c>
      <c r="I2469" s="7" t="n">
        <f aca="false">YEAR(B2469)</f>
        <v>2017</v>
      </c>
      <c r="J2469" s="0" t="str">
        <f aca="false">I2469&amp;"-Q"&amp;ROUNDUP(MONTH(B2469)/3,0)</f>
        <v>2017-Q2</v>
      </c>
    </row>
    <row r="2470" customFormat="false" ht="15" hidden="false" customHeight="false" outlineLevel="0" collapsed="false">
      <c r="A2470" s="0" t="s">
        <v>1290</v>
      </c>
      <c r="B2470" s="6" t="n">
        <v>42859</v>
      </c>
      <c r="C2470" s="7" t="s">
        <v>29</v>
      </c>
      <c r="D2470" s="7" t="s">
        <v>83</v>
      </c>
      <c r="E2470" s="7" t="s">
        <v>35</v>
      </c>
      <c r="F2470" s="0" t="n">
        <v>32.4</v>
      </c>
      <c r="G2470" s="0" t="n">
        <v>15.552</v>
      </c>
      <c r="H2470" s="0" t="n">
        <v>0</v>
      </c>
      <c r="I2470" s="7" t="n">
        <f aca="false">YEAR(B2470)</f>
        <v>2017</v>
      </c>
      <c r="J2470" s="0" t="str">
        <f aca="false">I2470&amp;"-Q"&amp;ROUNDUP(MONTH(B2470)/3,0)</f>
        <v>2017-Q2</v>
      </c>
    </row>
    <row r="2471" customFormat="false" ht="15" hidden="false" customHeight="false" outlineLevel="0" collapsed="false">
      <c r="A2471" s="0" t="s">
        <v>1290</v>
      </c>
      <c r="B2471" s="6" t="n">
        <v>42859</v>
      </c>
      <c r="C2471" s="7" t="s">
        <v>29</v>
      </c>
      <c r="D2471" s="7" t="s">
        <v>83</v>
      </c>
      <c r="E2471" s="7" t="s">
        <v>35</v>
      </c>
      <c r="F2471" s="0" t="n">
        <v>16.91</v>
      </c>
      <c r="G2471" s="0" t="n">
        <v>4.5657</v>
      </c>
      <c r="H2471" s="0" t="n">
        <v>0</v>
      </c>
      <c r="I2471" s="7" t="n">
        <f aca="false">YEAR(B2471)</f>
        <v>2017</v>
      </c>
      <c r="J2471" s="0" t="str">
        <f aca="false">I2471&amp;"-Q"&amp;ROUNDUP(MONTH(B2471)/3,0)</f>
        <v>2017-Q2</v>
      </c>
    </row>
    <row r="2472" customFormat="false" ht="15" hidden="false" customHeight="false" outlineLevel="0" collapsed="false">
      <c r="A2472" s="0" t="s">
        <v>1291</v>
      </c>
      <c r="B2472" s="6" t="n">
        <v>42391</v>
      </c>
      <c r="C2472" s="7" t="s">
        <v>29</v>
      </c>
      <c r="D2472" s="7" t="s">
        <v>41</v>
      </c>
      <c r="E2472" s="7" t="s">
        <v>31</v>
      </c>
      <c r="F2472" s="0" t="n">
        <v>14.272</v>
      </c>
      <c r="G2472" s="0" t="n">
        <v>4.2816</v>
      </c>
      <c r="H2472" s="0" t="n">
        <v>0.2</v>
      </c>
      <c r="I2472" s="7" t="n">
        <f aca="false">YEAR(B2472)</f>
        <v>2016</v>
      </c>
      <c r="J2472" s="0" t="str">
        <f aca="false">I2472&amp;"-Q"&amp;ROUNDUP(MONTH(B2472)/3,0)</f>
        <v>2016-Q1</v>
      </c>
    </row>
    <row r="2473" customFormat="false" ht="15" hidden="false" customHeight="false" outlineLevel="0" collapsed="false">
      <c r="A2473" s="0" t="s">
        <v>1291</v>
      </c>
      <c r="B2473" s="6" t="n">
        <v>42391</v>
      </c>
      <c r="C2473" s="7" t="s">
        <v>29</v>
      </c>
      <c r="D2473" s="7" t="s">
        <v>41</v>
      </c>
      <c r="E2473" s="7" t="s">
        <v>31</v>
      </c>
      <c r="F2473" s="0" t="n">
        <v>451.136</v>
      </c>
      <c r="G2473" s="0" t="n">
        <v>-67.6704</v>
      </c>
      <c r="H2473" s="0" t="n">
        <v>0.2</v>
      </c>
      <c r="I2473" s="7" t="n">
        <f aca="false">YEAR(B2473)</f>
        <v>2016</v>
      </c>
      <c r="J2473" s="0" t="str">
        <f aca="false">I2473&amp;"-Q"&amp;ROUNDUP(MONTH(B2473)/3,0)</f>
        <v>2016-Q1</v>
      </c>
    </row>
    <row r="2474" customFormat="false" ht="15" hidden="false" customHeight="false" outlineLevel="0" collapsed="false">
      <c r="A2474" s="0" t="s">
        <v>1291</v>
      </c>
      <c r="B2474" s="6" t="n">
        <v>42391</v>
      </c>
      <c r="C2474" s="7" t="s">
        <v>29</v>
      </c>
      <c r="D2474" s="7" t="s">
        <v>41</v>
      </c>
      <c r="E2474" s="7" t="s">
        <v>35</v>
      </c>
      <c r="F2474" s="0" t="n">
        <v>64.864</v>
      </c>
      <c r="G2474" s="0" t="n">
        <v>6.4864</v>
      </c>
      <c r="H2474" s="0" t="n">
        <v>0.2</v>
      </c>
      <c r="I2474" s="7" t="n">
        <f aca="false">YEAR(B2474)</f>
        <v>2016</v>
      </c>
      <c r="J2474" s="0" t="str">
        <f aca="false">I2474&amp;"-Q"&amp;ROUNDUP(MONTH(B2474)/3,0)</f>
        <v>2016-Q1</v>
      </c>
    </row>
    <row r="2475" customFormat="false" ht="15" hidden="false" customHeight="false" outlineLevel="0" collapsed="false">
      <c r="A2475" s="0" t="s">
        <v>1292</v>
      </c>
      <c r="B2475" s="6" t="n">
        <v>42677</v>
      </c>
      <c r="C2475" s="7" t="s">
        <v>33</v>
      </c>
      <c r="D2475" s="7" t="s">
        <v>34</v>
      </c>
      <c r="E2475" s="7" t="s">
        <v>31</v>
      </c>
      <c r="F2475" s="0" t="n">
        <v>217.584</v>
      </c>
      <c r="G2475" s="0" t="n">
        <v>-29.9178</v>
      </c>
      <c r="H2475" s="0" t="n">
        <v>0.2</v>
      </c>
      <c r="I2475" s="7" t="n">
        <f aca="false">YEAR(B2475)</f>
        <v>2016</v>
      </c>
      <c r="J2475" s="0" t="str">
        <f aca="false">I2475&amp;"-Q"&amp;ROUNDUP(MONTH(B2475)/3,0)</f>
        <v>2016-Q4</v>
      </c>
    </row>
    <row r="2476" customFormat="false" ht="15" hidden="false" customHeight="false" outlineLevel="0" collapsed="false">
      <c r="A2476" s="0" t="s">
        <v>1292</v>
      </c>
      <c r="B2476" s="6" t="n">
        <v>42677</v>
      </c>
      <c r="C2476" s="7" t="s">
        <v>33</v>
      </c>
      <c r="D2476" s="7" t="s">
        <v>34</v>
      </c>
      <c r="E2476" s="7" t="s">
        <v>39</v>
      </c>
      <c r="F2476" s="0" t="n">
        <v>82.95</v>
      </c>
      <c r="G2476" s="0" t="n">
        <v>29.0325</v>
      </c>
      <c r="H2476" s="0" t="n">
        <v>0</v>
      </c>
      <c r="I2476" s="7" t="n">
        <f aca="false">YEAR(B2476)</f>
        <v>2016</v>
      </c>
      <c r="J2476" s="0" t="str">
        <f aca="false">I2476&amp;"-Q"&amp;ROUNDUP(MONTH(B2476)/3,0)</f>
        <v>2016-Q4</v>
      </c>
    </row>
    <row r="2477" customFormat="false" ht="15" hidden="false" customHeight="false" outlineLevel="0" collapsed="false">
      <c r="A2477" s="0" t="s">
        <v>1292</v>
      </c>
      <c r="B2477" s="6" t="n">
        <v>42677</v>
      </c>
      <c r="C2477" s="7" t="s">
        <v>33</v>
      </c>
      <c r="D2477" s="7" t="s">
        <v>34</v>
      </c>
      <c r="E2477" s="7" t="s">
        <v>35</v>
      </c>
      <c r="F2477" s="0" t="n">
        <v>87.71</v>
      </c>
      <c r="G2477" s="0" t="n">
        <v>41.2237</v>
      </c>
      <c r="H2477" s="0" t="n">
        <v>0</v>
      </c>
      <c r="I2477" s="7" t="n">
        <f aca="false">YEAR(B2477)</f>
        <v>2016</v>
      </c>
      <c r="J2477" s="0" t="str">
        <f aca="false">I2477&amp;"-Q"&amp;ROUNDUP(MONTH(B2477)/3,0)</f>
        <v>2016-Q4</v>
      </c>
    </row>
    <row r="2478" customFormat="false" ht="15" hidden="false" customHeight="false" outlineLevel="0" collapsed="false">
      <c r="A2478" s="0" t="s">
        <v>1292</v>
      </c>
      <c r="B2478" s="6" t="n">
        <v>42677</v>
      </c>
      <c r="C2478" s="7" t="s">
        <v>33</v>
      </c>
      <c r="D2478" s="7" t="s">
        <v>34</v>
      </c>
      <c r="E2478" s="7" t="s">
        <v>35</v>
      </c>
      <c r="F2478" s="0" t="n">
        <v>1101.48</v>
      </c>
      <c r="G2478" s="0" t="n">
        <v>429.5772</v>
      </c>
      <c r="H2478" s="0" t="n">
        <v>0</v>
      </c>
      <c r="I2478" s="7" t="n">
        <f aca="false">YEAR(B2478)</f>
        <v>2016</v>
      </c>
      <c r="J2478" s="0" t="str">
        <f aca="false">I2478&amp;"-Q"&amp;ROUNDUP(MONTH(B2478)/3,0)</f>
        <v>2016-Q4</v>
      </c>
    </row>
    <row r="2479" customFormat="false" ht="15" hidden="false" customHeight="false" outlineLevel="0" collapsed="false">
      <c r="A2479" s="0" t="s">
        <v>1293</v>
      </c>
      <c r="B2479" s="6" t="n">
        <v>42982</v>
      </c>
      <c r="C2479" s="7" t="s">
        <v>33</v>
      </c>
      <c r="D2479" s="7" t="s">
        <v>34</v>
      </c>
      <c r="E2479" s="7" t="s">
        <v>31</v>
      </c>
      <c r="F2479" s="0" t="n">
        <v>1322.352</v>
      </c>
      <c r="G2479" s="0" t="n">
        <v>-99.1764</v>
      </c>
      <c r="H2479" s="0" t="n">
        <v>0.2</v>
      </c>
      <c r="I2479" s="7" t="n">
        <f aca="false">YEAR(B2479)</f>
        <v>2017</v>
      </c>
      <c r="J2479" s="0" t="str">
        <f aca="false">I2479&amp;"-Q"&amp;ROUNDUP(MONTH(B2479)/3,0)</f>
        <v>2017-Q3</v>
      </c>
    </row>
    <row r="2480" customFormat="false" ht="15" hidden="false" customHeight="false" outlineLevel="0" collapsed="false">
      <c r="A2480" s="0" t="s">
        <v>1294</v>
      </c>
      <c r="B2480" s="6" t="n">
        <v>41895</v>
      </c>
      <c r="C2480" s="7" t="s">
        <v>55</v>
      </c>
      <c r="D2480" s="7" t="s">
        <v>76</v>
      </c>
      <c r="E2480" s="7" t="s">
        <v>35</v>
      </c>
      <c r="F2480" s="0" t="n">
        <v>5.46</v>
      </c>
      <c r="G2480" s="0" t="n">
        <v>1.4742</v>
      </c>
      <c r="H2480" s="0" t="n">
        <v>0</v>
      </c>
      <c r="I2480" s="7" t="n">
        <f aca="false">YEAR(B2480)</f>
        <v>2014</v>
      </c>
      <c r="J2480" s="0" t="str">
        <f aca="false">I2480&amp;"-Q"&amp;ROUNDUP(MONTH(B2480)/3,0)</f>
        <v>2014-Q3</v>
      </c>
    </row>
    <row r="2481" customFormat="false" ht="15" hidden="false" customHeight="false" outlineLevel="0" collapsed="false">
      <c r="A2481" s="0" t="s">
        <v>1295</v>
      </c>
      <c r="B2481" s="6" t="n">
        <v>42905</v>
      </c>
      <c r="C2481" s="7" t="s">
        <v>45</v>
      </c>
      <c r="D2481" s="7" t="s">
        <v>46</v>
      </c>
      <c r="E2481" s="7" t="s">
        <v>35</v>
      </c>
      <c r="F2481" s="0" t="n">
        <v>11.184</v>
      </c>
      <c r="G2481" s="0" t="n">
        <v>0.8388</v>
      </c>
      <c r="H2481" s="0" t="n">
        <v>0.2</v>
      </c>
      <c r="I2481" s="7" t="n">
        <f aca="false">YEAR(B2481)</f>
        <v>2017</v>
      </c>
      <c r="J2481" s="0" t="str">
        <f aca="false">I2481&amp;"-Q"&amp;ROUNDUP(MONTH(B2481)/3,0)</f>
        <v>2017-Q2</v>
      </c>
    </row>
    <row r="2482" customFormat="false" ht="15" hidden="false" customHeight="false" outlineLevel="0" collapsed="false">
      <c r="A2482" s="0" t="s">
        <v>1295</v>
      </c>
      <c r="B2482" s="6" t="n">
        <v>42905</v>
      </c>
      <c r="C2482" s="7" t="s">
        <v>45</v>
      </c>
      <c r="D2482" s="7" t="s">
        <v>46</v>
      </c>
      <c r="E2482" s="7" t="s">
        <v>35</v>
      </c>
      <c r="F2482" s="0" t="n">
        <v>153.584</v>
      </c>
      <c r="G2482" s="0" t="n">
        <v>-32.6366</v>
      </c>
      <c r="H2482" s="0" t="n">
        <v>0.2</v>
      </c>
      <c r="I2482" s="7" t="n">
        <f aca="false">YEAR(B2482)</f>
        <v>2017</v>
      </c>
      <c r="J2482" s="0" t="str">
        <f aca="false">I2482&amp;"-Q"&amp;ROUNDUP(MONTH(B2482)/3,0)</f>
        <v>2017-Q2</v>
      </c>
    </row>
    <row r="2483" customFormat="false" ht="15" hidden="false" customHeight="false" outlineLevel="0" collapsed="false">
      <c r="A2483" s="0" t="s">
        <v>1296</v>
      </c>
      <c r="B2483" s="6" t="n">
        <v>43093</v>
      </c>
      <c r="C2483" s="7" t="s">
        <v>33</v>
      </c>
      <c r="D2483" s="7" t="s">
        <v>43</v>
      </c>
      <c r="E2483" s="7" t="s">
        <v>35</v>
      </c>
      <c r="F2483" s="0" t="n">
        <v>1003.62</v>
      </c>
      <c r="G2483" s="0" t="n">
        <v>0</v>
      </c>
      <c r="H2483" s="0" t="n">
        <v>0</v>
      </c>
      <c r="I2483" s="7" t="n">
        <f aca="false">YEAR(B2483)</f>
        <v>2017</v>
      </c>
      <c r="J2483" s="0" t="str">
        <f aca="false">I2483&amp;"-Q"&amp;ROUNDUP(MONTH(B2483)/3,0)</f>
        <v>2017-Q4</v>
      </c>
    </row>
    <row r="2484" customFormat="false" ht="15" hidden="false" customHeight="false" outlineLevel="0" collapsed="false">
      <c r="A2484" s="0" t="s">
        <v>1297</v>
      </c>
      <c r="B2484" s="6" t="n">
        <v>42975</v>
      </c>
      <c r="C2484" s="7" t="s">
        <v>33</v>
      </c>
      <c r="D2484" s="7" t="s">
        <v>43</v>
      </c>
      <c r="E2484" s="7" t="s">
        <v>39</v>
      </c>
      <c r="F2484" s="0" t="n">
        <v>35.168</v>
      </c>
      <c r="G2484" s="0" t="n">
        <v>11.4296</v>
      </c>
      <c r="H2484" s="0" t="n">
        <v>0.2</v>
      </c>
      <c r="I2484" s="7" t="n">
        <f aca="false">YEAR(B2484)</f>
        <v>2017</v>
      </c>
      <c r="J2484" s="0" t="str">
        <f aca="false">I2484&amp;"-Q"&amp;ROUNDUP(MONTH(B2484)/3,0)</f>
        <v>2017-Q3</v>
      </c>
    </row>
    <row r="2485" customFormat="false" ht="15" hidden="false" customHeight="false" outlineLevel="0" collapsed="false">
      <c r="A2485" s="0" t="s">
        <v>1297</v>
      </c>
      <c r="B2485" s="6" t="n">
        <v>42975</v>
      </c>
      <c r="C2485" s="7" t="s">
        <v>33</v>
      </c>
      <c r="D2485" s="7" t="s">
        <v>43</v>
      </c>
      <c r="E2485" s="7" t="s">
        <v>31</v>
      </c>
      <c r="F2485" s="0" t="n">
        <v>1137.75</v>
      </c>
      <c r="G2485" s="0" t="n">
        <v>250.305</v>
      </c>
      <c r="H2485" s="0" t="n">
        <v>0</v>
      </c>
      <c r="I2485" s="7" t="n">
        <f aca="false">YEAR(B2485)</f>
        <v>2017</v>
      </c>
      <c r="J2485" s="0" t="str">
        <f aca="false">I2485&amp;"-Q"&amp;ROUNDUP(MONTH(B2485)/3,0)</f>
        <v>2017-Q3</v>
      </c>
    </row>
    <row r="2486" customFormat="false" ht="15" hidden="false" customHeight="false" outlineLevel="0" collapsed="false">
      <c r="A2486" s="0" t="s">
        <v>1297</v>
      </c>
      <c r="B2486" s="6" t="n">
        <v>42975</v>
      </c>
      <c r="C2486" s="7" t="s">
        <v>33</v>
      </c>
      <c r="D2486" s="7" t="s">
        <v>43</v>
      </c>
      <c r="E2486" s="7" t="s">
        <v>35</v>
      </c>
      <c r="F2486" s="0" t="n">
        <v>99.68</v>
      </c>
      <c r="G2486" s="0" t="n">
        <v>32.396</v>
      </c>
      <c r="H2486" s="0" t="n">
        <v>0.2</v>
      </c>
      <c r="I2486" s="7" t="n">
        <f aca="false">YEAR(B2486)</f>
        <v>2017</v>
      </c>
      <c r="J2486" s="0" t="str">
        <f aca="false">I2486&amp;"-Q"&amp;ROUNDUP(MONTH(B2486)/3,0)</f>
        <v>2017-Q3</v>
      </c>
    </row>
    <row r="2487" customFormat="false" ht="15" hidden="false" customHeight="false" outlineLevel="0" collapsed="false">
      <c r="A2487" s="0" t="s">
        <v>1297</v>
      </c>
      <c r="B2487" s="6" t="n">
        <v>42975</v>
      </c>
      <c r="C2487" s="7" t="s">
        <v>33</v>
      </c>
      <c r="D2487" s="7" t="s">
        <v>43</v>
      </c>
      <c r="E2487" s="7" t="s">
        <v>35</v>
      </c>
      <c r="F2487" s="0" t="n">
        <v>5.56</v>
      </c>
      <c r="G2487" s="0" t="n">
        <v>1.4456</v>
      </c>
      <c r="H2487" s="0" t="n">
        <v>0</v>
      </c>
      <c r="I2487" s="7" t="n">
        <f aca="false">YEAR(B2487)</f>
        <v>2017</v>
      </c>
      <c r="J2487" s="0" t="str">
        <f aca="false">I2487&amp;"-Q"&amp;ROUNDUP(MONTH(B2487)/3,0)</f>
        <v>2017-Q3</v>
      </c>
    </row>
    <row r="2488" customFormat="false" ht="15" hidden="false" customHeight="false" outlineLevel="0" collapsed="false">
      <c r="A2488" s="0" t="s">
        <v>1298</v>
      </c>
      <c r="B2488" s="6" t="n">
        <v>42006</v>
      </c>
      <c r="C2488" s="7" t="s">
        <v>55</v>
      </c>
      <c r="D2488" s="7" t="s">
        <v>72</v>
      </c>
      <c r="E2488" s="7" t="s">
        <v>35</v>
      </c>
      <c r="F2488" s="0" t="n">
        <v>85.52</v>
      </c>
      <c r="G2488" s="0" t="n">
        <v>22.2352</v>
      </c>
      <c r="H2488" s="0" t="n">
        <v>0</v>
      </c>
      <c r="I2488" s="7" t="n">
        <f aca="false">YEAR(B2488)</f>
        <v>2015</v>
      </c>
      <c r="J2488" s="0" t="str">
        <f aca="false">I2488&amp;"-Q"&amp;ROUNDUP(MONTH(B2488)/3,0)</f>
        <v>2015-Q1</v>
      </c>
    </row>
    <row r="2489" customFormat="false" ht="15" hidden="false" customHeight="false" outlineLevel="0" collapsed="false">
      <c r="A2489" s="0" t="s">
        <v>1298</v>
      </c>
      <c r="B2489" s="6" t="n">
        <v>42006</v>
      </c>
      <c r="C2489" s="7" t="s">
        <v>55</v>
      </c>
      <c r="D2489" s="7" t="s">
        <v>72</v>
      </c>
      <c r="E2489" s="7" t="s">
        <v>35</v>
      </c>
      <c r="F2489" s="0" t="n">
        <v>9.84</v>
      </c>
      <c r="G2489" s="0" t="n">
        <v>2.6568</v>
      </c>
      <c r="H2489" s="0" t="n">
        <v>0</v>
      </c>
      <c r="I2489" s="7" t="n">
        <f aca="false">YEAR(B2489)</f>
        <v>2015</v>
      </c>
      <c r="J2489" s="0" t="str">
        <f aca="false">I2489&amp;"-Q"&amp;ROUNDUP(MONTH(B2489)/3,0)</f>
        <v>2015-Q1</v>
      </c>
    </row>
    <row r="2490" customFormat="false" ht="15" hidden="false" customHeight="false" outlineLevel="0" collapsed="false">
      <c r="A2490" s="0" t="s">
        <v>1298</v>
      </c>
      <c r="B2490" s="6" t="n">
        <v>42006</v>
      </c>
      <c r="C2490" s="7" t="s">
        <v>55</v>
      </c>
      <c r="D2490" s="7" t="s">
        <v>72</v>
      </c>
      <c r="E2490" s="7" t="s">
        <v>35</v>
      </c>
      <c r="F2490" s="0" t="n">
        <v>20.04</v>
      </c>
      <c r="G2490" s="0" t="n">
        <v>9.6192</v>
      </c>
      <c r="H2490" s="0" t="n">
        <v>0</v>
      </c>
      <c r="I2490" s="7" t="n">
        <f aca="false">YEAR(B2490)</f>
        <v>2015</v>
      </c>
      <c r="J2490" s="0" t="str">
        <f aca="false">I2490&amp;"-Q"&amp;ROUNDUP(MONTH(B2490)/3,0)</f>
        <v>2015-Q1</v>
      </c>
    </row>
    <row r="2491" customFormat="false" ht="15" hidden="false" customHeight="false" outlineLevel="0" collapsed="false">
      <c r="A2491" s="0" t="s">
        <v>1299</v>
      </c>
      <c r="B2491" s="6" t="n">
        <v>42286</v>
      </c>
      <c r="C2491" s="7" t="s">
        <v>55</v>
      </c>
      <c r="D2491" s="7" t="s">
        <v>76</v>
      </c>
      <c r="E2491" s="7" t="s">
        <v>39</v>
      </c>
      <c r="F2491" s="0" t="n">
        <v>631.96</v>
      </c>
      <c r="G2491" s="0" t="n">
        <v>303.3408</v>
      </c>
      <c r="H2491" s="0" t="n">
        <v>0</v>
      </c>
      <c r="I2491" s="7" t="n">
        <f aca="false">YEAR(B2491)</f>
        <v>2015</v>
      </c>
      <c r="J2491" s="0" t="str">
        <f aca="false">I2491&amp;"-Q"&amp;ROUNDUP(MONTH(B2491)/3,0)</f>
        <v>2015-Q4</v>
      </c>
    </row>
    <row r="2492" customFormat="false" ht="15" hidden="false" customHeight="false" outlineLevel="0" collapsed="false">
      <c r="A2492" s="0" t="s">
        <v>1299</v>
      </c>
      <c r="B2492" s="6" t="n">
        <v>42286</v>
      </c>
      <c r="C2492" s="7" t="s">
        <v>55</v>
      </c>
      <c r="D2492" s="7" t="s">
        <v>76</v>
      </c>
      <c r="E2492" s="7" t="s">
        <v>35</v>
      </c>
      <c r="F2492" s="0" t="n">
        <v>23.92</v>
      </c>
      <c r="G2492" s="0" t="n">
        <v>10.764</v>
      </c>
      <c r="H2492" s="0" t="n">
        <v>0</v>
      </c>
      <c r="I2492" s="7" t="n">
        <f aca="false">YEAR(B2492)</f>
        <v>2015</v>
      </c>
      <c r="J2492" s="0" t="str">
        <f aca="false">I2492&amp;"-Q"&amp;ROUNDUP(MONTH(B2492)/3,0)</f>
        <v>2015-Q4</v>
      </c>
    </row>
    <row r="2493" customFormat="false" ht="15" hidden="false" customHeight="false" outlineLevel="0" collapsed="false">
      <c r="A2493" s="0" t="s">
        <v>1300</v>
      </c>
      <c r="B2493" s="6" t="n">
        <v>41986</v>
      </c>
      <c r="C2493" s="7" t="s">
        <v>33</v>
      </c>
      <c r="D2493" s="7" t="s">
        <v>34</v>
      </c>
      <c r="E2493" s="7" t="s">
        <v>35</v>
      </c>
      <c r="F2493" s="0" t="n">
        <v>90.24</v>
      </c>
      <c r="G2493" s="0" t="n">
        <v>41.5104</v>
      </c>
      <c r="H2493" s="0" t="n">
        <v>0</v>
      </c>
      <c r="I2493" s="7" t="n">
        <f aca="false">YEAR(B2493)</f>
        <v>2014</v>
      </c>
      <c r="J2493" s="0" t="str">
        <f aca="false">I2493&amp;"-Q"&amp;ROUNDUP(MONTH(B2493)/3,0)</f>
        <v>2014-Q4</v>
      </c>
    </row>
    <row r="2494" customFormat="false" ht="15" hidden="false" customHeight="false" outlineLevel="0" collapsed="false">
      <c r="A2494" s="0" t="s">
        <v>1301</v>
      </c>
      <c r="B2494" s="6" t="n">
        <v>41962</v>
      </c>
      <c r="C2494" s="7" t="s">
        <v>55</v>
      </c>
      <c r="D2494" s="7" t="s">
        <v>76</v>
      </c>
      <c r="E2494" s="7" t="s">
        <v>39</v>
      </c>
      <c r="F2494" s="0" t="n">
        <v>4548.81</v>
      </c>
      <c r="G2494" s="0" t="n">
        <v>1228.1787</v>
      </c>
      <c r="H2494" s="0" t="n">
        <v>0</v>
      </c>
      <c r="I2494" s="7" t="n">
        <f aca="false">YEAR(B2494)</f>
        <v>2014</v>
      </c>
      <c r="J2494" s="0" t="str">
        <f aca="false">I2494&amp;"-Q"&amp;ROUNDUP(MONTH(B2494)/3,0)</f>
        <v>2014-Q4</v>
      </c>
    </row>
    <row r="2495" customFormat="false" ht="15" hidden="false" customHeight="false" outlineLevel="0" collapsed="false">
      <c r="A2495" s="0" t="s">
        <v>1302</v>
      </c>
      <c r="B2495" s="6" t="n">
        <v>42623</v>
      </c>
      <c r="C2495" s="7" t="s">
        <v>45</v>
      </c>
      <c r="D2495" s="7" t="s">
        <v>46</v>
      </c>
      <c r="E2495" s="7" t="s">
        <v>31</v>
      </c>
      <c r="F2495" s="0" t="n">
        <v>300.93</v>
      </c>
      <c r="G2495" s="0" t="n">
        <v>-34.392</v>
      </c>
      <c r="H2495" s="0" t="n">
        <v>0.3</v>
      </c>
      <c r="I2495" s="7" t="n">
        <f aca="false">YEAR(B2495)</f>
        <v>2016</v>
      </c>
      <c r="J2495" s="0" t="str">
        <f aca="false">I2495&amp;"-Q"&amp;ROUNDUP(MONTH(B2495)/3,0)</f>
        <v>2016-Q3</v>
      </c>
    </row>
    <row r="2496" customFormat="false" ht="15" hidden="false" customHeight="false" outlineLevel="0" collapsed="false">
      <c r="A2496" s="0" t="s">
        <v>1302</v>
      </c>
      <c r="B2496" s="6" t="n">
        <v>42623</v>
      </c>
      <c r="C2496" s="7" t="s">
        <v>45</v>
      </c>
      <c r="D2496" s="7" t="s">
        <v>46</v>
      </c>
      <c r="E2496" s="7" t="s">
        <v>39</v>
      </c>
      <c r="F2496" s="0" t="n">
        <v>719.96</v>
      </c>
      <c r="G2496" s="0" t="n">
        <v>53.997</v>
      </c>
      <c r="H2496" s="0" t="n">
        <v>0.2</v>
      </c>
      <c r="I2496" s="7" t="n">
        <f aca="false">YEAR(B2496)</f>
        <v>2016</v>
      </c>
      <c r="J2496" s="0" t="str">
        <f aca="false">I2496&amp;"-Q"&amp;ROUNDUP(MONTH(B2496)/3,0)</f>
        <v>2016-Q3</v>
      </c>
    </row>
    <row r="2497" customFormat="false" ht="15" hidden="false" customHeight="false" outlineLevel="0" collapsed="false">
      <c r="A2497" s="0" t="s">
        <v>1303</v>
      </c>
      <c r="B2497" s="6" t="n">
        <v>41806</v>
      </c>
      <c r="C2497" s="7" t="s">
        <v>45</v>
      </c>
      <c r="D2497" s="7" t="s">
        <v>74</v>
      </c>
      <c r="E2497" s="7" t="s">
        <v>31</v>
      </c>
      <c r="F2497" s="0" t="n">
        <v>647.84</v>
      </c>
      <c r="G2497" s="0" t="n">
        <v>32.392</v>
      </c>
      <c r="H2497" s="0" t="n">
        <v>0</v>
      </c>
      <c r="I2497" s="7" t="n">
        <f aca="false">YEAR(B2497)</f>
        <v>2014</v>
      </c>
      <c r="J2497" s="0" t="str">
        <f aca="false">I2497&amp;"-Q"&amp;ROUNDUP(MONTH(B2497)/3,0)</f>
        <v>2014-Q2</v>
      </c>
    </row>
    <row r="2498" customFormat="false" ht="15" hidden="false" customHeight="false" outlineLevel="0" collapsed="false">
      <c r="A2498" s="0" t="s">
        <v>1304</v>
      </c>
      <c r="B2498" s="6" t="n">
        <v>42273</v>
      </c>
      <c r="C2498" s="7" t="s">
        <v>33</v>
      </c>
      <c r="D2498" s="7" t="s">
        <v>34</v>
      </c>
      <c r="E2498" s="7" t="s">
        <v>35</v>
      </c>
      <c r="F2498" s="0" t="n">
        <v>64.17</v>
      </c>
      <c r="G2498" s="0" t="n">
        <v>18.6093</v>
      </c>
      <c r="H2498" s="0" t="n">
        <v>0</v>
      </c>
      <c r="I2498" s="7" t="n">
        <f aca="false">YEAR(B2498)</f>
        <v>2015</v>
      </c>
      <c r="J2498" s="0" t="str">
        <f aca="false">I2498&amp;"-Q"&amp;ROUNDUP(MONTH(B2498)/3,0)</f>
        <v>2015-Q3</v>
      </c>
    </row>
    <row r="2499" customFormat="false" ht="15" hidden="false" customHeight="false" outlineLevel="0" collapsed="false">
      <c r="A2499" s="0" t="s">
        <v>1304</v>
      </c>
      <c r="B2499" s="6" t="n">
        <v>42273</v>
      </c>
      <c r="C2499" s="7" t="s">
        <v>33</v>
      </c>
      <c r="D2499" s="7" t="s">
        <v>34</v>
      </c>
      <c r="E2499" s="7" t="s">
        <v>35</v>
      </c>
      <c r="F2499" s="0" t="n">
        <v>124.46</v>
      </c>
      <c r="G2499" s="0" t="n">
        <v>58.4962</v>
      </c>
      <c r="H2499" s="0" t="n">
        <v>0</v>
      </c>
      <c r="I2499" s="7" t="n">
        <f aca="false">YEAR(B2499)</f>
        <v>2015</v>
      </c>
      <c r="J2499" s="0" t="str">
        <f aca="false">I2499&amp;"-Q"&amp;ROUNDUP(MONTH(B2499)/3,0)</f>
        <v>2015-Q3</v>
      </c>
    </row>
    <row r="2500" customFormat="false" ht="15" hidden="false" customHeight="false" outlineLevel="0" collapsed="false">
      <c r="A2500" s="0" t="s">
        <v>1305</v>
      </c>
      <c r="B2500" s="6" t="n">
        <v>42509</v>
      </c>
      <c r="C2500" s="7" t="s">
        <v>33</v>
      </c>
      <c r="D2500" s="7" t="s">
        <v>34</v>
      </c>
      <c r="E2500" s="7" t="s">
        <v>35</v>
      </c>
      <c r="F2500" s="0" t="n">
        <v>9.584</v>
      </c>
      <c r="G2500" s="0" t="n">
        <v>3.3544</v>
      </c>
      <c r="H2500" s="0" t="n">
        <v>0.2</v>
      </c>
      <c r="I2500" s="7" t="n">
        <f aca="false">YEAR(B2500)</f>
        <v>2016</v>
      </c>
      <c r="J2500" s="0" t="str">
        <f aca="false">I2500&amp;"-Q"&amp;ROUNDUP(MONTH(B2500)/3,0)</f>
        <v>2016-Q2</v>
      </c>
    </row>
    <row r="2501" customFormat="false" ht="15" hidden="false" customHeight="false" outlineLevel="0" collapsed="false">
      <c r="A2501" s="0" t="s">
        <v>1306</v>
      </c>
      <c r="B2501" s="6" t="n">
        <v>42908</v>
      </c>
      <c r="C2501" s="7" t="s">
        <v>29</v>
      </c>
      <c r="D2501" s="7" t="s">
        <v>37</v>
      </c>
      <c r="E2501" s="7" t="s">
        <v>35</v>
      </c>
      <c r="F2501" s="0" t="n">
        <v>37.608</v>
      </c>
      <c r="G2501" s="0" t="n">
        <v>12.6927</v>
      </c>
      <c r="H2501" s="0" t="n">
        <v>0.2</v>
      </c>
      <c r="I2501" s="7" t="n">
        <f aca="false">YEAR(B2501)</f>
        <v>2017</v>
      </c>
      <c r="J2501" s="0" t="str">
        <f aca="false">I2501&amp;"-Q"&amp;ROUNDUP(MONTH(B2501)/3,0)</f>
        <v>2017-Q2</v>
      </c>
    </row>
    <row r="2502" customFormat="false" ht="15" hidden="false" customHeight="false" outlineLevel="0" collapsed="false">
      <c r="A2502" s="0" t="s">
        <v>1307</v>
      </c>
      <c r="B2502" s="6" t="n">
        <v>42903</v>
      </c>
      <c r="C2502" s="7" t="s">
        <v>45</v>
      </c>
      <c r="D2502" s="7" t="s">
        <v>64</v>
      </c>
      <c r="E2502" s="7" t="s">
        <v>35</v>
      </c>
      <c r="F2502" s="0" t="n">
        <v>12.224</v>
      </c>
      <c r="G2502" s="0" t="n">
        <v>4.4312</v>
      </c>
      <c r="H2502" s="0" t="n">
        <v>0.2</v>
      </c>
      <c r="I2502" s="7" t="n">
        <f aca="false">YEAR(B2502)</f>
        <v>2017</v>
      </c>
      <c r="J2502" s="0" t="str">
        <f aca="false">I2502&amp;"-Q"&amp;ROUNDUP(MONTH(B2502)/3,0)</f>
        <v>2017-Q2</v>
      </c>
    </row>
    <row r="2503" customFormat="false" ht="15" hidden="false" customHeight="false" outlineLevel="0" collapsed="false">
      <c r="A2503" s="0" t="s">
        <v>1307</v>
      </c>
      <c r="B2503" s="6" t="n">
        <v>42903</v>
      </c>
      <c r="C2503" s="7" t="s">
        <v>45</v>
      </c>
      <c r="D2503" s="7" t="s">
        <v>64</v>
      </c>
      <c r="E2503" s="7" t="s">
        <v>35</v>
      </c>
      <c r="F2503" s="0" t="n">
        <v>2.304</v>
      </c>
      <c r="G2503" s="0" t="n">
        <v>-3.5712</v>
      </c>
      <c r="H2503" s="0" t="n">
        <v>0.8</v>
      </c>
      <c r="I2503" s="7" t="n">
        <f aca="false">YEAR(B2503)</f>
        <v>2017</v>
      </c>
      <c r="J2503" s="0" t="str">
        <f aca="false">I2503&amp;"-Q"&amp;ROUNDUP(MONTH(B2503)/3,0)</f>
        <v>2017-Q2</v>
      </c>
    </row>
    <row r="2504" customFormat="false" ht="15" hidden="false" customHeight="false" outlineLevel="0" collapsed="false">
      <c r="A2504" s="0" t="s">
        <v>1307</v>
      </c>
      <c r="B2504" s="6" t="n">
        <v>42903</v>
      </c>
      <c r="C2504" s="7" t="s">
        <v>45</v>
      </c>
      <c r="D2504" s="7" t="s">
        <v>64</v>
      </c>
      <c r="E2504" s="7" t="s">
        <v>35</v>
      </c>
      <c r="F2504" s="0" t="n">
        <v>9.36</v>
      </c>
      <c r="G2504" s="0" t="n">
        <v>-16.38</v>
      </c>
      <c r="H2504" s="0" t="n">
        <v>0.8</v>
      </c>
      <c r="I2504" s="7" t="n">
        <f aca="false">YEAR(B2504)</f>
        <v>2017</v>
      </c>
      <c r="J2504" s="0" t="str">
        <f aca="false">I2504&amp;"-Q"&amp;ROUNDUP(MONTH(B2504)/3,0)</f>
        <v>2017-Q2</v>
      </c>
    </row>
    <row r="2505" customFormat="false" ht="15" hidden="false" customHeight="false" outlineLevel="0" collapsed="false">
      <c r="A2505" s="0" t="s">
        <v>1308</v>
      </c>
      <c r="B2505" s="6" t="n">
        <v>42688</v>
      </c>
      <c r="C2505" s="7" t="s">
        <v>33</v>
      </c>
      <c r="D2505" s="7" t="s">
        <v>34</v>
      </c>
      <c r="E2505" s="7" t="s">
        <v>35</v>
      </c>
      <c r="F2505" s="0" t="n">
        <v>7.38</v>
      </c>
      <c r="G2505" s="0" t="n">
        <v>3.4686</v>
      </c>
      <c r="H2505" s="0" t="n">
        <v>0</v>
      </c>
      <c r="I2505" s="7" t="n">
        <f aca="false">YEAR(B2505)</f>
        <v>2016</v>
      </c>
      <c r="J2505" s="0" t="str">
        <f aca="false">I2505&amp;"-Q"&amp;ROUNDUP(MONTH(B2505)/3,0)</f>
        <v>2016-Q4</v>
      </c>
    </row>
    <row r="2506" customFormat="false" ht="15" hidden="false" customHeight="false" outlineLevel="0" collapsed="false">
      <c r="A2506" s="0" t="s">
        <v>1309</v>
      </c>
      <c r="B2506" s="6" t="n">
        <v>41845</v>
      </c>
      <c r="C2506" s="7" t="s">
        <v>33</v>
      </c>
      <c r="D2506" s="7" t="s">
        <v>34</v>
      </c>
      <c r="E2506" s="7" t="s">
        <v>35</v>
      </c>
      <c r="F2506" s="0" t="n">
        <v>53.72</v>
      </c>
      <c r="G2506" s="0" t="n">
        <v>15.0416</v>
      </c>
      <c r="H2506" s="0" t="n">
        <v>0</v>
      </c>
      <c r="I2506" s="7" t="n">
        <f aca="false">YEAR(B2506)</f>
        <v>2014</v>
      </c>
      <c r="J2506" s="0" t="str">
        <f aca="false">I2506&amp;"-Q"&amp;ROUNDUP(MONTH(B2506)/3,0)</f>
        <v>2014-Q3</v>
      </c>
    </row>
    <row r="2507" customFormat="false" ht="15" hidden="false" customHeight="false" outlineLevel="0" collapsed="false">
      <c r="A2507" s="0" t="s">
        <v>1309</v>
      </c>
      <c r="B2507" s="6" t="n">
        <v>41845</v>
      </c>
      <c r="C2507" s="7" t="s">
        <v>33</v>
      </c>
      <c r="D2507" s="7" t="s">
        <v>34</v>
      </c>
      <c r="E2507" s="7" t="s">
        <v>35</v>
      </c>
      <c r="F2507" s="0" t="n">
        <v>8187.65</v>
      </c>
      <c r="G2507" s="0" t="n">
        <v>327.506</v>
      </c>
      <c r="H2507" s="0" t="n">
        <v>0</v>
      </c>
      <c r="I2507" s="7" t="n">
        <f aca="false">YEAR(B2507)</f>
        <v>2014</v>
      </c>
      <c r="J2507" s="0" t="str">
        <f aca="false">I2507&amp;"-Q"&amp;ROUNDUP(MONTH(B2507)/3,0)</f>
        <v>2014-Q3</v>
      </c>
    </row>
    <row r="2508" customFormat="false" ht="15" hidden="false" customHeight="false" outlineLevel="0" collapsed="false">
      <c r="A2508" s="0" t="s">
        <v>1309</v>
      </c>
      <c r="B2508" s="6" t="n">
        <v>41845</v>
      </c>
      <c r="C2508" s="7" t="s">
        <v>33</v>
      </c>
      <c r="D2508" s="7" t="s">
        <v>34</v>
      </c>
      <c r="E2508" s="7" t="s">
        <v>31</v>
      </c>
      <c r="F2508" s="0" t="n">
        <v>77.92</v>
      </c>
      <c r="G2508" s="0" t="n">
        <v>34.2848</v>
      </c>
      <c r="H2508" s="0" t="n">
        <v>0</v>
      </c>
      <c r="I2508" s="7" t="n">
        <f aca="false">YEAR(B2508)</f>
        <v>2014</v>
      </c>
      <c r="J2508" s="0" t="str">
        <f aca="false">I2508&amp;"-Q"&amp;ROUNDUP(MONTH(B2508)/3,0)</f>
        <v>2014-Q3</v>
      </c>
    </row>
    <row r="2509" customFormat="false" ht="15" hidden="false" customHeight="false" outlineLevel="0" collapsed="false">
      <c r="A2509" s="0" t="s">
        <v>1310</v>
      </c>
      <c r="B2509" s="6" t="n">
        <v>42187</v>
      </c>
      <c r="C2509" s="7" t="s">
        <v>45</v>
      </c>
      <c r="D2509" s="7" t="s">
        <v>46</v>
      </c>
      <c r="E2509" s="7" t="s">
        <v>35</v>
      </c>
      <c r="F2509" s="0" t="n">
        <v>32.784</v>
      </c>
      <c r="G2509" s="0" t="n">
        <v>-85.2384</v>
      </c>
      <c r="H2509" s="0" t="n">
        <v>0.8</v>
      </c>
      <c r="I2509" s="7" t="n">
        <f aca="false">YEAR(B2509)</f>
        <v>2015</v>
      </c>
      <c r="J2509" s="0" t="str">
        <f aca="false">I2509&amp;"-Q"&amp;ROUNDUP(MONTH(B2509)/3,0)</f>
        <v>2015-Q3</v>
      </c>
    </row>
    <row r="2510" customFormat="false" ht="15" hidden="false" customHeight="false" outlineLevel="0" collapsed="false">
      <c r="A2510" s="0" t="s">
        <v>1311</v>
      </c>
      <c r="B2510" s="6" t="n">
        <v>42796</v>
      </c>
      <c r="C2510" s="7" t="s">
        <v>33</v>
      </c>
      <c r="D2510" s="7" t="s">
        <v>34</v>
      </c>
      <c r="E2510" s="7" t="s">
        <v>39</v>
      </c>
      <c r="F2510" s="0" t="n">
        <v>196.776</v>
      </c>
      <c r="G2510" s="0" t="n">
        <v>14.7582</v>
      </c>
      <c r="H2510" s="0" t="n">
        <v>0.2</v>
      </c>
      <c r="I2510" s="7" t="n">
        <f aca="false">YEAR(B2510)</f>
        <v>2017</v>
      </c>
      <c r="J2510" s="0" t="str">
        <f aca="false">I2510&amp;"-Q"&amp;ROUNDUP(MONTH(B2510)/3,0)</f>
        <v>2017-Q1</v>
      </c>
    </row>
    <row r="2511" customFormat="false" ht="15" hidden="false" customHeight="false" outlineLevel="0" collapsed="false">
      <c r="A2511" s="0" t="s">
        <v>1311</v>
      </c>
      <c r="B2511" s="6" t="n">
        <v>42796</v>
      </c>
      <c r="C2511" s="7" t="s">
        <v>33</v>
      </c>
      <c r="D2511" s="7" t="s">
        <v>34</v>
      </c>
      <c r="E2511" s="7" t="s">
        <v>39</v>
      </c>
      <c r="F2511" s="0" t="n">
        <v>479.94</v>
      </c>
      <c r="G2511" s="0" t="n">
        <v>52.7934</v>
      </c>
      <c r="H2511" s="0" t="n">
        <v>0</v>
      </c>
      <c r="I2511" s="7" t="n">
        <f aca="false">YEAR(B2511)</f>
        <v>2017</v>
      </c>
      <c r="J2511" s="0" t="str">
        <f aca="false">I2511&amp;"-Q"&amp;ROUNDUP(MONTH(B2511)/3,0)</f>
        <v>2017-Q1</v>
      </c>
    </row>
    <row r="2512" customFormat="false" ht="15" hidden="false" customHeight="false" outlineLevel="0" collapsed="false">
      <c r="A2512" s="0" t="s">
        <v>1312</v>
      </c>
      <c r="B2512" s="6" t="n">
        <v>42692</v>
      </c>
      <c r="C2512" s="7" t="s">
        <v>45</v>
      </c>
      <c r="D2512" s="7" t="s">
        <v>138</v>
      </c>
      <c r="E2512" s="7" t="s">
        <v>35</v>
      </c>
      <c r="F2512" s="0" t="n">
        <v>1117.92</v>
      </c>
      <c r="G2512" s="0" t="n">
        <v>55.896</v>
      </c>
      <c r="H2512" s="0" t="n">
        <v>0</v>
      </c>
      <c r="I2512" s="7" t="n">
        <f aca="false">YEAR(B2512)</f>
        <v>2016</v>
      </c>
      <c r="J2512" s="0" t="str">
        <f aca="false">I2512&amp;"-Q"&amp;ROUNDUP(MONTH(B2512)/3,0)</f>
        <v>2016-Q4</v>
      </c>
    </row>
    <row r="2513" customFormat="false" ht="15" hidden="false" customHeight="false" outlineLevel="0" collapsed="false">
      <c r="A2513" s="0" t="s">
        <v>1313</v>
      </c>
      <c r="B2513" s="6" t="n">
        <v>42112</v>
      </c>
      <c r="C2513" s="7" t="s">
        <v>29</v>
      </c>
      <c r="D2513" s="7" t="s">
        <v>152</v>
      </c>
      <c r="E2513" s="7" t="s">
        <v>39</v>
      </c>
      <c r="F2513" s="0" t="n">
        <v>106.5</v>
      </c>
      <c r="G2513" s="0" t="n">
        <v>41.535</v>
      </c>
      <c r="H2513" s="0" t="n">
        <v>0</v>
      </c>
      <c r="I2513" s="7" t="n">
        <f aca="false">YEAR(B2513)</f>
        <v>2015</v>
      </c>
      <c r="J2513" s="0" t="str">
        <f aca="false">I2513&amp;"-Q"&amp;ROUNDUP(MONTH(B2513)/3,0)</f>
        <v>2015-Q2</v>
      </c>
    </row>
    <row r="2514" customFormat="false" ht="15" hidden="false" customHeight="false" outlineLevel="0" collapsed="false">
      <c r="A2514" s="0" t="s">
        <v>1314</v>
      </c>
      <c r="B2514" s="6" t="n">
        <v>43071</v>
      </c>
      <c r="C2514" s="7" t="s">
        <v>29</v>
      </c>
      <c r="D2514" s="7" t="s">
        <v>37</v>
      </c>
      <c r="E2514" s="7" t="s">
        <v>35</v>
      </c>
      <c r="F2514" s="0" t="n">
        <v>45.66</v>
      </c>
      <c r="G2514" s="0" t="n">
        <v>-33.484</v>
      </c>
      <c r="H2514" s="0" t="n">
        <v>0.7</v>
      </c>
      <c r="I2514" s="7" t="n">
        <f aca="false">YEAR(B2514)</f>
        <v>2017</v>
      </c>
      <c r="J2514" s="0" t="str">
        <f aca="false">I2514&amp;"-Q"&amp;ROUNDUP(MONTH(B2514)/3,0)</f>
        <v>2017-Q4</v>
      </c>
    </row>
    <row r="2515" customFormat="false" ht="15" hidden="false" customHeight="false" outlineLevel="0" collapsed="false">
      <c r="A2515" s="0" t="s">
        <v>1315</v>
      </c>
      <c r="B2515" s="6" t="n">
        <v>42685</v>
      </c>
      <c r="C2515" s="7" t="s">
        <v>45</v>
      </c>
      <c r="D2515" s="7" t="s">
        <v>64</v>
      </c>
      <c r="E2515" s="7" t="s">
        <v>39</v>
      </c>
      <c r="F2515" s="0" t="n">
        <v>95.968</v>
      </c>
      <c r="G2515" s="0" t="n">
        <v>1.1996</v>
      </c>
      <c r="H2515" s="0" t="n">
        <v>0.2</v>
      </c>
      <c r="I2515" s="7" t="n">
        <f aca="false">YEAR(B2515)</f>
        <v>2016</v>
      </c>
      <c r="J2515" s="0" t="str">
        <f aca="false">I2515&amp;"-Q"&amp;ROUNDUP(MONTH(B2515)/3,0)</f>
        <v>2016-Q4</v>
      </c>
    </row>
    <row r="2516" customFormat="false" ht="15" hidden="false" customHeight="false" outlineLevel="0" collapsed="false">
      <c r="A2516" s="0" t="s">
        <v>1315</v>
      </c>
      <c r="B2516" s="6" t="n">
        <v>42685</v>
      </c>
      <c r="C2516" s="7" t="s">
        <v>45</v>
      </c>
      <c r="D2516" s="7" t="s">
        <v>64</v>
      </c>
      <c r="E2516" s="7" t="s">
        <v>31</v>
      </c>
      <c r="F2516" s="0" t="n">
        <v>47.992</v>
      </c>
      <c r="G2516" s="0" t="n">
        <v>-2.0568</v>
      </c>
      <c r="H2516" s="0" t="n">
        <v>0.3</v>
      </c>
      <c r="I2516" s="7" t="n">
        <f aca="false">YEAR(B2516)</f>
        <v>2016</v>
      </c>
      <c r="J2516" s="0" t="str">
        <f aca="false">I2516&amp;"-Q"&amp;ROUNDUP(MONTH(B2516)/3,0)</f>
        <v>2016-Q4</v>
      </c>
    </row>
    <row r="2517" customFormat="false" ht="15" hidden="false" customHeight="false" outlineLevel="0" collapsed="false">
      <c r="A2517" s="0" t="s">
        <v>1316</v>
      </c>
      <c r="B2517" s="6" t="n">
        <v>41887</v>
      </c>
      <c r="C2517" s="7" t="s">
        <v>55</v>
      </c>
      <c r="D2517" s="7" t="s">
        <v>116</v>
      </c>
      <c r="E2517" s="7" t="s">
        <v>35</v>
      </c>
      <c r="F2517" s="0" t="n">
        <v>264.32</v>
      </c>
      <c r="G2517" s="0" t="n">
        <v>19.824</v>
      </c>
      <c r="H2517" s="0" t="n">
        <v>0.2</v>
      </c>
      <c r="I2517" s="7" t="n">
        <f aca="false">YEAR(B2517)</f>
        <v>2014</v>
      </c>
      <c r="J2517" s="0" t="str">
        <f aca="false">I2517&amp;"-Q"&amp;ROUNDUP(MONTH(B2517)/3,0)</f>
        <v>2014-Q3</v>
      </c>
    </row>
    <row r="2518" customFormat="false" ht="15" hidden="false" customHeight="false" outlineLevel="0" collapsed="false">
      <c r="A2518" s="0" t="s">
        <v>1317</v>
      </c>
      <c r="B2518" s="6" t="n">
        <v>41958</v>
      </c>
      <c r="C2518" s="7" t="s">
        <v>45</v>
      </c>
      <c r="D2518" s="7" t="s">
        <v>46</v>
      </c>
      <c r="E2518" s="7" t="s">
        <v>35</v>
      </c>
      <c r="F2518" s="0" t="n">
        <v>604.656</v>
      </c>
      <c r="G2518" s="0" t="n">
        <v>204.0714</v>
      </c>
      <c r="H2518" s="0" t="n">
        <v>0.2</v>
      </c>
      <c r="I2518" s="7" t="n">
        <f aca="false">YEAR(B2518)</f>
        <v>2014</v>
      </c>
      <c r="J2518" s="0" t="str">
        <f aca="false">I2518&amp;"-Q"&amp;ROUNDUP(MONTH(B2518)/3,0)</f>
        <v>2014-Q4</v>
      </c>
    </row>
    <row r="2519" customFormat="false" ht="15" hidden="false" customHeight="false" outlineLevel="0" collapsed="false">
      <c r="A2519" s="0" t="s">
        <v>1318</v>
      </c>
      <c r="B2519" s="6" t="n">
        <v>42857</v>
      </c>
      <c r="C2519" s="7" t="s">
        <v>55</v>
      </c>
      <c r="D2519" s="7" t="s">
        <v>161</v>
      </c>
      <c r="E2519" s="7" t="s">
        <v>31</v>
      </c>
      <c r="F2519" s="0" t="n">
        <v>129.93</v>
      </c>
      <c r="G2519" s="0" t="n">
        <v>12.993</v>
      </c>
      <c r="H2519" s="0" t="n">
        <v>0</v>
      </c>
      <c r="I2519" s="7" t="n">
        <f aca="false">YEAR(B2519)</f>
        <v>2017</v>
      </c>
      <c r="J2519" s="0" t="str">
        <f aca="false">I2519&amp;"-Q"&amp;ROUNDUP(MONTH(B2519)/3,0)</f>
        <v>2017-Q2</v>
      </c>
    </row>
    <row r="2520" customFormat="false" ht="15" hidden="false" customHeight="false" outlineLevel="0" collapsed="false">
      <c r="A2520" s="0" t="s">
        <v>1319</v>
      </c>
      <c r="B2520" s="6" t="n">
        <v>42658</v>
      </c>
      <c r="C2520" s="7" t="s">
        <v>45</v>
      </c>
      <c r="D2520" s="7" t="s">
        <v>138</v>
      </c>
      <c r="E2520" s="7" t="s">
        <v>35</v>
      </c>
      <c r="F2520" s="0" t="n">
        <v>20.16</v>
      </c>
      <c r="G2520" s="0" t="n">
        <v>9.8784</v>
      </c>
      <c r="H2520" s="0" t="n">
        <v>0</v>
      </c>
      <c r="I2520" s="7" t="n">
        <f aca="false">YEAR(B2520)</f>
        <v>2016</v>
      </c>
      <c r="J2520" s="0" t="str">
        <f aca="false">I2520&amp;"-Q"&amp;ROUNDUP(MONTH(B2520)/3,0)</f>
        <v>2016-Q4</v>
      </c>
    </row>
    <row r="2521" customFormat="false" ht="15" hidden="false" customHeight="false" outlineLevel="0" collapsed="false">
      <c r="A2521" s="0" t="s">
        <v>1319</v>
      </c>
      <c r="B2521" s="6" t="n">
        <v>42658</v>
      </c>
      <c r="C2521" s="7" t="s">
        <v>45</v>
      </c>
      <c r="D2521" s="7" t="s">
        <v>138</v>
      </c>
      <c r="E2521" s="7" t="s">
        <v>35</v>
      </c>
      <c r="F2521" s="0" t="n">
        <v>29.46</v>
      </c>
      <c r="G2521" s="0" t="n">
        <v>14.4354</v>
      </c>
      <c r="H2521" s="0" t="n">
        <v>0</v>
      </c>
      <c r="I2521" s="7" t="n">
        <f aca="false">YEAR(B2521)</f>
        <v>2016</v>
      </c>
      <c r="J2521" s="0" t="str">
        <f aca="false">I2521&amp;"-Q"&amp;ROUNDUP(MONTH(B2521)/3,0)</f>
        <v>2016-Q4</v>
      </c>
    </row>
    <row r="2522" customFormat="false" ht="15" hidden="false" customHeight="false" outlineLevel="0" collapsed="false">
      <c r="A2522" s="0" t="s">
        <v>1319</v>
      </c>
      <c r="B2522" s="6" t="n">
        <v>42658</v>
      </c>
      <c r="C2522" s="7" t="s">
        <v>45</v>
      </c>
      <c r="D2522" s="7" t="s">
        <v>138</v>
      </c>
      <c r="E2522" s="7" t="s">
        <v>35</v>
      </c>
      <c r="F2522" s="0" t="n">
        <v>868.59</v>
      </c>
      <c r="G2522" s="0" t="n">
        <v>251.8911</v>
      </c>
      <c r="H2522" s="0" t="n">
        <v>0</v>
      </c>
      <c r="I2522" s="7" t="n">
        <f aca="false">YEAR(B2522)</f>
        <v>2016</v>
      </c>
      <c r="J2522" s="0" t="str">
        <f aca="false">I2522&amp;"-Q"&amp;ROUNDUP(MONTH(B2522)/3,0)</f>
        <v>2016-Q4</v>
      </c>
    </row>
    <row r="2523" customFormat="false" ht="15" hidden="false" customHeight="false" outlineLevel="0" collapsed="false">
      <c r="A2523" s="0" t="s">
        <v>1319</v>
      </c>
      <c r="B2523" s="6" t="n">
        <v>42658</v>
      </c>
      <c r="C2523" s="7" t="s">
        <v>45</v>
      </c>
      <c r="D2523" s="7" t="s">
        <v>138</v>
      </c>
      <c r="E2523" s="7" t="s">
        <v>35</v>
      </c>
      <c r="F2523" s="0" t="n">
        <v>12.96</v>
      </c>
      <c r="G2523" s="0" t="n">
        <v>6.2208</v>
      </c>
      <c r="H2523" s="0" t="n">
        <v>0</v>
      </c>
      <c r="I2523" s="7" t="n">
        <f aca="false">YEAR(B2523)</f>
        <v>2016</v>
      </c>
      <c r="J2523" s="0" t="str">
        <f aca="false">I2523&amp;"-Q"&amp;ROUNDUP(MONTH(B2523)/3,0)</f>
        <v>2016-Q4</v>
      </c>
    </row>
    <row r="2524" customFormat="false" ht="15" hidden="false" customHeight="false" outlineLevel="0" collapsed="false">
      <c r="A2524" s="0" t="s">
        <v>1319</v>
      </c>
      <c r="B2524" s="6" t="n">
        <v>42658</v>
      </c>
      <c r="C2524" s="7" t="s">
        <v>45</v>
      </c>
      <c r="D2524" s="7" t="s">
        <v>138</v>
      </c>
      <c r="E2524" s="7" t="s">
        <v>39</v>
      </c>
      <c r="F2524" s="0" t="n">
        <v>5.5</v>
      </c>
      <c r="G2524" s="0" t="n">
        <v>1.375</v>
      </c>
      <c r="H2524" s="0" t="n">
        <v>0</v>
      </c>
      <c r="I2524" s="7" t="n">
        <f aca="false">YEAR(B2524)</f>
        <v>2016</v>
      </c>
      <c r="J2524" s="0" t="str">
        <f aca="false">I2524&amp;"-Q"&amp;ROUNDUP(MONTH(B2524)/3,0)</f>
        <v>2016-Q4</v>
      </c>
    </row>
    <row r="2525" customFormat="false" ht="15" hidden="false" customHeight="false" outlineLevel="0" collapsed="false">
      <c r="A2525" s="0" t="s">
        <v>1319</v>
      </c>
      <c r="B2525" s="6" t="n">
        <v>42658</v>
      </c>
      <c r="C2525" s="7" t="s">
        <v>45</v>
      </c>
      <c r="D2525" s="7" t="s">
        <v>138</v>
      </c>
      <c r="E2525" s="7" t="s">
        <v>35</v>
      </c>
      <c r="F2525" s="0" t="n">
        <v>121.6</v>
      </c>
      <c r="G2525" s="0" t="n">
        <v>55.936</v>
      </c>
      <c r="H2525" s="0" t="n">
        <v>0</v>
      </c>
      <c r="I2525" s="7" t="n">
        <f aca="false">YEAR(B2525)</f>
        <v>2016</v>
      </c>
      <c r="J2525" s="0" t="str">
        <f aca="false">I2525&amp;"-Q"&amp;ROUNDUP(MONTH(B2525)/3,0)</f>
        <v>2016-Q4</v>
      </c>
    </row>
    <row r="2526" customFormat="false" ht="15" hidden="false" customHeight="false" outlineLevel="0" collapsed="false">
      <c r="A2526" s="0" t="s">
        <v>1320</v>
      </c>
      <c r="B2526" s="6" t="n">
        <v>42100</v>
      </c>
      <c r="C2526" s="7" t="s">
        <v>45</v>
      </c>
      <c r="D2526" s="7" t="s">
        <v>46</v>
      </c>
      <c r="E2526" s="7" t="s">
        <v>35</v>
      </c>
      <c r="F2526" s="0" t="n">
        <v>42.048</v>
      </c>
      <c r="G2526" s="0" t="n">
        <v>5.256</v>
      </c>
      <c r="H2526" s="0" t="n">
        <v>0.2</v>
      </c>
      <c r="I2526" s="7" t="n">
        <f aca="false">YEAR(B2526)</f>
        <v>2015</v>
      </c>
      <c r="J2526" s="0" t="str">
        <f aca="false">I2526&amp;"-Q"&amp;ROUNDUP(MONTH(B2526)/3,0)</f>
        <v>2015-Q2</v>
      </c>
    </row>
    <row r="2527" customFormat="false" ht="15" hidden="false" customHeight="false" outlineLevel="0" collapsed="false">
      <c r="A2527" s="0" t="s">
        <v>1320</v>
      </c>
      <c r="B2527" s="6" t="n">
        <v>42100</v>
      </c>
      <c r="C2527" s="7" t="s">
        <v>45</v>
      </c>
      <c r="D2527" s="7" t="s">
        <v>46</v>
      </c>
      <c r="E2527" s="7" t="s">
        <v>39</v>
      </c>
      <c r="F2527" s="0" t="n">
        <v>25.488</v>
      </c>
      <c r="G2527" s="0" t="n">
        <v>4.4604</v>
      </c>
      <c r="H2527" s="0" t="n">
        <v>0.2</v>
      </c>
      <c r="I2527" s="7" t="n">
        <f aca="false">YEAR(B2527)</f>
        <v>2015</v>
      </c>
      <c r="J2527" s="0" t="str">
        <f aca="false">I2527&amp;"-Q"&amp;ROUNDUP(MONTH(B2527)/3,0)</f>
        <v>2015-Q2</v>
      </c>
    </row>
    <row r="2528" customFormat="false" ht="15" hidden="false" customHeight="false" outlineLevel="0" collapsed="false">
      <c r="A2528" s="0" t="s">
        <v>1320</v>
      </c>
      <c r="B2528" s="6" t="n">
        <v>42100</v>
      </c>
      <c r="C2528" s="7" t="s">
        <v>45</v>
      </c>
      <c r="D2528" s="7" t="s">
        <v>46</v>
      </c>
      <c r="E2528" s="7" t="s">
        <v>35</v>
      </c>
      <c r="F2528" s="0" t="n">
        <v>6.9</v>
      </c>
      <c r="G2528" s="0" t="n">
        <v>-12.075</v>
      </c>
      <c r="H2528" s="0" t="n">
        <v>0.8</v>
      </c>
      <c r="I2528" s="7" t="n">
        <f aca="false">YEAR(B2528)</f>
        <v>2015</v>
      </c>
      <c r="J2528" s="0" t="str">
        <f aca="false">I2528&amp;"-Q"&amp;ROUNDUP(MONTH(B2528)/3,0)</f>
        <v>2015-Q2</v>
      </c>
    </row>
    <row r="2529" customFormat="false" ht="15" hidden="false" customHeight="false" outlineLevel="0" collapsed="false">
      <c r="A2529" s="0" t="s">
        <v>1320</v>
      </c>
      <c r="B2529" s="6" t="n">
        <v>42100</v>
      </c>
      <c r="C2529" s="7" t="s">
        <v>45</v>
      </c>
      <c r="D2529" s="7" t="s">
        <v>46</v>
      </c>
      <c r="E2529" s="7" t="s">
        <v>35</v>
      </c>
      <c r="F2529" s="0" t="n">
        <v>9.648</v>
      </c>
      <c r="G2529" s="0" t="n">
        <v>-16.884</v>
      </c>
      <c r="H2529" s="0" t="n">
        <v>0.8</v>
      </c>
      <c r="I2529" s="7" t="n">
        <f aca="false">YEAR(B2529)</f>
        <v>2015</v>
      </c>
      <c r="J2529" s="0" t="str">
        <f aca="false">I2529&amp;"-Q"&amp;ROUNDUP(MONTH(B2529)/3,0)</f>
        <v>2015-Q2</v>
      </c>
    </row>
    <row r="2530" customFormat="false" ht="15" hidden="false" customHeight="false" outlineLevel="0" collapsed="false">
      <c r="A2530" s="0" t="s">
        <v>1320</v>
      </c>
      <c r="B2530" s="6" t="n">
        <v>42100</v>
      </c>
      <c r="C2530" s="7" t="s">
        <v>45</v>
      </c>
      <c r="D2530" s="7" t="s">
        <v>46</v>
      </c>
      <c r="E2530" s="7" t="s">
        <v>35</v>
      </c>
      <c r="F2530" s="0" t="n">
        <v>7.968</v>
      </c>
      <c r="G2530" s="0" t="n">
        <v>2.8884</v>
      </c>
      <c r="H2530" s="0" t="n">
        <v>0.2</v>
      </c>
      <c r="I2530" s="7" t="n">
        <f aca="false">YEAR(B2530)</f>
        <v>2015</v>
      </c>
      <c r="J2530" s="0" t="str">
        <f aca="false">I2530&amp;"-Q"&amp;ROUNDUP(MONTH(B2530)/3,0)</f>
        <v>2015-Q2</v>
      </c>
    </row>
    <row r="2531" customFormat="false" ht="15" hidden="false" customHeight="false" outlineLevel="0" collapsed="false">
      <c r="A2531" s="0" t="s">
        <v>1321</v>
      </c>
      <c r="B2531" s="6" t="n">
        <v>41936</v>
      </c>
      <c r="C2531" s="7" t="s">
        <v>29</v>
      </c>
      <c r="D2531" s="7" t="s">
        <v>37</v>
      </c>
      <c r="E2531" s="7" t="s">
        <v>35</v>
      </c>
      <c r="F2531" s="0" t="n">
        <v>10.368</v>
      </c>
      <c r="G2531" s="0" t="n">
        <v>3.6288</v>
      </c>
      <c r="H2531" s="0" t="n">
        <v>0.2</v>
      </c>
      <c r="I2531" s="7" t="n">
        <f aca="false">YEAR(B2531)</f>
        <v>2014</v>
      </c>
      <c r="J2531" s="0" t="str">
        <f aca="false">I2531&amp;"-Q"&amp;ROUNDUP(MONTH(B2531)/3,0)</f>
        <v>2014-Q4</v>
      </c>
    </row>
    <row r="2532" customFormat="false" ht="15" hidden="false" customHeight="false" outlineLevel="0" collapsed="false">
      <c r="A2532" s="0" t="s">
        <v>1322</v>
      </c>
      <c r="B2532" s="6" t="n">
        <v>41868</v>
      </c>
      <c r="C2532" s="7" t="s">
        <v>29</v>
      </c>
      <c r="D2532" s="7" t="s">
        <v>301</v>
      </c>
      <c r="E2532" s="7" t="s">
        <v>35</v>
      </c>
      <c r="F2532" s="0" t="n">
        <v>114.2</v>
      </c>
      <c r="G2532" s="0" t="n">
        <v>52.532</v>
      </c>
      <c r="H2532" s="0" t="n">
        <v>0</v>
      </c>
      <c r="I2532" s="7" t="n">
        <f aca="false">YEAR(B2532)</f>
        <v>2014</v>
      </c>
      <c r="J2532" s="0" t="str">
        <f aca="false">I2532&amp;"-Q"&amp;ROUNDUP(MONTH(B2532)/3,0)</f>
        <v>2014-Q3</v>
      </c>
    </row>
    <row r="2533" customFormat="false" ht="15" hidden="false" customHeight="false" outlineLevel="0" collapsed="false">
      <c r="A2533" s="0" t="s">
        <v>1322</v>
      </c>
      <c r="B2533" s="6" t="n">
        <v>41868</v>
      </c>
      <c r="C2533" s="7" t="s">
        <v>29</v>
      </c>
      <c r="D2533" s="7" t="s">
        <v>301</v>
      </c>
      <c r="E2533" s="7" t="s">
        <v>35</v>
      </c>
      <c r="F2533" s="0" t="n">
        <v>17.96</v>
      </c>
      <c r="G2533" s="0" t="n">
        <v>8.2616</v>
      </c>
      <c r="H2533" s="0" t="n">
        <v>0</v>
      </c>
      <c r="I2533" s="7" t="n">
        <f aca="false">YEAR(B2533)</f>
        <v>2014</v>
      </c>
      <c r="J2533" s="0" t="str">
        <f aca="false">I2533&amp;"-Q"&amp;ROUNDUP(MONTH(B2533)/3,0)</f>
        <v>2014-Q3</v>
      </c>
    </row>
    <row r="2534" customFormat="false" ht="15" hidden="false" customHeight="false" outlineLevel="0" collapsed="false">
      <c r="A2534" s="0" t="s">
        <v>1322</v>
      </c>
      <c r="B2534" s="6" t="n">
        <v>41868</v>
      </c>
      <c r="C2534" s="7" t="s">
        <v>29</v>
      </c>
      <c r="D2534" s="7" t="s">
        <v>301</v>
      </c>
      <c r="E2534" s="7" t="s">
        <v>35</v>
      </c>
      <c r="F2534" s="0" t="n">
        <v>12.67</v>
      </c>
      <c r="G2534" s="0" t="n">
        <v>4.5612</v>
      </c>
      <c r="H2534" s="0" t="n">
        <v>0</v>
      </c>
      <c r="I2534" s="7" t="n">
        <f aca="false">YEAR(B2534)</f>
        <v>2014</v>
      </c>
      <c r="J2534" s="0" t="str">
        <f aca="false">I2534&amp;"-Q"&amp;ROUNDUP(MONTH(B2534)/3,0)</f>
        <v>2014-Q3</v>
      </c>
    </row>
    <row r="2535" customFormat="false" ht="15" hidden="false" customHeight="false" outlineLevel="0" collapsed="false">
      <c r="A2535" s="0" t="s">
        <v>1322</v>
      </c>
      <c r="B2535" s="6" t="n">
        <v>41868</v>
      </c>
      <c r="C2535" s="7" t="s">
        <v>29</v>
      </c>
      <c r="D2535" s="7" t="s">
        <v>301</v>
      </c>
      <c r="E2535" s="7" t="s">
        <v>39</v>
      </c>
      <c r="F2535" s="0" t="n">
        <v>339.96</v>
      </c>
      <c r="G2535" s="0" t="n">
        <v>122.3856</v>
      </c>
      <c r="H2535" s="0" t="n">
        <v>0</v>
      </c>
      <c r="I2535" s="7" t="n">
        <f aca="false">YEAR(B2535)</f>
        <v>2014</v>
      </c>
      <c r="J2535" s="0" t="str">
        <f aca="false">I2535&amp;"-Q"&amp;ROUNDUP(MONTH(B2535)/3,0)</f>
        <v>2014-Q3</v>
      </c>
    </row>
    <row r="2536" customFormat="false" ht="15" hidden="false" customHeight="false" outlineLevel="0" collapsed="false">
      <c r="A2536" s="0" t="s">
        <v>1323</v>
      </c>
      <c r="B2536" s="6" t="n">
        <v>42962</v>
      </c>
      <c r="C2536" s="7" t="s">
        <v>55</v>
      </c>
      <c r="D2536" s="7" t="s">
        <v>56</v>
      </c>
      <c r="E2536" s="7" t="s">
        <v>35</v>
      </c>
      <c r="F2536" s="0" t="n">
        <v>1801.632</v>
      </c>
      <c r="G2536" s="0" t="n">
        <v>-337.806</v>
      </c>
      <c r="H2536" s="0" t="n">
        <v>0.2</v>
      </c>
      <c r="I2536" s="7" t="n">
        <f aca="false">YEAR(B2536)</f>
        <v>2017</v>
      </c>
      <c r="J2536" s="0" t="str">
        <f aca="false">I2536&amp;"-Q"&amp;ROUNDUP(MONTH(B2536)/3,0)</f>
        <v>2017-Q3</v>
      </c>
    </row>
    <row r="2537" customFormat="false" ht="15" hidden="false" customHeight="false" outlineLevel="0" collapsed="false">
      <c r="A2537" s="0" t="s">
        <v>1324</v>
      </c>
      <c r="B2537" s="6" t="n">
        <v>42253</v>
      </c>
      <c r="C2537" s="7" t="s">
        <v>33</v>
      </c>
      <c r="D2537" s="7" t="s">
        <v>34</v>
      </c>
      <c r="E2537" s="7" t="s">
        <v>39</v>
      </c>
      <c r="F2537" s="0" t="n">
        <v>46.32</v>
      </c>
      <c r="G2537" s="0" t="n">
        <v>18.0648</v>
      </c>
      <c r="H2537" s="0" t="n">
        <v>0</v>
      </c>
      <c r="I2537" s="7" t="n">
        <f aca="false">YEAR(B2537)</f>
        <v>2015</v>
      </c>
      <c r="J2537" s="0" t="str">
        <f aca="false">I2537&amp;"-Q"&amp;ROUNDUP(MONTH(B2537)/3,0)</f>
        <v>2015-Q3</v>
      </c>
    </row>
    <row r="2538" customFormat="false" ht="15" hidden="false" customHeight="false" outlineLevel="0" collapsed="false">
      <c r="A2538" s="0" t="s">
        <v>1325</v>
      </c>
      <c r="B2538" s="6" t="n">
        <v>42031</v>
      </c>
      <c r="C2538" s="7" t="s">
        <v>55</v>
      </c>
      <c r="D2538" s="7" t="s">
        <v>116</v>
      </c>
      <c r="E2538" s="7" t="s">
        <v>31</v>
      </c>
      <c r="F2538" s="0" t="n">
        <v>181.986</v>
      </c>
      <c r="G2538" s="0" t="n">
        <v>-54.5958</v>
      </c>
      <c r="H2538" s="0" t="n">
        <v>0.3</v>
      </c>
      <c r="I2538" s="7" t="n">
        <f aca="false">YEAR(B2538)</f>
        <v>2015</v>
      </c>
      <c r="J2538" s="0" t="str">
        <f aca="false">I2538&amp;"-Q"&amp;ROUNDUP(MONTH(B2538)/3,0)</f>
        <v>2015-Q1</v>
      </c>
    </row>
    <row r="2539" customFormat="false" ht="15" hidden="false" customHeight="false" outlineLevel="0" collapsed="false">
      <c r="A2539" s="0" t="s">
        <v>1325</v>
      </c>
      <c r="B2539" s="6" t="n">
        <v>42031</v>
      </c>
      <c r="C2539" s="7" t="s">
        <v>55</v>
      </c>
      <c r="D2539" s="7" t="s">
        <v>116</v>
      </c>
      <c r="E2539" s="7" t="s">
        <v>39</v>
      </c>
      <c r="F2539" s="0" t="n">
        <v>431.976</v>
      </c>
      <c r="G2539" s="0" t="n">
        <v>-100.7944</v>
      </c>
      <c r="H2539" s="0" t="n">
        <v>0.4</v>
      </c>
      <c r="I2539" s="7" t="n">
        <f aca="false">YEAR(B2539)</f>
        <v>2015</v>
      </c>
      <c r="J2539" s="0" t="str">
        <f aca="false">I2539&amp;"-Q"&amp;ROUNDUP(MONTH(B2539)/3,0)</f>
        <v>2015-Q1</v>
      </c>
    </row>
    <row r="2540" customFormat="false" ht="15" hidden="false" customHeight="false" outlineLevel="0" collapsed="false">
      <c r="A2540" s="0" t="s">
        <v>1325</v>
      </c>
      <c r="B2540" s="6" t="n">
        <v>42031</v>
      </c>
      <c r="C2540" s="7" t="s">
        <v>55</v>
      </c>
      <c r="D2540" s="7" t="s">
        <v>116</v>
      </c>
      <c r="E2540" s="7" t="s">
        <v>39</v>
      </c>
      <c r="F2540" s="0" t="n">
        <v>155.37</v>
      </c>
      <c r="G2540" s="0" t="n">
        <v>-36.253</v>
      </c>
      <c r="H2540" s="0" t="n">
        <v>0.4</v>
      </c>
      <c r="I2540" s="7" t="n">
        <f aca="false">YEAR(B2540)</f>
        <v>2015</v>
      </c>
      <c r="J2540" s="0" t="str">
        <f aca="false">I2540&amp;"-Q"&amp;ROUNDUP(MONTH(B2540)/3,0)</f>
        <v>2015-Q1</v>
      </c>
    </row>
    <row r="2541" customFormat="false" ht="15" hidden="false" customHeight="false" outlineLevel="0" collapsed="false">
      <c r="A2541" s="0" t="s">
        <v>1326</v>
      </c>
      <c r="B2541" s="6" t="n">
        <v>42201</v>
      </c>
      <c r="C2541" s="7" t="s">
        <v>33</v>
      </c>
      <c r="D2541" s="7" t="s">
        <v>34</v>
      </c>
      <c r="E2541" s="7" t="s">
        <v>31</v>
      </c>
      <c r="F2541" s="0" t="n">
        <v>1348.704</v>
      </c>
      <c r="G2541" s="0" t="n">
        <v>-219.1644</v>
      </c>
      <c r="H2541" s="0" t="n">
        <v>0.2</v>
      </c>
      <c r="I2541" s="7" t="n">
        <f aca="false">YEAR(B2541)</f>
        <v>2015</v>
      </c>
      <c r="J2541" s="0" t="str">
        <f aca="false">I2541&amp;"-Q"&amp;ROUNDUP(MONTH(B2541)/3,0)</f>
        <v>2015-Q3</v>
      </c>
    </row>
    <row r="2542" customFormat="false" ht="15" hidden="false" customHeight="false" outlineLevel="0" collapsed="false">
      <c r="A2542" s="0" t="s">
        <v>1326</v>
      </c>
      <c r="B2542" s="6" t="n">
        <v>42201</v>
      </c>
      <c r="C2542" s="7" t="s">
        <v>33</v>
      </c>
      <c r="D2542" s="7" t="s">
        <v>34</v>
      </c>
      <c r="E2542" s="7" t="s">
        <v>31</v>
      </c>
      <c r="F2542" s="0" t="n">
        <v>700.152</v>
      </c>
      <c r="G2542" s="0" t="n">
        <v>78.7671</v>
      </c>
      <c r="H2542" s="0" t="n">
        <v>0.2</v>
      </c>
      <c r="I2542" s="7" t="n">
        <f aca="false">YEAR(B2542)</f>
        <v>2015</v>
      </c>
      <c r="J2542" s="0" t="str">
        <f aca="false">I2542&amp;"-Q"&amp;ROUNDUP(MONTH(B2542)/3,0)</f>
        <v>2015-Q3</v>
      </c>
    </row>
    <row r="2543" customFormat="false" ht="15" hidden="false" customHeight="false" outlineLevel="0" collapsed="false">
      <c r="A2543" s="0" t="s">
        <v>1327</v>
      </c>
      <c r="B2543" s="6" t="n">
        <v>42490</v>
      </c>
      <c r="C2543" s="7" t="s">
        <v>33</v>
      </c>
      <c r="D2543" s="7" t="s">
        <v>81</v>
      </c>
      <c r="E2543" s="7" t="s">
        <v>31</v>
      </c>
      <c r="F2543" s="0" t="n">
        <v>111.888</v>
      </c>
      <c r="G2543" s="0" t="n">
        <v>22.3776</v>
      </c>
      <c r="H2543" s="0" t="n">
        <v>0.2</v>
      </c>
      <c r="I2543" s="7" t="n">
        <f aca="false">YEAR(B2543)</f>
        <v>2016</v>
      </c>
      <c r="J2543" s="0" t="str">
        <f aca="false">I2543&amp;"-Q"&amp;ROUNDUP(MONTH(B2543)/3,0)</f>
        <v>2016-Q2</v>
      </c>
    </row>
    <row r="2544" customFormat="false" ht="15" hidden="false" customHeight="false" outlineLevel="0" collapsed="false">
      <c r="A2544" s="0" t="s">
        <v>1328</v>
      </c>
      <c r="B2544" s="6" t="n">
        <v>41908</v>
      </c>
      <c r="C2544" s="7" t="s">
        <v>55</v>
      </c>
      <c r="D2544" s="7" t="s">
        <v>56</v>
      </c>
      <c r="E2544" s="7" t="s">
        <v>35</v>
      </c>
      <c r="F2544" s="0" t="n">
        <v>143.952</v>
      </c>
      <c r="G2544" s="0" t="n">
        <v>14.3952</v>
      </c>
      <c r="H2544" s="0" t="n">
        <v>0.2</v>
      </c>
      <c r="I2544" s="7" t="n">
        <f aca="false">YEAR(B2544)</f>
        <v>2014</v>
      </c>
      <c r="J2544" s="0" t="str">
        <f aca="false">I2544&amp;"-Q"&amp;ROUNDUP(MONTH(B2544)/3,0)</f>
        <v>2014-Q3</v>
      </c>
    </row>
    <row r="2545" customFormat="false" ht="15" hidden="false" customHeight="false" outlineLevel="0" collapsed="false">
      <c r="A2545" s="0" t="s">
        <v>1329</v>
      </c>
      <c r="B2545" s="6" t="n">
        <v>42621</v>
      </c>
      <c r="C2545" s="7" t="s">
        <v>55</v>
      </c>
      <c r="D2545" s="7" t="s">
        <v>225</v>
      </c>
      <c r="E2545" s="7" t="s">
        <v>31</v>
      </c>
      <c r="F2545" s="0" t="n">
        <v>173.94</v>
      </c>
      <c r="G2545" s="0" t="n">
        <v>13.9152</v>
      </c>
      <c r="H2545" s="0" t="n">
        <v>0</v>
      </c>
      <c r="I2545" s="7" t="n">
        <f aca="false">YEAR(B2545)</f>
        <v>2016</v>
      </c>
      <c r="J2545" s="0" t="str">
        <f aca="false">I2545&amp;"-Q"&amp;ROUNDUP(MONTH(B2545)/3,0)</f>
        <v>2016-Q3</v>
      </c>
    </row>
    <row r="2546" customFormat="false" ht="15" hidden="false" customHeight="false" outlineLevel="0" collapsed="false">
      <c r="A2546" s="0" t="s">
        <v>1329</v>
      </c>
      <c r="B2546" s="6" t="n">
        <v>42621</v>
      </c>
      <c r="C2546" s="7" t="s">
        <v>55</v>
      </c>
      <c r="D2546" s="7" t="s">
        <v>225</v>
      </c>
      <c r="E2546" s="7" t="s">
        <v>35</v>
      </c>
      <c r="F2546" s="0" t="n">
        <v>14.76</v>
      </c>
      <c r="G2546" s="0" t="n">
        <v>6.9372</v>
      </c>
      <c r="H2546" s="0" t="n">
        <v>0</v>
      </c>
      <c r="I2546" s="7" t="n">
        <f aca="false">YEAR(B2546)</f>
        <v>2016</v>
      </c>
      <c r="J2546" s="0" t="str">
        <f aca="false">I2546&amp;"-Q"&amp;ROUNDUP(MONTH(B2546)/3,0)</f>
        <v>2016-Q3</v>
      </c>
    </row>
    <row r="2547" customFormat="false" ht="15" hidden="false" customHeight="false" outlineLevel="0" collapsed="false">
      <c r="A2547" s="0" t="s">
        <v>1330</v>
      </c>
      <c r="B2547" s="6" t="n">
        <v>42841</v>
      </c>
      <c r="C2547" s="7" t="s">
        <v>33</v>
      </c>
      <c r="D2547" s="7" t="s">
        <v>34</v>
      </c>
      <c r="E2547" s="7" t="s">
        <v>35</v>
      </c>
      <c r="F2547" s="0" t="n">
        <v>205.92</v>
      </c>
      <c r="G2547" s="0" t="n">
        <v>2.0592</v>
      </c>
      <c r="H2547" s="0" t="n">
        <v>0</v>
      </c>
      <c r="I2547" s="7" t="n">
        <f aca="false">YEAR(B2547)</f>
        <v>2017</v>
      </c>
      <c r="J2547" s="0" t="str">
        <f aca="false">I2547&amp;"-Q"&amp;ROUNDUP(MONTH(B2547)/3,0)</f>
        <v>2017-Q2</v>
      </c>
    </row>
    <row r="2548" customFormat="false" ht="15" hidden="false" customHeight="false" outlineLevel="0" collapsed="false">
      <c r="A2548" s="0" t="s">
        <v>1330</v>
      </c>
      <c r="B2548" s="6" t="n">
        <v>42841</v>
      </c>
      <c r="C2548" s="7" t="s">
        <v>33</v>
      </c>
      <c r="D2548" s="7" t="s">
        <v>34</v>
      </c>
      <c r="E2548" s="7" t="s">
        <v>31</v>
      </c>
      <c r="F2548" s="0" t="n">
        <v>102.833</v>
      </c>
      <c r="G2548" s="0" t="n">
        <v>-6.049</v>
      </c>
      <c r="H2548" s="0" t="n">
        <v>0.15</v>
      </c>
      <c r="I2548" s="7" t="n">
        <f aca="false">YEAR(B2548)</f>
        <v>2017</v>
      </c>
      <c r="J2548" s="0" t="str">
        <f aca="false">I2548&amp;"-Q"&amp;ROUNDUP(MONTH(B2548)/3,0)</f>
        <v>2017-Q2</v>
      </c>
    </row>
    <row r="2549" customFormat="false" ht="15" hidden="false" customHeight="false" outlineLevel="0" collapsed="false">
      <c r="A2549" s="0" t="s">
        <v>1331</v>
      </c>
      <c r="B2549" s="6" t="n">
        <v>42232</v>
      </c>
      <c r="C2549" s="7" t="s">
        <v>33</v>
      </c>
      <c r="D2549" s="7" t="s">
        <v>81</v>
      </c>
      <c r="E2549" s="7" t="s">
        <v>35</v>
      </c>
      <c r="F2549" s="0" t="n">
        <v>2.304</v>
      </c>
      <c r="G2549" s="0" t="n">
        <v>0.2592</v>
      </c>
      <c r="H2549" s="0" t="n">
        <v>0.2</v>
      </c>
      <c r="I2549" s="7" t="n">
        <f aca="false">YEAR(B2549)</f>
        <v>2015</v>
      </c>
      <c r="J2549" s="0" t="str">
        <f aca="false">I2549&amp;"-Q"&amp;ROUNDUP(MONTH(B2549)/3,0)</f>
        <v>2015-Q3</v>
      </c>
    </row>
    <row r="2550" customFormat="false" ht="15" hidden="false" customHeight="false" outlineLevel="0" collapsed="false">
      <c r="A2550" s="0" t="s">
        <v>1331</v>
      </c>
      <c r="B2550" s="6" t="n">
        <v>42232</v>
      </c>
      <c r="C2550" s="7" t="s">
        <v>33</v>
      </c>
      <c r="D2550" s="7" t="s">
        <v>81</v>
      </c>
      <c r="E2550" s="7" t="s">
        <v>39</v>
      </c>
      <c r="F2550" s="0" t="n">
        <v>1879.96</v>
      </c>
      <c r="G2550" s="0" t="n">
        <v>211.4955</v>
      </c>
      <c r="H2550" s="0" t="n">
        <v>0.2</v>
      </c>
      <c r="I2550" s="7" t="n">
        <f aca="false">YEAR(B2550)</f>
        <v>2015</v>
      </c>
      <c r="J2550" s="0" t="str">
        <f aca="false">I2550&amp;"-Q"&amp;ROUNDUP(MONTH(B2550)/3,0)</f>
        <v>2015-Q3</v>
      </c>
    </row>
    <row r="2551" customFormat="false" ht="15" hidden="false" customHeight="false" outlineLevel="0" collapsed="false">
      <c r="A2551" s="0" t="s">
        <v>1331</v>
      </c>
      <c r="B2551" s="6" t="n">
        <v>42232</v>
      </c>
      <c r="C2551" s="7" t="s">
        <v>33</v>
      </c>
      <c r="D2551" s="7" t="s">
        <v>81</v>
      </c>
      <c r="E2551" s="7" t="s">
        <v>35</v>
      </c>
      <c r="F2551" s="0" t="n">
        <v>313.024</v>
      </c>
      <c r="G2551" s="0" t="n">
        <v>105.6456</v>
      </c>
      <c r="H2551" s="0" t="n">
        <v>0.2</v>
      </c>
      <c r="I2551" s="7" t="n">
        <f aca="false">YEAR(B2551)</f>
        <v>2015</v>
      </c>
      <c r="J2551" s="0" t="str">
        <f aca="false">I2551&amp;"-Q"&amp;ROUNDUP(MONTH(B2551)/3,0)</f>
        <v>2015-Q3</v>
      </c>
    </row>
    <row r="2552" customFormat="false" ht="15" hidden="false" customHeight="false" outlineLevel="0" collapsed="false">
      <c r="A2552" s="0" t="s">
        <v>1331</v>
      </c>
      <c r="B2552" s="6" t="n">
        <v>42232</v>
      </c>
      <c r="C2552" s="7" t="s">
        <v>33</v>
      </c>
      <c r="D2552" s="7" t="s">
        <v>81</v>
      </c>
      <c r="E2552" s="7" t="s">
        <v>35</v>
      </c>
      <c r="F2552" s="0" t="n">
        <v>5.04</v>
      </c>
      <c r="G2552" s="0" t="n">
        <v>1.764</v>
      </c>
      <c r="H2552" s="0" t="n">
        <v>0.2</v>
      </c>
      <c r="I2552" s="7" t="n">
        <f aca="false">YEAR(B2552)</f>
        <v>2015</v>
      </c>
      <c r="J2552" s="0" t="str">
        <f aca="false">I2552&amp;"-Q"&amp;ROUNDUP(MONTH(B2552)/3,0)</f>
        <v>2015-Q3</v>
      </c>
    </row>
    <row r="2553" customFormat="false" ht="15" hidden="false" customHeight="false" outlineLevel="0" collapsed="false">
      <c r="A2553" s="0" t="s">
        <v>1332</v>
      </c>
      <c r="B2553" s="6" t="n">
        <v>43058</v>
      </c>
      <c r="C2553" s="7" t="s">
        <v>29</v>
      </c>
      <c r="D2553" s="7" t="s">
        <v>30</v>
      </c>
      <c r="E2553" s="7" t="s">
        <v>31</v>
      </c>
      <c r="F2553" s="0" t="n">
        <v>821.88</v>
      </c>
      <c r="G2553" s="0" t="n">
        <v>213.6888</v>
      </c>
      <c r="H2553" s="0" t="n">
        <v>0</v>
      </c>
      <c r="I2553" s="7" t="n">
        <f aca="false">YEAR(B2553)</f>
        <v>2017</v>
      </c>
      <c r="J2553" s="0" t="str">
        <f aca="false">I2553&amp;"-Q"&amp;ROUNDUP(MONTH(B2553)/3,0)</f>
        <v>2017-Q4</v>
      </c>
    </row>
    <row r="2554" customFormat="false" ht="15" hidden="false" customHeight="false" outlineLevel="0" collapsed="false">
      <c r="A2554" s="0" t="s">
        <v>1332</v>
      </c>
      <c r="B2554" s="6" t="n">
        <v>43058</v>
      </c>
      <c r="C2554" s="7" t="s">
        <v>29</v>
      </c>
      <c r="D2554" s="7" t="s">
        <v>30</v>
      </c>
      <c r="E2554" s="7" t="s">
        <v>35</v>
      </c>
      <c r="F2554" s="0" t="n">
        <v>21.96</v>
      </c>
      <c r="G2554" s="0" t="n">
        <v>10.7604</v>
      </c>
      <c r="H2554" s="0" t="n">
        <v>0</v>
      </c>
      <c r="I2554" s="7" t="n">
        <f aca="false">YEAR(B2554)</f>
        <v>2017</v>
      </c>
      <c r="J2554" s="0" t="str">
        <f aca="false">I2554&amp;"-Q"&amp;ROUNDUP(MONTH(B2554)/3,0)</f>
        <v>2017-Q4</v>
      </c>
    </row>
    <row r="2555" customFormat="false" ht="15" hidden="false" customHeight="false" outlineLevel="0" collapsed="false">
      <c r="A2555" s="0" t="s">
        <v>1333</v>
      </c>
      <c r="B2555" s="6" t="n">
        <v>42627</v>
      </c>
      <c r="C2555" s="7" t="s">
        <v>29</v>
      </c>
      <c r="D2555" s="7" t="s">
        <v>96</v>
      </c>
      <c r="E2555" s="7" t="s">
        <v>35</v>
      </c>
      <c r="F2555" s="0" t="n">
        <v>25.92</v>
      </c>
      <c r="G2555" s="0" t="n">
        <v>12.4416</v>
      </c>
      <c r="H2555" s="0" t="n">
        <v>0</v>
      </c>
      <c r="I2555" s="7" t="n">
        <f aca="false">YEAR(B2555)</f>
        <v>2016</v>
      </c>
      <c r="J2555" s="0" t="str">
        <f aca="false">I2555&amp;"-Q"&amp;ROUNDUP(MONTH(B2555)/3,0)</f>
        <v>2016-Q3</v>
      </c>
    </row>
    <row r="2556" customFormat="false" ht="15" hidden="false" customHeight="false" outlineLevel="0" collapsed="false">
      <c r="A2556" s="0" t="s">
        <v>1334</v>
      </c>
      <c r="B2556" s="6" t="n">
        <v>42597</v>
      </c>
      <c r="C2556" s="7" t="s">
        <v>29</v>
      </c>
      <c r="D2556" s="7" t="s">
        <v>37</v>
      </c>
      <c r="E2556" s="7" t="s">
        <v>39</v>
      </c>
      <c r="F2556" s="0" t="n">
        <v>705.544</v>
      </c>
      <c r="G2556" s="0" t="n">
        <v>70.5544</v>
      </c>
      <c r="H2556" s="0" t="n">
        <v>0.2</v>
      </c>
      <c r="I2556" s="7" t="n">
        <f aca="false">YEAR(B2556)</f>
        <v>2016</v>
      </c>
      <c r="J2556" s="0" t="str">
        <f aca="false">I2556&amp;"-Q"&amp;ROUNDUP(MONTH(B2556)/3,0)</f>
        <v>2016-Q3</v>
      </c>
    </row>
    <row r="2557" customFormat="false" ht="15" hidden="false" customHeight="false" outlineLevel="0" collapsed="false">
      <c r="A2557" s="0" t="s">
        <v>1335</v>
      </c>
      <c r="B2557" s="6" t="n">
        <v>42273</v>
      </c>
      <c r="C2557" s="7" t="s">
        <v>55</v>
      </c>
      <c r="D2557" s="7" t="s">
        <v>76</v>
      </c>
      <c r="E2557" s="7" t="s">
        <v>39</v>
      </c>
      <c r="F2557" s="0" t="n">
        <v>50</v>
      </c>
      <c r="G2557" s="0" t="n">
        <v>12</v>
      </c>
      <c r="H2557" s="0" t="n">
        <v>0</v>
      </c>
      <c r="I2557" s="7" t="n">
        <f aca="false">YEAR(B2557)</f>
        <v>2015</v>
      </c>
      <c r="J2557" s="0" t="str">
        <f aca="false">I2557&amp;"-Q"&amp;ROUNDUP(MONTH(B2557)/3,0)</f>
        <v>2015-Q3</v>
      </c>
    </row>
    <row r="2558" customFormat="false" ht="15" hidden="false" customHeight="false" outlineLevel="0" collapsed="false">
      <c r="A2558" s="0" t="s">
        <v>1336</v>
      </c>
      <c r="B2558" s="6" t="n">
        <v>42651</v>
      </c>
      <c r="C2558" s="7" t="s">
        <v>45</v>
      </c>
      <c r="D2558" s="7" t="s">
        <v>46</v>
      </c>
      <c r="E2558" s="7" t="s">
        <v>31</v>
      </c>
      <c r="F2558" s="0" t="n">
        <v>51.712</v>
      </c>
      <c r="G2558" s="0" t="n">
        <v>-32.32</v>
      </c>
      <c r="H2558" s="0" t="n">
        <v>0.6</v>
      </c>
      <c r="I2558" s="7" t="n">
        <f aca="false">YEAR(B2558)</f>
        <v>2016</v>
      </c>
      <c r="J2558" s="0" t="str">
        <f aca="false">I2558&amp;"-Q"&amp;ROUNDUP(MONTH(B2558)/3,0)</f>
        <v>2016-Q4</v>
      </c>
    </row>
    <row r="2559" customFormat="false" ht="15" hidden="false" customHeight="false" outlineLevel="0" collapsed="false">
      <c r="A2559" s="0" t="s">
        <v>1337</v>
      </c>
      <c r="B2559" s="6" t="n">
        <v>42087</v>
      </c>
      <c r="C2559" s="7" t="s">
        <v>29</v>
      </c>
      <c r="D2559" s="7" t="s">
        <v>37</v>
      </c>
      <c r="E2559" s="7" t="s">
        <v>35</v>
      </c>
      <c r="F2559" s="0" t="n">
        <v>6.992</v>
      </c>
      <c r="G2559" s="0" t="n">
        <v>0.5244</v>
      </c>
      <c r="H2559" s="0" t="n">
        <v>0.2</v>
      </c>
      <c r="I2559" s="7" t="n">
        <f aca="false">YEAR(B2559)</f>
        <v>2015</v>
      </c>
      <c r="J2559" s="0" t="str">
        <f aca="false">I2559&amp;"-Q"&amp;ROUNDUP(MONTH(B2559)/3,0)</f>
        <v>2015-Q1</v>
      </c>
    </row>
    <row r="2560" customFormat="false" ht="15" hidden="false" customHeight="false" outlineLevel="0" collapsed="false">
      <c r="A2560" s="0" t="s">
        <v>1338</v>
      </c>
      <c r="B2560" s="6" t="n">
        <v>42155</v>
      </c>
      <c r="C2560" s="7" t="s">
        <v>33</v>
      </c>
      <c r="D2560" s="7" t="s">
        <v>50</v>
      </c>
      <c r="E2560" s="7" t="s">
        <v>31</v>
      </c>
      <c r="F2560" s="0" t="n">
        <v>1406.86</v>
      </c>
      <c r="G2560" s="0" t="n">
        <v>140.686</v>
      </c>
      <c r="H2560" s="0" t="n">
        <v>0</v>
      </c>
      <c r="I2560" s="7" t="n">
        <f aca="false">YEAR(B2560)</f>
        <v>2015</v>
      </c>
      <c r="J2560" s="0" t="str">
        <f aca="false">I2560&amp;"-Q"&amp;ROUNDUP(MONTH(B2560)/3,0)</f>
        <v>2015-Q2</v>
      </c>
    </row>
    <row r="2561" customFormat="false" ht="15" hidden="false" customHeight="false" outlineLevel="0" collapsed="false">
      <c r="A2561" s="0" t="s">
        <v>1338</v>
      </c>
      <c r="B2561" s="6" t="n">
        <v>42155</v>
      </c>
      <c r="C2561" s="7" t="s">
        <v>33</v>
      </c>
      <c r="D2561" s="7" t="s">
        <v>50</v>
      </c>
      <c r="E2561" s="7" t="s">
        <v>35</v>
      </c>
      <c r="F2561" s="0" t="n">
        <v>15.75</v>
      </c>
      <c r="G2561" s="0" t="n">
        <v>7.56</v>
      </c>
      <c r="H2561" s="0" t="n">
        <v>0</v>
      </c>
      <c r="I2561" s="7" t="n">
        <f aca="false">YEAR(B2561)</f>
        <v>2015</v>
      </c>
      <c r="J2561" s="0" t="str">
        <f aca="false">I2561&amp;"-Q"&amp;ROUNDUP(MONTH(B2561)/3,0)</f>
        <v>2015-Q2</v>
      </c>
    </row>
    <row r="2562" customFormat="false" ht="15" hidden="false" customHeight="false" outlineLevel="0" collapsed="false">
      <c r="A2562" s="0" t="s">
        <v>1338</v>
      </c>
      <c r="B2562" s="6" t="n">
        <v>42155</v>
      </c>
      <c r="C2562" s="7" t="s">
        <v>33</v>
      </c>
      <c r="D2562" s="7" t="s">
        <v>50</v>
      </c>
      <c r="E2562" s="7" t="s">
        <v>35</v>
      </c>
      <c r="F2562" s="0" t="n">
        <v>323.1</v>
      </c>
      <c r="G2562" s="0" t="n">
        <v>61.389</v>
      </c>
      <c r="H2562" s="0" t="n">
        <v>0</v>
      </c>
      <c r="I2562" s="7" t="n">
        <f aca="false">YEAR(B2562)</f>
        <v>2015</v>
      </c>
      <c r="J2562" s="0" t="str">
        <f aca="false">I2562&amp;"-Q"&amp;ROUNDUP(MONTH(B2562)/3,0)</f>
        <v>2015-Q2</v>
      </c>
    </row>
    <row r="2563" customFormat="false" ht="15" hidden="false" customHeight="false" outlineLevel="0" collapsed="false">
      <c r="A2563" s="0" t="s">
        <v>1339</v>
      </c>
      <c r="B2563" s="6" t="n">
        <v>42363</v>
      </c>
      <c r="C2563" s="7" t="s">
        <v>29</v>
      </c>
      <c r="D2563" s="7" t="s">
        <v>87</v>
      </c>
      <c r="E2563" s="7" t="s">
        <v>35</v>
      </c>
      <c r="F2563" s="0" t="n">
        <v>9.216</v>
      </c>
      <c r="G2563" s="0" t="n">
        <v>3.3408</v>
      </c>
      <c r="H2563" s="0" t="n">
        <v>0.2</v>
      </c>
      <c r="I2563" s="7" t="n">
        <f aca="false">YEAR(B2563)</f>
        <v>2015</v>
      </c>
      <c r="J2563" s="0" t="str">
        <f aca="false">I2563&amp;"-Q"&amp;ROUNDUP(MONTH(B2563)/3,0)</f>
        <v>2015-Q4</v>
      </c>
    </row>
    <row r="2564" customFormat="false" ht="15" hidden="false" customHeight="false" outlineLevel="0" collapsed="false">
      <c r="A2564" s="0" t="s">
        <v>1339</v>
      </c>
      <c r="B2564" s="6" t="n">
        <v>42363</v>
      </c>
      <c r="C2564" s="7" t="s">
        <v>29</v>
      </c>
      <c r="D2564" s="7" t="s">
        <v>87</v>
      </c>
      <c r="E2564" s="7" t="s">
        <v>35</v>
      </c>
      <c r="F2564" s="0" t="n">
        <v>10.368</v>
      </c>
      <c r="G2564" s="0" t="n">
        <v>3.6288</v>
      </c>
      <c r="H2564" s="0" t="n">
        <v>0.2</v>
      </c>
      <c r="I2564" s="7" t="n">
        <f aca="false">YEAR(B2564)</f>
        <v>2015</v>
      </c>
      <c r="J2564" s="0" t="str">
        <f aca="false">I2564&amp;"-Q"&amp;ROUNDUP(MONTH(B2564)/3,0)</f>
        <v>2015-Q4</v>
      </c>
    </row>
    <row r="2565" customFormat="false" ht="15" hidden="false" customHeight="false" outlineLevel="0" collapsed="false">
      <c r="A2565" s="0" t="s">
        <v>1340</v>
      </c>
      <c r="B2565" s="6" t="n">
        <v>42080</v>
      </c>
      <c r="C2565" s="7" t="s">
        <v>55</v>
      </c>
      <c r="D2565" s="7" t="s">
        <v>76</v>
      </c>
      <c r="E2565" s="7" t="s">
        <v>39</v>
      </c>
      <c r="F2565" s="0" t="n">
        <v>15.02</v>
      </c>
      <c r="G2565" s="0" t="n">
        <v>2.7036</v>
      </c>
      <c r="H2565" s="0" t="n">
        <v>0</v>
      </c>
      <c r="I2565" s="7" t="n">
        <f aca="false">YEAR(B2565)</f>
        <v>2015</v>
      </c>
      <c r="J2565" s="0" t="str">
        <f aca="false">I2565&amp;"-Q"&amp;ROUNDUP(MONTH(B2565)/3,0)</f>
        <v>2015-Q1</v>
      </c>
    </row>
    <row r="2566" customFormat="false" ht="15" hidden="false" customHeight="false" outlineLevel="0" collapsed="false">
      <c r="A2566" s="0" t="s">
        <v>1340</v>
      </c>
      <c r="B2566" s="6" t="n">
        <v>42080</v>
      </c>
      <c r="C2566" s="7" t="s">
        <v>55</v>
      </c>
      <c r="D2566" s="7" t="s">
        <v>76</v>
      </c>
      <c r="E2566" s="7" t="s">
        <v>35</v>
      </c>
      <c r="F2566" s="0" t="n">
        <v>33.82</v>
      </c>
      <c r="G2566" s="0" t="n">
        <v>9.1314</v>
      </c>
      <c r="H2566" s="0" t="n">
        <v>0</v>
      </c>
      <c r="I2566" s="7" t="n">
        <f aca="false">YEAR(B2566)</f>
        <v>2015</v>
      </c>
      <c r="J2566" s="0" t="str">
        <f aca="false">I2566&amp;"-Q"&amp;ROUNDUP(MONTH(B2566)/3,0)</f>
        <v>2015-Q1</v>
      </c>
    </row>
    <row r="2567" customFormat="false" ht="15" hidden="false" customHeight="false" outlineLevel="0" collapsed="false">
      <c r="A2567" s="0" t="s">
        <v>1341</v>
      </c>
      <c r="B2567" s="6" t="n">
        <v>43090</v>
      </c>
      <c r="C2567" s="7" t="s">
        <v>29</v>
      </c>
      <c r="D2567" s="7" t="s">
        <v>30</v>
      </c>
      <c r="E2567" s="7" t="s">
        <v>39</v>
      </c>
      <c r="F2567" s="0" t="n">
        <v>71</v>
      </c>
      <c r="G2567" s="0" t="n">
        <v>27.69</v>
      </c>
      <c r="H2567" s="0" t="n">
        <v>0</v>
      </c>
      <c r="I2567" s="7" t="n">
        <f aca="false">YEAR(B2567)</f>
        <v>2017</v>
      </c>
      <c r="J2567" s="0" t="str">
        <f aca="false">I2567&amp;"-Q"&amp;ROUNDUP(MONTH(B2567)/3,0)</f>
        <v>2017-Q4</v>
      </c>
    </row>
    <row r="2568" customFormat="false" ht="15" hidden="false" customHeight="false" outlineLevel="0" collapsed="false">
      <c r="A2568" s="0" t="s">
        <v>1342</v>
      </c>
      <c r="B2568" s="6" t="n">
        <v>43040</v>
      </c>
      <c r="C2568" s="7" t="s">
        <v>33</v>
      </c>
      <c r="D2568" s="7" t="s">
        <v>43</v>
      </c>
      <c r="E2568" s="7" t="s">
        <v>35</v>
      </c>
      <c r="F2568" s="0" t="n">
        <v>25.12</v>
      </c>
      <c r="G2568" s="0" t="n">
        <v>7.85</v>
      </c>
      <c r="H2568" s="0" t="n">
        <v>0.2</v>
      </c>
      <c r="I2568" s="7" t="n">
        <f aca="false">YEAR(B2568)</f>
        <v>2017</v>
      </c>
      <c r="J2568" s="0" t="str">
        <f aca="false">I2568&amp;"-Q"&amp;ROUNDUP(MONTH(B2568)/3,0)</f>
        <v>2017-Q4</v>
      </c>
    </row>
    <row r="2569" customFormat="false" ht="15" hidden="false" customHeight="false" outlineLevel="0" collapsed="false">
      <c r="A2569" s="0" t="s">
        <v>1342</v>
      </c>
      <c r="B2569" s="6" t="n">
        <v>43040</v>
      </c>
      <c r="C2569" s="7" t="s">
        <v>33</v>
      </c>
      <c r="D2569" s="7" t="s">
        <v>43</v>
      </c>
      <c r="E2569" s="7" t="s">
        <v>31</v>
      </c>
      <c r="F2569" s="0" t="n">
        <v>2665.62</v>
      </c>
      <c r="G2569" s="0" t="n">
        <v>239.9058</v>
      </c>
      <c r="H2569" s="0" t="n">
        <v>0</v>
      </c>
      <c r="I2569" s="7" t="n">
        <f aca="false">YEAR(B2569)</f>
        <v>2017</v>
      </c>
      <c r="J2569" s="0" t="str">
        <f aca="false">I2569&amp;"-Q"&amp;ROUNDUP(MONTH(B2569)/3,0)</f>
        <v>2017-Q4</v>
      </c>
    </row>
    <row r="2570" customFormat="false" ht="15" hidden="false" customHeight="false" outlineLevel="0" collapsed="false">
      <c r="A2570" s="0" t="s">
        <v>1343</v>
      </c>
      <c r="B2570" s="6" t="n">
        <v>42985</v>
      </c>
      <c r="C2570" s="7" t="s">
        <v>55</v>
      </c>
      <c r="D2570" s="7" t="s">
        <v>76</v>
      </c>
      <c r="E2570" s="7" t="s">
        <v>35</v>
      </c>
      <c r="F2570" s="0" t="n">
        <v>478.08</v>
      </c>
      <c r="G2570" s="0" t="n">
        <v>133.8624</v>
      </c>
      <c r="H2570" s="0" t="n">
        <v>0</v>
      </c>
      <c r="I2570" s="7" t="n">
        <f aca="false">YEAR(B2570)</f>
        <v>2017</v>
      </c>
      <c r="J2570" s="0" t="str">
        <f aca="false">I2570&amp;"-Q"&amp;ROUNDUP(MONTH(B2570)/3,0)</f>
        <v>2017-Q3</v>
      </c>
    </row>
    <row r="2571" customFormat="false" ht="15" hidden="false" customHeight="false" outlineLevel="0" collapsed="false">
      <c r="A2571" s="0" t="s">
        <v>1344</v>
      </c>
      <c r="B2571" s="6" t="n">
        <v>43096</v>
      </c>
      <c r="C2571" s="7" t="s">
        <v>55</v>
      </c>
      <c r="D2571" s="7" t="s">
        <v>116</v>
      </c>
      <c r="E2571" s="7" t="s">
        <v>39</v>
      </c>
      <c r="F2571" s="0" t="n">
        <v>164.388</v>
      </c>
      <c r="G2571" s="0" t="n">
        <v>-35.6174</v>
      </c>
      <c r="H2571" s="0" t="n">
        <v>0.4</v>
      </c>
      <c r="I2571" s="7" t="n">
        <f aca="false">YEAR(B2571)</f>
        <v>2017</v>
      </c>
      <c r="J2571" s="0" t="str">
        <f aca="false">I2571&amp;"-Q"&amp;ROUNDUP(MONTH(B2571)/3,0)</f>
        <v>2017-Q4</v>
      </c>
    </row>
    <row r="2572" customFormat="false" ht="15" hidden="false" customHeight="false" outlineLevel="0" collapsed="false">
      <c r="A2572" s="0" t="s">
        <v>1344</v>
      </c>
      <c r="B2572" s="6" t="n">
        <v>43096</v>
      </c>
      <c r="C2572" s="7" t="s">
        <v>55</v>
      </c>
      <c r="D2572" s="7" t="s">
        <v>116</v>
      </c>
      <c r="E2572" s="7" t="s">
        <v>35</v>
      </c>
      <c r="F2572" s="0" t="n">
        <v>13.248</v>
      </c>
      <c r="G2572" s="0" t="n">
        <v>3.6432</v>
      </c>
      <c r="H2572" s="0" t="n">
        <v>0.2</v>
      </c>
      <c r="I2572" s="7" t="n">
        <f aca="false">YEAR(B2572)</f>
        <v>2017</v>
      </c>
      <c r="J2572" s="0" t="str">
        <f aca="false">I2572&amp;"-Q"&amp;ROUNDUP(MONTH(B2572)/3,0)</f>
        <v>2017-Q4</v>
      </c>
    </row>
    <row r="2573" customFormat="false" ht="15" hidden="false" customHeight="false" outlineLevel="0" collapsed="false">
      <c r="A2573" s="0" t="s">
        <v>1345</v>
      </c>
      <c r="B2573" s="6" t="n">
        <v>42932</v>
      </c>
      <c r="C2573" s="7" t="s">
        <v>45</v>
      </c>
      <c r="D2573" s="7" t="s">
        <v>64</v>
      </c>
      <c r="E2573" s="7" t="s">
        <v>35</v>
      </c>
      <c r="F2573" s="0" t="n">
        <v>2.912</v>
      </c>
      <c r="G2573" s="0" t="n">
        <v>0.91</v>
      </c>
      <c r="H2573" s="0" t="n">
        <v>0.2</v>
      </c>
      <c r="I2573" s="7" t="n">
        <f aca="false">YEAR(B2573)</f>
        <v>2017</v>
      </c>
      <c r="J2573" s="0" t="str">
        <f aca="false">I2573&amp;"-Q"&amp;ROUNDUP(MONTH(B2573)/3,0)</f>
        <v>2017-Q3</v>
      </c>
    </row>
    <row r="2574" customFormat="false" ht="15" hidden="false" customHeight="false" outlineLevel="0" collapsed="false">
      <c r="A2574" s="0" t="s">
        <v>1346</v>
      </c>
      <c r="B2574" s="6" t="n">
        <v>42594</v>
      </c>
      <c r="C2574" s="7" t="s">
        <v>45</v>
      </c>
      <c r="D2574" s="7" t="s">
        <v>46</v>
      </c>
      <c r="E2574" s="7" t="s">
        <v>39</v>
      </c>
      <c r="F2574" s="0" t="n">
        <v>1399.944</v>
      </c>
      <c r="G2574" s="0" t="n">
        <v>52.4979</v>
      </c>
      <c r="H2574" s="0" t="n">
        <v>0.2</v>
      </c>
      <c r="I2574" s="7" t="n">
        <f aca="false">YEAR(B2574)</f>
        <v>2016</v>
      </c>
      <c r="J2574" s="0" t="str">
        <f aca="false">I2574&amp;"-Q"&amp;ROUNDUP(MONTH(B2574)/3,0)</f>
        <v>2016-Q3</v>
      </c>
    </row>
    <row r="2575" customFormat="false" ht="15" hidden="false" customHeight="false" outlineLevel="0" collapsed="false">
      <c r="A2575" s="0" t="s">
        <v>1347</v>
      </c>
      <c r="B2575" s="6" t="n">
        <v>42925</v>
      </c>
      <c r="C2575" s="7" t="s">
        <v>45</v>
      </c>
      <c r="D2575" s="7" t="s">
        <v>74</v>
      </c>
      <c r="E2575" s="7" t="s">
        <v>31</v>
      </c>
      <c r="F2575" s="0" t="n">
        <v>526.45</v>
      </c>
      <c r="G2575" s="0" t="n">
        <v>31.587</v>
      </c>
      <c r="H2575" s="0" t="n">
        <v>0</v>
      </c>
      <c r="I2575" s="7" t="n">
        <f aca="false">YEAR(B2575)</f>
        <v>2017</v>
      </c>
      <c r="J2575" s="0" t="str">
        <f aca="false">I2575&amp;"-Q"&amp;ROUNDUP(MONTH(B2575)/3,0)</f>
        <v>2017-Q3</v>
      </c>
    </row>
    <row r="2576" customFormat="false" ht="15" hidden="false" customHeight="false" outlineLevel="0" collapsed="false">
      <c r="A2576" s="0" t="s">
        <v>1348</v>
      </c>
      <c r="B2576" s="6" t="n">
        <v>41965</v>
      </c>
      <c r="C2576" s="7" t="s">
        <v>29</v>
      </c>
      <c r="D2576" s="7" t="s">
        <v>230</v>
      </c>
      <c r="E2576" s="7" t="s">
        <v>35</v>
      </c>
      <c r="F2576" s="0" t="n">
        <v>16.23</v>
      </c>
      <c r="G2576" s="0" t="n">
        <v>7.9527</v>
      </c>
      <c r="H2576" s="0" t="n">
        <v>0</v>
      </c>
      <c r="I2576" s="7" t="n">
        <f aca="false">YEAR(B2576)</f>
        <v>2014</v>
      </c>
      <c r="J2576" s="0" t="str">
        <f aca="false">I2576&amp;"-Q"&amp;ROUNDUP(MONTH(B2576)/3,0)</f>
        <v>2014-Q4</v>
      </c>
    </row>
    <row r="2577" customFormat="false" ht="15" hidden="false" customHeight="false" outlineLevel="0" collapsed="false">
      <c r="A2577" s="0" t="s">
        <v>1348</v>
      </c>
      <c r="B2577" s="6" t="n">
        <v>41965</v>
      </c>
      <c r="C2577" s="7" t="s">
        <v>29</v>
      </c>
      <c r="D2577" s="7" t="s">
        <v>230</v>
      </c>
      <c r="E2577" s="7" t="s">
        <v>35</v>
      </c>
      <c r="F2577" s="0" t="n">
        <v>319.9</v>
      </c>
      <c r="G2577" s="0" t="n">
        <v>156.751</v>
      </c>
      <c r="H2577" s="0" t="n">
        <v>0</v>
      </c>
      <c r="I2577" s="7" t="n">
        <f aca="false">YEAR(B2577)</f>
        <v>2014</v>
      </c>
      <c r="J2577" s="0" t="str">
        <f aca="false">I2577&amp;"-Q"&amp;ROUNDUP(MONTH(B2577)/3,0)</f>
        <v>2014-Q4</v>
      </c>
    </row>
    <row r="2578" customFormat="false" ht="15" hidden="false" customHeight="false" outlineLevel="0" collapsed="false">
      <c r="A2578" s="0" t="s">
        <v>1348</v>
      </c>
      <c r="B2578" s="6" t="n">
        <v>41965</v>
      </c>
      <c r="C2578" s="7" t="s">
        <v>29</v>
      </c>
      <c r="D2578" s="7" t="s">
        <v>230</v>
      </c>
      <c r="E2578" s="7" t="s">
        <v>35</v>
      </c>
      <c r="F2578" s="0" t="n">
        <v>11.36</v>
      </c>
      <c r="G2578" s="0" t="n">
        <v>5.3392</v>
      </c>
      <c r="H2578" s="0" t="n">
        <v>0</v>
      </c>
      <c r="I2578" s="7" t="n">
        <f aca="false">YEAR(B2578)</f>
        <v>2014</v>
      </c>
      <c r="J2578" s="0" t="str">
        <f aca="false">I2578&amp;"-Q"&amp;ROUNDUP(MONTH(B2578)/3,0)</f>
        <v>2014-Q4</v>
      </c>
    </row>
    <row r="2579" customFormat="false" ht="15" hidden="false" customHeight="false" outlineLevel="0" collapsed="false">
      <c r="A2579" s="0" t="s">
        <v>1348</v>
      </c>
      <c r="B2579" s="6" t="n">
        <v>41965</v>
      </c>
      <c r="C2579" s="7" t="s">
        <v>29</v>
      </c>
      <c r="D2579" s="7" t="s">
        <v>230</v>
      </c>
      <c r="E2579" s="7" t="s">
        <v>35</v>
      </c>
      <c r="F2579" s="0" t="n">
        <v>675.12</v>
      </c>
      <c r="G2579" s="0" t="n">
        <v>290.3016</v>
      </c>
      <c r="H2579" s="0" t="n">
        <v>0</v>
      </c>
      <c r="I2579" s="7" t="n">
        <f aca="false">YEAR(B2579)</f>
        <v>2014</v>
      </c>
      <c r="J2579" s="0" t="str">
        <f aca="false">I2579&amp;"-Q"&amp;ROUNDUP(MONTH(B2579)/3,0)</f>
        <v>2014-Q4</v>
      </c>
    </row>
    <row r="2580" customFormat="false" ht="15" hidden="false" customHeight="false" outlineLevel="0" collapsed="false">
      <c r="A2580" s="0" t="s">
        <v>1349</v>
      </c>
      <c r="B2580" s="6" t="n">
        <v>41665</v>
      </c>
      <c r="C2580" s="7" t="s">
        <v>29</v>
      </c>
      <c r="D2580" s="7" t="s">
        <v>83</v>
      </c>
      <c r="E2580" s="7" t="s">
        <v>31</v>
      </c>
      <c r="F2580" s="0" t="n">
        <v>62.82</v>
      </c>
      <c r="G2580" s="0" t="n">
        <v>30.7818</v>
      </c>
      <c r="H2580" s="0" t="n">
        <v>0</v>
      </c>
      <c r="I2580" s="7" t="n">
        <f aca="false">YEAR(B2580)</f>
        <v>2014</v>
      </c>
      <c r="J2580" s="0" t="str">
        <f aca="false">I2580&amp;"-Q"&amp;ROUNDUP(MONTH(B2580)/3,0)</f>
        <v>2014-Q1</v>
      </c>
    </row>
    <row r="2581" customFormat="false" ht="15" hidden="false" customHeight="false" outlineLevel="0" collapsed="false">
      <c r="A2581" s="0" t="s">
        <v>1349</v>
      </c>
      <c r="B2581" s="6" t="n">
        <v>41665</v>
      </c>
      <c r="C2581" s="7" t="s">
        <v>29</v>
      </c>
      <c r="D2581" s="7" t="s">
        <v>83</v>
      </c>
      <c r="E2581" s="7" t="s">
        <v>35</v>
      </c>
      <c r="F2581" s="0" t="n">
        <v>489.92</v>
      </c>
      <c r="G2581" s="0" t="n">
        <v>0</v>
      </c>
      <c r="H2581" s="0" t="n">
        <v>0</v>
      </c>
      <c r="I2581" s="7" t="n">
        <f aca="false">YEAR(B2581)</f>
        <v>2014</v>
      </c>
      <c r="J2581" s="0" t="str">
        <f aca="false">I2581&amp;"-Q"&amp;ROUNDUP(MONTH(B2581)/3,0)</f>
        <v>2014-Q1</v>
      </c>
    </row>
    <row r="2582" customFormat="false" ht="15" hidden="false" customHeight="false" outlineLevel="0" collapsed="false">
      <c r="A2582" s="0" t="s">
        <v>1349</v>
      </c>
      <c r="B2582" s="6" t="n">
        <v>41665</v>
      </c>
      <c r="C2582" s="7" t="s">
        <v>29</v>
      </c>
      <c r="D2582" s="7" t="s">
        <v>83</v>
      </c>
      <c r="E2582" s="7" t="s">
        <v>35</v>
      </c>
      <c r="F2582" s="0" t="n">
        <v>19.44</v>
      </c>
      <c r="G2582" s="0" t="n">
        <v>9.3312</v>
      </c>
      <c r="H2582" s="0" t="n">
        <v>0</v>
      </c>
      <c r="I2582" s="7" t="n">
        <f aca="false">YEAR(B2582)</f>
        <v>2014</v>
      </c>
      <c r="J2582" s="0" t="str">
        <f aca="false">I2582&amp;"-Q"&amp;ROUNDUP(MONTH(B2582)/3,0)</f>
        <v>2014-Q1</v>
      </c>
    </row>
    <row r="2583" customFormat="false" ht="15" hidden="false" customHeight="false" outlineLevel="0" collapsed="false">
      <c r="A2583" s="0" t="s">
        <v>1349</v>
      </c>
      <c r="B2583" s="6" t="n">
        <v>41665</v>
      </c>
      <c r="C2583" s="7" t="s">
        <v>29</v>
      </c>
      <c r="D2583" s="7" t="s">
        <v>83</v>
      </c>
      <c r="E2583" s="7" t="s">
        <v>35</v>
      </c>
      <c r="F2583" s="0" t="n">
        <v>16.68</v>
      </c>
      <c r="G2583" s="0" t="n">
        <v>8.34</v>
      </c>
      <c r="H2583" s="0" t="n">
        <v>0</v>
      </c>
      <c r="I2583" s="7" t="n">
        <f aca="false">YEAR(B2583)</f>
        <v>2014</v>
      </c>
      <c r="J2583" s="0" t="str">
        <f aca="false">I2583&amp;"-Q"&amp;ROUNDUP(MONTH(B2583)/3,0)</f>
        <v>2014-Q1</v>
      </c>
    </row>
    <row r="2584" customFormat="false" ht="15" hidden="false" customHeight="false" outlineLevel="0" collapsed="false">
      <c r="A2584" s="0" t="s">
        <v>1349</v>
      </c>
      <c r="B2584" s="6" t="n">
        <v>41665</v>
      </c>
      <c r="C2584" s="7" t="s">
        <v>29</v>
      </c>
      <c r="D2584" s="7" t="s">
        <v>83</v>
      </c>
      <c r="E2584" s="7" t="s">
        <v>39</v>
      </c>
      <c r="F2584" s="0" t="n">
        <v>155.35</v>
      </c>
      <c r="G2584" s="0" t="n">
        <v>0</v>
      </c>
      <c r="H2584" s="0" t="n">
        <v>0</v>
      </c>
      <c r="I2584" s="7" t="n">
        <f aca="false">YEAR(B2584)</f>
        <v>2014</v>
      </c>
      <c r="J2584" s="0" t="str">
        <f aca="false">I2584&amp;"-Q"&amp;ROUNDUP(MONTH(B2584)/3,0)</f>
        <v>2014-Q1</v>
      </c>
    </row>
    <row r="2585" customFormat="false" ht="15" hidden="false" customHeight="false" outlineLevel="0" collapsed="false">
      <c r="A2585" s="0" t="s">
        <v>1349</v>
      </c>
      <c r="B2585" s="6" t="n">
        <v>41665</v>
      </c>
      <c r="C2585" s="7" t="s">
        <v>29</v>
      </c>
      <c r="D2585" s="7" t="s">
        <v>83</v>
      </c>
      <c r="E2585" s="7" t="s">
        <v>31</v>
      </c>
      <c r="F2585" s="0" t="n">
        <v>12.42</v>
      </c>
      <c r="G2585" s="0" t="n">
        <v>4.4712</v>
      </c>
      <c r="H2585" s="0" t="n">
        <v>0</v>
      </c>
      <c r="I2585" s="7" t="n">
        <f aca="false">YEAR(B2585)</f>
        <v>2014</v>
      </c>
      <c r="J2585" s="0" t="str">
        <f aca="false">I2585&amp;"-Q"&amp;ROUNDUP(MONTH(B2585)/3,0)</f>
        <v>2014-Q1</v>
      </c>
    </row>
    <row r="2586" customFormat="false" ht="15" hidden="false" customHeight="false" outlineLevel="0" collapsed="false">
      <c r="A2586" s="0" t="s">
        <v>1349</v>
      </c>
      <c r="B2586" s="6" t="n">
        <v>41665</v>
      </c>
      <c r="C2586" s="7" t="s">
        <v>29</v>
      </c>
      <c r="D2586" s="7" t="s">
        <v>83</v>
      </c>
      <c r="E2586" s="7" t="s">
        <v>39</v>
      </c>
      <c r="F2586" s="0" t="n">
        <v>187.98</v>
      </c>
      <c r="G2586" s="0" t="n">
        <v>52.6344</v>
      </c>
      <c r="H2586" s="0" t="n">
        <v>0</v>
      </c>
      <c r="I2586" s="7" t="n">
        <f aca="false">YEAR(B2586)</f>
        <v>2014</v>
      </c>
      <c r="J2586" s="0" t="str">
        <f aca="false">I2586&amp;"-Q"&amp;ROUNDUP(MONTH(B2586)/3,0)</f>
        <v>2014-Q1</v>
      </c>
    </row>
    <row r="2587" customFormat="false" ht="15" hidden="false" customHeight="false" outlineLevel="0" collapsed="false">
      <c r="A2587" s="0" t="s">
        <v>1350</v>
      </c>
      <c r="B2587" s="6" t="n">
        <v>42311</v>
      </c>
      <c r="C2587" s="7" t="s">
        <v>45</v>
      </c>
      <c r="D2587" s="7" t="s">
        <v>46</v>
      </c>
      <c r="E2587" s="7" t="s">
        <v>35</v>
      </c>
      <c r="F2587" s="0" t="n">
        <v>6.608</v>
      </c>
      <c r="G2587" s="0" t="n">
        <v>2.1476</v>
      </c>
      <c r="H2587" s="0" t="n">
        <v>0.2</v>
      </c>
      <c r="I2587" s="7" t="n">
        <f aca="false">YEAR(B2587)</f>
        <v>2015</v>
      </c>
      <c r="J2587" s="0" t="str">
        <f aca="false">I2587&amp;"-Q"&amp;ROUNDUP(MONTH(B2587)/3,0)</f>
        <v>2015-Q4</v>
      </c>
    </row>
    <row r="2588" customFormat="false" ht="15" hidden="false" customHeight="false" outlineLevel="0" collapsed="false">
      <c r="A2588" s="0" t="s">
        <v>1351</v>
      </c>
      <c r="B2588" s="6" t="n">
        <v>42916</v>
      </c>
      <c r="C2588" s="7" t="s">
        <v>55</v>
      </c>
      <c r="D2588" s="7" t="s">
        <v>76</v>
      </c>
      <c r="E2588" s="7" t="s">
        <v>35</v>
      </c>
      <c r="F2588" s="0" t="n">
        <v>248.57</v>
      </c>
      <c r="G2588" s="0" t="n">
        <v>67.1139</v>
      </c>
      <c r="H2588" s="0" t="n">
        <v>0</v>
      </c>
      <c r="I2588" s="7" t="n">
        <f aca="false">YEAR(B2588)</f>
        <v>2017</v>
      </c>
      <c r="J2588" s="0" t="str">
        <f aca="false">I2588&amp;"-Q"&amp;ROUNDUP(MONTH(B2588)/3,0)</f>
        <v>2017-Q2</v>
      </c>
    </row>
    <row r="2589" customFormat="false" ht="15" hidden="false" customHeight="false" outlineLevel="0" collapsed="false">
      <c r="A2589" s="0" t="s">
        <v>1351</v>
      </c>
      <c r="B2589" s="6" t="n">
        <v>42916</v>
      </c>
      <c r="C2589" s="7" t="s">
        <v>55</v>
      </c>
      <c r="D2589" s="7" t="s">
        <v>76</v>
      </c>
      <c r="E2589" s="7" t="s">
        <v>31</v>
      </c>
      <c r="F2589" s="0" t="n">
        <v>22.23</v>
      </c>
      <c r="G2589" s="0" t="n">
        <v>9.7812</v>
      </c>
      <c r="H2589" s="0" t="n">
        <v>0</v>
      </c>
      <c r="I2589" s="7" t="n">
        <f aca="false">YEAR(B2589)</f>
        <v>2017</v>
      </c>
      <c r="J2589" s="0" t="str">
        <f aca="false">I2589&amp;"-Q"&amp;ROUNDUP(MONTH(B2589)/3,0)</f>
        <v>2017-Q2</v>
      </c>
    </row>
    <row r="2590" customFormat="false" ht="15" hidden="false" customHeight="false" outlineLevel="0" collapsed="false">
      <c r="A2590" s="0" t="s">
        <v>1352</v>
      </c>
      <c r="B2590" s="6" t="n">
        <v>42495</v>
      </c>
      <c r="C2590" s="7" t="s">
        <v>33</v>
      </c>
      <c r="D2590" s="7" t="s">
        <v>34</v>
      </c>
      <c r="E2590" s="7" t="s">
        <v>35</v>
      </c>
      <c r="F2590" s="0" t="n">
        <v>5.98</v>
      </c>
      <c r="G2590" s="0" t="n">
        <v>1.0166</v>
      </c>
      <c r="H2590" s="0" t="n">
        <v>0</v>
      </c>
      <c r="I2590" s="7" t="n">
        <f aca="false">YEAR(B2590)</f>
        <v>2016</v>
      </c>
      <c r="J2590" s="0" t="str">
        <f aca="false">I2590&amp;"-Q"&amp;ROUNDUP(MONTH(B2590)/3,0)</f>
        <v>2016-Q2</v>
      </c>
    </row>
    <row r="2591" customFormat="false" ht="15" hidden="false" customHeight="false" outlineLevel="0" collapsed="false">
      <c r="A2591" s="0" t="s">
        <v>1352</v>
      </c>
      <c r="B2591" s="6" t="n">
        <v>42495</v>
      </c>
      <c r="C2591" s="7" t="s">
        <v>33</v>
      </c>
      <c r="D2591" s="7" t="s">
        <v>34</v>
      </c>
      <c r="E2591" s="7" t="s">
        <v>39</v>
      </c>
      <c r="F2591" s="0" t="n">
        <v>246.168</v>
      </c>
      <c r="G2591" s="0" t="n">
        <v>21.5397</v>
      </c>
      <c r="H2591" s="0" t="n">
        <v>0.2</v>
      </c>
      <c r="I2591" s="7" t="n">
        <f aca="false">YEAR(B2591)</f>
        <v>2016</v>
      </c>
      <c r="J2591" s="0" t="str">
        <f aca="false">I2591&amp;"-Q"&amp;ROUNDUP(MONTH(B2591)/3,0)</f>
        <v>2016-Q2</v>
      </c>
    </row>
    <row r="2592" customFormat="false" ht="15" hidden="false" customHeight="false" outlineLevel="0" collapsed="false">
      <c r="A2592" s="0" t="s">
        <v>1353</v>
      </c>
      <c r="B2592" s="6" t="n">
        <v>42621</v>
      </c>
      <c r="C2592" s="7" t="s">
        <v>45</v>
      </c>
      <c r="D2592" s="7" t="s">
        <v>64</v>
      </c>
      <c r="E2592" s="7" t="s">
        <v>31</v>
      </c>
      <c r="F2592" s="0" t="n">
        <v>14.136</v>
      </c>
      <c r="G2592" s="0" t="n">
        <v>-7.7748</v>
      </c>
      <c r="H2592" s="0" t="n">
        <v>0.6</v>
      </c>
      <c r="I2592" s="7" t="n">
        <f aca="false">YEAR(B2592)</f>
        <v>2016</v>
      </c>
      <c r="J2592" s="0" t="str">
        <f aca="false">I2592&amp;"-Q"&amp;ROUNDUP(MONTH(B2592)/3,0)</f>
        <v>2016-Q3</v>
      </c>
    </row>
    <row r="2593" customFormat="false" ht="15" hidden="false" customHeight="false" outlineLevel="0" collapsed="false">
      <c r="A2593" s="0" t="s">
        <v>1353</v>
      </c>
      <c r="B2593" s="6" t="n">
        <v>42621</v>
      </c>
      <c r="C2593" s="7" t="s">
        <v>45</v>
      </c>
      <c r="D2593" s="7" t="s">
        <v>64</v>
      </c>
      <c r="E2593" s="7" t="s">
        <v>31</v>
      </c>
      <c r="F2593" s="0" t="n">
        <v>601.47</v>
      </c>
      <c r="G2593" s="0" t="n">
        <v>-300.735</v>
      </c>
      <c r="H2593" s="0" t="n">
        <v>0.5</v>
      </c>
      <c r="I2593" s="7" t="n">
        <f aca="false">YEAR(B2593)</f>
        <v>2016</v>
      </c>
      <c r="J2593" s="0" t="str">
        <f aca="false">I2593&amp;"-Q"&amp;ROUNDUP(MONTH(B2593)/3,0)</f>
        <v>2016-Q3</v>
      </c>
    </row>
    <row r="2594" customFormat="false" ht="15" hidden="false" customHeight="false" outlineLevel="0" collapsed="false">
      <c r="A2594" s="0" t="s">
        <v>1354</v>
      </c>
      <c r="B2594" s="6" t="n">
        <v>43063</v>
      </c>
      <c r="C2594" s="7" t="s">
        <v>29</v>
      </c>
      <c r="D2594" s="7" t="s">
        <v>96</v>
      </c>
      <c r="E2594" s="7" t="s">
        <v>39</v>
      </c>
      <c r="F2594" s="0" t="n">
        <v>79.1</v>
      </c>
      <c r="G2594" s="0" t="n">
        <v>39.55</v>
      </c>
      <c r="H2594" s="0" t="n">
        <v>0</v>
      </c>
      <c r="I2594" s="7" t="n">
        <f aca="false">YEAR(B2594)</f>
        <v>2017</v>
      </c>
      <c r="J2594" s="0" t="str">
        <f aca="false">I2594&amp;"-Q"&amp;ROUNDUP(MONTH(B2594)/3,0)</f>
        <v>2017-Q4</v>
      </c>
    </row>
    <row r="2595" customFormat="false" ht="15" hidden="false" customHeight="false" outlineLevel="0" collapsed="false">
      <c r="A2595" s="0" t="s">
        <v>1354</v>
      </c>
      <c r="B2595" s="6" t="n">
        <v>43063</v>
      </c>
      <c r="C2595" s="7" t="s">
        <v>29</v>
      </c>
      <c r="D2595" s="7" t="s">
        <v>96</v>
      </c>
      <c r="E2595" s="7" t="s">
        <v>35</v>
      </c>
      <c r="F2595" s="0" t="n">
        <v>327.84</v>
      </c>
      <c r="G2595" s="0" t="n">
        <v>157.3632</v>
      </c>
      <c r="H2595" s="0" t="n">
        <v>0</v>
      </c>
      <c r="I2595" s="7" t="n">
        <f aca="false">YEAR(B2595)</f>
        <v>2017</v>
      </c>
      <c r="J2595" s="0" t="str">
        <f aca="false">I2595&amp;"-Q"&amp;ROUNDUP(MONTH(B2595)/3,0)</f>
        <v>2017-Q4</v>
      </c>
    </row>
    <row r="2596" customFormat="false" ht="15" hidden="false" customHeight="false" outlineLevel="0" collapsed="false">
      <c r="A2596" s="0" t="s">
        <v>1355</v>
      </c>
      <c r="B2596" s="6" t="n">
        <v>42868</v>
      </c>
      <c r="C2596" s="7" t="s">
        <v>45</v>
      </c>
      <c r="D2596" s="7" t="s">
        <v>74</v>
      </c>
      <c r="E2596" s="7" t="s">
        <v>35</v>
      </c>
      <c r="F2596" s="0" t="n">
        <v>180.96</v>
      </c>
      <c r="G2596" s="0" t="n">
        <v>81.432</v>
      </c>
      <c r="H2596" s="0" t="n">
        <v>0</v>
      </c>
      <c r="I2596" s="7" t="n">
        <f aca="false">YEAR(B2596)</f>
        <v>2017</v>
      </c>
      <c r="J2596" s="0" t="str">
        <f aca="false">I2596&amp;"-Q"&amp;ROUNDUP(MONTH(B2596)/3,0)</f>
        <v>2017-Q2</v>
      </c>
    </row>
    <row r="2597" customFormat="false" ht="15" hidden="false" customHeight="false" outlineLevel="0" collapsed="false">
      <c r="A2597" s="0" t="s">
        <v>1355</v>
      </c>
      <c r="B2597" s="6" t="n">
        <v>42868</v>
      </c>
      <c r="C2597" s="7" t="s">
        <v>45</v>
      </c>
      <c r="D2597" s="7" t="s">
        <v>74</v>
      </c>
      <c r="E2597" s="7" t="s">
        <v>35</v>
      </c>
      <c r="F2597" s="0" t="n">
        <v>914.97</v>
      </c>
      <c r="G2597" s="0" t="n">
        <v>411.7365</v>
      </c>
      <c r="H2597" s="0" t="n">
        <v>0</v>
      </c>
      <c r="I2597" s="7" t="n">
        <f aca="false">YEAR(B2597)</f>
        <v>2017</v>
      </c>
      <c r="J2597" s="0" t="str">
        <f aca="false">I2597&amp;"-Q"&amp;ROUNDUP(MONTH(B2597)/3,0)</f>
        <v>2017-Q2</v>
      </c>
    </row>
    <row r="2598" customFormat="false" ht="15" hidden="false" customHeight="false" outlineLevel="0" collapsed="false">
      <c r="A2598" s="0" t="s">
        <v>1355</v>
      </c>
      <c r="B2598" s="6" t="n">
        <v>42868</v>
      </c>
      <c r="C2598" s="7" t="s">
        <v>45</v>
      </c>
      <c r="D2598" s="7" t="s">
        <v>74</v>
      </c>
      <c r="E2598" s="7" t="s">
        <v>39</v>
      </c>
      <c r="F2598" s="0" t="n">
        <v>587.97</v>
      </c>
      <c r="G2598" s="0" t="n">
        <v>158.7519</v>
      </c>
      <c r="H2598" s="0" t="n">
        <v>0</v>
      </c>
      <c r="I2598" s="7" t="n">
        <f aca="false">YEAR(B2598)</f>
        <v>2017</v>
      </c>
      <c r="J2598" s="0" t="str">
        <f aca="false">I2598&amp;"-Q"&amp;ROUNDUP(MONTH(B2598)/3,0)</f>
        <v>2017-Q2</v>
      </c>
    </row>
    <row r="2599" customFormat="false" ht="15" hidden="false" customHeight="false" outlineLevel="0" collapsed="false">
      <c r="A2599" s="0" t="s">
        <v>1355</v>
      </c>
      <c r="B2599" s="6" t="n">
        <v>42868</v>
      </c>
      <c r="C2599" s="7" t="s">
        <v>45</v>
      </c>
      <c r="D2599" s="7" t="s">
        <v>74</v>
      </c>
      <c r="E2599" s="7" t="s">
        <v>35</v>
      </c>
      <c r="F2599" s="0" t="n">
        <v>530.34</v>
      </c>
      <c r="G2599" s="0" t="n">
        <v>95.4612</v>
      </c>
      <c r="H2599" s="0" t="n">
        <v>0</v>
      </c>
      <c r="I2599" s="7" t="n">
        <f aca="false">YEAR(B2599)</f>
        <v>2017</v>
      </c>
      <c r="J2599" s="0" t="str">
        <f aca="false">I2599&amp;"-Q"&amp;ROUNDUP(MONTH(B2599)/3,0)</f>
        <v>2017-Q2</v>
      </c>
    </row>
    <row r="2600" customFormat="false" ht="15" hidden="false" customHeight="false" outlineLevel="0" collapsed="false">
      <c r="A2600" s="0" t="s">
        <v>1355</v>
      </c>
      <c r="B2600" s="6" t="n">
        <v>42868</v>
      </c>
      <c r="C2600" s="7" t="s">
        <v>45</v>
      </c>
      <c r="D2600" s="7" t="s">
        <v>74</v>
      </c>
      <c r="E2600" s="7" t="s">
        <v>35</v>
      </c>
      <c r="F2600" s="0" t="n">
        <v>14.94</v>
      </c>
      <c r="G2600" s="0" t="n">
        <v>7.3206</v>
      </c>
      <c r="H2600" s="0" t="n">
        <v>0</v>
      </c>
      <c r="I2600" s="7" t="n">
        <f aca="false">YEAR(B2600)</f>
        <v>2017</v>
      </c>
      <c r="J2600" s="0" t="str">
        <f aca="false">I2600&amp;"-Q"&amp;ROUNDUP(MONTH(B2600)/3,0)</f>
        <v>2017-Q2</v>
      </c>
    </row>
    <row r="2601" customFormat="false" ht="15" hidden="false" customHeight="false" outlineLevel="0" collapsed="false">
      <c r="A2601" s="0" t="s">
        <v>1356</v>
      </c>
      <c r="B2601" s="6" t="n">
        <v>42848</v>
      </c>
      <c r="C2601" s="7" t="s">
        <v>55</v>
      </c>
      <c r="D2601" s="7" t="s">
        <v>76</v>
      </c>
      <c r="E2601" s="7" t="s">
        <v>35</v>
      </c>
      <c r="F2601" s="0" t="n">
        <v>121.94</v>
      </c>
      <c r="G2601" s="0" t="n">
        <v>35.3626</v>
      </c>
      <c r="H2601" s="0" t="n">
        <v>0</v>
      </c>
      <c r="I2601" s="7" t="n">
        <f aca="false">YEAR(B2601)</f>
        <v>2017</v>
      </c>
      <c r="J2601" s="0" t="str">
        <f aca="false">I2601&amp;"-Q"&amp;ROUNDUP(MONTH(B2601)/3,0)</f>
        <v>2017-Q2</v>
      </c>
    </row>
    <row r="2602" customFormat="false" ht="15" hidden="false" customHeight="false" outlineLevel="0" collapsed="false">
      <c r="A2602" s="0" t="s">
        <v>1356</v>
      </c>
      <c r="B2602" s="6" t="n">
        <v>42848</v>
      </c>
      <c r="C2602" s="7" t="s">
        <v>55</v>
      </c>
      <c r="D2602" s="7" t="s">
        <v>76</v>
      </c>
      <c r="E2602" s="7" t="s">
        <v>35</v>
      </c>
      <c r="F2602" s="0" t="n">
        <v>122.71</v>
      </c>
      <c r="G2602" s="0" t="n">
        <v>36.813</v>
      </c>
      <c r="H2602" s="0" t="n">
        <v>0</v>
      </c>
      <c r="I2602" s="7" t="n">
        <f aca="false">YEAR(B2602)</f>
        <v>2017</v>
      </c>
      <c r="J2602" s="0" t="str">
        <f aca="false">I2602&amp;"-Q"&amp;ROUNDUP(MONTH(B2602)/3,0)</f>
        <v>2017-Q2</v>
      </c>
    </row>
    <row r="2603" customFormat="false" ht="15" hidden="false" customHeight="false" outlineLevel="0" collapsed="false">
      <c r="A2603" s="0" t="s">
        <v>1357</v>
      </c>
      <c r="B2603" s="6" t="n">
        <v>42525</v>
      </c>
      <c r="C2603" s="7" t="s">
        <v>55</v>
      </c>
      <c r="D2603" s="7" t="s">
        <v>76</v>
      </c>
      <c r="E2603" s="7" t="s">
        <v>35</v>
      </c>
      <c r="F2603" s="0" t="n">
        <v>14.94</v>
      </c>
      <c r="G2603" s="0" t="n">
        <v>7.0218</v>
      </c>
      <c r="H2603" s="0" t="n">
        <v>0</v>
      </c>
      <c r="I2603" s="7" t="n">
        <f aca="false">YEAR(B2603)</f>
        <v>2016</v>
      </c>
      <c r="J2603" s="0" t="str">
        <f aca="false">I2603&amp;"-Q"&amp;ROUNDUP(MONTH(B2603)/3,0)</f>
        <v>2016-Q2</v>
      </c>
    </row>
    <row r="2604" customFormat="false" ht="15" hidden="false" customHeight="false" outlineLevel="0" collapsed="false">
      <c r="A2604" s="0" t="s">
        <v>1357</v>
      </c>
      <c r="B2604" s="6" t="n">
        <v>42525</v>
      </c>
      <c r="C2604" s="7" t="s">
        <v>55</v>
      </c>
      <c r="D2604" s="7" t="s">
        <v>76</v>
      </c>
      <c r="E2604" s="7" t="s">
        <v>39</v>
      </c>
      <c r="F2604" s="0" t="n">
        <v>1349.85</v>
      </c>
      <c r="G2604" s="0" t="n">
        <v>364.4595</v>
      </c>
      <c r="H2604" s="0" t="n">
        <v>0</v>
      </c>
      <c r="I2604" s="7" t="n">
        <f aca="false">YEAR(B2604)</f>
        <v>2016</v>
      </c>
      <c r="J2604" s="0" t="str">
        <f aca="false">I2604&amp;"-Q"&amp;ROUNDUP(MONTH(B2604)/3,0)</f>
        <v>2016-Q2</v>
      </c>
    </row>
    <row r="2605" customFormat="false" ht="15" hidden="false" customHeight="false" outlineLevel="0" collapsed="false">
      <c r="A2605" s="0" t="s">
        <v>1357</v>
      </c>
      <c r="B2605" s="6" t="n">
        <v>42525</v>
      </c>
      <c r="C2605" s="7" t="s">
        <v>55</v>
      </c>
      <c r="D2605" s="7" t="s">
        <v>76</v>
      </c>
      <c r="E2605" s="7" t="s">
        <v>31</v>
      </c>
      <c r="F2605" s="0" t="n">
        <v>136.784</v>
      </c>
      <c r="G2605" s="0" t="n">
        <v>5.1294</v>
      </c>
      <c r="H2605" s="0" t="n">
        <v>0.2</v>
      </c>
      <c r="I2605" s="7" t="n">
        <f aca="false">YEAR(B2605)</f>
        <v>2016</v>
      </c>
      <c r="J2605" s="0" t="str">
        <f aca="false">I2605&amp;"-Q"&amp;ROUNDUP(MONTH(B2605)/3,0)</f>
        <v>2016-Q2</v>
      </c>
    </row>
    <row r="2606" customFormat="false" ht="15" hidden="false" customHeight="false" outlineLevel="0" collapsed="false">
      <c r="A2606" s="0" t="s">
        <v>1357</v>
      </c>
      <c r="B2606" s="6" t="n">
        <v>42525</v>
      </c>
      <c r="C2606" s="7" t="s">
        <v>55</v>
      </c>
      <c r="D2606" s="7" t="s">
        <v>76</v>
      </c>
      <c r="E2606" s="7" t="s">
        <v>31</v>
      </c>
      <c r="F2606" s="0" t="n">
        <v>61.12</v>
      </c>
      <c r="G2606" s="0" t="n">
        <v>20.7808</v>
      </c>
      <c r="H2606" s="0" t="n">
        <v>0</v>
      </c>
      <c r="I2606" s="7" t="n">
        <f aca="false">YEAR(B2606)</f>
        <v>2016</v>
      </c>
      <c r="J2606" s="0" t="str">
        <f aca="false">I2606&amp;"-Q"&amp;ROUNDUP(MONTH(B2606)/3,0)</f>
        <v>2016-Q2</v>
      </c>
    </row>
    <row r="2607" customFormat="false" ht="15" hidden="false" customHeight="false" outlineLevel="0" collapsed="false">
      <c r="A2607" s="0" t="s">
        <v>1358</v>
      </c>
      <c r="B2607" s="6" t="n">
        <v>41989</v>
      </c>
      <c r="C2607" s="7" t="s">
        <v>29</v>
      </c>
      <c r="D2607" s="7" t="s">
        <v>37</v>
      </c>
      <c r="E2607" s="7" t="s">
        <v>35</v>
      </c>
      <c r="F2607" s="0" t="n">
        <v>1.167</v>
      </c>
      <c r="G2607" s="0" t="n">
        <v>-0.8558</v>
      </c>
      <c r="H2607" s="0" t="n">
        <v>0.7</v>
      </c>
      <c r="I2607" s="7" t="n">
        <f aca="false">YEAR(B2607)</f>
        <v>2014</v>
      </c>
      <c r="J2607" s="0" t="str">
        <f aca="false">I2607&amp;"-Q"&amp;ROUNDUP(MONTH(B2607)/3,0)</f>
        <v>2014-Q4</v>
      </c>
    </row>
    <row r="2608" customFormat="false" ht="15" hidden="false" customHeight="false" outlineLevel="0" collapsed="false">
      <c r="A2608" s="0" t="s">
        <v>1359</v>
      </c>
      <c r="B2608" s="6" t="n">
        <v>42433</v>
      </c>
      <c r="C2608" s="7" t="s">
        <v>33</v>
      </c>
      <c r="D2608" s="7" t="s">
        <v>34</v>
      </c>
      <c r="E2608" s="7" t="s">
        <v>35</v>
      </c>
      <c r="F2608" s="0" t="n">
        <v>16.99</v>
      </c>
      <c r="G2608" s="0" t="n">
        <v>4.9271</v>
      </c>
      <c r="H2608" s="0" t="n">
        <v>0</v>
      </c>
      <c r="I2608" s="7" t="n">
        <f aca="false">YEAR(B2608)</f>
        <v>2016</v>
      </c>
      <c r="J2608" s="0" t="str">
        <f aca="false">I2608&amp;"-Q"&amp;ROUNDUP(MONTH(B2608)/3,0)</f>
        <v>2016-Q1</v>
      </c>
    </row>
    <row r="2609" customFormat="false" ht="15" hidden="false" customHeight="false" outlineLevel="0" collapsed="false">
      <c r="A2609" s="0" t="s">
        <v>1360</v>
      </c>
      <c r="B2609" s="6" t="n">
        <v>41968</v>
      </c>
      <c r="C2609" s="7" t="s">
        <v>45</v>
      </c>
      <c r="D2609" s="7" t="s">
        <v>46</v>
      </c>
      <c r="E2609" s="7" t="s">
        <v>39</v>
      </c>
      <c r="F2609" s="0" t="n">
        <v>24.672</v>
      </c>
      <c r="G2609" s="0" t="n">
        <v>0</v>
      </c>
      <c r="H2609" s="0" t="n">
        <v>0.2</v>
      </c>
      <c r="I2609" s="7" t="n">
        <f aca="false">YEAR(B2609)</f>
        <v>2014</v>
      </c>
      <c r="J2609" s="0" t="str">
        <f aca="false">I2609&amp;"-Q"&amp;ROUNDUP(MONTH(B2609)/3,0)</f>
        <v>2014-Q4</v>
      </c>
    </row>
    <row r="2610" customFormat="false" ht="15" hidden="false" customHeight="false" outlineLevel="0" collapsed="false">
      <c r="A2610" s="0" t="s">
        <v>1360</v>
      </c>
      <c r="B2610" s="6" t="n">
        <v>41968</v>
      </c>
      <c r="C2610" s="7" t="s">
        <v>45</v>
      </c>
      <c r="D2610" s="7" t="s">
        <v>46</v>
      </c>
      <c r="E2610" s="7" t="s">
        <v>35</v>
      </c>
      <c r="F2610" s="0" t="n">
        <v>2.52</v>
      </c>
      <c r="G2610" s="0" t="n">
        <v>0.882</v>
      </c>
      <c r="H2610" s="0" t="n">
        <v>0.2</v>
      </c>
      <c r="I2610" s="7" t="n">
        <f aca="false">YEAR(B2610)</f>
        <v>2014</v>
      </c>
      <c r="J2610" s="0" t="str">
        <f aca="false">I2610&amp;"-Q"&amp;ROUNDUP(MONTH(B2610)/3,0)</f>
        <v>2014-Q4</v>
      </c>
    </row>
    <row r="2611" customFormat="false" ht="15" hidden="false" customHeight="false" outlineLevel="0" collapsed="false">
      <c r="A2611" s="0" t="s">
        <v>1360</v>
      </c>
      <c r="B2611" s="6" t="n">
        <v>41968</v>
      </c>
      <c r="C2611" s="7" t="s">
        <v>45</v>
      </c>
      <c r="D2611" s="7" t="s">
        <v>46</v>
      </c>
      <c r="E2611" s="7" t="s">
        <v>31</v>
      </c>
      <c r="F2611" s="0" t="n">
        <v>1218.735</v>
      </c>
      <c r="G2611" s="0" t="n">
        <v>-121.8735</v>
      </c>
      <c r="H2611" s="0" t="n">
        <v>0.3</v>
      </c>
      <c r="I2611" s="7" t="n">
        <f aca="false">YEAR(B2611)</f>
        <v>2014</v>
      </c>
      <c r="J2611" s="0" t="str">
        <f aca="false">I2611&amp;"-Q"&amp;ROUNDUP(MONTH(B2611)/3,0)</f>
        <v>2014-Q4</v>
      </c>
    </row>
    <row r="2612" customFormat="false" ht="15" hidden="false" customHeight="false" outlineLevel="0" collapsed="false">
      <c r="A2612" s="0" t="s">
        <v>1360</v>
      </c>
      <c r="B2612" s="6" t="n">
        <v>41968</v>
      </c>
      <c r="C2612" s="7" t="s">
        <v>45</v>
      </c>
      <c r="D2612" s="7" t="s">
        <v>46</v>
      </c>
      <c r="E2612" s="7" t="s">
        <v>35</v>
      </c>
      <c r="F2612" s="0" t="n">
        <v>5.904</v>
      </c>
      <c r="G2612" s="0" t="n">
        <v>1.9926</v>
      </c>
      <c r="H2612" s="0" t="n">
        <v>0.2</v>
      </c>
      <c r="I2612" s="7" t="n">
        <f aca="false">YEAR(B2612)</f>
        <v>2014</v>
      </c>
      <c r="J2612" s="0" t="str">
        <f aca="false">I2612&amp;"-Q"&amp;ROUNDUP(MONTH(B2612)/3,0)</f>
        <v>2014-Q4</v>
      </c>
    </row>
    <row r="2613" customFormat="false" ht="15" hidden="false" customHeight="false" outlineLevel="0" collapsed="false">
      <c r="A2613" s="0" t="s">
        <v>1360</v>
      </c>
      <c r="B2613" s="6" t="n">
        <v>41968</v>
      </c>
      <c r="C2613" s="7" t="s">
        <v>45</v>
      </c>
      <c r="D2613" s="7" t="s">
        <v>46</v>
      </c>
      <c r="E2613" s="7" t="s">
        <v>35</v>
      </c>
      <c r="F2613" s="0" t="n">
        <v>15.696</v>
      </c>
      <c r="G2613" s="0" t="n">
        <v>5.1012</v>
      </c>
      <c r="H2613" s="0" t="n">
        <v>0.2</v>
      </c>
      <c r="I2613" s="7" t="n">
        <f aca="false">YEAR(B2613)</f>
        <v>2014</v>
      </c>
      <c r="J2613" s="0" t="str">
        <f aca="false">I2613&amp;"-Q"&amp;ROUNDUP(MONTH(B2613)/3,0)</f>
        <v>2014-Q4</v>
      </c>
    </row>
    <row r="2614" customFormat="false" ht="15" hidden="false" customHeight="false" outlineLevel="0" collapsed="false">
      <c r="A2614" s="0" t="s">
        <v>1360</v>
      </c>
      <c r="B2614" s="6" t="n">
        <v>41968</v>
      </c>
      <c r="C2614" s="7" t="s">
        <v>45</v>
      </c>
      <c r="D2614" s="7" t="s">
        <v>46</v>
      </c>
      <c r="E2614" s="7" t="s">
        <v>31</v>
      </c>
      <c r="F2614" s="0" t="n">
        <v>6.096</v>
      </c>
      <c r="G2614" s="0" t="n">
        <v>-3.9624</v>
      </c>
      <c r="H2614" s="0" t="n">
        <v>0.6</v>
      </c>
      <c r="I2614" s="7" t="n">
        <f aca="false">YEAR(B2614)</f>
        <v>2014</v>
      </c>
      <c r="J2614" s="0" t="str">
        <f aca="false">I2614&amp;"-Q"&amp;ROUNDUP(MONTH(B2614)/3,0)</f>
        <v>2014-Q4</v>
      </c>
    </row>
    <row r="2615" customFormat="false" ht="15" hidden="false" customHeight="false" outlineLevel="0" collapsed="false">
      <c r="A2615" s="0" t="s">
        <v>1361</v>
      </c>
      <c r="B2615" s="6" t="n">
        <v>42488</v>
      </c>
      <c r="C2615" s="7" t="s">
        <v>33</v>
      </c>
      <c r="D2615" s="7" t="s">
        <v>34</v>
      </c>
      <c r="E2615" s="7" t="s">
        <v>31</v>
      </c>
      <c r="F2615" s="0" t="n">
        <v>41.568</v>
      </c>
      <c r="G2615" s="0" t="n">
        <v>2.598</v>
      </c>
      <c r="H2615" s="0" t="n">
        <v>0.2</v>
      </c>
      <c r="I2615" s="7" t="n">
        <f aca="false">YEAR(B2615)</f>
        <v>2016</v>
      </c>
      <c r="J2615" s="0" t="str">
        <f aca="false">I2615&amp;"-Q"&amp;ROUNDUP(MONTH(B2615)/3,0)</f>
        <v>2016-Q2</v>
      </c>
    </row>
    <row r="2616" customFormat="false" ht="15" hidden="false" customHeight="false" outlineLevel="0" collapsed="false">
      <c r="A2616" s="0" t="s">
        <v>1362</v>
      </c>
      <c r="B2616" s="6" t="n">
        <v>41755</v>
      </c>
      <c r="C2616" s="7" t="s">
        <v>33</v>
      </c>
      <c r="D2616" s="7" t="s">
        <v>34</v>
      </c>
      <c r="E2616" s="7" t="s">
        <v>31</v>
      </c>
      <c r="F2616" s="0" t="n">
        <v>230.28</v>
      </c>
      <c r="G2616" s="0" t="n">
        <v>23.028</v>
      </c>
      <c r="H2616" s="0" t="n">
        <v>0.2</v>
      </c>
      <c r="I2616" s="7" t="n">
        <f aca="false">YEAR(B2616)</f>
        <v>2014</v>
      </c>
      <c r="J2616" s="0" t="str">
        <f aca="false">I2616&amp;"-Q"&amp;ROUNDUP(MONTH(B2616)/3,0)</f>
        <v>2014-Q2</v>
      </c>
    </row>
    <row r="2617" customFormat="false" ht="15" hidden="false" customHeight="false" outlineLevel="0" collapsed="false">
      <c r="A2617" s="0" t="s">
        <v>1362</v>
      </c>
      <c r="B2617" s="6" t="n">
        <v>41755</v>
      </c>
      <c r="C2617" s="7" t="s">
        <v>33</v>
      </c>
      <c r="D2617" s="7" t="s">
        <v>34</v>
      </c>
      <c r="E2617" s="7" t="s">
        <v>35</v>
      </c>
      <c r="F2617" s="0" t="n">
        <v>18.288</v>
      </c>
      <c r="G2617" s="0" t="n">
        <v>5.715</v>
      </c>
      <c r="H2617" s="0" t="n">
        <v>0.2</v>
      </c>
      <c r="I2617" s="7" t="n">
        <f aca="false">YEAR(B2617)</f>
        <v>2014</v>
      </c>
      <c r="J2617" s="0" t="str">
        <f aca="false">I2617&amp;"-Q"&amp;ROUNDUP(MONTH(B2617)/3,0)</f>
        <v>2014-Q2</v>
      </c>
    </row>
    <row r="2618" customFormat="false" ht="15" hidden="false" customHeight="false" outlineLevel="0" collapsed="false">
      <c r="A2618" s="0" t="s">
        <v>1363</v>
      </c>
      <c r="B2618" s="6" t="n">
        <v>42826</v>
      </c>
      <c r="C2618" s="7" t="s">
        <v>33</v>
      </c>
      <c r="D2618" s="7" t="s">
        <v>34</v>
      </c>
      <c r="E2618" s="7" t="s">
        <v>35</v>
      </c>
      <c r="F2618" s="0" t="n">
        <v>5.78</v>
      </c>
      <c r="G2618" s="0" t="n">
        <v>2.7166</v>
      </c>
      <c r="H2618" s="0" t="n">
        <v>0</v>
      </c>
      <c r="I2618" s="7" t="n">
        <f aca="false">YEAR(B2618)</f>
        <v>2017</v>
      </c>
      <c r="J2618" s="0" t="str">
        <f aca="false">I2618&amp;"-Q"&amp;ROUNDUP(MONTH(B2618)/3,0)</f>
        <v>2017-Q2</v>
      </c>
    </row>
    <row r="2619" customFormat="false" ht="15" hidden="false" customHeight="false" outlineLevel="0" collapsed="false">
      <c r="A2619" s="0" t="s">
        <v>1363</v>
      </c>
      <c r="B2619" s="6" t="n">
        <v>42826</v>
      </c>
      <c r="C2619" s="7" t="s">
        <v>33</v>
      </c>
      <c r="D2619" s="7" t="s">
        <v>34</v>
      </c>
      <c r="E2619" s="7" t="s">
        <v>35</v>
      </c>
      <c r="F2619" s="0" t="n">
        <v>121.68</v>
      </c>
      <c r="G2619" s="0" t="n">
        <v>38.025</v>
      </c>
      <c r="H2619" s="0" t="n">
        <v>0.2</v>
      </c>
      <c r="I2619" s="7" t="n">
        <f aca="false">YEAR(B2619)</f>
        <v>2017</v>
      </c>
      <c r="J2619" s="0" t="str">
        <f aca="false">I2619&amp;"-Q"&amp;ROUNDUP(MONTH(B2619)/3,0)</f>
        <v>2017-Q2</v>
      </c>
    </row>
    <row r="2620" customFormat="false" ht="15" hidden="false" customHeight="false" outlineLevel="0" collapsed="false">
      <c r="A2620" s="0" t="s">
        <v>1364</v>
      </c>
      <c r="B2620" s="6" t="n">
        <v>43091</v>
      </c>
      <c r="C2620" s="7" t="s">
        <v>33</v>
      </c>
      <c r="D2620" s="7" t="s">
        <v>142</v>
      </c>
      <c r="E2620" s="7" t="s">
        <v>35</v>
      </c>
      <c r="F2620" s="0" t="n">
        <v>4.17</v>
      </c>
      <c r="G2620" s="0" t="n">
        <v>1.0842</v>
      </c>
      <c r="H2620" s="0" t="n">
        <v>0</v>
      </c>
      <c r="I2620" s="7" t="n">
        <f aca="false">YEAR(B2620)</f>
        <v>2017</v>
      </c>
      <c r="J2620" s="0" t="str">
        <f aca="false">I2620&amp;"-Q"&amp;ROUNDUP(MONTH(B2620)/3,0)</f>
        <v>2017-Q4</v>
      </c>
    </row>
    <row r="2621" customFormat="false" ht="15" hidden="false" customHeight="false" outlineLevel="0" collapsed="false">
      <c r="A2621" s="0" t="s">
        <v>1364</v>
      </c>
      <c r="B2621" s="6" t="n">
        <v>43091</v>
      </c>
      <c r="C2621" s="7" t="s">
        <v>33</v>
      </c>
      <c r="D2621" s="7" t="s">
        <v>142</v>
      </c>
      <c r="E2621" s="7" t="s">
        <v>39</v>
      </c>
      <c r="F2621" s="0" t="n">
        <v>67.04</v>
      </c>
      <c r="G2621" s="0" t="n">
        <v>6.704</v>
      </c>
      <c r="H2621" s="0" t="n">
        <v>0.2</v>
      </c>
      <c r="I2621" s="7" t="n">
        <f aca="false">YEAR(B2621)</f>
        <v>2017</v>
      </c>
      <c r="J2621" s="0" t="str">
        <f aca="false">I2621&amp;"-Q"&amp;ROUNDUP(MONTH(B2621)/3,0)</f>
        <v>2017-Q4</v>
      </c>
    </row>
    <row r="2622" customFormat="false" ht="15" hidden="false" customHeight="false" outlineLevel="0" collapsed="false">
      <c r="A2622" s="0" t="s">
        <v>1364</v>
      </c>
      <c r="B2622" s="6" t="n">
        <v>43091</v>
      </c>
      <c r="C2622" s="7" t="s">
        <v>33</v>
      </c>
      <c r="D2622" s="7" t="s">
        <v>142</v>
      </c>
      <c r="E2622" s="7" t="s">
        <v>35</v>
      </c>
      <c r="F2622" s="0" t="n">
        <v>37.32</v>
      </c>
      <c r="G2622" s="0" t="n">
        <v>10.4496</v>
      </c>
      <c r="H2622" s="0" t="n">
        <v>0</v>
      </c>
      <c r="I2622" s="7" t="n">
        <f aca="false">YEAR(B2622)</f>
        <v>2017</v>
      </c>
      <c r="J2622" s="0" t="str">
        <f aca="false">I2622&amp;"-Q"&amp;ROUNDUP(MONTH(B2622)/3,0)</f>
        <v>2017-Q4</v>
      </c>
    </row>
    <row r="2623" customFormat="false" ht="15" hidden="false" customHeight="false" outlineLevel="0" collapsed="false">
      <c r="A2623" s="0" t="s">
        <v>1364</v>
      </c>
      <c r="B2623" s="6" t="n">
        <v>43091</v>
      </c>
      <c r="C2623" s="7" t="s">
        <v>33</v>
      </c>
      <c r="D2623" s="7" t="s">
        <v>142</v>
      </c>
      <c r="E2623" s="7" t="s">
        <v>35</v>
      </c>
      <c r="F2623" s="0" t="n">
        <v>18.45</v>
      </c>
      <c r="G2623" s="0" t="n">
        <v>8.6715</v>
      </c>
      <c r="H2623" s="0" t="n">
        <v>0</v>
      </c>
      <c r="I2623" s="7" t="n">
        <f aca="false">YEAR(B2623)</f>
        <v>2017</v>
      </c>
      <c r="J2623" s="0" t="str">
        <f aca="false">I2623&amp;"-Q"&amp;ROUNDUP(MONTH(B2623)/3,0)</f>
        <v>2017-Q4</v>
      </c>
    </row>
    <row r="2624" customFormat="false" ht="15" hidden="false" customHeight="false" outlineLevel="0" collapsed="false">
      <c r="A2624" s="0" t="s">
        <v>1365</v>
      </c>
      <c r="B2624" s="6" t="n">
        <v>41976</v>
      </c>
      <c r="C2624" s="7" t="s">
        <v>45</v>
      </c>
      <c r="D2624" s="7" t="s">
        <v>129</v>
      </c>
      <c r="E2624" s="7" t="s">
        <v>35</v>
      </c>
      <c r="F2624" s="0" t="n">
        <v>25.92</v>
      </c>
      <c r="G2624" s="0" t="n">
        <v>12.4416</v>
      </c>
      <c r="H2624" s="0" t="n">
        <v>0</v>
      </c>
      <c r="I2624" s="7" t="n">
        <f aca="false">YEAR(B2624)</f>
        <v>2014</v>
      </c>
      <c r="J2624" s="0" t="str">
        <f aca="false">I2624&amp;"-Q"&amp;ROUNDUP(MONTH(B2624)/3,0)</f>
        <v>2014-Q4</v>
      </c>
    </row>
    <row r="2625" customFormat="false" ht="15" hidden="false" customHeight="false" outlineLevel="0" collapsed="false">
      <c r="A2625" s="0" t="s">
        <v>1366</v>
      </c>
      <c r="B2625" s="6" t="n">
        <v>43030</v>
      </c>
      <c r="C2625" s="7" t="s">
        <v>55</v>
      </c>
      <c r="D2625" s="7" t="s">
        <v>76</v>
      </c>
      <c r="E2625" s="7" t="s">
        <v>39</v>
      </c>
      <c r="F2625" s="0" t="n">
        <v>11199.968</v>
      </c>
      <c r="G2625" s="0" t="n">
        <v>3919.9888</v>
      </c>
      <c r="H2625" s="0" t="n">
        <v>0.2</v>
      </c>
      <c r="I2625" s="7" t="n">
        <f aca="false">YEAR(B2625)</f>
        <v>2017</v>
      </c>
      <c r="J2625" s="0" t="str">
        <f aca="false">I2625&amp;"-Q"&amp;ROUNDUP(MONTH(B2625)/3,0)</f>
        <v>2017-Q4</v>
      </c>
    </row>
    <row r="2626" customFormat="false" ht="15" hidden="false" customHeight="false" outlineLevel="0" collapsed="false">
      <c r="A2626" s="0" t="s">
        <v>1366</v>
      </c>
      <c r="B2626" s="6" t="n">
        <v>43030</v>
      </c>
      <c r="C2626" s="7" t="s">
        <v>55</v>
      </c>
      <c r="D2626" s="7" t="s">
        <v>76</v>
      </c>
      <c r="E2626" s="7" t="s">
        <v>39</v>
      </c>
      <c r="F2626" s="0" t="n">
        <v>2399.6</v>
      </c>
      <c r="G2626" s="0" t="n">
        <v>647.892</v>
      </c>
      <c r="H2626" s="0" t="n">
        <v>0</v>
      </c>
      <c r="I2626" s="7" t="n">
        <f aca="false">YEAR(B2626)</f>
        <v>2017</v>
      </c>
      <c r="J2626" s="0" t="str">
        <f aca="false">I2626&amp;"-Q"&amp;ROUNDUP(MONTH(B2626)/3,0)</f>
        <v>2017-Q4</v>
      </c>
    </row>
    <row r="2627" customFormat="false" ht="15" hidden="false" customHeight="false" outlineLevel="0" collapsed="false">
      <c r="A2627" s="0" t="s">
        <v>1366</v>
      </c>
      <c r="B2627" s="6" t="n">
        <v>43030</v>
      </c>
      <c r="C2627" s="7" t="s">
        <v>55</v>
      </c>
      <c r="D2627" s="7" t="s">
        <v>76</v>
      </c>
      <c r="E2627" s="7" t="s">
        <v>35</v>
      </c>
      <c r="F2627" s="0" t="n">
        <v>63.9</v>
      </c>
      <c r="G2627" s="0" t="n">
        <v>28.755</v>
      </c>
      <c r="H2627" s="0" t="n">
        <v>0</v>
      </c>
      <c r="I2627" s="7" t="n">
        <f aca="false">YEAR(B2627)</f>
        <v>2017</v>
      </c>
      <c r="J2627" s="0" t="str">
        <f aca="false">I2627&amp;"-Q"&amp;ROUNDUP(MONTH(B2627)/3,0)</f>
        <v>2017-Q4</v>
      </c>
    </row>
    <row r="2628" customFormat="false" ht="15" hidden="false" customHeight="false" outlineLevel="0" collapsed="false">
      <c r="A2628" s="0" t="s">
        <v>1366</v>
      </c>
      <c r="B2628" s="6" t="n">
        <v>43030</v>
      </c>
      <c r="C2628" s="7" t="s">
        <v>55</v>
      </c>
      <c r="D2628" s="7" t="s">
        <v>76</v>
      </c>
      <c r="E2628" s="7" t="s">
        <v>39</v>
      </c>
      <c r="F2628" s="0" t="n">
        <v>52.99</v>
      </c>
      <c r="G2628" s="0" t="n">
        <v>0.5299</v>
      </c>
      <c r="H2628" s="0" t="n">
        <v>0</v>
      </c>
      <c r="I2628" s="7" t="n">
        <f aca="false">YEAR(B2628)</f>
        <v>2017</v>
      </c>
      <c r="J2628" s="0" t="str">
        <f aca="false">I2628&amp;"-Q"&amp;ROUNDUP(MONTH(B2628)/3,0)</f>
        <v>2017-Q4</v>
      </c>
    </row>
    <row r="2629" customFormat="false" ht="15" hidden="false" customHeight="false" outlineLevel="0" collapsed="false">
      <c r="A2629" s="0" t="s">
        <v>1367</v>
      </c>
      <c r="B2629" s="6" t="n">
        <v>43052</v>
      </c>
      <c r="C2629" s="7" t="s">
        <v>55</v>
      </c>
      <c r="D2629" s="7" t="s">
        <v>116</v>
      </c>
      <c r="E2629" s="7" t="s">
        <v>39</v>
      </c>
      <c r="F2629" s="0" t="n">
        <v>60.864</v>
      </c>
      <c r="G2629" s="0" t="n">
        <v>9.1296</v>
      </c>
      <c r="H2629" s="0" t="n">
        <v>0.2</v>
      </c>
      <c r="I2629" s="7" t="n">
        <f aca="false">YEAR(B2629)</f>
        <v>2017</v>
      </c>
      <c r="J2629" s="0" t="str">
        <f aca="false">I2629&amp;"-Q"&amp;ROUNDUP(MONTH(B2629)/3,0)</f>
        <v>2017-Q4</v>
      </c>
    </row>
    <row r="2630" customFormat="false" ht="15" hidden="false" customHeight="false" outlineLevel="0" collapsed="false">
      <c r="A2630" s="0" t="s">
        <v>1367</v>
      </c>
      <c r="B2630" s="6" t="n">
        <v>43052</v>
      </c>
      <c r="C2630" s="7" t="s">
        <v>55</v>
      </c>
      <c r="D2630" s="7" t="s">
        <v>116</v>
      </c>
      <c r="E2630" s="7" t="s">
        <v>39</v>
      </c>
      <c r="F2630" s="0" t="n">
        <v>652.995</v>
      </c>
      <c r="G2630" s="0" t="n">
        <v>-935.9595</v>
      </c>
      <c r="H2630" s="0" t="n">
        <v>0.7</v>
      </c>
      <c r="I2630" s="7" t="n">
        <f aca="false">YEAR(B2630)</f>
        <v>2017</v>
      </c>
      <c r="J2630" s="0" t="str">
        <f aca="false">I2630&amp;"-Q"&amp;ROUNDUP(MONTH(B2630)/3,0)</f>
        <v>2017-Q4</v>
      </c>
    </row>
    <row r="2631" customFormat="false" ht="15" hidden="false" customHeight="false" outlineLevel="0" collapsed="false">
      <c r="A2631" s="0" t="s">
        <v>1367</v>
      </c>
      <c r="B2631" s="6" t="n">
        <v>43052</v>
      </c>
      <c r="C2631" s="7" t="s">
        <v>55</v>
      </c>
      <c r="D2631" s="7" t="s">
        <v>116</v>
      </c>
      <c r="E2631" s="7" t="s">
        <v>35</v>
      </c>
      <c r="F2631" s="0" t="n">
        <v>11.22</v>
      </c>
      <c r="G2631" s="0" t="n">
        <v>-7.48</v>
      </c>
      <c r="H2631" s="0" t="n">
        <v>0.7</v>
      </c>
      <c r="I2631" s="7" t="n">
        <f aca="false">YEAR(B2631)</f>
        <v>2017</v>
      </c>
      <c r="J2631" s="0" t="str">
        <f aca="false">I2631&amp;"-Q"&amp;ROUNDUP(MONTH(B2631)/3,0)</f>
        <v>2017-Q4</v>
      </c>
    </row>
    <row r="2632" customFormat="false" ht="15" hidden="false" customHeight="false" outlineLevel="0" collapsed="false">
      <c r="A2632" s="0" t="s">
        <v>1368</v>
      </c>
      <c r="B2632" s="6" t="n">
        <v>42257</v>
      </c>
      <c r="C2632" s="7" t="s">
        <v>45</v>
      </c>
      <c r="D2632" s="7" t="s">
        <v>138</v>
      </c>
      <c r="E2632" s="7" t="s">
        <v>35</v>
      </c>
      <c r="F2632" s="0" t="n">
        <v>14.94</v>
      </c>
      <c r="G2632" s="0" t="n">
        <v>7.0218</v>
      </c>
      <c r="H2632" s="0" t="n">
        <v>0</v>
      </c>
      <c r="I2632" s="7" t="n">
        <f aca="false">YEAR(B2632)</f>
        <v>2015</v>
      </c>
      <c r="J2632" s="0" t="str">
        <f aca="false">I2632&amp;"-Q"&amp;ROUNDUP(MONTH(B2632)/3,0)</f>
        <v>2015-Q3</v>
      </c>
    </row>
    <row r="2633" customFormat="false" ht="15" hidden="false" customHeight="false" outlineLevel="0" collapsed="false">
      <c r="A2633" s="0" t="s">
        <v>1369</v>
      </c>
      <c r="B2633" s="6" t="n">
        <v>42870</v>
      </c>
      <c r="C2633" s="7" t="s">
        <v>33</v>
      </c>
      <c r="D2633" s="7" t="s">
        <v>43</v>
      </c>
      <c r="E2633" s="7" t="s">
        <v>31</v>
      </c>
      <c r="F2633" s="0" t="n">
        <v>39.96</v>
      </c>
      <c r="G2633" s="0" t="n">
        <v>17.1828</v>
      </c>
      <c r="H2633" s="0" t="n">
        <v>0</v>
      </c>
      <c r="I2633" s="7" t="n">
        <f aca="false">YEAR(B2633)</f>
        <v>2017</v>
      </c>
      <c r="J2633" s="0" t="str">
        <f aca="false">I2633&amp;"-Q"&amp;ROUNDUP(MONTH(B2633)/3,0)</f>
        <v>2017-Q2</v>
      </c>
    </row>
    <row r="2634" customFormat="false" ht="15" hidden="false" customHeight="false" outlineLevel="0" collapsed="false">
      <c r="A2634" s="0" t="s">
        <v>1369</v>
      </c>
      <c r="B2634" s="6" t="n">
        <v>42870</v>
      </c>
      <c r="C2634" s="7" t="s">
        <v>33</v>
      </c>
      <c r="D2634" s="7" t="s">
        <v>43</v>
      </c>
      <c r="E2634" s="7" t="s">
        <v>31</v>
      </c>
      <c r="F2634" s="0" t="n">
        <v>42.624</v>
      </c>
      <c r="G2634" s="0" t="n">
        <v>4.2624</v>
      </c>
      <c r="H2634" s="0" t="n">
        <v>0.2</v>
      </c>
      <c r="I2634" s="7" t="n">
        <f aca="false">YEAR(B2634)</f>
        <v>2017</v>
      </c>
      <c r="J2634" s="0" t="str">
        <f aca="false">I2634&amp;"-Q"&amp;ROUNDUP(MONTH(B2634)/3,0)</f>
        <v>2017-Q2</v>
      </c>
    </row>
    <row r="2635" customFormat="false" ht="15" hidden="false" customHeight="false" outlineLevel="0" collapsed="false">
      <c r="A2635" s="0" t="s">
        <v>1369</v>
      </c>
      <c r="B2635" s="6" t="n">
        <v>42870</v>
      </c>
      <c r="C2635" s="7" t="s">
        <v>33</v>
      </c>
      <c r="D2635" s="7" t="s">
        <v>43</v>
      </c>
      <c r="E2635" s="7" t="s">
        <v>31</v>
      </c>
      <c r="F2635" s="0" t="n">
        <v>220.96</v>
      </c>
      <c r="G2635" s="0" t="n">
        <v>24.858</v>
      </c>
      <c r="H2635" s="0" t="n">
        <v>0.2</v>
      </c>
      <c r="I2635" s="7" t="n">
        <f aca="false">YEAR(B2635)</f>
        <v>2017</v>
      </c>
      <c r="J2635" s="0" t="str">
        <f aca="false">I2635&amp;"-Q"&amp;ROUNDUP(MONTH(B2635)/3,0)</f>
        <v>2017-Q2</v>
      </c>
    </row>
    <row r="2636" customFormat="false" ht="15" hidden="false" customHeight="false" outlineLevel="0" collapsed="false">
      <c r="A2636" s="0" t="s">
        <v>1370</v>
      </c>
      <c r="B2636" s="6" t="n">
        <v>42190</v>
      </c>
      <c r="C2636" s="7" t="s">
        <v>29</v>
      </c>
      <c r="D2636" s="7" t="s">
        <v>41</v>
      </c>
      <c r="E2636" s="7" t="s">
        <v>31</v>
      </c>
      <c r="F2636" s="0" t="n">
        <v>4.928</v>
      </c>
      <c r="G2636" s="0" t="n">
        <v>0.7392</v>
      </c>
      <c r="H2636" s="0" t="n">
        <v>0.2</v>
      </c>
      <c r="I2636" s="7" t="n">
        <f aca="false">YEAR(B2636)</f>
        <v>2015</v>
      </c>
      <c r="J2636" s="0" t="str">
        <f aca="false">I2636&amp;"-Q"&amp;ROUNDUP(MONTH(B2636)/3,0)</f>
        <v>2015-Q3</v>
      </c>
    </row>
    <row r="2637" customFormat="false" ht="15" hidden="false" customHeight="false" outlineLevel="0" collapsed="false">
      <c r="A2637" s="0" t="s">
        <v>1370</v>
      </c>
      <c r="B2637" s="6" t="n">
        <v>42190</v>
      </c>
      <c r="C2637" s="7" t="s">
        <v>29</v>
      </c>
      <c r="D2637" s="7" t="s">
        <v>41</v>
      </c>
      <c r="E2637" s="7" t="s">
        <v>35</v>
      </c>
      <c r="F2637" s="0" t="n">
        <v>7.23</v>
      </c>
      <c r="G2637" s="0" t="n">
        <v>-5.784</v>
      </c>
      <c r="H2637" s="0" t="n">
        <v>0.7</v>
      </c>
      <c r="I2637" s="7" t="n">
        <f aca="false">YEAR(B2637)</f>
        <v>2015</v>
      </c>
      <c r="J2637" s="0" t="str">
        <f aca="false">I2637&amp;"-Q"&amp;ROUNDUP(MONTH(B2637)/3,0)</f>
        <v>2015-Q3</v>
      </c>
    </row>
    <row r="2638" customFormat="false" ht="15" hidden="false" customHeight="false" outlineLevel="0" collapsed="false">
      <c r="A2638" s="0" t="s">
        <v>1371</v>
      </c>
      <c r="B2638" s="6" t="n">
        <v>42231</v>
      </c>
      <c r="C2638" s="7" t="s">
        <v>33</v>
      </c>
      <c r="D2638" s="7" t="s">
        <v>34</v>
      </c>
      <c r="E2638" s="7" t="s">
        <v>35</v>
      </c>
      <c r="F2638" s="0" t="n">
        <v>323.1</v>
      </c>
      <c r="G2638" s="0" t="n">
        <v>61.389</v>
      </c>
      <c r="H2638" s="0" t="n">
        <v>0</v>
      </c>
      <c r="I2638" s="7" t="n">
        <f aca="false">YEAR(B2638)</f>
        <v>2015</v>
      </c>
      <c r="J2638" s="0" t="str">
        <f aca="false">I2638&amp;"-Q"&amp;ROUNDUP(MONTH(B2638)/3,0)</f>
        <v>2015-Q3</v>
      </c>
    </row>
    <row r="2639" customFormat="false" ht="15" hidden="false" customHeight="false" outlineLevel="0" collapsed="false">
      <c r="A2639" s="0" t="s">
        <v>1372</v>
      </c>
      <c r="B2639" s="6" t="n">
        <v>42898</v>
      </c>
      <c r="C2639" s="7" t="s">
        <v>55</v>
      </c>
      <c r="D2639" s="7" t="s">
        <v>76</v>
      </c>
      <c r="E2639" s="7" t="s">
        <v>35</v>
      </c>
      <c r="F2639" s="0" t="n">
        <v>19.04</v>
      </c>
      <c r="G2639" s="0" t="n">
        <v>9.3296</v>
      </c>
      <c r="H2639" s="0" t="n">
        <v>0</v>
      </c>
      <c r="I2639" s="7" t="n">
        <f aca="false">YEAR(B2639)</f>
        <v>2017</v>
      </c>
      <c r="J2639" s="0" t="str">
        <f aca="false">I2639&amp;"-Q"&amp;ROUNDUP(MONTH(B2639)/3,0)</f>
        <v>2017-Q2</v>
      </c>
    </row>
    <row r="2640" customFormat="false" ht="15" hidden="false" customHeight="false" outlineLevel="0" collapsed="false">
      <c r="A2640" s="0" t="s">
        <v>1372</v>
      </c>
      <c r="B2640" s="6" t="n">
        <v>42898</v>
      </c>
      <c r="C2640" s="7" t="s">
        <v>55</v>
      </c>
      <c r="D2640" s="7" t="s">
        <v>76</v>
      </c>
      <c r="E2640" s="7" t="s">
        <v>35</v>
      </c>
      <c r="F2640" s="0" t="n">
        <v>13.128</v>
      </c>
      <c r="G2640" s="0" t="n">
        <v>4.2666</v>
      </c>
      <c r="H2640" s="0" t="n">
        <v>0.2</v>
      </c>
      <c r="I2640" s="7" t="n">
        <f aca="false">YEAR(B2640)</f>
        <v>2017</v>
      </c>
      <c r="J2640" s="0" t="str">
        <f aca="false">I2640&amp;"-Q"&amp;ROUNDUP(MONTH(B2640)/3,0)</f>
        <v>2017-Q2</v>
      </c>
    </row>
    <row r="2641" customFormat="false" ht="15" hidden="false" customHeight="false" outlineLevel="0" collapsed="false">
      <c r="A2641" s="0" t="s">
        <v>1372</v>
      </c>
      <c r="B2641" s="6" t="n">
        <v>42898</v>
      </c>
      <c r="C2641" s="7" t="s">
        <v>55</v>
      </c>
      <c r="D2641" s="7" t="s">
        <v>76</v>
      </c>
      <c r="E2641" s="7" t="s">
        <v>35</v>
      </c>
      <c r="F2641" s="0" t="n">
        <v>64.14</v>
      </c>
      <c r="G2641" s="0" t="n">
        <v>16.6764</v>
      </c>
      <c r="H2641" s="0" t="n">
        <v>0</v>
      </c>
      <c r="I2641" s="7" t="n">
        <f aca="false">YEAR(B2641)</f>
        <v>2017</v>
      </c>
      <c r="J2641" s="0" t="str">
        <f aca="false">I2641&amp;"-Q"&amp;ROUNDUP(MONTH(B2641)/3,0)</f>
        <v>2017-Q2</v>
      </c>
    </row>
    <row r="2642" customFormat="false" ht="15" hidden="false" customHeight="false" outlineLevel="0" collapsed="false">
      <c r="A2642" s="0" t="s">
        <v>1372</v>
      </c>
      <c r="B2642" s="6" t="n">
        <v>42898</v>
      </c>
      <c r="C2642" s="7" t="s">
        <v>55</v>
      </c>
      <c r="D2642" s="7" t="s">
        <v>76</v>
      </c>
      <c r="E2642" s="7" t="s">
        <v>31</v>
      </c>
      <c r="F2642" s="0" t="n">
        <v>858.24</v>
      </c>
      <c r="G2642" s="0" t="n">
        <v>143.04</v>
      </c>
      <c r="H2642" s="0" t="n">
        <v>0.1</v>
      </c>
      <c r="I2642" s="7" t="n">
        <f aca="false">YEAR(B2642)</f>
        <v>2017</v>
      </c>
      <c r="J2642" s="0" t="str">
        <f aca="false">I2642&amp;"-Q"&amp;ROUNDUP(MONTH(B2642)/3,0)</f>
        <v>2017-Q2</v>
      </c>
    </row>
    <row r="2643" customFormat="false" ht="15" hidden="false" customHeight="false" outlineLevel="0" collapsed="false">
      <c r="A2643" s="0" t="s">
        <v>1373</v>
      </c>
      <c r="B2643" s="6" t="n">
        <v>42055</v>
      </c>
      <c r="C2643" s="7" t="s">
        <v>29</v>
      </c>
      <c r="D2643" s="7" t="s">
        <v>301</v>
      </c>
      <c r="E2643" s="7" t="s">
        <v>39</v>
      </c>
      <c r="F2643" s="0" t="n">
        <v>29.99</v>
      </c>
      <c r="G2643" s="0" t="n">
        <v>2.999</v>
      </c>
      <c r="H2643" s="0" t="n">
        <v>0</v>
      </c>
      <c r="I2643" s="7" t="n">
        <f aca="false">YEAR(B2643)</f>
        <v>2015</v>
      </c>
      <c r="J2643" s="0" t="str">
        <f aca="false">I2643&amp;"-Q"&amp;ROUNDUP(MONTH(B2643)/3,0)</f>
        <v>2015-Q1</v>
      </c>
    </row>
    <row r="2644" customFormat="false" ht="15" hidden="false" customHeight="false" outlineLevel="0" collapsed="false">
      <c r="A2644" s="0" t="s">
        <v>1374</v>
      </c>
      <c r="B2644" s="6" t="n">
        <v>42733</v>
      </c>
      <c r="C2644" s="7" t="s">
        <v>45</v>
      </c>
      <c r="D2644" s="7" t="s">
        <v>64</v>
      </c>
      <c r="E2644" s="7" t="s">
        <v>35</v>
      </c>
      <c r="F2644" s="0" t="n">
        <v>186.048</v>
      </c>
      <c r="G2644" s="0" t="n">
        <v>67.4424</v>
      </c>
      <c r="H2644" s="0" t="n">
        <v>0.2</v>
      </c>
      <c r="I2644" s="7" t="n">
        <f aca="false">YEAR(B2644)</f>
        <v>2016</v>
      </c>
      <c r="J2644" s="0" t="str">
        <f aca="false">I2644&amp;"-Q"&amp;ROUNDUP(MONTH(B2644)/3,0)</f>
        <v>2016-Q4</v>
      </c>
    </row>
    <row r="2645" customFormat="false" ht="15" hidden="false" customHeight="false" outlineLevel="0" collapsed="false">
      <c r="A2645" s="0" t="s">
        <v>1375</v>
      </c>
      <c r="B2645" s="6" t="n">
        <v>42477</v>
      </c>
      <c r="C2645" s="7" t="s">
        <v>29</v>
      </c>
      <c r="D2645" s="7" t="s">
        <v>41</v>
      </c>
      <c r="E2645" s="7" t="s">
        <v>39</v>
      </c>
      <c r="F2645" s="0" t="n">
        <v>36.792</v>
      </c>
      <c r="G2645" s="0" t="n">
        <v>4.1391</v>
      </c>
      <c r="H2645" s="0" t="n">
        <v>0.2</v>
      </c>
      <c r="I2645" s="7" t="n">
        <f aca="false">YEAR(B2645)</f>
        <v>2016</v>
      </c>
      <c r="J2645" s="0" t="str">
        <f aca="false">I2645&amp;"-Q"&amp;ROUNDUP(MONTH(B2645)/3,0)</f>
        <v>2016-Q2</v>
      </c>
    </row>
    <row r="2646" customFormat="false" ht="15" hidden="false" customHeight="false" outlineLevel="0" collapsed="false">
      <c r="A2646" s="0" t="s">
        <v>1375</v>
      </c>
      <c r="B2646" s="6" t="n">
        <v>42477</v>
      </c>
      <c r="C2646" s="7" t="s">
        <v>29</v>
      </c>
      <c r="D2646" s="7" t="s">
        <v>41</v>
      </c>
      <c r="E2646" s="7" t="s">
        <v>31</v>
      </c>
      <c r="F2646" s="0" t="n">
        <v>18.624</v>
      </c>
      <c r="G2646" s="0" t="n">
        <v>6.2856</v>
      </c>
      <c r="H2646" s="0" t="n">
        <v>0.2</v>
      </c>
      <c r="I2646" s="7" t="n">
        <f aca="false">YEAR(B2646)</f>
        <v>2016</v>
      </c>
      <c r="J2646" s="0" t="str">
        <f aca="false">I2646&amp;"-Q"&amp;ROUNDUP(MONTH(B2646)/3,0)</f>
        <v>2016-Q2</v>
      </c>
    </row>
    <row r="2647" customFormat="false" ht="15" hidden="false" customHeight="false" outlineLevel="0" collapsed="false">
      <c r="A2647" s="0" t="s">
        <v>1376</v>
      </c>
      <c r="B2647" s="6" t="n">
        <v>41889</v>
      </c>
      <c r="C2647" s="7" t="s">
        <v>45</v>
      </c>
      <c r="D2647" s="7" t="s">
        <v>138</v>
      </c>
      <c r="E2647" s="7" t="s">
        <v>31</v>
      </c>
      <c r="F2647" s="0" t="n">
        <v>57.69</v>
      </c>
      <c r="G2647" s="0" t="n">
        <v>23.6529</v>
      </c>
      <c r="H2647" s="0" t="n">
        <v>0</v>
      </c>
      <c r="I2647" s="7" t="n">
        <f aca="false">YEAR(B2647)</f>
        <v>2014</v>
      </c>
      <c r="J2647" s="0" t="str">
        <f aca="false">I2647&amp;"-Q"&amp;ROUNDUP(MONTH(B2647)/3,0)</f>
        <v>2014-Q3</v>
      </c>
    </row>
    <row r="2648" customFormat="false" ht="15" hidden="false" customHeight="false" outlineLevel="0" collapsed="false">
      <c r="A2648" s="0" t="s">
        <v>1376</v>
      </c>
      <c r="B2648" s="6" t="n">
        <v>41889</v>
      </c>
      <c r="C2648" s="7" t="s">
        <v>45</v>
      </c>
      <c r="D2648" s="7" t="s">
        <v>138</v>
      </c>
      <c r="E2648" s="7" t="s">
        <v>35</v>
      </c>
      <c r="F2648" s="0" t="n">
        <v>42.81</v>
      </c>
      <c r="G2648" s="0" t="n">
        <v>20.1207</v>
      </c>
      <c r="H2648" s="0" t="n">
        <v>0</v>
      </c>
      <c r="I2648" s="7" t="n">
        <f aca="false">YEAR(B2648)</f>
        <v>2014</v>
      </c>
      <c r="J2648" s="0" t="str">
        <f aca="false">I2648&amp;"-Q"&amp;ROUNDUP(MONTH(B2648)/3,0)</f>
        <v>2014-Q3</v>
      </c>
    </row>
    <row r="2649" customFormat="false" ht="15" hidden="false" customHeight="false" outlineLevel="0" collapsed="false">
      <c r="A2649" s="0" t="s">
        <v>1376</v>
      </c>
      <c r="B2649" s="6" t="n">
        <v>41889</v>
      </c>
      <c r="C2649" s="7" t="s">
        <v>45</v>
      </c>
      <c r="D2649" s="7" t="s">
        <v>138</v>
      </c>
      <c r="E2649" s="7" t="s">
        <v>35</v>
      </c>
      <c r="F2649" s="0" t="n">
        <v>12.96</v>
      </c>
      <c r="G2649" s="0" t="n">
        <v>6.2208</v>
      </c>
      <c r="H2649" s="0" t="n">
        <v>0</v>
      </c>
      <c r="I2649" s="7" t="n">
        <f aca="false">YEAR(B2649)</f>
        <v>2014</v>
      </c>
      <c r="J2649" s="0" t="str">
        <f aca="false">I2649&amp;"-Q"&amp;ROUNDUP(MONTH(B2649)/3,0)</f>
        <v>2014-Q3</v>
      </c>
    </row>
    <row r="2650" customFormat="false" ht="15" hidden="false" customHeight="false" outlineLevel="0" collapsed="false">
      <c r="A2650" s="0" t="s">
        <v>1376</v>
      </c>
      <c r="B2650" s="6" t="n">
        <v>41889</v>
      </c>
      <c r="C2650" s="7" t="s">
        <v>45</v>
      </c>
      <c r="D2650" s="7" t="s">
        <v>138</v>
      </c>
      <c r="E2650" s="7" t="s">
        <v>31</v>
      </c>
      <c r="F2650" s="0" t="n">
        <v>821.88</v>
      </c>
      <c r="G2650" s="0" t="n">
        <v>213.6888</v>
      </c>
      <c r="H2650" s="0" t="n">
        <v>0</v>
      </c>
      <c r="I2650" s="7" t="n">
        <f aca="false">YEAR(B2650)</f>
        <v>2014</v>
      </c>
      <c r="J2650" s="0" t="str">
        <f aca="false">I2650&amp;"-Q"&amp;ROUNDUP(MONTH(B2650)/3,0)</f>
        <v>2014-Q3</v>
      </c>
    </row>
    <row r="2651" customFormat="false" ht="15" hidden="false" customHeight="false" outlineLevel="0" collapsed="false">
      <c r="A2651" s="0" t="s">
        <v>1376</v>
      </c>
      <c r="B2651" s="6" t="n">
        <v>41889</v>
      </c>
      <c r="C2651" s="7" t="s">
        <v>45</v>
      </c>
      <c r="D2651" s="7" t="s">
        <v>138</v>
      </c>
      <c r="E2651" s="7" t="s">
        <v>39</v>
      </c>
      <c r="F2651" s="0" t="n">
        <v>104.85</v>
      </c>
      <c r="G2651" s="0" t="n">
        <v>28.3095</v>
      </c>
      <c r="H2651" s="0" t="n">
        <v>0</v>
      </c>
      <c r="I2651" s="7" t="n">
        <f aca="false">YEAR(B2651)</f>
        <v>2014</v>
      </c>
      <c r="J2651" s="0" t="str">
        <f aca="false">I2651&amp;"-Q"&amp;ROUNDUP(MONTH(B2651)/3,0)</f>
        <v>2014-Q3</v>
      </c>
    </row>
    <row r="2652" customFormat="false" ht="15" hidden="false" customHeight="false" outlineLevel="0" collapsed="false">
      <c r="A2652" s="0" t="s">
        <v>1377</v>
      </c>
      <c r="B2652" s="6" t="n">
        <v>42639</v>
      </c>
      <c r="C2652" s="7" t="s">
        <v>33</v>
      </c>
      <c r="D2652" s="7" t="s">
        <v>34</v>
      </c>
      <c r="E2652" s="7" t="s">
        <v>31</v>
      </c>
      <c r="F2652" s="0" t="n">
        <v>424.9575</v>
      </c>
      <c r="G2652" s="0" t="n">
        <v>19.998</v>
      </c>
      <c r="H2652" s="0" t="n">
        <v>0.15</v>
      </c>
      <c r="I2652" s="7" t="n">
        <f aca="false">YEAR(B2652)</f>
        <v>2016</v>
      </c>
      <c r="J2652" s="0" t="str">
        <f aca="false">I2652&amp;"-Q"&amp;ROUNDUP(MONTH(B2652)/3,0)</f>
        <v>2016-Q3</v>
      </c>
    </row>
    <row r="2653" customFormat="false" ht="15" hidden="false" customHeight="false" outlineLevel="0" collapsed="false">
      <c r="A2653" s="0" t="s">
        <v>1378</v>
      </c>
      <c r="B2653" s="6" t="n">
        <v>42995</v>
      </c>
      <c r="C2653" s="7" t="s">
        <v>33</v>
      </c>
      <c r="D2653" s="7" t="s">
        <v>50</v>
      </c>
      <c r="E2653" s="7" t="s">
        <v>35</v>
      </c>
      <c r="F2653" s="0" t="n">
        <v>10.776</v>
      </c>
      <c r="G2653" s="0" t="n">
        <v>3.5022</v>
      </c>
      <c r="H2653" s="0" t="n">
        <v>0.2</v>
      </c>
      <c r="I2653" s="7" t="n">
        <f aca="false">YEAR(B2653)</f>
        <v>2017</v>
      </c>
      <c r="J2653" s="0" t="str">
        <f aca="false">I2653&amp;"-Q"&amp;ROUNDUP(MONTH(B2653)/3,0)</f>
        <v>2017-Q3</v>
      </c>
    </row>
    <row r="2654" customFormat="false" ht="15" hidden="false" customHeight="false" outlineLevel="0" collapsed="false">
      <c r="A2654" s="0" t="s">
        <v>1378</v>
      </c>
      <c r="B2654" s="6" t="n">
        <v>42995</v>
      </c>
      <c r="C2654" s="7" t="s">
        <v>33</v>
      </c>
      <c r="D2654" s="7" t="s">
        <v>50</v>
      </c>
      <c r="E2654" s="7" t="s">
        <v>35</v>
      </c>
      <c r="F2654" s="0" t="n">
        <v>11.784</v>
      </c>
      <c r="G2654" s="0" t="n">
        <v>4.2717</v>
      </c>
      <c r="H2654" s="0" t="n">
        <v>0.2</v>
      </c>
      <c r="I2654" s="7" t="n">
        <f aca="false">YEAR(B2654)</f>
        <v>2017</v>
      </c>
      <c r="J2654" s="0" t="str">
        <f aca="false">I2654&amp;"-Q"&amp;ROUNDUP(MONTH(B2654)/3,0)</f>
        <v>2017-Q3</v>
      </c>
    </row>
    <row r="2655" customFormat="false" ht="15" hidden="false" customHeight="false" outlineLevel="0" collapsed="false">
      <c r="A2655" s="0" t="s">
        <v>1378</v>
      </c>
      <c r="B2655" s="6" t="n">
        <v>42995</v>
      </c>
      <c r="C2655" s="7" t="s">
        <v>33</v>
      </c>
      <c r="D2655" s="7" t="s">
        <v>50</v>
      </c>
      <c r="E2655" s="7" t="s">
        <v>35</v>
      </c>
      <c r="F2655" s="0" t="n">
        <v>164.88</v>
      </c>
      <c r="G2655" s="0" t="n">
        <v>80.7912</v>
      </c>
      <c r="H2655" s="0" t="n">
        <v>0</v>
      </c>
      <c r="I2655" s="7" t="n">
        <f aca="false">YEAR(B2655)</f>
        <v>2017</v>
      </c>
      <c r="J2655" s="0" t="str">
        <f aca="false">I2655&amp;"-Q"&amp;ROUNDUP(MONTH(B2655)/3,0)</f>
        <v>2017-Q3</v>
      </c>
    </row>
    <row r="2656" customFormat="false" ht="15" hidden="false" customHeight="false" outlineLevel="0" collapsed="false">
      <c r="A2656" s="0" t="s">
        <v>1378</v>
      </c>
      <c r="B2656" s="6" t="n">
        <v>42995</v>
      </c>
      <c r="C2656" s="7" t="s">
        <v>33</v>
      </c>
      <c r="D2656" s="7" t="s">
        <v>50</v>
      </c>
      <c r="E2656" s="7" t="s">
        <v>31</v>
      </c>
      <c r="F2656" s="0" t="n">
        <v>1292.94</v>
      </c>
      <c r="G2656" s="0" t="n">
        <v>77.5764</v>
      </c>
      <c r="H2656" s="0" t="n">
        <v>0</v>
      </c>
      <c r="I2656" s="7" t="n">
        <f aca="false">YEAR(B2656)</f>
        <v>2017</v>
      </c>
      <c r="J2656" s="0" t="str">
        <f aca="false">I2656&amp;"-Q"&amp;ROUNDUP(MONTH(B2656)/3,0)</f>
        <v>2017-Q3</v>
      </c>
    </row>
    <row r="2657" customFormat="false" ht="15" hidden="false" customHeight="false" outlineLevel="0" collapsed="false">
      <c r="A2657" s="0" t="s">
        <v>1378</v>
      </c>
      <c r="B2657" s="6" t="n">
        <v>42995</v>
      </c>
      <c r="C2657" s="7" t="s">
        <v>33</v>
      </c>
      <c r="D2657" s="7" t="s">
        <v>50</v>
      </c>
      <c r="E2657" s="7" t="s">
        <v>35</v>
      </c>
      <c r="F2657" s="0" t="n">
        <v>25.584</v>
      </c>
      <c r="G2657" s="0" t="n">
        <v>8.9544</v>
      </c>
      <c r="H2657" s="0" t="n">
        <v>0.2</v>
      </c>
      <c r="I2657" s="7" t="n">
        <f aca="false">YEAR(B2657)</f>
        <v>2017</v>
      </c>
      <c r="J2657" s="0" t="str">
        <f aca="false">I2657&amp;"-Q"&amp;ROUNDUP(MONTH(B2657)/3,0)</f>
        <v>2017-Q3</v>
      </c>
    </row>
    <row r="2658" customFormat="false" ht="15" hidden="false" customHeight="false" outlineLevel="0" collapsed="false">
      <c r="A2658" s="0" t="s">
        <v>1378</v>
      </c>
      <c r="B2658" s="6" t="n">
        <v>42995</v>
      </c>
      <c r="C2658" s="7" t="s">
        <v>33</v>
      </c>
      <c r="D2658" s="7" t="s">
        <v>50</v>
      </c>
      <c r="E2658" s="7" t="s">
        <v>35</v>
      </c>
      <c r="F2658" s="0" t="n">
        <v>261.74</v>
      </c>
      <c r="G2658" s="0" t="n">
        <v>65.435</v>
      </c>
      <c r="H2658" s="0" t="n">
        <v>0</v>
      </c>
      <c r="I2658" s="7" t="n">
        <f aca="false">YEAR(B2658)</f>
        <v>2017</v>
      </c>
      <c r="J2658" s="0" t="str">
        <f aca="false">I2658&amp;"-Q"&amp;ROUNDUP(MONTH(B2658)/3,0)</f>
        <v>2017-Q3</v>
      </c>
    </row>
    <row r="2659" customFormat="false" ht="15" hidden="false" customHeight="false" outlineLevel="0" collapsed="false">
      <c r="A2659" s="0" t="s">
        <v>1378</v>
      </c>
      <c r="B2659" s="6" t="n">
        <v>42995</v>
      </c>
      <c r="C2659" s="7" t="s">
        <v>33</v>
      </c>
      <c r="D2659" s="7" t="s">
        <v>50</v>
      </c>
      <c r="E2659" s="7" t="s">
        <v>35</v>
      </c>
      <c r="F2659" s="0" t="n">
        <v>14.4</v>
      </c>
      <c r="G2659" s="0" t="n">
        <v>7.056</v>
      </c>
      <c r="H2659" s="0" t="n">
        <v>0</v>
      </c>
      <c r="I2659" s="7" t="n">
        <f aca="false">YEAR(B2659)</f>
        <v>2017</v>
      </c>
      <c r="J2659" s="0" t="str">
        <f aca="false">I2659&amp;"-Q"&amp;ROUNDUP(MONTH(B2659)/3,0)</f>
        <v>2017-Q3</v>
      </c>
    </row>
    <row r="2660" customFormat="false" ht="15" hidden="false" customHeight="false" outlineLevel="0" collapsed="false">
      <c r="A2660" s="0" t="s">
        <v>1379</v>
      </c>
      <c r="B2660" s="6" t="n">
        <v>42598</v>
      </c>
      <c r="C2660" s="7" t="s">
        <v>33</v>
      </c>
      <c r="D2660" s="7" t="s">
        <v>34</v>
      </c>
      <c r="E2660" s="7" t="s">
        <v>35</v>
      </c>
      <c r="F2660" s="0" t="n">
        <v>10.86</v>
      </c>
      <c r="G2660" s="0" t="n">
        <v>5.1042</v>
      </c>
      <c r="H2660" s="0" t="n">
        <v>0</v>
      </c>
      <c r="I2660" s="7" t="n">
        <f aca="false">YEAR(B2660)</f>
        <v>2016</v>
      </c>
      <c r="J2660" s="0" t="str">
        <f aca="false">I2660&amp;"-Q"&amp;ROUNDUP(MONTH(B2660)/3,0)</f>
        <v>2016-Q3</v>
      </c>
    </row>
    <row r="2661" customFormat="false" ht="15" hidden="false" customHeight="false" outlineLevel="0" collapsed="false">
      <c r="A2661" s="0" t="s">
        <v>1380</v>
      </c>
      <c r="B2661" s="6" t="n">
        <v>42362</v>
      </c>
      <c r="C2661" s="7" t="s">
        <v>33</v>
      </c>
      <c r="D2661" s="7" t="s">
        <v>81</v>
      </c>
      <c r="E2661" s="7" t="s">
        <v>31</v>
      </c>
      <c r="F2661" s="0" t="n">
        <v>883.84</v>
      </c>
      <c r="G2661" s="0" t="n">
        <v>99.432</v>
      </c>
      <c r="H2661" s="0" t="n">
        <v>0.2</v>
      </c>
      <c r="I2661" s="7" t="n">
        <f aca="false">YEAR(B2661)</f>
        <v>2015</v>
      </c>
      <c r="J2661" s="0" t="str">
        <f aca="false">I2661&amp;"-Q"&amp;ROUNDUP(MONTH(B2661)/3,0)</f>
        <v>2015-Q4</v>
      </c>
    </row>
    <row r="2662" customFormat="false" ht="15" hidden="false" customHeight="false" outlineLevel="0" collapsed="false">
      <c r="A2662" s="0" t="s">
        <v>1381</v>
      </c>
      <c r="B2662" s="6" t="n">
        <v>43067</v>
      </c>
      <c r="C2662" s="7" t="s">
        <v>55</v>
      </c>
      <c r="D2662" s="7" t="s">
        <v>76</v>
      </c>
      <c r="E2662" s="7" t="s">
        <v>39</v>
      </c>
      <c r="F2662" s="0" t="n">
        <v>1979.89</v>
      </c>
      <c r="G2662" s="0" t="n">
        <v>494.9725</v>
      </c>
      <c r="H2662" s="0" t="n">
        <v>0</v>
      </c>
      <c r="I2662" s="7" t="n">
        <f aca="false">YEAR(B2662)</f>
        <v>2017</v>
      </c>
      <c r="J2662" s="0" t="str">
        <f aca="false">I2662&amp;"-Q"&amp;ROUNDUP(MONTH(B2662)/3,0)</f>
        <v>2017-Q4</v>
      </c>
    </row>
    <row r="2663" customFormat="false" ht="15" hidden="false" customHeight="false" outlineLevel="0" collapsed="false">
      <c r="A2663" s="0" t="s">
        <v>1381</v>
      </c>
      <c r="B2663" s="6" t="n">
        <v>43067</v>
      </c>
      <c r="C2663" s="7" t="s">
        <v>55</v>
      </c>
      <c r="D2663" s="7" t="s">
        <v>76</v>
      </c>
      <c r="E2663" s="7" t="s">
        <v>35</v>
      </c>
      <c r="F2663" s="0" t="n">
        <v>79.96</v>
      </c>
      <c r="G2663" s="0" t="n">
        <v>35.982</v>
      </c>
      <c r="H2663" s="0" t="n">
        <v>0</v>
      </c>
      <c r="I2663" s="7" t="n">
        <f aca="false">YEAR(B2663)</f>
        <v>2017</v>
      </c>
      <c r="J2663" s="0" t="str">
        <f aca="false">I2663&amp;"-Q"&amp;ROUNDUP(MONTH(B2663)/3,0)</f>
        <v>2017-Q4</v>
      </c>
    </row>
    <row r="2664" customFormat="false" ht="15" hidden="false" customHeight="false" outlineLevel="0" collapsed="false">
      <c r="A2664" s="0" t="s">
        <v>1382</v>
      </c>
      <c r="B2664" s="6" t="n">
        <v>42839</v>
      </c>
      <c r="C2664" s="7" t="s">
        <v>45</v>
      </c>
      <c r="D2664" s="7" t="s">
        <v>129</v>
      </c>
      <c r="E2664" s="7" t="s">
        <v>35</v>
      </c>
      <c r="F2664" s="0" t="n">
        <v>8.76</v>
      </c>
      <c r="G2664" s="0" t="n">
        <v>4.2048</v>
      </c>
      <c r="H2664" s="0" t="n">
        <v>0</v>
      </c>
      <c r="I2664" s="7" t="n">
        <f aca="false">YEAR(B2664)</f>
        <v>2017</v>
      </c>
      <c r="J2664" s="0" t="str">
        <f aca="false">I2664&amp;"-Q"&amp;ROUNDUP(MONTH(B2664)/3,0)</f>
        <v>2017-Q2</v>
      </c>
    </row>
    <row r="2665" customFormat="false" ht="15" hidden="false" customHeight="false" outlineLevel="0" collapsed="false">
      <c r="A2665" s="0" t="s">
        <v>1383</v>
      </c>
      <c r="B2665" s="6" t="n">
        <v>42491</v>
      </c>
      <c r="C2665" s="7" t="s">
        <v>29</v>
      </c>
      <c r="D2665" s="7" t="s">
        <v>87</v>
      </c>
      <c r="E2665" s="7" t="s">
        <v>35</v>
      </c>
      <c r="F2665" s="0" t="n">
        <v>3.984</v>
      </c>
      <c r="G2665" s="0" t="n">
        <v>1.2948</v>
      </c>
      <c r="H2665" s="0" t="n">
        <v>0.2</v>
      </c>
      <c r="I2665" s="7" t="n">
        <f aca="false">YEAR(B2665)</f>
        <v>2016</v>
      </c>
      <c r="J2665" s="0" t="str">
        <f aca="false">I2665&amp;"-Q"&amp;ROUNDUP(MONTH(B2665)/3,0)</f>
        <v>2016-Q2</v>
      </c>
    </row>
    <row r="2666" customFormat="false" ht="15" hidden="false" customHeight="false" outlineLevel="0" collapsed="false">
      <c r="A2666" s="0" t="s">
        <v>1383</v>
      </c>
      <c r="B2666" s="6" t="n">
        <v>42491</v>
      </c>
      <c r="C2666" s="7" t="s">
        <v>29</v>
      </c>
      <c r="D2666" s="7" t="s">
        <v>87</v>
      </c>
      <c r="E2666" s="7" t="s">
        <v>31</v>
      </c>
      <c r="F2666" s="0" t="n">
        <v>370.62</v>
      </c>
      <c r="G2666" s="0" t="n">
        <v>-142.071</v>
      </c>
      <c r="H2666" s="0" t="n">
        <v>0.4</v>
      </c>
      <c r="I2666" s="7" t="n">
        <f aca="false">YEAR(B2666)</f>
        <v>2016</v>
      </c>
      <c r="J2666" s="0" t="str">
        <f aca="false">I2666&amp;"-Q"&amp;ROUNDUP(MONTH(B2666)/3,0)</f>
        <v>2016-Q2</v>
      </c>
    </row>
    <row r="2667" customFormat="false" ht="15" hidden="false" customHeight="false" outlineLevel="0" collapsed="false">
      <c r="A2667" s="0" t="s">
        <v>1383</v>
      </c>
      <c r="B2667" s="6" t="n">
        <v>42491</v>
      </c>
      <c r="C2667" s="7" t="s">
        <v>29</v>
      </c>
      <c r="D2667" s="7" t="s">
        <v>87</v>
      </c>
      <c r="E2667" s="7" t="s">
        <v>35</v>
      </c>
      <c r="F2667" s="0" t="n">
        <v>2.742</v>
      </c>
      <c r="G2667" s="0" t="n">
        <v>-2.0108</v>
      </c>
      <c r="H2667" s="0" t="n">
        <v>0.7</v>
      </c>
      <c r="I2667" s="7" t="n">
        <f aca="false">YEAR(B2667)</f>
        <v>2016</v>
      </c>
      <c r="J2667" s="0" t="str">
        <f aca="false">I2667&amp;"-Q"&amp;ROUNDUP(MONTH(B2667)/3,0)</f>
        <v>2016-Q2</v>
      </c>
    </row>
    <row r="2668" customFormat="false" ht="15" hidden="false" customHeight="false" outlineLevel="0" collapsed="false">
      <c r="A2668" s="0" t="s">
        <v>1384</v>
      </c>
      <c r="B2668" s="6" t="n">
        <v>42644</v>
      </c>
      <c r="C2668" s="7" t="s">
        <v>45</v>
      </c>
      <c r="D2668" s="7" t="s">
        <v>46</v>
      </c>
      <c r="E2668" s="7" t="s">
        <v>39</v>
      </c>
      <c r="F2668" s="0" t="n">
        <v>79.512</v>
      </c>
      <c r="G2668" s="0" t="n">
        <v>20.8719</v>
      </c>
      <c r="H2668" s="0" t="n">
        <v>0.2</v>
      </c>
      <c r="I2668" s="7" t="n">
        <f aca="false">YEAR(B2668)</f>
        <v>2016</v>
      </c>
      <c r="J2668" s="0" t="str">
        <f aca="false">I2668&amp;"-Q"&amp;ROUNDUP(MONTH(B2668)/3,0)</f>
        <v>2016-Q4</v>
      </c>
    </row>
    <row r="2669" customFormat="false" ht="15" hidden="false" customHeight="false" outlineLevel="0" collapsed="false">
      <c r="A2669" s="0" t="s">
        <v>1384</v>
      </c>
      <c r="B2669" s="6" t="n">
        <v>42644</v>
      </c>
      <c r="C2669" s="7" t="s">
        <v>45</v>
      </c>
      <c r="D2669" s="7" t="s">
        <v>46</v>
      </c>
      <c r="E2669" s="7" t="s">
        <v>35</v>
      </c>
      <c r="F2669" s="0" t="n">
        <v>28.352</v>
      </c>
      <c r="G2669" s="0" t="n">
        <v>9.5688</v>
      </c>
      <c r="H2669" s="0" t="n">
        <v>0.2</v>
      </c>
      <c r="I2669" s="7" t="n">
        <f aca="false">YEAR(B2669)</f>
        <v>2016</v>
      </c>
      <c r="J2669" s="0" t="str">
        <f aca="false">I2669&amp;"-Q"&amp;ROUNDUP(MONTH(B2669)/3,0)</f>
        <v>2016-Q4</v>
      </c>
    </row>
    <row r="2670" customFormat="false" ht="15" hidden="false" customHeight="false" outlineLevel="0" collapsed="false">
      <c r="A2670" s="0" t="s">
        <v>1385</v>
      </c>
      <c r="B2670" s="6" t="n">
        <v>42241</v>
      </c>
      <c r="C2670" s="7" t="s">
        <v>33</v>
      </c>
      <c r="D2670" s="7" t="s">
        <v>34</v>
      </c>
      <c r="E2670" s="7" t="s">
        <v>31</v>
      </c>
      <c r="F2670" s="0" t="n">
        <v>40.784</v>
      </c>
      <c r="G2670" s="0" t="n">
        <v>4.5882</v>
      </c>
      <c r="H2670" s="0" t="n">
        <v>0.2</v>
      </c>
      <c r="I2670" s="7" t="n">
        <f aca="false">YEAR(B2670)</f>
        <v>2015</v>
      </c>
      <c r="J2670" s="0" t="str">
        <f aca="false">I2670&amp;"-Q"&amp;ROUNDUP(MONTH(B2670)/3,0)</f>
        <v>2015-Q3</v>
      </c>
    </row>
    <row r="2671" customFormat="false" ht="15" hidden="false" customHeight="false" outlineLevel="0" collapsed="false">
      <c r="A2671" s="0" t="s">
        <v>1385</v>
      </c>
      <c r="B2671" s="6" t="n">
        <v>42241</v>
      </c>
      <c r="C2671" s="7" t="s">
        <v>33</v>
      </c>
      <c r="D2671" s="7" t="s">
        <v>34</v>
      </c>
      <c r="E2671" s="7" t="s">
        <v>35</v>
      </c>
      <c r="F2671" s="0" t="n">
        <v>105.96</v>
      </c>
      <c r="G2671" s="0" t="n">
        <v>29.6688</v>
      </c>
      <c r="H2671" s="0" t="n">
        <v>0</v>
      </c>
      <c r="I2671" s="7" t="n">
        <f aca="false">YEAR(B2671)</f>
        <v>2015</v>
      </c>
      <c r="J2671" s="0" t="str">
        <f aca="false">I2671&amp;"-Q"&amp;ROUNDUP(MONTH(B2671)/3,0)</f>
        <v>2015-Q3</v>
      </c>
    </row>
    <row r="2672" customFormat="false" ht="15" hidden="false" customHeight="false" outlineLevel="0" collapsed="false">
      <c r="A2672" s="0" t="s">
        <v>1386</v>
      </c>
      <c r="B2672" s="6" t="n">
        <v>41891</v>
      </c>
      <c r="C2672" s="7" t="s">
        <v>55</v>
      </c>
      <c r="D2672" s="7" t="s">
        <v>225</v>
      </c>
      <c r="E2672" s="7" t="s">
        <v>35</v>
      </c>
      <c r="F2672" s="0" t="n">
        <v>166.44</v>
      </c>
      <c r="G2672" s="0" t="n">
        <v>79.8912</v>
      </c>
      <c r="H2672" s="0" t="n">
        <v>0</v>
      </c>
      <c r="I2672" s="7" t="n">
        <f aca="false">YEAR(B2672)</f>
        <v>2014</v>
      </c>
      <c r="J2672" s="0" t="str">
        <f aca="false">I2672&amp;"-Q"&amp;ROUNDUP(MONTH(B2672)/3,0)</f>
        <v>2014-Q3</v>
      </c>
    </row>
    <row r="2673" customFormat="false" ht="15" hidden="false" customHeight="false" outlineLevel="0" collapsed="false">
      <c r="A2673" s="0" t="s">
        <v>1386</v>
      </c>
      <c r="B2673" s="6" t="n">
        <v>41891</v>
      </c>
      <c r="C2673" s="7" t="s">
        <v>55</v>
      </c>
      <c r="D2673" s="7" t="s">
        <v>225</v>
      </c>
      <c r="E2673" s="7" t="s">
        <v>31</v>
      </c>
      <c r="F2673" s="0" t="n">
        <v>785.88</v>
      </c>
      <c r="G2673" s="0" t="n">
        <v>212.1876</v>
      </c>
      <c r="H2673" s="0" t="n">
        <v>0</v>
      </c>
      <c r="I2673" s="7" t="n">
        <f aca="false">YEAR(B2673)</f>
        <v>2014</v>
      </c>
      <c r="J2673" s="0" t="str">
        <f aca="false">I2673&amp;"-Q"&amp;ROUNDUP(MONTH(B2673)/3,0)</f>
        <v>2014-Q3</v>
      </c>
    </row>
    <row r="2674" customFormat="false" ht="15" hidden="false" customHeight="false" outlineLevel="0" collapsed="false">
      <c r="A2674" s="0" t="s">
        <v>1386</v>
      </c>
      <c r="B2674" s="6" t="n">
        <v>41891</v>
      </c>
      <c r="C2674" s="7" t="s">
        <v>55</v>
      </c>
      <c r="D2674" s="7" t="s">
        <v>225</v>
      </c>
      <c r="E2674" s="7" t="s">
        <v>35</v>
      </c>
      <c r="F2674" s="0" t="n">
        <v>26.2</v>
      </c>
      <c r="G2674" s="0" t="n">
        <v>12.838</v>
      </c>
      <c r="H2674" s="0" t="n">
        <v>0</v>
      </c>
      <c r="I2674" s="7" t="n">
        <f aca="false">YEAR(B2674)</f>
        <v>2014</v>
      </c>
      <c r="J2674" s="0" t="str">
        <f aca="false">I2674&amp;"-Q"&amp;ROUNDUP(MONTH(B2674)/3,0)</f>
        <v>2014-Q3</v>
      </c>
    </row>
    <row r="2675" customFormat="false" ht="15" hidden="false" customHeight="false" outlineLevel="0" collapsed="false">
      <c r="A2675" s="0" t="s">
        <v>1386</v>
      </c>
      <c r="B2675" s="6" t="n">
        <v>41891</v>
      </c>
      <c r="C2675" s="7" t="s">
        <v>55</v>
      </c>
      <c r="D2675" s="7" t="s">
        <v>225</v>
      </c>
      <c r="E2675" s="7" t="s">
        <v>35</v>
      </c>
      <c r="F2675" s="0" t="n">
        <v>1325.85</v>
      </c>
      <c r="G2675" s="0" t="n">
        <v>238.653</v>
      </c>
      <c r="H2675" s="0" t="n">
        <v>0</v>
      </c>
      <c r="I2675" s="7" t="n">
        <f aca="false">YEAR(B2675)</f>
        <v>2014</v>
      </c>
      <c r="J2675" s="0" t="str">
        <f aca="false">I2675&amp;"-Q"&amp;ROUNDUP(MONTH(B2675)/3,0)</f>
        <v>2014-Q3</v>
      </c>
    </row>
    <row r="2676" customFormat="false" ht="15" hidden="false" customHeight="false" outlineLevel="0" collapsed="false">
      <c r="A2676" s="0" t="s">
        <v>1387</v>
      </c>
      <c r="B2676" s="6" t="n">
        <v>43072</v>
      </c>
      <c r="C2676" s="7" t="s">
        <v>33</v>
      </c>
      <c r="D2676" s="7" t="s">
        <v>34</v>
      </c>
      <c r="E2676" s="7" t="s">
        <v>35</v>
      </c>
      <c r="F2676" s="0" t="n">
        <v>166.44</v>
      </c>
      <c r="G2676" s="0" t="n">
        <v>79.8912</v>
      </c>
      <c r="H2676" s="0" t="n">
        <v>0</v>
      </c>
      <c r="I2676" s="7" t="n">
        <f aca="false">YEAR(B2676)</f>
        <v>2017</v>
      </c>
      <c r="J2676" s="0" t="str">
        <f aca="false">I2676&amp;"-Q"&amp;ROUNDUP(MONTH(B2676)/3,0)</f>
        <v>2017-Q4</v>
      </c>
    </row>
    <row r="2677" customFormat="false" ht="15" hidden="false" customHeight="false" outlineLevel="0" collapsed="false">
      <c r="A2677" s="0" t="s">
        <v>1388</v>
      </c>
      <c r="B2677" s="6" t="n">
        <v>43066</v>
      </c>
      <c r="C2677" s="7" t="s">
        <v>29</v>
      </c>
      <c r="D2677" s="7" t="s">
        <v>41</v>
      </c>
      <c r="E2677" s="7" t="s">
        <v>35</v>
      </c>
      <c r="F2677" s="0" t="n">
        <v>8.76</v>
      </c>
      <c r="G2677" s="0" t="n">
        <v>0.7665</v>
      </c>
      <c r="H2677" s="0" t="n">
        <v>0.2</v>
      </c>
      <c r="I2677" s="7" t="n">
        <f aca="false">YEAR(B2677)</f>
        <v>2017</v>
      </c>
      <c r="J2677" s="0" t="str">
        <f aca="false">I2677&amp;"-Q"&amp;ROUNDUP(MONTH(B2677)/3,0)</f>
        <v>2017-Q4</v>
      </c>
    </row>
    <row r="2678" customFormat="false" ht="15" hidden="false" customHeight="false" outlineLevel="0" collapsed="false">
      <c r="A2678" s="0" t="s">
        <v>1388</v>
      </c>
      <c r="B2678" s="6" t="n">
        <v>43066</v>
      </c>
      <c r="C2678" s="7" t="s">
        <v>29</v>
      </c>
      <c r="D2678" s="7" t="s">
        <v>41</v>
      </c>
      <c r="E2678" s="7" t="s">
        <v>35</v>
      </c>
      <c r="F2678" s="0" t="n">
        <v>43.584</v>
      </c>
      <c r="G2678" s="0" t="n">
        <v>4.3584</v>
      </c>
      <c r="H2678" s="0" t="n">
        <v>0.2</v>
      </c>
      <c r="I2678" s="7" t="n">
        <f aca="false">YEAR(B2678)</f>
        <v>2017</v>
      </c>
      <c r="J2678" s="0" t="str">
        <f aca="false">I2678&amp;"-Q"&amp;ROUNDUP(MONTH(B2678)/3,0)</f>
        <v>2017-Q4</v>
      </c>
    </row>
    <row r="2679" customFormat="false" ht="15" hidden="false" customHeight="false" outlineLevel="0" collapsed="false">
      <c r="A2679" s="0" t="s">
        <v>1389</v>
      </c>
      <c r="B2679" s="6" t="n">
        <v>41811</v>
      </c>
      <c r="C2679" s="7" t="s">
        <v>33</v>
      </c>
      <c r="D2679" s="7" t="s">
        <v>109</v>
      </c>
      <c r="E2679" s="7" t="s">
        <v>35</v>
      </c>
      <c r="F2679" s="0" t="n">
        <v>11.088</v>
      </c>
      <c r="G2679" s="0" t="n">
        <v>-8.1312</v>
      </c>
      <c r="H2679" s="0" t="n">
        <v>0.7</v>
      </c>
      <c r="I2679" s="7" t="n">
        <f aca="false">YEAR(B2679)</f>
        <v>2014</v>
      </c>
      <c r="J2679" s="0" t="str">
        <f aca="false">I2679&amp;"-Q"&amp;ROUNDUP(MONTH(B2679)/3,0)</f>
        <v>2014-Q2</v>
      </c>
    </row>
    <row r="2680" customFormat="false" ht="15" hidden="false" customHeight="false" outlineLevel="0" collapsed="false">
      <c r="A2680" s="0" t="s">
        <v>1389</v>
      </c>
      <c r="B2680" s="6" t="n">
        <v>41811</v>
      </c>
      <c r="C2680" s="7" t="s">
        <v>33</v>
      </c>
      <c r="D2680" s="7" t="s">
        <v>109</v>
      </c>
      <c r="E2680" s="7" t="s">
        <v>35</v>
      </c>
      <c r="F2680" s="0" t="n">
        <v>25.164</v>
      </c>
      <c r="G2680" s="0" t="n">
        <v>-16.776</v>
      </c>
      <c r="H2680" s="0" t="n">
        <v>0.7</v>
      </c>
      <c r="I2680" s="7" t="n">
        <f aca="false">YEAR(B2680)</f>
        <v>2014</v>
      </c>
      <c r="J2680" s="0" t="str">
        <f aca="false">I2680&amp;"-Q"&amp;ROUNDUP(MONTH(B2680)/3,0)</f>
        <v>2014-Q2</v>
      </c>
    </row>
    <row r="2681" customFormat="false" ht="15" hidden="false" customHeight="false" outlineLevel="0" collapsed="false">
      <c r="A2681" s="0" t="s">
        <v>1390</v>
      </c>
      <c r="B2681" s="6" t="n">
        <v>42756</v>
      </c>
      <c r="C2681" s="7" t="s">
        <v>45</v>
      </c>
      <c r="D2681" s="7" t="s">
        <v>70</v>
      </c>
      <c r="E2681" s="7" t="s">
        <v>35</v>
      </c>
      <c r="F2681" s="0" t="n">
        <v>14.4</v>
      </c>
      <c r="G2681" s="0" t="n">
        <v>7.056</v>
      </c>
      <c r="H2681" s="0" t="n">
        <v>0</v>
      </c>
      <c r="I2681" s="7" t="n">
        <f aca="false">YEAR(B2681)</f>
        <v>2017</v>
      </c>
      <c r="J2681" s="0" t="str">
        <f aca="false">I2681&amp;"-Q"&amp;ROUNDUP(MONTH(B2681)/3,0)</f>
        <v>2017-Q1</v>
      </c>
    </row>
    <row r="2682" customFormat="false" ht="15" hidden="false" customHeight="false" outlineLevel="0" collapsed="false">
      <c r="A2682" s="0" t="s">
        <v>1390</v>
      </c>
      <c r="B2682" s="6" t="n">
        <v>42756</v>
      </c>
      <c r="C2682" s="7" t="s">
        <v>45</v>
      </c>
      <c r="D2682" s="7" t="s">
        <v>70</v>
      </c>
      <c r="E2682" s="7" t="s">
        <v>39</v>
      </c>
      <c r="F2682" s="0" t="n">
        <v>619.95</v>
      </c>
      <c r="G2682" s="0" t="n">
        <v>111.591</v>
      </c>
      <c r="H2682" s="0" t="n">
        <v>0</v>
      </c>
      <c r="I2682" s="7" t="n">
        <f aca="false">YEAR(B2682)</f>
        <v>2017</v>
      </c>
      <c r="J2682" s="0" t="str">
        <f aca="false">I2682&amp;"-Q"&amp;ROUNDUP(MONTH(B2682)/3,0)</f>
        <v>2017-Q1</v>
      </c>
    </row>
    <row r="2683" customFormat="false" ht="15" hidden="false" customHeight="false" outlineLevel="0" collapsed="false">
      <c r="A2683" s="0" t="s">
        <v>1390</v>
      </c>
      <c r="B2683" s="6" t="n">
        <v>42756</v>
      </c>
      <c r="C2683" s="7" t="s">
        <v>45</v>
      </c>
      <c r="D2683" s="7" t="s">
        <v>70</v>
      </c>
      <c r="E2683" s="7" t="s">
        <v>35</v>
      </c>
      <c r="F2683" s="0" t="n">
        <v>89.52</v>
      </c>
      <c r="G2683" s="0" t="n">
        <v>42.0744</v>
      </c>
      <c r="H2683" s="0" t="n">
        <v>0</v>
      </c>
      <c r="I2683" s="7" t="n">
        <f aca="false">YEAR(B2683)</f>
        <v>2017</v>
      </c>
      <c r="J2683" s="0" t="str">
        <f aca="false">I2683&amp;"-Q"&amp;ROUNDUP(MONTH(B2683)/3,0)</f>
        <v>2017-Q1</v>
      </c>
    </row>
    <row r="2684" customFormat="false" ht="15" hidden="false" customHeight="false" outlineLevel="0" collapsed="false">
      <c r="A2684" s="0" t="s">
        <v>1390</v>
      </c>
      <c r="B2684" s="6" t="n">
        <v>42756</v>
      </c>
      <c r="C2684" s="7" t="s">
        <v>45</v>
      </c>
      <c r="D2684" s="7" t="s">
        <v>70</v>
      </c>
      <c r="E2684" s="7" t="s">
        <v>39</v>
      </c>
      <c r="F2684" s="0" t="n">
        <v>350.973</v>
      </c>
      <c r="G2684" s="0" t="n">
        <v>152.0883</v>
      </c>
      <c r="H2684" s="0" t="n">
        <v>0.1</v>
      </c>
      <c r="I2684" s="7" t="n">
        <f aca="false">YEAR(B2684)</f>
        <v>2017</v>
      </c>
      <c r="J2684" s="0" t="str">
        <f aca="false">I2684&amp;"-Q"&amp;ROUNDUP(MONTH(B2684)/3,0)</f>
        <v>2017-Q1</v>
      </c>
    </row>
    <row r="2685" customFormat="false" ht="15" hidden="false" customHeight="false" outlineLevel="0" collapsed="false">
      <c r="A2685" s="0" t="s">
        <v>1390</v>
      </c>
      <c r="B2685" s="6" t="n">
        <v>42756</v>
      </c>
      <c r="C2685" s="7" t="s">
        <v>45</v>
      </c>
      <c r="D2685" s="7" t="s">
        <v>70</v>
      </c>
      <c r="E2685" s="7" t="s">
        <v>39</v>
      </c>
      <c r="F2685" s="0" t="n">
        <v>164.99</v>
      </c>
      <c r="G2685" s="0" t="n">
        <v>49.497</v>
      </c>
      <c r="H2685" s="0" t="n">
        <v>0</v>
      </c>
      <c r="I2685" s="7" t="n">
        <f aca="false">YEAR(B2685)</f>
        <v>2017</v>
      </c>
      <c r="J2685" s="0" t="str">
        <f aca="false">I2685&amp;"-Q"&amp;ROUNDUP(MONTH(B2685)/3,0)</f>
        <v>2017-Q1</v>
      </c>
    </row>
    <row r="2686" customFormat="false" ht="15" hidden="false" customHeight="false" outlineLevel="0" collapsed="false">
      <c r="A2686" s="0" t="s">
        <v>1391</v>
      </c>
      <c r="B2686" s="6" t="n">
        <v>42915</v>
      </c>
      <c r="C2686" s="7" t="s">
        <v>33</v>
      </c>
      <c r="D2686" s="7" t="s">
        <v>34</v>
      </c>
      <c r="E2686" s="7" t="s">
        <v>35</v>
      </c>
      <c r="F2686" s="0" t="n">
        <v>312.552</v>
      </c>
      <c r="G2686" s="0" t="n">
        <v>101.5794</v>
      </c>
      <c r="H2686" s="0" t="n">
        <v>0.2</v>
      </c>
      <c r="I2686" s="7" t="n">
        <f aca="false">YEAR(B2686)</f>
        <v>2017</v>
      </c>
      <c r="J2686" s="0" t="str">
        <f aca="false">I2686&amp;"-Q"&amp;ROUNDUP(MONTH(B2686)/3,0)</f>
        <v>2017-Q2</v>
      </c>
    </row>
    <row r="2687" customFormat="false" ht="15" hidden="false" customHeight="false" outlineLevel="0" collapsed="false">
      <c r="A2687" s="0" t="s">
        <v>1392</v>
      </c>
      <c r="B2687" s="6" t="n">
        <v>42619</v>
      </c>
      <c r="C2687" s="7" t="s">
        <v>29</v>
      </c>
      <c r="D2687" s="7" t="s">
        <v>41</v>
      </c>
      <c r="E2687" s="7" t="s">
        <v>35</v>
      </c>
      <c r="F2687" s="0" t="n">
        <v>95.952</v>
      </c>
      <c r="G2687" s="0" t="n">
        <v>29.985</v>
      </c>
      <c r="H2687" s="0" t="n">
        <v>0.2</v>
      </c>
      <c r="I2687" s="7" t="n">
        <f aca="false">YEAR(B2687)</f>
        <v>2016</v>
      </c>
      <c r="J2687" s="0" t="str">
        <f aca="false">I2687&amp;"-Q"&amp;ROUNDUP(MONTH(B2687)/3,0)</f>
        <v>2016-Q3</v>
      </c>
    </row>
    <row r="2688" customFormat="false" ht="15" hidden="false" customHeight="false" outlineLevel="0" collapsed="false">
      <c r="A2688" s="0" t="s">
        <v>1392</v>
      </c>
      <c r="B2688" s="6" t="n">
        <v>42619</v>
      </c>
      <c r="C2688" s="7" t="s">
        <v>29</v>
      </c>
      <c r="D2688" s="7" t="s">
        <v>41</v>
      </c>
      <c r="E2688" s="7" t="s">
        <v>35</v>
      </c>
      <c r="F2688" s="0" t="n">
        <v>3.204</v>
      </c>
      <c r="G2688" s="0" t="n">
        <v>-2.4564</v>
      </c>
      <c r="H2688" s="0" t="n">
        <v>0.7</v>
      </c>
      <c r="I2688" s="7" t="n">
        <f aca="false">YEAR(B2688)</f>
        <v>2016</v>
      </c>
      <c r="J2688" s="0" t="str">
        <f aca="false">I2688&amp;"-Q"&amp;ROUNDUP(MONTH(B2688)/3,0)</f>
        <v>2016-Q3</v>
      </c>
    </row>
    <row r="2689" customFormat="false" ht="15" hidden="false" customHeight="false" outlineLevel="0" collapsed="false">
      <c r="A2689" s="0" t="s">
        <v>1393</v>
      </c>
      <c r="B2689" s="6" t="n">
        <v>42586</v>
      </c>
      <c r="C2689" s="7" t="s">
        <v>45</v>
      </c>
      <c r="D2689" s="7" t="s">
        <v>64</v>
      </c>
      <c r="E2689" s="7" t="s">
        <v>35</v>
      </c>
      <c r="F2689" s="0" t="n">
        <v>3.98</v>
      </c>
      <c r="G2689" s="0" t="n">
        <v>-6.567</v>
      </c>
      <c r="H2689" s="0" t="n">
        <v>0.8</v>
      </c>
      <c r="I2689" s="7" t="n">
        <f aca="false">YEAR(B2689)</f>
        <v>2016</v>
      </c>
      <c r="J2689" s="0" t="str">
        <f aca="false">I2689&amp;"-Q"&amp;ROUNDUP(MONTH(B2689)/3,0)</f>
        <v>2016-Q3</v>
      </c>
    </row>
    <row r="2690" customFormat="false" ht="15" hidden="false" customHeight="false" outlineLevel="0" collapsed="false">
      <c r="A2690" s="0" t="s">
        <v>1394</v>
      </c>
      <c r="B2690" s="6" t="n">
        <v>42320</v>
      </c>
      <c r="C2690" s="7" t="s">
        <v>33</v>
      </c>
      <c r="D2690" s="7" t="s">
        <v>34</v>
      </c>
      <c r="E2690" s="7" t="s">
        <v>35</v>
      </c>
      <c r="F2690" s="0" t="n">
        <v>15.7</v>
      </c>
      <c r="G2690" s="0" t="n">
        <v>7.065</v>
      </c>
      <c r="H2690" s="0" t="n">
        <v>0</v>
      </c>
      <c r="I2690" s="7" t="n">
        <f aca="false">YEAR(B2690)</f>
        <v>2015</v>
      </c>
      <c r="J2690" s="0" t="str">
        <f aca="false">I2690&amp;"-Q"&amp;ROUNDUP(MONTH(B2690)/3,0)</f>
        <v>2015-Q4</v>
      </c>
    </row>
    <row r="2691" customFormat="false" ht="15" hidden="false" customHeight="false" outlineLevel="0" collapsed="false">
      <c r="A2691" s="0" t="s">
        <v>1395</v>
      </c>
      <c r="B2691" s="6" t="n">
        <v>41820</v>
      </c>
      <c r="C2691" s="7" t="s">
        <v>45</v>
      </c>
      <c r="D2691" s="7" t="s">
        <v>64</v>
      </c>
      <c r="E2691" s="7" t="s">
        <v>35</v>
      </c>
      <c r="F2691" s="0" t="n">
        <v>5.248</v>
      </c>
      <c r="G2691" s="0" t="n">
        <v>1.64</v>
      </c>
      <c r="H2691" s="0" t="n">
        <v>0.2</v>
      </c>
      <c r="I2691" s="7" t="n">
        <f aca="false">YEAR(B2691)</f>
        <v>2014</v>
      </c>
      <c r="J2691" s="0" t="str">
        <f aca="false">I2691&amp;"-Q"&amp;ROUNDUP(MONTH(B2691)/3,0)</f>
        <v>2014-Q2</v>
      </c>
    </row>
    <row r="2692" customFormat="false" ht="15" hidden="false" customHeight="false" outlineLevel="0" collapsed="false">
      <c r="A2692" s="0" t="s">
        <v>1396</v>
      </c>
      <c r="B2692" s="6" t="n">
        <v>43073</v>
      </c>
      <c r="C2692" s="7" t="s">
        <v>55</v>
      </c>
      <c r="D2692" s="7" t="s">
        <v>56</v>
      </c>
      <c r="E2692" s="7" t="s">
        <v>35</v>
      </c>
      <c r="F2692" s="0" t="n">
        <v>5.346</v>
      </c>
      <c r="G2692" s="0" t="n">
        <v>-4.455</v>
      </c>
      <c r="H2692" s="0" t="n">
        <v>0.7</v>
      </c>
      <c r="I2692" s="7" t="n">
        <f aca="false">YEAR(B2692)</f>
        <v>2017</v>
      </c>
      <c r="J2692" s="0" t="str">
        <f aca="false">I2692&amp;"-Q"&amp;ROUNDUP(MONTH(B2692)/3,0)</f>
        <v>2017-Q4</v>
      </c>
    </row>
    <row r="2693" customFormat="false" ht="15" hidden="false" customHeight="false" outlineLevel="0" collapsed="false">
      <c r="A2693" s="0" t="s">
        <v>1397</v>
      </c>
      <c r="B2693" s="6" t="n">
        <v>42610</v>
      </c>
      <c r="C2693" s="7" t="s">
        <v>33</v>
      </c>
      <c r="D2693" s="7" t="s">
        <v>109</v>
      </c>
      <c r="E2693" s="7" t="s">
        <v>35</v>
      </c>
      <c r="F2693" s="0" t="n">
        <v>15.48</v>
      </c>
      <c r="G2693" s="0" t="n">
        <v>5.6115</v>
      </c>
      <c r="H2693" s="0" t="n">
        <v>0.2</v>
      </c>
      <c r="I2693" s="7" t="n">
        <f aca="false">YEAR(B2693)</f>
        <v>2016</v>
      </c>
      <c r="J2693" s="0" t="str">
        <f aca="false">I2693&amp;"-Q"&amp;ROUNDUP(MONTH(B2693)/3,0)</f>
        <v>2016-Q3</v>
      </c>
    </row>
    <row r="2694" customFormat="false" ht="15" hidden="false" customHeight="false" outlineLevel="0" collapsed="false">
      <c r="A2694" s="0" t="s">
        <v>1397</v>
      </c>
      <c r="B2694" s="6" t="n">
        <v>42610</v>
      </c>
      <c r="C2694" s="7" t="s">
        <v>33</v>
      </c>
      <c r="D2694" s="7" t="s">
        <v>109</v>
      </c>
      <c r="E2694" s="7" t="s">
        <v>39</v>
      </c>
      <c r="F2694" s="0" t="n">
        <v>108.576</v>
      </c>
      <c r="G2694" s="0" t="n">
        <v>8.1432</v>
      </c>
      <c r="H2694" s="0" t="n">
        <v>0.2</v>
      </c>
      <c r="I2694" s="7" t="n">
        <f aca="false">YEAR(B2694)</f>
        <v>2016</v>
      </c>
      <c r="J2694" s="0" t="str">
        <f aca="false">I2694&amp;"-Q"&amp;ROUNDUP(MONTH(B2694)/3,0)</f>
        <v>2016-Q3</v>
      </c>
    </row>
    <row r="2695" customFormat="false" ht="15" hidden="false" customHeight="false" outlineLevel="0" collapsed="false">
      <c r="A2695" s="0" t="s">
        <v>1398</v>
      </c>
      <c r="B2695" s="6" t="n">
        <v>42391</v>
      </c>
      <c r="C2695" s="7" t="s">
        <v>33</v>
      </c>
      <c r="D2695" s="7" t="s">
        <v>43</v>
      </c>
      <c r="E2695" s="7" t="s">
        <v>31</v>
      </c>
      <c r="F2695" s="0" t="n">
        <v>109.9</v>
      </c>
      <c r="G2695" s="0" t="n">
        <v>37.366</v>
      </c>
      <c r="H2695" s="0" t="n">
        <v>0</v>
      </c>
      <c r="I2695" s="7" t="n">
        <f aca="false">YEAR(B2695)</f>
        <v>2016</v>
      </c>
      <c r="J2695" s="0" t="str">
        <f aca="false">I2695&amp;"-Q"&amp;ROUNDUP(MONTH(B2695)/3,0)</f>
        <v>2016-Q1</v>
      </c>
    </row>
    <row r="2696" customFormat="false" ht="15" hidden="false" customHeight="false" outlineLevel="0" collapsed="false">
      <c r="A2696" s="0" t="s">
        <v>1399</v>
      </c>
      <c r="B2696" s="6" t="n">
        <v>41927</v>
      </c>
      <c r="C2696" s="7" t="s">
        <v>29</v>
      </c>
      <c r="D2696" s="7" t="s">
        <v>37</v>
      </c>
      <c r="E2696" s="7" t="s">
        <v>31</v>
      </c>
      <c r="F2696" s="0" t="n">
        <v>15.384</v>
      </c>
      <c r="G2696" s="0" t="n">
        <v>4.0383</v>
      </c>
      <c r="H2696" s="0" t="n">
        <v>0.2</v>
      </c>
      <c r="I2696" s="7" t="n">
        <f aca="false">YEAR(B2696)</f>
        <v>2014</v>
      </c>
      <c r="J2696" s="0" t="str">
        <f aca="false">I2696&amp;"-Q"&amp;ROUNDUP(MONTH(B2696)/3,0)</f>
        <v>2014-Q4</v>
      </c>
    </row>
    <row r="2697" customFormat="false" ht="15" hidden="false" customHeight="false" outlineLevel="0" collapsed="false">
      <c r="A2697" s="0" t="s">
        <v>1400</v>
      </c>
      <c r="B2697" s="6" t="n">
        <v>42407</v>
      </c>
      <c r="C2697" s="7" t="s">
        <v>55</v>
      </c>
      <c r="D2697" s="7" t="s">
        <v>116</v>
      </c>
      <c r="E2697" s="7" t="s">
        <v>35</v>
      </c>
      <c r="F2697" s="0" t="n">
        <v>30.352</v>
      </c>
      <c r="G2697" s="0" t="n">
        <v>10.6232</v>
      </c>
      <c r="H2697" s="0" t="n">
        <v>0.2</v>
      </c>
      <c r="I2697" s="7" t="n">
        <f aca="false">YEAR(B2697)</f>
        <v>2016</v>
      </c>
      <c r="J2697" s="0" t="str">
        <f aca="false">I2697&amp;"-Q"&amp;ROUNDUP(MONTH(B2697)/3,0)</f>
        <v>2016-Q1</v>
      </c>
    </row>
    <row r="2698" customFormat="false" ht="15" hidden="false" customHeight="false" outlineLevel="0" collapsed="false">
      <c r="A2698" s="0" t="s">
        <v>1401</v>
      </c>
      <c r="B2698" s="6" t="n">
        <v>41716</v>
      </c>
      <c r="C2698" s="7" t="s">
        <v>29</v>
      </c>
      <c r="D2698" s="7" t="s">
        <v>37</v>
      </c>
      <c r="E2698" s="7" t="s">
        <v>39</v>
      </c>
      <c r="F2698" s="0" t="n">
        <v>821.3</v>
      </c>
      <c r="G2698" s="0" t="n">
        <v>-16.426</v>
      </c>
      <c r="H2698" s="0" t="n">
        <v>0.5</v>
      </c>
      <c r="I2698" s="7" t="n">
        <f aca="false">YEAR(B2698)</f>
        <v>2014</v>
      </c>
      <c r="J2698" s="0" t="str">
        <f aca="false">I2698&amp;"-Q"&amp;ROUNDUP(MONTH(B2698)/3,0)</f>
        <v>2014-Q1</v>
      </c>
    </row>
    <row r="2699" customFormat="false" ht="15" hidden="false" customHeight="false" outlineLevel="0" collapsed="false">
      <c r="A2699" s="0" t="s">
        <v>1401</v>
      </c>
      <c r="B2699" s="6" t="n">
        <v>41716</v>
      </c>
      <c r="C2699" s="7" t="s">
        <v>29</v>
      </c>
      <c r="D2699" s="7" t="s">
        <v>37</v>
      </c>
      <c r="E2699" s="7" t="s">
        <v>39</v>
      </c>
      <c r="F2699" s="0" t="n">
        <v>22638.48</v>
      </c>
      <c r="G2699" s="0" t="n">
        <v>-1811.0784</v>
      </c>
      <c r="H2699" s="0" t="n">
        <v>0.5</v>
      </c>
      <c r="I2699" s="7" t="n">
        <f aca="false">YEAR(B2699)</f>
        <v>2014</v>
      </c>
      <c r="J2699" s="0" t="str">
        <f aca="false">I2699&amp;"-Q"&amp;ROUNDUP(MONTH(B2699)/3,0)</f>
        <v>2014-Q1</v>
      </c>
    </row>
    <row r="2700" customFormat="false" ht="15" hidden="false" customHeight="false" outlineLevel="0" collapsed="false">
      <c r="A2700" s="0" t="s">
        <v>1401</v>
      </c>
      <c r="B2700" s="6" t="n">
        <v>41716</v>
      </c>
      <c r="C2700" s="7" t="s">
        <v>29</v>
      </c>
      <c r="D2700" s="7" t="s">
        <v>37</v>
      </c>
      <c r="E2700" s="7" t="s">
        <v>35</v>
      </c>
      <c r="F2700" s="0" t="n">
        <v>21.376</v>
      </c>
      <c r="G2700" s="0" t="n">
        <v>7.4816</v>
      </c>
      <c r="H2700" s="0" t="n">
        <v>0.2</v>
      </c>
      <c r="I2700" s="7" t="n">
        <f aca="false">YEAR(B2700)</f>
        <v>2014</v>
      </c>
      <c r="J2700" s="0" t="str">
        <f aca="false">I2700&amp;"-Q"&amp;ROUNDUP(MONTH(B2700)/3,0)</f>
        <v>2014-Q1</v>
      </c>
    </row>
    <row r="2701" customFormat="false" ht="15" hidden="false" customHeight="false" outlineLevel="0" collapsed="false">
      <c r="A2701" s="0" t="s">
        <v>1401</v>
      </c>
      <c r="B2701" s="6" t="n">
        <v>41716</v>
      </c>
      <c r="C2701" s="7" t="s">
        <v>29</v>
      </c>
      <c r="D2701" s="7" t="s">
        <v>37</v>
      </c>
      <c r="E2701" s="7" t="s">
        <v>35</v>
      </c>
      <c r="F2701" s="0" t="n">
        <v>8.016</v>
      </c>
      <c r="G2701" s="0" t="n">
        <v>1.002</v>
      </c>
      <c r="H2701" s="0" t="n">
        <v>0.2</v>
      </c>
      <c r="I2701" s="7" t="n">
        <f aca="false">YEAR(B2701)</f>
        <v>2014</v>
      </c>
      <c r="J2701" s="0" t="str">
        <f aca="false">I2701&amp;"-Q"&amp;ROUNDUP(MONTH(B2701)/3,0)</f>
        <v>2014-Q1</v>
      </c>
    </row>
    <row r="2702" customFormat="false" ht="15" hidden="false" customHeight="false" outlineLevel="0" collapsed="false">
      <c r="A2702" s="0" t="s">
        <v>1401</v>
      </c>
      <c r="B2702" s="6" t="n">
        <v>41716</v>
      </c>
      <c r="C2702" s="7" t="s">
        <v>29</v>
      </c>
      <c r="D2702" s="7" t="s">
        <v>37</v>
      </c>
      <c r="E2702" s="7" t="s">
        <v>31</v>
      </c>
      <c r="F2702" s="0" t="n">
        <v>30.768</v>
      </c>
      <c r="G2702" s="0" t="n">
        <v>8.0766</v>
      </c>
      <c r="H2702" s="0" t="n">
        <v>0.2</v>
      </c>
      <c r="I2702" s="7" t="n">
        <f aca="false">YEAR(B2702)</f>
        <v>2014</v>
      </c>
      <c r="J2702" s="0" t="str">
        <f aca="false">I2702&amp;"-Q"&amp;ROUNDUP(MONTH(B2702)/3,0)</f>
        <v>2014-Q1</v>
      </c>
    </row>
    <row r="2703" customFormat="false" ht="15" hidden="false" customHeight="false" outlineLevel="0" collapsed="false">
      <c r="A2703" s="0" t="s">
        <v>1401</v>
      </c>
      <c r="B2703" s="6" t="n">
        <v>41716</v>
      </c>
      <c r="C2703" s="7" t="s">
        <v>29</v>
      </c>
      <c r="D2703" s="7" t="s">
        <v>37</v>
      </c>
      <c r="E2703" s="7" t="s">
        <v>35</v>
      </c>
      <c r="F2703" s="0" t="n">
        <v>18.936</v>
      </c>
      <c r="G2703" s="0" t="n">
        <v>5.9175</v>
      </c>
      <c r="H2703" s="0" t="n">
        <v>0.2</v>
      </c>
      <c r="I2703" s="7" t="n">
        <f aca="false">YEAR(B2703)</f>
        <v>2014</v>
      </c>
      <c r="J2703" s="0" t="str">
        <f aca="false">I2703&amp;"-Q"&amp;ROUNDUP(MONTH(B2703)/3,0)</f>
        <v>2014-Q1</v>
      </c>
    </row>
    <row r="2704" customFormat="false" ht="15" hidden="false" customHeight="false" outlineLevel="0" collapsed="false">
      <c r="A2704" s="0" t="s">
        <v>1401</v>
      </c>
      <c r="B2704" s="6" t="n">
        <v>41716</v>
      </c>
      <c r="C2704" s="7" t="s">
        <v>29</v>
      </c>
      <c r="D2704" s="7" t="s">
        <v>37</v>
      </c>
      <c r="E2704" s="7" t="s">
        <v>31</v>
      </c>
      <c r="F2704" s="0" t="n">
        <v>122.352</v>
      </c>
      <c r="G2704" s="0" t="n">
        <v>15.294</v>
      </c>
      <c r="H2704" s="0" t="n">
        <v>0.2</v>
      </c>
      <c r="I2704" s="7" t="n">
        <f aca="false">YEAR(B2704)</f>
        <v>2014</v>
      </c>
      <c r="J2704" s="0" t="str">
        <f aca="false">I2704&amp;"-Q"&amp;ROUNDUP(MONTH(B2704)/3,0)</f>
        <v>2014-Q1</v>
      </c>
    </row>
    <row r="2705" customFormat="false" ht="15" hidden="false" customHeight="false" outlineLevel="0" collapsed="false">
      <c r="A2705" s="0" t="s">
        <v>1402</v>
      </c>
      <c r="B2705" s="6" t="n">
        <v>41783</v>
      </c>
      <c r="C2705" s="7" t="s">
        <v>55</v>
      </c>
      <c r="D2705" s="7" t="s">
        <v>495</v>
      </c>
      <c r="E2705" s="7" t="s">
        <v>35</v>
      </c>
      <c r="F2705" s="0" t="n">
        <v>116.28</v>
      </c>
      <c r="G2705" s="0" t="n">
        <v>56.9772</v>
      </c>
      <c r="H2705" s="0" t="n">
        <v>0</v>
      </c>
      <c r="I2705" s="7" t="n">
        <f aca="false">YEAR(B2705)</f>
        <v>2014</v>
      </c>
      <c r="J2705" s="0" t="str">
        <f aca="false">I2705&amp;"-Q"&amp;ROUNDUP(MONTH(B2705)/3,0)</f>
        <v>2014-Q2</v>
      </c>
    </row>
    <row r="2706" customFormat="false" ht="15" hidden="false" customHeight="false" outlineLevel="0" collapsed="false">
      <c r="A2706" s="0" t="s">
        <v>1403</v>
      </c>
      <c r="B2706" s="6" t="n">
        <v>42927</v>
      </c>
      <c r="C2706" s="7" t="s">
        <v>55</v>
      </c>
      <c r="D2706" s="7" t="s">
        <v>76</v>
      </c>
      <c r="E2706" s="7" t="s">
        <v>39</v>
      </c>
      <c r="F2706" s="0" t="n">
        <v>132.6</v>
      </c>
      <c r="G2706" s="0" t="n">
        <v>17.238</v>
      </c>
      <c r="H2706" s="0" t="n">
        <v>0</v>
      </c>
      <c r="I2706" s="7" t="n">
        <f aca="false">YEAR(B2706)</f>
        <v>2017</v>
      </c>
      <c r="J2706" s="0" t="str">
        <f aca="false">I2706&amp;"-Q"&amp;ROUNDUP(MONTH(B2706)/3,0)</f>
        <v>2017-Q3</v>
      </c>
    </row>
    <row r="2707" customFormat="false" ht="15" hidden="false" customHeight="false" outlineLevel="0" collapsed="false">
      <c r="A2707" s="0" t="s">
        <v>1404</v>
      </c>
      <c r="B2707" s="6" t="n">
        <v>42902</v>
      </c>
      <c r="C2707" s="7" t="s">
        <v>33</v>
      </c>
      <c r="D2707" s="7" t="s">
        <v>142</v>
      </c>
      <c r="E2707" s="7" t="s">
        <v>35</v>
      </c>
      <c r="F2707" s="0" t="n">
        <v>16.68</v>
      </c>
      <c r="G2707" s="0" t="n">
        <v>4.3368</v>
      </c>
      <c r="H2707" s="0" t="n">
        <v>0</v>
      </c>
      <c r="I2707" s="7" t="n">
        <f aca="false">YEAR(B2707)</f>
        <v>2017</v>
      </c>
      <c r="J2707" s="0" t="str">
        <f aca="false">I2707&amp;"-Q"&amp;ROUNDUP(MONTH(B2707)/3,0)</f>
        <v>2017-Q2</v>
      </c>
    </row>
    <row r="2708" customFormat="false" ht="15" hidden="false" customHeight="false" outlineLevel="0" collapsed="false">
      <c r="A2708" s="0" t="s">
        <v>1404</v>
      </c>
      <c r="B2708" s="6" t="n">
        <v>42902</v>
      </c>
      <c r="C2708" s="7" t="s">
        <v>33</v>
      </c>
      <c r="D2708" s="7" t="s">
        <v>142</v>
      </c>
      <c r="E2708" s="7" t="s">
        <v>35</v>
      </c>
      <c r="F2708" s="0" t="n">
        <v>19.44</v>
      </c>
      <c r="G2708" s="0" t="n">
        <v>9.3312</v>
      </c>
      <c r="H2708" s="0" t="n">
        <v>0</v>
      </c>
      <c r="I2708" s="7" t="n">
        <f aca="false">YEAR(B2708)</f>
        <v>2017</v>
      </c>
      <c r="J2708" s="0" t="str">
        <f aca="false">I2708&amp;"-Q"&amp;ROUNDUP(MONTH(B2708)/3,0)</f>
        <v>2017-Q2</v>
      </c>
    </row>
    <row r="2709" customFormat="false" ht="15" hidden="false" customHeight="false" outlineLevel="0" collapsed="false">
      <c r="A2709" s="0" t="s">
        <v>1404</v>
      </c>
      <c r="B2709" s="6" t="n">
        <v>42902</v>
      </c>
      <c r="C2709" s="7" t="s">
        <v>33</v>
      </c>
      <c r="D2709" s="7" t="s">
        <v>142</v>
      </c>
      <c r="E2709" s="7" t="s">
        <v>35</v>
      </c>
      <c r="F2709" s="0" t="n">
        <v>192.16</v>
      </c>
      <c r="G2709" s="0" t="n">
        <v>92.2368</v>
      </c>
      <c r="H2709" s="0" t="n">
        <v>0</v>
      </c>
      <c r="I2709" s="7" t="n">
        <f aca="false">YEAR(B2709)</f>
        <v>2017</v>
      </c>
      <c r="J2709" s="0" t="str">
        <f aca="false">I2709&amp;"-Q"&amp;ROUNDUP(MONTH(B2709)/3,0)</f>
        <v>2017-Q2</v>
      </c>
    </row>
    <row r="2710" customFormat="false" ht="15" hidden="false" customHeight="false" outlineLevel="0" collapsed="false">
      <c r="A2710" s="0" t="s">
        <v>1405</v>
      </c>
      <c r="B2710" s="6" t="n">
        <v>42034</v>
      </c>
      <c r="C2710" s="7" t="s">
        <v>33</v>
      </c>
      <c r="D2710" s="7" t="s">
        <v>34</v>
      </c>
      <c r="E2710" s="7" t="s">
        <v>31</v>
      </c>
      <c r="F2710" s="0" t="n">
        <v>227.36</v>
      </c>
      <c r="G2710" s="0" t="n">
        <v>81.8496</v>
      </c>
      <c r="H2710" s="0" t="n">
        <v>0</v>
      </c>
      <c r="I2710" s="7" t="n">
        <f aca="false">YEAR(B2710)</f>
        <v>2015</v>
      </c>
      <c r="J2710" s="0" t="str">
        <f aca="false">I2710&amp;"-Q"&amp;ROUNDUP(MONTH(B2710)/3,0)</f>
        <v>2015-Q1</v>
      </c>
    </row>
    <row r="2711" customFormat="false" ht="15" hidden="false" customHeight="false" outlineLevel="0" collapsed="false">
      <c r="A2711" s="0" t="s">
        <v>1405</v>
      </c>
      <c r="B2711" s="6" t="n">
        <v>42034</v>
      </c>
      <c r="C2711" s="7" t="s">
        <v>33</v>
      </c>
      <c r="D2711" s="7" t="s">
        <v>34</v>
      </c>
      <c r="E2711" s="7" t="s">
        <v>39</v>
      </c>
      <c r="F2711" s="0" t="n">
        <v>1919.976</v>
      </c>
      <c r="G2711" s="0" t="n">
        <v>215.9973</v>
      </c>
      <c r="H2711" s="0" t="n">
        <v>0.2</v>
      </c>
      <c r="I2711" s="7" t="n">
        <f aca="false">YEAR(B2711)</f>
        <v>2015</v>
      </c>
      <c r="J2711" s="0" t="str">
        <f aca="false">I2711&amp;"-Q"&amp;ROUNDUP(MONTH(B2711)/3,0)</f>
        <v>2015-Q1</v>
      </c>
    </row>
    <row r="2712" customFormat="false" ht="15" hidden="false" customHeight="false" outlineLevel="0" collapsed="false">
      <c r="A2712" s="0" t="s">
        <v>1406</v>
      </c>
      <c r="B2712" s="6" t="n">
        <v>42349</v>
      </c>
      <c r="C2712" s="7" t="s">
        <v>29</v>
      </c>
      <c r="D2712" s="7" t="s">
        <v>37</v>
      </c>
      <c r="E2712" s="7" t="s">
        <v>35</v>
      </c>
      <c r="F2712" s="0" t="n">
        <v>12.828</v>
      </c>
      <c r="G2712" s="0" t="n">
        <v>-8.9796</v>
      </c>
      <c r="H2712" s="0" t="n">
        <v>0.7</v>
      </c>
      <c r="I2712" s="7" t="n">
        <f aca="false">YEAR(B2712)</f>
        <v>2015</v>
      </c>
      <c r="J2712" s="0" t="str">
        <f aca="false">I2712&amp;"-Q"&amp;ROUNDUP(MONTH(B2712)/3,0)</f>
        <v>2015-Q4</v>
      </c>
    </row>
    <row r="2713" customFormat="false" ht="15" hidden="false" customHeight="false" outlineLevel="0" collapsed="false">
      <c r="A2713" s="0" t="s">
        <v>1407</v>
      </c>
      <c r="B2713" s="6" t="n">
        <v>43017</v>
      </c>
      <c r="C2713" s="7" t="s">
        <v>55</v>
      </c>
      <c r="D2713" s="7" t="s">
        <v>116</v>
      </c>
      <c r="E2713" s="7" t="s">
        <v>31</v>
      </c>
      <c r="F2713" s="0" t="n">
        <v>45.888</v>
      </c>
      <c r="G2713" s="0" t="n">
        <v>9.1776</v>
      </c>
      <c r="H2713" s="0" t="n">
        <v>0.2</v>
      </c>
      <c r="I2713" s="7" t="n">
        <f aca="false">YEAR(B2713)</f>
        <v>2017</v>
      </c>
      <c r="J2713" s="0" t="str">
        <f aca="false">I2713&amp;"-Q"&amp;ROUNDUP(MONTH(B2713)/3,0)</f>
        <v>2017-Q4</v>
      </c>
    </row>
    <row r="2714" customFormat="false" ht="15" hidden="false" customHeight="false" outlineLevel="0" collapsed="false">
      <c r="A2714" s="0" t="s">
        <v>1408</v>
      </c>
      <c r="B2714" s="6" t="n">
        <v>42945</v>
      </c>
      <c r="C2714" s="7" t="s">
        <v>55</v>
      </c>
      <c r="D2714" s="7" t="s">
        <v>76</v>
      </c>
      <c r="E2714" s="7" t="s">
        <v>35</v>
      </c>
      <c r="F2714" s="0" t="n">
        <v>60.12</v>
      </c>
      <c r="G2714" s="0" t="n">
        <v>22.2444</v>
      </c>
      <c r="H2714" s="0" t="n">
        <v>0</v>
      </c>
      <c r="I2714" s="7" t="n">
        <f aca="false">YEAR(B2714)</f>
        <v>2017</v>
      </c>
      <c r="J2714" s="0" t="str">
        <f aca="false">I2714&amp;"-Q"&amp;ROUNDUP(MONTH(B2714)/3,0)</f>
        <v>2017-Q3</v>
      </c>
    </row>
    <row r="2715" customFormat="false" ht="15" hidden="false" customHeight="false" outlineLevel="0" collapsed="false">
      <c r="A2715" s="0" t="s">
        <v>1409</v>
      </c>
      <c r="B2715" s="6" t="n">
        <v>41754</v>
      </c>
      <c r="C2715" s="7" t="s">
        <v>29</v>
      </c>
      <c r="D2715" s="7" t="s">
        <v>41</v>
      </c>
      <c r="E2715" s="7" t="s">
        <v>39</v>
      </c>
      <c r="F2715" s="0" t="n">
        <v>302.376</v>
      </c>
      <c r="G2715" s="0" t="n">
        <v>37.797</v>
      </c>
      <c r="H2715" s="0" t="n">
        <v>0.2</v>
      </c>
      <c r="I2715" s="7" t="n">
        <f aca="false">YEAR(B2715)</f>
        <v>2014</v>
      </c>
      <c r="J2715" s="0" t="str">
        <f aca="false">I2715&amp;"-Q"&amp;ROUNDUP(MONTH(B2715)/3,0)</f>
        <v>2014-Q2</v>
      </c>
    </row>
    <row r="2716" customFormat="false" ht="15" hidden="false" customHeight="false" outlineLevel="0" collapsed="false">
      <c r="A2716" s="0" t="s">
        <v>1410</v>
      </c>
      <c r="B2716" s="6" t="n">
        <v>42339</v>
      </c>
      <c r="C2716" s="7" t="s">
        <v>33</v>
      </c>
      <c r="D2716" s="7" t="s">
        <v>43</v>
      </c>
      <c r="E2716" s="7" t="s">
        <v>35</v>
      </c>
      <c r="F2716" s="0" t="n">
        <v>13.9</v>
      </c>
      <c r="G2716" s="0" t="n">
        <v>5.56</v>
      </c>
      <c r="H2716" s="0" t="n">
        <v>0</v>
      </c>
      <c r="I2716" s="7" t="n">
        <f aca="false">YEAR(B2716)</f>
        <v>2015</v>
      </c>
      <c r="J2716" s="0" t="str">
        <f aca="false">I2716&amp;"-Q"&amp;ROUNDUP(MONTH(B2716)/3,0)</f>
        <v>2015-Q4</v>
      </c>
    </row>
    <row r="2717" customFormat="false" ht="15" hidden="false" customHeight="false" outlineLevel="0" collapsed="false">
      <c r="A2717" s="0" t="s">
        <v>1411</v>
      </c>
      <c r="B2717" s="6" t="n">
        <v>41977</v>
      </c>
      <c r="C2717" s="7" t="s">
        <v>55</v>
      </c>
      <c r="D2717" s="7" t="s">
        <v>76</v>
      </c>
      <c r="E2717" s="7" t="s">
        <v>39</v>
      </c>
      <c r="F2717" s="0" t="n">
        <v>129.98</v>
      </c>
      <c r="G2717" s="0" t="n">
        <v>62.3904</v>
      </c>
      <c r="H2717" s="0" t="n">
        <v>0</v>
      </c>
      <c r="I2717" s="7" t="n">
        <f aca="false">YEAR(B2717)</f>
        <v>2014</v>
      </c>
      <c r="J2717" s="0" t="str">
        <f aca="false">I2717&amp;"-Q"&amp;ROUNDUP(MONTH(B2717)/3,0)</f>
        <v>2014-Q4</v>
      </c>
    </row>
    <row r="2718" customFormat="false" ht="15" hidden="false" customHeight="false" outlineLevel="0" collapsed="false">
      <c r="A2718" s="0" t="s">
        <v>1412</v>
      </c>
      <c r="B2718" s="6" t="n">
        <v>42973</v>
      </c>
      <c r="C2718" s="7" t="s">
        <v>29</v>
      </c>
      <c r="D2718" s="7" t="s">
        <v>230</v>
      </c>
      <c r="E2718" s="7" t="s">
        <v>39</v>
      </c>
      <c r="F2718" s="0" t="n">
        <v>71.98</v>
      </c>
      <c r="G2718" s="0" t="n">
        <v>15.1158</v>
      </c>
      <c r="H2718" s="0" t="n">
        <v>0</v>
      </c>
      <c r="I2718" s="7" t="n">
        <f aca="false">YEAR(B2718)</f>
        <v>2017</v>
      </c>
      <c r="J2718" s="0" t="str">
        <f aca="false">I2718&amp;"-Q"&amp;ROUNDUP(MONTH(B2718)/3,0)</f>
        <v>2017-Q3</v>
      </c>
    </row>
    <row r="2719" customFormat="false" ht="15" hidden="false" customHeight="false" outlineLevel="0" collapsed="false">
      <c r="A2719" s="0" t="s">
        <v>1413</v>
      </c>
      <c r="B2719" s="6" t="n">
        <v>41889</v>
      </c>
      <c r="C2719" s="7" t="s">
        <v>55</v>
      </c>
      <c r="D2719" s="7" t="s">
        <v>76</v>
      </c>
      <c r="E2719" s="7" t="s">
        <v>39</v>
      </c>
      <c r="F2719" s="0" t="n">
        <v>377.97</v>
      </c>
      <c r="G2719" s="0" t="n">
        <v>109.6113</v>
      </c>
      <c r="H2719" s="0" t="n">
        <v>0</v>
      </c>
      <c r="I2719" s="7" t="n">
        <f aca="false">YEAR(B2719)</f>
        <v>2014</v>
      </c>
      <c r="J2719" s="0" t="str">
        <f aca="false">I2719&amp;"-Q"&amp;ROUNDUP(MONTH(B2719)/3,0)</f>
        <v>2014-Q3</v>
      </c>
    </row>
    <row r="2720" customFormat="false" ht="15" hidden="false" customHeight="false" outlineLevel="0" collapsed="false">
      <c r="A2720" s="0" t="s">
        <v>1414</v>
      </c>
      <c r="B2720" s="6" t="n">
        <v>43090</v>
      </c>
      <c r="C2720" s="7" t="s">
        <v>33</v>
      </c>
      <c r="D2720" s="7" t="s">
        <v>34</v>
      </c>
      <c r="E2720" s="7" t="s">
        <v>35</v>
      </c>
      <c r="F2720" s="0" t="n">
        <v>124.36</v>
      </c>
      <c r="G2720" s="0" t="n">
        <v>33.5772</v>
      </c>
      <c r="H2720" s="0" t="n">
        <v>0</v>
      </c>
      <c r="I2720" s="7" t="n">
        <f aca="false">YEAR(B2720)</f>
        <v>2017</v>
      </c>
      <c r="J2720" s="0" t="str">
        <f aca="false">I2720&amp;"-Q"&amp;ROUNDUP(MONTH(B2720)/3,0)</f>
        <v>2017-Q4</v>
      </c>
    </row>
    <row r="2721" customFormat="false" ht="15" hidden="false" customHeight="false" outlineLevel="0" collapsed="false">
      <c r="A2721" s="0" t="s">
        <v>1415</v>
      </c>
      <c r="B2721" s="6" t="n">
        <v>41979</v>
      </c>
      <c r="C2721" s="7" t="s">
        <v>45</v>
      </c>
      <c r="D2721" s="7" t="s">
        <v>46</v>
      </c>
      <c r="E2721" s="7" t="s">
        <v>31</v>
      </c>
      <c r="F2721" s="0" t="n">
        <v>23.976</v>
      </c>
      <c r="G2721" s="0" t="n">
        <v>-14.3856</v>
      </c>
      <c r="H2721" s="0" t="n">
        <v>0.6</v>
      </c>
      <c r="I2721" s="7" t="n">
        <f aca="false">YEAR(B2721)</f>
        <v>2014</v>
      </c>
      <c r="J2721" s="0" t="str">
        <f aca="false">I2721&amp;"-Q"&amp;ROUNDUP(MONTH(B2721)/3,0)</f>
        <v>2014-Q4</v>
      </c>
    </row>
    <row r="2722" customFormat="false" ht="15" hidden="false" customHeight="false" outlineLevel="0" collapsed="false">
      <c r="A2722" s="0" t="s">
        <v>1416</v>
      </c>
      <c r="B2722" s="6" t="n">
        <v>41947</v>
      </c>
      <c r="C2722" s="7" t="s">
        <v>29</v>
      </c>
      <c r="D2722" s="7" t="s">
        <v>41</v>
      </c>
      <c r="E2722" s="7" t="s">
        <v>35</v>
      </c>
      <c r="F2722" s="0" t="n">
        <v>8.376</v>
      </c>
      <c r="G2722" s="0" t="n">
        <v>2.7222</v>
      </c>
      <c r="H2722" s="0" t="n">
        <v>0.2</v>
      </c>
      <c r="I2722" s="7" t="n">
        <f aca="false">YEAR(B2722)</f>
        <v>2014</v>
      </c>
      <c r="J2722" s="0" t="str">
        <f aca="false">I2722&amp;"-Q"&amp;ROUNDUP(MONTH(B2722)/3,0)</f>
        <v>2014-Q4</v>
      </c>
    </row>
    <row r="2723" customFormat="false" ht="15" hidden="false" customHeight="false" outlineLevel="0" collapsed="false">
      <c r="A2723" s="0" t="s">
        <v>1416</v>
      </c>
      <c r="B2723" s="6" t="n">
        <v>41947</v>
      </c>
      <c r="C2723" s="7" t="s">
        <v>29</v>
      </c>
      <c r="D2723" s="7" t="s">
        <v>41</v>
      </c>
      <c r="E2723" s="7" t="s">
        <v>35</v>
      </c>
      <c r="F2723" s="0" t="n">
        <v>58.24</v>
      </c>
      <c r="G2723" s="0" t="n">
        <v>5.096</v>
      </c>
      <c r="H2723" s="0" t="n">
        <v>0.2</v>
      </c>
      <c r="I2723" s="7" t="n">
        <f aca="false">YEAR(B2723)</f>
        <v>2014</v>
      </c>
      <c r="J2723" s="0" t="str">
        <f aca="false">I2723&amp;"-Q"&amp;ROUNDUP(MONTH(B2723)/3,0)</f>
        <v>2014-Q4</v>
      </c>
    </row>
    <row r="2724" customFormat="false" ht="15" hidden="false" customHeight="false" outlineLevel="0" collapsed="false">
      <c r="A2724" s="0" t="s">
        <v>1417</v>
      </c>
      <c r="B2724" s="6" t="n">
        <v>42474</v>
      </c>
      <c r="C2724" s="7" t="s">
        <v>29</v>
      </c>
      <c r="D2724" s="7" t="s">
        <v>83</v>
      </c>
      <c r="E2724" s="7" t="s">
        <v>35</v>
      </c>
      <c r="F2724" s="0" t="n">
        <v>81.2</v>
      </c>
      <c r="G2724" s="0" t="n">
        <v>12.18</v>
      </c>
      <c r="H2724" s="0" t="n">
        <v>0</v>
      </c>
      <c r="I2724" s="7" t="n">
        <f aca="false">YEAR(B2724)</f>
        <v>2016</v>
      </c>
      <c r="J2724" s="0" t="str">
        <f aca="false">I2724&amp;"-Q"&amp;ROUNDUP(MONTH(B2724)/3,0)</f>
        <v>2016-Q2</v>
      </c>
    </row>
    <row r="2725" customFormat="false" ht="15" hidden="false" customHeight="false" outlineLevel="0" collapsed="false">
      <c r="A2725" s="0" t="s">
        <v>1418</v>
      </c>
      <c r="B2725" s="6" t="n">
        <v>41916</v>
      </c>
      <c r="C2725" s="7" t="s">
        <v>33</v>
      </c>
      <c r="D2725" s="7" t="s">
        <v>34</v>
      </c>
      <c r="E2725" s="7" t="s">
        <v>35</v>
      </c>
      <c r="F2725" s="0" t="n">
        <v>14.45</v>
      </c>
      <c r="G2725" s="0" t="n">
        <v>6.7915</v>
      </c>
      <c r="H2725" s="0" t="n">
        <v>0</v>
      </c>
      <c r="I2725" s="7" t="n">
        <f aca="false">YEAR(B2725)</f>
        <v>2014</v>
      </c>
      <c r="J2725" s="0" t="str">
        <f aca="false">I2725&amp;"-Q"&amp;ROUNDUP(MONTH(B2725)/3,0)</f>
        <v>2014-Q4</v>
      </c>
    </row>
    <row r="2726" customFormat="false" ht="15" hidden="false" customHeight="false" outlineLevel="0" collapsed="false">
      <c r="A2726" s="0" t="s">
        <v>1418</v>
      </c>
      <c r="B2726" s="6" t="n">
        <v>41916</v>
      </c>
      <c r="C2726" s="7" t="s">
        <v>33</v>
      </c>
      <c r="D2726" s="7" t="s">
        <v>34</v>
      </c>
      <c r="E2726" s="7" t="s">
        <v>35</v>
      </c>
      <c r="F2726" s="0" t="n">
        <v>95.648</v>
      </c>
      <c r="G2726" s="0" t="n">
        <v>31.0856</v>
      </c>
      <c r="H2726" s="0" t="n">
        <v>0.2</v>
      </c>
      <c r="I2726" s="7" t="n">
        <f aca="false">YEAR(B2726)</f>
        <v>2014</v>
      </c>
      <c r="J2726" s="0" t="str">
        <f aca="false">I2726&amp;"-Q"&amp;ROUNDUP(MONTH(B2726)/3,0)</f>
        <v>2014-Q4</v>
      </c>
    </row>
    <row r="2727" customFormat="false" ht="15" hidden="false" customHeight="false" outlineLevel="0" collapsed="false">
      <c r="A2727" s="0" t="s">
        <v>1419</v>
      </c>
      <c r="B2727" s="6" t="n">
        <v>43046</v>
      </c>
      <c r="C2727" s="7" t="s">
        <v>55</v>
      </c>
      <c r="D2727" s="7" t="s">
        <v>56</v>
      </c>
      <c r="E2727" s="7" t="s">
        <v>39</v>
      </c>
      <c r="F2727" s="0" t="n">
        <v>359.97</v>
      </c>
      <c r="G2727" s="0" t="n">
        <v>-71.994</v>
      </c>
      <c r="H2727" s="0" t="n">
        <v>0.4</v>
      </c>
      <c r="I2727" s="7" t="n">
        <f aca="false">YEAR(B2727)</f>
        <v>2017</v>
      </c>
      <c r="J2727" s="0" t="str">
        <f aca="false">I2727&amp;"-Q"&amp;ROUNDUP(MONTH(B2727)/3,0)</f>
        <v>2017-Q4</v>
      </c>
    </row>
    <row r="2728" customFormat="false" ht="15" hidden="false" customHeight="false" outlineLevel="0" collapsed="false">
      <c r="A2728" s="0" t="s">
        <v>1419</v>
      </c>
      <c r="B2728" s="6" t="n">
        <v>43046</v>
      </c>
      <c r="C2728" s="7" t="s">
        <v>55</v>
      </c>
      <c r="D2728" s="7" t="s">
        <v>56</v>
      </c>
      <c r="E2728" s="7" t="s">
        <v>31</v>
      </c>
      <c r="F2728" s="0" t="n">
        <v>350.352</v>
      </c>
      <c r="G2728" s="0" t="n">
        <v>-140.1408</v>
      </c>
      <c r="H2728" s="0" t="n">
        <v>0.4</v>
      </c>
      <c r="I2728" s="7" t="n">
        <f aca="false">YEAR(B2728)</f>
        <v>2017</v>
      </c>
      <c r="J2728" s="0" t="str">
        <f aca="false">I2728&amp;"-Q"&amp;ROUNDUP(MONTH(B2728)/3,0)</f>
        <v>2017-Q4</v>
      </c>
    </row>
    <row r="2729" customFormat="false" ht="15" hidden="false" customHeight="false" outlineLevel="0" collapsed="false">
      <c r="A2729" s="0" t="s">
        <v>1420</v>
      </c>
      <c r="B2729" s="6" t="n">
        <v>43091</v>
      </c>
      <c r="C2729" s="7" t="s">
        <v>55</v>
      </c>
      <c r="D2729" s="7" t="s">
        <v>116</v>
      </c>
      <c r="E2729" s="7" t="s">
        <v>35</v>
      </c>
      <c r="F2729" s="0" t="n">
        <v>1.641</v>
      </c>
      <c r="G2729" s="0" t="n">
        <v>-1.3128</v>
      </c>
      <c r="H2729" s="0" t="n">
        <v>0.7</v>
      </c>
      <c r="I2729" s="7" t="n">
        <f aca="false">YEAR(B2729)</f>
        <v>2017</v>
      </c>
      <c r="J2729" s="0" t="str">
        <f aca="false">I2729&amp;"-Q"&amp;ROUNDUP(MONTH(B2729)/3,0)</f>
        <v>2017-Q4</v>
      </c>
    </row>
    <row r="2730" customFormat="false" ht="15" hidden="false" customHeight="false" outlineLevel="0" collapsed="false">
      <c r="A2730" s="0" t="s">
        <v>1420</v>
      </c>
      <c r="B2730" s="6" t="n">
        <v>43091</v>
      </c>
      <c r="C2730" s="7" t="s">
        <v>55</v>
      </c>
      <c r="D2730" s="7" t="s">
        <v>116</v>
      </c>
      <c r="E2730" s="7" t="s">
        <v>39</v>
      </c>
      <c r="F2730" s="0" t="n">
        <v>629.958</v>
      </c>
      <c r="G2730" s="0" t="n">
        <v>94.4937</v>
      </c>
      <c r="H2730" s="0" t="n">
        <v>0.4</v>
      </c>
      <c r="I2730" s="7" t="n">
        <f aca="false">YEAR(B2730)</f>
        <v>2017</v>
      </c>
      <c r="J2730" s="0" t="str">
        <f aca="false">I2730&amp;"-Q"&amp;ROUNDUP(MONTH(B2730)/3,0)</f>
        <v>2017-Q4</v>
      </c>
    </row>
    <row r="2731" customFormat="false" ht="15" hidden="false" customHeight="false" outlineLevel="0" collapsed="false">
      <c r="A2731" s="0" t="s">
        <v>1421</v>
      </c>
      <c r="B2731" s="6" t="n">
        <v>42779</v>
      </c>
      <c r="C2731" s="7" t="s">
        <v>33</v>
      </c>
      <c r="D2731" s="7" t="s">
        <v>43</v>
      </c>
      <c r="E2731" s="7" t="s">
        <v>35</v>
      </c>
      <c r="F2731" s="0" t="n">
        <v>6.63</v>
      </c>
      <c r="G2731" s="0" t="n">
        <v>1.7901</v>
      </c>
      <c r="H2731" s="0" t="n">
        <v>0</v>
      </c>
      <c r="I2731" s="7" t="n">
        <f aca="false">YEAR(B2731)</f>
        <v>2017</v>
      </c>
      <c r="J2731" s="0" t="str">
        <f aca="false">I2731&amp;"-Q"&amp;ROUNDUP(MONTH(B2731)/3,0)</f>
        <v>2017-Q1</v>
      </c>
    </row>
    <row r="2732" customFormat="false" ht="15" hidden="false" customHeight="false" outlineLevel="0" collapsed="false">
      <c r="A2732" s="0" t="s">
        <v>1421</v>
      </c>
      <c r="B2732" s="6" t="n">
        <v>42779</v>
      </c>
      <c r="C2732" s="7" t="s">
        <v>33</v>
      </c>
      <c r="D2732" s="7" t="s">
        <v>43</v>
      </c>
      <c r="E2732" s="7" t="s">
        <v>39</v>
      </c>
      <c r="F2732" s="0" t="n">
        <v>799.96</v>
      </c>
      <c r="G2732" s="0" t="n">
        <v>343.9828</v>
      </c>
      <c r="H2732" s="0" t="n">
        <v>0</v>
      </c>
      <c r="I2732" s="7" t="n">
        <f aca="false">YEAR(B2732)</f>
        <v>2017</v>
      </c>
      <c r="J2732" s="0" t="str">
        <f aca="false">I2732&amp;"-Q"&amp;ROUNDUP(MONTH(B2732)/3,0)</f>
        <v>2017-Q1</v>
      </c>
    </row>
    <row r="2733" customFormat="false" ht="15" hidden="false" customHeight="false" outlineLevel="0" collapsed="false">
      <c r="A2733" s="0" t="s">
        <v>1421</v>
      </c>
      <c r="B2733" s="6" t="n">
        <v>42779</v>
      </c>
      <c r="C2733" s="7" t="s">
        <v>33</v>
      </c>
      <c r="D2733" s="7" t="s">
        <v>43</v>
      </c>
      <c r="E2733" s="7" t="s">
        <v>31</v>
      </c>
      <c r="F2733" s="0" t="n">
        <v>107.53</v>
      </c>
      <c r="G2733" s="0" t="n">
        <v>21.506</v>
      </c>
      <c r="H2733" s="0" t="n">
        <v>0</v>
      </c>
      <c r="I2733" s="7" t="n">
        <f aca="false">YEAR(B2733)</f>
        <v>2017</v>
      </c>
      <c r="J2733" s="0" t="str">
        <f aca="false">I2733&amp;"-Q"&amp;ROUNDUP(MONTH(B2733)/3,0)</f>
        <v>2017-Q1</v>
      </c>
    </row>
    <row r="2734" customFormat="false" ht="15" hidden="false" customHeight="false" outlineLevel="0" collapsed="false">
      <c r="A2734" s="0" t="s">
        <v>1422</v>
      </c>
      <c r="B2734" s="6" t="n">
        <v>41822</v>
      </c>
      <c r="C2734" s="7" t="s">
        <v>55</v>
      </c>
      <c r="D2734" s="7" t="s">
        <v>161</v>
      </c>
      <c r="E2734" s="7" t="s">
        <v>39</v>
      </c>
      <c r="F2734" s="0" t="n">
        <v>73.98</v>
      </c>
      <c r="G2734" s="0" t="n">
        <v>19.9746</v>
      </c>
      <c r="H2734" s="0" t="n">
        <v>0</v>
      </c>
      <c r="I2734" s="7" t="n">
        <f aca="false">YEAR(B2734)</f>
        <v>2014</v>
      </c>
      <c r="J2734" s="0" t="str">
        <f aca="false">I2734&amp;"-Q"&amp;ROUNDUP(MONTH(B2734)/3,0)</f>
        <v>2014-Q3</v>
      </c>
    </row>
    <row r="2735" customFormat="false" ht="15" hidden="false" customHeight="false" outlineLevel="0" collapsed="false">
      <c r="A2735" s="0" t="s">
        <v>1422</v>
      </c>
      <c r="B2735" s="6" t="n">
        <v>41822</v>
      </c>
      <c r="C2735" s="7" t="s">
        <v>55</v>
      </c>
      <c r="D2735" s="7" t="s">
        <v>161</v>
      </c>
      <c r="E2735" s="7" t="s">
        <v>35</v>
      </c>
      <c r="F2735" s="0" t="n">
        <v>5.58</v>
      </c>
      <c r="G2735" s="0" t="n">
        <v>2.1762</v>
      </c>
      <c r="H2735" s="0" t="n">
        <v>0</v>
      </c>
      <c r="I2735" s="7" t="n">
        <f aca="false">YEAR(B2735)</f>
        <v>2014</v>
      </c>
      <c r="J2735" s="0" t="str">
        <f aca="false">I2735&amp;"-Q"&amp;ROUNDUP(MONTH(B2735)/3,0)</f>
        <v>2014-Q3</v>
      </c>
    </row>
    <row r="2736" customFormat="false" ht="15" hidden="false" customHeight="false" outlineLevel="0" collapsed="false">
      <c r="A2736" s="0" t="s">
        <v>1423</v>
      </c>
      <c r="B2736" s="6" t="n">
        <v>42056</v>
      </c>
      <c r="C2736" s="7" t="s">
        <v>33</v>
      </c>
      <c r="D2736" s="7" t="s">
        <v>142</v>
      </c>
      <c r="E2736" s="7" t="s">
        <v>35</v>
      </c>
      <c r="F2736" s="0" t="n">
        <v>49.12</v>
      </c>
      <c r="G2736" s="0" t="n">
        <v>23.0864</v>
      </c>
      <c r="H2736" s="0" t="n">
        <v>0</v>
      </c>
      <c r="I2736" s="7" t="n">
        <f aca="false">YEAR(B2736)</f>
        <v>2015</v>
      </c>
      <c r="J2736" s="0" t="str">
        <f aca="false">I2736&amp;"-Q"&amp;ROUNDUP(MONTH(B2736)/3,0)</f>
        <v>2015-Q1</v>
      </c>
    </row>
    <row r="2737" customFormat="false" ht="15" hidden="false" customHeight="false" outlineLevel="0" collapsed="false">
      <c r="A2737" s="0" t="s">
        <v>1424</v>
      </c>
      <c r="B2737" s="6" t="n">
        <v>42321</v>
      </c>
      <c r="C2737" s="7" t="s">
        <v>55</v>
      </c>
      <c r="D2737" s="7" t="s">
        <v>72</v>
      </c>
      <c r="E2737" s="7" t="s">
        <v>39</v>
      </c>
      <c r="F2737" s="0" t="n">
        <v>377.97</v>
      </c>
      <c r="G2737" s="0" t="n">
        <v>94.4925</v>
      </c>
      <c r="H2737" s="0" t="n">
        <v>0</v>
      </c>
      <c r="I2737" s="7" t="n">
        <f aca="false">YEAR(B2737)</f>
        <v>2015</v>
      </c>
      <c r="J2737" s="0" t="str">
        <f aca="false">I2737&amp;"-Q"&amp;ROUNDUP(MONTH(B2737)/3,0)</f>
        <v>2015-Q4</v>
      </c>
    </row>
    <row r="2738" customFormat="false" ht="15" hidden="false" customHeight="false" outlineLevel="0" collapsed="false">
      <c r="A2738" s="0" t="s">
        <v>1424</v>
      </c>
      <c r="B2738" s="6" t="n">
        <v>42321</v>
      </c>
      <c r="C2738" s="7" t="s">
        <v>55</v>
      </c>
      <c r="D2738" s="7" t="s">
        <v>72</v>
      </c>
      <c r="E2738" s="7" t="s">
        <v>35</v>
      </c>
      <c r="F2738" s="0" t="n">
        <v>42.28</v>
      </c>
      <c r="G2738" s="0" t="n">
        <v>19.8716</v>
      </c>
      <c r="H2738" s="0" t="n">
        <v>0</v>
      </c>
      <c r="I2738" s="7" t="n">
        <f aca="false">YEAR(B2738)</f>
        <v>2015</v>
      </c>
      <c r="J2738" s="0" t="str">
        <f aca="false">I2738&amp;"-Q"&amp;ROUNDUP(MONTH(B2738)/3,0)</f>
        <v>2015-Q4</v>
      </c>
    </row>
    <row r="2739" customFormat="false" ht="15" hidden="false" customHeight="false" outlineLevel="0" collapsed="false">
      <c r="A2739" s="0" t="s">
        <v>1424</v>
      </c>
      <c r="B2739" s="6" t="n">
        <v>42321</v>
      </c>
      <c r="C2739" s="7" t="s">
        <v>55</v>
      </c>
      <c r="D2739" s="7" t="s">
        <v>72</v>
      </c>
      <c r="E2739" s="7" t="s">
        <v>31</v>
      </c>
      <c r="F2739" s="0" t="n">
        <v>299.97</v>
      </c>
      <c r="G2739" s="0" t="n">
        <v>56.9943</v>
      </c>
      <c r="H2739" s="0" t="n">
        <v>0</v>
      </c>
      <c r="I2739" s="7" t="n">
        <f aca="false">YEAR(B2739)</f>
        <v>2015</v>
      </c>
      <c r="J2739" s="0" t="str">
        <f aca="false">I2739&amp;"-Q"&amp;ROUNDUP(MONTH(B2739)/3,0)</f>
        <v>2015-Q4</v>
      </c>
    </row>
    <row r="2740" customFormat="false" ht="15" hidden="false" customHeight="false" outlineLevel="0" collapsed="false">
      <c r="A2740" s="0" t="s">
        <v>1424</v>
      </c>
      <c r="B2740" s="6" t="n">
        <v>42321</v>
      </c>
      <c r="C2740" s="7" t="s">
        <v>55</v>
      </c>
      <c r="D2740" s="7" t="s">
        <v>72</v>
      </c>
      <c r="E2740" s="7" t="s">
        <v>39</v>
      </c>
      <c r="F2740" s="0" t="n">
        <v>89.98</v>
      </c>
      <c r="G2740" s="0" t="n">
        <v>43.1904</v>
      </c>
      <c r="H2740" s="0" t="n">
        <v>0</v>
      </c>
      <c r="I2740" s="7" t="n">
        <f aca="false">YEAR(B2740)</f>
        <v>2015</v>
      </c>
      <c r="J2740" s="0" t="str">
        <f aca="false">I2740&amp;"-Q"&amp;ROUNDUP(MONTH(B2740)/3,0)</f>
        <v>2015-Q4</v>
      </c>
    </row>
    <row r="2741" customFormat="false" ht="15" hidden="false" customHeight="false" outlineLevel="0" collapsed="false">
      <c r="A2741" s="0" t="s">
        <v>1425</v>
      </c>
      <c r="B2741" s="6" t="n">
        <v>42841</v>
      </c>
      <c r="C2741" s="7" t="s">
        <v>29</v>
      </c>
      <c r="D2741" s="7" t="s">
        <v>91</v>
      </c>
      <c r="E2741" s="7" t="s">
        <v>35</v>
      </c>
      <c r="F2741" s="0" t="n">
        <v>477.24</v>
      </c>
      <c r="G2741" s="0" t="n">
        <v>9.5448</v>
      </c>
      <c r="H2741" s="0" t="n">
        <v>0</v>
      </c>
      <c r="I2741" s="7" t="n">
        <f aca="false">YEAR(B2741)</f>
        <v>2017</v>
      </c>
      <c r="J2741" s="0" t="str">
        <f aca="false">I2741&amp;"-Q"&amp;ROUNDUP(MONTH(B2741)/3,0)</f>
        <v>2017-Q2</v>
      </c>
    </row>
    <row r="2742" customFormat="false" ht="15" hidden="false" customHeight="false" outlineLevel="0" collapsed="false">
      <c r="A2742" s="0" t="s">
        <v>1425</v>
      </c>
      <c r="B2742" s="6" t="n">
        <v>42841</v>
      </c>
      <c r="C2742" s="7" t="s">
        <v>29</v>
      </c>
      <c r="D2742" s="7" t="s">
        <v>91</v>
      </c>
      <c r="E2742" s="7" t="s">
        <v>39</v>
      </c>
      <c r="F2742" s="0" t="n">
        <v>25.98</v>
      </c>
      <c r="G2742" s="0" t="n">
        <v>1.5588</v>
      </c>
      <c r="H2742" s="0" t="n">
        <v>0</v>
      </c>
      <c r="I2742" s="7" t="n">
        <f aca="false">YEAR(B2742)</f>
        <v>2017</v>
      </c>
      <c r="J2742" s="0" t="str">
        <f aca="false">I2742&amp;"-Q"&amp;ROUNDUP(MONTH(B2742)/3,0)</f>
        <v>2017-Q2</v>
      </c>
    </row>
    <row r="2743" customFormat="false" ht="15" hidden="false" customHeight="false" outlineLevel="0" collapsed="false">
      <c r="A2743" s="0" t="s">
        <v>1426</v>
      </c>
      <c r="B2743" s="6" t="n">
        <v>42425</v>
      </c>
      <c r="C2743" s="7" t="s">
        <v>55</v>
      </c>
      <c r="D2743" s="7" t="s">
        <v>116</v>
      </c>
      <c r="E2743" s="7" t="s">
        <v>35</v>
      </c>
      <c r="F2743" s="0" t="n">
        <v>46.72</v>
      </c>
      <c r="G2743" s="0" t="n">
        <v>17.52</v>
      </c>
      <c r="H2743" s="0" t="n">
        <v>0.2</v>
      </c>
      <c r="I2743" s="7" t="n">
        <f aca="false">YEAR(B2743)</f>
        <v>2016</v>
      </c>
      <c r="J2743" s="0" t="str">
        <f aca="false">I2743&amp;"-Q"&amp;ROUNDUP(MONTH(B2743)/3,0)</f>
        <v>2016-Q1</v>
      </c>
    </row>
    <row r="2744" customFormat="false" ht="15" hidden="false" customHeight="false" outlineLevel="0" collapsed="false">
      <c r="A2744" s="0" t="s">
        <v>1427</v>
      </c>
      <c r="B2744" s="6" t="n">
        <v>41947</v>
      </c>
      <c r="C2744" s="7" t="s">
        <v>33</v>
      </c>
      <c r="D2744" s="7" t="s">
        <v>34</v>
      </c>
      <c r="E2744" s="7" t="s">
        <v>31</v>
      </c>
      <c r="F2744" s="0" t="n">
        <v>35.34</v>
      </c>
      <c r="G2744" s="0" t="n">
        <v>13.4292</v>
      </c>
      <c r="H2744" s="0" t="n">
        <v>0</v>
      </c>
      <c r="I2744" s="7" t="n">
        <f aca="false">YEAR(B2744)</f>
        <v>2014</v>
      </c>
      <c r="J2744" s="0" t="str">
        <f aca="false">I2744&amp;"-Q"&amp;ROUNDUP(MONTH(B2744)/3,0)</f>
        <v>2014-Q4</v>
      </c>
    </row>
    <row r="2745" customFormat="false" ht="15" hidden="false" customHeight="false" outlineLevel="0" collapsed="false">
      <c r="A2745" s="0" t="s">
        <v>1428</v>
      </c>
      <c r="B2745" s="6" t="n">
        <v>42175</v>
      </c>
      <c r="C2745" s="7" t="s">
        <v>33</v>
      </c>
      <c r="D2745" s="7" t="s">
        <v>34</v>
      </c>
      <c r="E2745" s="7" t="s">
        <v>31</v>
      </c>
      <c r="F2745" s="0" t="n">
        <v>257.64</v>
      </c>
      <c r="G2745" s="0" t="n">
        <v>100.4796</v>
      </c>
      <c r="H2745" s="0" t="n">
        <v>0</v>
      </c>
      <c r="I2745" s="7" t="n">
        <f aca="false">YEAR(B2745)</f>
        <v>2015</v>
      </c>
      <c r="J2745" s="0" t="str">
        <f aca="false">I2745&amp;"-Q"&amp;ROUNDUP(MONTH(B2745)/3,0)</f>
        <v>2015-Q2</v>
      </c>
    </row>
    <row r="2746" customFormat="false" ht="15" hidden="false" customHeight="false" outlineLevel="0" collapsed="false">
      <c r="A2746" s="0" t="s">
        <v>1428</v>
      </c>
      <c r="B2746" s="6" t="n">
        <v>42175</v>
      </c>
      <c r="C2746" s="7" t="s">
        <v>33</v>
      </c>
      <c r="D2746" s="7" t="s">
        <v>34</v>
      </c>
      <c r="E2746" s="7" t="s">
        <v>39</v>
      </c>
      <c r="F2746" s="0" t="n">
        <v>125.976</v>
      </c>
      <c r="G2746" s="0" t="n">
        <v>47.241</v>
      </c>
      <c r="H2746" s="0" t="n">
        <v>0.2</v>
      </c>
      <c r="I2746" s="7" t="n">
        <f aca="false">YEAR(B2746)</f>
        <v>2015</v>
      </c>
      <c r="J2746" s="0" t="str">
        <f aca="false">I2746&amp;"-Q"&amp;ROUNDUP(MONTH(B2746)/3,0)</f>
        <v>2015-Q2</v>
      </c>
    </row>
    <row r="2747" customFormat="false" ht="15" hidden="false" customHeight="false" outlineLevel="0" collapsed="false">
      <c r="A2747" s="0" t="s">
        <v>1429</v>
      </c>
      <c r="B2747" s="6" t="n">
        <v>42954</v>
      </c>
      <c r="C2747" s="7" t="s">
        <v>29</v>
      </c>
      <c r="D2747" s="7" t="s">
        <v>41</v>
      </c>
      <c r="E2747" s="7" t="s">
        <v>39</v>
      </c>
      <c r="F2747" s="0" t="n">
        <v>79.992</v>
      </c>
      <c r="G2747" s="0" t="n">
        <v>21.9978</v>
      </c>
      <c r="H2747" s="0" t="n">
        <v>0.2</v>
      </c>
      <c r="I2747" s="7" t="n">
        <f aca="false">YEAR(B2747)</f>
        <v>2017</v>
      </c>
      <c r="J2747" s="0" t="str">
        <f aca="false">I2747&amp;"-Q"&amp;ROUNDUP(MONTH(B2747)/3,0)</f>
        <v>2017-Q3</v>
      </c>
    </row>
    <row r="2748" customFormat="false" ht="15" hidden="false" customHeight="false" outlineLevel="0" collapsed="false">
      <c r="A2748" s="0" t="s">
        <v>1430</v>
      </c>
      <c r="B2748" s="6" t="n">
        <v>41771</v>
      </c>
      <c r="C2748" s="7" t="s">
        <v>55</v>
      </c>
      <c r="D2748" s="7" t="s">
        <v>225</v>
      </c>
      <c r="E2748" s="7" t="s">
        <v>31</v>
      </c>
      <c r="F2748" s="0" t="n">
        <v>700.056</v>
      </c>
      <c r="G2748" s="0" t="n">
        <v>-130.0104</v>
      </c>
      <c r="H2748" s="0" t="n">
        <v>0.3</v>
      </c>
      <c r="I2748" s="7" t="n">
        <f aca="false">YEAR(B2748)</f>
        <v>2014</v>
      </c>
      <c r="J2748" s="0" t="str">
        <f aca="false">I2748&amp;"-Q"&amp;ROUNDUP(MONTH(B2748)/3,0)</f>
        <v>2014-Q2</v>
      </c>
    </row>
    <row r="2749" customFormat="false" ht="15" hidden="false" customHeight="false" outlineLevel="0" collapsed="false">
      <c r="A2749" s="0" t="s">
        <v>1431</v>
      </c>
      <c r="B2749" s="6" t="n">
        <v>42330</v>
      </c>
      <c r="C2749" s="7" t="s">
        <v>45</v>
      </c>
      <c r="D2749" s="7" t="s">
        <v>46</v>
      </c>
      <c r="E2749" s="7" t="s">
        <v>39</v>
      </c>
      <c r="F2749" s="0" t="n">
        <v>27.168</v>
      </c>
      <c r="G2749" s="0" t="n">
        <v>-1.3584</v>
      </c>
      <c r="H2749" s="0" t="n">
        <v>0.2</v>
      </c>
      <c r="I2749" s="7" t="n">
        <f aca="false">YEAR(B2749)</f>
        <v>2015</v>
      </c>
      <c r="J2749" s="0" t="str">
        <f aca="false">I2749&amp;"-Q"&amp;ROUNDUP(MONTH(B2749)/3,0)</f>
        <v>2015-Q4</v>
      </c>
    </row>
    <row r="2750" customFormat="false" ht="15" hidden="false" customHeight="false" outlineLevel="0" collapsed="false">
      <c r="A2750" s="0" t="s">
        <v>1432</v>
      </c>
      <c r="B2750" s="6" t="n">
        <v>42342</v>
      </c>
      <c r="C2750" s="7" t="s">
        <v>29</v>
      </c>
      <c r="D2750" s="7" t="s">
        <v>37</v>
      </c>
      <c r="E2750" s="7" t="s">
        <v>35</v>
      </c>
      <c r="F2750" s="0" t="n">
        <v>8.226</v>
      </c>
      <c r="G2750" s="0" t="n">
        <v>-6.0324</v>
      </c>
      <c r="H2750" s="0" t="n">
        <v>0.7</v>
      </c>
      <c r="I2750" s="7" t="n">
        <f aca="false">YEAR(B2750)</f>
        <v>2015</v>
      </c>
      <c r="J2750" s="0" t="str">
        <f aca="false">I2750&amp;"-Q"&amp;ROUNDUP(MONTH(B2750)/3,0)</f>
        <v>2015-Q4</v>
      </c>
    </row>
    <row r="2751" customFormat="false" ht="15" hidden="false" customHeight="false" outlineLevel="0" collapsed="false">
      <c r="A2751" s="0" t="s">
        <v>1433</v>
      </c>
      <c r="B2751" s="6" t="n">
        <v>41798</v>
      </c>
      <c r="C2751" s="7" t="s">
        <v>33</v>
      </c>
      <c r="D2751" s="7" t="s">
        <v>43</v>
      </c>
      <c r="E2751" s="7" t="s">
        <v>31</v>
      </c>
      <c r="F2751" s="0" t="n">
        <v>585.552</v>
      </c>
      <c r="G2751" s="0" t="n">
        <v>73.194</v>
      </c>
      <c r="H2751" s="0" t="n">
        <v>0.2</v>
      </c>
      <c r="I2751" s="7" t="n">
        <f aca="false">YEAR(B2751)</f>
        <v>2014</v>
      </c>
      <c r="J2751" s="0" t="str">
        <f aca="false">I2751&amp;"-Q"&amp;ROUNDUP(MONTH(B2751)/3,0)</f>
        <v>2014-Q2</v>
      </c>
    </row>
    <row r="2752" customFormat="false" ht="15" hidden="false" customHeight="false" outlineLevel="0" collapsed="false">
      <c r="A2752" s="0" t="s">
        <v>1434</v>
      </c>
      <c r="B2752" s="6" t="n">
        <v>41859</v>
      </c>
      <c r="C2752" s="7" t="s">
        <v>33</v>
      </c>
      <c r="D2752" s="7" t="s">
        <v>34</v>
      </c>
      <c r="E2752" s="7" t="s">
        <v>35</v>
      </c>
      <c r="F2752" s="0" t="n">
        <v>423.28</v>
      </c>
      <c r="G2752" s="0" t="n">
        <v>110.0528</v>
      </c>
      <c r="H2752" s="0" t="n">
        <v>0</v>
      </c>
      <c r="I2752" s="7" t="n">
        <f aca="false">YEAR(B2752)</f>
        <v>2014</v>
      </c>
      <c r="J2752" s="0" t="str">
        <f aca="false">I2752&amp;"-Q"&amp;ROUNDUP(MONTH(B2752)/3,0)</f>
        <v>2014-Q3</v>
      </c>
    </row>
    <row r="2753" customFormat="false" ht="15" hidden="false" customHeight="false" outlineLevel="0" collapsed="false">
      <c r="A2753" s="0" t="s">
        <v>1435</v>
      </c>
      <c r="B2753" s="6" t="n">
        <v>41785</v>
      </c>
      <c r="C2753" s="7" t="s">
        <v>33</v>
      </c>
      <c r="D2753" s="7" t="s">
        <v>34</v>
      </c>
      <c r="E2753" s="7" t="s">
        <v>31</v>
      </c>
      <c r="F2753" s="0" t="n">
        <v>225.296</v>
      </c>
      <c r="G2753" s="0" t="n">
        <v>22.5296</v>
      </c>
      <c r="H2753" s="0" t="n">
        <v>0.2</v>
      </c>
      <c r="I2753" s="7" t="n">
        <f aca="false">YEAR(B2753)</f>
        <v>2014</v>
      </c>
      <c r="J2753" s="0" t="str">
        <f aca="false">I2753&amp;"-Q"&amp;ROUNDUP(MONTH(B2753)/3,0)</f>
        <v>2014-Q2</v>
      </c>
    </row>
    <row r="2754" customFormat="false" ht="15" hidden="false" customHeight="false" outlineLevel="0" collapsed="false">
      <c r="A2754" s="0" t="s">
        <v>1436</v>
      </c>
      <c r="B2754" s="6" t="n">
        <v>42111</v>
      </c>
      <c r="C2754" s="7" t="s">
        <v>33</v>
      </c>
      <c r="D2754" s="7" t="s">
        <v>34</v>
      </c>
      <c r="E2754" s="7" t="s">
        <v>35</v>
      </c>
      <c r="F2754" s="0" t="n">
        <v>5.56</v>
      </c>
      <c r="G2754" s="0" t="n">
        <v>2.224</v>
      </c>
      <c r="H2754" s="0" t="n">
        <v>0</v>
      </c>
      <c r="I2754" s="7" t="n">
        <f aca="false">YEAR(B2754)</f>
        <v>2015</v>
      </c>
      <c r="J2754" s="0" t="str">
        <f aca="false">I2754&amp;"-Q"&amp;ROUNDUP(MONTH(B2754)/3,0)</f>
        <v>2015-Q2</v>
      </c>
    </row>
    <row r="2755" customFormat="false" ht="15" hidden="false" customHeight="false" outlineLevel="0" collapsed="false">
      <c r="A2755" s="0" t="s">
        <v>1436</v>
      </c>
      <c r="B2755" s="6" t="n">
        <v>42111</v>
      </c>
      <c r="C2755" s="7" t="s">
        <v>33</v>
      </c>
      <c r="D2755" s="7" t="s">
        <v>34</v>
      </c>
      <c r="E2755" s="7" t="s">
        <v>39</v>
      </c>
      <c r="F2755" s="0" t="n">
        <v>323.37</v>
      </c>
      <c r="G2755" s="0" t="n">
        <v>129.348</v>
      </c>
      <c r="H2755" s="0" t="n">
        <v>0</v>
      </c>
      <c r="I2755" s="7" t="n">
        <f aca="false">YEAR(B2755)</f>
        <v>2015</v>
      </c>
      <c r="J2755" s="0" t="str">
        <f aca="false">I2755&amp;"-Q"&amp;ROUNDUP(MONTH(B2755)/3,0)</f>
        <v>2015-Q2</v>
      </c>
    </row>
    <row r="2756" customFormat="false" ht="15" hidden="false" customHeight="false" outlineLevel="0" collapsed="false">
      <c r="A2756" s="0" t="s">
        <v>1436</v>
      </c>
      <c r="B2756" s="6" t="n">
        <v>42111</v>
      </c>
      <c r="C2756" s="7" t="s">
        <v>33</v>
      </c>
      <c r="D2756" s="7" t="s">
        <v>34</v>
      </c>
      <c r="E2756" s="7" t="s">
        <v>39</v>
      </c>
      <c r="F2756" s="0" t="n">
        <v>783.96</v>
      </c>
      <c r="G2756" s="0" t="n">
        <v>68.5965</v>
      </c>
      <c r="H2756" s="0" t="n">
        <v>0.2</v>
      </c>
      <c r="I2756" s="7" t="n">
        <f aca="false">YEAR(B2756)</f>
        <v>2015</v>
      </c>
      <c r="J2756" s="0" t="str">
        <f aca="false">I2756&amp;"-Q"&amp;ROUNDUP(MONTH(B2756)/3,0)</f>
        <v>2015-Q2</v>
      </c>
    </row>
    <row r="2757" customFormat="false" ht="15" hidden="false" customHeight="false" outlineLevel="0" collapsed="false">
      <c r="A2757" s="0" t="s">
        <v>1436</v>
      </c>
      <c r="B2757" s="6" t="n">
        <v>42111</v>
      </c>
      <c r="C2757" s="7" t="s">
        <v>33</v>
      </c>
      <c r="D2757" s="7" t="s">
        <v>34</v>
      </c>
      <c r="E2757" s="7" t="s">
        <v>35</v>
      </c>
      <c r="F2757" s="0" t="n">
        <v>1447.65</v>
      </c>
      <c r="G2757" s="0" t="n">
        <v>419.8185</v>
      </c>
      <c r="H2757" s="0" t="n">
        <v>0</v>
      </c>
      <c r="I2757" s="7" t="n">
        <f aca="false">YEAR(B2757)</f>
        <v>2015</v>
      </c>
      <c r="J2757" s="0" t="str">
        <f aca="false">I2757&amp;"-Q"&amp;ROUNDUP(MONTH(B2757)/3,0)</f>
        <v>2015-Q2</v>
      </c>
    </row>
    <row r="2758" customFormat="false" ht="15" hidden="false" customHeight="false" outlineLevel="0" collapsed="false">
      <c r="A2758" s="0" t="s">
        <v>1436</v>
      </c>
      <c r="B2758" s="6" t="n">
        <v>42111</v>
      </c>
      <c r="C2758" s="7" t="s">
        <v>33</v>
      </c>
      <c r="D2758" s="7" t="s">
        <v>34</v>
      </c>
      <c r="E2758" s="7" t="s">
        <v>35</v>
      </c>
      <c r="F2758" s="0" t="n">
        <v>11.96</v>
      </c>
      <c r="G2758" s="0" t="n">
        <v>5.8604</v>
      </c>
      <c r="H2758" s="0" t="n">
        <v>0</v>
      </c>
      <c r="I2758" s="7" t="n">
        <f aca="false">YEAR(B2758)</f>
        <v>2015</v>
      </c>
      <c r="J2758" s="0" t="str">
        <f aca="false">I2758&amp;"-Q"&amp;ROUNDUP(MONTH(B2758)/3,0)</f>
        <v>2015-Q2</v>
      </c>
    </row>
    <row r="2759" customFormat="false" ht="15" hidden="false" customHeight="false" outlineLevel="0" collapsed="false">
      <c r="A2759" s="0" t="s">
        <v>1437</v>
      </c>
      <c r="B2759" s="6" t="n">
        <v>42532</v>
      </c>
      <c r="C2759" s="7" t="s">
        <v>55</v>
      </c>
      <c r="D2759" s="7" t="s">
        <v>76</v>
      </c>
      <c r="E2759" s="7" t="s">
        <v>39</v>
      </c>
      <c r="F2759" s="0" t="n">
        <v>239.97</v>
      </c>
      <c r="G2759" s="0" t="n">
        <v>71.991</v>
      </c>
      <c r="H2759" s="0" t="n">
        <v>0</v>
      </c>
      <c r="I2759" s="7" t="n">
        <f aca="false">YEAR(B2759)</f>
        <v>2016</v>
      </c>
      <c r="J2759" s="0" t="str">
        <f aca="false">I2759&amp;"-Q"&amp;ROUNDUP(MONTH(B2759)/3,0)</f>
        <v>2016-Q2</v>
      </c>
    </row>
    <row r="2760" customFormat="false" ht="15" hidden="false" customHeight="false" outlineLevel="0" collapsed="false">
      <c r="A2760" s="0" t="s">
        <v>1438</v>
      </c>
      <c r="B2760" s="6" t="n">
        <v>42440</v>
      </c>
      <c r="C2760" s="7" t="s">
        <v>29</v>
      </c>
      <c r="D2760" s="7" t="s">
        <v>230</v>
      </c>
      <c r="E2760" s="7" t="s">
        <v>31</v>
      </c>
      <c r="F2760" s="0" t="n">
        <v>76.92</v>
      </c>
      <c r="G2760" s="0" t="n">
        <v>31.5372</v>
      </c>
      <c r="H2760" s="0" t="n">
        <v>0</v>
      </c>
      <c r="I2760" s="7" t="n">
        <f aca="false">YEAR(B2760)</f>
        <v>2016</v>
      </c>
      <c r="J2760" s="0" t="str">
        <f aca="false">I2760&amp;"-Q"&amp;ROUNDUP(MONTH(B2760)/3,0)</f>
        <v>2016-Q1</v>
      </c>
    </row>
    <row r="2761" customFormat="false" ht="15" hidden="false" customHeight="false" outlineLevel="0" collapsed="false">
      <c r="A2761" s="0" t="s">
        <v>1438</v>
      </c>
      <c r="B2761" s="6" t="n">
        <v>42440</v>
      </c>
      <c r="C2761" s="7" t="s">
        <v>29</v>
      </c>
      <c r="D2761" s="7" t="s">
        <v>230</v>
      </c>
      <c r="E2761" s="7" t="s">
        <v>35</v>
      </c>
      <c r="F2761" s="0" t="n">
        <v>481.32</v>
      </c>
      <c r="G2761" s="0" t="n">
        <v>125.1432</v>
      </c>
      <c r="H2761" s="0" t="n">
        <v>0</v>
      </c>
      <c r="I2761" s="7" t="n">
        <f aca="false">YEAR(B2761)</f>
        <v>2016</v>
      </c>
      <c r="J2761" s="0" t="str">
        <f aca="false">I2761&amp;"-Q"&amp;ROUNDUP(MONTH(B2761)/3,0)</f>
        <v>2016-Q1</v>
      </c>
    </row>
    <row r="2762" customFormat="false" ht="15" hidden="false" customHeight="false" outlineLevel="0" collapsed="false">
      <c r="A2762" s="0" t="s">
        <v>1439</v>
      </c>
      <c r="B2762" s="6" t="n">
        <v>41785</v>
      </c>
      <c r="C2762" s="7" t="s">
        <v>33</v>
      </c>
      <c r="D2762" s="7" t="s">
        <v>50</v>
      </c>
      <c r="E2762" s="7" t="s">
        <v>35</v>
      </c>
      <c r="F2762" s="0" t="n">
        <v>48.4</v>
      </c>
      <c r="G2762" s="0" t="n">
        <v>23.232</v>
      </c>
      <c r="H2762" s="0" t="n">
        <v>0</v>
      </c>
      <c r="I2762" s="7" t="n">
        <f aca="false">YEAR(B2762)</f>
        <v>2014</v>
      </c>
      <c r="J2762" s="0" t="str">
        <f aca="false">I2762&amp;"-Q"&amp;ROUNDUP(MONTH(B2762)/3,0)</f>
        <v>2014-Q2</v>
      </c>
    </row>
    <row r="2763" customFormat="false" ht="15" hidden="false" customHeight="false" outlineLevel="0" collapsed="false">
      <c r="A2763" s="0" t="s">
        <v>1440</v>
      </c>
      <c r="B2763" s="6" t="n">
        <v>43020</v>
      </c>
      <c r="C2763" s="7" t="s">
        <v>33</v>
      </c>
      <c r="D2763" s="7" t="s">
        <v>34</v>
      </c>
      <c r="E2763" s="7" t="s">
        <v>39</v>
      </c>
      <c r="F2763" s="0" t="n">
        <v>0.99</v>
      </c>
      <c r="G2763" s="0" t="n">
        <v>0.4356</v>
      </c>
      <c r="H2763" s="0" t="n">
        <v>0</v>
      </c>
      <c r="I2763" s="7" t="n">
        <f aca="false">YEAR(B2763)</f>
        <v>2017</v>
      </c>
      <c r="J2763" s="0" t="str">
        <f aca="false">I2763&amp;"-Q"&amp;ROUNDUP(MONTH(B2763)/3,0)</f>
        <v>2017-Q4</v>
      </c>
    </row>
    <row r="2764" customFormat="false" ht="15" hidden="false" customHeight="false" outlineLevel="0" collapsed="false">
      <c r="A2764" s="0" t="s">
        <v>1440</v>
      </c>
      <c r="B2764" s="6" t="n">
        <v>43020</v>
      </c>
      <c r="C2764" s="7" t="s">
        <v>33</v>
      </c>
      <c r="D2764" s="7" t="s">
        <v>34</v>
      </c>
      <c r="E2764" s="7" t="s">
        <v>35</v>
      </c>
      <c r="F2764" s="0" t="n">
        <v>101.84</v>
      </c>
      <c r="G2764" s="0" t="n">
        <v>36.917</v>
      </c>
      <c r="H2764" s="0" t="n">
        <v>0.2</v>
      </c>
      <c r="I2764" s="7" t="n">
        <f aca="false">YEAR(B2764)</f>
        <v>2017</v>
      </c>
      <c r="J2764" s="0" t="str">
        <f aca="false">I2764&amp;"-Q"&amp;ROUNDUP(MONTH(B2764)/3,0)</f>
        <v>2017-Q4</v>
      </c>
    </row>
    <row r="2765" customFormat="false" ht="15" hidden="false" customHeight="false" outlineLevel="0" collapsed="false">
      <c r="A2765" s="0" t="s">
        <v>1441</v>
      </c>
      <c r="B2765" s="6" t="n">
        <v>42908</v>
      </c>
      <c r="C2765" s="7" t="s">
        <v>55</v>
      </c>
      <c r="D2765" s="7" t="s">
        <v>56</v>
      </c>
      <c r="E2765" s="7" t="s">
        <v>35</v>
      </c>
      <c r="F2765" s="0" t="n">
        <v>10.332</v>
      </c>
      <c r="G2765" s="0" t="n">
        <v>-7.5768</v>
      </c>
      <c r="H2765" s="0" t="n">
        <v>0.7</v>
      </c>
      <c r="I2765" s="7" t="n">
        <f aca="false">YEAR(B2765)</f>
        <v>2017</v>
      </c>
      <c r="J2765" s="0" t="str">
        <f aca="false">I2765&amp;"-Q"&amp;ROUNDUP(MONTH(B2765)/3,0)</f>
        <v>2017-Q2</v>
      </c>
    </row>
    <row r="2766" customFormat="false" ht="15" hidden="false" customHeight="false" outlineLevel="0" collapsed="false">
      <c r="A2766" s="0" t="s">
        <v>1441</v>
      </c>
      <c r="B2766" s="6" t="n">
        <v>42908</v>
      </c>
      <c r="C2766" s="7" t="s">
        <v>55</v>
      </c>
      <c r="D2766" s="7" t="s">
        <v>56</v>
      </c>
      <c r="E2766" s="7" t="s">
        <v>35</v>
      </c>
      <c r="F2766" s="0" t="n">
        <v>31.155</v>
      </c>
      <c r="G2766" s="0" t="n">
        <v>-23.8855</v>
      </c>
      <c r="H2766" s="0" t="n">
        <v>0.7</v>
      </c>
      <c r="I2766" s="7" t="n">
        <f aca="false">YEAR(B2766)</f>
        <v>2017</v>
      </c>
      <c r="J2766" s="0" t="str">
        <f aca="false">I2766&amp;"-Q"&amp;ROUNDUP(MONTH(B2766)/3,0)</f>
        <v>2017-Q2</v>
      </c>
    </row>
    <row r="2767" customFormat="false" ht="15" hidden="false" customHeight="false" outlineLevel="0" collapsed="false">
      <c r="A2767" s="0" t="s">
        <v>1441</v>
      </c>
      <c r="B2767" s="6" t="n">
        <v>42908</v>
      </c>
      <c r="C2767" s="7" t="s">
        <v>55</v>
      </c>
      <c r="D2767" s="7" t="s">
        <v>56</v>
      </c>
      <c r="E2767" s="7" t="s">
        <v>35</v>
      </c>
      <c r="F2767" s="0" t="n">
        <v>8.928</v>
      </c>
      <c r="G2767" s="0" t="n">
        <v>0.6696</v>
      </c>
      <c r="H2767" s="0" t="n">
        <v>0.2</v>
      </c>
      <c r="I2767" s="7" t="n">
        <f aca="false">YEAR(B2767)</f>
        <v>2017</v>
      </c>
      <c r="J2767" s="0" t="str">
        <f aca="false">I2767&amp;"-Q"&amp;ROUNDUP(MONTH(B2767)/3,0)</f>
        <v>2017-Q2</v>
      </c>
    </row>
    <row r="2768" customFormat="false" ht="15" hidden="false" customHeight="false" outlineLevel="0" collapsed="false">
      <c r="A2768" s="0" t="s">
        <v>1442</v>
      </c>
      <c r="B2768" s="6" t="n">
        <v>42750</v>
      </c>
      <c r="C2768" s="7" t="s">
        <v>55</v>
      </c>
      <c r="D2768" s="7" t="s">
        <v>56</v>
      </c>
      <c r="E2768" s="7" t="s">
        <v>35</v>
      </c>
      <c r="F2768" s="0" t="n">
        <v>34.384</v>
      </c>
      <c r="G2768" s="0" t="n">
        <v>3.8682</v>
      </c>
      <c r="H2768" s="0" t="n">
        <v>0.2</v>
      </c>
      <c r="I2768" s="7" t="n">
        <f aca="false">YEAR(B2768)</f>
        <v>2017</v>
      </c>
      <c r="J2768" s="0" t="str">
        <f aca="false">I2768&amp;"-Q"&amp;ROUNDUP(MONTH(B2768)/3,0)</f>
        <v>2017-Q1</v>
      </c>
    </row>
    <row r="2769" customFormat="false" ht="15" hidden="false" customHeight="false" outlineLevel="0" collapsed="false">
      <c r="A2769" s="0" t="s">
        <v>1442</v>
      </c>
      <c r="B2769" s="6" t="n">
        <v>42750</v>
      </c>
      <c r="C2769" s="7" t="s">
        <v>55</v>
      </c>
      <c r="D2769" s="7" t="s">
        <v>56</v>
      </c>
      <c r="E2769" s="7" t="s">
        <v>35</v>
      </c>
      <c r="F2769" s="0" t="n">
        <v>1924.16</v>
      </c>
      <c r="G2769" s="0" t="n">
        <v>312.676</v>
      </c>
      <c r="H2769" s="0" t="n">
        <v>0.2</v>
      </c>
      <c r="I2769" s="7" t="n">
        <f aca="false">YEAR(B2769)</f>
        <v>2017</v>
      </c>
      <c r="J2769" s="0" t="str">
        <f aca="false">I2769&amp;"-Q"&amp;ROUNDUP(MONTH(B2769)/3,0)</f>
        <v>2017-Q1</v>
      </c>
    </row>
    <row r="2770" customFormat="false" ht="15" hidden="false" customHeight="false" outlineLevel="0" collapsed="false">
      <c r="A2770" s="0" t="s">
        <v>1443</v>
      </c>
      <c r="B2770" s="6" t="n">
        <v>42096</v>
      </c>
      <c r="C2770" s="7" t="s">
        <v>45</v>
      </c>
      <c r="D2770" s="7" t="s">
        <v>46</v>
      </c>
      <c r="E2770" s="7" t="s">
        <v>35</v>
      </c>
      <c r="F2770" s="0" t="n">
        <v>32.192</v>
      </c>
      <c r="G2770" s="0" t="n">
        <v>-80.48</v>
      </c>
      <c r="H2770" s="0" t="n">
        <v>0.8</v>
      </c>
      <c r="I2770" s="7" t="n">
        <f aca="false">YEAR(B2770)</f>
        <v>2015</v>
      </c>
      <c r="J2770" s="0" t="str">
        <f aca="false">I2770&amp;"-Q"&amp;ROUNDUP(MONTH(B2770)/3,0)</f>
        <v>2015-Q2</v>
      </c>
    </row>
    <row r="2771" customFormat="false" ht="15" hidden="false" customHeight="false" outlineLevel="0" collapsed="false">
      <c r="A2771" s="0" t="s">
        <v>1443</v>
      </c>
      <c r="B2771" s="6" t="n">
        <v>42096</v>
      </c>
      <c r="C2771" s="7" t="s">
        <v>45</v>
      </c>
      <c r="D2771" s="7" t="s">
        <v>46</v>
      </c>
      <c r="E2771" s="7" t="s">
        <v>39</v>
      </c>
      <c r="F2771" s="0" t="n">
        <v>50.12</v>
      </c>
      <c r="G2771" s="0" t="n">
        <v>-0.6265</v>
      </c>
      <c r="H2771" s="0" t="n">
        <v>0.2</v>
      </c>
      <c r="I2771" s="7" t="n">
        <f aca="false">YEAR(B2771)</f>
        <v>2015</v>
      </c>
      <c r="J2771" s="0" t="str">
        <f aca="false">I2771&amp;"-Q"&amp;ROUNDUP(MONTH(B2771)/3,0)</f>
        <v>2015-Q2</v>
      </c>
    </row>
    <row r="2772" customFormat="false" ht="15" hidden="false" customHeight="false" outlineLevel="0" collapsed="false">
      <c r="A2772" s="0" t="s">
        <v>1443</v>
      </c>
      <c r="B2772" s="6" t="n">
        <v>42096</v>
      </c>
      <c r="C2772" s="7" t="s">
        <v>45</v>
      </c>
      <c r="D2772" s="7" t="s">
        <v>46</v>
      </c>
      <c r="E2772" s="7" t="s">
        <v>39</v>
      </c>
      <c r="F2772" s="0" t="n">
        <v>47.976</v>
      </c>
      <c r="G2772" s="0" t="n">
        <v>1.7991</v>
      </c>
      <c r="H2772" s="0" t="n">
        <v>0.2</v>
      </c>
      <c r="I2772" s="7" t="n">
        <f aca="false">YEAR(B2772)</f>
        <v>2015</v>
      </c>
      <c r="J2772" s="0" t="str">
        <f aca="false">I2772&amp;"-Q"&amp;ROUNDUP(MONTH(B2772)/3,0)</f>
        <v>2015-Q2</v>
      </c>
    </row>
    <row r="2773" customFormat="false" ht="15" hidden="false" customHeight="false" outlineLevel="0" collapsed="false">
      <c r="A2773" s="0" t="s">
        <v>1444</v>
      </c>
      <c r="B2773" s="6" t="n">
        <v>42616</v>
      </c>
      <c r="C2773" s="7" t="s">
        <v>45</v>
      </c>
      <c r="D2773" s="7" t="s">
        <v>48</v>
      </c>
      <c r="E2773" s="7" t="s">
        <v>35</v>
      </c>
      <c r="F2773" s="0" t="n">
        <v>54.5</v>
      </c>
      <c r="G2773" s="0" t="n">
        <v>14.17</v>
      </c>
      <c r="H2773" s="0" t="n">
        <v>0</v>
      </c>
      <c r="I2773" s="7" t="n">
        <f aca="false">YEAR(B2773)</f>
        <v>2016</v>
      </c>
      <c r="J2773" s="0" t="str">
        <f aca="false">I2773&amp;"-Q"&amp;ROUNDUP(MONTH(B2773)/3,0)</f>
        <v>2016-Q3</v>
      </c>
    </row>
    <row r="2774" customFormat="false" ht="15" hidden="false" customHeight="false" outlineLevel="0" collapsed="false">
      <c r="A2774" s="0" t="s">
        <v>1445</v>
      </c>
      <c r="B2774" s="6" t="n">
        <v>43079</v>
      </c>
      <c r="C2774" s="7" t="s">
        <v>29</v>
      </c>
      <c r="D2774" s="7" t="s">
        <v>37</v>
      </c>
      <c r="E2774" s="7" t="s">
        <v>31</v>
      </c>
      <c r="F2774" s="0" t="n">
        <v>19.104</v>
      </c>
      <c r="G2774" s="0" t="n">
        <v>5.7312</v>
      </c>
      <c r="H2774" s="0" t="n">
        <v>0.2</v>
      </c>
      <c r="I2774" s="7" t="n">
        <f aca="false">YEAR(B2774)</f>
        <v>2017</v>
      </c>
      <c r="J2774" s="0" t="str">
        <f aca="false">I2774&amp;"-Q"&amp;ROUNDUP(MONTH(B2774)/3,0)</f>
        <v>2017-Q4</v>
      </c>
    </row>
    <row r="2775" customFormat="false" ht="15" hidden="false" customHeight="false" outlineLevel="0" collapsed="false">
      <c r="A2775" s="0" t="s">
        <v>1446</v>
      </c>
      <c r="B2775" s="6" t="n">
        <v>42696</v>
      </c>
      <c r="C2775" s="7" t="s">
        <v>45</v>
      </c>
      <c r="D2775" s="7" t="s">
        <v>70</v>
      </c>
      <c r="E2775" s="7" t="s">
        <v>35</v>
      </c>
      <c r="F2775" s="0" t="n">
        <v>49.44</v>
      </c>
      <c r="G2775" s="0" t="n">
        <v>24.2256</v>
      </c>
      <c r="H2775" s="0" t="n">
        <v>0</v>
      </c>
      <c r="I2775" s="7" t="n">
        <f aca="false">YEAR(B2775)</f>
        <v>2016</v>
      </c>
      <c r="J2775" s="0" t="str">
        <f aca="false">I2775&amp;"-Q"&amp;ROUNDUP(MONTH(B2775)/3,0)</f>
        <v>2016-Q4</v>
      </c>
    </row>
    <row r="2776" customFormat="false" ht="15" hidden="false" customHeight="false" outlineLevel="0" collapsed="false">
      <c r="A2776" s="0" t="s">
        <v>1447</v>
      </c>
      <c r="B2776" s="6" t="n">
        <v>43050</v>
      </c>
      <c r="C2776" s="7" t="s">
        <v>55</v>
      </c>
      <c r="D2776" s="7" t="s">
        <v>116</v>
      </c>
      <c r="E2776" s="7" t="s">
        <v>35</v>
      </c>
      <c r="F2776" s="0" t="n">
        <v>10.368</v>
      </c>
      <c r="G2776" s="0" t="n">
        <v>3.6288</v>
      </c>
      <c r="H2776" s="0" t="n">
        <v>0.2</v>
      </c>
      <c r="I2776" s="7" t="n">
        <f aca="false">YEAR(B2776)</f>
        <v>2017</v>
      </c>
      <c r="J2776" s="0" t="str">
        <f aca="false">I2776&amp;"-Q"&amp;ROUNDUP(MONTH(B2776)/3,0)</f>
        <v>2017-Q4</v>
      </c>
    </row>
    <row r="2777" customFormat="false" ht="15" hidden="false" customHeight="false" outlineLevel="0" collapsed="false">
      <c r="A2777" s="0" t="s">
        <v>1448</v>
      </c>
      <c r="B2777" s="6" t="n">
        <v>42664</v>
      </c>
      <c r="C2777" s="7" t="s">
        <v>33</v>
      </c>
      <c r="D2777" s="7" t="s">
        <v>34</v>
      </c>
      <c r="E2777" s="7" t="s">
        <v>35</v>
      </c>
      <c r="F2777" s="0" t="n">
        <v>154.44</v>
      </c>
      <c r="G2777" s="0" t="n">
        <v>1.5444</v>
      </c>
      <c r="H2777" s="0" t="n">
        <v>0</v>
      </c>
      <c r="I2777" s="7" t="n">
        <f aca="false">YEAR(B2777)</f>
        <v>2016</v>
      </c>
      <c r="J2777" s="0" t="str">
        <f aca="false">I2777&amp;"-Q"&amp;ROUNDUP(MONTH(B2777)/3,0)</f>
        <v>2016-Q4</v>
      </c>
    </row>
    <row r="2778" customFormat="false" ht="15" hidden="false" customHeight="false" outlineLevel="0" collapsed="false">
      <c r="A2778" s="0" t="s">
        <v>1449</v>
      </c>
      <c r="B2778" s="6" t="n">
        <v>42359</v>
      </c>
      <c r="C2778" s="7" t="s">
        <v>33</v>
      </c>
      <c r="D2778" s="7" t="s">
        <v>109</v>
      </c>
      <c r="E2778" s="7" t="s">
        <v>35</v>
      </c>
      <c r="F2778" s="0" t="n">
        <v>60.984</v>
      </c>
      <c r="G2778" s="0" t="n">
        <v>4.5738</v>
      </c>
      <c r="H2778" s="0" t="n">
        <v>0.2</v>
      </c>
      <c r="I2778" s="7" t="n">
        <f aca="false">YEAR(B2778)</f>
        <v>2015</v>
      </c>
      <c r="J2778" s="0" t="str">
        <f aca="false">I2778&amp;"-Q"&amp;ROUNDUP(MONTH(B2778)/3,0)</f>
        <v>2015-Q4</v>
      </c>
    </row>
    <row r="2779" customFormat="false" ht="15" hidden="false" customHeight="false" outlineLevel="0" collapsed="false">
      <c r="A2779" s="0" t="s">
        <v>1450</v>
      </c>
      <c r="B2779" s="6" t="n">
        <v>42202</v>
      </c>
      <c r="C2779" s="7" t="s">
        <v>33</v>
      </c>
      <c r="D2779" s="7" t="s">
        <v>34</v>
      </c>
      <c r="E2779" s="7" t="s">
        <v>31</v>
      </c>
      <c r="F2779" s="0" t="n">
        <v>195.466</v>
      </c>
      <c r="G2779" s="0" t="n">
        <v>-13.7976</v>
      </c>
      <c r="H2779" s="0" t="n">
        <v>0.15</v>
      </c>
      <c r="I2779" s="7" t="n">
        <f aca="false">YEAR(B2779)</f>
        <v>2015</v>
      </c>
      <c r="J2779" s="0" t="str">
        <f aca="false">I2779&amp;"-Q"&amp;ROUNDUP(MONTH(B2779)/3,0)</f>
        <v>2015-Q3</v>
      </c>
    </row>
    <row r="2780" customFormat="false" ht="15" hidden="false" customHeight="false" outlineLevel="0" collapsed="false">
      <c r="A2780" s="0" t="s">
        <v>1451</v>
      </c>
      <c r="B2780" s="6" t="n">
        <v>42855</v>
      </c>
      <c r="C2780" s="7" t="s">
        <v>29</v>
      </c>
      <c r="D2780" s="7" t="s">
        <v>37</v>
      </c>
      <c r="E2780" s="7" t="s">
        <v>31</v>
      </c>
      <c r="F2780" s="0" t="n">
        <v>23.68</v>
      </c>
      <c r="G2780" s="0" t="n">
        <v>6.216</v>
      </c>
      <c r="H2780" s="0" t="n">
        <v>0.2</v>
      </c>
      <c r="I2780" s="7" t="n">
        <f aca="false">YEAR(B2780)</f>
        <v>2017</v>
      </c>
      <c r="J2780" s="0" t="str">
        <f aca="false">I2780&amp;"-Q"&amp;ROUNDUP(MONTH(B2780)/3,0)</f>
        <v>2017-Q2</v>
      </c>
    </row>
    <row r="2781" customFormat="false" ht="15" hidden="false" customHeight="false" outlineLevel="0" collapsed="false">
      <c r="A2781" s="0" t="s">
        <v>1451</v>
      </c>
      <c r="B2781" s="6" t="n">
        <v>42855</v>
      </c>
      <c r="C2781" s="7" t="s">
        <v>29</v>
      </c>
      <c r="D2781" s="7" t="s">
        <v>37</v>
      </c>
      <c r="E2781" s="7" t="s">
        <v>39</v>
      </c>
      <c r="F2781" s="0" t="n">
        <v>2.376</v>
      </c>
      <c r="G2781" s="0" t="n">
        <v>0.7425</v>
      </c>
      <c r="H2781" s="0" t="n">
        <v>0.2</v>
      </c>
      <c r="I2781" s="7" t="n">
        <f aca="false">YEAR(B2781)</f>
        <v>2017</v>
      </c>
      <c r="J2781" s="0" t="str">
        <f aca="false">I2781&amp;"-Q"&amp;ROUNDUP(MONTH(B2781)/3,0)</f>
        <v>2017-Q2</v>
      </c>
    </row>
    <row r="2782" customFormat="false" ht="15" hidden="false" customHeight="false" outlineLevel="0" collapsed="false">
      <c r="A2782" s="0" t="s">
        <v>1452</v>
      </c>
      <c r="B2782" s="6" t="n">
        <v>42861</v>
      </c>
      <c r="C2782" s="7" t="s">
        <v>55</v>
      </c>
      <c r="D2782" s="7" t="s">
        <v>76</v>
      </c>
      <c r="E2782" s="7" t="s">
        <v>35</v>
      </c>
      <c r="F2782" s="0" t="n">
        <v>59.2</v>
      </c>
      <c r="G2782" s="0" t="n">
        <v>29.6</v>
      </c>
      <c r="H2782" s="0" t="n">
        <v>0</v>
      </c>
      <c r="I2782" s="7" t="n">
        <f aca="false">YEAR(B2782)</f>
        <v>2017</v>
      </c>
      <c r="J2782" s="0" t="str">
        <f aca="false">I2782&amp;"-Q"&amp;ROUNDUP(MONTH(B2782)/3,0)</f>
        <v>2017-Q2</v>
      </c>
    </row>
    <row r="2783" customFormat="false" ht="15" hidden="false" customHeight="false" outlineLevel="0" collapsed="false">
      <c r="A2783" s="0" t="s">
        <v>1453</v>
      </c>
      <c r="B2783" s="6" t="n">
        <v>43059</v>
      </c>
      <c r="C2783" s="7" t="s">
        <v>45</v>
      </c>
      <c r="D2783" s="7" t="s">
        <v>68</v>
      </c>
      <c r="E2783" s="7" t="s">
        <v>35</v>
      </c>
      <c r="F2783" s="0" t="n">
        <v>22</v>
      </c>
      <c r="G2783" s="0" t="n">
        <v>9.68</v>
      </c>
      <c r="H2783" s="0" t="n">
        <v>0</v>
      </c>
      <c r="I2783" s="7" t="n">
        <f aca="false">YEAR(B2783)</f>
        <v>2017</v>
      </c>
      <c r="J2783" s="0" t="str">
        <f aca="false">I2783&amp;"-Q"&amp;ROUNDUP(MONTH(B2783)/3,0)</f>
        <v>2017-Q4</v>
      </c>
    </row>
    <row r="2784" customFormat="false" ht="15" hidden="false" customHeight="false" outlineLevel="0" collapsed="false">
      <c r="A2784" s="0" t="s">
        <v>1454</v>
      </c>
      <c r="B2784" s="6" t="n">
        <v>42685</v>
      </c>
      <c r="C2784" s="7" t="s">
        <v>45</v>
      </c>
      <c r="D2784" s="7" t="s">
        <v>70</v>
      </c>
      <c r="E2784" s="7" t="s">
        <v>39</v>
      </c>
      <c r="F2784" s="0" t="n">
        <v>257.98</v>
      </c>
      <c r="G2784" s="0" t="n">
        <v>74.8142</v>
      </c>
      <c r="H2784" s="0" t="n">
        <v>0</v>
      </c>
      <c r="I2784" s="7" t="n">
        <f aca="false">YEAR(B2784)</f>
        <v>2016</v>
      </c>
      <c r="J2784" s="0" t="str">
        <f aca="false">I2784&amp;"-Q"&amp;ROUNDUP(MONTH(B2784)/3,0)</f>
        <v>2016-Q4</v>
      </c>
    </row>
    <row r="2785" customFormat="false" ht="15" hidden="false" customHeight="false" outlineLevel="0" collapsed="false">
      <c r="A2785" s="0" t="s">
        <v>1455</v>
      </c>
      <c r="B2785" s="6" t="n">
        <v>42679</v>
      </c>
      <c r="C2785" s="7" t="s">
        <v>55</v>
      </c>
      <c r="D2785" s="7" t="s">
        <v>56</v>
      </c>
      <c r="E2785" s="7" t="s">
        <v>39</v>
      </c>
      <c r="F2785" s="0" t="n">
        <v>23.988</v>
      </c>
      <c r="G2785" s="0" t="n">
        <v>-15.992</v>
      </c>
      <c r="H2785" s="0" t="n">
        <v>0.4</v>
      </c>
      <c r="I2785" s="7" t="n">
        <f aca="false">YEAR(B2785)</f>
        <v>2016</v>
      </c>
      <c r="J2785" s="0" t="str">
        <f aca="false">I2785&amp;"-Q"&amp;ROUNDUP(MONTH(B2785)/3,0)</f>
        <v>2016-Q4</v>
      </c>
    </row>
    <row r="2786" customFormat="false" ht="15" hidden="false" customHeight="false" outlineLevel="0" collapsed="false">
      <c r="A2786" s="0" t="s">
        <v>1456</v>
      </c>
      <c r="B2786" s="6" t="n">
        <v>42652</v>
      </c>
      <c r="C2786" s="7" t="s">
        <v>55</v>
      </c>
      <c r="D2786" s="7" t="s">
        <v>116</v>
      </c>
      <c r="E2786" s="7" t="s">
        <v>39</v>
      </c>
      <c r="F2786" s="0" t="n">
        <v>23.976</v>
      </c>
      <c r="G2786" s="0" t="n">
        <v>-15.5844</v>
      </c>
      <c r="H2786" s="0" t="n">
        <v>0.4</v>
      </c>
      <c r="I2786" s="7" t="n">
        <f aca="false">YEAR(B2786)</f>
        <v>2016</v>
      </c>
      <c r="J2786" s="0" t="str">
        <f aca="false">I2786&amp;"-Q"&amp;ROUNDUP(MONTH(B2786)/3,0)</f>
        <v>2016-Q4</v>
      </c>
    </row>
    <row r="2787" customFormat="false" ht="15" hidden="false" customHeight="false" outlineLevel="0" collapsed="false">
      <c r="A2787" s="0" t="s">
        <v>1457</v>
      </c>
      <c r="B2787" s="6" t="n">
        <v>42268</v>
      </c>
      <c r="C2787" s="7" t="s">
        <v>33</v>
      </c>
      <c r="D2787" s="7" t="s">
        <v>34</v>
      </c>
      <c r="E2787" s="7" t="s">
        <v>31</v>
      </c>
      <c r="F2787" s="0" t="n">
        <v>601.536</v>
      </c>
      <c r="G2787" s="0" t="n">
        <v>0</v>
      </c>
      <c r="H2787" s="0" t="n">
        <v>0.2</v>
      </c>
      <c r="I2787" s="7" t="n">
        <f aca="false">YEAR(B2787)</f>
        <v>2015</v>
      </c>
      <c r="J2787" s="0" t="str">
        <f aca="false">I2787&amp;"-Q"&amp;ROUNDUP(MONTH(B2787)/3,0)</f>
        <v>2015-Q3</v>
      </c>
    </row>
    <row r="2788" customFormat="false" ht="15" hidden="false" customHeight="false" outlineLevel="0" collapsed="false">
      <c r="A2788" s="0" t="s">
        <v>1457</v>
      </c>
      <c r="B2788" s="6" t="n">
        <v>42268</v>
      </c>
      <c r="C2788" s="7" t="s">
        <v>33</v>
      </c>
      <c r="D2788" s="7" t="s">
        <v>34</v>
      </c>
      <c r="E2788" s="7" t="s">
        <v>35</v>
      </c>
      <c r="F2788" s="0" t="n">
        <v>7.9</v>
      </c>
      <c r="G2788" s="0" t="n">
        <v>2.528</v>
      </c>
      <c r="H2788" s="0" t="n">
        <v>0</v>
      </c>
      <c r="I2788" s="7" t="n">
        <f aca="false">YEAR(B2788)</f>
        <v>2015</v>
      </c>
      <c r="J2788" s="0" t="str">
        <f aca="false">I2788&amp;"-Q"&amp;ROUNDUP(MONTH(B2788)/3,0)</f>
        <v>2015-Q3</v>
      </c>
    </row>
    <row r="2789" customFormat="false" ht="15" hidden="false" customHeight="false" outlineLevel="0" collapsed="false">
      <c r="A2789" s="0" t="s">
        <v>1458</v>
      </c>
      <c r="B2789" s="6" t="n">
        <v>41975</v>
      </c>
      <c r="C2789" s="7" t="s">
        <v>45</v>
      </c>
      <c r="D2789" s="7" t="s">
        <v>46</v>
      </c>
      <c r="E2789" s="7" t="s">
        <v>31</v>
      </c>
      <c r="F2789" s="0" t="n">
        <v>58.36</v>
      </c>
      <c r="G2789" s="0" t="n">
        <v>-24.803</v>
      </c>
      <c r="H2789" s="0" t="n">
        <v>0.6</v>
      </c>
      <c r="I2789" s="7" t="n">
        <f aca="false">YEAR(B2789)</f>
        <v>2014</v>
      </c>
      <c r="J2789" s="0" t="str">
        <f aca="false">I2789&amp;"-Q"&amp;ROUNDUP(MONTH(B2789)/3,0)</f>
        <v>2014-Q4</v>
      </c>
    </row>
    <row r="2790" customFormat="false" ht="15" hidden="false" customHeight="false" outlineLevel="0" collapsed="false">
      <c r="A2790" s="0" t="s">
        <v>1458</v>
      </c>
      <c r="B2790" s="6" t="n">
        <v>41975</v>
      </c>
      <c r="C2790" s="7" t="s">
        <v>45</v>
      </c>
      <c r="D2790" s="7" t="s">
        <v>46</v>
      </c>
      <c r="E2790" s="7" t="s">
        <v>35</v>
      </c>
      <c r="F2790" s="0" t="n">
        <v>16.464</v>
      </c>
      <c r="G2790" s="0" t="n">
        <v>1.4406</v>
      </c>
      <c r="H2790" s="0" t="n">
        <v>0.2</v>
      </c>
      <c r="I2790" s="7" t="n">
        <f aca="false">YEAR(B2790)</f>
        <v>2014</v>
      </c>
      <c r="J2790" s="0" t="str">
        <f aca="false">I2790&amp;"-Q"&amp;ROUNDUP(MONTH(B2790)/3,0)</f>
        <v>2014-Q4</v>
      </c>
    </row>
    <row r="2791" customFormat="false" ht="15" hidden="false" customHeight="false" outlineLevel="0" collapsed="false">
      <c r="A2791" s="0" t="s">
        <v>1458</v>
      </c>
      <c r="B2791" s="6" t="n">
        <v>41975</v>
      </c>
      <c r="C2791" s="7" t="s">
        <v>45</v>
      </c>
      <c r="D2791" s="7" t="s">
        <v>46</v>
      </c>
      <c r="E2791" s="7" t="s">
        <v>31</v>
      </c>
      <c r="F2791" s="0" t="n">
        <v>39.96</v>
      </c>
      <c r="G2791" s="0" t="n">
        <v>-23.976</v>
      </c>
      <c r="H2791" s="0" t="n">
        <v>0.6</v>
      </c>
      <c r="I2791" s="7" t="n">
        <f aca="false">YEAR(B2791)</f>
        <v>2014</v>
      </c>
      <c r="J2791" s="0" t="str">
        <f aca="false">I2791&amp;"-Q"&amp;ROUNDUP(MONTH(B2791)/3,0)</f>
        <v>2014-Q4</v>
      </c>
    </row>
    <row r="2792" customFormat="false" ht="15" hidden="false" customHeight="false" outlineLevel="0" collapsed="false">
      <c r="A2792" s="0" t="s">
        <v>1459</v>
      </c>
      <c r="B2792" s="6" t="n">
        <v>41903</v>
      </c>
      <c r="C2792" s="7" t="s">
        <v>45</v>
      </c>
      <c r="D2792" s="7" t="s">
        <v>53</v>
      </c>
      <c r="E2792" s="7" t="s">
        <v>35</v>
      </c>
      <c r="F2792" s="0" t="n">
        <v>25.96</v>
      </c>
      <c r="G2792" s="0" t="n">
        <v>7.5284</v>
      </c>
      <c r="H2792" s="0" t="n">
        <v>0</v>
      </c>
      <c r="I2792" s="7" t="n">
        <f aca="false">YEAR(B2792)</f>
        <v>2014</v>
      </c>
      <c r="J2792" s="0" t="str">
        <f aca="false">I2792&amp;"-Q"&amp;ROUNDUP(MONTH(B2792)/3,0)</f>
        <v>2014-Q3</v>
      </c>
    </row>
    <row r="2793" customFormat="false" ht="15" hidden="false" customHeight="false" outlineLevel="0" collapsed="false">
      <c r="A2793" s="0" t="s">
        <v>1459</v>
      </c>
      <c r="B2793" s="6" t="n">
        <v>41903</v>
      </c>
      <c r="C2793" s="7" t="s">
        <v>45</v>
      </c>
      <c r="D2793" s="7" t="s">
        <v>53</v>
      </c>
      <c r="E2793" s="7" t="s">
        <v>35</v>
      </c>
      <c r="F2793" s="0" t="n">
        <v>36.27</v>
      </c>
      <c r="G2793" s="0" t="n">
        <v>10.881</v>
      </c>
      <c r="H2793" s="0" t="n">
        <v>0</v>
      </c>
      <c r="I2793" s="7" t="n">
        <f aca="false">YEAR(B2793)</f>
        <v>2014</v>
      </c>
      <c r="J2793" s="0" t="str">
        <f aca="false">I2793&amp;"-Q"&amp;ROUNDUP(MONTH(B2793)/3,0)</f>
        <v>2014-Q3</v>
      </c>
    </row>
    <row r="2794" customFormat="false" ht="15" hidden="false" customHeight="false" outlineLevel="0" collapsed="false">
      <c r="A2794" s="0" t="s">
        <v>1459</v>
      </c>
      <c r="B2794" s="6" t="n">
        <v>41903</v>
      </c>
      <c r="C2794" s="7" t="s">
        <v>45</v>
      </c>
      <c r="D2794" s="7" t="s">
        <v>53</v>
      </c>
      <c r="E2794" s="7" t="s">
        <v>35</v>
      </c>
      <c r="F2794" s="0" t="n">
        <v>6.48</v>
      </c>
      <c r="G2794" s="0" t="n">
        <v>3.1104</v>
      </c>
      <c r="H2794" s="0" t="n">
        <v>0</v>
      </c>
      <c r="I2794" s="7" t="n">
        <f aca="false">YEAR(B2794)</f>
        <v>2014</v>
      </c>
      <c r="J2794" s="0" t="str">
        <f aca="false">I2794&amp;"-Q"&amp;ROUNDUP(MONTH(B2794)/3,0)</f>
        <v>2014-Q3</v>
      </c>
    </row>
    <row r="2795" customFormat="false" ht="15" hidden="false" customHeight="false" outlineLevel="0" collapsed="false">
      <c r="A2795" s="0" t="s">
        <v>1460</v>
      </c>
      <c r="B2795" s="6" t="n">
        <v>41741</v>
      </c>
      <c r="C2795" s="7" t="s">
        <v>33</v>
      </c>
      <c r="D2795" s="7" t="s">
        <v>34</v>
      </c>
      <c r="E2795" s="7" t="s">
        <v>39</v>
      </c>
      <c r="F2795" s="0" t="n">
        <v>1075.088</v>
      </c>
      <c r="G2795" s="0" t="n">
        <v>94.0702</v>
      </c>
      <c r="H2795" s="0" t="n">
        <v>0.2</v>
      </c>
      <c r="I2795" s="7" t="n">
        <f aca="false">YEAR(B2795)</f>
        <v>2014</v>
      </c>
      <c r="J2795" s="0" t="str">
        <f aca="false">I2795&amp;"-Q"&amp;ROUNDUP(MONTH(B2795)/3,0)</f>
        <v>2014-Q2</v>
      </c>
    </row>
    <row r="2796" customFormat="false" ht="15" hidden="false" customHeight="false" outlineLevel="0" collapsed="false">
      <c r="A2796" s="0" t="s">
        <v>1460</v>
      </c>
      <c r="B2796" s="6" t="n">
        <v>41741</v>
      </c>
      <c r="C2796" s="7" t="s">
        <v>33</v>
      </c>
      <c r="D2796" s="7" t="s">
        <v>34</v>
      </c>
      <c r="E2796" s="7" t="s">
        <v>39</v>
      </c>
      <c r="F2796" s="0" t="n">
        <v>438.368</v>
      </c>
      <c r="G2796" s="0" t="n">
        <v>38.3572</v>
      </c>
      <c r="H2796" s="0" t="n">
        <v>0.2</v>
      </c>
      <c r="I2796" s="7" t="n">
        <f aca="false">YEAR(B2796)</f>
        <v>2014</v>
      </c>
      <c r="J2796" s="0" t="str">
        <f aca="false">I2796&amp;"-Q"&amp;ROUNDUP(MONTH(B2796)/3,0)</f>
        <v>2014-Q2</v>
      </c>
    </row>
    <row r="2797" customFormat="false" ht="15" hidden="false" customHeight="false" outlineLevel="0" collapsed="false">
      <c r="A2797" s="0" t="s">
        <v>1460</v>
      </c>
      <c r="B2797" s="6" t="n">
        <v>41741</v>
      </c>
      <c r="C2797" s="7" t="s">
        <v>33</v>
      </c>
      <c r="D2797" s="7" t="s">
        <v>34</v>
      </c>
      <c r="E2797" s="7" t="s">
        <v>35</v>
      </c>
      <c r="F2797" s="0" t="n">
        <v>18.088</v>
      </c>
      <c r="G2797" s="0" t="n">
        <v>6.5569</v>
      </c>
      <c r="H2797" s="0" t="n">
        <v>0.2</v>
      </c>
      <c r="I2797" s="7" t="n">
        <f aca="false">YEAR(B2797)</f>
        <v>2014</v>
      </c>
      <c r="J2797" s="0" t="str">
        <f aca="false">I2797&amp;"-Q"&amp;ROUNDUP(MONTH(B2797)/3,0)</f>
        <v>2014-Q2</v>
      </c>
    </row>
    <row r="2798" customFormat="false" ht="15" hidden="false" customHeight="false" outlineLevel="0" collapsed="false">
      <c r="A2798" s="0" t="s">
        <v>1460</v>
      </c>
      <c r="B2798" s="6" t="n">
        <v>41741</v>
      </c>
      <c r="C2798" s="7" t="s">
        <v>33</v>
      </c>
      <c r="D2798" s="7" t="s">
        <v>34</v>
      </c>
      <c r="E2798" s="7" t="s">
        <v>31</v>
      </c>
      <c r="F2798" s="0" t="n">
        <v>308.499</v>
      </c>
      <c r="G2798" s="0" t="n">
        <v>-18.147</v>
      </c>
      <c r="H2798" s="0" t="n">
        <v>0.15</v>
      </c>
      <c r="I2798" s="7" t="n">
        <f aca="false">YEAR(B2798)</f>
        <v>2014</v>
      </c>
      <c r="J2798" s="0" t="str">
        <f aca="false">I2798&amp;"-Q"&amp;ROUNDUP(MONTH(B2798)/3,0)</f>
        <v>2014-Q2</v>
      </c>
    </row>
    <row r="2799" customFormat="false" ht="15" hidden="false" customHeight="false" outlineLevel="0" collapsed="false">
      <c r="A2799" s="0" t="s">
        <v>1461</v>
      </c>
      <c r="B2799" s="6" t="n">
        <v>43028</v>
      </c>
      <c r="C2799" s="7" t="s">
        <v>29</v>
      </c>
      <c r="D2799" s="7" t="s">
        <v>301</v>
      </c>
      <c r="E2799" s="7" t="s">
        <v>35</v>
      </c>
      <c r="F2799" s="0" t="n">
        <v>13.36</v>
      </c>
      <c r="G2799" s="0" t="n">
        <v>4.1416</v>
      </c>
      <c r="H2799" s="0" t="n">
        <v>0</v>
      </c>
      <c r="I2799" s="7" t="n">
        <f aca="false">YEAR(B2799)</f>
        <v>2017</v>
      </c>
      <c r="J2799" s="0" t="str">
        <f aca="false">I2799&amp;"-Q"&amp;ROUNDUP(MONTH(B2799)/3,0)</f>
        <v>2017-Q4</v>
      </c>
    </row>
    <row r="2800" customFormat="false" ht="15" hidden="false" customHeight="false" outlineLevel="0" collapsed="false">
      <c r="A2800" s="0" t="s">
        <v>1461</v>
      </c>
      <c r="B2800" s="6" t="n">
        <v>43028</v>
      </c>
      <c r="C2800" s="7" t="s">
        <v>29</v>
      </c>
      <c r="D2800" s="7" t="s">
        <v>301</v>
      </c>
      <c r="E2800" s="7" t="s">
        <v>35</v>
      </c>
      <c r="F2800" s="0" t="n">
        <v>39.96</v>
      </c>
      <c r="G2800" s="0" t="n">
        <v>18.7812</v>
      </c>
      <c r="H2800" s="0" t="n">
        <v>0</v>
      </c>
      <c r="I2800" s="7" t="n">
        <f aca="false">YEAR(B2800)</f>
        <v>2017</v>
      </c>
      <c r="J2800" s="0" t="str">
        <f aca="false">I2800&amp;"-Q"&amp;ROUNDUP(MONTH(B2800)/3,0)</f>
        <v>2017-Q4</v>
      </c>
    </row>
    <row r="2801" customFormat="false" ht="15" hidden="false" customHeight="false" outlineLevel="0" collapsed="false">
      <c r="A2801" s="0" t="s">
        <v>1461</v>
      </c>
      <c r="B2801" s="6" t="n">
        <v>43028</v>
      </c>
      <c r="C2801" s="7" t="s">
        <v>29</v>
      </c>
      <c r="D2801" s="7" t="s">
        <v>301</v>
      </c>
      <c r="E2801" s="7" t="s">
        <v>35</v>
      </c>
      <c r="F2801" s="0" t="n">
        <v>145.85</v>
      </c>
      <c r="G2801" s="0" t="n">
        <v>70.008</v>
      </c>
      <c r="H2801" s="0" t="n">
        <v>0</v>
      </c>
      <c r="I2801" s="7" t="n">
        <f aca="false">YEAR(B2801)</f>
        <v>2017</v>
      </c>
      <c r="J2801" s="0" t="str">
        <f aca="false">I2801&amp;"-Q"&amp;ROUNDUP(MONTH(B2801)/3,0)</f>
        <v>2017-Q4</v>
      </c>
    </row>
    <row r="2802" customFormat="false" ht="15" hidden="false" customHeight="false" outlineLevel="0" collapsed="false">
      <c r="A2802" s="0" t="s">
        <v>1462</v>
      </c>
      <c r="B2802" s="6" t="n">
        <v>42668</v>
      </c>
      <c r="C2802" s="7" t="s">
        <v>29</v>
      </c>
      <c r="D2802" s="7" t="s">
        <v>37</v>
      </c>
      <c r="E2802" s="7" t="s">
        <v>39</v>
      </c>
      <c r="F2802" s="0" t="n">
        <v>783.96</v>
      </c>
      <c r="G2802" s="0" t="n">
        <v>78.396</v>
      </c>
      <c r="H2802" s="0" t="n">
        <v>0.2</v>
      </c>
      <c r="I2802" s="7" t="n">
        <f aca="false">YEAR(B2802)</f>
        <v>2016</v>
      </c>
      <c r="J2802" s="0" t="str">
        <f aca="false">I2802&amp;"-Q"&amp;ROUNDUP(MONTH(B2802)/3,0)</f>
        <v>2016-Q4</v>
      </c>
    </row>
    <row r="2803" customFormat="false" ht="15" hidden="false" customHeight="false" outlineLevel="0" collapsed="false">
      <c r="A2803" s="0" t="s">
        <v>1463</v>
      </c>
      <c r="B2803" s="6" t="n">
        <v>42309</v>
      </c>
      <c r="C2803" s="7" t="s">
        <v>33</v>
      </c>
      <c r="D2803" s="7" t="s">
        <v>102</v>
      </c>
      <c r="E2803" s="7" t="s">
        <v>35</v>
      </c>
      <c r="F2803" s="0" t="n">
        <v>7.88</v>
      </c>
      <c r="G2803" s="0" t="n">
        <v>1.773</v>
      </c>
      <c r="H2803" s="0" t="n">
        <v>0.2</v>
      </c>
      <c r="I2803" s="7" t="n">
        <f aca="false">YEAR(B2803)</f>
        <v>2015</v>
      </c>
      <c r="J2803" s="0" t="str">
        <f aca="false">I2803&amp;"-Q"&amp;ROUNDUP(MONTH(B2803)/3,0)</f>
        <v>2015-Q4</v>
      </c>
    </row>
    <row r="2804" customFormat="false" ht="15" hidden="false" customHeight="false" outlineLevel="0" collapsed="false">
      <c r="A2804" s="0" t="s">
        <v>1464</v>
      </c>
      <c r="B2804" s="6" t="n">
        <v>43042</v>
      </c>
      <c r="C2804" s="7" t="s">
        <v>33</v>
      </c>
      <c r="D2804" s="7" t="s">
        <v>142</v>
      </c>
      <c r="E2804" s="7" t="s">
        <v>31</v>
      </c>
      <c r="F2804" s="0" t="n">
        <v>41.37</v>
      </c>
      <c r="G2804" s="0" t="n">
        <v>17.3754</v>
      </c>
      <c r="H2804" s="0" t="n">
        <v>0</v>
      </c>
      <c r="I2804" s="7" t="n">
        <f aca="false">YEAR(B2804)</f>
        <v>2017</v>
      </c>
      <c r="J2804" s="0" t="str">
        <f aca="false">I2804&amp;"-Q"&amp;ROUNDUP(MONTH(B2804)/3,0)</f>
        <v>2017-Q4</v>
      </c>
    </row>
    <row r="2805" customFormat="false" ht="15" hidden="false" customHeight="false" outlineLevel="0" collapsed="false">
      <c r="A2805" s="0" t="s">
        <v>1465</v>
      </c>
      <c r="B2805" s="6" t="n">
        <v>42136</v>
      </c>
      <c r="C2805" s="7" t="s">
        <v>33</v>
      </c>
      <c r="D2805" s="7" t="s">
        <v>34</v>
      </c>
      <c r="E2805" s="7" t="s">
        <v>35</v>
      </c>
      <c r="F2805" s="0" t="n">
        <v>12.84</v>
      </c>
      <c r="G2805" s="0" t="n">
        <v>5.778</v>
      </c>
      <c r="H2805" s="0" t="n">
        <v>0</v>
      </c>
      <c r="I2805" s="7" t="n">
        <f aca="false">YEAR(B2805)</f>
        <v>2015</v>
      </c>
      <c r="J2805" s="0" t="str">
        <f aca="false">I2805&amp;"-Q"&amp;ROUNDUP(MONTH(B2805)/3,0)</f>
        <v>2015-Q2</v>
      </c>
    </row>
    <row r="2806" customFormat="false" ht="15" hidden="false" customHeight="false" outlineLevel="0" collapsed="false">
      <c r="A2806" s="0" t="s">
        <v>1465</v>
      </c>
      <c r="B2806" s="6" t="n">
        <v>42136</v>
      </c>
      <c r="C2806" s="7" t="s">
        <v>33</v>
      </c>
      <c r="D2806" s="7" t="s">
        <v>34</v>
      </c>
      <c r="E2806" s="7" t="s">
        <v>35</v>
      </c>
      <c r="F2806" s="0" t="n">
        <v>25.68</v>
      </c>
      <c r="G2806" s="0" t="n">
        <v>11.556</v>
      </c>
      <c r="H2806" s="0" t="n">
        <v>0</v>
      </c>
      <c r="I2806" s="7" t="n">
        <f aca="false">YEAR(B2806)</f>
        <v>2015</v>
      </c>
      <c r="J2806" s="0" t="str">
        <f aca="false">I2806&amp;"-Q"&amp;ROUNDUP(MONTH(B2806)/3,0)</f>
        <v>2015-Q2</v>
      </c>
    </row>
    <row r="2807" customFormat="false" ht="15" hidden="false" customHeight="false" outlineLevel="0" collapsed="false">
      <c r="A2807" s="0" t="s">
        <v>1466</v>
      </c>
      <c r="B2807" s="6" t="n">
        <v>42254</v>
      </c>
      <c r="C2807" s="7" t="s">
        <v>45</v>
      </c>
      <c r="D2807" s="7" t="s">
        <v>46</v>
      </c>
      <c r="E2807" s="7" t="s">
        <v>31</v>
      </c>
      <c r="F2807" s="0" t="n">
        <v>47.516</v>
      </c>
      <c r="G2807" s="0" t="n">
        <v>-2.0364</v>
      </c>
      <c r="H2807" s="0" t="n">
        <v>0.3</v>
      </c>
      <c r="I2807" s="7" t="n">
        <f aca="false">YEAR(B2807)</f>
        <v>2015</v>
      </c>
      <c r="J2807" s="0" t="str">
        <f aca="false">I2807&amp;"-Q"&amp;ROUNDUP(MONTH(B2807)/3,0)</f>
        <v>2015-Q3</v>
      </c>
    </row>
    <row r="2808" customFormat="false" ht="15" hidden="false" customHeight="false" outlineLevel="0" collapsed="false">
      <c r="A2808" s="0" t="s">
        <v>1467</v>
      </c>
      <c r="B2808" s="6" t="n">
        <v>42210</v>
      </c>
      <c r="C2808" s="7" t="s">
        <v>33</v>
      </c>
      <c r="D2808" s="7" t="s">
        <v>43</v>
      </c>
      <c r="E2808" s="7" t="s">
        <v>35</v>
      </c>
      <c r="F2808" s="0" t="n">
        <v>9.42</v>
      </c>
      <c r="G2808" s="0" t="n">
        <v>0.471</v>
      </c>
      <c r="H2808" s="0" t="n">
        <v>0</v>
      </c>
      <c r="I2808" s="7" t="n">
        <f aca="false">YEAR(B2808)</f>
        <v>2015</v>
      </c>
      <c r="J2808" s="0" t="str">
        <f aca="false">I2808&amp;"-Q"&amp;ROUNDUP(MONTH(B2808)/3,0)</f>
        <v>2015-Q3</v>
      </c>
    </row>
    <row r="2809" customFormat="false" ht="15" hidden="false" customHeight="false" outlineLevel="0" collapsed="false">
      <c r="A2809" s="0" t="s">
        <v>1467</v>
      </c>
      <c r="B2809" s="6" t="n">
        <v>42210</v>
      </c>
      <c r="C2809" s="7" t="s">
        <v>33</v>
      </c>
      <c r="D2809" s="7" t="s">
        <v>43</v>
      </c>
      <c r="E2809" s="7" t="s">
        <v>35</v>
      </c>
      <c r="F2809" s="0" t="n">
        <v>12.96</v>
      </c>
      <c r="G2809" s="0" t="n">
        <v>6.2208</v>
      </c>
      <c r="H2809" s="0" t="n">
        <v>0</v>
      </c>
      <c r="I2809" s="7" t="n">
        <f aca="false">YEAR(B2809)</f>
        <v>2015</v>
      </c>
      <c r="J2809" s="0" t="str">
        <f aca="false">I2809&amp;"-Q"&amp;ROUNDUP(MONTH(B2809)/3,0)</f>
        <v>2015-Q3</v>
      </c>
    </row>
    <row r="2810" customFormat="false" ht="15" hidden="false" customHeight="false" outlineLevel="0" collapsed="false">
      <c r="A2810" s="0" t="s">
        <v>1467</v>
      </c>
      <c r="B2810" s="6" t="n">
        <v>42210</v>
      </c>
      <c r="C2810" s="7" t="s">
        <v>33</v>
      </c>
      <c r="D2810" s="7" t="s">
        <v>43</v>
      </c>
      <c r="E2810" s="7" t="s">
        <v>31</v>
      </c>
      <c r="F2810" s="0" t="n">
        <v>704.9</v>
      </c>
      <c r="G2810" s="0" t="n">
        <v>56.392</v>
      </c>
      <c r="H2810" s="0" t="n">
        <v>0</v>
      </c>
      <c r="I2810" s="7" t="n">
        <f aca="false">YEAR(B2810)</f>
        <v>2015</v>
      </c>
      <c r="J2810" s="0" t="str">
        <f aca="false">I2810&amp;"-Q"&amp;ROUNDUP(MONTH(B2810)/3,0)</f>
        <v>2015-Q3</v>
      </c>
    </row>
    <row r="2811" customFormat="false" ht="15" hidden="false" customHeight="false" outlineLevel="0" collapsed="false">
      <c r="A2811" s="0" t="s">
        <v>1467</v>
      </c>
      <c r="B2811" s="6" t="n">
        <v>42210</v>
      </c>
      <c r="C2811" s="7" t="s">
        <v>33</v>
      </c>
      <c r="D2811" s="7" t="s">
        <v>43</v>
      </c>
      <c r="E2811" s="7" t="s">
        <v>31</v>
      </c>
      <c r="F2811" s="0" t="n">
        <v>561.568</v>
      </c>
      <c r="G2811" s="0" t="n">
        <v>28.0784</v>
      </c>
      <c r="H2811" s="0" t="n">
        <v>0.2</v>
      </c>
      <c r="I2811" s="7" t="n">
        <f aca="false">YEAR(B2811)</f>
        <v>2015</v>
      </c>
      <c r="J2811" s="0" t="str">
        <f aca="false">I2811&amp;"-Q"&amp;ROUNDUP(MONTH(B2811)/3,0)</f>
        <v>2015-Q3</v>
      </c>
    </row>
    <row r="2812" customFormat="false" ht="15" hidden="false" customHeight="false" outlineLevel="0" collapsed="false">
      <c r="A2812" s="0" t="s">
        <v>1468</v>
      </c>
      <c r="B2812" s="6" t="n">
        <v>42324</v>
      </c>
      <c r="C2812" s="7" t="s">
        <v>45</v>
      </c>
      <c r="D2812" s="7" t="s">
        <v>48</v>
      </c>
      <c r="E2812" s="7" t="s">
        <v>35</v>
      </c>
      <c r="F2812" s="0" t="n">
        <v>179.82</v>
      </c>
      <c r="G2812" s="0" t="n">
        <v>84.5154</v>
      </c>
      <c r="H2812" s="0" t="n">
        <v>0</v>
      </c>
      <c r="I2812" s="7" t="n">
        <f aca="false">YEAR(B2812)</f>
        <v>2015</v>
      </c>
      <c r="J2812" s="0" t="str">
        <f aca="false">I2812&amp;"-Q"&amp;ROUNDUP(MONTH(B2812)/3,0)</f>
        <v>2015-Q4</v>
      </c>
    </row>
    <row r="2813" customFormat="false" ht="15" hidden="false" customHeight="false" outlineLevel="0" collapsed="false">
      <c r="A2813" s="0" t="s">
        <v>1468</v>
      </c>
      <c r="B2813" s="6" t="n">
        <v>42324</v>
      </c>
      <c r="C2813" s="7" t="s">
        <v>45</v>
      </c>
      <c r="D2813" s="7" t="s">
        <v>48</v>
      </c>
      <c r="E2813" s="7" t="s">
        <v>31</v>
      </c>
      <c r="F2813" s="0" t="n">
        <v>185.58</v>
      </c>
      <c r="G2813" s="0" t="n">
        <v>76.0878</v>
      </c>
      <c r="H2813" s="0" t="n">
        <v>0</v>
      </c>
      <c r="I2813" s="7" t="n">
        <f aca="false">YEAR(B2813)</f>
        <v>2015</v>
      </c>
      <c r="J2813" s="0" t="str">
        <f aca="false">I2813&amp;"-Q"&amp;ROUNDUP(MONTH(B2813)/3,0)</f>
        <v>2015-Q4</v>
      </c>
    </row>
    <row r="2814" customFormat="false" ht="15" hidden="false" customHeight="false" outlineLevel="0" collapsed="false">
      <c r="A2814" s="0" t="s">
        <v>1468</v>
      </c>
      <c r="B2814" s="6" t="n">
        <v>42324</v>
      </c>
      <c r="C2814" s="7" t="s">
        <v>45</v>
      </c>
      <c r="D2814" s="7" t="s">
        <v>48</v>
      </c>
      <c r="E2814" s="7" t="s">
        <v>31</v>
      </c>
      <c r="F2814" s="0" t="n">
        <v>214.11</v>
      </c>
      <c r="G2814" s="0" t="n">
        <v>36.3987</v>
      </c>
      <c r="H2814" s="0" t="n">
        <v>0</v>
      </c>
      <c r="I2814" s="7" t="n">
        <f aca="false">YEAR(B2814)</f>
        <v>2015</v>
      </c>
      <c r="J2814" s="0" t="str">
        <f aca="false">I2814&amp;"-Q"&amp;ROUNDUP(MONTH(B2814)/3,0)</f>
        <v>2015-Q4</v>
      </c>
    </row>
    <row r="2815" customFormat="false" ht="15" hidden="false" customHeight="false" outlineLevel="0" collapsed="false">
      <c r="A2815" s="0" t="s">
        <v>1468</v>
      </c>
      <c r="B2815" s="6" t="n">
        <v>42324</v>
      </c>
      <c r="C2815" s="7" t="s">
        <v>45</v>
      </c>
      <c r="D2815" s="7" t="s">
        <v>48</v>
      </c>
      <c r="E2815" s="7" t="s">
        <v>39</v>
      </c>
      <c r="F2815" s="0" t="n">
        <v>999.96</v>
      </c>
      <c r="G2815" s="0" t="n">
        <v>229.9908</v>
      </c>
      <c r="H2815" s="0" t="n">
        <v>0</v>
      </c>
      <c r="I2815" s="7" t="n">
        <f aca="false">YEAR(B2815)</f>
        <v>2015</v>
      </c>
      <c r="J2815" s="0" t="str">
        <f aca="false">I2815&amp;"-Q"&amp;ROUNDUP(MONTH(B2815)/3,0)</f>
        <v>2015-Q4</v>
      </c>
    </row>
    <row r="2816" customFormat="false" ht="15" hidden="false" customHeight="false" outlineLevel="0" collapsed="false">
      <c r="A2816" s="0" t="s">
        <v>1468</v>
      </c>
      <c r="B2816" s="6" t="n">
        <v>42324</v>
      </c>
      <c r="C2816" s="7" t="s">
        <v>45</v>
      </c>
      <c r="D2816" s="7" t="s">
        <v>48</v>
      </c>
      <c r="E2816" s="7" t="s">
        <v>31</v>
      </c>
      <c r="F2816" s="0" t="n">
        <v>653.55</v>
      </c>
      <c r="G2816" s="0" t="n">
        <v>111.1035</v>
      </c>
      <c r="H2816" s="0" t="n">
        <v>0</v>
      </c>
      <c r="I2816" s="7" t="n">
        <f aca="false">YEAR(B2816)</f>
        <v>2015</v>
      </c>
      <c r="J2816" s="0" t="str">
        <f aca="false">I2816&amp;"-Q"&amp;ROUNDUP(MONTH(B2816)/3,0)</f>
        <v>2015-Q4</v>
      </c>
    </row>
    <row r="2817" customFormat="false" ht="15" hidden="false" customHeight="false" outlineLevel="0" collapsed="false">
      <c r="A2817" s="0" t="s">
        <v>1469</v>
      </c>
      <c r="B2817" s="6" t="n">
        <v>42248</v>
      </c>
      <c r="C2817" s="7" t="s">
        <v>55</v>
      </c>
      <c r="D2817" s="7" t="s">
        <v>225</v>
      </c>
      <c r="E2817" s="7" t="s">
        <v>35</v>
      </c>
      <c r="F2817" s="0" t="n">
        <v>114.6</v>
      </c>
      <c r="G2817" s="0" t="n">
        <v>51.57</v>
      </c>
      <c r="H2817" s="0" t="n">
        <v>0</v>
      </c>
      <c r="I2817" s="7" t="n">
        <f aca="false">YEAR(B2817)</f>
        <v>2015</v>
      </c>
      <c r="J2817" s="0" t="str">
        <f aca="false">I2817&amp;"-Q"&amp;ROUNDUP(MONTH(B2817)/3,0)</f>
        <v>2015-Q3</v>
      </c>
    </row>
    <row r="2818" customFormat="false" ht="15" hidden="false" customHeight="false" outlineLevel="0" collapsed="false">
      <c r="A2818" s="0" t="s">
        <v>1469</v>
      </c>
      <c r="B2818" s="6" t="n">
        <v>42248</v>
      </c>
      <c r="C2818" s="7" t="s">
        <v>55</v>
      </c>
      <c r="D2818" s="7" t="s">
        <v>225</v>
      </c>
      <c r="E2818" s="7" t="s">
        <v>31</v>
      </c>
      <c r="F2818" s="0" t="n">
        <v>60.74</v>
      </c>
      <c r="G2818" s="0" t="n">
        <v>15.185</v>
      </c>
      <c r="H2818" s="0" t="n">
        <v>0</v>
      </c>
      <c r="I2818" s="7" t="n">
        <f aca="false">YEAR(B2818)</f>
        <v>2015</v>
      </c>
      <c r="J2818" s="0" t="str">
        <f aca="false">I2818&amp;"-Q"&amp;ROUNDUP(MONTH(B2818)/3,0)</f>
        <v>2015-Q3</v>
      </c>
    </row>
    <row r="2819" customFormat="false" ht="15" hidden="false" customHeight="false" outlineLevel="0" collapsed="false">
      <c r="A2819" s="0" t="s">
        <v>1469</v>
      </c>
      <c r="B2819" s="6" t="n">
        <v>42248</v>
      </c>
      <c r="C2819" s="7" t="s">
        <v>55</v>
      </c>
      <c r="D2819" s="7" t="s">
        <v>225</v>
      </c>
      <c r="E2819" s="7" t="s">
        <v>31</v>
      </c>
      <c r="F2819" s="0" t="n">
        <v>124.36</v>
      </c>
      <c r="G2819" s="0" t="n">
        <v>27.3592</v>
      </c>
      <c r="H2819" s="0" t="n">
        <v>0</v>
      </c>
      <c r="I2819" s="7" t="n">
        <f aca="false">YEAR(B2819)</f>
        <v>2015</v>
      </c>
      <c r="J2819" s="0" t="str">
        <f aca="false">I2819&amp;"-Q"&amp;ROUNDUP(MONTH(B2819)/3,0)</f>
        <v>2015-Q3</v>
      </c>
    </row>
    <row r="2820" customFormat="false" ht="15" hidden="false" customHeight="false" outlineLevel="0" collapsed="false">
      <c r="A2820" s="0" t="s">
        <v>1469</v>
      </c>
      <c r="B2820" s="6" t="n">
        <v>42248</v>
      </c>
      <c r="C2820" s="7" t="s">
        <v>55</v>
      </c>
      <c r="D2820" s="7" t="s">
        <v>225</v>
      </c>
      <c r="E2820" s="7" t="s">
        <v>35</v>
      </c>
      <c r="F2820" s="0" t="n">
        <v>1088.76</v>
      </c>
      <c r="G2820" s="0" t="n">
        <v>315.7404</v>
      </c>
      <c r="H2820" s="0" t="n">
        <v>0</v>
      </c>
      <c r="I2820" s="7" t="n">
        <f aca="false">YEAR(B2820)</f>
        <v>2015</v>
      </c>
      <c r="J2820" s="0" t="str">
        <f aca="false">I2820&amp;"-Q"&amp;ROUNDUP(MONTH(B2820)/3,0)</f>
        <v>2015-Q3</v>
      </c>
    </row>
    <row r="2821" customFormat="false" ht="15" hidden="false" customHeight="false" outlineLevel="0" collapsed="false">
      <c r="A2821" s="0" t="s">
        <v>1470</v>
      </c>
      <c r="B2821" s="6" t="n">
        <v>42495</v>
      </c>
      <c r="C2821" s="7" t="s">
        <v>33</v>
      </c>
      <c r="D2821" s="7" t="s">
        <v>34</v>
      </c>
      <c r="E2821" s="7" t="s">
        <v>35</v>
      </c>
      <c r="F2821" s="0" t="n">
        <v>6.72</v>
      </c>
      <c r="G2821" s="0" t="n">
        <v>2.352</v>
      </c>
      <c r="H2821" s="0" t="n">
        <v>0.2</v>
      </c>
      <c r="I2821" s="7" t="n">
        <f aca="false">YEAR(B2821)</f>
        <v>2016</v>
      </c>
      <c r="J2821" s="0" t="str">
        <f aca="false">I2821&amp;"-Q"&amp;ROUNDUP(MONTH(B2821)/3,0)</f>
        <v>2016-Q2</v>
      </c>
    </row>
    <row r="2822" customFormat="false" ht="15" hidden="false" customHeight="false" outlineLevel="0" collapsed="false">
      <c r="A2822" s="0" t="s">
        <v>1470</v>
      </c>
      <c r="B2822" s="6" t="n">
        <v>42495</v>
      </c>
      <c r="C2822" s="7" t="s">
        <v>33</v>
      </c>
      <c r="D2822" s="7" t="s">
        <v>34</v>
      </c>
      <c r="E2822" s="7" t="s">
        <v>31</v>
      </c>
      <c r="F2822" s="0" t="n">
        <v>298.776</v>
      </c>
      <c r="G2822" s="0" t="n">
        <v>7.4694</v>
      </c>
      <c r="H2822" s="0" t="n">
        <v>0.2</v>
      </c>
      <c r="I2822" s="7" t="n">
        <f aca="false">YEAR(B2822)</f>
        <v>2016</v>
      </c>
      <c r="J2822" s="0" t="str">
        <f aca="false">I2822&amp;"-Q"&amp;ROUNDUP(MONTH(B2822)/3,0)</f>
        <v>2016-Q2</v>
      </c>
    </row>
    <row r="2823" customFormat="false" ht="15" hidden="false" customHeight="false" outlineLevel="0" collapsed="false">
      <c r="A2823" s="0" t="s">
        <v>1471</v>
      </c>
      <c r="B2823" s="6" t="n">
        <v>42735</v>
      </c>
      <c r="C2823" s="7" t="s">
        <v>33</v>
      </c>
      <c r="D2823" s="7" t="s">
        <v>34</v>
      </c>
      <c r="E2823" s="7" t="s">
        <v>39</v>
      </c>
      <c r="F2823" s="0" t="n">
        <v>302.376</v>
      </c>
      <c r="G2823" s="0" t="n">
        <v>22.6782</v>
      </c>
      <c r="H2823" s="0" t="n">
        <v>0.2</v>
      </c>
      <c r="I2823" s="7" t="n">
        <f aca="false">YEAR(B2823)</f>
        <v>2016</v>
      </c>
      <c r="J2823" s="0" t="str">
        <f aca="false">I2823&amp;"-Q"&amp;ROUNDUP(MONTH(B2823)/3,0)</f>
        <v>2016-Q4</v>
      </c>
    </row>
    <row r="2824" customFormat="false" ht="15" hidden="false" customHeight="false" outlineLevel="0" collapsed="false">
      <c r="A2824" s="0" t="s">
        <v>1472</v>
      </c>
      <c r="B2824" s="6" t="n">
        <v>42996</v>
      </c>
      <c r="C2824" s="7" t="s">
        <v>45</v>
      </c>
      <c r="D2824" s="7" t="s">
        <v>46</v>
      </c>
      <c r="E2824" s="7" t="s">
        <v>35</v>
      </c>
      <c r="F2824" s="0" t="n">
        <v>8.928</v>
      </c>
      <c r="G2824" s="0" t="n">
        <v>0.558</v>
      </c>
      <c r="H2824" s="0" t="n">
        <v>0.2</v>
      </c>
      <c r="I2824" s="7" t="n">
        <f aca="false">YEAR(B2824)</f>
        <v>2017</v>
      </c>
      <c r="J2824" s="0" t="str">
        <f aca="false">I2824&amp;"-Q"&amp;ROUNDUP(MONTH(B2824)/3,0)</f>
        <v>2017-Q3</v>
      </c>
    </row>
    <row r="2825" customFormat="false" ht="15" hidden="false" customHeight="false" outlineLevel="0" collapsed="false">
      <c r="A2825" s="0" t="s">
        <v>1472</v>
      </c>
      <c r="B2825" s="6" t="n">
        <v>42996</v>
      </c>
      <c r="C2825" s="7" t="s">
        <v>45</v>
      </c>
      <c r="D2825" s="7" t="s">
        <v>46</v>
      </c>
      <c r="E2825" s="7" t="s">
        <v>35</v>
      </c>
      <c r="F2825" s="0" t="n">
        <v>47.584</v>
      </c>
      <c r="G2825" s="0" t="n">
        <v>-2.974</v>
      </c>
      <c r="H2825" s="0" t="n">
        <v>0.2</v>
      </c>
      <c r="I2825" s="7" t="n">
        <f aca="false">YEAR(B2825)</f>
        <v>2017</v>
      </c>
      <c r="J2825" s="0" t="str">
        <f aca="false">I2825&amp;"-Q"&amp;ROUNDUP(MONTH(B2825)/3,0)</f>
        <v>2017-Q3</v>
      </c>
    </row>
    <row r="2826" customFormat="false" ht="15" hidden="false" customHeight="false" outlineLevel="0" collapsed="false">
      <c r="A2826" s="0" t="s">
        <v>1473</v>
      </c>
      <c r="B2826" s="6" t="n">
        <v>41907</v>
      </c>
      <c r="C2826" s="7" t="s">
        <v>45</v>
      </c>
      <c r="D2826" s="7" t="s">
        <v>46</v>
      </c>
      <c r="E2826" s="7" t="s">
        <v>35</v>
      </c>
      <c r="F2826" s="0" t="n">
        <v>33.792</v>
      </c>
      <c r="G2826" s="0" t="n">
        <v>10.56</v>
      </c>
      <c r="H2826" s="0" t="n">
        <v>0.2</v>
      </c>
      <c r="I2826" s="7" t="n">
        <f aca="false">YEAR(B2826)</f>
        <v>2014</v>
      </c>
      <c r="J2826" s="0" t="str">
        <f aca="false">I2826&amp;"-Q"&amp;ROUNDUP(MONTH(B2826)/3,0)</f>
        <v>2014-Q3</v>
      </c>
    </row>
    <row r="2827" customFormat="false" ht="15" hidden="false" customHeight="false" outlineLevel="0" collapsed="false">
      <c r="A2827" s="0" t="s">
        <v>1473</v>
      </c>
      <c r="B2827" s="6" t="n">
        <v>41907</v>
      </c>
      <c r="C2827" s="7" t="s">
        <v>45</v>
      </c>
      <c r="D2827" s="7" t="s">
        <v>46</v>
      </c>
      <c r="E2827" s="7" t="s">
        <v>31</v>
      </c>
      <c r="F2827" s="0" t="n">
        <v>300.5328</v>
      </c>
      <c r="G2827" s="0" t="n">
        <v>-97.2312</v>
      </c>
      <c r="H2827" s="0" t="n">
        <v>0.32</v>
      </c>
      <c r="I2827" s="7" t="n">
        <f aca="false">YEAR(B2827)</f>
        <v>2014</v>
      </c>
      <c r="J2827" s="0" t="str">
        <f aca="false">I2827&amp;"-Q"&amp;ROUNDUP(MONTH(B2827)/3,0)</f>
        <v>2014-Q3</v>
      </c>
    </row>
    <row r="2828" customFormat="false" ht="15" hidden="false" customHeight="false" outlineLevel="0" collapsed="false">
      <c r="A2828" s="0" t="s">
        <v>1473</v>
      </c>
      <c r="B2828" s="6" t="n">
        <v>41907</v>
      </c>
      <c r="C2828" s="7" t="s">
        <v>45</v>
      </c>
      <c r="D2828" s="7" t="s">
        <v>46</v>
      </c>
      <c r="E2828" s="7" t="s">
        <v>35</v>
      </c>
      <c r="F2828" s="0" t="n">
        <v>2.724</v>
      </c>
      <c r="G2828" s="0" t="n">
        <v>-4.3584</v>
      </c>
      <c r="H2828" s="0" t="n">
        <v>0.8</v>
      </c>
      <c r="I2828" s="7" t="n">
        <f aca="false">YEAR(B2828)</f>
        <v>2014</v>
      </c>
      <c r="J2828" s="0" t="str">
        <f aca="false">I2828&amp;"-Q"&amp;ROUNDUP(MONTH(B2828)/3,0)</f>
        <v>2014-Q3</v>
      </c>
    </row>
    <row r="2829" customFormat="false" ht="15" hidden="false" customHeight="false" outlineLevel="0" collapsed="false">
      <c r="A2829" s="0" t="s">
        <v>1473</v>
      </c>
      <c r="B2829" s="6" t="n">
        <v>41907</v>
      </c>
      <c r="C2829" s="7" t="s">
        <v>45</v>
      </c>
      <c r="D2829" s="7" t="s">
        <v>46</v>
      </c>
      <c r="E2829" s="7" t="s">
        <v>35</v>
      </c>
      <c r="F2829" s="0" t="n">
        <v>3.264</v>
      </c>
      <c r="G2829" s="0" t="n">
        <v>1.1016</v>
      </c>
      <c r="H2829" s="0" t="n">
        <v>0.2</v>
      </c>
      <c r="I2829" s="7" t="n">
        <f aca="false">YEAR(B2829)</f>
        <v>2014</v>
      </c>
      <c r="J2829" s="0" t="str">
        <f aca="false">I2829&amp;"-Q"&amp;ROUNDUP(MONTH(B2829)/3,0)</f>
        <v>2014-Q3</v>
      </c>
    </row>
    <row r="2830" customFormat="false" ht="15" hidden="false" customHeight="false" outlineLevel="0" collapsed="false">
      <c r="A2830" s="0" t="s">
        <v>1474</v>
      </c>
      <c r="B2830" s="6" t="n">
        <v>42483</v>
      </c>
      <c r="C2830" s="7" t="s">
        <v>55</v>
      </c>
      <c r="D2830" s="7" t="s">
        <v>116</v>
      </c>
      <c r="E2830" s="7" t="s">
        <v>35</v>
      </c>
      <c r="F2830" s="0" t="n">
        <v>108.336</v>
      </c>
      <c r="G2830" s="0" t="n">
        <v>37.9176</v>
      </c>
      <c r="H2830" s="0" t="n">
        <v>0.2</v>
      </c>
      <c r="I2830" s="7" t="n">
        <f aca="false">YEAR(B2830)</f>
        <v>2016</v>
      </c>
      <c r="J2830" s="0" t="str">
        <f aca="false">I2830&amp;"-Q"&amp;ROUNDUP(MONTH(B2830)/3,0)</f>
        <v>2016-Q2</v>
      </c>
    </row>
    <row r="2831" customFormat="false" ht="15" hidden="false" customHeight="false" outlineLevel="0" collapsed="false">
      <c r="A2831" s="0" t="s">
        <v>1474</v>
      </c>
      <c r="B2831" s="6" t="n">
        <v>42483</v>
      </c>
      <c r="C2831" s="7" t="s">
        <v>55</v>
      </c>
      <c r="D2831" s="7" t="s">
        <v>116</v>
      </c>
      <c r="E2831" s="7" t="s">
        <v>35</v>
      </c>
      <c r="F2831" s="0" t="n">
        <v>55.92</v>
      </c>
      <c r="G2831" s="0" t="n">
        <v>6.291</v>
      </c>
      <c r="H2831" s="0" t="n">
        <v>0.2</v>
      </c>
      <c r="I2831" s="7" t="n">
        <f aca="false">YEAR(B2831)</f>
        <v>2016</v>
      </c>
      <c r="J2831" s="0" t="str">
        <f aca="false">I2831&amp;"-Q"&amp;ROUNDUP(MONTH(B2831)/3,0)</f>
        <v>2016-Q2</v>
      </c>
    </row>
    <row r="2832" customFormat="false" ht="15" hidden="false" customHeight="false" outlineLevel="0" collapsed="false">
      <c r="A2832" s="0" t="s">
        <v>1474</v>
      </c>
      <c r="B2832" s="6" t="n">
        <v>42483</v>
      </c>
      <c r="C2832" s="7" t="s">
        <v>55</v>
      </c>
      <c r="D2832" s="7" t="s">
        <v>116</v>
      </c>
      <c r="E2832" s="7" t="s">
        <v>35</v>
      </c>
      <c r="F2832" s="0" t="n">
        <v>78.304</v>
      </c>
      <c r="G2832" s="0" t="n">
        <v>29.364</v>
      </c>
      <c r="H2832" s="0" t="n">
        <v>0.2</v>
      </c>
      <c r="I2832" s="7" t="n">
        <f aca="false">YEAR(B2832)</f>
        <v>2016</v>
      </c>
      <c r="J2832" s="0" t="str">
        <f aca="false">I2832&amp;"-Q"&amp;ROUNDUP(MONTH(B2832)/3,0)</f>
        <v>2016-Q2</v>
      </c>
    </row>
    <row r="2833" customFormat="false" ht="15" hidden="false" customHeight="false" outlineLevel="0" collapsed="false">
      <c r="A2833" s="0" t="s">
        <v>1475</v>
      </c>
      <c r="B2833" s="6" t="n">
        <v>41944</v>
      </c>
      <c r="C2833" s="7" t="s">
        <v>33</v>
      </c>
      <c r="D2833" s="7" t="s">
        <v>102</v>
      </c>
      <c r="E2833" s="7" t="s">
        <v>35</v>
      </c>
      <c r="F2833" s="0" t="n">
        <v>443.92</v>
      </c>
      <c r="G2833" s="0" t="n">
        <v>-94.333</v>
      </c>
      <c r="H2833" s="0" t="n">
        <v>0.2</v>
      </c>
      <c r="I2833" s="7" t="n">
        <f aca="false">YEAR(B2833)</f>
        <v>2014</v>
      </c>
      <c r="J2833" s="0" t="str">
        <f aca="false">I2833&amp;"-Q"&amp;ROUNDUP(MONTH(B2833)/3,0)</f>
        <v>2014-Q4</v>
      </c>
    </row>
    <row r="2834" customFormat="false" ht="15" hidden="false" customHeight="false" outlineLevel="0" collapsed="false">
      <c r="A2834" s="0" t="s">
        <v>1475</v>
      </c>
      <c r="B2834" s="6" t="n">
        <v>41944</v>
      </c>
      <c r="C2834" s="7" t="s">
        <v>33</v>
      </c>
      <c r="D2834" s="7" t="s">
        <v>102</v>
      </c>
      <c r="E2834" s="7" t="s">
        <v>39</v>
      </c>
      <c r="F2834" s="0" t="n">
        <v>155.976</v>
      </c>
      <c r="G2834" s="0" t="n">
        <v>54.5916</v>
      </c>
      <c r="H2834" s="0" t="n">
        <v>0.2</v>
      </c>
      <c r="I2834" s="7" t="n">
        <f aca="false">YEAR(B2834)</f>
        <v>2014</v>
      </c>
      <c r="J2834" s="0" t="str">
        <f aca="false">I2834&amp;"-Q"&amp;ROUNDUP(MONTH(B2834)/3,0)</f>
        <v>2014-Q4</v>
      </c>
    </row>
    <row r="2835" customFormat="false" ht="15" hidden="false" customHeight="false" outlineLevel="0" collapsed="false">
      <c r="A2835" s="0" t="s">
        <v>1476</v>
      </c>
      <c r="B2835" s="6" t="n">
        <v>42761</v>
      </c>
      <c r="C2835" s="7" t="s">
        <v>29</v>
      </c>
      <c r="D2835" s="7" t="s">
        <v>91</v>
      </c>
      <c r="E2835" s="7" t="s">
        <v>35</v>
      </c>
      <c r="F2835" s="0" t="n">
        <v>15.47</v>
      </c>
      <c r="G2835" s="0" t="n">
        <v>4.1769</v>
      </c>
      <c r="H2835" s="0" t="n">
        <v>0</v>
      </c>
      <c r="I2835" s="7" t="n">
        <f aca="false">YEAR(B2835)</f>
        <v>2017</v>
      </c>
      <c r="J2835" s="0" t="str">
        <f aca="false">I2835&amp;"-Q"&amp;ROUNDUP(MONTH(B2835)/3,0)</f>
        <v>2017-Q1</v>
      </c>
    </row>
    <row r="2836" customFormat="false" ht="15" hidden="false" customHeight="false" outlineLevel="0" collapsed="false">
      <c r="A2836" s="0" t="s">
        <v>1476</v>
      </c>
      <c r="B2836" s="6" t="n">
        <v>42761</v>
      </c>
      <c r="C2836" s="7" t="s">
        <v>29</v>
      </c>
      <c r="D2836" s="7" t="s">
        <v>91</v>
      </c>
      <c r="E2836" s="7" t="s">
        <v>35</v>
      </c>
      <c r="F2836" s="0" t="n">
        <v>7.16</v>
      </c>
      <c r="G2836" s="0" t="n">
        <v>3.4368</v>
      </c>
      <c r="H2836" s="0" t="n">
        <v>0</v>
      </c>
      <c r="I2836" s="7" t="n">
        <f aca="false">YEAR(B2836)</f>
        <v>2017</v>
      </c>
      <c r="J2836" s="0" t="str">
        <f aca="false">I2836&amp;"-Q"&amp;ROUNDUP(MONTH(B2836)/3,0)</f>
        <v>2017-Q1</v>
      </c>
    </row>
    <row r="2837" customFormat="false" ht="15" hidden="false" customHeight="false" outlineLevel="0" collapsed="false">
      <c r="A2837" s="0" t="s">
        <v>1477</v>
      </c>
      <c r="B2837" s="6" t="n">
        <v>43050</v>
      </c>
      <c r="C2837" s="7" t="s">
        <v>33</v>
      </c>
      <c r="D2837" s="7" t="s">
        <v>34</v>
      </c>
      <c r="E2837" s="7" t="s">
        <v>35</v>
      </c>
      <c r="F2837" s="0" t="n">
        <v>10.89</v>
      </c>
      <c r="G2837" s="0" t="n">
        <v>2.8314</v>
      </c>
      <c r="H2837" s="0" t="n">
        <v>0</v>
      </c>
      <c r="I2837" s="7" t="n">
        <f aca="false">YEAR(B2837)</f>
        <v>2017</v>
      </c>
      <c r="J2837" s="0" t="str">
        <f aca="false">I2837&amp;"-Q"&amp;ROUNDUP(MONTH(B2837)/3,0)</f>
        <v>2017-Q4</v>
      </c>
    </row>
    <row r="2838" customFormat="false" ht="15" hidden="false" customHeight="false" outlineLevel="0" collapsed="false">
      <c r="A2838" s="0" t="s">
        <v>1477</v>
      </c>
      <c r="B2838" s="6" t="n">
        <v>43050</v>
      </c>
      <c r="C2838" s="7" t="s">
        <v>33</v>
      </c>
      <c r="D2838" s="7" t="s">
        <v>34</v>
      </c>
      <c r="E2838" s="7" t="s">
        <v>35</v>
      </c>
      <c r="F2838" s="0" t="n">
        <v>19.44</v>
      </c>
      <c r="G2838" s="0" t="n">
        <v>9.3312</v>
      </c>
      <c r="H2838" s="0" t="n">
        <v>0</v>
      </c>
      <c r="I2838" s="7" t="n">
        <f aca="false">YEAR(B2838)</f>
        <v>2017</v>
      </c>
      <c r="J2838" s="0" t="str">
        <f aca="false">I2838&amp;"-Q"&amp;ROUNDUP(MONTH(B2838)/3,0)</f>
        <v>2017-Q4</v>
      </c>
    </row>
    <row r="2839" customFormat="false" ht="15" hidden="false" customHeight="false" outlineLevel="0" collapsed="false">
      <c r="A2839" s="0" t="s">
        <v>1477</v>
      </c>
      <c r="B2839" s="6" t="n">
        <v>43050</v>
      </c>
      <c r="C2839" s="7" t="s">
        <v>33</v>
      </c>
      <c r="D2839" s="7" t="s">
        <v>34</v>
      </c>
      <c r="E2839" s="7" t="s">
        <v>35</v>
      </c>
      <c r="F2839" s="0" t="n">
        <v>121.6</v>
      </c>
      <c r="G2839" s="0" t="n">
        <v>39.52</v>
      </c>
      <c r="H2839" s="0" t="n">
        <v>0.2</v>
      </c>
      <c r="I2839" s="7" t="n">
        <f aca="false">YEAR(B2839)</f>
        <v>2017</v>
      </c>
      <c r="J2839" s="0" t="str">
        <f aca="false">I2839&amp;"-Q"&amp;ROUNDUP(MONTH(B2839)/3,0)</f>
        <v>2017-Q4</v>
      </c>
    </row>
    <row r="2840" customFormat="false" ht="15" hidden="false" customHeight="false" outlineLevel="0" collapsed="false">
      <c r="A2840" s="0" t="s">
        <v>1478</v>
      </c>
      <c r="B2840" s="6" t="n">
        <v>42530</v>
      </c>
      <c r="C2840" s="7" t="s">
        <v>29</v>
      </c>
      <c r="D2840" s="7" t="s">
        <v>37</v>
      </c>
      <c r="E2840" s="7" t="s">
        <v>39</v>
      </c>
      <c r="F2840" s="0" t="n">
        <v>695.7</v>
      </c>
      <c r="G2840" s="0" t="n">
        <v>-27.828</v>
      </c>
      <c r="H2840" s="0" t="n">
        <v>0.5</v>
      </c>
      <c r="I2840" s="7" t="n">
        <f aca="false">YEAR(B2840)</f>
        <v>2016</v>
      </c>
      <c r="J2840" s="0" t="str">
        <f aca="false">I2840&amp;"-Q"&amp;ROUNDUP(MONTH(B2840)/3,0)</f>
        <v>2016-Q2</v>
      </c>
    </row>
    <row r="2841" customFormat="false" ht="15" hidden="false" customHeight="false" outlineLevel="0" collapsed="false">
      <c r="A2841" s="0" t="s">
        <v>1479</v>
      </c>
      <c r="B2841" s="6" t="n">
        <v>42250</v>
      </c>
      <c r="C2841" s="7" t="s">
        <v>55</v>
      </c>
      <c r="D2841" s="7" t="s">
        <v>76</v>
      </c>
      <c r="E2841" s="7" t="s">
        <v>35</v>
      </c>
      <c r="F2841" s="0" t="n">
        <v>120.33</v>
      </c>
      <c r="G2841" s="0" t="n">
        <v>31.2858</v>
      </c>
      <c r="H2841" s="0" t="n">
        <v>0</v>
      </c>
      <c r="I2841" s="7" t="n">
        <f aca="false">YEAR(B2841)</f>
        <v>2015</v>
      </c>
      <c r="J2841" s="0" t="str">
        <f aca="false">I2841&amp;"-Q"&amp;ROUNDUP(MONTH(B2841)/3,0)</f>
        <v>2015-Q3</v>
      </c>
    </row>
    <row r="2842" customFormat="false" ht="15" hidden="false" customHeight="false" outlineLevel="0" collapsed="false">
      <c r="A2842" s="0" t="s">
        <v>1480</v>
      </c>
      <c r="B2842" s="6" t="n">
        <v>41712</v>
      </c>
      <c r="C2842" s="7" t="s">
        <v>29</v>
      </c>
      <c r="D2842" s="7" t="s">
        <v>83</v>
      </c>
      <c r="E2842" s="7" t="s">
        <v>31</v>
      </c>
      <c r="F2842" s="0" t="n">
        <v>1139.92</v>
      </c>
      <c r="G2842" s="0" t="n">
        <v>284.98</v>
      </c>
      <c r="H2842" s="0" t="n">
        <v>0</v>
      </c>
      <c r="I2842" s="7" t="n">
        <f aca="false">YEAR(B2842)</f>
        <v>2014</v>
      </c>
      <c r="J2842" s="0" t="str">
        <f aca="false">I2842&amp;"-Q"&amp;ROUNDUP(MONTH(B2842)/3,0)</f>
        <v>2014-Q1</v>
      </c>
    </row>
    <row r="2843" customFormat="false" ht="15" hidden="false" customHeight="false" outlineLevel="0" collapsed="false">
      <c r="A2843" s="0" t="s">
        <v>1481</v>
      </c>
      <c r="B2843" s="6" t="n">
        <v>42978</v>
      </c>
      <c r="C2843" s="7" t="s">
        <v>29</v>
      </c>
      <c r="D2843" s="7" t="s">
        <v>41</v>
      </c>
      <c r="E2843" s="7" t="s">
        <v>35</v>
      </c>
      <c r="F2843" s="0" t="n">
        <v>229.544</v>
      </c>
      <c r="G2843" s="0" t="n">
        <v>83.2097</v>
      </c>
      <c r="H2843" s="0" t="n">
        <v>0.2</v>
      </c>
      <c r="I2843" s="7" t="n">
        <f aca="false">YEAR(B2843)</f>
        <v>2017</v>
      </c>
      <c r="J2843" s="0" t="str">
        <f aca="false">I2843&amp;"-Q"&amp;ROUNDUP(MONTH(B2843)/3,0)</f>
        <v>2017-Q3</v>
      </c>
    </row>
    <row r="2844" customFormat="false" ht="15" hidden="false" customHeight="false" outlineLevel="0" collapsed="false">
      <c r="A2844" s="0" t="s">
        <v>1482</v>
      </c>
      <c r="B2844" s="6" t="n">
        <v>42817</v>
      </c>
      <c r="C2844" s="7" t="s">
        <v>45</v>
      </c>
      <c r="D2844" s="7" t="s">
        <v>46</v>
      </c>
      <c r="E2844" s="7" t="s">
        <v>35</v>
      </c>
      <c r="F2844" s="0" t="n">
        <v>143.728</v>
      </c>
      <c r="G2844" s="0" t="n">
        <v>-32.3388</v>
      </c>
      <c r="H2844" s="0" t="n">
        <v>0.2</v>
      </c>
      <c r="I2844" s="7" t="n">
        <f aca="false">YEAR(B2844)</f>
        <v>2017</v>
      </c>
      <c r="J2844" s="0" t="str">
        <f aca="false">I2844&amp;"-Q"&amp;ROUNDUP(MONTH(B2844)/3,0)</f>
        <v>2017-Q1</v>
      </c>
    </row>
    <row r="2845" customFormat="false" ht="15" hidden="false" customHeight="false" outlineLevel="0" collapsed="false">
      <c r="A2845" s="0" t="s">
        <v>1483</v>
      </c>
      <c r="B2845" s="6" t="n">
        <v>42873</v>
      </c>
      <c r="C2845" s="7" t="s">
        <v>55</v>
      </c>
      <c r="D2845" s="7" t="s">
        <v>56</v>
      </c>
      <c r="E2845" s="7" t="s">
        <v>39</v>
      </c>
      <c r="F2845" s="0" t="n">
        <v>36.048</v>
      </c>
      <c r="G2845" s="0" t="n">
        <v>-0.9012</v>
      </c>
      <c r="H2845" s="0" t="n">
        <v>0.2</v>
      </c>
      <c r="I2845" s="7" t="n">
        <f aca="false">YEAR(B2845)</f>
        <v>2017</v>
      </c>
      <c r="J2845" s="0" t="str">
        <f aca="false">I2845&amp;"-Q"&amp;ROUNDUP(MONTH(B2845)/3,0)</f>
        <v>2017-Q2</v>
      </c>
    </row>
    <row r="2846" customFormat="false" ht="15" hidden="false" customHeight="false" outlineLevel="0" collapsed="false">
      <c r="A2846" s="0" t="s">
        <v>1484</v>
      </c>
      <c r="B2846" s="6" t="n">
        <v>42731</v>
      </c>
      <c r="C2846" s="7" t="s">
        <v>45</v>
      </c>
      <c r="D2846" s="7" t="s">
        <v>64</v>
      </c>
      <c r="E2846" s="7" t="s">
        <v>31</v>
      </c>
      <c r="F2846" s="0" t="n">
        <v>845.488</v>
      </c>
      <c r="G2846" s="0" t="n">
        <v>-12.0784</v>
      </c>
      <c r="H2846" s="0" t="n">
        <v>0.3</v>
      </c>
      <c r="I2846" s="7" t="n">
        <f aca="false">YEAR(B2846)</f>
        <v>2016</v>
      </c>
      <c r="J2846" s="0" t="str">
        <f aca="false">I2846&amp;"-Q"&amp;ROUNDUP(MONTH(B2846)/3,0)</f>
        <v>2016-Q4</v>
      </c>
    </row>
    <row r="2847" customFormat="false" ht="15" hidden="false" customHeight="false" outlineLevel="0" collapsed="false">
      <c r="A2847" s="0" t="s">
        <v>1485</v>
      </c>
      <c r="B2847" s="6" t="n">
        <v>43056</v>
      </c>
      <c r="C2847" s="7" t="s">
        <v>55</v>
      </c>
      <c r="D2847" s="7" t="s">
        <v>225</v>
      </c>
      <c r="E2847" s="7" t="s">
        <v>35</v>
      </c>
      <c r="F2847" s="0" t="n">
        <v>50.94</v>
      </c>
      <c r="G2847" s="0" t="n">
        <v>14.2632</v>
      </c>
      <c r="H2847" s="0" t="n">
        <v>0</v>
      </c>
      <c r="I2847" s="7" t="n">
        <f aca="false">YEAR(B2847)</f>
        <v>2017</v>
      </c>
      <c r="J2847" s="0" t="str">
        <f aca="false">I2847&amp;"-Q"&amp;ROUNDUP(MONTH(B2847)/3,0)</f>
        <v>2017-Q4</v>
      </c>
    </row>
    <row r="2848" customFormat="false" ht="15" hidden="false" customHeight="false" outlineLevel="0" collapsed="false">
      <c r="A2848" s="0" t="s">
        <v>1486</v>
      </c>
      <c r="B2848" s="6" t="n">
        <v>42988</v>
      </c>
      <c r="C2848" s="7" t="s">
        <v>45</v>
      </c>
      <c r="D2848" s="7" t="s">
        <v>64</v>
      </c>
      <c r="E2848" s="7" t="s">
        <v>35</v>
      </c>
      <c r="F2848" s="0" t="n">
        <v>762.594</v>
      </c>
      <c r="G2848" s="0" t="n">
        <v>-1143.891</v>
      </c>
      <c r="H2848" s="0" t="n">
        <v>0.8</v>
      </c>
      <c r="I2848" s="7" t="n">
        <f aca="false">YEAR(B2848)</f>
        <v>2017</v>
      </c>
      <c r="J2848" s="0" t="str">
        <f aca="false">I2848&amp;"-Q"&amp;ROUNDUP(MONTH(B2848)/3,0)</f>
        <v>2017-Q3</v>
      </c>
    </row>
    <row r="2849" customFormat="false" ht="15" hidden="false" customHeight="false" outlineLevel="0" collapsed="false">
      <c r="A2849" s="0" t="s">
        <v>1487</v>
      </c>
      <c r="B2849" s="6" t="n">
        <v>42833</v>
      </c>
      <c r="C2849" s="7" t="s">
        <v>29</v>
      </c>
      <c r="D2849" s="7" t="s">
        <v>230</v>
      </c>
      <c r="E2849" s="7" t="s">
        <v>31</v>
      </c>
      <c r="F2849" s="0" t="n">
        <v>56.28</v>
      </c>
      <c r="G2849" s="0" t="n">
        <v>15.7584</v>
      </c>
      <c r="H2849" s="0" t="n">
        <v>0</v>
      </c>
      <c r="I2849" s="7" t="n">
        <f aca="false">YEAR(B2849)</f>
        <v>2017</v>
      </c>
      <c r="J2849" s="0" t="str">
        <f aca="false">I2849&amp;"-Q"&amp;ROUNDUP(MONTH(B2849)/3,0)</f>
        <v>2017-Q2</v>
      </c>
    </row>
    <row r="2850" customFormat="false" ht="15" hidden="false" customHeight="false" outlineLevel="0" collapsed="false">
      <c r="A2850" s="0" t="s">
        <v>1487</v>
      </c>
      <c r="B2850" s="6" t="n">
        <v>42833</v>
      </c>
      <c r="C2850" s="7" t="s">
        <v>29</v>
      </c>
      <c r="D2850" s="7" t="s">
        <v>230</v>
      </c>
      <c r="E2850" s="7" t="s">
        <v>35</v>
      </c>
      <c r="F2850" s="0" t="n">
        <v>2690.97</v>
      </c>
      <c r="G2850" s="0" t="n">
        <v>1264.7559</v>
      </c>
      <c r="H2850" s="0" t="n">
        <v>0</v>
      </c>
      <c r="I2850" s="7" t="n">
        <f aca="false">YEAR(B2850)</f>
        <v>2017</v>
      </c>
      <c r="J2850" s="0" t="str">
        <f aca="false">I2850&amp;"-Q"&amp;ROUNDUP(MONTH(B2850)/3,0)</f>
        <v>2017-Q2</v>
      </c>
    </row>
    <row r="2851" customFormat="false" ht="15" hidden="false" customHeight="false" outlineLevel="0" collapsed="false">
      <c r="A2851" s="0" t="s">
        <v>1488</v>
      </c>
      <c r="B2851" s="6" t="n">
        <v>42702</v>
      </c>
      <c r="C2851" s="7" t="s">
        <v>29</v>
      </c>
      <c r="D2851" s="7" t="s">
        <v>37</v>
      </c>
      <c r="E2851" s="7" t="s">
        <v>35</v>
      </c>
      <c r="F2851" s="0" t="n">
        <v>7.434</v>
      </c>
      <c r="G2851" s="0" t="n">
        <v>-5.6994</v>
      </c>
      <c r="H2851" s="0" t="n">
        <v>0.7</v>
      </c>
      <c r="I2851" s="7" t="n">
        <f aca="false">YEAR(B2851)</f>
        <v>2016</v>
      </c>
      <c r="J2851" s="0" t="str">
        <f aca="false">I2851&amp;"-Q"&amp;ROUNDUP(MONTH(B2851)/3,0)</f>
        <v>2016-Q4</v>
      </c>
    </row>
    <row r="2852" customFormat="false" ht="15" hidden="false" customHeight="false" outlineLevel="0" collapsed="false">
      <c r="A2852" s="0" t="s">
        <v>1489</v>
      </c>
      <c r="B2852" s="6" t="n">
        <v>42523</v>
      </c>
      <c r="C2852" s="7" t="s">
        <v>55</v>
      </c>
      <c r="D2852" s="7" t="s">
        <v>56</v>
      </c>
      <c r="E2852" s="7" t="s">
        <v>35</v>
      </c>
      <c r="F2852" s="0" t="n">
        <v>64.784</v>
      </c>
      <c r="G2852" s="0" t="n">
        <v>-12.9568</v>
      </c>
      <c r="H2852" s="0" t="n">
        <v>0.2</v>
      </c>
      <c r="I2852" s="7" t="n">
        <f aca="false">YEAR(B2852)</f>
        <v>2016</v>
      </c>
      <c r="J2852" s="0" t="str">
        <f aca="false">I2852&amp;"-Q"&amp;ROUNDUP(MONTH(B2852)/3,0)</f>
        <v>2016-Q2</v>
      </c>
    </row>
    <row r="2853" customFormat="false" ht="15" hidden="false" customHeight="false" outlineLevel="0" collapsed="false">
      <c r="A2853" s="0" t="s">
        <v>1490</v>
      </c>
      <c r="B2853" s="6" t="n">
        <v>43086</v>
      </c>
      <c r="C2853" s="7" t="s">
        <v>45</v>
      </c>
      <c r="D2853" s="7" t="s">
        <v>74</v>
      </c>
      <c r="E2853" s="7" t="s">
        <v>35</v>
      </c>
      <c r="F2853" s="0" t="n">
        <v>28.16</v>
      </c>
      <c r="G2853" s="0" t="n">
        <v>13.2352</v>
      </c>
      <c r="H2853" s="0" t="n">
        <v>0</v>
      </c>
      <c r="I2853" s="7" t="n">
        <f aca="false">YEAR(B2853)</f>
        <v>2017</v>
      </c>
      <c r="J2853" s="0" t="str">
        <f aca="false">I2853&amp;"-Q"&amp;ROUNDUP(MONTH(B2853)/3,0)</f>
        <v>2017-Q4</v>
      </c>
    </row>
    <row r="2854" customFormat="false" ht="15" hidden="false" customHeight="false" outlineLevel="0" collapsed="false">
      <c r="A2854" s="0" t="s">
        <v>1491</v>
      </c>
      <c r="B2854" s="6" t="n">
        <v>42448</v>
      </c>
      <c r="C2854" s="7" t="s">
        <v>55</v>
      </c>
      <c r="D2854" s="7" t="s">
        <v>76</v>
      </c>
      <c r="E2854" s="7" t="s">
        <v>31</v>
      </c>
      <c r="F2854" s="0" t="n">
        <v>14.98</v>
      </c>
      <c r="G2854" s="0" t="n">
        <v>6.8908</v>
      </c>
      <c r="H2854" s="0" t="n">
        <v>0</v>
      </c>
      <c r="I2854" s="7" t="n">
        <f aca="false">YEAR(B2854)</f>
        <v>2016</v>
      </c>
      <c r="J2854" s="0" t="str">
        <f aca="false">I2854&amp;"-Q"&amp;ROUNDUP(MONTH(B2854)/3,0)</f>
        <v>2016-Q1</v>
      </c>
    </row>
    <row r="2855" customFormat="false" ht="15" hidden="false" customHeight="false" outlineLevel="0" collapsed="false">
      <c r="A2855" s="0" t="s">
        <v>1491</v>
      </c>
      <c r="B2855" s="6" t="n">
        <v>42448</v>
      </c>
      <c r="C2855" s="7" t="s">
        <v>55</v>
      </c>
      <c r="D2855" s="7" t="s">
        <v>76</v>
      </c>
      <c r="E2855" s="7" t="s">
        <v>31</v>
      </c>
      <c r="F2855" s="0" t="n">
        <v>20.32</v>
      </c>
      <c r="G2855" s="0" t="n">
        <v>6.9088</v>
      </c>
      <c r="H2855" s="0" t="n">
        <v>0</v>
      </c>
      <c r="I2855" s="7" t="n">
        <f aca="false">YEAR(B2855)</f>
        <v>2016</v>
      </c>
      <c r="J2855" s="0" t="str">
        <f aca="false">I2855&amp;"-Q"&amp;ROUNDUP(MONTH(B2855)/3,0)</f>
        <v>2016-Q1</v>
      </c>
    </row>
    <row r="2856" customFormat="false" ht="15" hidden="false" customHeight="false" outlineLevel="0" collapsed="false">
      <c r="A2856" s="0" t="s">
        <v>1492</v>
      </c>
      <c r="B2856" s="6" t="n">
        <v>42967</v>
      </c>
      <c r="C2856" s="7" t="s">
        <v>55</v>
      </c>
      <c r="D2856" s="7" t="s">
        <v>225</v>
      </c>
      <c r="E2856" s="7" t="s">
        <v>35</v>
      </c>
      <c r="F2856" s="0" t="n">
        <v>40.29</v>
      </c>
      <c r="G2856" s="0" t="n">
        <v>10.4754</v>
      </c>
      <c r="H2856" s="0" t="n">
        <v>0</v>
      </c>
      <c r="I2856" s="7" t="n">
        <f aca="false">YEAR(B2856)</f>
        <v>2017</v>
      </c>
      <c r="J2856" s="0" t="str">
        <f aca="false">I2856&amp;"-Q"&amp;ROUNDUP(MONTH(B2856)/3,0)</f>
        <v>2017-Q3</v>
      </c>
    </row>
    <row r="2857" customFormat="false" ht="15" hidden="false" customHeight="false" outlineLevel="0" collapsed="false">
      <c r="A2857" s="0" t="s">
        <v>1493</v>
      </c>
      <c r="B2857" s="6" t="n">
        <v>42941</v>
      </c>
      <c r="C2857" s="7" t="s">
        <v>45</v>
      </c>
      <c r="D2857" s="7" t="s">
        <v>1218</v>
      </c>
      <c r="E2857" s="7" t="s">
        <v>35</v>
      </c>
      <c r="F2857" s="0" t="n">
        <v>20.23</v>
      </c>
      <c r="G2857" s="0" t="n">
        <v>9.5081</v>
      </c>
      <c r="H2857" s="0" t="n">
        <v>0</v>
      </c>
      <c r="I2857" s="7" t="n">
        <f aca="false">YEAR(B2857)</f>
        <v>2017</v>
      </c>
      <c r="J2857" s="0" t="str">
        <f aca="false">I2857&amp;"-Q"&amp;ROUNDUP(MONTH(B2857)/3,0)</f>
        <v>2017-Q3</v>
      </c>
    </row>
    <row r="2858" customFormat="false" ht="15" hidden="false" customHeight="false" outlineLevel="0" collapsed="false">
      <c r="A2858" s="0" t="s">
        <v>1494</v>
      </c>
      <c r="B2858" s="6" t="n">
        <v>42608</v>
      </c>
      <c r="C2858" s="7" t="s">
        <v>33</v>
      </c>
      <c r="D2858" s="7" t="s">
        <v>34</v>
      </c>
      <c r="E2858" s="7" t="s">
        <v>31</v>
      </c>
      <c r="F2858" s="0" t="n">
        <v>1603.136</v>
      </c>
      <c r="G2858" s="0" t="n">
        <v>100.196</v>
      </c>
      <c r="H2858" s="0" t="n">
        <v>0.2</v>
      </c>
      <c r="I2858" s="7" t="n">
        <f aca="false">YEAR(B2858)</f>
        <v>2016</v>
      </c>
      <c r="J2858" s="0" t="str">
        <f aca="false">I2858&amp;"-Q"&amp;ROUNDUP(MONTH(B2858)/3,0)</f>
        <v>2016-Q3</v>
      </c>
    </row>
    <row r="2859" customFormat="false" ht="15" hidden="false" customHeight="false" outlineLevel="0" collapsed="false">
      <c r="A2859" s="0" t="s">
        <v>1495</v>
      </c>
      <c r="B2859" s="6" t="n">
        <v>42597</v>
      </c>
      <c r="C2859" s="7" t="s">
        <v>29</v>
      </c>
      <c r="D2859" s="7" t="s">
        <v>41</v>
      </c>
      <c r="E2859" s="7" t="s">
        <v>31</v>
      </c>
      <c r="F2859" s="0" t="n">
        <v>225.296</v>
      </c>
      <c r="G2859" s="0" t="n">
        <v>22.5296</v>
      </c>
      <c r="H2859" s="0" t="n">
        <v>0.2</v>
      </c>
      <c r="I2859" s="7" t="n">
        <f aca="false">YEAR(B2859)</f>
        <v>2016</v>
      </c>
      <c r="J2859" s="0" t="str">
        <f aca="false">I2859&amp;"-Q"&amp;ROUNDUP(MONTH(B2859)/3,0)</f>
        <v>2016-Q3</v>
      </c>
    </row>
    <row r="2860" customFormat="false" ht="15" hidden="false" customHeight="false" outlineLevel="0" collapsed="false">
      <c r="A2860" s="0" t="s">
        <v>1496</v>
      </c>
      <c r="B2860" s="6" t="n">
        <v>42874</v>
      </c>
      <c r="C2860" s="7" t="s">
        <v>29</v>
      </c>
      <c r="D2860" s="7" t="s">
        <v>230</v>
      </c>
      <c r="E2860" s="7" t="s">
        <v>39</v>
      </c>
      <c r="F2860" s="0" t="n">
        <v>67.8</v>
      </c>
      <c r="G2860" s="0" t="n">
        <v>4.068</v>
      </c>
      <c r="H2860" s="0" t="n">
        <v>0</v>
      </c>
      <c r="I2860" s="7" t="n">
        <f aca="false">YEAR(B2860)</f>
        <v>2017</v>
      </c>
      <c r="J2860" s="0" t="str">
        <f aca="false">I2860&amp;"-Q"&amp;ROUNDUP(MONTH(B2860)/3,0)</f>
        <v>2017-Q2</v>
      </c>
    </row>
    <row r="2861" customFormat="false" ht="15" hidden="false" customHeight="false" outlineLevel="0" collapsed="false">
      <c r="A2861" s="0" t="s">
        <v>1496</v>
      </c>
      <c r="B2861" s="6" t="n">
        <v>42874</v>
      </c>
      <c r="C2861" s="7" t="s">
        <v>29</v>
      </c>
      <c r="D2861" s="7" t="s">
        <v>230</v>
      </c>
      <c r="E2861" s="7" t="s">
        <v>39</v>
      </c>
      <c r="F2861" s="0" t="n">
        <v>377.97</v>
      </c>
      <c r="G2861" s="0" t="n">
        <v>98.2722</v>
      </c>
      <c r="H2861" s="0" t="n">
        <v>0</v>
      </c>
      <c r="I2861" s="7" t="n">
        <f aca="false">YEAR(B2861)</f>
        <v>2017</v>
      </c>
      <c r="J2861" s="0" t="str">
        <f aca="false">I2861&amp;"-Q"&amp;ROUNDUP(MONTH(B2861)/3,0)</f>
        <v>2017-Q2</v>
      </c>
    </row>
    <row r="2862" customFormat="false" ht="15" hidden="false" customHeight="false" outlineLevel="0" collapsed="false">
      <c r="A2862" s="0" t="s">
        <v>1496</v>
      </c>
      <c r="B2862" s="6" t="n">
        <v>42874</v>
      </c>
      <c r="C2862" s="7" t="s">
        <v>29</v>
      </c>
      <c r="D2862" s="7" t="s">
        <v>230</v>
      </c>
      <c r="E2862" s="7" t="s">
        <v>31</v>
      </c>
      <c r="F2862" s="0" t="n">
        <v>1628.82</v>
      </c>
      <c r="G2862" s="0" t="n">
        <v>374.6286</v>
      </c>
      <c r="H2862" s="0" t="n">
        <v>0</v>
      </c>
      <c r="I2862" s="7" t="n">
        <f aca="false">YEAR(B2862)</f>
        <v>2017</v>
      </c>
      <c r="J2862" s="0" t="str">
        <f aca="false">I2862&amp;"-Q"&amp;ROUNDUP(MONTH(B2862)/3,0)</f>
        <v>2017-Q2</v>
      </c>
    </row>
    <row r="2863" customFormat="false" ht="15" hidden="false" customHeight="false" outlineLevel="0" collapsed="false">
      <c r="A2863" s="0" t="s">
        <v>1496</v>
      </c>
      <c r="B2863" s="6" t="n">
        <v>42874</v>
      </c>
      <c r="C2863" s="7" t="s">
        <v>29</v>
      </c>
      <c r="D2863" s="7" t="s">
        <v>230</v>
      </c>
      <c r="E2863" s="7" t="s">
        <v>35</v>
      </c>
      <c r="F2863" s="0" t="n">
        <v>286.93</v>
      </c>
      <c r="G2863" s="0" t="n">
        <v>140.5957</v>
      </c>
      <c r="H2863" s="0" t="n">
        <v>0</v>
      </c>
      <c r="I2863" s="7" t="n">
        <f aca="false">YEAR(B2863)</f>
        <v>2017</v>
      </c>
      <c r="J2863" s="0" t="str">
        <f aca="false">I2863&amp;"-Q"&amp;ROUNDUP(MONTH(B2863)/3,0)</f>
        <v>2017-Q2</v>
      </c>
    </row>
    <row r="2864" customFormat="false" ht="15" hidden="false" customHeight="false" outlineLevel="0" collapsed="false">
      <c r="A2864" s="0" t="s">
        <v>1497</v>
      </c>
      <c r="B2864" s="6" t="n">
        <v>42959</v>
      </c>
      <c r="C2864" s="7" t="s">
        <v>29</v>
      </c>
      <c r="D2864" s="7" t="s">
        <v>37</v>
      </c>
      <c r="E2864" s="7" t="s">
        <v>35</v>
      </c>
      <c r="F2864" s="0" t="n">
        <v>20.736</v>
      </c>
      <c r="G2864" s="0" t="n">
        <v>7.2576</v>
      </c>
      <c r="H2864" s="0" t="n">
        <v>0.2</v>
      </c>
      <c r="I2864" s="7" t="n">
        <f aca="false">YEAR(B2864)</f>
        <v>2017</v>
      </c>
      <c r="J2864" s="0" t="str">
        <f aca="false">I2864&amp;"-Q"&amp;ROUNDUP(MONTH(B2864)/3,0)</f>
        <v>2017-Q3</v>
      </c>
    </row>
    <row r="2865" customFormat="false" ht="15" hidden="false" customHeight="false" outlineLevel="0" collapsed="false">
      <c r="A2865" s="0" t="s">
        <v>1498</v>
      </c>
      <c r="B2865" s="6" t="n">
        <v>42960</v>
      </c>
      <c r="C2865" s="7" t="s">
        <v>33</v>
      </c>
      <c r="D2865" s="7" t="s">
        <v>34</v>
      </c>
      <c r="E2865" s="7" t="s">
        <v>35</v>
      </c>
      <c r="F2865" s="0" t="n">
        <v>31.44</v>
      </c>
      <c r="G2865" s="0" t="n">
        <v>8.4888</v>
      </c>
      <c r="H2865" s="0" t="n">
        <v>0</v>
      </c>
      <c r="I2865" s="7" t="n">
        <f aca="false">YEAR(B2865)</f>
        <v>2017</v>
      </c>
      <c r="J2865" s="0" t="str">
        <f aca="false">I2865&amp;"-Q"&amp;ROUNDUP(MONTH(B2865)/3,0)</f>
        <v>2017-Q3</v>
      </c>
    </row>
    <row r="2866" customFormat="false" ht="15" hidden="false" customHeight="false" outlineLevel="0" collapsed="false">
      <c r="A2866" s="0" t="s">
        <v>1498</v>
      </c>
      <c r="B2866" s="6" t="n">
        <v>42960</v>
      </c>
      <c r="C2866" s="7" t="s">
        <v>33</v>
      </c>
      <c r="D2866" s="7" t="s">
        <v>34</v>
      </c>
      <c r="E2866" s="7" t="s">
        <v>35</v>
      </c>
      <c r="F2866" s="0" t="n">
        <v>83.79</v>
      </c>
      <c r="G2866" s="0" t="n">
        <v>22.6233</v>
      </c>
      <c r="H2866" s="0" t="n">
        <v>0</v>
      </c>
      <c r="I2866" s="7" t="n">
        <f aca="false">YEAR(B2866)</f>
        <v>2017</v>
      </c>
      <c r="J2866" s="0" t="str">
        <f aca="false">I2866&amp;"-Q"&amp;ROUNDUP(MONTH(B2866)/3,0)</f>
        <v>2017-Q3</v>
      </c>
    </row>
    <row r="2867" customFormat="false" ht="15" hidden="false" customHeight="false" outlineLevel="0" collapsed="false">
      <c r="A2867" s="0" t="s">
        <v>1498</v>
      </c>
      <c r="B2867" s="6" t="n">
        <v>42960</v>
      </c>
      <c r="C2867" s="7" t="s">
        <v>33</v>
      </c>
      <c r="D2867" s="7" t="s">
        <v>34</v>
      </c>
      <c r="E2867" s="7" t="s">
        <v>35</v>
      </c>
      <c r="F2867" s="0" t="n">
        <v>59.52</v>
      </c>
      <c r="G2867" s="0" t="n">
        <v>15.4752</v>
      </c>
      <c r="H2867" s="0" t="n">
        <v>0</v>
      </c>
      <c r="I2867" s="7" t="n">
        <f aca="false">YEAR(B2867)</f>
        <v>2017</v>
      </c>
      <c r="J2867" s="0" t="str">
        <f aca="false">I2867&amp;"-Q"&amp;ROUNDUP(MONTH(B2867)/3,0)</f>
        <v>2017-Q3</v>
      </c>
    </row>
    <row r="2868" customFormat="false" ht="15" hidden="false" customHeight="false" outlineLevel="0" collapsed="false">
      <c r="A2868" s="0" t="s">
        <v>1498</v>
      </c>
      <c r="B2868" s="6" t="n">
        <v>42960</v>
      </c>
      <c r="C2868" s="7" t="s">
        <v>33</v>
      </c>
      <c r="D2868" s="7" t="s">
        <v>34</v>
      </c>
      <c r="E2868" s="7" t="s">
        <v>35</v>
      </c>
      <c r="F2868" s="0" t="n">
        <v>31.92</v>
      </c>
      <c r="G2868" s="0" t="n">
        <v>9.2568</v>
      </c>
      <c r="H2868" s="0" t="n">
        <v>0</v>
      </c>
      <c r="I2868" s="7" t="n">
        <f aca="false">YEAR(B2868)</f>
        <v>2017</v>
      </c>
      <c r="J2868" s="0" t="str">
        <f aca="false">I2868&amp;"-Q"&amp;ROUNDUP(MONTH(B2868)/3,0)</f>
        <v>2017-Q3</v>
      </c>
    </row>
    <row r="2869" customFormat="false" ht="15" hidden="false" customHeight="false" outlineLevel="0" collapsed="false">
      <c r="A2869" s="0" t="s">
        <v>1499</v>
      </c>
      <c r="B2869" s="6" t="n">
        <v>42684</v>
      </c>
      <c r="C2869" s="7" t="s">
        <v>55</v>
      </c>
      <c r="D2869" s="7" t="s">
        <v>116</v>
      </c>
      <c r="E2869" s="7" t="s">
        <v>35</v>
      </c>
      <c r="F2869" s="0" t="n">
        <v>14.72</v>
      </c>
      <c r="G2869" s="0" t="n">
        <v>-3.312</v>
      </c>
      <c r="H2869" s="0" t="n">
        <v>0.2</v>
      </c>
      <c r="I2869" s="7" t="n">
        <f aca="false">YEAR(B2869)</f>
        <v>2016</v>
      </c>
      <c r="J2869" s="0" t="str">
        <f aca="false">I2869&amp;"-Q"&amp;ROUNDUP(MONTH(B2869)/3,0)</f>
        <v>2016-Q4</v>
      </c>
    </row>
    <row r="2870" customFormat="false" ht="15" hidden="false" customHeight="false" outlineLevel="0" collapsed="false">
      <c r="A2870" s="0" t="s">
        <v>1499</v>
      </c>
      <c r="B2870" s="6" t="n">
        <v>42684</v>
      </c>
      <c r="C2870" s="7" t="s">
        <v>55</v>
      </c>
      <c r="D2870" s="7" t="s">
        <v>116</v>
      </c>
      <c r="E2870" s="7" t="s">
        <v>35</v>
      </c>
      <c r="F2870" s="0" t="n">
        <v>38.976</v>
      </c>
      <c r="G2870" s="0" t="n">
        <v>-2.436</v>
      </c>
      <c r="H2870" s="0" t="n">
        <v>0.2</v>
      </c>
      <c r="I2870" s="7" t="n">
        <f aca="false">YEAR(B2870)</f>
        <v>2016</v>
      </c>
      <c r="J2870" s="0" t="str">
        <f aca="false">I2870&amp;"-Q"&amp;ROUNDUP(MONTH(B2870)/3,0)</f>
        <v>2016-Q4</v>
      </c>
    </row>
    <row r="2871" customFormat="false" ht="15" hidden="false" customHeight="false" outlineLevel="0" collapsed="false">
      <c r="A2871" s="0" t="s">
        <v>1500</v>
      </c>
      <c r="B2871" s="6" t="n">
        <v>42898</v>
      </c>
      <c r="C2871" s="7" t="s">
        <v>29</v>
      </c>
      <c r="D2871" s="7" t="s">
        <v>37</v>
      </c>
      <c r="E2871" s="7" t="s">
        <v>31</v>
      </c>
      <c r="F2871" s="0" t="n">
        <v>17.088</v>
      </c>
      <c r="G2871" s="0" t="n">
        <v>1.068</v>
      </c>
      <c r="H2871" s="0" t="n">
        <v>0.2</v>
      </c>
      <c r="I2871" s="7" t="n">
        <f aca="false">YEAR(B2871)</f>
        <v>2017</v>
      </c>
      <c r="J2871" s="0" t="str">
        <f aca="false">I2871&amp;"-Q"&amp;ROUNDUP(MONTH(B2871)/3,0)</f>
        <v>2017-Q2</v>
      </c>
    </row>
    <row r="2872" customFormat="false" ht="15" hidden="false" customHeight="false" outlineLevel="0" collapsed="false">
      <c r="A2872" s="0" t="s">
        <v>1501</v>
      </c>
      <c r="B2872" s="6" t="n">
        <v>41720</v>
      </c>
      <c r="C2872" s="7" t="s">
        <v>33</v>
      </c>
      <c r="D2872" s="7" t="s">
        <v>81</v>
      </c>
      <c r="E2872" s="7" t="s">
        <v>35</v>
      </c>
      <c r="F2872" s="0" t="n">
        <v>74.352</v>
      </c>
      <c r="G2872" s="0" t="n">
        <v>23.235</v>
      </c>
      <c r="H2872" s="0" t="n">
        <v>0.2</v>
      </c>
      <c r="I2872" s="7" t="n">
        <f aca="false">YEAR(B2872)</f>
        <v>2014</v>
      </c>
      <c r="J2872" s="0" t="str">
        <f aca="false">I2872&amp;"-Q"&amp;ROUNDUP(MONTH(B2872)/3,0)</f>
        <v>2014-Q1</v>
      </c>
    </row>
    <row r="2873" customFormat="false" ht="15" hidden="false" customHeight="false" outlineLevel="0" collapsed="false">
      <c r="A2873" s="0" t="s">
        <v>1501</v>
      </c>
      <c r="B2873" s="6" t="n">
        <v>41720</v>
      </c>
      <c r="C2873" s="7" t="s">
        <v>33</v>
      </c>
      <c r="D2873" s="7" t="s">
        <v>81</v>
      </c>
      <c r="E2873" s="7" t="s">
        <v>31</v>
      </c>
      <c r="F2873" s="0" t="n">
        <v>314.352</v>
      </c>
      <c r="G2873" s="0" t="n">
        <v>-35.3646</v>
      </c>
      <c r="H2873" s="0" t="n">
        <v>0.2</v>
      </c>
      <c r="I2873" s="7" t="n">
        <f aca="false">YEAR(B2873)</f>
        <v>2014</v>
      </c>
      <c r="J2873" s="0" t="str">
        <f aca="false">I2873&amp;"-Q"&amp;ROUNDUP(MONTH(B2873)/3,0)</f>
        <v>2014-Q1</v>
      </c>
    </row>
    <row r="2874" customFormat="false" ht="15" hidden="false" customHeight="false" outlineLevel="0" collapsed="false">
      <c r="A2874" s="0" t="s">
        <v>1502</v>
      </c>
      <c r="B2874" s="6" t="n">
        <v>42901</v>
      </c>
      <c r="C2874" s="7" t="s">
        <v>33</v>
      </c>
      <c r="D2874" s="7" t="s">
        <v>34</v>
      </c>
      <c r="E2874" s="7" t="s">
        <v>35</v>
      </c>
      <c r="F2874" s="0" t="n">
        <v>4.26</v>
      </c>
      <c r="G2874" s="0" t="n">
        <v>1.7466</v>
      </c>
      <c r="H2874" s="0" t="n">
        <v>0</v>
      </c>
      <c r="I2874" s="7" t="n">
        <f aca="false">YEAR(B2874)</f>
        <v>2017</v>
      </c>
      <c r="J2874" s="0" t="str">
        <f aca="false">I2874&amp;"-Q"&amp;ROUNDUP(MONTH(B2874)/3,0)</f>
        <v>2017-Q2</v>
      </c>
    </row>
    <row r="2875" customFormat="false" ht="15" hidden="false" customHeight="false" outlineLevel="0" collapsed="false">
      <c r="A2875" s="0" t="s">
        <v>1503</v>
      </c>
      <c r="B2875" s="6" t="n">
        <v>43055</v>
      </c>
      <c r="C2875" s="7" t="s">
        <v>33</v>
      </c>
      <c r="D2875" s="7" t="s">
        <v>34</v>
      </c>
      <c r="E2875" s="7" t="s">
        <v>35</v>
      </c>
      <c r="F2875" s="0" t="n">
        <v>811.28</v>
      </c>
      <c r="G2875" s="0" t="n">
        <v>24.3384</v>
      </c>
      <c r="H2875" s="0" t="n">
        <v>0</v>
      </c>
      <c r="I2875" s="7" t="n">
        <f aca="false">YEAR(B2875)</f>
        <v>2017</v>
      </c>
      <c r="J2875" s="0" t="str">
        <f aca="false">I2875&amp;"-Q"&amp;ROUNDUP(MONTH(B2875)/3,0)</f>
        <v>2017-Q4</v>
      </c>
    </row>
    <row r="2876" customFormat="false" ht="15" hidden="false" customHeight="false" outlineLevel="0" collapsed="false">
      <c r="A2876" s="0" t="s">
        <v>1504</v>
      </c>
      <c r="B2876" s="6" t="n">
        <v>43098</v>
      </c>
      <c r="C2876" s="7" t="s">
        <v>55</v>
      </c>
      <c r="D2876" s="7" t="s">
        <v>76</v>
      </c>
      <c r="E2876" s="7" t="s">
        <v>35</v>
      </c>
      <c r="F2876" s="0" t="n">
        <v>6.03</v>
      </c>
      <c r="G2876" s="0" t="n">
        <v>2.9547</v>
      </c>
      <c r="H2876" s="0" t="n">
        <v>0</v>
      </c>
      <c r="I2876" s="7" t="n">
        <f aca="false">YEAR(B2876)</f>
        <v>2017</v>
      </c>
      <c r="J2876" s="0" t="str">
        <f aca="false">I2876&amp;"-Q"&amp;ROUNDUP(MONTH(B2876)/3,0)</f>
        <v>2017-Q4</v>
      </c>
    </row>
    <row r="2877" customFormat="false" ht="15" hidden="false" customHeight="false" outlineLevel="0" collapsed="false">
      <c r="A2877" s="0" t="s">
        <v>1505</v>
      </c>
      <c r="B2877" s="6" t="n">
        <v>42390</v>
      </c>
      <c r="C2877" s="7" t="s">
        <v>33</v>
      </c>
      <c r="D2877" s="7" t="s">
        <v>34</v>
      </c>
      <c r="E2877" s="7" t="s">
        <v>31</v>
      </c>
      <c r="F2877" s="0" t="n">
        <v>153.568</v>
      </c>
      <c r="G2877" s="0" t="n">
        <v>-5.7588</v>
      </c>
      <c r="H2877" s="0" t="n">
        <v>0.2</v>
      </c>
      <c r="I2877" s="7" t="n">
        <f aca="false">YEAR(B2877)</f>
        <v>2016</v>
      </c>
      <c r="J2877" s="0" t="str">
        <f aca="false">I2877&amp;"-Q"&amp;ROUNDUP(MONTH(B2877)/3,0)</f>
        <v>2016-Q1</v>
      </c>
    </row>
    <row r="2878" customFormat="false" ht="15" hidden="false" customHeight="false" outlineLevel="0" collapsed="false">
      <c r="A2878" s="0" t="s">
        <v>1505</v>
      </c>
      <c r="B2878" s="6" t="n">
        <v>42390</v>
      </c>
      <c r="C2878" s="7" t="s">
        <v>33</v>
      </c>
      <c r="D2878" s="7" t="s">
        <v>34</v>
      </c>
      <c r="E2878" s="7" t="s">
        <v>31</v>
      </c>
      <c r="F2878" s="0" t="n">
        <v>1013.488</v>
      </c>
      <c r="G2878" s="0" t="n">
        <v>76.0116</v>
      </c>
      <c r="H2878" s="0" t="n">
        <v>0.2</v>
      </c>
      <c r="I2878" s="7" t="n">
        <f aca="false">YEAR(B2878)</f>
        <v>2016</v>
      </c>
      <c r="J2878" s="0" t="str">
        <f aca="false">I2878&amp;"-Q"&amp;ROUNDUP(MONTH(B2878)/3,0)</f>
        <v>2016-Q1</v>
      </c>
    </row>
    <row r="2879" customFormat="false" ht="15" hidden="false" customHeight="false" outlineLevel="0" collapsed="false">
      <c r="A2879" s="0" t="s">
        <v>1506</v>
      </c>
      <c r="B2879" s="6" t="n">
        <v>42384</v>
      </c>
      <c r="C2879" s="7" t="s">
        <v>55</v>
      </c>
      <c r="D2879" s="7" t="s">
        <v>161</v>
      </c>
      <c r="E2879" s="7" t="s">
        <v>35</v>
      </c>
      <c r="F2879" s="0" t="n">
        <v>52.34</v>
      </c>
      <c r="G2879" s="0" t="n">
        <v>24.5998</v>
      </c>
      <c r="H2879" s="0" t="n">
        <v>0</v>
      </c>
      <c r="I2879" s="7" t="n">
        <f aca="false">YEAR(B2879)</f>
        <v>2016</v>
      </c>
      <c r="J2879" s="0" t="str">
        <f aca="false">I2879&amp;"-Q"&amp;ROUNDUP(MONTH(B2879)/3,0)</f>
        <v>2016-Q1</v>
      </c>
    </row>
    <row r="2880" customFormat="false" ht="15" hidden="false" customHeight="false" outlineLevel="0" collapsed="false">
      <c r="A2880" s="0" t="s">
        <v>1506</v>
      </c>
      <c r="B2880" s="6" t="n">
        <v>42384</v>
      </c>
      <c r="C2880" s="7" t="s">
        <v>55</v>
      </c>
      <c r="D2880" s="7" t="s">
        <v>161</v>
      </c>
      <c r="E2880" s="7" t="s">
        <v>35</v>
      </c>
      <c r="F2880" s="0" t="n">
        <v>4.66</v>
      </c>
      <c r="G2880" s="0" t="n">
        <v>1.3514</v>
      </c>
      <c r="H2880" s="0" t="n">
        <v>0</v>
      </c>
      <c r="I2880" s="7" t="n">
        <f aca="false">YEAR(B2880)</f>
        <v>2016</v>
      </c>
      <c r="J2880" s="0" t="str">
        <f aca="false">I2880&amp;"-Q"&amp;ROUNDUP(MONTH(B2880)/3,0)</f>
        <v>2016-Q1</v>
      </c>
    </row>
    <row r="2881" customFormat="false" ht="15" hidden="false" customHeight="false" outlineLevel="0" collapsed="false">
      <c r="A2881" s="0" t="s">
        <v>1506</v>
      </c>
      <c r="B2881" s="6" t="n">
        <v>42384</v>
      </c>
      <c r="C2881" s="7" t="s">
        <v>55</v>
      </c>
      <c r="D2881" s="7" t="s">
        <v>161</v>
      </c>
      <c r="E2881" s="7" t="s">
        <v>39</v>
      </c>
      <c r="F2881" s="0" t="n">
        <v>254.97</v>
      </c>
      <c r="G2881" s="0" t="n">
        <v>91.7892</v>
      </c>
      <c r="H2881" s="0" t="n">
        <v>0</v>
      </c>
      <c r="I2881" s="7" t="n">
        <f aca="false">YEAR(B2881)</f>
        <v>2016</v>
      </c>
      <c r="J2881" s="0" t="str">
        <f aca="false">I2881&amp;"-Q"&amp;ROUNDUP(MONTH(B2881)/3,0)</f>
        <v>2016-Q1</v>
      </c>
    </row>
    <row r="2882" customFormat="false" ht="15" hidden="false" customHeight="false" outlineLevel="0" collapsed="false">
      <c r="A2882" s="0" t="s">
        <v>1507</v>
      </c>
      <c r="B2882" s="6" t="n">
        <v>42632</v>
      </c>
      <c r="C2882" s="7" t="s">
        <v>55</v>
      </c>
      <c r="D2882" s="7" t="s">
        <v>161</v>
      </c>
      <c r="E2882" s="7" t="s">
        <v>35</v>
      </c>
      <c r="F2882" s="0" t="n">
        <v>25.44</v>
      </c>
      <c r="G2882" s="0" t="n">
        <v>12.72</v>
      </c>
      <c r="H2882" s="0" t="n">
        <v>0</v>
      </c>
      <c r="I2882" s="7" t="n">
        <f aca="false">YEAR(B2882)</f>
        <v>2016</v>
      </c>
      <c r="J2882" s="0" t="str">
        <f aca="false">I2882&amp;"-Q"&amp;ROUNDUP(MONTH(B2882)/3,0)</f>
        <v>2016-Q3</v>
      </c>
    </row>
    <row r="2883" customFormat="false" ht="15" hidden="false" customHeight="false" outlineLevel="0" collapsed="false">
      <c r="A2883" s="0" t="s">
        <v>1507</v>
      </c>
      <c r="B2883" s="6" t="n">
        <v>42632</v>
      </c>
      <c r="C2883" s="7" t="s">
        <v>55</v>
      </c>
      <c r="D2883" s="7" t="s">
        <v>161</v>
      </c>
      <c r="E2883" s="7" t="s">
        <v>35</v>
      </c>
      <c r="F2883" s="0" t="n">
        <v>27.93</v>
      </c>
      <c r="G2883" s="0" t="n">
        <v>8.0997</v>
      </c>
      <c r="H2883" s="0" t="n">
        <v>0</v>
      </c>
      <c r="I2883" s="7" t="n">
        <f aca="false">YEAR(B2883)</f>
        <v>2016</v>
      </c>
      <c r="J2883" s="0" t="str">
        <f aca="false">I2883&amp;"-Q"&amp;ROUNDUP(MONTH(B2883)/3,0)</f>
        <v>2016-Q3</v>
      </c>
    </row>
    <row r="2884" customFormat="false" ht="15" hidden="false" customHeight="false" outlineLevel="0" collapsed="false">
      <c r="A2884" s="0" t="s">
        <v>1508</v>
      </c>
      <c r="B2884" s="6" t="n">
        <v>41691</v>
      </c>
      <c r="C2884" s="7" t="s">
        <v>45</v>
      </c>
      <c r="D2884" s="7" t="s">
        <v>64</v>
      </c>
      <c r="E2884" s="7" t="s">
        <v>35</v>
      </c>
      <c r="F2884" s="0" t="n">
        <v>8.85</v>
      </c>
      <c r="G2884" s="0" t="n">
        <v>-13.7175</v>
      </c>
      <c r="H2884" s="0" t="n">
        <v>0.8</v>
      </c>
      <c r="I2884" s="7" t="n">
        <f aca="false">YEAR(B2884)</f>
        <v>2014</v>
      </c>
      <c r="J2884" s="0" t="str">
        <f aca="false">I2884&amp;"-Q"&amp;ROUNDUP(MONTH(B2884)/3,0)</f>
        <v>2014-Q1</v>
      </c>
    </row>
    <row r="2885" customFormat="false" ht="15" hidden="false" customHeight="false" outlineLevel="0" collapsed="false">
      <c r="A2885" s="0" t="s">
        <v>1509</v>
      </c>
      <c r="B2885" s="6" t="n">
        <v>42685</v>
      </c>
      <c r="C2885" s="7" t="s">
        <v>33</v>
      </c>
      <c r="D2885" s="7" t="s">
        <v>34</v>
      </c>
      <c r="E2885" s="7" t="s">
        <v>31</v>
      </c>
      <c r="F2885" s="0" t="n">
        <v>6.96</v>
      </c>
      <c r="G2885" s="0" t="n">
        <v>2.2272</v>
      </c>
      <c r="H2885" s="0" t="n">
        <v>0</v>
      </c>
      <c r="I2885" s="7" t="n">
        <f aca="false">YEAR(B2885)</f>
        <v>2016</v>
      </c>
      <c r="J2885" s="0" t="str">
        <f aca="false">I2885&amp;"-Q"&amp;ROUNDUP(MONTH(B2885)/3,0)</f>
        <v>2016-Q4</v>
      </c>
    </row>
    <row r="2886" customFormat="false" ht="15" hidden="false" customHeight="false" outlineLevel="0" collapsed="false">
      <c r="A2886" s="0" t="s">
        <v>1510</v>
      </c>
      <c r="B2886" s="6" t="n">
        <v>42399</v>
      </c>
      <c r="C2886" s="7" t="s">
        <v>33</v>
      </c>
      <c r="D2886" s="7" t="s">
        <v>34</v>
      </c>
      <c r="E2886" s="7" t="s">
        <v>35</v>
      </c>
      <c r="F2886" s="0" t="n">
        <v>17.456</v>
      </c>
      <c r="G2886" s="0" t="n">
        <v>5.8914</v>
      </c>
      <c r="H2886" s="0" t="n">
        <v>0.2</v>
      </c>
      <c r="I2886" s="7" t="n">
        <f aca="false">YEAR(B2886)</f>
        <v>2016</v>
      </c>
      <c r="J2886" s="0" t="str">
        <f aca="false">I2886&amp;"-Q"&amp;ROUNDUP(MONTH(B2886)/3,0)</f>
        <v>2016-Q1</v>
      </c>
    </row>
    <row r="2887" customFormat="false" ht="15" hidden="false" customHeight="false" outlineLevel="0" collapsed="false">
      <c r="A2887" s="0" t="s">
        <v>1511</v>
      </c>
      <c r="B2887" s="6" t="n">
        <v>42661</v>
      </c>
      <c r="C2887" s="7" t="s">
        <v>33</v>
      </c>
      <c r="D2887" s="7" t="s">
        <v>81</v>
      </c>
      <c r="E2887" s="7" t="s">
        <v>31</v>
      </c>
      <c r="F2887" s="0" t="n">
        <v>307.92</v>
      </c>
      <c r="G2887" s="0" t="n">
        <v>-34.641</v>
      </c>
      <c r="H2887" s="0" t="n">
        <v>0.2</v>
      </c>
      <c r="I2887" s="7" t="n">
        <f aca="false">YEAR(B2887)</f>
        <v>2016</v>
      </c>
      <c r="J2887" s="0" t="str">
        <f aca="false">I2887&amp;"-Q"&amp;ROUNDUP(MONTH(B2887)/3,0)</f>
        <v>2016-Q4</v>
      </c>
    </row>
    <row r="2888" customFormat="false" ht="15" hidden="false" customHeight="false" outlineLevel="0" collapsed="false">
      <c r="A2888" s="0" t="s">
        <v>1512</v>
      </c>
      <c r="B2888" s="6" t="n">
        <v>43087</v>
      </c>
      <c r="C2888" s="7" t="s">
        <v>33</v>
      </c>
      <c r="D2888" s="7" t="s">
        <v>34</v>
      </c>
      <c r="E2888" s="7" t="s">
        <v>35</v>
      </c>
      <c r="F2888" s="0" t="n">
        <v>6.63</v>
      </c>
      <c r="G2888" s="0" t="n">
        <v>1.7901</v>
      </c>
      <c r="H2888" s="0" t="n">
        <v>0</v>
      </c>
      <c r="I2888" s="7" t="n">
        <f aca="false">YEAR(B2888)</f>
        <v>2017</v>
      </c>
      <c r="J2888" s="0" t="str">
        <f aca="false">I2888&amp;"-Q"&amp;ROUNDUP(MONTH(B2888)/3,0)</f>
        <v>2017-Q4</v>
      </c>
    </row>
    <row r="2889" customFormat="false" ht="15" hidden="false" customHeight="false" outlineLevel="0" collapsed="false">
      <c r="A2889" s="0" t="s">
        <v>1512</v>
      </c>
      <c r="B2889" s="6" t="n">
        <v>43087</v>
      </c>
      <c r="C2889" s="7" t="s">
        <v>33</v>
      </c>
      <c r="D2889" s="7" t="s">
        <v>34</v>
      </c>
      <c r="E2889" s="7" t="s">
        <v>35</v>
      </c>
      <c r="F2889" s="0" t="n">
        <v>12.96</v>
      </c>
      <c r="G2889" s="0" t="n">
        <v>6.2208</v>
      </c>
      <c r="H2889" s="0" t="n">
        <v>0</v>
      </c>
      <c r="I2889" s="7" t="n">
        <f aca="false">YEAR(B2889)</f>
        <v>2017</v>
      </c>
      <c r="J2889" s="0" t="str">
        <f aca="false">I2889&amp;"-Q"&amp;ROUNDUP(MONTH(B2889)/3,0)</f>
        <v>2017-Q4</v>
      </c>
    </row>
    <row r="2890" customFormat="false" ht="15" hidden="false" customHeight="false" outlineLevel="0" collapsed="false">
      <c r="A2890" s="0" t="s">
        <v>1512</v>
      </c>
      <c r="B2890" s="6" t="n">
        <v>43087</v>
      </c>
      <c r="C2890" s="7" t="s">
        <v>33</v>
      </c>
      <c r="D2890" s="7" t="s">
        <v>34</v>
      </c>
      <c r="E2890" s="7" t="s">
        <v>35</v>
      </c>
      <c r="F2890" s="0" t="n">
        <v>32.4</v>
      </c>
      <c r="G2890" s="0" t="n">
        <v>15.552</v>
      </c>
      <c r="H2890" s="0" t="n">
        <v>0</v>
      </c>
      <c r="I2890" s="7" t="n">
        <f aca="false">YEAR(B2890)</f>
        <v>2017</v>
      </c>
      <c r="J2890" s="0" t="str">
        <f aca="false">I2890&amp;"-Q"&amp;ROUNDUP(MONTH(B2890)/3,0)</f>
        <v>2017-Q4</v>
      </c>
    </row>
    <row r="2891" customFormat="false" ht="15" hidden="false" customHeight="false" outlineLevel="0" collapsed="false">
      <c r="A2891" s="0" t="s">
        <v>1513</v>
      </c>
      <c r="B2891" s="6" t="n">
        <v>43041</v>
      </c>
      <c r="C2891" s="7" t="s">
        <v>33</v>
      </c>
      <c r="D2891" s="7" t="s">
        <v>43</v>
      </c>
      <c r="E2891" s="7" t="s">
        <v>35</v>
      </c>
      <c r="F2891" s="0" t="n">
        <v>23.85</v>
      </c>
      <c r="G2891" s="0" t="n">
        <v>10.7325</v>
      </c>
      <c r="H2891" s="0" t="n">
        <v>0</v>
      </c>
      <c r="I2891" s="7" t="n">
        <f aca="false">YEAR(B2891)</f>
        <v>2017</v>
      </c>
      <c r="J2891" s="0" t="str">
        <f aca="false">I2891&amp;"-Q"&amp;ROUNDUP(MONTH(B2891)/3,0)</f>
        <v>2017-Q4</v>
      </c>
    </row>
    <row r="2892" customFormat="false" ht="15" hidden="false" customHeight="false" outlineLevel="0" collapsed="false">
      <c r="A2892" s="0" t="s">
        <v>1514</v>
      </c>
      <c r="B2892" s="6" t="n">
        <v>41758</v>
      </c>
      <c r="C2892" s="7" t="s">
        <v>29</v>
      </c>
      <c r="D2892" s="7" t="s">
        <v>152</v>
      </c>
      <c r="E2892" s="7" t="s">
        <v>31</v>
      </c>
      <c r="F2892" s="0" t="n">
        <v>51.96</v>
      </c>
      <c r="G2892" s="0" t="n">
        <v>12.99</v>
      </c>
      <c r="H2892" s="0" t="n">
        <v>0</v>
      </c>
      <c r="I2892" s="7" t="n">
        <f aca="false">YEAR(B2892)</f>
        <v>2014</v>
      </c>
      <c r="J2892" s="0" t="str">
        <f aca="false">I2892&amp;"-Q"&amp;ROUNDUP(MONTH(B2892)/3,0)</f>
        <v>2014-Q2</v>
      </c>
    </row>
    <row r="2893" customFormat="false" ht="15" hidden="false" customHeight="false" outlineLevel="0" collapsed="false">
      <c r="A2893" s="0" t="s">
        <v>1514</v>
      </c>
      <c r="B2893" s="6" t="n">
        <v>41758</v>
      </c>
      <c r="C2893" s="7" t="s">
        <v>29</v>
      </c>
      <c r="D2893" s="7" t="s">
        <v>152</v>
      </c>
      <c r="E2893" s="7" t="s">
        <v>35</v>
      </c>
      <c r="F2893" s="0" t="n">
        <v>17.94</v>
      </c>
      <c r="G2893" s="0" t="n">
        <v>8.6112</v>
      </c>
      <c r="H2893" s="0" t="n">
        <v>0</v>
      </c>
      <c r="I2893" s="7" t="n">
        <f aca="false">YEAR(B2893)</f>
        <v>2014</v>
      </c>
      <c r="J2893" s="0" t="str">
        <f aca="false">I2893&amp;"-Q"&amp;ROUNDUP(MONTH(B2893)/3,0)</f>
        <v>2014-Q2</v>
      </c>
    </row>
    <row r="2894" customFormat="false" ht="15" hidden="false" customHeight="false" outlineLevel="0" collapsed="false">
      <c r="A2894" s="0" t="s">
        <v>1515</v>
      </c>
      <c r="B2894" s="6" t="n">
        <v>43031</v>
      </c>
      <c r="C2894" s="7" t="s">
        <v>55</v>
      </c>
      <c r="D2894" s="7" t="s">
        <v>76</v>
      </c>
      <c r="E2894" s="7" t="s">
        <v>35</v>
      </c>
      <c r="F2894" s="0" t="n">
        <v>11.56</v>
      </c>
      <c r="G2894" s="0" t="n">
        <v>5.6644</v>
      </c>
      <c r="H2894" s="0" t="n">
        <v>0</v>
      </c>
      <c r="I2894" s="7" t="n">
        <f aca="false">YEAR(B2894)</f>
        <v>2017</v>
      </c>
      <c r="J2894" s="0" t="str">
        <f aca="false">I2894&amp;"-Q"&amp;ROUNDUP(MONTH(B2894)/3,0)</f>
        <v>2017-Q4</v>
      </c>
    </row>
    <row r="2895" customFormat="false" ht="15" hidden="false" customHeight="false" outlineLevel="0" collapsed="false">
      <c r="A2895" s="0" t="s">
        <v>1515</v>
      </c>
      <c r="B2895" s="6" t="n">
        <v>43031</v>
      </c>
      <c r="C2895" s="7" t="s">
        <v>55</v>
      </c>
      <c r="D2895" s="7" t="s">
        <v>76</v>
      </c>
      <c r="E2895" s="7" t="s">
        <v>35</v>
      </c>
      <c r="F2895" s="0" t="n">
        <v>26.4</v>
      </c>
      <c r="G2895" s="0" t="n">
        <v>11.88</v>
      </c>
      <c r="H2895" s="0" t="n">
        <v>0</v>
      </c>
      <c r="I2895" s="7" t="n">
        <f aca="false">YEAR(B2895)</f>
        <v>2017</v>
      </c>
      <c r="J2895" s="0" t="str">
        <f aca="false">I2895&amp;"-Q"&amp;ROUNDUP(MONTH(B2895)/3,0)</f>
        <v>2017-Q4</v>
      </c>
    </row>
    <row r="2896" customFormat="false" ht="15" hidden="false" customHeight="false" outlineLevel="0" collapsed="false">
      <c r="A2896" s="0" t="s">
        <v>1515</v>
      </c>
      <c r="B2896" s="6" t="n">
        <v>43031</v>
      </c>
      <c r="C2896" s="7" t="s">
        <v>55</v>
      </c>
      <c r="D2896" s="7" t="s">
        <v>76</v>
      </c>
      <c r="E2896" s="7" t="s">
        <v>31</v>
      </c>
      <c r="F2896" s="0" t="n">
        <v>69.08</v>
      </c>
      <c r="G2896" s="0" t="n">
        <v>29.0136</v>
      </c>
      <c r="H2896" s="0" t="n">
        <v>0</v>
      </c>
      <c r="I2896" s="7" t="n">
        <f aca="false">YEAR(B2896)</f>
        <v>2017</v>
      </c>
      <c r="J2896" s="0" t="str">
        <f aca="false">I2896&amp;"-Q"&amp;ROUNDUP(MONTH(B2896)/3,0)</f>
        <v>2017-Q4</v>
      </c>
    </row>
    <row r="2897" customFormat="false" ht="15" hidden="false" customHeight="false" outlineLevel="0" collapsed="false">
      <c r="A2897" s="0" t="s">
        <v>1515</v>
      </c>
      <c r="B2897" s="6" t="n">
        <v>43031</v>
      </c>
      <c r="C2897" s="7" t="s">
        <v>55</v>
      </c>
      <c r="D2897" s="7" t="s">
        <v>76</v>
      </c>
      <c r="E2897" s="7" t="s">
        <v>39</v>
      </c>
      <c r="F2897" s="0" t="n">
        <v>35.88</v>
      </c>
      <c r="G2897" s="0" t="n">
        <v>10.0464</v>
      </c>
      <c r="H2897" s="0" t="n">
        <v>0</v>
      </c>
      <c r="I2897" s="7" t="n">
        <f aca="false">YEAR(B2897)</f>
        <v>2017</v>
      </c>
      <c r="J2897" s="0" t="str">
        <f aca="false">I2897&amp;"-Q"&amp;ROUNDUP(MONTH(B2897)/3,0)</f>
        <v>2017-Q4</v>
      </c>
    </row>
    <row r="2898" customFormat="false" ht="15" hidden="false" customHeight="false" outlineLevel="0" collapsed="false">
      <c r="A2898" s="0" t="s">
        <v>1516</v>
      </c>
      <c r="B2898" s="6" t="n">
        <v>41728</v>
      </c>
      <c r="C2898" s="7" t="s">
        <v>55</v>
      </c>
      <c r="D2898" s="7" t="s">
        <v>76</v>
      </c>
      <c r="E2898" s="7" t="s">
        <v>35</v>
      </c>
      <c r="F2898" s="0" t="n">
        <v>49.65</v>
      </c>
      <c r="G2898" s="0" t="n">
        <v>20.853</v>
      </c>
      <c r="H2898" s="0" t="n">
        <v>0</v>
      </c>
      <c r="I2898" s="7" t="n">
        <f aca="false">YEAR(B2898)</f>
        <v>2014</v>
      </c>
      <c r="J2898" s="0" t="str">
        <f aca="false">I2898&amp;"-Q"&amp;ROUNDUP(MONTH(B2898)/3,0)</f>
        <v>2014-Q1</v>
      </c>
    </row>
    <row r="2899" customFormat="false" ht="15" hidden="false" customHeight="false" outlineLevel="0" collapsed="false">
      <c r="A2899" s="0" t="s">
        <v>1517</v>
      </c>
      <c r="B2899" s="6" t="n">
        <v>42373</v>
      </c>
      <c r="C2899" s="7" t="s">
        <v>29</v>
      </c>
      <c r="D2899" s="7" t="s">
        <v>41</v>
      </c>
      <c r="E2899" s="7" t="s">
        <v>39</v>
      </c>
      <c r="F2899" s="0" t="n">
        <v>959.968</v>
      </c>
      <c r="G2899" s="0" t="n">
        <v>119.996</v>
      </c>
      <c r="H2899" s="0" t="n">
        <v>0.2</v>
      </c>
      <c r="I2899" s="7" t="n">
        <f aca="false">YEAR(B2899)</f>
        <v>2016</v>
      </c>
      <c r="J2899" s="0" t="str">
        <f aca="false">I2899&amp;"-Q"&amp;ROUNDUP(MONTH(B2899)/3,0)</f>
        <v>2016-Q1</v>
      </c>
    </row>
    <row r="2900" customFormat="false" ht="15" hidden="false" customHeight="false" outlineLevel="0" collapsed="false">
      <c r="A2900" s="0" t="s">
        <v>1518</v>
      </c>
      <c r="B2900" s="6" t="n">
        <v>42120</v>
      </c>
      <c r="C2900" s="7" t="s">
        <v>45</v>
      </c>
      <c r="D2900" s="7" t="s">
        <v>46</v>
      </c>
      <c r="E2900" s="7" t="s">
        <v>31</v>
      </c>
      <c r="F2900" s="0" t="n">
        <v>408.422</v>
      </c>
      <c r="G2900" s="0" t="n">
        <v>-5.8346</v>
      </c>
      <c r="H2900" s="0" t="n">
        <v>0.3</v>
      </c>
      <c r="I2900" s="7" t="n">
        <f aca="false">YEAR(B2900)</f>
        <v>2015</v>
      </c>
      <c r="J2900" s="0" t="str">
        <f aca="false">I2900&amp;"-Q"&amp;ROUNDUP(MONTH(B2900)/3,0)</f>
        <v>2015-Q2</v>
      </c>
    </row>
    <row r="2901" customFormat="false" ht="15" hidden="false" customHeight="false" outlineLevel="0" collapsed="false">
      <c r="A2901" s="0" t="s">
        <v>1519</v>
      </c>
      <c r="B2901" s="6" t="n">
        <v>42259</v>
      </c>
      <c r="C2901" s="7" t="s">
        <v>55</v>
      </c>
      <c r="D2901" s="7" t="s">
        <v>76</v>
      </c>
      <c r="E2901" s="7" t="s">
        <v>39</v>
      </c>
      <c r="F2901" s="0" t="n">
        <v>479.984</v>
      </c>
      <c r="G2901" s="0" t="n">
        <v>59.998</v>
      </c>
      <c r="H2901" s="0" t="n">
        <v>0.2</v>
      </c>
      <c r="I2901" s="7" t="n">
        <f aca="false">YEAR(B2901)</f>
        <v>2015</v>
      </c>
      <c r="J2901" s="0" t="str">
        <f aca="false">I2901&amp;"-Q"&amp;ROUNDUP(MONTH(B2901)/3,0)</f>
        <v>2015-Q3</v>
      </c>
    </row>
    <row r="2902" customFormat="false" ht="15" hidden="false" customHeight="false" outlineLevel="0" collapsed="false">
      <c r="A2902" s="0" t="s">
        <v>1519</v>
      </c>
      <c r="B2902" s="6" t="n">
        <v>42259</v>
      </c>
      <c r="C2902" s="7" t="s">
        <v>55</v>
      </c>
      <c r="D2902" s="7" t="s">
        <v>76</v>
      </c>
      <c r="E2902" s="7" t="s">
        <v>35</v>
      </c>
      <c r="F2902" s="0" t="n">
        <v>12.6</v>
      </c>
      <c r="G2902" s="0" t="n">
        <v>6.048</v>
      </c>
      <c r="H2902" s="0" t="n">
        <v>0</v>
      </c>
      <c r="I2902" s="7" t="n">
        <f aca="false">YEAR(B2902)</f>
        <v>2015</v>
      </c>
      <c r="J2902" s="0" t="str">
        <f aca="false">I2902&amp;"-Q"&amp;ROUNDUP(MONTH(B2902)/3,0)</f>
        <v>2015-Q3</v>
      </c>
    </row>
    <row r="2903" customFormat="false" ht="15" hidden="false" customHeight="false" outlineLevel="0" collapsed="false">
      <c r="A2903" s="0" t="s">
        <v>1520</v>
      </c>
      <c r="B2903" s="6" t="n">
        <v>42989</v>
      </c>
      <c r="C2903" s="7" t="s">
        <v>29</v>
      </c>
      <c r="D2903" s="7" t="s">
        <v>230</v>
      </c>
      <c r="E2903" s="7" t="s">
        <v>35</v>
      </c>
      <c r="F2903" s="0" t="n">
        <v>184.66</v>
      </c>
      <c r="G2903" s="0" t="n">
        <v>84.9436</v>
      </c>
      <c r="H2903" s="0" t="n">
        <v>0</v>
      </c>
      <c r="I2903" s="7" t="n">
        <f aca="false">YEAR(B2903)</f>
        <v>2017</v>
      </c>
      <c r="J2903" s="0" t="str">
        <f aca="false">I2903&amp;"-Q"&amp;ROUNDUP(MONTH(B2903)/3,0)</f>
        <v>2017-Q3</v>
      </c>
    </row>
    <row r="2904" customFormat="false" ht="15" hidden="false" customHeight="false" outlineLevel="0" collapsed="false">
      <c r="A2904" s="0" t="s">
        <v>1521</v>
      </c>
      <c r="B2904" s="6" t="n">
        <v>42533</v>
      </c>
      <c r="C2904" s="7" t="s">
        <v>45</v>
      </c>
      <c r="D2904" s="7" t="s">
        <v>64</v>
      </c>
      <c r="E2904" s="7" t="s">
        <v>35</v>
      </c>
      <c r="F2904" s="0" t="n">
        <v>23.12</v>
      </c>
      <c r="G2904" s="0" t="n">
        <v>8.381</v>
      </c>
      <c r="H2904" s="0" t="n">
        <v>0.2</v>
      </c>
      <c r="I2904" s="7" t="n">
        <f aca="false">YEAR(B2904)</f>
        <v>2016</v>
      </c>
      <c r="J2904" s="0" t="str">
        <f aca="false">I2904&amp;"-Q"&amp;ROUNDUP(MONTH(B2904)/3,0)</f>
        <v>2016-Q2</v>
      </c>
    </row>
    <row r="2905" customFormat="false" ht="15" hidden="false" customHeight="false" outlineLevel="0" collapsed="false">
      <c r="A2905" s="0" t="s">
        <v>1522</v>
      </c>
      <c r="B2905" s="6" t="n">
        <v>42548</v>
      </c>
      <c r="C2905" s="7" t="s">
        <v>45</v>
      </c>
      <c r="D2905" s="7" t="s">
        <v>64</v>
      </c>
      <c r="E2905" s="7" t="s">
        <v>35</v>
      </c>
      <c r="F2905" s="0" t="n">
        <v>37.464</v>
      </c>
      <c r="G2905" s="0" t="n">
        <v>12.1758</v>
      </c>
      <c r="H2905" s="0" t="n">
        <v>0.2</v>
      </c>
      <c r="I2905" s="7" t="n">
        <f aca="false">YEAR(B2905)</f>
        <v>2016</v>
      </c>
      <c r="J2905" s="0" t="str">
        <f aca="false">I2905&amp;"-Q"&amp;ROUNDUP(MONTH(B2905)/3,0)</f>
        <v>2016-Q2</v>
      </c>
    </row>
    <row r="2906" customFormat="false" ht="15" hidden="false" customHeight="false" outlineLevel="0" collapsed="false">
      <c r="A2906" s="0" t="s">
        <v>1522</v>
      </c>
      <c r="B2906" s="6" t="n">
        <v>42548</v>
      </c>
      <c r="C2906" s="7" t="s">
        <v>45</v>
      </c>
      <c r="D2906" s="7" t="s">
        <v>64</v>
      </c>
      <c r="E2906" s="7" t="s">
        <v>31</v>
      </c>
      <c r="F2906" s="0" t="n">
        <v>539.658</v>
      </c>
      <c r="G2906" s="0" t="n">
        <v>-7.7094</v>
      </c>
      <c r="H2906" s="0" t="n">
        <v>0.3</v>
      </c>
      <c r="I2906" s="7" t="n">
        <f aca="false">YEAR(B2906)</f>
        <v>2016</v>
      </c>
      <c r="J2906" s="0" t="str">
        <f aca="false">I2906&amp;"-Q"&amp;ROUNDUP(MONTH(B2906)/3,0)</f>
        <v>2016-Q2</v>
      </c>
    </row>
    <row r="2907" customFormat="false" ht="15" hidden="false" customHeight="false" outlineLevel="0" collapsed="false">
      <c r="A2907" s="0" t="s">
        <v>1523</v>
      </c>
      <c r="B2907" s="6" t="n">
        <v>41908</v>
      </c>
      <c r="C2907" s="7" t="s">
        <v>33</v>
      </c>
      <c r="D2907" s="7" t="s">
        <v>43</v>
      </c>
      <c r="E2907" s="7" t="s">
        <v>35</v>
      </c>
      <c r="F2907" s="0" t="n">
        <v>310.12</v>
      </c>
      <c r="G2907" s="0" t="n">
        <v>80.6312</v>
      </c>
      <c r="H2907" s="0" t="n">
        <v>0</v>
      </c>
      <c r="I2907" s="7" t="n">
        <f aca="false">YEAR(B2907)</f>
        <v>2014</v>
      </c>
      <c r="J2907" s="0" t="str">
        <f aca="false">I2907&amp;"-Q"&amp;ROUNDUP(MONTH(B2907)/3,0)</f>
        <v>2014-Q3</v>
      </c>
    </row>
    <row r="2908" customFormat="false" ht="15" hidden="false" customHeight="false" outlineLevel="0" collapsed="false">
      <c r="A2908" s="0" t="s">
        <v>1524</v>
      </c>
      <c r="B2908" s="6" t="n">
        <v>43042</v>
      </c>
      <c r="C2908" s="7" t="s">
        <v>45</v>
      </c>
      <c r="D2908" s="7" t="s">
        <v>68</v>
      </c>
      <c r="E2908" s="7" t="s">
        <v>35</v>
      </c>
      <c r="F2908" s="0" t="n">
        <v>8.56</v>
      </c>
      <c r="G2908" s="0" t="n">
        <v>3.852</v>
      </c>
      <c r="H2908" s="0" t="n">
        <v>0</v>
      </c>
      <c r="I2908" s="7" t="n">
        <f aca="false">YEAR(B2908)</f>
        <v>2017</v>
      </c>
      <c r="J2908" s="0" t="str">
        <f aca="false">I2908&amp;"-Q"&amp;ROUNDUP(MONTH(B2908)/3,0)</f>
        <v>2017-Q4</v>
      </c>
    </row>
    <row r="2909" customFormat="false" ht="15" hidden="false" customHeight="false" outlineLevel="0" collapsed="false">
      <c r="A2909" s="0" t="s">
        <v>1524</v>
      </c>
      <c r="B2909" s="6" t="n">
        <v>43042</v>
      </c>
      <c r="C2909" s="7" t="s">
        <v>45</v>
      </c>
      <c r="D2909" s="7" t="s">
        <v>68</v>
      </c>
      <c r="E2909" s="7" t="s">
        <v>35</v>
      </c>
      <c r="F2909" s="0" t="n">
        <v>52.4</v>
      </c>
      <c r="G2909" s="0" t="n">
        <v>14.148</v>
      </c>
      <c r="H2909" s="0" t="n">
        <v>0</v>
      </c>
      <c r="I2909" s="7" t="n">
        <f aca="false">YEAR(B2909)</f>
        <v>2017</v>
      </c>
      <c r="J2909" s="0" t="str">
        <f aca="false">I2909&amp;"-Q"&amp;ROUNDUP(MONTH(B2909)/3,0)</f>
        <v>2017-Q4</v>
      </c>
    </row>
    <row r="2910" customFormat="false" ht="15" hidden="false" customHeight="false" outlineLevel="0" collapsed="false">
      <c r="A2910" s="0" t="s">
        <v>1524</v>
      </c>
      <c r="B2910" s="6" t="n">
        <v>43042</v>
      </c>
      <c r="C2910" s="7" t="s">
        <v>45</v>
      </c>
      <c r="D2910" s="7" t="s">
        <v>68</v>
      </c>
      <c r="E2910" s="7" t="s">
        <v>35</v>
      </c>
      <c r="F2910" s="0" t="n">
        <v>14.94</v>
      </c>
      <c r="G2910" s="0" t="n">
        <v>6.8724</v>
      </c>
      <c r="H2910" s="0" t="n">
        <v>0</v>
      </c>
      <c r="I2910" s="7" t="n">
        <f aca="false">YEAR(B2910)</f>
        <v>2017</v>
      </c>
      <c r="J2910" s="0" t="str">
        <f aca="false">I2910&amp;"-Q"&amp;ROUNDUP(MONTH(B2910)/3,0)</f>
        <v>2017-Q4</v>
      </c>
    </row>
    <row r="2911" customFormat="false" ht="15" hidden="false" customHeight="false" outlineLevel="0" collapsed="false">
      <c r="A2911" s="0" t="s">
        <v>1525</v>
      </c>
      <c r="B2911" s="6" t="n">
        <v>42785</v>
      </c>
      <c r="C2911" s="7" t="s">
        <v>33</v>
      </c>
      <c r="D2911" s="7" t="s">
        <v>43</v>
      </c>
      <c r="E2911" s="7" t="s">
        <v>35</v>
      </c>
      <c r="F2911" s="0" t="n">
        <v>11.22</v>
      </c>
      <c r="G2911" s="0" t="n">
        <v>0.2244</v>
      </c>
      <c r="H2911" s="0" t="n">
        <v>0</v>
      </c>
      <c r="I2911" s="7" t="n">
        <f aca="false">YEAR(B2911)</f>
        <v>2017</v>
      </c>
      <c r="J2911" s="0" t="str">
        <f aca="false">I2911&amp;"-Q"&amp;ROUNDUP(MONTH(B2911)/3,0)</f>
        <v>2017-Q1</v>
      </c>
    </row>
    <row r="2912" customFormat="false" ht="15" hidden="false" customHeight="false" outlineLevel="0" collapsed="false">
      <c r="A2912" s="0" t="s">
        <v>1526</v>
      </c>
      <c r="B2912" s="6" t="n">
        <v>42313</v>
      </c>
      <c r="C2912" s="7" t="s">
        <v>29</v>
      </c>
      <c r="D2912" s="7" t="s">
        <v>37</v>
      </c>
      <c r="E2912" s="7" t="s">
        <v>35</v>
      </c>
      <c r="F2912" s="0" t="n">
        <v>387.136</v>
      </c>
      <c r="G2912" s="0" t="n">
        <v>24.196</v>
      </c>
      <c r="H2912" s="0" t="n">
        <v>0.2</v>
      </c>
      <c r="I2912" s="7" t="n">
        <f aca="false">YEAR(B2912)</f>
        <v>2015</v>
      </c>
      <c r="J2912" s="0" t="str">
        <f aca="false">I2912&amp;"-Q"&amp;ROUNDUP(MONTH(B2912)/3,0)</f>
        <v>2015-Q4</v>
      </c>
    </row>
    <row r="2913" customFormat="false" ht="15" hidden="false" customHeight="false" outlineLevel="0" collapsed="false">
      <c r="A2913" s="0" t="s">
        <v>1527</v>
      </c>
      <c r="B2913" s="6" t="n">
        <v>41806</v>
      </c>
      <c r="C2913" s="7" t="s">
        <v>55</v>
      </c>
      <c r="D2913" s="7" t="s">
        <v>76</v>
      </c>
      <c r="E2913" s="7" t="s">
        <v>35</v>
      </c>
      <c r="F2913" s="0" t="n">
        <v>41.4</v>
      </c>
      <c r="G2913" s="0" t="n">
        <v>19.458</v>
      </c>
      <c r="H2913" s="0" t="n">
        <v>0</v>
      </c>
      <c r="I2913" s="7" t="n">
        <f aca="false">YEAR(B2913)</f>
        <v>2014</v>
      </c>
      <c r="J2913" s="0" t="str">
        <f aca="false">I2913&amp;"-Q"&amp;ROUNDUP(MONTH(B2913)/3,0)</f>
        <v>2014-Q2</v>
      </c>
    </row>
    <row r="2914" customFormat="false" ht="15" hidden="false" customHeight="false" outlineLevel="0" collapsed="false">
      <c r="A2914" s="0" t="s">
        <v>1527</v>
      </c>
      <c r="B2914" s="6" t="n">
        <v>41806</v>
      </c>
      <c r="C2914" s="7" t="s">
        <v>55</v>
      </c>
      <c r="D2914" s="7" t="s">
        <v>76</v>
      </c>
      <c r="E2914" s="7" t="s">
        <v>35</v>
      </c>
      <c r="F2914" s="0" t="n">
        <v>35</v>
      </c>
      <c r="G2914" s="0" t="n">
        <v>10.5</v>
      </c>
      <c r="H2914" s="0" t="n">
        <v>0</v>
      </c>
      <c r="I2914" s="7" t="n">
        <f aca="false">YEAR(B2914)</f>
        <v>2014</v>
      </c>
      <c r="J2914" s="0" t="str">
        <f aca="false">I2914&amp;"-Q"&amp;ROUNDUP(MONTH(B2914)/3,0)</f>
        <v>2014-Q2</v>
      </c>
    </row>
    <row r="2915" customFormat="false" ht="15" hidden="false" customHeight="false" outlineLevel="0" collapsed="false">
      <c r="A2915" s="0" t="s">
        <v>1527</v>
      </c>
      <c r="B2915" s="6" t="n">
        <v>41806</v>
      </c>
      <c r="C2915" s="7" t="s">
        <v>55</v>
      </c>
      <c r="D2915" s="7" t="s">
        <v>76</v>
      </c>
      <c r="E2915" s="7" t="s">
        <v>35</v>
      </c>
      <c r="F2915" s="0" t="n">
        <v>39.552</v>
      </c>
      <c r="G2915" s="0" t="n">
        <v>14.3376</v>
      </c>
      <c r="H2915" s="0" t="n">
        <v>0.2</v>
      </c>
      <c r="I2915" s="7" t="n">
        <f aca="false">YEAR(B2915)</f>
        <v>2014</v>
      </c>
      <c r="J2915" s="0" t="str">
        <f aca="false">I2915&amp;"-Q"&amp;ROUNDUP(MONTH(B2915)/3,0)</f>
        <v>2014-Q2</v>
      </c>
    </row>
    <row r="2916" customFormat="false" ht="15" hidden="false" customHeight="false" outlineLevel="0" collapsed="false">
      <c r="A2916" s="0" t="s">
        <v>1528</v>
      </c>
      <c r="B2916" s="6" t="n">
        <v>42289</v>
      </c>
      <c r="C2916" s="7" t="s">
        <v>45</v>
      </c>
      <c r="D2916" s="7" t="s">
        <v>74</v>
      </c>
      <c r="E2916" s="7" t="s">
        <v>39</v>
      </c>
      <c r="F2916" s="0" t="n">
        <v>135.72</v>
      </c>
      <c r="G2916" s="0" t="n">
        <v>35.2872</v>
      </c>
      <c r="H2916" s="0" t="n">
        <v>0</v>
      </c>
      <c r="I2916" s="7" t="n">
        <f aca="false">YEAR(B2916)</f>
        <v>2015</v>
      </c>
      <c r="J2916" s="0" t="str">
        <f aca="false">I2916&amp;"-Q"&amp;ROUNDUP(MONTH(B2916)/3,0)</f>
        <v>2015-Q4</v>
      </c>
    </row>
    <row r="2917" customFormat="false" ht="15" hidden="false" customHeight="false" outlineLevel="0" collapsed="false">
      <c r="A2917" s="0" t="s">
        <v>1528</v>
      </c>
      <c r="B2917" s="6" t="n">
        <v>42289</v>
      </c>
      <c r="C2917" s="7" t="s">
        <v>45</v>
      </c>
      <c r="D2917" s="7" t="s">
        <v>74</v>
      </c>
      <c r="E2917" s="7" t="s">
        <v>35</v>
      </c>
      <c r="F2917" s="0" t="n">
        <v>12.56</v>
      </c>
      <c r="G2917" s="0" t="n">
        <v>5.652</v>
      </c>
      <c r="H2917" s="0" t="n">
        <v>0</v>
      </c>
      <c r="I2917" s="7" t="n">
        <f aca="false">YEAR(B2917)</f>
        <v>2015</v>
      </c>
      <c r="J2917" s="0" t="str">
        <f aca="false">I2917&amp;"-Q"&amp;ROUNDUP(MONTH(B2917)/3,0)</f>
        <v>2015-Q4</v>
      </c>
    </row>
    <row r="2918" customFormat="false" ht="15" hidden="false" customHeight="false" outlineLevel="0" collapsed="false">
      <c r="A2918" s="0" t="s">
        <v>1528</v>
      </c>
      <c r="B2918" s="6" t="n">
        <v>42289</v>
      </c>
      <c r="C2918" s="7" t="s">
        <v>45</v>
      </c>
      <c r="D2918" s="7" t="s">
        <v>74</v>
      </c>
      <c r="E2918" s="7" t="s">
        <v>39</v>
      </c>
      <c r="F2918" s="0" t="n">
        <v>263.96</v>
      </c>
      <c r="G2918" s="0" t="n">
        <v>71.2692</v>
      </c>
      <c r="H2918" s="0" t="n">
        <v>0</v>
      </c>
      <c r="I2918" s="7" t="n">
        <f aca="false">YEAR(B2918)</f>
        <v>2015</v>
      </c>
      <c r="J2918" s="0" t="str">
        <f aca="false">I2918&amp;"-Q"&amp;ROUNDUP(MONTH(B2918)/3,0)</f>
        <v>2015-Q4</v>
      </c>
    </row>
    <row r="2919" customFormat="false" ht="15" hidden="false" customHeight="false" outlineLevel="0" collapsed="false">
      <c r="A2919" s="0" t="s">
        <v>1529</v>
      </c>
      <c r="B2919" s="6" t="n">
        <v>42974</v>
      </c>
      <c r="C2919" s="7" t="s">
        <v>45</v>
      </c>
      <c r="D2919" s="7" t="s">
        <v>46</v>
      </c>
      <c r="E2919" s="7" t="s">
        <v>35</v>
      </c>
      <c r="F2919" s="0" t="n">
        <v>5.952</v>
      </c>
      <c r="G2919" s="0" t="n">
        <v>0.372</v>
      </c>
      <c r="H2919" s="0" t="n">
        <v>0.2</v>
      </c>
      <c r="I2919" s="7" t="n">
        <f aca="false">YEAR(B2919)</f>
        <v>2017</v>
      </c>
      <c r="J2919" s="0" t="str">
        <f aca="false">I2919&amp;"-Q"&amp;ROUNDUP(MONTH(B2919)/3,0)</f>
        <v>2017-Q3</v>
      </c>
    </row>
    <row r="2920" customFormat="false" ht="15" hidden="false" customHeight="false" outlineLevel="0" collapsed="false">
      <c r="A2920" s="0" t="s">
        <v>1530</v>
      </c>
      <c r="B2920" s="6" t="n">
        <v>42697</v>
      </c>
      <c r="C2920" s="7" t="s">
        <v>55</v>
      </c>
      <c r="D2920" s="7" t="s">
        <v>56</v>
      </c>
      <c r="E2920" s="7" t="s">
        <v>35</v>
      </c>
      <c r="F2920" s="0" t="n">
        <v>15.8</v>
      </c>
      <c r="G2920" s="0" t="n">
        <v>2.37</v>
      </c>
      <c r="H2920" s="0" t="n">
        <v>0.2</v>
      </c>
      <c r="I2920" s="7" t="n">
        <f aca="false">YEAR(B2920)</f>
        <v>2016</v>
      </c>
      <c r="J2920" s="0" t="str">
        <f aca="false">I2920&amp;"-Q"&amp;ROUNDUP(MONTH(B2920)/3,0)</f>
        <v>2016-Q4</v>
      </c>
    </row>
    <row r="2921" customFormat="false" ht="15" hidden="false" customHeight="false" outlineLevel="0" collapsed="false">
      <c r="A2921" s="0" t="s">
        <v>1530</v>
      </c>
      <c r="B2921" s="6" t="n">
        <v>42697</v>
      </c>
      <c r="C2921" s="7" t="s">
        <v>55</v>
      </c>
      <c r="D2921" s="7" t="s">
        <v>56</v>
      </c>
      <c r="E2921" s="7" t="s">
        <v>31</v>
      </c>
      <c r="F2921" s="0" t="n">
        <v>14.368</v>
      </c>
      <c r="G2921" s="0" t="n">
        <v>3.9512</v>
      </c>
      <c r="H2921" s="0" t="n">
        <v>0.2</v>
      </c>
      <c r="I2921" s="7" t="n">
        <f aca="false">YEAR(B2921)</f>
        <v>2016</v>
      </c>
      <c r="J2921" s="0" t="str">
        <f aca="false">I2921&amp;"-Q"&amp;ROUNDUP(MONTH(B2921)/3,0)</f>
        <v>2016-Q4</v>
      </c>
    </row>
    <row r="2922" customFormat="false" ht="15" hidden="false" customHeight="false" outlineLevel="0" collapsed="false">
      <c r="A2922" s="0" t="s">
        <v>1530</v>
      </c>
      <c r="B2922" s="6" t="n">
        <v>42697</v>
      </c>
      <c r="C2922" s="7" t="s">
        <v>55</v>
      </c>
      <c r="D2922" s="7" t="s">
        <v>56</v>
      </c>
      <c r="E2922" s="7" t="s">
        <v>31</v>
      </c>
      <c r="F2922" s="0" t="n">
        <v>70.448</v>
      </c>
      <c r="G2922" s="0" t="n">
        <v>12.3284</v>
      </c>
      <c r="H2922" s="0" t="n">
        <v>0.2</v>
      </c>
      <c r="I2922" s="7" t="n">
        <f aca="false">YEAR(B2922)</f>
        <v>2016</v>
      </c>
      <c r="J2922" s="0" t="str">
        <f aca="false">I2922&amp;"-Q"&amp;ROUNDUP(MONTH(B2922)/3,0)</f>
        <v>2016-Q4</v>
      </c>
    </row>
    <row r="2923" customFormat="false" ht="15" hidden="false" customHeight="false" outlineLevel="0" collapsed="false">
      <c r="A2923" s="0" t="s">
        <v>1531</v>
      </c>
      <c r="B2923" s="6" t="n">
        <v>42765</v>
      </c>
      <c r="C2923" s="7" t="s">
        <v>33</v>
      </c>
      <c r="D2923" s="7" t="s">
        <v>34</v>
      </c>
      <c r="E2923" s="7" t="s">
        <v>35</v>
      </c>
      <c r="F2923" s="0" t="n">
        <v>129.3</v>
      </c>
      <c r="G2923" s="0" t="n">
        <v>6.465</v>
      </c>
      <c r="H2923" s="0" t="n">
        <v>0</v>
      </c>
      <c r="I2923" s="7" t="n">
        <f aca="false">YEAR(B2923)</f>
        <v>2017</v>
      </c>
      <c r="J2923" s="0" t="str">
        <f aca="false">I2923&amp;"-Q"&amp;ROUNDUP(MONTH(B2923)/3,0)</f>
        <v>2017-Q1</v>
      </c>
    </row>
    <row r="2924" customFormat="false" ht="15" hidden="false" customHeight="false" outlineLevel="0" collapsed="false">
      <c r="A2924" s="0" t="s">
        <v>1532</v>
      </c>
      <c r="B2924" s="6" t="n">
        <v>42338</v>
      </c>
      <c r="C2924" s="7" t="s">
        <v>45</v>
      </c>
      <c r="D2924" s="7" t="s">
        <v>46</v>
      </c>
      <c r="E2924" s="7" t="s">
        <v>35</v>
      </c>
      <c r="F2924" s="0" t="n">
        <v>3.882</v>
      </c>
      <c r="G2924" s="0" t="n">
        <v>-5.823</v>
      </c>
      <c r="H2924" s="0" t="n">
        <v>0.8</v>
      </c>
      <c r="I2924" s="7" t="n">
        <f aca="false">YEAR(B2924)</f>
        <v>2015</v>
      </c>
      <c r="J2924" s="0" t="str">
        <f aca="false">I2924&amp;"-Q"&amp;ROUNDUP(MONTH(B2924)/3,0)</f>
        <v>2015-Q4</v>
      </c>
    </row>
    <row r="2925" customFormat="false" ht="15" hidden="false" customHeight="false" outlineLevel="0" collapsed="false">
      <c r="A2925" s="0" t="s">
        <v>1533</v>
      </c>
      <c r="B2925" s="6" t="n">
        <v>41818</v>
      </c>
      <c r="C2925" s="7" t="s">
        <v>45</v>
      </c>
      <c r="D2925" s="7" t="s">
        <v>70</v>
      </c>
      <c r="E2925" s="7" t="s">
        <v>35</v>
      </c>
      <c r="F2925" s="0" t="n">
        <v>6.08</v>
      </c>
      <c r="G2925" s="0" t="n">
        <v>3.04</v>
      </c>
      <c r="H2925" s="0" t="n">
        <v>0</v>
      </c>
      <c r="I2925" s="7" t="n">
        <f aca="false">YEAR(B2925)</f>
        <v>2014</v>
      </c>
      <c r="J2925" s="0" t="str">
        <f aca="false">I2925&amp;"-Q"&amp;ROUNDUP(MONTH(B2925)/3,0)</f>
        <v>2014-Q2</v>
      </c>
    </row>
    <row r="2926" customFormat="false" ht="15" hidden="false" customHeight="false" outlineLevel="0" collapsed="false">
      <c r="A2926" s="0" t="s">
        <v>1534</v>
      </c>
      <c r="B2926" s="6" t="n">
        <v>41884</v>
      </c>
      <c r="C2926" s="7" t="s">
        <v>55</v>
      </c>
      <c r="D2926" s="7" t="s">
        <v>76</v>
      </c>
      <c r="E2926" s="7" t="s">
        <v>35</v>
      </c>
      <c r="F2926" s="0" t="n">
        <v>19.9</v>
      </c>
      <c r="G2926" s="0" t="n">
        <v>8.955</v>
      </c>
      <c r="H2926" s="0" t="n">
        <v>0</v>
      </c>
      <c r="I2926" s="7" t="n">
        <f aca="false">YEAR(B2926)</f>
        <v>2014</v>
      </c>
      <c r="J2926" s="0" t="str">
        <f aca="false">I2926&amp;"-Q"&amp;ROUNDUP(MONTH(B2926)/3,0)</f>
        <v>2014-Q3</v>
      </c>
    </row>
    <row r="2927" customFormat="false" ht="15" hidden="false" customHeight="false" outlineLevel="0" collapsed="false">
      <c r="A2927" s="0" t="s">
        <v>1534</v>
      </c>
      <c r="B2927" s="6" t="n">
        <v>41884</v>
      </c>
      <c r="C2927" s="7" t="s">
        <v>55</v>
      </c>
      <c r="D2927" s="7" t="s">
        <v>76</v>
      </c>
      <c r="E2927" s="7" t="s">
        <v>31</v>
      </c>
      <c r="F2927" s="0" t="n">
        <v>70.71</v>
      </c>
      <c r="G2927" s="0" t="n">
        <v>4.9497</v>
      </c>
      <c r="H2927" s="0" t="n">
        <v>0</v>
      </c>
      <c r="I2927" s="7" t="n">
        <f aca="false">YEAR(B2927)</f>
        <v>2014</v>
      </c>
      <c r="J2927" s="0" t="str">
        <f aca="false">I2927&amp;"-Q"&amp;ROUNDUP(MONTH(B2927)/3,0)</f>
        <v>2014-Q3</v>
      </c>
    </row>
    <row r="2928" customFormat="false" ht="15" hidden="false" customHeight="false" outlineLevel="0" collapsed="false">
      <c r="A2928" s="0" t="s">
        <v>1535</v>
      </c>
      <c r="B2928" s="6" t="n">
        <v>42926</v>
      </c>
      <c r="C2928" s="7" t="s">
        <v>29</v>
      </c>
      <c r="D2928" s="7" t="s">
        <v>230</v>
      </c>
      <c r="E2928" s="7" t="s">
        <v>31</v>
      </c>
      <c r="F2928" s="0" t="n">
        <v>18.84</v>
      </c>
      <c r="G2928" s="0" t="n">
        <v>7.9128</v>
      </c>
      <c r="H2928" s="0" t="n">
        <v>0</v>
      </c>
      <c r="I2928" s="7" t="n">
        <f aca="false">YEAR(B2928)</f>
        <v>2017</v>
      </c>
      <c r="J2928" s="0" t="str">
        <f aca="false">I2928&amp;"-Q"&amp;ROUNDUP(MONTH(B2928)/3,0)</f>
        <v>2017-Q3</v>
      </c>
    </row>
    <row r="2929" customFormat="false" ht="15" hidden="false" customHeight="false" outlineLevel="0" collapsed="false">
      <c r="A2929" s="0" t="s">
        <v>1536</v>
      </c>
      <c r="B2929" s="6" t="n">
        <v>42890</v>
      </c>
      <c r="C2929" s="7" t="s">
        <v>45</v>
      </c>
      <c r="D2929" s="7" t="s">
        <v>68</v>
      </c>
      <c r="E2929" s="7" t="s">
        <v>35</v>
      </c>
      <c r="F2929" s="0" t="n">
        <v>8.64</v>
      </c>
      <c r="G2929" s="0" t="n">
        <v>2.5056</v>
      </c>
      <c r="H2929" s="0" t="n">
        <v>0</v>
      </c>
      <c r="I2929" s="7" t="n">
        <f aca="false">YEAR(B2929)</f>
        <v>2017</v>
      </c>
      <c r="J2929" s="0" t="str">
        <f aca="false">I2929&amp;"-Q"&amp;ROUNDUP(MONTH(B2929)/3,0)</f>
        <v>2017-Q2</v>
      </c>
    </row>
    <row r="2930" customFormat="false" ht="15" hidden="false" customHeight="false" outlineLevel="0" collapsed="false">
      <c r="A2930" s="0" t="s">
        <v>1537</v>
      </c>
      <c r="B2930" s="6" t="n">
        <v>43027</v>
      </c>
      <c r="C2930" s="7" t="s">
        <v>29</v>
      </c>
      <c r="D2930" s="7" t="s">
        <v>41</v>
      </c>
      <c r="E2930" s="7" t="s">
        <v>35</v>
      </c>
      <c r="F2930" s="0" t="n">
        <v>1633.188</v>
      </c>
      <c r="G2930" s="0" t="n">
        <v>-1306.5504</v>
      </c>
      <c r="H2930" s="0" t="n">
        <v>0.7</v>
      </c>
      <c r="I2930" s="7" t="n">
        <f aca="false">YEAR(B2930)</f>
        <v>2017</v>
      </c>
      <c r="J2930" s="0" t="str">
        <f aca="false">I2930&amp;"-Q"&amp;ROUNDUP(MONTH(B2930)/3,0)</f>
        <v>2017-Q4</v>
      </c>
    </row>
    <row r="2931" customFormat="false" ht="15" hidden="false" customHeight="false" outlineLevel="0" collapsed="false">
      <c r="A2931" s="0" t="s">
        <v>1538</v>
      </c>
      <c r="B2931" s="6" t="n">
        <v>43057</v>
      </c>
      <c r="C2931" s="7" t="s">
        <v>45</v>
      </c>
      <c r="D2931" s="7" t="s">
        <v>70</v>
      </c>
      <c r="E2931" s="7" t="s">
        <v>31</v>
      </c>
      <c r="F2931" s="0" t="n">
        <v>19.76</v>
      </c>
      <c r="G2931" s="0" t="n">
        <v>8.2992</v>
      </c>
      <c r="H2931" s="0" t="n">
        <v>0</v>
      </c>
      <c r="I2931" s="7" t="n">
        <f aca="false">YEAR(B2931)</f>
        <v>2017</v>
      </c>
      <c r="J2931" s="0" t="str">
        <f aca="false">I2931&amp;"-Q"&amp;ROUNDUP(MONTH(B2931)/3,0)</f>
        <v>2017-Q4</v>
      </c>
    </row>
    <row r="2932" customFormat="false" ht="15" hidden="false" customHeight="false" outlineLevel="0" collapsed="false">
      <c r="A2932" s="0" t="s">
        <v>1539</v>
      </c>
      <c r="B2932" s="6" t="n">
        <v>42224</v>
      </c>
      <c r="C2932" s="7" t="s">
        <v>33</v>
      </c>
      <c r="D2932" s="7" t="s">
        <v>34</v>
      </c>
      <c r="E2932" s="7" t="s">
        <v>35</v>
      </c>
      <c r="F2932" s="0" t="n">
        <v>6.608</v>
      </c>
      <c r="G2932" s="0" t="n">
        <v>2.2302</v>
      </c>
      <c r="H2932" s="0" t="n">
        <v>0.2</v>
      </c>
      <c r="I2932" s="7" t="n">
        <f aca="false">YEAR(B2932)</f>
        <v>2015</v>
      </c>
      <c r="J2932" s="0" t="str">
        <f aca="false">I2932&amp;"-Q"&amp;ROUNDUP(MONTH(B2932)/3,0)</f>
        <v>2015-Q3</v>
      </c>
    </row>
    <row r="2933" customFormat="false" ht="15" hidden="false" customHeight="false" outlineLevel="0" collapsed="false">
      <c r="A2933" s="0" t="s">
        <v>1539</v>
      </c>
      <c r="B2933" s="6" t="n">
        <v>42224</v>
      </c>
      <c r="C2933" s="7" t="s">
        <v>33</v>
      </c>
      <c r="D2933" s="7" t="s">
        <v>34</v>
      </c>
      <c r="E2933" s="7" t="s">
        <v>35</v>
      </c>
      <c r="F2933" s="0" t="n">
        <v>7.28</v>
      </c>
      <c r="G2933" s="0" t="n">
        <v>2.73</v>
      </c>
      <c r="H2933" s="0" t="n">
        <v>0.2</v>
      </c>
      <c r="I2933" s="7" t="n">
        <f aca="false">YEAR(B2933)</f>
        <v>2015</v>
      </c>
      <c r="J2933" s="0" t="str">
        <f aca="false">I2933&amp;"-Q"&amp;ROUNDUP(MONTH(B2933)/3,0)</f>
        <v>2015-Q3</v>
      </c>
    </row>
    <row r="2934" customFormat="false" ht="15" hidden="false" customHeight="false" outlineLevel="0" collapsed="false">
      <c r="A2934" s="0" t="s">
        <v>1539</v>
      </c>
      <c r="B2934" s="6" t="n">
        <v>42224</v>
      </c>
      <c r="C2934" s="7" t="s">
        <v>33</v>
      </c>
      <c r="D2934" s="7" t="s">
        <v>34</v>
      </c>
      <c r="E2934" s="7" t="s">
        <v>31</v>
      </c>
      <c r="F2934" s="0" t="n">
        <v>144.784</v>
      </c>
      <c r="G2934" s="0" t="n">
        <v>10.8588</v>
      </c>
      <c r="H2934" s="0" t="n">
        <v>0.2</v>
      </c>
      <c r="I2934" s="7" t="n">
        <f aca="false">YEAR(B2934)</f>
        <v>2015</v>
      </c>
      <c r="J2934" s="0" t="str">
        <f aca="false">I2934&amp;"-Q"&amp;ROUNDUP(MONTH(B2934)/3,0)</f>
        <v>2015-Q3</v>
      </c>
    </row>
    <row r="2935" customFormat="false" ht="15" hidden="false" customHeight="false" outlineLevel="0" collapsed="false">
      <c r="A2935" s="0" t="s">
        <v>1540</v>
      </c>
      <c r="B2935" s="6" t="n">
        <v>42710</v>
      </c>
      <c r="C2935" s="7" t="s">
        <v>33</v>
      </c>
      <c r="D2935" s="7" t="s">
        <v>43</v>
      </c>
      <c r="E2935" s="7" t="s">
        <v>39</v>
      </c>
      <c r="F2935" s="0" t="n">
        <v>156.792</v>
      </c>
      <c r="G2935" s="0" t="n">
        <v>13.7193</v>
      </c>
      <c r="H2935" s="0" t="n">
        <v>0.2</v>
      </c>
      <c r="I2935" s="7" t="n">
        <f aca="false">YEAR(B2935)</f>
        <v>2016</v>
      </c>
      <c r="J2935" s="0" t="str">
        <f aca="false">I2935&amp;"-Q"&amp;ROUNDUP(MONTH(B2935)/3,0)</f>
        <v>2016-Q4</v>
      </c>
    </row>
    <row r="2936" customFormat="false" ht="15" hidden="false" customHeight="false" outlineLevel="0" collapsed="false">
      <c r="A2936" s="0" t="s">
        <v>1540</v>
      </c>
      <c r="B2936" s="6" t="n">
        <v>42710</v>
      </c>
      <c r="C2936" s="7" t="s">
        <v>33</v>
      </c>
      <c r="D2936" s="7" t="s">
        <v>43</v>
      </c>
      <c r="E2936" s="7" t="s">
        <v>39</v>
      </c>
      <c r="F2936" s="0" t="n">
        <v>431.976</v>
      </c>
      <c r="G2936" s="0" t="n">
        <v>26.9985</v>
      </c>
      <c r="H2936" s="0" t="n">
        <v>0.2</v>
      </c>
      <c r="I2936" s="7" t="n">
        <f aca="false">YEAR(B2936)</f>
        <v>2016</v>
      </c>
      <c r="J2936" s="0" t="str">
        <f aca="false">I2936&amp;"-Q"&amp;ROUNDUP(MONTH(B2936)/3,0)</f>
        <v>2016-Q4</v>
      </c>
    </row>
    <row r="2937" customFormat="false" ht="15" hidden="false" customHeight="false" outlineLevel="0" collapsed="false">
      <c r="A2937" s="0" t="s">
        <v>1540</v>
      </c>
      <c r="B2937" s="6" t="n">
        <v>42710</v>
      </c>
      <c r="C2937" s="7" t="s">
        <v>33</v>
      </c>
      <c r="D2937" s="7" t="s">
        <v>43</v>
      </c>
      <c r="E2937" s="7" t="s">
        <v>35</v>
      </c>
      <c r="F2937" s="0" t="n">
        <v>35.89</v>
      </c>
      <c r="G2937" s="0" t="n">
        <v>16.1505</v>
      </c>
      <c r="H2937" s="0" t="n">
        <v>0</v>
      </c>
      <c r="I2937" s="7" t="n">
        <f aca="false">YEAR(B2937)</f>
        <v>2016</v>
      </c>
      <c r="J2937" s="0" t="str">
        <f aca="false">I2937&amp;"-Q"&amp;ROUNDUP(MONTH(B2937)/3,0)</f>
        <v>2016-Q4</v>
      </c>
    </row>
    <row r="2938" customFormat="false" ht="15" hidden="false" customHeight="false" outlineLevel="0" collapsed="false">
      <c r="A2938" s="0" t="s">
        <v>1540</v>
      </c>
      <c r="B2938" s="6" t="n">
        <v>42710</v>
      </c>
      <c r="C2938" s="7" t="s">
        <v>33</v>
      </c>
      <c r="D2938" s="7" t="s">
        <v>43</v>
      </c>
      <c r="E2938" s="7" t="s">
        <v>35</v>
      </c>
      <c r="F2938" s="0" t="n">
        <v>47.208</v>
      </c>
      <c r="G2938" s="0" t="n">
        <v>15.3426</v>
      </c>
      <c r="H2938" s="0" t="n">
        <v>0.2</v>
      </c>
      <c r="I2938" s="7" t="n">
        <f aca="false">YEAR(B2938)</f>
        <v>2016</v>
      </c>
      <c r="J2938" s="0" t="str">
        <f aca="false">I2938&amp;"-Q"&amp;ROUNDUP(MONTH(B2938)/3,0)</f>
        <v>2016-Q4</v>
      </c>
    </row>
    <row r="2939" customFormat="false" ht="15" hidden="false" customHeight="false" outlineLevel="0" collapsed="false">
      <c r="A2939" s="0" t="s">
        <v>1540</v>
      </c>
      <c r="B2939" s="6" t="n">
        <v>42710</v>
      </c>
      <c r="C2939" s="7" t="s">
        <v>33</v>
      </c>
      <c r="D2939" s="7" t="s">
        <v>43</v>
      </c>
      <c r="E2939" s="7" t="s">
        <v>35</v>
      </c>
      <c r="F2939" s="0" t="n">
        <v>248.08</v>
      </c>
      <c r="G2939" s="0" t="n">
        <v>116.5976</v>
      </c>
      <c r="H2939" s="0" t="n">
        <v>0</v>
      </c>
      <c r="I2939" s="7" t="n">
        <f aca="false">YEAR(B2939)</f>
        <v>2016</v>
      </c>
      <c r="J2939" s="0" t="str">
        <f aca="false">I2939&amp;"-Q"&amp;ROUNDUP(MONTH(B2939)/3,0)</f>
        <v>2016-Q4</v>
      </c>
    </row>
    <row r="2940" customFormat="false" ht="15" hidden="false" customHeight="false" outlineLevel="0" collapsed="false">
      <c r="A2940" s="0" t="s">
        <v>1540</v>
      </c>
      <c r="B2940" s="6" t="n">
        <v>42710</v>
      </c>
      <c r="C2940" s="7" t="s">
        <v>33</v>
      </c>
      <c r="D2940" s="7" t="s">
        <v>43</v>
      </c>
      <c r="E2940" s="7" t="s">
        <v>35</v>
      </c>
      <c r="F2940" s="0" t="n">
        <v>189.7</v>
      </c>
      <c r="G2940" s="0" t="n">
        <v>89.159</v>
      </c>
      <c r="H2940" s="0" t="n">
        <v>0</v>
      </c>
      <c r="I2940" s="7" t="n">
        <f aca="false">YEAR(B2940)</f>
        <v>2016</v>
      </c>
      <c r="J2940" s="0" t="str">
        <f aca="false">I2940&amp;"-Q"&amp;ROUNDUP(MONTH(B2940)/3,0)</f>
        <v>2016-Q4</v>
      </c>
    </row>
    <row r="2941" customFormat="false" ht="15" hidden="false" customHeight="false" outlineLevel="0" collapsed="false">
      <c r="A2941" s="0" t="s">
        <v>1540</v>
      </c>
      <c r="B2941" s="6" t="n">
        <v>42710</v>
      </c>
      <c r="C2941" s="7" t="s">
        <v>33</v>
      </c>
      <c r="D2941" s="7" t="s">
        <v>43</v>
      </c>
      <c r="E2941" s="7" t="s">
        <v>35</v>
      </c>
      <c r="F2941" s="0" t="n">
        <v>59.808</v>
      </c>
      <c r="G2941" s="0" t="n">
        <v>19.4376</v>
      </c>
      <c r="H2941" s="0" t="n">
        <v>0.2</v>
      </c>
      <c r="I2941" s="7" t="n">
        <f aca="false">YEAR(B2941)</f>
        <v>2016</v>
      </c>
      <c r="J2941" s="0" t="str">
        <f aca="false">I2941&amp;"-Q"&amp;ROUNDUP(MONTH(B2941)/3,0)</f>
        <v>2016-Q4</v>
      </c>
    </row>
    <row r="2942" customFormat="false" ht="15" hidden="false" customHeight="false" outlineLevel="0" collapsed="false">
      <c r="A2942" s="0" t="s">
        <v>1541</v>
      </c>
      <c r="B2942" s="6" t="n">
        <v>42819</v>
      </c>
      <c r="C2942" s="7" t="s">
        <v>45</v>
      </c>
      <c r="D2942" s="7" t="s">
        <v>48</v>
      </c>
      <c r="E2942" s="7" t="s">
        <v>31</v>
      </c>
      <c r="F2942" s="0" t="n">
        <v>90.99</v>
      </c>
      <c r="G2942" s="0" t="n">
        <v>14.5584</v>
      </c>
      <c r="H2942" s="0" t="n">
        <v>0</v>
      </c>
      <c r="I2942" s="7" t="n">
        <f aca="false">YEAR(B2942)</f>
        <v>2017</v>
      </c>
      <c r="J2942" s="0" t="str">
        <f aca="false">I2942&amp;"-Q"&amp;ROUNDUP(MONTH(B2942)/3,0)</f>
        <v>2017-Q1</v>
      </c>
    </row>
    <row r="2943" customFormat="false" ht="15" hidden="false" customHeight="false" outlineLevel="0" collapsed="false">
      <c r="A2943" s="0" t="s">
        <v>1541</v>
      </c>
      <c r="B2943" s="6" t="n">
        <v>42819</v>
      </c>
      <c r="C2943" s="7" t="s">
        <v>45</v>
      </c>
      <c r="D2943" s="7" t="s">
        <v>48</v>
      </c>
      <c r="E2943" s="7" t="s">
        <v>31</v>
      </c>
      <c r="F2943" s="0" t="n">
        <v>1526.56</v>
      </c>
      <c r="G2943" s="0" t="n">
        <v>427.4368</v>
      </c>
      <c r="H2943" s="0" t="n">
        <v>0</v>
      </c>
      <c r="I2943" s="7" t="n">
        <f aca="false">YEAR(B2943)</f>
        <v>2017</v>
      </c>
      <c r="J2943" s="0" t="str">
        <f aca="false">I2943&amp;"-Q"&amp;ROUNDUP(MONTH(B2943)/3,0)</f>
        <v>2017-Q1</v>
      </c>
    </row>
    <row r="2944" customFormat="false" ht="15" hidden="false" customHeight="false" outlineLevel="0" collapsed="false">
      <c r="A2944" s="0" t="s">
        <v>1541</v>
      </c>
      <c r="B2944" s="6" t="n">
        <v>42819</v>
      </c>
      <c r="C2944" s="7" t="s">
        <v>45</v>
      </c>
      <c r="D2944" s="7" t="s">
        <v>48</v>
      </c>
      <c r="E2944" s="7" t="s">
        <v>31</v>
      </c>
      <c r="F2944" s="0" t="n">
        <v>368.97</v>
      </c>
      <c r="G2944" s="0" t="n">
        <v>40.5867</v>
      </c>
      <c r="H2944" s="0" t="n">
        <v>0</v>
      </c>
      <c r="I2944" s="7" t="n">
        <f aca="false">YEAR(B2944)</f>
        <v>2017</v>
      </c>
      <c r="J2944" s="0" t="str">
        <f aca="false">I2944&amp;"-Q"&amp;ROUNDUP(MONTH(B2944)/3,0)</f>
        <v>2017-Q1</v>
      </c>
    </row>
    <row r="2945" customFormat="false" ht="15" hidden="false" customHeight="false" outlineLevel="0" collapsed="false">
      <c r="A2945" s="0" t="s">
        <v>1542</v>
      </c>
      <c r="B2945" s="6" t="n">
        <v>43058</v>
      </c>
      <c r="C2945" s="7" t="s">
        <v>33</v>
      </c>
      <c r="D2945" s="7" t="s">
        <v>34</v>
      </c>
      <c r="E2945" s="7" t="s">
        <v>35</v>
      </c>
      <c r="F2945" s="0" t="n">
        <v>305.01</v>
      </c>
      <c r="G2945" s="0" t="n">
        <v>76.2525</v>
      </c>
      <c r="H2945" s="0" t="n">
        <v>0</v>
      </c>
      <c r="I2945" s="7" t="n">
        <f aca="false">YEAR(B2945)</f>
        <v>2017</v>
      </c>
      <c r="J2945" s="0" t="str">
        <f aca="false">I2945&amp;"-Q"&amp;ROUNDUP(MONTH(B2945)/3,0)</f>
        <v>2017-Q4</v>
      </c>
    </row>
    <row r="2946" customFormat="false" ht="15" hidden="false" customHeight="false" outlineLevel="0" collapsed="false">
      <c r="A2946" s="0" t="s">
        <v>1542</v>
      </c>
      <c r="B2946" s="6" t="n">
        <v>43058</v>
      </c>
      <c r="C2946" s="7" t="s">
        <v>33</v>
      </c>
      <c r="D2946" s="7" t="s">
        <v>34</v>
      </c>
      <c r="E2946" s="7" t="s">
        <v>31</v>
      </c>
      <c r="F2946" s="0" t="n">
        <v>18.7</v>
      </c>
      <c r="G2946" s="0" t="n">
        <v>7.106</v>
      </c>
      <c r="H2946" s="0" t="n">
        <v>0</v>
      </c>
      <c r="I2946" s="7" t="n">
        <f aca="false">YEAR(B2946)</f>
        <v>2017</v>
      </c>
      <c r="J2946" s="0" t="str">
        <f aca="false">I2946&amp;"-Q"&amp;ROUNDUP(MONTH(B2946)/3,0)</f>
        <v>2017-Q4</v>
      </c>
    </row>
    <row r="2947" customFormat="false" ht="15" hidden="false" customHeight="false" outlineLevel="0" collapsed="false">
      <c r="A2947" s="0" t="s">
        <v>1543</v>
      </c>
      <c r="B2947" s="6" t="n">
        <v>42678</v>
      </c>
      <c r="C2947" s="7" t="s">
        <v>33</v>
      </c>
      <c r="D2947" s="7" t="s">
        <v>34</v>
      </c>
      <c r="E2947" s="7" t="s">
        <v>31</v>
      </c>
      <c r="F2947" s="0" t="n">
        <v>38.29</v>
      </c>
      <c r="G2947" s="0" t="n">
        <v>16.4647</v>
      </c>
      <c r="H2947" s="0" t="n">
        <v>0</v>
      </c>
      <c r="I2947" s="7" t="n">
        <f aca="false">YEAR(B2947)</f>
        <v>2016</v>
      </c>
      <c r="J2947" s="0" t="str">
        <f aca="false">I2947&amp;"-Q"&amp;ROUNDUP(MONTH(B2947)/3,0)</f>
        <v>2016-Q4</v>
      </c>
    </row>
    <row r="2948" customFormat="false" ht="15" hidden="false" customHeight="false" outlineLevel="0" collapsed="false">
      <c r="A2948" s="0" t="s">
        <v>1544</v>
      </c>
      <c r="B2948" s="6" t="n">
        <v>43083</v>
      </c>
      <c r="C2948" s="7" t="s">
        <v>33</v>
      </c>
      <c r="D2948" s="7" t="s">
        <v>34</v>
      </c>
      <c r="E2948" s="7" t="s">
        <v>31</v>
      </c>
      <c r="F2948" s="0" t="n">
        <v>26.25</v>
      </c>
      <c r="G2948" s="0" t="n">
        <v>11.025</v>
      </c>
      <c r="H2948" s="0" t="n">
        <v>0</v>
      </c>
      <c r="I2948" s="7" t="n">
        <f aca="false">YEAR(B2948)</f>
        <v>2017</v>
      </c>
      <c r="J2948" s="0" t="str">
        <f aca="false">I2948&amp;"-Q"&amp;ROUNDUP(MONTH(B2948)/3,0)</f>
        <v>2017-Q4</v>
      </c>
    </row>
    <row r="2949" customFormat="false" ht="15" hidden="false" customHeight="false" outlineLevel="0" collapsed="false">
      <c r="A2949" s="0" t="s">
        <v>1544</v>
      </c>
      <c r="B2949" s="6" t="n">
        <v>43083</v>
      </c>
      <c r="C2949" s="7" t="s">
        <v>33</v>
      </c>
      <c r="D2949" s="7" t="s">
        <v>34</v>
      </c>
      <c r="E2949" s="7" t="s">
        <v>35</v>
      </c>
      <c r="F2949" s="0" t="n">
        <v>64.96</v>
      </c>
      <c r="G2949" s="0" t="n">
        <v>22.736</v>
      </c>
      <c r="H2949" s="0" t="n">
        <v>0.2</v>
      </c>
      <c r="I2949" s="7" t="n">
        <f aca="false">YEAR(B2949)</f>
        <v>2017</v>
      </c>
      <c r="J2949" s="0" t="str">
        <f aca="false">I2949&amp;"-Q"&amp;ROUNDUP(MONTH(B2949)/3,0)</f>
        <v>2017-Q4</v>
      </c>
    </row>
    <row r="2950" customFormat="false" ht="15" hidden="false" customHeight="false" outlineLevel="0" collapsed="false">
      <c r="A2950" s="0" t="s">
        <v>1544</v>
      </c>
      <c r="B2950" s="6" t="n">
        <v>43083</v>
      </c>
      <c r="C2950" s="7" t="s">
        <v>33</v>
      </c>
      <c r="D2950" s="7" t="s">
        <v>34</v>
      </c>
      <c r="E2950" s="7" t="s">
        <v>35</v>
      </c>
      <c r="F2950" s="0" t="n">
        <v>43.7</v>
      </c>
      <c r="G2950" s="0" t="n">
        <v>20.539</v>
      </c>
      <c r="H2950" s="0" t="n">
        <v>0</v>
      </c>
      <c r="I2950" s="7" t="n">
        <f aca="false">YEAR(B2950)</f>
        <v>2017</v>
      </c>
      <c r="J2950" s="0" t="str">
        <f aca="false">I2950&amp;"-Q"&amp;ROUNDUP(MONTH(B2950)/3,0)</f>
        <v>2017-Q4</v>
      </c>
    </row>
    <row r="2951" customFormat="false" ht="15" hidden="false" customHeight="false" outlineLevel="0" collapsed="false">
      <c r="A2951" s="0" t="s">
        <v>1545</v>
      </c>
      <c r="B2951" s="6" t="n">
        <v>43051</v>
      </c>
      <c r="C2951" s="7" t="s">
        <v>33</v>
      </c>
      <c r="D2951" s="7" t="s">
        <v>81</v>
      </c>
      <c r="E2951" s="7" t="s">
        <v>39</v>
      </c>
      <c r="F2951" s="0" t="n">
        <v>41.6</v>
      </c>
      <c r="G2951" s="0" t="n">
        <v>13</v>
      </c>
      <c r="H2951" s="0" t="n">
        <v>0.2</v>
      </c>
      <c r="I2951" s="7" t="n">
        <f aca="false">YEAR(B2951)</f>
        <v>2017</v>
      </c>
      <c r="J2951" s="0" t="str">
        <f aca="false">I2951&amp;"-Q"&amp;ROUNDUP(MONTH(B2951)/3,0)</f>
        <v>2017-Q4</v>
      </c>
    </row>
    <row r="2952" customFormat="false" ht="15" hidden="false" customHeight="false" outlineLevel="0" collapsed="false">
      <c r="A2952" s="0" t="s">
        <v>1545</v>
      </c>
      <c r="B2952" s="6" t="n">
        <v>43051</v>
      </c>
      <c r="C2952" s="7" t="s">
        <v>33</v>
      </c>
      <c r="D2952" s="7" t="s">
        <v>81</v>
      </c>
      <c r="E2952" s="7" t="s">
        <v>35</v>
      </c>
      <c r="F2952" s="0" t="n">
        <v>23.12</v>
      </c>
      <c r="G2952" s="0" t="n">
        <v>8.381</v>
      </c>
      <c r="H2952" s="0" t="n">
        <v>0.2</v>
      </c>
      <c r="I2952" s="7" t="n">
        <f aca="false">YEAR(B2952)</f>
        <v>2017</v>
      </c>
      <c r="J2952" s="0" t="str">
        <f aca="false">I2952&amp;"-Q"&amp;ROUNDUP(MONTH(B2952)/3,0)</f>
        <v>2017-Q4</v>
      </c>
    </row>
    <row r="2953" customFormat="false" ht="15" hidden="false" customHeight="false" outlineLevel="0" collapsed="false">
      <c r="A2953" s="0" t="s">
        <v>1545</v>
      </c>
      <c r="B2953" s="6" t="n">
        <v>43051</v>
      </c>
      <c r="C2953" s="7" t="s">
        <v>33</v>
      </c>
      <c r="D2953" s="7" t="s">
        <v>81</v>
      </c>
      <c r="E2953" s="7" t="s">
        <v>31</v>
      </c>
      <c r="F2953" s="0" t="n">
        <v>113.888</v>
      </c>
      <c r="G2953" s="0" t="n">
        <v>9.9652</v>
      </c>
      <c r="H2953" s="0" t="n">
        <v>0.2</v>
      </c>
      <c r="I2953" s="7" t="n">
        <f aca="false">YEAR(B2953)</f>
        <v>2017</v>
      </c>
      <c r="J2953" s="0" t="str">
        <f aca="false">I2953&amp;"-Q"&amp;ROUNDUP(MONTH(B2953)/3,0)</f>
        <v>2017-Q4</v>
      </c>
    </row>
    <row r="2954" customFormat="false" ht="15" hidden="false" customHeight="false" outlineLevel="0" collapsed="false">
      <c r="A2954" s="0" t="s">
        <v>1545</v>
      </c>
      <c r="B2954" s="6" t="n">
        <v>43051</v>
      </c>
      <c r="C2954" s="7" t="s">
        <v>33</v>
      </c>
      <c r="D2954" s="7" t="s">
        <v>81</v>
      </c>
      <c r="E2954" s="7" t="s">
        <v>31</v>
      </c>
      <c r="F2954" s="0" t="n">
        <v>113.568</v>
      </c>
      <c r="G2954" s="0" t="n">
        <v>-5.6784</v>
      </c>
      <c r="H2954" s="0" t="n">
        <v>0.2</v>
      </c>
      <c r="I2954" s="7" t="n">
        <f aca="false">YEAR(B2954)</f>
        <v>2017</v>
      </c>
      <c r="J2954" s="0" t="str">
        <f aca="false">I2954&amp;"-Q"&amp;ROUNDUP(MONTH(B2954)/3,0)</f>
        <v>2017-Q4</v>
      </c>
    </row>
    <row r="2955" customFormat="false" ht="15" hidden="false" customHeight="false" outlineLevel="0" collapsed="false">
      <c r="A2955" s="0" t="s">
        <v>1545</v>
      </c>
      <c r="B2955" s="6" t="n">
        <v>43051</v>
      </c>
      <c r="C2955" s="7" t="s">
        <v>33</v>
      </c>
      <c r="D2955" s="7" t="s">
        <v>81</v>
      </c>
      <c r="E2955" s="7" t="s">
        <v>39</v>
      </c>
      <c r="F2955" s="0" t="n">
        <v>7.92</v>
      </c>
      <c r="G2955" s="0" t="n">
        <v>0.693</v>
      </c>
      <c r="H2955" s="0" t="n">
        <v>0.2</v>
      </c>
      <c r="I2955" s="7" t="n">
        <f aca="false">YEAR(B2955)</f>
        <v>2017</v>
      </c>
      <c r="J2955" s="0" t="str">
        <f aca="false">I2955&amp;"-Q"&amp;ROUNDUP(MONTH(B2955)/3,0)</f>
        <v>2017-Q4</v>
      </c>
    </row>
    <row r="2956" customFormat="false" ht="15" hidden="false" customHeight="false" outlineLevel="0" collapsed="false">
      <c r="A2956" s="0" t="s">
        <v>1545</v>
      </c>
      <c r="B2956" s="6" t="n">
        <v>43051</v>
      </c>
      <c r="C2956" s="7" t="s">
        <v>33</v>
      </c>
      <c r="D2956" s="7" t="s">
        <v>81</v>
      </c>
      <c r="E2956" s="7" t="s">
        <v>39</v>
      </c>
      <c r="F2956" s="0" t="n">
        <v>671.984</v>
      </c>
      <c r="G2956" s="0" t="n">
        <v>50.3988</v>
      </c>
      <c r="H2956" s="0" t="n">
        <v>0.2</v>
      </c>
      <c r="I2956" s="7" t="n">
        <f aca="false">YEAR(B2956)</f>
        <v>2017</v>
      </c>
      <c r="J2956" s="0" t="str">
        <f aca="false">I2956&amp;"-Q"&amp;ROUNDUP(MONTH(B2956)/3,0)</f>
        <v>2017-Q4</v>
      </c>
    </row>
    <row r="2957" customFormat="false" ht="15" hidden="false" customHeight="false" outlineLevel="0" collapsed="false">
      <c r="A2957" s="0" t="s">
        <v>1546</v>
      </c>
      <c r="B2957" s="6" t="n">
        <v>42600</v>
      </c>
      <c r="C2957" s="7" t="s">
        <v>55</v>
      </c>
      <c r="D2957" s="7" t="s">
        <v>76</v>
      </c>
      <c r="E2957" s="7" t="s">
        <v>39</v>
      </c>
      <c r="F2957" s="0" t="n">
        <v>39.99</v>
      </c>
      <c r="G2957" s="0" t="n">
        <v>11.5971</v>
      </c>
      <c r="H2957" s="0" t="n">
        <v>0</v>
      </c>
      <c r="I2957" s="7" t="n">
        <f aca="false">YEAR(B2957)</f>
        <v>2016</v>
      </c>
      <c r="J2957" s="0" t="str">
        <f aca="false">I2957&amp;"-Q"&amp;ROUNDUP(MONTH(B2957)/3,0)</f>
        <v>2016-Q3</v>
      </c>
    </row>
    <row r="2958" customFormat="false" ht="15" hidden="false" customHeight="false" outlineLevel="0" collapsed="false">
      <c r="A2958" s="0" t="s">
        <v>1547</v>
      </c>
      <c r="B2958" s="6" t="n">
        <v>42913</v>
      </c>
      <c r="C2958" s="7" t="s">
        <v>55</v>
      </c>
      <c r="D2958" s="7" t="s">
        <v>76</v>
      </c>
      <c r="E2958" s="7" t="s">
        <v>31</v>
      </c>
      <c r="F2958" s="0" t="n">
        <v>191.646</v>
      </c>
      <c r="G2958" s="0" t="n">
        <v>31.941</v>
      </c>
      <c r="H2958" s="0" t="n">
        <v>0.1</v>
      </c>
      <c r="I2958" s="7" t="n">
        <f aca="false">YEAR(B2958)</f>
        <v>2017</v>
      </c>
      <c r="J2958" s="0" t="str">
        <f aca="false">I2958&amp;"-Q"&amp;ROUNDUP(MONTH(B2958)/3,0)</f>
        <v>2017-Q2</v>
      </c>
    </row>
    <row r="2959" customFormat="false" ht="15" hidden="false" customHeight="false" outlineLevel="0" collapsed="false">
      <c r="A2959" s="0" t="s">
        <v>1548</v>
      </c>
      <c r="B2959" s="6" t="n">
        <v>42859</v>
      </c>
      <c r="C2959" s="7" t="s">
        <v>55</v>
      </c>
      <c r="D2959" s="7" t="s">
        <v>116</v>
      </c>
      <c r="E2959" s="7" t="s">
        <v>35</v>
      </c>
      <c r="F2959" s="0" t="n">
        <v>2.313</v>
      </c>
      <c r="G2959" s="0" t="n">
        <v>-1.9275</v>
      </c>
      <c r="H2959" s="0" t="n">
        <v>0.7</v>
      </c>
      <c r="I2959" s="7" t="n">
        <f aca="false">YEAR(B2959)</f>
        <v>2017</v>
      </c>
      <c r="J2959" s="0" t="str">
        <f aca="false">I2959&amp;"-Q"&amp;ROUNDUP(MONTH(B2959)/3,0)</f>
        <v>2017-Q2</v>
      </c>
    </row>
    <row r="2960" customFormat="false" ht="15" hidden="false" customHeight="false" outlineLevel="0" collapsed="false">
      <c r="A2960" s="0" t="s">
        <v>1549</v>
      </c>
      <c r="B2960" s="6" t="n">
        <v>42362</v>
      </c>
      <c r="C2960" s="7" t="s">
        <v>33</v>
      </c>
      <c r="D2960" s="7" t="s">
        <v>34</v>
      </c>
      <c r="E2960" s="7" t="s">
        <v>35</v>
      </c>
      <c r="F2960" s="0" t="n">
        <v>19.936</v>
      </c>
      <c r="G2960" s="0" t="n">
        <v>7.2268</v>
      </c>
      <c r="H2960" s="0" t="n">
        <v>0.2</v>
      </c>
      <c r="I2960" s="7" t="n">
        <f aca="false">YEAR(B2960)</f>
        <v>2015</v>
      </c>
      <c r="J2960" s="0" t="str">
        <f aca="false">I2960&amp;"-Q"&amp;ROUNDUP(MONTH(B2960)/3,0)</f>
        <v>2015-Q4</v>
      </c>
    </row>
    <row r="2961" customFormat="false" ht="15" hidden="false" customHeight="false" outlineLevel="0" collapsed="false">
      <c r="A2961" s="0" t="s">
        <v>1549</v>
      </c>
      <c r="B2961" s="6" t="n">
        <v>42362</v>
      </c>
      <c r="C2961" s="7" t="s">
        <v>33</v>
      </c>
      <c r="D2961" s="7" t="s">
        <v>34</v>
      </c>
      <c r="E2961" s="7" t="s">
        <v>35</v>
      </c>
      <c r="F2961" s="0" t="n">
        <v>45.92</v>
      </c>
      <c r="G2961" s="0" t="n">
        <v>21.5824</v>
      </c>
      <c r="H2961" s="0" t="n">
        <v>0</v>
      </c>
      <c r="I2961" s="7" t="n">
        <f aca="false">YEAR(B2961)</f>
        <v>2015</v>
      </c>
      <c r="J2961" s="0" t="str">
        <f aca="false">I2961&amp;"-Q"&amp;ROUNDUP(MONTH(B2961)/3,0)</f>
        <v>2015-Q4</v>
      </c>
    </row>
    <row r="2962" customFormat="false" ht="15" hidden="false" customHeight="false" outlineLevel="0" collapsed="false">
      <c r="A2962" s="0" t="s">
        <v>1550</v>
      </c>
      <c r="B2962" s="6" t="n">
        <v>42851</v>
      </c>
      <c r="C2962" s="7" t="s">
        <v>33</v>
      </c>
      <c r="D2962" s="7" t="s">
        <v>43</v>
      </c>
      <c r="E2962" s="7" t="s">
        <v>35</v>
      </c>
      <c r="F2962" s="0" t="n">
        <v>20.34</v>
      </c>
      <c r="G2962" s="0" t="n">
        <v>9.3564</v>
      </c>
      <c r="H2962" s="0" t="n">
        <v>0</v>
      </c>
      <c r="I2962" s="7" t="n">
        <f aca="false">YEAR(B2962)</f>
        <v>2017</v>
      </c>
      <c r="J2962" s="0" t="str">
        <f aca="false">I2962&amp;"-Q"&amp;ROUNDUP(MONTH(B2962)/3,0)</f>
        <v>2017-Q2</v>
      </c>
    </row>
    <row r="2963" customFormat="false" ht="15" hidden="false" customHeight="false" outlineLevel="0" collapsed="false">
      <c r="A2963" s="0" t="s">
        <v>1550</v>
      </c>
      <c r="B2963" s="6" t="n">
        <v>42851</v>
      </c>
      <c r="C2963" s="7" t="s">
        <v>33</v>
      </c>
      <c r="D2963" s="7" t="s">
        <v>43</v>
      </c>
      <c r="E2963" s="7" t="s">
        <v>35</v>
      </c>
      <c r="F2963" s="0" t="n">
        <v>39.28</v>
      </c>
      <c r="G2963" s="0" t="n">
        <v>19.2472</v>
      </c>
      <c r="H2963" s="0" t="n">
        <v>0</v>
      </c>
      <c r="I2963" s="7" t="n">
        <f aca="false">YEAR(B2963)</f>
        <v>2017</v>
      </c>
      <c r="J2963" s="0" t="str">
        <f aca="false">I2963&amp;"-Q"&amp;ROUNDUP(MONTH(B2963)/3,0)</f>
        <v>2017-Q2</v>
      </c>
    </row>
    <row r="2964" customFormat="false" ht="15" hidden="false" customHeight="false" outlineLevel="0" collapsed="false">
      <c r="A2964" s="0" t="s">
        <v>1551</v>
      </c>
      <c r="B2964" s="6" t="n">
        <v>43085</v>
      </c>
      <c r="C2964" s="7" t="s">
        <v>33</v>
      </c>
      <c r="D2964" s="7" t="s">
        <v>34</v>
      </c>
      <c r="E2964" s="7" t="s">
        <v>31</v>
      </c>
      <c r="F2964" s="0" t="n">
        <v>81.568</v>
      </c>
      <c r="G2964" s="0" t="n">
        <v>9.1764</v>
      </c>
      <c r="H2964" s="0" t="n">
        <v>0.2</v>
      </c>
      <c r="I2964" s="7" t="n">
        <f aca="false">YEAR(B2964)</f>
        <v>2017</v>
      </c>
      <c r="J2964" s="0" t="str">
        <f aca="false">I2964&amp;"-Q"&amp;ROUNDUP(MONTH(B2964)/3,0)</f>
        <v>2017-Q4</v>
      </c>
    </row>
    <row r="2965" customFormat="false" ht="15" hidden="false" customHeight="false" outlineLevel="0" collapsed="false">
      <c r="A2965" s="0" t="s">
        <v>1551</v>
      </c>
      <c r="B2965" s="6" t="n">
        <v>43085</v>
      </c>
      <c r="C2965" s="7" t="s">
        <v>33</v>
      </c>
      <c r="D2965" s="7" t="s">
        <v>34</v>
      </c>
      <c r="E2965" s="7" t="s">
        <v>31</v>
      </c>
      <c r="F2965" s="0" t="n">
        <v>97.184</v>
      </c>
      <c r="G2965" s="0" t="n">
        <v>6.074</v>
      </c>
      <c r="H2965" s="0" t="n">
        <v>0.2</v>
      </c>
      <c r="I2965" s="7" t="n">
        <f aca="false">YEAR(B2965)</f>
        <v>2017</v>
      </c>
      <c r="J2965" s="0" t="str">
        <f aca="false">I2965&amp;"-Q"&amp;ROUNDUP(MONTH(B2965)/3,0)</f>
        <v>2017-Q4</v>
      </c>
    </row>
    <row r="2966" customFormat="false" ht="15" hidden="false" customHeight="false" outlineLevel="0" collapsed="false">
      <c r="A2966" s="0" t="s">
        <v>1551</v>
      </c>
      <c r="B2966" s="6" t="n">
        <v>43085</v>
      </c>
      <c r="C2966" s="7" t="s">
        <v>33</v>
      </c>
      <c r="D2966" s="7" t="s">
        <v>34</v>
      </c>
      <c r="E2966" s="7" t="s">
        <v>35</v>
      </c>
      <c r="F2966" s="0" t="n">
        <v>24.32</v>
      </c>
      <c r="G2966" s="0" t="n">
        <v>8.208</v>
      </c>
      <c r="H2966" s="0" t="n">
        <v>0.2</v>
      </c>
      <c r="I2966" s="7" t="n">
        <f aca="false">YEAR(B2966)</f>
        <v>2017</v>
      </c>
      <c r="J2966" s="0" t="str">
        <f aca="false">I2966&amp;"-Q"&amp;ROUNDUP(MONTH(B2966)/3,0)</f>
        <v>2017-Q4</v>
      </c>
    </row>
    <row r="2967" customFormat="false" ht="15" hidden="false" customHeight="false" outlineLevel="0" collapsed="false">
      <c r="A2967" s="0" t="s">
        <v>1551</v>
      </c>
      <c r="B2967" s="6" t="n">
        <v>43085</v>
      </c>
      <c r="C2967" s="7" t="s">
        <v>33</v>
      </c>
      <c r="D2967" s="7" t="s">
        <v>34</v>
      </c>
      <c r="E2967" s="7" t="s">
        <v>31</v>
      </c>
      <c r="F2967" s="0" t="n">
        <v>18.96</v>
      </c>
      <c r="G2967" s="0" t="n">
        <v>7.584</v>
      </c>
      <c r="H2967" s="0" t="n">
        <v>0</v>
      </c>
      <c r="I2967" s="7" t="n">
        <f aca="false">YEAR(B2967)</f>
        <v>2017</v>
      </c>
      <c r="J2967" s="0" t="str">
        <f aca="false">I2967&amp;"-Q"&amp;ROUNDUP(MONTH(B2967)/3,0)</f>
        <v>2017-Q4</v>
      </c>
    </row>
    <row r="2968" customFormat="false" ht="15" hidden="false" customHeight="false" outlineLevel="0" collapsed="false">
      <c r="A2968" s="0" t="s">
        <v>1552</v>
      </c>
      <c r="B2968" s="6" t="n">
        <v>42000</v>
      </c>
      <c r="C2968" s="7" t="s">
        <v>45</v>
      </c>
      <c r="D2968" s="7" t="s">
        <v>64</v>
      </c>
      <c r="E2968" s="7" t="s">
        <v>31</v>
      </c>
      <c r="F2968" s="0" t="n">
        <v>32.952</v>
      </c>
      <c r="G2968" s="0" t="n">
        <v>-19.7712</v>
      </c>
      <c r="H2968" s="0" t="n">
        <v>0.6</v>
      </c>
      <c r="I2968" s="7" t="n">
        <f aca="false">YEAR(B2968)</f>
        <v>2014</v>
      </c>
      <c r="J2968" s="0" t="str">
        <f aca="false">I2968&amp;"-Q"&amp;ROUNDUP(MONTH(B2968)/3,0)</f>
        <v>2014-Q4</v>
      </c>
    </row>
    <row r="2969" customFormat="false" ht="15" hidden="false" customHeight="false" outlineLevel="0" collapsed="false">
      <c r="A2969" s="0" t="s">
        <v>1552</v>
      </c>
      <c r="B2969" s="6" t="n">
        <v>42000</v>
      </c>
      <c r="C2969" s="7" t="s">
        <v>45</v>
      </c>
      <c r="D2969" s="7" t="s">
        <v>64</v>
      </c>
      <c r="E2969" s="7" t="s">
        <v>35</v>
      </c>
      <c r="F2969" s="0" t="n">
        <v>30.016</v>
      </c>
      <c r="G2969" s="0" t="n">
        <v>3.0016</v>
      </c>
      <c r="H2969" s="0" t="n">
        <v>0.2</v>
      </c>
      <c r="I2969" s="7" t="n">
        <f aca="false">YEAR(B2969)</f>
        <v>2014</v>
      </c>
      <c r="J2969" s="0" t="str">
        <f aca="false">I2969&amp;"-Q"&amp;ROUNDUP(MONTH(B2969)/3,0)</f>
        <v>2014-Q4</v>
      </c>
    </row>
    <row r="2970" customFormat="false" ht="15" hidden="false" customHeight="false" outlineLevel="0" collapsed="false">
      <c r="A2970" s="0" t="s">
        <v>1553</v>
      </c>
      <c r="B2970" s="6" t="n">
        <v>43045</v>
      </c>
      <c r="C2970" s="7" t="s">
        <v>29</v>
      </c>
      <c r="D2970" s="7" t="s">
        <v>41</v>
      </c>
      <c r="E2970" s="7" t="s">
        <v>35</v>
      </c>
      <c r="F2970" s="0" t="n">
        <v>499.584</v>
      </c>
      <c r="G2970" s="0" t="n">
        <v>43.7136</v>
      </c>
      <c r="H2970" s="0" t="n">
        <v>0.2</v>
      </c>
      <c r="I2970" s="7" t="n">
        <f aca="false">YEAR(B2970)</f>
        <v>2017</v>
      </c>
      <c r="J2970" s="0" t="str">
        <f aca="false">I2970&amp;"-Q"&amp;ROUNDUP(MONTH(B2970)/3,0)</f>
        <v>2017-Q4</v>
      </c>
    </row>
    <row r="2971" customFormat="false" ht="15" hidden="false" customHeight="false" outlineLevel="0" collapsed="false">
      <c r="A2971" s="0" t="s">
        <v>1553</v>
      </c>
      <c r="B2971" s="6" t="n">
        <v>43045</v>
      </c>
      <c r="C2971" s="7" t="s">
        <v>29</v>
      </c>
      <c r="D2971" s="7" t="s">
        <v>41</v>
      </c>
      <c r="E2971" s="7" t="s">
        <v>35</v>
      </c>
      <c r="F2971" s="0" t="n">
        <v>31.104</v>
      </c>
      <c r="G2971" s="0" t="n">
        <v>10.8864</v>
      </c>
      <c r="H2971" s="0" t="n">
        <v>0.2</v>
      </c>
      <c r="I2971" s="7" t="n">
        <f aca="false">YEAR(B2971)</f>
        <v>2017</v>
      </c>
      <c r="J2971" s="0" t="str">
        <f aca="false">I2971&amp;"-Q"&amp;ROUNDUP(MONTH(B2971)/3,0)</f>
        <v>2017-Q4</v>
      </c>
    </row>
    <row r="2972" customFormat="false" ht="15" hidden="false" customHeight="false" outlineLevel="0" collapsed="false">
      <c r="A2972" s="0" t="s">
        <v>1553</v>
      </c>
      <c r="B2972" s="6" t="n">
        <v>43045</v>
      </c>
      <c r="C2972" s="7" t="s">
        <v>29</v>
      </c>
      <c r="D2972" s="7" t="s">
        <v>41</v>
      </c>
      <c r="E2972" s="7" t="s">
        <v>35</v>
      </c>
      <c r="F2972" s="0" t="n">
        <v>13.272</v>
      </c>
      <c r="G2972" s="0" t="n">
        <v>-10.6176</v>
      </c>
      <c r="H2972" s="0" t="n">
        <v>0.7</v>
      </c>
      <c r="I2972" s="7" t="n">
        <f aca="false">YEAR(B2972)</f>
        <v>2017</v>
      </c>
      <c r="J2972" s="0" t="str">
        <f aca="false">I2972&amp;"-Q"&amp;ROUNDUP(MONTH(B2972)/3,0)</f>
        <v>2017-Q4</v>
      </c>
    </row>
    <row r="2973" customFormat="false" ht="15" hidden="false" customHeight="false" outlineLevel="0" collapsed="false">
      <c r="A2973" s="0" t="s">
        <v>1553</v>
      </c>
      <c r="B2973" s="6" t="n">
        <v>43045</v>
      </c>
      <c r="C2973" s="7" t="s">
        <v>29</v>
      </c>
      <c r="D2973" s="7" t="s">
        <v>41</v>
      </c>
      <c r="E2973" s="7" t="s">
        <v>31</v>
      </c>
      <c r="F2973" s="0" t="n">
        <v>28.272</v>
      </c>
      <c r="G2973" s="0" t="n">
        <v>6.3612</v>
      </c>
      <c r="H2973" s="0" t="n">
        <v>0.2</v>
      </c>
      <c r="I2973" s="7" t="n">
        <f aca="false">YEAR(B2973)</f>
        <v>2017</v>
      </c>
      <c r="J2973" s="0" t="str">
        <f aca="false">I2973&amp;"-Q"&amp;ROUNDUP(MONTH(B2973)/3,0)</f>
        <v>2017-Q4</v>
      </c>
    </row>
    <row r="2974" customFormat="false" ht="15" hidden="false" customHeight="false" outlineLevel="0" collapsed="false">
      <c r="A2974" s="0" t="s">
        <v>1553</v>
      </c>
      <c r="B2974" s="6" t="n">
        <v>43045</v>
      </c>
      <c r="C2974" s="7" t="s">
        <v>29</v>
      </c>
      <c r="D2974" s="7" t="s">
        <v>41</v>
      </c>
      <c r="E2974" s="7" t="s">
        <v>35</v>
      </c>
      <c r="F2974" s="0" t="n">
        <v>259.136</v>
      </c>
      <c r="G2974" s="0" t="n">
        <v>-51.8272</v>
      </c>
      <c r="H2974" s="0" t="n">
        <v>0.2</v>
      </c>
      <c r="I2974" s="7" t="n">
        <f aca="false">YEAR(B2974)</f>
        <v>2017</v>
      </c>
      <c r="J2974" s="0" t="str">
        <f aca="false">I2974&amp;"-Q"&amp;ROUNDUP(MONTH(B2974)/3,0)</f>
        <v>2017-Q4</v>
      </c>
    </row>
    <row r="2975" customFormat="false" ht="15" hidden="false" customHeight="false" outlineLevel="0" collapsed="false">
      <c r="A2975" s="0" t="s">
        <v>1554</v>
      </c>
      <c r="B2975" s="6" t="n">
        <v>43085</v>
      </c>
      <c r="C2975" s="7" t="s">
        <v>45</v>
      </c>
      <c r="D2975" s="7" t="s">
        <v>138</v>
      </c>
      <c r="E2975" s="7" t="s">
        <v>35</v>
      </c>
      <c r="F2975" s="0" t="n">
        <v>10.8</v>
      </c>
      <c r="G2975" s="0" t="n">
        <v>5.184</v>
      </c>
      <c r="H2975" s="0" t="n">
        <v>0</v>
      </c>
      <c r="I2975" s="7" t="n">
        <f aca="false">YEAR(B2975)</f>
        <v>2017</v>
      </c>
      <c r="J2975" s="0" t="str">
        <f aca="false">I2975&amp;"-Q"&amp;ROUNDUP(MONTH(B2975)/3,0)</f>
        <v>2017-Q4</v>
      </c>
    </row>
    <row r="2976" customFormat="false" ht="15" hidden="false" customHeight="false" outlineLevel="0" collapsed="false">
      <c r="A2976" s="0" t="s">
        <v>1555</v>
      </c>
      <c r="B2976" s="6" t="n">
        <v>42131</v>
      </c>
      <c r="C2976" s="7" t="s">
        <v>45</v>
      </c>
      <c r="D2976" s="7" t="s">
        <v>46</v>
      </c>
      <c r="E2976" s="7" t="s">
        <v>31</v>
      </c>
      <c r="F2976" s="0" t="n">
        <v>244.006</v>
      </c>
      <c r="G2976" s="0" t="n">
        <v>-31.3722</v>
      </c>
      <c r="H2976" s="0" t="n">
        <v>0.3</v>
      </c>
      <c r="I2976" s="7" t="n">
        <f aca="false">YEAR(B2976)</f>
        <v>2015</v>
      </c>
      <c r="J2976" s="0" t="str">
        <f aca="false">I2976&amp;"-Q"&amp;ROUNDUP(MONTH(B2976)/3,0)</f>
        <v>2015-Q2</v>
      </c>
    </row>
    <row r="2977" customFormat="false" ht="15" hidden="false" customHeight="false" outlineLevel="0" collapsed="false">
      <c r="A2977" s="0" t="s">
        <v>1555</v>
      </c>
      <c r="B2977" s="6" t="n">
        <v>42131</v>
      </c>
      <c r="C2977" s="7" t="s">
        <v>45</v>
      </c>
      <c r="D2977" s="7" t="s">
        <v>46</v>
      </c>
      <c r="E2977" s="7" t="s">
        <v>35</v>
      </c>
      <c r="F2977" s="0" t="n">
        <v>15.936</v>
      </c>
      <c r="G2977" s="0" t="n">
        <v>5.3784</v>
      </c>
      <c r="H2977" s="0" t="n">
        <v>0.2</v>
      </c>
      <c r="I2977" s="7" t="n">
        <f aca="false">YEAR(B2977)</f>
        <v>2015</v>
      </c>
      <c r="J2977" s="0" t="str">
        <f aca="false">I2977&amp;"-Q"&amp;ROUNDUP(MONTH(B2977)/3,0)</f>
        <v>2015-Q2</v>
      </c>
    </row>
    <row r="2978" customFormat="false" ht="15" hidden="false" customHeight="false" outlineLevel="0" collapsed="false">
      <c r="A2978" s="0" t="s">
        <v>1556</v>
      </c>
      <c r="B2978" s="6" t="n">
        <v>43073</v>
      </c>
      <c r="C2978" s="7" t="s">
        <v>55</v>
      </c>
      <c r="D2978" s="7" t="s">
        <v>56</v>
      </c>
      <c r="E2978" s="7" t="s">
        <v>31</v>
      </c>
      <c r="F2978" s="0" t="n">
        <v>188.552</v>
      </c>
      <c r="G2978" s="0" t="n">
        <v>-2.6936</v>
      </c>
      <c r="H2978" s="0" t="n">
        <v>0.3</v>
      </c>
      <c r="I2978" s="7" t="n">
        <f aca="false">YEAR(B2978)</f>
        <v>2017</v>
      </c>
      <c r="J2978" s="0" t="str">
        <f aca="false">I2978&amp;"-Q"&amp;ROUNDUP(MONTH(B2978)/3,0)</f>
        <v>2017-Q4</v>
      </c>
    </row>
    <row r="2979" customFormat="false" ht="15" hidden="false" customHeight="false" outlineLevel="0" collapsed="false">
      <c r="A2979" s="0" t="s">
        <v>1557</v>
      </c>
      <c r="B2979" s="6" t="n">
        <v>43011</v>
      </c>
      <c r="C2979" s="7" t="s">
        <v>55</v>
      </c>
      <c r="D2979" s="7" t="s">
        <v>76</v>
      </c>
      <c r="E2979" s="7" t="s">
        <v>35</v>
      </c>
      <c r="F2979" s="0" t="n">
        <v>22.58</v>
      </c>
      <c r="G2979" s="0" t="n">
        <v>5.8708</v>
      </c>
      <c r="H2979" s="0" t="n">
        <v>0</v>
      </c>
      <c r="I2979" s="7" t="n">
        <f aca="false">YEAR(B2979)</f>
        <v>2017</v>
      </c>
      <c r="J2979" s="0" t="str">
        <f aca="false">I2979&amp;"-Q"&amp;ROUNDUP(MONTH(B2979)/3,0)</f>
        <v>2017-Q4</v>
      </c>
    </row>
    <row r="2980" customFormat="false" ht="15" hidden="false" customHeight="false" outlineLevel="0" collapsed="false">
      <c r="A2980" s="0" t="s">
        <v>1558</v>
      </c>
      <c r="B2980" s="6" t="n">
        <v>41652</v>
      </c>
      <c r="C2980" s="7" t="s">
        <v>29</v>
      </c>
      <c r="D2980" s="7" t="s">
        <v>96</v>
      </c>
      <c r="E2980" s="7" t="s">
        <v>31</v>
      </c>
      <c r="F2980" s="0" t="n">
        <v>545.94</v>
      </c>
      <c r="G2980" s="0" t="n">
        <v>87.3504</v>
      </c>
      <c r="H2980" s="0" t="n">
        <v>0</v>
      </c>
      <c r="I2980" s="7" t="n">
        <f aca="false">YEAR(B2980)</f>
        <v>2014</v>
      </c>
      <c r="J2980" s="0" t="str">
        <f aca="false">I2980&amp;"-Q"&amp;ROUNDUP(MONTH(B2980)/3,0)</f>
        <v>2014-Q1</v>
      </c>
    </row>
    <row r="2981" customFormat="false" ht="15" hidden="false" customHeight="false" outlineLevel="0" collapsed="false">
      <c r="A2981" s="0" t="s">
        <v>1559</v>
      </c>
      <c r="B2981" s="6" t="n">
        <v>42167</v>
      </c>
      <c r="C2981" s="7" t="s">
        <v>55</v>
      </c>
      <c r="D2981" s="7" t="s">
        <v>56</v>
      </c>
      <c r="E2981" s="7" t="s">
        <v>35</v>
      </c>
      <c r="F2981" s="0" t="n">
        <v>20.736</v>
      </c>
      <c r="G2981" s="0" t="n">
        <v>7.2576</v>
      </c>
      <c r="H2981" s="0" t="n">
        <v>0.2</v>
      </c>
      <c r="I2981" s="7" t="n">
        <f aca="false">YEAR(B2981)</f>
        <v>2015</v>
      </c>
      <c r="J2981" s="0" t="str">
        <f aca="false">I2981&amp;"-Q"&amp;ROUNDUP(MONTH(B2981)/3,0)</f>
        <v>2015-Q2</v>
      </c>
    </row>
    <row r="2982" customFormat="false" ht="15" hidden="false" customHeight="false" outlineLevel="0" collapsed="false">
      <c r="A2982" s="0" t="s">
        <v>1559</v>
      </c>
      <c r="B2982" s="6" t="n">
        <v>42167</v>
      </c>
      <c r="C2982" s="7" t="s">
        <v>55</v>
      </c>
      <c r="D2982" s="7" t="s">
        <v>56</v>
      </c>
      <c r="E2982" s="7" t="s">
        <v>31</v>
      </c>
      <c r="F2982" s="0" t="n">
        <v>43.296</v>
      </c>
      <c r="G2982" s="0" t="n">
        <v>4.3296</v>
      </c>
      <c r="H2982" s="0" t="n">
        <v>0.2</v>
      </c>
      <c r="I2982" s="7" t="n">
        <f aca="false">YEAR(B2982)</f>
        <v>2015</v>
      </c>
      <c r="J2982" s="0" t="str">
        <f aca="false">I2982&amp;"-Q"&amp;ROUNDUP(MONTH(B2982)/3,0)</f>
        <v>2015-Q2</v>
      </c>
    </row>
    <row r="2983" customFormat="false" ht="15" hidden="false" customHeight="false" outlineLevel="0" collapsed="false">
      <c r="A2983" s="0" t="s">
        <v>1560</v>
      </c>
      <c r="B2983" s="6" t="n">
        <v>41832</v>
      </c>
      <c r="C2983" s="7" t="s">
        <v>33</v>
      </c>
      <c r="D2983" s="7" t="s">
        <v>43</v>
      </c>
      <c r="E2983" s="7" t="s">
        <v>31</v>
      </c>
      <c r="F2983" s="0" t="n">
        <v>123.136</v>
      </c>
      <c r="G2983" s="0" t="n">
        <v>13.8528</v>
      </c>
      <c r="H2983" s="0" t="n">
        <v>0.2</v>
      </c>
      <c r="I2983" s="7" t="n">
        <f aca="false">YEAR(B2983)</f>
        <v>2014</v>
      </c>
      <c r="J2983" s="0" t="str">
        <f aca="false">I2983&amp;"-Q"&amp;ROUNDUP(MONTH(B2983)/3,0)</f>
        <v>2014-Q3</v>
      </c>
    </row>
    <row r="2984" customFormat="false" ht="15" hidden="false" customHeight="false" outlineLevel="0" collapsed="false">
      <c r="A2984" s="0" t="s">
        <v>1560</v>
      </c>
      <c r="B2984" s="6" t="n">
        <v>41832</v>
      </c>
      <c r="C2984" s="7" t="s">
        <v>33</v>
      </c>
      <c r="D2984" s="7" t="s">
        <v>43</v>
      </c>
      <c r="E2984" s="7" t="s">
        <v>35</v>
      </c>
      <c r="F2984" s="0" t="n">
        <v>11.264</v>
      </c>
      <c r="G2984" s="0" t="n">
        <v>3.8016</v>
      </c>
      <c r="H2984" s="0" t="n">
        <v>0.2</v>
      </c>
      <c r="I2984" s="7" t="n">
        <f aca="false">YEAR(B2984)</f>
        <v>2014</v>
      </c>
      <c r="J2984" s="0" t="str">
        <f aca="false">I2984&amp;"-Q"&amp;ROUNDUP(MONTH(B2984)/3,0)</f>
        <v>2014-Q3</v>
      </c>
    </row>
    <row r="2985" customFormat="false" ht="15" hidden="false" customHeight="false" outlineLevel="0" collapsed="false">
      <c r="A2985" s="0" t="s">
        <v>1561</v>
      </c>
      <c r="B2985" s="6" t="n">
        <v>41979</v>
      </c>
      <c r="C2985" s="7" t="s">
        <v>33</v>
      </c>
      <c r="D2985" s="7" t="s">
        <v>102</v>
      </c>
      <c r="E2985" s="7" t="s">
        <v>35</v>
      </c>
      <c r="F2985" s="0" t="n">
        <v>53.424</v>
      </c>
      <c r="G2985" s="0" t="n">
        <v>4.6746</v>
      </c>
      <c r="H2985" s="0" t="n">
        <v>0.2</v>
      </c>
      <c r="I2985" s="7" t="n">
        <f aca="false">YEAR(B2985)</f>
        <v>2014</v>
      </c>
      <c r="J2985" s="0" t="str">
        <f aca="false">I2985&amp;"-Q"&amp;ROUNDUP(MONTH(B2985)/3,0)</f>
        <v>2014-Q4</v>
      </c>
    </row>
    <row r="2986" customFormat="false" ht="15" hidden="false" customHeight="false" outlineLevel="0" collapsed="false">
      <c r="A2986" s="0" t="s">
        <v>1561</v>
      </c>
      <c r="B2986" s="6" t="n">
        <v>41979</v>
      </c>
      <c r="C2986" s="7" t="s">
        <v>33</v>
      </c>
      <c r="D2986" s="7" t="s">
        <v>102</v>
      </c>
      <c r="E2986" s="7" t="s">
        <v>31</v>
      </c>
      <c r="F2986" s="0" t="n">
        <v>275.49</v>
      </c>
      <c r="G2986" s="0" t="n">
        <v>-170.8038</v>
      </c>
      <c r="H2986" s="0" t="n">
        <v>0.5</v>
      </c>
      <c r="I2986" s="7" t="n">
        <f aca="false">YEAR(B2986)</f>
        <v>2014</v>
      </c>
      <c r="J2986" s="0" t="str">
        <f aca="false">I2986&amp;"-Q"&amp;ROUNDUP(MONTH(B2986)/3,0)</f>
        <v>2014-Q4</v>
      </c>
    </row>
    <row r="2987" customFormat="false" ht="15" hidden="false" customHeight="false" outlineLevel="0" collapsed="false">
      <c r="A2987" s="0" t="s">
        <v>1562</v>
      </c>
      <c r="B2987" s="6" t="n">
        <v>42515</v>
      </c>
      <c r="C2987" s="7" t="s">
        <v>29</v>
      </c>
      <c r="D2987" s="7" t="s">
        <v>230</v>
      </c>
      <c r="E2987" s="7" t="s">
        <v>31</v>
      </c>
      <c r="F2987" s="0" t="n">
        <v>24.96</v>
      </c>
      <c r="G2987" s="0" t="n">
        <v>6.24</v>
      </c>
      <c r="H2987" s="0" t="n">
        <v>0</v>
      </c>
      <c r="I2987" s="7" t="n">
        <f aca="false">YEAR(B2987)</f>
        <v>2016</v>
      </c>
      <c r="J2987" s="0" t="str">
        <f aca="false">I2987&amp;"-Q"&amp;ROUNDUP(MONTH(B2987)/3,0)</f>
        <v>2016-Q2</v>
      </c>
    </row>
    <row r="2988" customFormat="false" ht="15" hidden="false" customHeight="false" outlineLevel="0" collapsed="false">
      <c r="A2988" s="0" t="s">
        <v>1562</v>
      </c>
      <c r="B2988" s="6" t="n">
        <v>42515</v>
      </c>
      <c r="C2988" s="7" t="s">
        <v>29</v>
      </c>
      <c r="D2988" s="7" t="s">
        <v>230</v>
      </c>
      <c r="E2988" s="7" t="s">
        <v>35</v>
      </c>
      <c r="F2988" s="0" t="n">
        <v>19.36</v>
      </c>
      <c r="G2988" s="0" t="n">
        <v>9.2928</v>
      </c>
      <c r="H2988" s="0" t="n">
        <v>0</v>
      </c>
      <c r="I2988" s="7" t="n">
        <f aca="false">YEAR(B2988)</f>
        <v>2016</v>
      </c>
      <c r="J2988" s="0" t="str">
        <f aca="false">I2988&amp;"-Q"&amp;ROUNDUP(MONTH(B2988)/3,0)</f>
        <v>2016-Q2</v>
      </c>
    </row>
    <row r="2989" customFormat="false" ht="15" hidden="false" customHeight="false" outlineLevel="0" collapsed="false">
      <c r="A2989" s="0" t="s">
        <v>1562</v>
      </c>
      <c r="B2989" s="6" t="n">
        <v>42515</v>
      </c>
      <c r="C2989" s="7" t="s">
        <v>29</v>
      </c>
      <c r="D2989" s="7" t="s">
        <v>230</v>
      </c>
      <c r="E2989" s="7" t="s">
        <v>35</v>
      </c>
      <c r="F2989" s="0" t="n">
        <v>1267.65</v>
      </c>
      <c r="G2989" s="0" t="n">
        <v>152.118</v>
      </c>
      <c r="H2989" s="0" t="n">
        <v>0</v>
      </c>
      <c r="I2989" s="7" t="n">
        <f aca="false">YEAR(B2989)</f>
        <v>2016</v>
      </c>
      <c r="J2989" s="0" t="str">
        <f aca="false">I2989&amp;"-Q"&amp;ROUNDUP(MONTH(B2989)/3,0)</f>
        <v>2016-Q2</v>
      </c>
    </row>
    <row r="2990" customFormat="false" ht="15" hidden="false" customHeight="false" outlineLevel="0" collapsed="false">
      <c r="A2990" s="0" t="s">
        <v>1563</v>
      </c>
      <c r="B2990" s="6" t="n">
        <v>42421</v>
      </c>
      <c r="C2990" s="7" t="s">
        <v>33</v>
      </c>
      <c r="D2990" s="7" t="s">
        <v>34</v>
      </c>
      <c r="E2990" s="7" t="s">
        <v>39</v>
      </c>
      <c r="F2990" s="0" t="n">
        <v>12.99</v>
      </c>
      <c r="G2990" s="0" t="n">
        <v>0.7794</v>
      </c>
      <c r="H2990" s="0" t="n">
        <v>0</v>
      </c>
      <c r="I2990" s="7" t="n">
        <f aca="false">YEAR(B2990)</f>
        <v>2016</v>
      </c>
      <c r="J2990" s="0" t="str">
        <f aca="false">I2990&amp;"-Q"&amp;ROUNDUP(MONTH(B2990)/3,0)</f>
        <v>2016-Q1</v>
      </c>
    </row>
    <row r="2991" customFormat="false" ht="15" hidden="false" customHeight="false" outlineLevel="0" collapsed="false">
      <c r="A2991" s="0" t="s">
        <v>1563</v>
      </c>
      <c r="B2991" s="6" t="n">
        <v>42421</v>
      </c>
      <c r="C2991" s="7" t="s">
        <v>33</v>
      </c>
      <c r="D2991" s="7" t="s">
        <v>34</v>
      </c>
      <c r="E2991" s="7" t="s">
        <v>35</v>
      </c>
      <c r="F2991" s="0" t="n">
        <v>18.56</v>
      </c>
      <c r="G2991" s="0" t="n">
        <v>6.496</v>
      </c>
      <c r="H2991" s="0" t="n">
        <v>0.2</v>
      </c>
      <c r="I2991" s="7" t="n">
        <f aca="false">YEAR(B2991)</f>
        <v>2016</v>
      </c>
      <c r="J2991" s="0" t="str">
        <f aca="false">I2991&amp;"-Q"&amp;ROUNDUP(MONTH(B2991)/3,0)</f>
        <v>2016-Q1</v>
      </c>
    </row>
    <row r="2992" customFormat="false" ht="15" hidden="false" customHeight="false" outlineLevel="0" collapsed="false">
      <c r="A2992" s="0" t="s">
        <v>1563</v>
      </c>
      <c r="B2992" s="6" t="n">
        <v>42421</v>
      </c>
      <c r="C2992" s="7" t="s">
        <v>33</v>
      </c>
      <c r="D2992" s="7" t="s">
        <v>34</v>
      </c>
      <c r="E2992" s="7" t="s">
        <v>35</v>
      </c>
      <c r="F2992" s="0" t="n">
        <v>449.15</v>
      </c>
      <c r="G2992" s="0" t="n">
        <v>8.983</v>
      </c>
      <c r="H2992" s="0" t="n">
        <v>0</v>
      </c>
      <c r="I2992" s="7" t="n">
        <f aca="false">YEAR(B2992)</f>
        <v>2016</v>
      </c>
      <c r="J2992" s="0" t="str">
        <f aca="false">I2992&amp;"-Q"&amp;ROUNDUP(MONTH(B2992)/3,0)</f>
        <v>2016-Q1</v>
      </c>
    </row>
    <row r="2993" customFormat="false" ht="15" hidden="false" customHeight="false" outlineLevel="0" collapsed="false">
      <c r="A2993" s="0" t="s">
        <v>1563</v>
      </c>
      <c r="B2993" s="6" t="n">
        <v>42421</v>
      </c>
      <c r="C2993" s="7" t="s">
        <v>33</v>
      </c>
      <c r="D2993" s="7" t="s">
        <v>34</v>
      </c>
      <c r="E2993" s="7" t="s">
        <v>35</v>
      </c>
      <c r="F2993" s="0" t="n">
        <v>31.248</v>
      </c>
      <c r="G2993" s="0" t="n">
        <v>10.9368</v>
      </c>
      <c r="H2993" s="0" t="n">
        <v>0.2</v>
      </c>
      <c r="I2993" s="7" t="n">
        <f aca="false">YEAR(B2993)</f>
        <v>2016</v>
      </c>
      <c r="J2993" s="0" t="str">
        <f aca="false">I2993&amp;"-Q"&amp;ROUNDUP(MONTH(B2993)/3,0)</f>
        <v>2016-Q1</v>
      </c>
    </row>
    <row r="2994" customFormat="false" ht="15" hidden="false" customHeight="false" outlineLevel="0" collapsed="false">
      <c r="A2994" s="0" t="s">
        <v>1564</v>
      </c>
      <c r="B2994" s="6" t="n">
        <v>42645</v>
      </c>
      <c r="C2994" s="7" t="s">
        <v>55</v>
      </c>
      <c r="D2994" s="7" t="s">
        <v>76</v>
      </c>
      <c r="E2994" s="7" t="s">
        <v>35</v>
      </c>
      <c r="F2994" s="0" t="n">
        <v>61.44</v>
      </c>
      <c r="G2994" s="0" t="n">
        <v>16.5888</v>
      </c>
      <c r="H2994" s="0" t="n">
        <v>0</v>
      </c>
      <c r="I2994" s="7" t="n">
        <f aca="false">YEAR(B2994)</f>
        <v>2016</v>
      </c>
      <c r="J2994" s="0" t="str">
        <f aca="false">I2994&amp;"-Q"&amp;ROUNDUP(MONTH(B2994)/3,0)</f>
        <v>2016-Q4</v>
      </c>
    </row>
    <row r="2995" customFormat="false" ht="15" hidden="false" customHeight="false" outlineLevel="0" collapsed="false">
      <c r="A2995" s="0" t="s">
        <v>1565</v>
      </c>
      <c r="B2995" s="6" t="n">
        <v>42805</v>
      </c>
      <c r="C2995" s="7" t="s">
        <v>45</v>
      </c>
      <c r="D2995" s="7" t="s">
        <v>70</v>
      </c>
      <c r="E2995" s="7" t="s">
        <v>35</v>
      </c>
      <c r="F2995" s="0" t="n">
        <v>895.92</v>
      </c>
      <c r="G2995" s="0" t="n">
        <v>421.0824</v>
      </c>
      <c r="H2995" s="0" t="n">
        <v>0</v>
      </c>
      <c r="I2995" s="7" t="n">
        <f aca="false">YEAR(B2995)</f>
        <v>2017</v>
      </c>
      <c r="J2995" s="0" t="str">
        <f aca="false">I2995&amp;"-Q"&amp;ROUNDUP(MONTH(B2995)/3,0)</f>
        <v>2017-Q1</v>
      </c>
    </row>
    <row r="2996" customFormat="false" ht="15" hidden="false" customHeight="false" outlineLevel="0" collapsed="false">
      <c r="A2996" s="0" t="s">
        <v>1566</v>
      </c>
      <c r="B2996" s="6" t="n">
        <v>42622</v>
      </c>
      <c r="C2996" s="7" t="s">
        <v>33</v>
      </c>
      <c r="D2996" s="7" t="s">
        <v>34</v>
      </c>
      <c r="E2996" s="7" t="s">
        <v>35</v>
      </c>
      <c r="F2996" s="0" t="n">
        <v>55.36</v>
      </c>
      <c r="G2996" s="0" t="n">
        <v>18.684</v>
      </c>
      <c r="H2996" s="0" t="n">
        <v>0.2</v>
      </c>
      <c r="I2996" s="7" t="n">
        <f aca="false">YEAR(B2996)</f>
        <v>2016</v>
      </c>
      <c r="J2996" s="0" t="str">
        <f aca="false">I2996&amp;"-Q"&amp;ROUNDUP(MONTH(B2996)/3,0)</f>
        <v>2016-Q3</v>
      </c>
    </row>
    <row r="2997" customFormat="false" ht="15" hidden="false" customHeight="false" outlineLevel="0" collapsed="false">
      <c r="A2997" s="0" t="s">
        <v>1567</v>
      </c>
      <c r="B2997" s="6" t="n">
        <v>41834</v>
      </c>
      <c r="C2997" s="7" t="s">
        <v>33</v>
      </c>
      <c r="D2997" s="7" t="s">
        <v>81</v>
      </c>
      <c r="E2997" s="7" t="s">
        <v>35</v>
      </c>
      <c r="F2997" s="0" t="n">
        <v>55.92</v>
      </c>
      <c r="G2997" s="0" t="n">
        <v>6.291</v>
      </c>
      <c r="H2997" s="0" t="n">
        <v>0.2</v>
      </c>
      <c r="I2997" s="7" t="n">
        <f aca="false">YEAR(B2997)</f>
        <v>2014</v>
      </c>
      <c r="J2997" s="0" t="str">
        <f aca="false">I2997&amp;"-Q"&amp;ROUNDUP(MONTH(B2997)/3,0)</f>
        <v>2014-Q3</v>
      </c>
    </row>
    <row r="2998" customFormat="false" ht="15" hidden="false" customHeight="false" outlineLevel="0" collapsed="false">
      <c r="A2998" s="0" t="s">
        <v>1568</v>
      </c>
      <c r="B2998" s="6" t="n">
        <v>41811</v>
      </c>
      <c r="C2998" s="7" t="s">
        <v>55</v>
      </c>
      <c r="D2998" s="7" t="s">
        <v>56</v>
      </c>
      <c r="E2998" s="7" t="s">
        <v>35</v>
      </c>
      <c r="F2998" s="0" t="n">
        <v>24.896</v>
      </c>
      <c r="G2998" s="0" t="n">
        <v>8.4024</v>
      </c>
      <c r="H2998" s="0" t="n">
        <v>0.2</v>
      </c>
      <c r="I2998" s="7" t="n">
        <f aca="false">YEAR(B2998)</f>
        <v>2014</v>
      </c>
      <c r="J2998" s="0" t="str">
        <f aca="false">I2998&amp;"-Q"&amp;ROUNDUP(MONTH(B2998)/3,0)</f>
        <v>2014-Q2</v>
      </c>
    </row>
    <row r="2999" customFormat="false" ht="15" hidden="false" customHeight="false" outlineLevel="0" collapsed="false">
      <c r="A2999" s="0" t="s">
        <v>1568</v>
      </c>
      <c r="B2999" s="6" t="n">
        <v>41811</v>
      </c>
      <c r="C2999" s="7" t="s">
        <v>55</v>
      </c>
      <c r="D2999" s="7" t="s">
        <v>56</v>
      </c>
      <c r="E2999" s="7" t="s">
        <v>31</v>
      </c>
      <c r="F2999" s="0" t="n">
        <v>3.984</v>
      </c>
      <c r="G2999" s="0" t="n">
        <v>0.6474</v>
      </c>
      <c r="H2999" s="0" t="n">
        <v>0.2</v>
      </c>
      <c r="I2999" s="7" t="n">
        <f aca="false">YEAR(B2999)</f>
        <v>2014</v>
      </c>
      <c r="J2999" s="0" t="str">
        <f aca="false">I2999&amp;"-Q"&amp;ROUNDUP(MONTH(B2999)/3,0)</f>
        <v>2014-Q2</v>
      </c>
    </row>
    <row r="3000" customFormat="false" ht="15" hidden="false" customHeight="false" outlineLevel="0" collapsed="false">
      <c r="A3000" s="0" t="s">
        <v>1568</v>
      </c>
      <c r="B3000" s="6" t="n">
        <v>41811</v>
      </c>
      <c r="C3000" s="7" t="s">
        <v>55</v>
      </c>
      <c r="D3000" s="7" t="s">
        <v>56</v>
      </c>
      <c r="E3000" s="7" t="s">
        <v>39</v>
      </c>
      <c r="F3000" s="0" t="n">
        <v>95.968</v>
      </c>
      <c r="G3000" s="0" t="n">
        <v>28.7904</v>
      </c>
      <c r="H3000" s="0" t="n">
        <v>0.2</v>
      </c>
      <c r="I3000" s="7" t="n">
        <f aca="false">YEAR(B3000)</f>
        <v>2014</v>
      </c>
      <c r="J3000" s="0" t="str">
        <f aca="false">I3000&amp;"-Q"&amp;ROUNDUP(MONTH(B3000)/3,0)</f>
        <v>2014-Q2</v>
      </c>
    </row>
    <row r="3001" customFormat="false" ht="15" hidden="false" customHeight="false" outlineLevel="0" collapsed="false">
      <c r="A3001" s="0" t="s">
        <v>1568</v>
      </c>
      <c r="B3001" s="6" t="n">
        <v>41811</v>
      </c>
      <c r="C3001" s="7" t="s">
        <v>55</v>
      </c>
      <c r="D3001" s="7" t="s">
        <v>56</v>
      </c>
      <c r="E3001" s="7" t="s">
        <v>39</v>
      </c>
      <c r="F3001" s="0" t="n">
        <v>206.991</v>
      </c>
      <c r="G3001" s="0" t="n">
        <v>-172.4925</v>
      </c>
      <c r="H3001" s="0" t="n">
        <v>0.7</v>
      </c>
      <c r="I3001" s="7" t="n">
        <f aca="false">YEAR(B3001)</f>
        <v>2014</v>
      </c>
      <c r="J3001" s="0" t="str">
        <f aca="false">I3001&amp;"-Q"&amp;ROUNDUP(MONTH(B3001)/3,0)</f>
        <v>2014-Q2</v>
      </c>
    </row>
    <row r="3002" customFormat="false" ht="15" hidden="false" customHeight="false" outlineLevel="0" collapsed="false">
      <c r="A3002" s="0" t="s">
        <v>1568</v>
      </c>
      <c r="B3002" s="6" t="n">
        <v>41811</v>
      </c>
      <c r="C3002" s="7" t="s">
        <v>55</v>
      </c>
      <c r="D3002" s="7" t="s">
        <v>56</v>
      </c>
      <c r="E3002" s="7" t="s">
        <v>35</v>
      </c>
      <c r="F3002" s="0" t="n">
        <v>44.416</v>
      </c>
      <c r="G3002" s="0" t="n">
        <v>3.8864</v>
      </c>
      <c r="H3002" s="0" t="n">
        <v>0.2</v>
      </c>
      <c r="I3002" s="7" t="n">
        <f aca="false">YEAR(B3002)</f>
        <v>2014</v>
      </c>
      <c r="J3002" s="0" t="str">
        <f aca="false">I3002&amp;"-Q"&amp;ROUNDUP(MONTH(B3002)/3,0)</f>
        <v>2014-Q2</v>
      </c>
    </row>
    <row r="3003" customFormat="false" ht="15" hidden="false" customHeight="false" outlineLevel="0" collapsed="false">
      <c r="A3003" s="0" t="s">
        <v>1568</v>
      </c>
      <c r="B3003" s="6" t="n">
        <v>41811</v>
      </c>
      <c r="C3003" s="7" t="s">
        <v>55</v>
      </c>
      <c r="D3003" s="7" t="s">
        <v>56</v>
      </c>
      <c r="E3003" s="7" t="s">
        <v>35</v>
      </c>
      <c r="F3003" s="0" t="n">
        <v>9.006</v>
      </c>
      <c r="G3003" s="0" t="n">
        <v>-7.2048</v>
      </c>
      <c r="H3003" s="0" t="n">
        <v>0.7</v>
      </c>
      <c r="I3003" s="7" t="n">
        <f aca="false">YEAR(B3003)</f>
        <v>2014</v>
      </c>
      <c r="J3003" s="0" t="str">
        <f aca="false">I3003&amp;"-Q"&amp;ROUNDUP(MONTH(B3003)/3,0)</f>
        <v>2014-Q2</v>
      </c>
    </row>
    <row r="3004" customFormat="false" ht="15" hidden="false" customHeight="false" outlineLevel="0" collapsed="false">
      <c r="A3004" s="0" t="s">
        <v>1569</v>
      </c>
      <c r="B3004" s="6" t="n">
        <v>42190</v>
      </c>
      <c r="C3004" s="7" t="s">
        <v>45</v>
      </c>
      <c r="D3004" s="7" t="s">
        <v>70</v>
      </c>
      <c r="E3004" s="7" t="s">
        <v>35</v>
      </c>
      <c r="F3004" s="0" t="n">
        <v>19</v>
      </c>
      <c r="G3004" s="0" t="n">
        <v>8.93</v>
      </c>
      <c r="H3004" s="0" t="n">
        <v>0</v>
      </c>
      <c r="I3004" s="7" t="n">
        <f aca="false">YEAR(B3004)</f>
        <v>2015</v>
      </c>
      <c r="J3004" s="0" t="str">
        <f aca="false">I3004&amp;"-Q"&amp;ROUNDUP(MONTH(B3004)/3,0)</f>
        <v>2015-Q3</v>
      </c>
    </row>
    <row r="3005" customFormat="false" ht="15" hidden="false" customHeight="false" outlineLevel="0" collapsed="false">
      <c r="A3005" s="0" t="s">
        <v>1570</v>
      </c>
      <c r="B3005" s="6" t="n">
        <v>43085</v>
      </c>
      <c r="C3005" s="7" t="s">
        <v>55</v>
      </c>
      <c r="D3005" s="7" t="s">
        <v>76</v>
      </c>
      <c r="E3005" s="7" t="s">
        <v>35</v>
      </c>
      <c r="F3005" s="0" t="n">
        <v>33.376</v>
      </c>
      <c r="G3005" s="0" t="n">
        <v>10.43</v>
      </c>
      <c r="H3005" s="0" t="n">
        <v>0.2</v>
      </c>
      <c r="I3005" s="7" t="n">
        <f aca="false">YEAR(B3005)</f>
        <v>2017</v>
      </c>
      <c r="J3005" s="0" t="str">
        <f aca="false">I3005&amp;"-Q"&amp;ROUNDUP(MONTH(B3005)/3,0)</f>
        <v>2017-Q4</v>
      </c>
    </row>
    <row r="3006" customFormat="false" ht="15" hidden="false" customHeight="false" outlineLevel="0" collapsed="false">
      <c r="A3006" s="0" t="s">
        <v>1571</v>
      </c>
      <c r="B3006" s="6" t="n">
        <v>42621</v>
      </c>
      <c r="C3006" s="7" t="s">
        <v>55</v>
      </c>
      <c r="D3006" s="7" t="s">
        <v>76</v>
      </c>
      <c r="E3006" s="7" t="s">
        <v>35</v>
      </c>
      <c r="F3006" s="0" t="n">
        <v>207.48</v>
      </c>
      <c r="G3006" s="0" t="n">
        <v>62.244</v>
      </c>
      <c r="H3006" s="0" t="n">
        <v>0</v>
      </c>
      <c r="I3006" s="7" t="n">
        <f aca="false">YEAR(B3006)</f>
        <v>2016</v>
      </c>
      <c r="J3006" s="0" t="str">
        <f aca="false">I3006&amp;"-Q"&amp;ROUNDUP(MONTH(B3006)/3,0)</f>
        <v>2016-Q3</v>
      </c>
    </row>
    <row r="3007" customFormat="false" ht="15" hidden="false" customHeight="false" outlineLevel="0" collapsed="false">
      <c r="A3007" s="0" t="s">
        <v>1572</v>
      </c>
      <c r="B3007" s="6" t="n">
        <v>41776</v>
      </c>
      <c r="C3007" s="7" t="s">
        <v>45</v>
      </c>
      <c r="D3007" s="7" t="s">
        <v>48</v>
      </c>
      <c r="E3007" s="7" t="s">
        <v>35</v>
      </c>
      <c r="F3007" s="0" t="n">
        <v>91.68</v>
      </c>
      <c r="G3007" s="0" t="n">
        <v>45.84</v>
      </c>
      <c r="H3007" s="0" t="n">
        <v>0</v>
      </c>
      <c r="I3007" s="7" t="n">
        <f aca="false">YEAR(B3007)</f>
        <v>2014</v>
      </c>
      <c r="J3007" s="0" t="str">
        <f aca="false">I3007&amp;"-Q"&amp;ROUNDUP(MONTH(B3007)/3,0)</f>
        <v>2014-Q2</v>
      </c>
    </row>
    <row r="3008" customFormat="false" ht="15" hidden="false" customHeight="false" outlineLevel="0" collapsed="false">
      <c r="A3008" s="0" t="s">
        <v>1573</v>
      </c>
      <c r="B3008" s="6" t="n">
        <v>43021</v>
      </c>
      <c r="C3008" s="7" t="s">
        <v>55</v>
      </c>
      <c r="D3008" s="7" t="s">
        <v>76</v>
      </c>
      <c r="E3008" s="7" t="s">
        <v>35</v>
      </c>
      <c r="F3008" s="0" t="n">
        <v>904.9</v>
      </c>
      <c r="G3008" s="0" t="n">
        <v>253.372</v>
      </c>
      <c r="H3008" s="0" t="n">
        <v>0</v>
      </c>
      <c r="I3008" s="7" t="n">
        <f aca="false">YEAR(B3008)</f>
        <v>2017</v>
      </c>
      <c r="J3008" s="0" t="str">
        <f aca="false">I3008&amp;"-Q"&amp;ROUNDUP(MONTH(B3008)/3,0)</f>
        <v>2017-Q4</v>
      </c>
    </row>
    <row r="3009" customFormat="false" ht="15" hidden="false" customHeight="false" outlineLevel="0" collapsed="false">
      <c r="A3009" s="0" t="s">
        <v>1574</v>
      </c>
      <c r="B3009" s="6" t="n">
        <v>41936</v>
      </c>
      <c r="C3009" s="7" t="s">
        <v>33</v>
      </c>
      <c r="D3009" s="7" t="s">
        <v>34</v>
      </c>
      <c r="E3009" s="7" t="s">
        <v>35</v>
      </c>
      <c r="F3009" s="0" t="n">
        <v>34.272</v>
      </c>
      <c r="G3009" s="0" t="n">
        <v>11.1384</v>
      </c>
      <c r="H3009" s="0" t="n">
        <v>0.2</v>
      </c>
      <c r="I3009" s="7" t="n">
        <f aca="false">YEAR(B3009)</f>
        <v>2014</v>
      </c>
      <c r="J3009" s="0" t="str">
        <f aca="false">I3009&amp;"-Q"&amp;ROUNDUP(MONTH(B3009)/3,0)</f>
        <v>2014-Q4</v>
      </c>
    </row>
    <row r="3010" customFormat="false" ht="15" hidden="false" customHeight="false" outlineLevel="0" collapsed="false">
      <c r="A3010" s="0" t="s">
        <v>1575</v>
      </c>
      <c r="B3010" s="6" t="n">
        <v>42709</v>
      </c>
      <c r="C3010" s="7" t="s">
        <v>29</v>
      </c>
      <c r="D3010" s="7" t="s">
        <v>30</v>
      </c>
      <c r="E3010" s="7" t="s">
        <v>31</v>
      </c>
      <c r="F3010" s="0" t="n">
        <v>191.82</v>
      </c>
      <c r="G3010" s="0" t="n">
        <v>74.8098</v>
      </c>
      <c r="H3010" s="0" t="n">
        <v>0</v>
      </c>
      <c r="I3010" s="7" t="n">
        <f aca="false">YEAR(B3010)</f>
        <v>2016</v>
      </c>
      <c r="J3010" s="0" t="str">
        <f aca="false">I3010&amp;"-Q"&amp;ROUNDUP(MONTH(B3010)/3,0)</f>
        <v>2016-Q4</v>
      </c>
    </row>
    <row r="3011" customFormat="false" ht="15" hidden="false" customHeight="false" outlineLevel="0" collapsed="false">
      <c r="A3011" s="0" t="s">
        <v>1576</v>
      </c>
      <c r="B3011" s="6" t="n">
        <v>42576</v>
      </c>
      <c r="C3011" s="7" t="s">
        <v>55</v>
      </c>
      <c r="D3011" s="7" t="s">
        <v>116</v>
      </c>
      <c r="E3011" s="7" t="s">
        <v>35</v>
      </c>
      <c r="F3011" s="0" t="n">
        <v>243.88</v>
      </c>
      <c r="G3011" s="0" t="n">
        <v>27.4365</v>
      </c>
      <c r="H3011" s="0" t="n">
        <v>0.2</v>
      </c>
      <c r="I3011" s="7" t="n">
        <f aca="false">YEAR(B3011)</f>
        <v>2016</v>
      </c>
      <c r="J3011" s="0" t="str">
        <f aca="false">I3011&amp;"-Q"&amp;ROUNDUP(MONTH(B3011)/3,0)</f>
        <v>2016-Q3</v>
      </c>
    </row>
    <row r="3012" customFormat="false" ht="15" hidden="false" customHeight="false" outlineLevel="0" collapsed="false">
      <c r="A3012" s="0" t="s">
        <v>1577</v>
      </c>
      <c r="B3012" s="6" t="n">
        <v>42842</v>
      </c>
      <c r="C3012" s="7" t="s">
        <v>33</v>
      </c>
      <c r="D3012" s="7" t="s">
        <v>109</v>
      </c>
      <c r="E3012" s="7" t="s">
        <v>35</v>
      </c>
      <c r="F3012" s="0" t="n">
        <v>12.03</v>
      </c>
      <c r="G3012" s="0" t="n">
        <v>-9.223</v>
      </c>
      <c r="H3012" s="0" t="n">
        <v>0.7</v>
      </c>
      <c r="I3012" s="7" t="n">
        <f aca="false">YEAR(B3012)</f>
        <v>2017</v>
      </c>
      <c r="J3012" s="0" t="str">
        <f aca="false">I3012&amp;"-Q"&amp;ROUNDUP(MONTH(B3012)/3,0)</f>
        <v>2017-Q2</v>
      </c>
    </row>
    <row r="3013" customFormat="false" ht="15" hidden="false" customHeight="false" outlineLevel="0" collapsed="false">
      <c r="A3013" s="0" t="s">
        <v>1577</v>
      </c>
      <c r="B3013" s="6" t="n">
        <v>42842</v>
      </c>
      <c r="C3013" s="7" t="s">
        <v>33</v>
      </c>
      <c r="D3013" s="7" t="s">
        <v>109</v>
      </c>
      <c r="E3013" s="7" t="s">
        <v>39</v>
      </c>
      <c r="F3013" s="0" t="n">
        <v>2549.985</v>
      </c>
      <c r="G3013" s="0" t="n">
        <v>-3399.98</v>
      </c>
      <c r="H3013" s="0" t="n">
        <v>0.7</v>
      </c>
      <c r="I3013" s="7" t="n">
        <f aca="false">YEAR(B3013)</f>
        <v>2017</v>
      </c>
      <c r="J3013" s="0" t="str">
        <f aca="false">I3013&amp;"-Q"&amp;ROUNDUP(MONTH(B3013)/3,0)</f>
        <v>2017-Q2</v>
      </c>
    </row>
    <row r="3014" customFormat="false" ht="15" hidden="false" customHeight="false" outlineLevel="0" collapsed="false">
      <c r="A3014" s="0" t="s">
        <v>1577</v>
      </c>
      <c r="B3014" s="6" t="n">
        <v>42842</v>
      </c>
      <c r="C3014" s="7" t="s">
        <v>33</v>
      </c>
      <c r="D3014" s="7" t="s">
        <v>109</v>
      </c>
      <c r="E3014" s="7" t="s">
        <v>35</v>
      </c>
      <c r="F3014" s="0" t="n">
        <v>21.594</v>
      </c>
      <c r="G3014" s="0" t="n">
        <v>-15.8356</v>
      </c>
      <c r="H3014" s="0" t="n">
        <v>0.7</v>
      </c>
      <c r="I3014" s="7" t="n">
        <f aca="false">YEAR(B3014)</f>
        <v>2017</v>
      </c>
      <c r="J3014" s="0" t="str">
        <f aca="false">I3014&amp;"-Q"&amp;ROUNDUP(MONTH(B3014)/3,0)</f>
        <v>2017-Q2</v>
      </c>
    </row>
    <row r="3015" customFormat="false" ht="15" hidden="false" customHeight="false" outlineLevel="0" collapsed="false">
      <c r="A3015" s="0" t="s">
        <v>1577</v>
      </c>
      <c r="B3015" s="6" t="n">
        <v>42842</v>
      </c>
      <c r="C3015" s="7" t="s">
        <v>33</v>
      </c>
      <c r="D3015" s="7" t="s">
        <v>109</v>
      </c>
      <c r="E3015" s="7" t="s">
        <v>35</v>
      </c>
      <c r="F3015" s="0" t="n">
        <v>8.964</v>
      </c>
      <c r="G3015" s="0" t="n">
        <v>-6.5736</v>
      </c>
      <c r="H3015" s="0" t="n">
        <v>0.7</v>
      </c>
      <c r="I3015" s="7" t="n">
        <f aca="false">YEAR(B3015)</f>
        <v>2017</v>
      </c>
      <c r="J3015" s="0" t="str">
        <f aca="false">I3015&amp;"-Q"&amp;ROUNDUP(MONTH(B3015)/3,0)</f>
        <v>2017-Q2</v>
      </c>
    </row>
    <row r="3016" customFormat="false" ht="15" hidden="false" customHeight="false" outlineLevel="0" collapsed="false">
      <c r="A3016" s="0" t="s">
        <v>1577</v>
      </c>
      <c r="B3016" s="6" t="n">
        <v>42842</v>
      </c>
      <c r="C3016" s="7" t="s">
        <v>33</v>
      </c>
      <c r="D3016" s="7" t="s">
        <v>109</v>
      </c>
      <c r="E3016" s="7" t="s">
        <v>35</v>
      </c>
      <c r="F3016" s="0" t="n">
        <v>20.736</v>
      </c>
      <c r="G3016" s="0" t="n">
        <v>7.2576</v>
      </c>
      <c r="H3016" s="0" t="n">
        <v>0.2</v>
      </c>
      <c r="I3016" s="7" t="n">
        <f aca="false">YEAR(B3016)</f>
        <v>2017</v>
      </c>
      <c r="J3016" s="0" t="str">
        <f aca="false">I3016&amp;"-Q"&amp;ROUNDUP(MONTH(B3016)/3,0)</f>
        <v>2017-Q2</v>
      </c>
    </row>
    <row r="3017" customFormat="false" ht="15" hidden="false" customHeight="false" outlineLevel="0" collapsed="false">
      <c r="A3017" s="0" t="s">
        <v>1578</v>
      </c>
      <c r="B3017" s="6" t="n">
        <v>42264</v>
      </c>
      <c r="C3017" s="7" t="s">
        <v>55</v>
      </c>
      <c r="D3017" s="7" t="s">
        <v>76</v>
      </c>
      <c r="E3017" s="7" t="s">
        <v>31</v>
      </c>
      <c r="F3017" s="0" t="n">
        <v>344.22</v>
      </c>
      <c r="G3017" s="0" t="n">
        <v>-103.266</v>
      </c>
      <c r="H3017" s="0" t="n">
        <v>0.4</v>
      </c>
      <c r="I3017" s="7" t="n">
        <f aca="false">YEAR(B3017)</f>
        <v>2015</v>
      </c>
      <c r="J3017" s="0" t="str">
        <f aca="false">I3017&amp;"-Q"&amp;ROUNDUP(MONTH(B3017)/3,0)</f>
        <v>2015-Q3</v>
      </c>
    </row>
    <row r="3018" customFormat="false" ht="15" hidden="false" customHeight="false" outlineLevel="0" collapsed="false">
      <c r="A3018" s="0" t="s">
        <v>1579</v>
      </c>
      <c r="B3018" s="6" t="n">
        <v>42605</v>
      </c>
      <c r="C3018" s="7" t="s">
        <v>45</v>
      </c>
      <c r="D3018" s="7" t="s">
        <v>46</v>
      </c>
      <c r="E3018" s="7" t="s">
        <v>35</v>
      </c>
      <c r="F3018" s="0" t="n">
        <v>727.296</v>
      </c>
      <c r="G3018" s="0" t="n">
        <v>-172.7328</v>
      </c>
      <c r="H3018" s="0" t="n">
        <v>0.2</v>
      </c>
      <c r="I3018" s="7" t="n">
        <f aca="false">YEAR(B3018)</f>
        <v>2016</v>
      </c>
      <c r="J3018" s="0" t="str">
        <f aca="false">I3018&amp;"-Q"&amp;ROUNDUP(MONTH(B3018)/3,0)</f>
        <v>2016-Q3</v>
      </c>
    </row>
    <row r="3019" customFormat="false" ht="15" hidden="false" customHeight="false" outlineLevel="0" collapsed="false">
      <c r="A3019" s="0" t="s">
        <v>1579</v>
      </c>
      <c r="B3019" s="6" t="n">
        <v>42605</v>
      </c>
      <c r="C3019" s="7" t="s">
        <v>45</v>
      </c>
      <c r="D3019" s="7" t="s">
        <v>46</v>
      </c>
      <c r="E3019" s="7" t="s">
        <v>31</v>
      </c>
      <c r="F3019" s="0" t="n">
        <v>22.608</v>
      </c>
      <c r="G3019" s="0" t="n">
        <v>-10.1736</v>
      </c>
      <c r="H3019" s="0" t="n">
        <v>0.6</v>
      </c>
      <c r="I3019" s="7" t="n">
        <f aca="false">YEAR(B3019)</f>
        <v>2016</v>
      </c>
      <c r="J3019" s="0" t="str">
        <f aca="false">I3019&amp;"-Q"&amp;ROUNDUP(MONTH(B3019)/3,0)</f>
        <v>2016-Q3</v>
      </c>
    </row>
    <row r="3020" customFormat="false" ht="15" hidden="false" customHeight="false" outlineLevel="0" collapsed="false">
      <c r="A3020" s="0" t="s">
        <v>1579</v>
      </c>
      <c r="B3020" s="6" t="n">
        <v>42605</v>
      </c>
      <c r="C3020" s="7" t="s">
        <v>45</v>
      </c>
      <c r="D3020" s="7" t="s">
        <v>46</v>
      </c>
      <c r="E3020" s="7" t="s">
        <v>39</v>
      </c>
      <c r="F3020" s="0" t="n">
        <v>666.4</v>
      </c>
      <c r="G3020" s="0" t="n">
        <v>-33.32</v>
      </c>
      <c r="H3020" s="0" t="n">
        <v>0.2</v>
      </c>
      <c r="I3020" s="7" t="n">
        <f aca="false">YEAR(B3020)</f>
        <v>2016</v>
      </c>
      <c r="J3020" s="0" t="str">
        <f aca="false">I3020&amp;"-Q"&amp;ROUNDUP(MONTH(B3020)/3,0)</f>
        <v>2016-Q3</v>
      </c>
    </row>
    <row r="3021" customFormat="false" ht="15" hidden="false" customHeight="false" outlineLevel="0" collapsed="false">
      <c r="A3021" s="0" t="s">
        <v>1580</v>
      </c>
      <c r="B3021" s="6" t="n">
        <v>42316</v>
      </c>
      <c r="C3021" s="7" t="s">
        <v>33</v>
      </c>
      <c r="D3021" s="7" t="s">
        <v>50</v>
      </c>
      <c r="E3021" s="7" t="s">
        <v>35</v>
      </c>
      <c r="F3021" s="0" t="n">
        <v>5.04</v>
      </c>
      <c r="G3021" s="0" t="n">
        <v>0.2016</v>
      </c>
      <c r="H3021" s="0" t="n">
        <v>0</v>
      </c>
      <c r="I3021" s="7" t="n">
        <f aca="false">YEAR(B3021)</f>
        <v>2015</v>
      </c>
      <c r="J3021" s="0" t="str">
        <f aca="false">I3021&amp;"-Q"&amp;ROUNDUP(MONTH(B3021)/3,0)</f>
        <v>2015-Q4</v>
      </c>
    </row>
    <row r="3022" customFormat="false" ht="15" hidden="false" customHeight="false" outlineLevel="0" collapsed="false">
      <c r="A3022" s="0" t="s">
        <v>1580</v>
      </c>
      <c r="B3022" s="6" t="n">
        <v>42316</v>
      </c>
      <c r="C3022" s="7" t="s">
        <v>33</v>
      </c>
      <c r="D3022" s="7" t="s">
        <v>50</v>
      </c>
      <c r="E3022" s="7" t="s">
        <v>35</v>
      </c>
      <c r="F3022" s="0" t="n">
        <v>92.94</v>
      </c>
      <c r="G3022" s="0" t="n">
        <v>41.823</v>
      </c>
      <c r="H3022" s="0" t="n">
        <v>0</v>
      </c>
      <c r="I3022" s="7" t="n">
        <f aca="false">YEAR(B3022)</f>
        <v>2015</v>
      </c>
      <c r="J3022" s="0" t="str">
        <f aca="false">I3022&amp;"-Q"&amp;ROUNDUP(MONTH(B3022)/3,0)</f>
        <v>2015-Q4</v>
      </c>
    </row>
    <row r="3023" customFormat="false" ht="15" hidden="false" customHeight="false" outlineLevel="0" collapsed="false">
      <c r="A3023" s="0" t="s">
        <v>1580</v>
      </c>
      <c r="B3023" s="6" t="n">
        <v>42316</v>
      </c>
      <c r="C3023" s="7" t="s">
        <v>33</v>
      </c>
      <c r="D3023" s="7" t="s">
        <v>50</v>
      </c>
      <c r="E3023" s="7" t="s">
        <v>31</v>
      </c>
      <c r="F3023" s="0" t="n">
        <v>66.69</v>
      </c>
      <c r="G3023" s="0" t="n">
        <v>22.0077</v>
      </c>
      <c r="H3023" s="0" t="n">
        <v>0</v>
      </c>
      <c r="I3023" s="7" t="n">
        <f aca="false">YEAR(B3023)</f>
        <v>2015</v>
      </c>
      <c r="J3023" s="0" t="str">
        <f aca="false">I3023&amp;"-Q"&amp;ROUNDUP(MONTH(B3023)/3,0)</f>
        <v>2015-Q4</v>
      </c>
    </row>
    <row r="3024" customFormat="false" ht="15" hidden="false" customHeight="false" outlineLevel="0" collapsed="false">
      <c r="A3024" s="0" t="s">
        <v>1580</v>
      </c>
      <c r="B3024" s="6" t="n">
        <v>42316</v>
      </c>
      <c r="C3024" s="7" t="s">
        <v>33</v>
      </c>
      <c r="D3024" s="7" t="s">
        <v>50</v>
      </c>
      <c r="E3024" s="7" t="s">
        <v>35</v>
      </c>
      <c r="F3024" s="0" t="n">
        <v>91.68</v>
      </c>
      <c r="G3024" s="0" t="n">
        <v>28.65</v>
      </c>
      <c r="H3024" s="0" t="n">
        <v>0.2</v>
      </c>
      <c r="I3024" s="7" t="n">
        <f aca="false">YEAR(B3024)</f>
        <v>2015</v>
      </c>
      <c r="J3024" s="0" t="str">
        <f aca="false">I3024&amp;"-Q"&amp;ROUNDUP(MONTH(B3024)/3,0)</f>
        <v>2015-Q4</v>
      </c>
    </row>
    <row r="3025" customFormat="false" ht="15" hidden="false" customHeight="false" outlineLevel="0" collapsed="false">
      <c r="A3025" s="0" t="s">
        <v>1581</v>
      </c>
      <c r="B3025" s="6" t="n">
        <v>43056</v>
      </c>
      <c r="C3025" s="7" t="s">
        <v>45</v>
      </c>
      <c r="D3025" s="7" t="s">
        <v>46</v>
      </c>
      <c r="E3025" s="7" t="s">
        <v>31</v>
      </c>
      <c r="F3025" s="0" t="n">
        <v>327.7328</v>
      </c>
      <c r="G3025" s="0" t="n">
        <v>-14.4588</v>
      </c>
      <c r="H3025" s="0" t="n">
        <v>0.32</v>
      </c>
      <c r="I3025" s="7" t="n">
        <f aca="false">YEAR(B3025)</f>
        <v>2017</v>
      </c>
      <c r="J3025" s="0" t="str">
        <f aca="false">I3025&amp;"-Q"&amp;ROUNDUP(MONTH(B3025)/3,0)</f>
        <v>2017-Q4</v>
      </c>
    </row>
    <row r="3026" customFormat="false" ht="15" hidden="false" customHeight="false" outlineLevel="0" collapsed="false">
      <c r="A3026" s="0" t="s">
        <v>1582</v>
      </c>
      <c r="B3026" s="6" t="n">
        <v>42316</v>
      </c>
      <c r="C3026" s="7" t="s">
        <v>55</v>
      </c>
      <c r="D3026" s="7" t="s">
        <v>76</v>
      </c>
      <c r="E3026" s="7" t="s">
        <v>35</v>
      </c>
      <c r="F3026" s="0" t="n">
        <v>52.272</v>
      </c>
      <c r="G3026" s="0" t="n">
        <v>17.6418</v>
      </c>
      <c r="H3026" s="0" t="n">
        <v>0.2</v>
      </c>
      <c r="I3026" s="7" t="n">
        <f aca="false">YEAR(B3026)</f>
        <v>2015</v>
      </c>
      <c r="J3026" s="0" t="str">
        <f aca="false">I3026&amp;"-Q"&amp;ROUNDUP(MONTH(B3026)/3,0)</f>
        <v>2015-Q4</v>
      </c>
    </row>
    <row r="3027" customFormat="false" ht="15" hidden="false" customHeight="false" outlineLevel="0" collapsed="false">
      <c r="A3027" s="0" t="s">
        <v>1582</v>
      </c>
      <c r="B3027" s="6" t="n">
        <v>42316</v>
      </c>
      <c r="C3027" s="7" t="s">
        <v>55</v>
      </c>
      <c r="D3027" s="7" t="s">
        <v>76</v>
      </c>
      <c r="E3027" s="7" t="s">
        <v>35</v>
      </c>
      <c r="F3027" s="0" t="n">
        <v>17.94</v>
      </c>
      <c r="G3027" s="0" t="n">
        <v>8.073</v>
      </c>
      <c r="H3027" s="0" t="n">
        <v>0</v>
      </c>
      <c r="I3027" s="7" t="n">
        <f aca="false">YEAR(B3027)</f>
        <v>2015</v>
      </c>
      <c r="J3027" s="0" t="str">
        <f aca="false">I3027&amp;"-Q"&amp;ROUNDUP(MONTH(B3027)/3,0)</f>
        <v>2015-Q4</v>
      </c>
    </row>
    <row r="3028" customFormat="false" ht="15" hidden="false" customHeight="false" outlineLevel="0" collapsed="false">
      <c r="A3028" s="0" t="s">
        <v>1583</v>
      </c>
      <c r="B3028" s="6" t="n">
        <v>42847</v>
      </c>
      <c r="C3028" s="7" t="s">
        <v>55</v>
      </c>
      <c r="D3028" s="7" t="s">
        <v>56</v>
      </c>
      <c r="E3028" s="7" t="s">
        <v>31</v>
      </c>
      <c r="F3028" s="0" t="n">
        <v>254.352</v>
      </c>
      <c r="G3028" s="0" t="n">
        <v>0</v>
      </c>
      <c r="H3028" s="0" t="n">
        <v>0.2</v>
      </c>
      <c r="I3028" s="7" t="n">
        <f aca="false">YEAR(B3028)</f>
        <v>2017</v>
      </c>
      <c r="J3028" s="0" t="str">
        <f aca="false">I3028&amp;"-Q"&amp;ROUNDUP(MONTH(B3028)/3,0)</f>
        <v>2017-Q2</v>
      </c>
    </row>
    <row r="3029" customFormat="false" ht="15" hidden="false" customHeight="false" outlineLevel="0" collapsed="false">
      <c r="A3029" s="0" t="s">
        <v>1584</v>
      </c>
      <c r="B3029" s="6" t="n">
        <v>41875</v>
      </c>
      <c r="C3029" s="7" t="s">
        <v>33</v>
      </c>
      <c r="D3029" s="7" t="s">
        <v>310</v>
      </c>
      <c r="E3029" s="7" t="s">
        <v>35</v>
      </c>
      <c r="F3029" s="0" t="n">
        <v>8.288</v>
      </c>
      <c r="G3029" s="0" t="n">
        <v>2.6936</v>
      </c>
      <c r="H3029" s="0" t="n">
        <v>0.2</v>
      </c>
      <c r="I3029" s="7" t="n">
        <f aca="false">YEAR(B3029)</f>
        <v>2014</v>
      </c>
      <c r="J3029" s="0" t="str">
        <f aca="false">I3029&amp;"-Q"&amp;ROUNDUP(MONTH(B3029)/3,0)</f>
        <v>2014-Q3</v>
      </c>
    </row>
    <row r="3030" customFormat="false" ht="15" hidden="false" customHeight="false" outlineLevel="0" collapsed="false">
      <c r="A3030" s="0" t="s">
        <v>1585</v>
      </c>
      <c r="B3030" s="6" t="n">
        <v>43086</v>
      </c>
      <c r="C3030" s="7" t="s">
        <v>29</v>
      </c>
      <c r="D3030" s="7" t="s">
        <v>83</v>
      </c>
      <c r="E3030" s="7" t="s">
        <v>31</v>
      </c>
      <c r="F3030" s="0" t="n">
        <v>504.9</v>
      </c>
      <c r="G3030" s="0" t="n">
        <v>80.784</v>
      </c>
      <c r="H3030" s="0" t="n">
        <v>0</v>
      </c>
      <c r="I3030" s="7" t="n">
        <f aca="false">YEAR(B3030)</f>
        <v>2017</v>
      </c>
      <c r="J3030" s="0" t="str">
        <f aca="false">I3030&amp;"-Q"&amp;ROUNDUP(MONTH(B3030)/3,0)</f>
        <v>2017-Q4</v>
      </c>
    </row>
    <row r="3031" customFormat="false" ht="15" hidden="false" customHeight="false" outlineLevel="0" collapsed="false">
      <c r="A3031" s="0" t="s">
        <v>1586</v>
      </c>
      <c r="B3031" s="6" t="n">
        <v>42453</v>
      </c>
      <c r="C3031" s="7" t="s">
        <v>33</v>
      </c>
      <c r="D3031" s="7" t="s">
        <v>102</v>
      </c>
      <c r="E3031" s="7" t="s">
        <v>39</v>
      </c>
      <c r="F3031" s="0" t="n">
        <v>403.168</v>
      </c>
      <c r="G3031" s="0" t="n">
        <v>25.198</v>
      </c>
      <c r="H3031" s="0" t="n">
        <v>0.2</v>
      </c>
      <c r="I3031" s="7" t="n">
        <f aca="false">YEAR(B3031)</f>
        <v>2016</v>
      </c>
      <c r="J3031" s="0" t="str">
        <f aca="false">I3031&amp;"-Q"&amp;ROUNDUP(MONTH(B3031)/3,0)</f>
        <v>2016-Q1</v>
      </c>
    </row>
    <row r="3032" customFormat="false" ht="15" hidden="false" customHeight="false" outlineLevel="0" collapsed="false">
      <c r="A3032" s="0" t="s">
        <v>1587</v>
      </c>
      <c r="B3032" s="6" t="n">
        <v>42268</v>
      </c>
      <c r="C3032" s="7" t="s">
        <v>45</v>
      </c>
      <c r="D3032" s="7" t="s">
        <v>70</v>
      </c>
      <c r="E3032" s="7" t="s">
        <v>31</v>
      </c>
      <c r="F3032" s="0" t="n">
        <v>194.32</v>
      </c>
      <c r="G3032" s="0" t="n">
        <v>31.0912</v>
      </c>
      <c r="H3032" s="0" t="n">
        <v>0</v>
      </c>
      <c r="I3032" s="7" t="n">
        <f aca="false">YEAR(B3032)</f>
        <v>2015</v>
      </c>
      <c r="J3032" s="0" t="str">
        <f aca="false">I3032&amp;"-Q"&amp;ROUNDUP(MONTH(B3032)/3,0)</f>
        <v>2015-Q3</v>
      </c>
    </row>
    <row r="3033" customFormat="false" ht="15" hidden="false" customHeight="false" outlineLevel="0" collapsed="false">
      <c r="A3033" s="0" t="s">
        <v>1587</v>
      </c>
      <c r="B3033" s="6" t="n">
        <v>42268</v>
      </c>
      <c r="C3033" s="7" t="s">
        <v>45</v>
      </c>
      <c r="D3033" s="7" t="s">
        <v>70</v>
      </c>
      <c r="E3033" s="7" t="s">
        <v>35</v>
      </c>
      <c r="F3033" s="0" t="n">
        <v>25.99</v>
      </c>
      <c r="G3033" s="0" t="n">
        <v>7.5371</v>
      </c>
      <c r="H3033" s="0" t="n">
        <v>0</v>
      </c>
      <c r="I3033" s="7" t="n">
        <f aca="false">YEAR(B3033)</f>
        <v>2015</v>
      </c>
      <c r="J3033" s="0" t="str">
        <f aca="false">I3033&amp;"-Q"&amp;ROUNDUP(MONTH(B3033)/3,0)</f>
        <v>2015-Q3</v>
      </c>
    </row>
    <row r="3034" customFormat="false" ht="15" hidden="false" customHeight="false" outlineLevel="0" collapsed="false">
      <c r="A3034" s="0" t="s">
        <v>1588</v>
      </c>
      <c r="B3034" s="6" t="n">
        <v>42695</v>
      </c>
      <c r="C3034" s="7" t="s">
        <v>33</v>
      </c>
      <c r="D3034" s="7" t="s">
        <v>102</v>
      </c>
      <c r="E3034" s="7" t="s">
        <v>31</v>
      </c>
      <c r="F3034" s="0" t="n">
        <v>195.136</v>
      </c>
      <c r="G3034" s="0" t="n">
        <v>-12.196</v>
      </c>
      <c r="H3034" s="0" t="n">
        <v>0.2</v>
      </c>
      <c r="I3034" s="7" t="n">
        <f aca="false">YEAR(B3034)</f>
        <v>2016</v>
      </c>
      <c r="J3034" s="0" t="str">
        <f aca="false">I3034&amp;"-Q"&amp;ROUNDUP(MONTH(B3034)/3,0)</f>
        <v>2016-Q4</v>
      </c>
    </row>
    <row r="3035" customFormat="false" ht="15" hidden="false" customHeight="false" outlineLevel="0" collapsed="false">
      <c r="A3035" s="0" t="s">
        <v>1589</v>
      </c>
      <c r="B3035" s="6" t="n">
        <v>42994</v>
      </c>
      <c r="C3035" s="7" t="s">
        <v>55</v>
      </c>
      <c r="D3035" s="7" t="s">
        <v>56</v>
      </c>
      <c r="E3035" s="7" t="s">
        <v>35</v>
      </c>
      <c r="F3035" s="0" t="n">
        <v>20.736</v>
      </c>
      <c r="G3035" s="0" t="n">
        <v>7.2576</v>
      </c>
      <c r="H3035" s="0" t="n">
        <v>0.2</v>
      </c>
      <c r="I3035" s="7" t="n">
        <f aca="false">YEAR(B3035)</f>
        <v>2017</v>
      </c>
      <c r="J3035" s="0" t="str">
        <f aca="false">I3035&amp;"-Q"&amp;ROUNDUP(MONTH(B3035)/3,0)</f>
        <v>2017-Q3</v>
      </c>
    </row>
    <row r="3036" customFormat="false" ht="15" hidden="false" customHeight="false" outlineLevel="0" collapsed="false">
      <c r="A3036" s="0" t="s">
        <v>1590</v>
      </c>
      <c r="B3036" s="6" t="n">
        <v>42166</v>
      </c>
      <c r="C3036" s="7" t="s">
        <v>29</v>
      </c>
      <c r="D3036" s="7" t="s">
        <v>152</v>
      </c>
      <c r="E3036" s="7" t="s">
        <v>39</v>
      </c>
      <c r="F3036" s="0" t="n">
        <v>53.7</v>
      </c>
      <c r="G3036" s="0" t="n">
        <v>10.203</v>
      </c>
      <c r="H3036" s="0" t="n">
        <v>0</v>
      </c>
      <c r="I3036" s="7" t="n">
        <f aca="false">YEAR(B3036)</f>
        <v>2015</v>
      </c>
      <c r="J3036" s="0" t="str">
        <f aca="false">I3036&amp;"-Q"&amp;ROUNDUP(MONTH(B3036)/3,0)</f>
        <v>2015-Q2</v>
      </c>
    </row>
    <row r="3037" customFormat="false" ht="15" hidden="false" customHeight="false" outlineLevel="0" collapsed="false">
      <c r="A3037" s="0" t="s">
        <v>1590</v>
      </c>
      <c r="B3037" s="6" t="n">
        <v>42166</v>
      </c>
      <c r="C3037" s="7" t="s">
        <v>29</v>
      </c>
      <c r="D3037" s="7" t="s">
        <v>152</v>
      </c>
      <c r="E3037" s="7" t="s">
        <v>35</v>
      </c>
      <c r="F3037" s="0" t="n">
        <v>36.26</v>
      </c>
      <c r="G3037" s="0" t="n">
        <v>16.6796</v>
      </c>
      <c r="H3037" s="0" t="n">
        <v>0</v>
      </c>
      <c r="I3037" s="7" t="n">
        <f aca="false">YEAR(B3037)</f>
        <v>2015</v>
      </c>
      <c r="J3037" s="0" t="str">
        <f aca="false">I3037&amp;"-Q"&amp;ROUNDUP(MONTH(B3037)/3,0)</f>
        <v>2015-Q2</v>
      </c>
    </row>
    <row r="3038" customFormat="false" ht="15" hidden="false" customHeight="false" outlineLevel="0" collapsed="false">
      <c r="A3038" s="0" t="s">
        <v>1590</v>
      </c>
      <c r="B3038" s="6" t="n">
        <v>42166</v>
      </c>
      <c r="C3038" s="7" t="s">
        <v>29</v>
      </c>
      <c r="D3038" s="7" t="s">
        <v>152</v>
      </c>
      <c r="E3038" s="7" t="s">
        <v>35</v>
      </c>
      <c r="F3038" s="0" t="n">
        <v>56.3</v>
      </c>
      <c r="G3038" s="0" t="n">
        <v>15.764</v>
      </c>
      <c r="H3038" s="0" t="n">
        <v>0</v>
      </c>
      <c r="I3038" s="7" t="n">
        <f aca="false">YEAR(B3038)</f>
        <v>2015</v>
      </c>
      <c r="J3038" s="0" t="str">
        <f aca="false">I3038&amp;"-Q"&amp;ROUNDUP(MONTH(B3038)/3,0)</f>
        <v>2015-Q2</v>
      </c>
    </row>
    <row r="3039" customFormat="false" ht="15" hidden="false" customHeight="false" outlineLevel="0" collapsed="false">
      <c r="A3039" s="0" t="s">
        <v>1590</v>
      </c>
      <c r="B3039" s="6" t="n">
        <v>42166</v>
      </c>
      <c r="C3039" s="7" t="s">
        <v>29</v>
      </c>
      <c r="D3039" s="7" t="s">
        <v>152</v>
      </c>
      <c r="E3039" s="7" t="s">
        <v>35</v>
      </c>
      <c r="F3039" s="0" t="n">
        <v>32.4</v>
      </c>
      <c r="G3039" s="0" t="n">
        <v>15.552</v>
      </c>
      <c r="H3039" s="0" t="n">
        <v>0</v>
      </c>
      <c r="I3039" s="7" t="n">
        <f aca="false">YEAR(B3039)</f>
        <v>2015</v>
      </c>
      <c r="J3039" s="0" t="str">
        <f aca="false">I3039&amp;"-Q"&amp;ROUNDUP(MONTH(B3039)/3,0)</f>
        <v>2015-Q2</v>
      </c>
    </row>
    <row r="3040" customFormat="false" ht="15" hidden="false" customHeight="false" outlineLevel="0" collapsed="false">
      <c r="A3040" s="0" t="s">
        <v>1590</v>
      </c>
      <c r="B3040" s="6" t="n">
        <v>42166</v>
      </c>
      <c r="C3040" s="7" t="s">
        <v>29</v>
      </c>
      <c r="D3040" s="7" t="s">
        <v>152</v>
      </c>
      <c r="E3040" s="7" t="s">
        <v>31</v>
      </c>
      <c r="F3040" s="0" t="n">
        <v>29.16</v>
      </c>
      <c r="G3040" s="0" t="n">
        <v>10.7892</v>
      </c>
      <c r="H3040" s="0" t="n">
        <v>0</v>
      </c>
      <c r="I3040" s="7" t="n">
        <f aca="false">YEAR(B3040)</f>
        <v>2015</v>
      </c>
      <c r="J3040" s="0" t="str">
        <f aca="false">I3040&amp;"-Q"&amp;ROUNDUP(MONTH(B3040)/3,0)</f>
        <v>2015-Q2</v>
      </c>
    </row>
    <row r="3041" customFormat="false" ht="15" hidden="false" customHeight="false" outlineLevel="0" collapsed="false">
      <c r="A3041" s="0" t="s">
        <v>1591</v>
      </c>
      <c r="B3041" s="6" t="n">
        <v>43011</v>
      </c>
      <c r="C3041" s="7" t="s">
        <v>33</v>
      </c>
      <c r="D3041" s="7" t="s">
        <v>34</v>
      </c>
      <c r="E3041" s="7" t="s">
        <v>31</v>
      </c>
      <c r="F3041" s="0" t="n">
        <v>171.288</v>
      </c>
      <c r="G3041" s="0" t="n">
        <v>-6.4233</v>
      </c>
      <c r="H3041" s="0" t="n">
        <v>0.2</v>
      </c>
      <c r="I3041" s="7" t="n">
        <f aca="false">YEAR(B3041)</f>
        <v>2017</v>
      </c>
      <c r="J3041" s="0" t="str">
        <f aca="false">I3041&amp;"-Q"&amp;ROUNDUP(MONTH(B3041)/3,0)</f>
        <v>2017-Q4</v>
      </c>
    </row>
    <row r="3042" customFormat="false" ht="15" hidden="false" customHeight="false" outlineLevel="0" collapsed="false">
      <c r="A3042" s="0" t="s">
        <v>1592</v>
      </c>
      <c r="B3042" s="6" t="n">
        <v>42495</v>
      </c>
      <c r="C3042" s="7" t="s">
        <v>29</v>
      </c>
      <c r="D3042" s="7" t="s">
        <v>87</v>
      </c>
      <c r="E3042" s="7" t="s">
        <v>31</v>
      </c>
      <c r="F3042" s="0" t="n">
        <v>16.72</v>
      </c>
      <c r="G3042" s="0" t="n">
        <v>3.344</v>
      </c>
      <c r="H3042" s="0" t="n">
        <v>0.2</v>
      </c>
      <c r="I3042" s="7" t="n">
        <f aca="false">YEAR(B3042)</f>
        <v>2016</v>
      </c>
      <c r="J3042" s="0" t="str">
        <f aca="false">I3042&amp;"-Q"&amp;ROUNDUP(MONTH(B3042)/3,0)</f>
        <v>2016-Q2</v>
      </c>
    </row>
    <row r="3043" customFormat="false" ht="15" hidden="false" customHeight="false" outlineLevel="0" collapsed="false">
      <c r="A3043" s="0" t="s">
        <v>1593</v>
      </c>
      <c r="B3043" s="6" t="n">
        <v>42989</v>
      </c>
      <c r="C3043" s="7" t="s">
        <v>33</v>
      </c>
      <c r="D3043" s="7" t="s">
        <v>34</v>
      </c>
      <c r="E3043" s="7" t="s">
        <v>35</v>
      </c>
      <c r="F3043" s="0" t="n">
        <v>12.96</v>
      </c>
      <c r="G3043" s="0" t="n">
        <v>6.2208</v>
      </c>
      <c r="H3043" s="0" t="n">
        <v>0</v>
      </c>
      <c r="I3043" s="7" t="n">
        <f aca="false">YEAR(B3043)</f>
        <v>2017</v>
      </c>
      <c r="J3043" s="0" t="str">
        <f aca="false">I3043&amp;"-Q"&amp;ROUNDUP(MONTH(B3043)/3,0)</f>
        <v>2017-Q3</v>
      </c>
    </row>
    <row r="3044" customFormat="false" ht="15" hidden="false" customHeight="false" outlineLevel="0" collapsed="false">
      <c r="A3044" s="0" t="s">
        <v>1593</v>
      </c>
      <c r="B3044" s="6" t="n">
        <v>42989</v>
      </c>
      <c r="C3044" s="7" t="s">
        <v>33</v>
      </c>
      <c r="D3044" s="7" t="s">
        <v>34</v>
      </c>
      <c r="E3044" s="7" t="s">
        <v>35</v>
      </c>
      <c r="F3044" s="0" t="n">
        <v>22.18</v>
      </c>
      <c r="G3044" s="0" t="n">
        <v>10.8682</v>
      </c>
      <c r="H3044" s="0" t="n">
        <v>0</v>
      </c>
      <c r="I3044" s="7" t="n">
        <f aca="false">YEAR(B3044)</f>
        <v>2017</v>
      </c>
      <c r="J3044" s="0" t="str">
        <f aca="false">I3044&amp;"-Q"&amp;ROUNDUP(MONTH(B3044)/3,0)</f>
        <v>2017-Q3</v>
      </c>
    </row>
    <row r="3045" customFormat="false" ht="15" hidden="false" customHeight="false" outlineLevel="0" collapsed="false">
      <c r="A3045" s="0" t="s">
        <v>1593</v>
      </c>
      <c r="B3045" s="6" t="n">
        <v>42989</v>
      </c>
      <c r="C3045" s="7" t="s">
        <v>33</v>
      </c>
      <c r="D3045" s="7" t="s">
        <v>34</v>
      </c>
      <c r="E3045" s="7" t="s">
        <v>31</v>
      </c>
      <c r="F3045" s="0" t="n">
        <v>2054.272</v>
      </c>
      <c r="G3045" s="0" t="n">
        <v>256.784</v>
      </c>
      <c r="H3045" s="0" t="n">
        <v>0.2</v>
      </c>
      <c r="I3045" s="7" t="n">
        <f aca="false">YEAR(B3045)</f>
        <v>2017</v>
      </c>
      <c r="J3045" s="0" t="str">
        <f aca="false">I3045&amp;"-Q"&amp;ROUNDUP(MONTH(B3045)/3,0)</f>
        <v>2017-Q3</v>
      </c>
    </row>
    <row r="3046" customFormat="false" ht="15" hidden="false" customHeight="false" outlineLevel="0" collapsed="false">
      <c r="A3046" s="0" t="s">
        <v>1594</v>
      </c>
      <c r="B3046" s="6" t="n">
        <v>42124</v>
      </c>
      <c r="C3046" s="7" t="s">
        <v>55</v>
      </c>
      <c r="D3046" s="7" t="s">
        <v>116</v>
      </c>
      <c r="E3046" s="7" t="s">
        <v>39</v>
      </c>
      <c r="F3046" s="0" t="n">
        <v>1022.97</v>
      </c>
      <c r="G3046" s="0" t="n">
        <v>-255.7425</v>
      </c>
      <c r="H3046" s="0" t="n">
        <v>0.4</v>
      </c>
      <c r="I3046" s="7" t="n">
        <f aca="false">YEAR(B3046)</f>
        <v>2015</v>
      </c>
      <c r="J3046" s="0" t="str">
        <f aca="false">I3046&amp;"-Q"&amp;ROUNDUP(MONTH(B3046)/3,0)</f>
        <v>2015-Q2</v>
      </c>
    </row>
    <row r="3047" customFormat="false" ht="15" hidden="false" customHeight="false" outlineLevel="0" collapsed="false">
      <c r="A3047" s="0" t="s">
        <v>1595</v>
      </c>
      <c r="B3047" s="6" t="n">
        <v>43045</v>
      </c>
      <c r="C3047" s="7" t="s">
        <v>45</v>
      </c>
      <c r="D3047" s="7" t="s">
        <v>68</v>
      </c>
      <c r="E3047" s="7" t="s">
        <v>35</v>
      </c>
      <c r="F3047" s="0" t="n">
        <v>13.9</v>
      </c>
      <c r="G3047" s="0" t="n">
        <v>3.614</v>
      </c>
      <c r="H3047" s="0" t="n">
        <v>0</v>
      </c>
      <c r="I3047" s="7" t="n">
        <f aca="false">YEAR(B3047)</f>
        <v>2017</v>
      </c>
      <c r="J3047" s="0" t="str">
        <f aca="false">I3047&amp;"-Q"&amp;ROUNDUP(MONTH(B3047)/3,0)</f>
        <v>2017-Q4</v>
      </c>
    </row>
    <row r="3048" customFormat="false" ht="15" hidden="false" customHeight="false" outlineLevel="0" collapsed="false">
      <c r="A3048" s="0" t="s">
        <v>1595</v>
      </c>
      <c r="B3048" s="6" t="n">
        <v>43045</v>
      </c>
      <c r="C3048" s="7" t="s">
        <v>45</v>
      </c>
      <c r="D3048" s="7" t="s">
        <v>68</v>
      </c>
      <c r="E3048" s="7" t="s">
        <v>35</v>
      </c>
      <c r="F3048" s="0" t="n">
        <v>26.38</v>
      </c>
      <c r="G3048" s="0" t="n">
        <v>12.1348</v>
      </c>
      <c r="H3048" s="0" t="n">
        <v>0</v>
      </c>
      <c r="I3048" s="7" t="n">
        <f aca="false">YEAR(B3048)</f>
        <v>2017</v>
      </c>
      <c r="J3048" s="0" t="str">
        <f aca="false">I3048&amp;"-Q"&amp;ROUNDUP(MONTH(B3048)/3,0)</f>
        <v>2017-Q4</v>
      </c>
    </row>
    <row r="3049" customFormat="false" ht="15" hidden="false" customHeight="false" outlineLevel="0" collapsed="false">
      <c r="A3049" s="0" t="s">
        <v>1596</v>
      </c>
      <c r="B3049" s="6" t="n">
        <v>41912</v>
      </c>
      <c r="C3049" s="7" t="s">
        <v>33</v>
      </c>
      <c r="D3049" s="7" t="s">
        <v>43</v>
      </c>
      <c r="E3049" s="7" t="s">
        <v>35</v>
      </c>
      <c r="F3049" s="0" t="n">
        <v>43.176</v>
      </c>
      <c r="G3049" s="0" t="n">
        <v>13.4925</v>
      </c>
      <c r="H3049" s="0" t="n">
        <v>0.2</v>
      </c>
      <c r="I3049" s="7" t="n">
        <f aca="false">YEAR(B3049)</f>
        <v>2014</v>
      </c>
      <c r="J3049" s="0" t="str">
        <f aca="false">I3049&amp;"-Q"&amp;ROUNDUP(MONTH(B3049)/3,0)</f>
        <v>2014-Q3</v>
      </c>
    </row>
    <row r="3050" customFormat="false" ht="15" hidden="false" customHeight="false" outlineLevel="0" collapsed="false">
      <c r="A3050" s="0" t="s">
        <v>1597</v>
      </c>
      <c r="B3050" s="6" t="n">
        <v>42827</v>
      </c>
      <c r="C3050" s="7" t="s">
        <v>29</v>
      </c>
      <c r="D3050" s="7" t="s">
        <v>230</v>
      </c>
      <c r="E3050" s="7" t="s">
        <v>31</v>
      </c>
      <c r="F3050" s="0" t="n">
        <v>411.8</v>
      </c>
      <c r="G3050" s="0" t="n">
        <v>70.006</v>
      </c>
      <c r="H3050" s="0" t="n">
        <v>0</v>
      </c>
      <c r="I3050" s="7" t="n">
        <f aca="false">YEAR(B3050)</f>
        <v>2017</v>
      </c>
      <c r="J3050" s="0" t="str">
        <f aca="false">I3050&amp;"-Q"&amp;ROUNDUP(MONTH(B3050)/3,0)</f>
        <v>2017-Q2</v>
      </c>
    </row>
    <row r="3051" customFormat="false" ht="15" hidden="false" customHeight="false" outlineLevel="0" collapsed="false">
      <c r="A3051" s="0" t="s">
        <v>1597</v>
      </c>
      <c r="B3051" s="6" t="n">
        <v>42827</v>
      </c>
      <c r="C3051" s="7" t="s">
        <v>29</v>
      </c>
      <c r="D3051" s="7" t="s">
        <v>230</v>
      </c>
      <c r="E3051" s="7" t="s">
        <v>39</v>
      </c>
      <c r="F3051" s="0" t="n">
        <v>360</v>
      </c>
      <c r="G3051" s="0" t="n">
        <v>129.6</v>
      </c>
      <c r="H3051" s="0" t="n">
        <v>0</v>
      </c>
      <c r="I3051" s="7" t="n">
        <f aca="false">YEAR(B3051)</f>
        <v>2017</v>
      </c>
      <c r="J3051" s="0" t="str">
        <f aca="false">I3051&amp;"-Q"&amp;ROUNDUP(MONTH(B3051)/3,0)</f>
        <v>2017-Q2</v>
      </c>
    </row>
    <row r="3052" customFormat="false" ht="15" hidden="false" customHeight="false" outlineLevel="0" collapsed="false">
      <c r="A3052" s="0" t="s">
        <v>1598</v>
      </c>
      <c r="B3052" s="6" t="n">
        <v>43014</v>
      </c>
      <c r="C3052" s="7" t="s">
        <v>33</v>
      </c>
      <c r="D3052" s="7" t="s">
        <v>1599</v>
      </c>
      <c r="E3052" s="7" t="s">
        <v>31</v>
      </c>
      <c r="F3052" s="0" t="n">
        <v>41.96</v>
      </c>
      <c r="G3052" s="0" t="n">
        <v>2.9372</v>
      </c>
      <c r="H3052" s="0" t="n">
        <v>0</v>
      </c>
      <c r="I3052" s="7" t="n">
        <f aca="false">YEAR(B3052)</f>
        <v>2017</v>
      </c>
      <c r="J3052" s="0" t="str">
        <f aca="false">I3052&amp;"-Q"&amp;ROUNDUP(MONTH(B3052)/3,0)</f>
        <v>2017-Q4</v>
      </c>
    </row>
    <row r="3053" customFormat="false" ht="15" hidden="false" customHeight="false" outlineLevel="0" collapsed="false">
      <c r="A3053" s="0" t="s">
        <v>1598</v>
      </c>
      <c r="B3053" s="6" t="n">
        <v>43014</v>
      </c>
      <c r="C3053" s="7" t="s">
        <v>33</v>
      </c>
      <c r="D3053" s="7" t="s">
        <v>1599</v>
      </c>
      <c r="E3053" s="7" t="s">
        <v>35</v>
      </c>
      <c r="F3053" s="0" t="n">
        <v>227.84</v>
      </c>
      <c r="G3053" s="0" t="n">
        <v>66.0736</v>
      </c>
      <c r="H3053" s="0" t="n">
        <v>0</v>
      </c>
      <c r="I3053" s="7" t="n">
        <f aca="false">YEAR(B3053)</f>
        <v>2017</v>
      </c>
      <c r="J3053" s="0" t="str">
        <f aca="false">I3053&amp;"-Q"&amp;ROUNDUP(MONTH(B3053)/3,0)</f>
        <v>2017-Q4</v>
      </c>
    </row>
    <row r="3054" customFormat="false" ht="15" hidden="false" customHeight="false" outlineLevel="0" collapsed="false">
      <c r="A3054" s="0" t="s">
        <v>1598</v>
      </c>
      <c r="B3054" s="6" t="n">
        <v>43014</v>
      </c>
      <c r="C3054" s="7" t="s">
        <v>33</v>
      </c>
      <c r="D3054" s="7" t="s">
        <v>1599</v>
      </c>
      <c r="E3054" s="7" t="s">
        <v>35</v>
      </c>
      <c r="F3054" s="0" t="n">
        <v>37.94</v>
      </c>
      <c r="G3054" s="0" t="n">
        <v>18.2112</v>
      </c>
      <c r="H3054" s="0" t="n">
        <v>0</v>
      </c>
      <c r="I3054" s="7" t="n">
        <f aca="false">YEAR(B3054)</f>
        <v>2017</v>
      </c>
      <c r="J3054" s="0" t="str">
        <f aca="false">I3054&amp;"-Q"&amp;ROUNDUP(MONTH(B3054)/3,0)</f>
        <v>2017-Q4</v>
      </c>
    </row>
    <row r="3055" customFormat="false" ht="15" hidden="false" customHeight="false" outlineLevel="0" collapsed="false">
      <c r="A3055" s="0" t="s">
        <v>1600</v>
      </c>
      <c r="B3055" s="6" t="n">
        <v>42469</v>
      </c>
      <c r="C3055" s="7" t="s">
        <v>45</v>
      </c>
      <c r="D3055" s="7" t="s">
        <v>70</v>
      </c>
      <c r="E3055" s="7" t="s">
        <v>39</v>
      </c>
      <c r="F3055" s="0" t="n">
        <v>517.9</v>
      </c>
      <c r="G3055" s="0" t="n">
        <v>134.654</v>
      </c>
      <c r="H3055" s="0" t="n">
        <v>0</v>
      </c>
      <c r="I3055" s="7" t="n">
        <f aca="false">YEAR(B3055)</f>
        <v>2016</v>
      </c>
      <c r="J3055" s="0" t="str">
        <f aca="false">I3055&amp;"-Q"&amp;ROUNDUP(MONTH(B3055)/3,0)</f>
        <v>2016-Q2</v>
      </c>
    </row>
    <row r="3056" customFormat="false" ht="15" hidden="false" customHeight="false" outlineLevel="0" collapsed="false">
      <c r="A3056" s="0" t="s">
        <v>1600</v>
      </c>
      <c r="B3056" s="6" t="n">
        <v>42469</v>
      </c>
      <c r="C3056" s="7" t="s">
        <v>45</v>
      </c>
      <c r="D3056" s="7" t="s">
        <v>70</v>
      </c>
      <c r="E3056" s="7" t="s">
        <v>35</v>
      </c>
      <c r="F3056" s="0" t="n">
        <v>5.28</v>
      </c>
      <c r="G3056" s="0" t="n">
        <v>2.4288</v>
      </c>
      <c r="H3056" s="0" t="n">
        <v>0</v>
      </c>
      <c r="I3056" s="7" t="n">
        <f aca="false">YEAR(B3056)</f>
        <v>2016</v>
      </c>
      <c r="J3056" s="0" t="str">
        <f aca="false">I3056&amp;"-Q"&amp;ROUNDUP(MONTH(B3056)/3,0)</f>
        <v>2016-Q2</v>
      </c>
    </row>
    <row r="3057" customFormat="false" ht="15" hidden="false" customHeight="false" outlineLevel="0" collapsed="false">
      <c r="A3057" s="0" t="s">
        <v>1601</v>
      </c>
      <c r="B3057" s="6" t="n">
        <v>42244</v>
      </c>
      <c r="C3057" s="7" t="s">
        <v>45</v>
      </c>
      <c r="D3057" s="7" t="s">
        <v>64</v>
      </c>
      <c r="E3057" s="7" t="s">
        <v>39</v>
      </c>
      <c r="F3057" s="0" t="n">
        <v>2799.96</v>
      </c>
      <c r="G3057" s="0" t="n">
        <v>874.9875</v>
      </c>
      <c r="H3057" s="0" t="n">
        <v>0.2</v>
      </c>
      <c r="I3057" s="7" t="n">
        <f aca="false">YEAR(B3057)</f>
        <v>2015</v>
      </c>
      <c r="J3057" s="0" t="str">
        <f aca="false">I3057&amp;"-Q"&amp;ROUNDUP(MONTH(B3057)/3,0)</f>
        <v>2015-Q3</v>
      </c>
    </row>
    <row r="3058" customFormat="false" ht="15" hidden="false" customHeight="false" outlineLevel="0" collapsed="false">
      <c r="A3058" s="0" t="s">
        <v>1602</v>
      </c>
      <c r="B3058" s="6" t="n">
        <v>43027</v>
      </c>
      <c r="C3058" s="7" t="s">
        <v>33</v>
      </c>
      <c r="D3058" s="7" t="s">
        <v>34</v>
      </c>
      <c r="E3058" s="7" t="s">
        <v>35</v>
      </c>
      <c r="F3058" s="0" t="n">
        <v>8.96</v>
      </c>
      <c r="G3058" s="0" t="n">
        <v>4.3008</v>
      </c>
      <c r="H3058" s="0" t="n">
        <v>0</v>
      </c>
      <c r="I3058" s="7" t="n">
        <f aca="false">YEAR(B3058)</f>
        <v>2017</v>
      </c>
      <c r="J3058" s="0" t="str">
        <f aca="false">I3058&amp;"-Q"&amp;ROUNDUP(MONTH(B3058)/3,0)</f>
        <v>2017-Q4</v>
      </c>
    </row>
    <row r="3059" customFormat="false" ht="15" hidden="false" customHeight="false" outlineLevel="0" collapsed="false">
      <c r="A3059" s="0" t="s">
        <v>1602</v>
      </c>
      <c r="B3059" s="6" t="n">
        <v>43027</v>
      </c>
      <c r="C3059" s="7" t="s">
        <v>33</v>
      </c>
      <c r="D3059" s="7" t="s">
        <v>34</v>
      </c>
      <c r="E3059" s="7" t="s">
        <v>35</v>
      </c>
      <c r="F3059" s="0" t="n">
        <v>31.5</v>
      </c>
      <c r="G3059" s="0" t="n">
        <v>15.12</v>
      </c>
      <c r="H3059" s="0" t="n">
        <v>0</v>
      </c>
      <c r="I3059" s="7" t="n">
        <f aca="false">YEAR(B3059)</f>
        <v>2017</v>
      </c>
      <c r="J3059" s="0" t="str">
        <f aca="false">I3059&amp;"-Q"&amp;ROUNDUP(MONTH(B3059)/3,0)</f>
        <v>2017-Q4</v>
      </c>
    </row>
    <row r="3060" customFormat="false" ht="15" hidden="false" customHeight="false" outlineLevel="0" collapsed="false">
      <c r="A3060" s="0" t="s">
        <v>1602</v>
      </c>
      <c r="B3060" s="6" t="n">
        <v>43027</v>
      </c>
      <c r="C3060" s="7" t="s">
        <v>33</v>
      </c>
      <c r="D3060" s="7" t="s">
        <v>34</v>
      </c>
      <c r="E3060" s="7" t="s">
        <v>31</v>
      </c>
      <c r="F3060" s="0" t="n">
        <v>30.56</v>
      </c>
      <c r="G3060" s="0" t="n">
        <v>10.3904</v>
      </c>
      <c r="H3060" s="0" t="n">
        <v>0</v>
      </c>
      <c r="I3060" s="7" t="n">
        <f aca="false">YEAR(B3060)</f>
        <v>2017</v>
      </c>
      <c r="J3060" s="0" t="str">
        <f aca="false">I3060&amp;"-Q"&amp;ROUNDUP(MONTH(B3060)/3,0)</f>
        <v>2017-Q4</v>
      </c>
    </row>
    <row r="3061" customFormat="false" ht="15" hidden="false" customHeight="false" outlineLevel="0" collapsed="false">
      <c r="A3061" s="0" t="s">
        <v>1602</v>
      </c>
      <c r="B3061" s="6" t="n">
        <v>43027</v>
      </c>
      <c r="C3061" s="7" t="s">
        <v>33</v>
      </c>
      <c r="D3061" s="7" t="s">
        <v>34</v>
      </c>
      <c r="E3061" s="7" t="s">
        <v>31</v>
      </c>
      <c r="F3061" s="0" t="n">
        <v>24.368</v>
      </c>
      <c r="G3061" s="0" t="n">
        <v>-3.3506</v>
      </c>
      <c r="H3061" s="0" t="n">
        <v>0.2</v>
      </c>
      <c r="I3061" s="7" t="n">
        <f aca="false">YEAR(B3061)</f>
        <v>2017</v>
      </c>
      <c r="J3061" s="0" t="str">
        <f aca="false">I3061&amp;"-Q"&amp;ROUNDUP(MONTH(B3061)/3,0)</f>
        <v>2017-Q4</v>
      </c>
    </row>
    <row r="3062" customFormat="false" ht="15" hidden="false" customHeight="false" outlineLevel="0" collapsed="false">
      <c r="A3062" s="0" t="s">
        <v>1603</v>
      </c>
      <c r="B3062" s="6" t="n">
        <v>42681</v>
      </c>
      <c r="C3062" s="7" t="s">
        <v>55</v>
      </c>
      <c r="D3062" s="7" t="s">
        <v>116</v>
      </c>
      <c r="E3062" s="7" t="s">
        <v>39</v>
      </c>
      <c r="F3062" s="0" t="n">
        <v>119.976</v>
      </c>
      <c r="G3062" s="0" t="n">
        <v>22.4955</v>
      </c>
      <c r="H3062" s="0" t="n">
        <v>0.2</v>
      </c>
      <c r="I3062" s="7" t="n">
        <f aca="false">YEAR(B3062)</f>
        <v>2016</v>
      </c>
      <c r="J3062" s="0" t="str">
        <f aca="false">I3062&amp;"-Q"&amp;ROUNDUP(MONTH(B3062)/3,0)</f>
        <v>2016-Q4</v>
      </c>
    </row>
    <row r="3063" customFormat="false" ht="15" hidden="false" customHeight="false" outlineLevel="0" collapsed="false">
      <c r="A3063" s="0" t="s">
        <v>1604</v>
      </c>
      <c r="B3063" s="6" t="n">
        <v>42797</v>
      </c>
      <c r="C3063" s="7" t="s">
        <v>45</v>
      </c>
      <c r="D3063" s="7" t="s">
        <v>46</v>
      </c>
      <c r="E3063" s="7" t="s">
        <v>35</v>
      </c>
      <c r="F3063" s="0" t="n">
        <v>26.88</v>
      </c>
      <c r="G3063" s="0" t="n">
        <v>9.744</v>
      </c>
      <c r="H3063" s="0" t="n">
        <v>0.2</v>
      </c>
      <c r="I3063" s="7" t="n">
        <f aca="false">YEAR(B3063)</f>
        <v>2017</v>
      </c>
      <c r="J3063" s="0" t="str">
        <f aca="false">I3063&amp;"-Q"&amp;ROUNDUP(MONTH(B3063)/3,0)</f>
        <v>2017-Q1</v>
      </c>
    </row>
    <row r="3064" customFormat="false" ht="15" hidden="false" customHeight="false" outlineLevel="0" collapsed="false">
      <c r="A3064" s="0" t="s">
        <v>1605</v>
      </c>
      <c r="B3064" s="6" t="n">
        <v>42335</v>
      </c>
      <c r="C3064" s="7" t="s">
        <v>55</v>
      </c>
      <c r="D3064" s="7" t="s">
        <v>72</v>
      </c>
      <c r="E3064" s="7" t="s">
        <v>39</v>
      </c>
      <c r="F3064" s="0" t="n">
        <v>83.97</v>
      </c>
      <c r="G3064" s="0" t="n">
        <v>23.5116</v>
      </c>
      <c r="H3064" s="0" t="n">
        <v>0</v>
      </c>
      <c r="I3064" s="7" t="n">
        <f aca="false">YEAR(B3064)</f>
        <v>2015</v>
      </c>
      <c r="J3064" s="0" t="str">
        <f aca="false">I3064&amp;"-Q"&amp;ROUNDUP(MONTH(B3064)/3,0)</f>
        <v>2015-Q4</v>
      </c>
    </row>
    <row r="3065" customFormat="false" ht="15" hidden="false" customHeight="false" outlineLevel="0" collapsed="false">
      <c r="A3065" s="0" t="s">
        <v>1605</v>
      </c>
      <c r="B3065" s="6" t="n">
        <v>42335</v>
      </c>
      <c r="C3065" s="7" t="s">
        <v>55</v>
      </c>
      <c r="D3065" s="7" t="s">
        <v>72</v>
      </c>
      <c r="E3065" s="7" t="s">
        <v>39</v>
      </c>
      <c r="F3065" s="0" t="n">
        <v>104.97</v>
      </c>
      <c r="G3065" s="0" t="n">
        <v>7.3479</v>
      </c>
      <c r="H3065" s="0" t="n">
        <v>0</v>
      </c>
      <c r="I3065" s="7" t="n">
        <f aca="false">YEAR(B3065)</f>
        <v>2015</v>
      </c>
      <c r="J3065" s="0" t="str">
        <f aca="false">I3065&amp;"-Q"&amp;ROUNDUP(MONTH(B3065)/3,0)</f>
        <v>2015-Q4</v>
      </c>
    </row>
    <row r="3066" customFormat="false" ht="15" hidden="false" customHeight="false" outlineLevel="0" collapsed="false">
      <c r="A3066" s="0" t="s">
        <v>1606</v>
      </c>
      <c r="B3066" s="6" t="n">
        <v>42807</v>
      </c>
      <c r="C3066" s="7" t="s">
        <v>33</v>
      </c>
      <c r="D3066" s="7" t="s">
        <v>142</v>
      </c>
      <c r="E3066" s="7" t="s">
        <v>35</v>
      </c>
      <c r="F3066" s="0" t="n">
        <v>90.8</v>
      </c>
      <c r="G3066" s="0" t="n">
        <v>25.424</v>
      </c>
      <c r="H3066" s="0" t="n">
        <v>0</v>
      </c>
      <c r="I3066" s="7" t="n">
        <f aca="false">YEAR(B3066)</f>
        <v>2017</v>
      </c>
      <c r="J3066" s="0" t="str">
        <f aca="false">I3066&amp;"-Q"&amp;ROUNDUP(MONTH(B3066)/3,0)</f>
        <v>2017-Q1</v>
      </c>
    </row>
    <row r="3067" customFormat="false" ht="15" hidden="false" customHeight="false" outlineLevel="0" collapsed="false">
      <c r="A3067" s="0" t="s">
        <v>1606</v>
      </c>
      <c r="B3067" s="6" t="n">
        <v>42807</v>
      </c>
      <c r="C3067" s="7" t="s">
        <v>33</v>
      </c>
      <c r="D3067" s="7" t="s">
        <v>142</v>
      </c>
      <c r="E3067" s="7" t="s">
        <v>39</v>
      </c>
      <c r="F3067" s="0" t="n">
        <v>140.736</v>
      </c>
      <c r="G3067" s="0" t="n">
        <v>49.2576</v>
      </c>
      <c r="H3067" s="0" t="n">
        <v>0.2</v>
      </c>
      <c r="I3067" s="7" t="n">
        <f aca="false">YEAR(B3067)</f>
        <v>2017</v>
      </c>
      <c r="J3067" s="0" t="str">
        <f aca="false">I3067&amp;"-Q"&amp;ROUNDUP(MONTH(B3067)/3,0)</f>
        <v>2017-Q1</v>
      </c>
    </row>
    <row r="3068" customFormat="false" ht="15" hidden="false" customHeight="false" outlineLevel="0" collapsed="false">
      <c r="A3068" s="0" t="s">
        <v>1606</v>
      </c>
      <c r="B3068" s="6" t="n">
        <v>42807</v>
      </c>
      <c r="C3068" s="7" t="s">
        <v>33</v>
      </c>
      <c r="D3068" s="7" t="s">
        <v>142</v>
      </c>
      <c r="E3068" s="7" t="s">
        <v>39</v>
      </c>
      <c r="F3068" s="0" t="n">
        <v>214.95</v>
      </c>
      <c r="G3068" s="0" t="n">
        <v>88.1295</v>
      </c>
      <c r="H3068" s="0" t="n">
        <v>0</v>
      </c>
      <c r="I3068" s="7" t="n">
        <f aca="false">YEAR(B3068)</f>
        <v>2017</v>
      </c>
      <c r="J3068" s="0" t="str">
        <f aca="false">I3068&amp;"-Q"&amp;ROUNDUP(MONTH(B3068)/3,0)</f>
        <v>2017-Q1</v>
      </c>
    </row>
    <row r="3069" customFormat="false" ht="15" hidden="false" customHeight="false" outlineLevel="0" collapsed="false">
      <c r="A3069" s="0" t="s">
        <v>1606</v>
      </c>
      <c r="B3069" s="6" t="n">
        <v>42807</v>
      </c>
      <c r="C3069" s="7" t="s">
        <v>33</v>
      </c>
      <c r="D3069" s="7" t="s">
        <v>142</v>
      </c>
      <c r="E3069" s="7" t="s">
        <v>35</v>
      </c>
      <c r="F3069" s="0" t="n">
        <v>45.36</v>
      </c>
      <c r="G3069" s="0" t="n">
        <v>21.7728</v>
      </c>
      <c r="H3069" s="0" t="n">
        <v>0</v>
      </c>
      <c r="I3069" s="7" t="n">
        <f aca="false">YEAR(B3069)</f>
        <v>2017</v>
      </c>
      <c r="J3069" s="0" t="str">
        <f aca="false">I3069&amp;"-Q"&amp;ROUNDUP(MONTH(B3069)/3,0)</f>
        <v>2017-Q1</v>
      </c>
    </row>
    <row r="3070" customFormat="false" ht="15" hidden="false" customHeight="false" outlineLevel="0" collapsed="false">
      <c r="A3070" s="0" t="s">
        <v>1606</v>
      </c>
      <c r="B3070" s="6" t="n">
        <v>42807</v>
      </c>
      <c r="C3070" s="7" t="s">
        <v>33</v>
      </c>
      <c r="D3070" s="7" t="s">
        <v>142</v>
      </c>
      <c r="E3070" s="7" t="s">
        <v>35</v>
      </c>
      <c r="F3070" s="0" t="n">
        <v>288.24</v>
      </c>
      <c r="G3070" s="0" t="n">
        <v>138.3552</v>
      </c>
      <c r="H3070" s="0" t="n">
        <v>0</v>
      </c>
      <c r="I3070" s="7" t="n">
        <f aca="false">YEAR(B3070)</f>
        <v>2017</v>
      </c>
      <c r="J3070" s="0" t="str">
        <f aca="false">I3070&amp;"-Q"&amp;ROUNDUP(MONTH(B3070)/3,0)</f>
        <v>2017-Q1</v>
      </c>
    </row>
    <row r="3071" customFormat="false" ht="15" hidden="false" customHeight="false" outlineLevel="0" collapsed="false">
      <c r="A3071" s="0" t="s">
        <v>1607</v>
      </c>
      <c r="B3071" s="6" t="n">
        <v>43069</v>
      </c>
      <c r="C3071" s="7" t="s">
        <v>55</v>
      </c>
      <c r="D3071" s="7" t="s">
        <v>116</v>
      </c>
      <c r="E3071" s="7" t="s">
        <v>35</v>
      </c>
      <c r="F3071" s="0" t="n">
        <v>663.936</v>
      </c>
      <c r="G3071" s="0" t="n">
        <v>82.992</v>
      </c>
      <c r="H3071" s="0" t="n">
        <v>0.2</v>
      </c>
      <c r="I3071" s="7" t="n">
        <f aca="false">YEAR(B3071)</f>
        <v>2017</v>
      </c>
      <c r="J3071" s="0" t="str">
        <f aca="false">I3071&amp;"-Q"&amp;ROUNDUP(MONTH(B3071)/3,0)</f>
        <v>2017-Q4</v>
      </c>
    </row>
    <row r="3072" customFormat="false" ht="15" hidden="false" customHeight="false" outlineLevel="0" collapsed="false">
      <c r="A3072" s="0" t="s">
        <v>1608</v>
      </c>
      <c r="B3072" s="6" t="n">
        <v>41960</v>
      </c>
      <c r="C3072" s="7" t="s">
        <v>55</v>
      </c>
      <c r="D3072" s="7" t="s">
        <v>72</v>
      </c>
      <c r="E3072" s="7" t="s">
        <v>35</v>
      </c>
      <c r="F3072" s="0" t="n">
        <v>2934.33</v>
      </c>
      <c r="G3072" s="0" t="n">
        <v>792.2691</v>
      </c>
      <c r="H3072" s="0" t="n">
        <v>0</v>
      </c>
      <c r="I3072" s="7" t="n">
        <f aca="false">YEAR(B3072)</f>
        <v>2014</v>
      </c>
      <c r="J3072" s="0" t="str">
        <f aca="false">I3072&amp;"-Q"&amp;ROUNDUP(MONTH(B3072)/3,0)</f>
        <v>2014-Q4</v>
      </c>
    </row>
    <row r="3073" customFormat="false" ht="15" hidden="false" customHeight="false" outlineLevel="0" collapsed="false">
      <c r="A3073" s="0" t="s">
        <v>1608</v>
      </c>
      <c r="B3073" s="6" t="n">
        <v>41960</v>
      </c>
      <c r="C3073" s="7" t="s">
        <v>55</v>
      </c>
      <c r="D3073" s="7" t="s">
        <v>72</v>
      </c>
      <c r="E3073" s="7" t="s">
        <v>31</v>
      </c>
      <c r="F3073" s="0" t="n">
        <v>124.41</v>
      </c>
      <c r="G3073" s="0" t="n">
        <v>14.9292</v>
      </c>
      <c r="H3073" s="0" t="n">
        <v>0</v>
      </c>
      <c r="I3073" s="7" t="n">
        <f aca="false">YEAR(B3073)</f>
        <v>2014</v>
      </c>
      <c r="J3073" s="0" t="str">
        <f aca="false">I3073&amp;"-Q"&amp;ROUNDUP(MONTH(B3073)/3,0)</f>
        <v>2014-Q4</v>
      </c>
    </row>
    <row r="3074" customFormat="false" ht="15" hidden="false" customHeight="false" outlineLevel="0" collapsed="false">
      <c r="A3074" s="0" t="s">
        <v>1608</v>
      </c>
      <c r="B3074" s="6" t="n">
        <v>41960</v>
      </c>
      <c r="C3074" s="7" t="s">
        <v>55</v>
      </c>
      <c r="D3074" s="7" t="s">
        <v>72</v>
      </c>
      <c r="E3074" s="7" t="s">
        <v>35</v>
      </c>
      <c r="F3074" s="0" t="n">
        <v>57.75</v>
      </c>
      <c r="G3074" s="0" t="n">
        <v>26.565</v>
      </c>
      <c r="H3074" s="0" t="n">
        <v>0</v>
      </c>
      <c r="I3074" s="7" t="n">
        <f aca="false">YEAR(B3074)</f>
        <v>2014</v>
      </c>
      <c r="J3074" s="0" t="str">
        <f aca="false">I3074&amp;"-Q"&amp;ROUNDUP(MONTH(B3074)/3,0)</f>
        <v>2014-Q4</v>
      </c>
    </row>
    <row r="3075" customFormat="false" ht="15" hidden="false" customHeight="false" outlineLevel="0" collapsed="false">
      <c r="A3075" s="0" t="s">
        <v>1609</v>
      </c>
      <c r="B3075" s="6" t="n">
        <v>42372</v>
      </c>
      <c r="C3075" s="7" t="s">
        <v>33</v>
      </c>
      <c r="D3075" s="7" t="s">
        <v>34</v>
      </c>
      <c r="E3075" s="7" t="s">
        <v>35</v>
      </c>
      <c r="F3075" s="0" t="n">
        <v>114.46</v>
      </c>
      <c r="G3075" s="0" t="n">
        <v>28.615</v>
      </c>
      <c r="H3075" s="0" t="n">
        <v>0</v>
      </c>
      <c r="I3075" s="7" t="n">
        <f aca="false">YEAR(B3075)</f>
        <v>2016</v>
      </c>
      <c r="J3075" s="0" t="str">
        <f aca="false">I3075&amp;"-Q"&amp;ROUNDUP(MONTH(B3075)/3,0)</f>
        <v>2016-Q1</v>
      </c>
    </row>
    <row r="3076" customFormat="false" ht="15" hidden="false" customHeight="false" outlineLevel="0" collapsed="false">
      <c r="A3076" s="0" t="s">
        <v>1610</v>
      </c>
      <c r="B3076" s="6" t="n">
        <v>42280</v>
      </c>
      <c r="C3076" s="7" t="s">
        <v>33</v>
      </c>
      <c r="D3076" s="7" t="s">
        <v>34</v>
      </c>
      <c r="E3076" s="7" t="s">
        <v>31</v>
      </c>
      <c r="F3076" s="0" t="n">
        <v>120.666</v>
      </c>
      <c r="G3076" s="0" t="n">
        <v>18.4548</v>
      </c>
      <c r="H3076" s="0" t="n">
        <v>0.15</v>
      </c>
      <c r="I3076" s="7" t="n">
        <f aca="false">YEAR(B3076)</f>
        <v>2015</v>
      </c>
      <c r="J3076" s="0" t="str">
        <f aca="false">I3076&amp;"-Q"&amp;ROUNDUP(MONTH(B3076)/3,0)</f>
        <v>2015-Q4</v>
      </c>
    </row>
    <row r="3077" customFormat="false" ht="15" hidden="false" customHeight="false" outlineLevel="0" collapsed="false">
      <c r="A3077" s="0" t="s">
        <v>1611</v>
      </c>
      <c r="B3077" s="6" t="n">
        <v>41840</v>
      </c>
      <c r="C3077" s="7" t="s">
        <v>45</v>
      </c>
      <c r="D3077" s="7" t="s">
        <v>46</v>
      </c>
      <c r="E3077" s="7" t="s">
        <v>35</v>
      </c>
      <c r="F3077" s="0" t="n">
        <v>342.864</v>
      </c>
      <c r="G3077" s="0" t="n">
        <v>38.5722</v>
      </c>
      <c r="H3077" s="0" t="n">
        <v>0.2</v>
      </c>
      <c r="I3077" s="7" t="n">
        <f aca="false">YEAR(B3077)</f>
        <v>2014</v>
      </c>
      <c r="J3077" s="0" t="str">
        <f aca="false">I3077&amp;"-Q"&amp;ROUNDUP(MONTH(B3077)/3,0)</f>
        <v>2014-Q3</v>
      </c>
    </row>
    <row r="3078" customFormat="false" ht="15" hidden="false" customHeight="false" outlineLevel="0" collapsed="false">
      <c r="A3078" s="0" t="s">
        <v>1611</v>
      </c>
      <c r="B3078" s="6" t="n">
        <v>41840</v>
      </c>
      <c r="C3078" s="7" t="s">
        <v>45</v>
      </c>
      <c r="D3078" s="7" t="s">
        <v>46</v>
      </c>
      <c r="E3078" s="7" t="s">
        <v>31</v>
      </c>
      <c r="F3078" s="0" t="n">
        <v>16.74</v>
      </c>
      <c r="G3078" s="0" t="n">
        <v>-14.229</v>
      </c>
      <c r="H3078" s="0" t="n">
        <v>0.6</v>
      </c>
      <c r="I3078" s="7" t="n">
        <f aca="false">YEAR(B3078)</f>
        <v>2014</v>
      </c>
      <c r="J3078" s="0" t="str">
        <f aca="false">I3078&amp;"-Q"&amp;ROUNDUP(MONTH(B3078)/3,0)</f>
        <v>2014-Q3</v>
      </c>
    </row>
    <row r="3079" customFormat="false" ht="15" hidden="false" customHeight="false" outlineLevel="0" collapsed="false">
      <c r="A3079" s="0" t="s">
        <v>1611</v>
      </c>
      <c r="B3079" s="6" t="n">
        <v>41840</v>
      </c>
      <c r="C3079" s="7" t="s">
        <v>45</v>
      </c>
      <c r="D3079" s="7" t="s">
        <v>46</v>
      </c>
      <c r="E3079" s="7" t="s">
        <v>31</v>
      </c>
      <c r="F3079" s="0" t="n">
        <v>981.372</v>
      </c>
      <c r="G3079" s="0" t="n">
        <v>-140.196</v>
      </c>
      <c r="H3079" s="0" t="n">
        <v>0.3</v>
      </c>
      <c r="I3079" s="7" t="n">
        <f aca="false">YEAR(B3079)</f>
        <v>2014</v>
      </c>
      <c r="J3079" s="0" t="str">
        <f aca="false">I3079&amp;"-Q"&amp;ROUNDUP(MONTH(B3079)/3,0)</f>
        <v>2014-Q3</v>
      </c>
    </row>
    <row r="3080" customFormat="false" ht="15" hidden="false" customHeight="false" outlineLevel="0" collapsed="false">
      <c r="A3080" s="0" t="s">
        <v>1612</v>
      </c>
      <c r="B3080" s="6" t="n">
        <v>41780</v>
      </c>
      <c r="C3080" s="7" t="s">
        <v>33</v>
      </c>
      <c r="D3080" s="7" t="s">
        <v>34</v>
      </c>
      <c r="E3080" s="7" t="s">
        <v>35</v>
      </c>
      <c r="F3080" s="0" t="n">
        <v>31.84</v>
      </c>
      <c r="G3080" s="0" t="n">
        <v>10.5072</v>
      </c>
      <c r="H3080" s="0" t="n">
        <v>0</v>
      </c>
      <c r="I3080" s="7" t="n">
        <f aca="false">YEAR(B3080)</f>
        <v>2014</v>
      </c>
      <c r="J3080" s="0" t="str">
        <f aca="false">I3080&amp;"-Q"&amp;ROUNDUP(MONTH(B3080)/3,0)</f>
        <v>2014-Q2</v>
      </c>
    </row>
    <row r="3081" customFormat="false" ht="15" hidden="false" customHeight="false" outlineLevel="0" collapsed="false">
      <c r="A3081" s="0" t="s">
        <v>1613</v>
      </c>
      <c r="B3081" s="6" t="n">
        <v>42982</v>
      </c>
      <c r="C3081" s="7" t="s">
        <v>33</v>
      </c>
      <c r="D3081" s="7" t="s">
        <v>34</v>
      </c>
      <c r="E3081" s="7" t="s">
        <v>35</v>
      </c>
      <c r="F3081" s="0" t="n">
        <v>12.96</v>
      </c>
      <c r="G3081" s="0" t="n">
        <v>6.2208</v>
      </c>
      <c r="H3081" s="0" t="n">
        <v>0</v>
      </c>
      <c r="I3081" s="7" t="n">
        <f aca="false">YEAR(B3081)</f>
        <v>2017</v>
      </c>
      <c r="J3081" s="0" t="str">
        <f aca="false">I3081&amp;"-Q"&amp;ROUNDUP(MONTH(B3081)/3,0)</f>
        <v>2017-Q3</v>
      </c>
    </row>
    <row r="3082" customFormat="false" ht="15" hidden="false" customHeight="false" outlineLevel="0" collapsed="false">
      <c r="A3082" s="0" t="s">
        <v>1613</v>
      </c>
      <c r="B3082" s="6" t="n">
        <v>42982</v>
      </c>
      <c r="C3082" s="7" t="s">
        <v>33</v>
      </c>
      <c r="D3082" s="7" t="s">
        <v>34</v>
      </c>
      <c r="E3082" s="7" t="s">
        <v>39</v>
      </c>
      <c r="F3082" s="0" t="n">
        <v>43.176</v>
      </c>
      <c r="G3082" s="0" t="n">
        <v>15.1116</v>
      </c>
      <c r="H3082" s="0" t="n">
        <v>0.2</v>
      </c>
      <c r="I3082" s="7" t="n">
        <f aca="false">YEAR(B3082)</f>
        <v>2017</v>
      </c>
      <c r="J3082" s="0" t="str">
        <f aca="false">I3082&amp;"-Q"&amp;ROUNDUP(MONTH(B3082)/3,0)</f>
        <v>2017-Q3</v>
      </c>
    </row>
    <row r="3083" customFormat="false" ht="15" hidden="false" customHeight="false" outlineLevel="0" collapsed="false">
      <c r="A3083" s="0" t="s">
        <v>1614</v>
      </c>
      <c r="B3083" s="6" t="n">
        <v>42882</v>
      </c>
      <c r="C3083" s="7" t="s">
        <v>29</v>
      </c>
      <c r="D3083" s="7" t="s">
        <v>30</v>
      </c>
      <c r="E3083" s="7" t="s">
        <v>35</v>
      </c>
      <c r="F3083" s="0" t="n">
        <v>58.34</v>
      </c>
      <c r="G3083" s="0" t="n">
        <v>28.0032</v>
      </c>
      <c r="H3083" s="0" t="n">
        <v>0</v>
      </c>
      <c r="I3083" s="7" t="n">
        <f aca="false">YEAR(B3083)</f>
        <v>2017</v>
      </c>
      <c r="J3083" s="0" t="str">
        <f aca="false">I3083&amp;"-Q"&amp;ROUNDUP(MONTH(B3083)/3,0)</f>
        <v>2017-Q2</v>
      </c>
    </row>
    <row r="3084" customFormat="false" ht="15" hidden="false" customHeight="false" outlineLevel="0" collapsed="false">
      <c r="A3084" s="0" t="s">
        <v>1614</v>
      </c>
      <c r="B3084" s="6" t="n">
        <v>42882</v>
      </c>
      <c r="C3084" s="7" t="s">
        <v>29</v>
      </c>
      <c r="D3084" s="7" t="s">
        <v>30</v>
      </c>
      <c r="E3084" s="7" t="s">
        <v>39</v>
      </c>
      <c r="F3084" s="0" t="n">
        <v>539.97</v>
      </c>
      <c r="G3084" s="0" t="n">
        <v>134.9925</v>
      </c>
      <c r="H3084" s="0" t="n">
        <v>0</v>
      </c>
      <c r="I3084" s="7" t="n">
        <f aca="false">YEAR(B3084)</f>
        <v>2017</v>
      </c>
      <c r="J3084" s="0" t="str">
        <f aca="false">I3084&amp;"-Q"&amp;ROUNDUP(MONTH(B3084)/3,0)</f>
        <v>2017-Q2</v>
      </c>
    </row>
    <row r="3085" customFormat="false" ht="15" hidden="false" customHeight="false" outlineLevel="0" collapsed="false">
      <c r="A3085" s="0" t="s">
        <v>1615</v>
      </c>
      <c r="B3085" s="6" t="n">
        <v>41667</v>
      </c>
      <c r="C3085" s="7" t="s">
        <v>55</v>
      </c>
      <c r="D3085" s="7" t="s">
        <v>76</v>
      </c>
      <c r="E3085" s="7" t="s">
        <v>35</v>
      </c>
      <c r="F3085" s="0" t="n">
        <v>3.928</v>
      </c>
      <c r="G3085" s="0" t="n">
        <v>1.3257</v>
      </c>
      <c r="H3085" s="0" t="n">
        <v>0.2</v>
      </c>
      <c r="I3085" s="7" t="n">
        <f aca="false">YEAR(B3085)</f>
        <v>2014</v>
      </c>
      <c r="J3085" s="0" t="str">
        <f aca="false">I3085&amp;"-Q"&amp;ROUNDUP(MONTH(B3085)/3,0)</f>
        <v>2014-Q1</v>
      </c>
    </row>
    <row r="3086" customFormat="false" ht="15" hidden="false" customHeight="false" outlineLevel="0" collapsed="false">
      <c r="A3086" s="0" t="s">
        <v>1616</v>
      </c>
      <c r="B3086" s="6" t="n">
        <v>42775</v>
      </c>
      <c r="C3086" s="7" t="s">
        <v>45</v>
      </c>
      <c r="D3086" s="7" t="s">
        <v>46</v>
      </c>
      <c r="E3086" s="7" t="s">
        <v>35</v>
      </c>
      <c r="F3086" s="0" t="n">
        <v>252.784</v>
      </c>
      <c r="G3086" s="0" t="n">
        <v>-417.0936</v>
      </c>
      <c r="H3086" s="0" t="n">
        <v>0.8</v>
      </c>
      <c r="I3086" s="7" t="n">
        <f aca="false">YEAR(B3086)</f>
        <v>2017</v>
      </c>
      <c r="J3086" s="0" t="str">
        <f aca="false">I3086&amp;"-Q"&amp;ROUNDUP(MONTH(B3086)/3,0)</f>
        <v>2017-Q1</v>
      </c>
    </row>
    <row r="3087" customFormat="false" ht="15" hidden="false" customHeight="false" outlineLevel="0" collapsed="false">
      <c r="A3087" s="0" t="s">
        <v>1616</v>
      </c>
      <c r="B3087" s="6" t="n">
        <v>42775</v>
      </c>
      <c r="C3087" s="7" t="s">
        <v>45</v>
      </c>
      <c r="D3087" s="7" t="s">
        <v>46</v>
      </c>
      <c r="E3087" s="7" t="s">
        <v>39</v>
      </c>
      <c r="F3087" s="0" t="n">
        <v>127.984</v>
      </c>
      <c r="G3087" s="0" t="n">
        <v>15.998</v>
      </c>
      <c r="H3087" s="0" t="n">
        <v>0.2</v>
      </c>
      <c r="I3087" s="7" t="n">
        <f aca="false">YEAR(B3087)</f>
        <v>2017</v>
      </c>
      <c r="J3087" s="0" t="str">
        <f aca="false">I3087&amp;"-Q"&amp;ROUNDUP(MONTH(B3087)/3,0)</f>
        <v>2017-Q1</v>
      </c>
    </row>
    <row r="3088" customFormat="false" ht="15" hidden="false" customHeight="false" outlineLevel="0" collapsed="false">
      <c r="A3088" s="0" t="s">
        <v>1616</v>
      </c>
      <c r="B3088" s="6" t="n">
        <v>42775</v>
      </c>
      <c r="C3088" s="7" t="s">
        <v>45</v>
      </c>
      <c r="D3088" s="7" t="s">
        <v>46</v>
      </c>
      <c r="E3088" s="7" t="s">
        <v>31</v>
      </c>
      <c r="F3088" s="0" t="n">
        <v>3.984</v>
      </c>
      <c r="G3088" s="0" t="n">
        <v>-2.6892</v>
      </c>
      <c r="H3088" s="0" t="n">
        <v>0.6</v>
      </c>
      <c r="I3088" s="7" t="n">
        <f aca="false">YEAR(B3088)</f>
        <v>2017</v>
      </c>
      <c r="J3088" s="0" t="str">
        <f aca="false">I3088&amp;"-Q"&amp;ROUNDUP(MONTH(B3088)/3,0)</f>
        <v>2017-Q1</v>
      </c>
    </row>
    <row r="3089" customFormat="false" ht="15" hidden="false" customHeight="false" outlineLevel="0" collapsed="false">
      <c r="A3089" s="0" t="s">
        <v>1616</v>
      </c>
      <c r="B3089" s="6" t="n">
        <v>42775</v>
      </c>
      <c r="C3089" s="7" t="s">
        <v>45</v>
      </c>
      <c r="D3089" s="7" t="s">
        <v>46</v>
      </c>
      <c r="E3089" s="7" t="s">
        <v>35</v>
      </c>
      <c r="F3089" s="0" t="n">
        <v>12.992</v>
      </c>
      <c r="G3089" s="0" t="n">
        <v>-32.48</v>
      </c>
      <c r="H3089" s="0" t="n">
        <v>0.8</v>
      </c>
      <c r="I3089" s="7" t="n">
        <f aca="false">YEAR(B3089)</f>
        <v>2017</v>
      </c>
      <c r="J3089" s="0" t="str">
        <f aca="false">I3089&amp;"-Q"&amp;ROUNDUP(MONTH(B3089)/3,0)</f>
        <v>2017-Q1</v>
      </c>
    </row>
    <row r="3090" customFormat="false" ht="15" hidden="false" customHeight="false" outlineLevel="0" collapsed="false">
      <c r="A3090" s="0" t="s">
        <v>1617</v>
      </c>
      <c r="B3090" s="6" t="n">
        <v>42825</v>
      </c>
      <c r="C3090" s="7" t="s">
        <v>29</v>
      </c>
      <c r="D3090" s="7" t="s">
        <v>30</v>
      </c>
      <c r="E3090" s="7" t="s">
        <v>31</v>
      </c>
      <c r="F3090" s="0" t="n">
        <v>61</v>
      </c>
      <c r="G3090" s="0" t="n">
        <v>25.62</v>
      </c>
      <c r="H3090" s="0" t="n">
        <v>0</v>
      </c>
      <c r="I3090" s="7" t="n">
        <f aca="false">YEAR(B3090)</f>
        <v>2017</v>
      </c>
      <c r="J3090" s="0" t="str">
        <f aca="false">I3090&amp;"-Q"&amp;ROUNDUP(MONTH(B3090)/3,0)</f>
        <v>2017-Q1</v>
      </c>
    </row>
    <row r="3091" customFormat="false" ht="15" hidden="false" customHeight="false" outlineLevel="0" collapsed="false">
      <c r="A3091" s="0" t="s">
        <v>1617</v>
      </c>
      <c r="B3091" s="6" t="n">
        <v>42825</v>
      </c>
      <c r="C3091" s="7" t="s">
        <v>29</v>
      </c>
      <c r="D3091" s="7" t="s">
        <v>30</v>
      </c>
      <c r="E3091" s="7" t="s">
        <v>39</v>
      </c>
      <c r="F3091" s="0" t="n">
        <v>671.93</v>
      </c>
      <c r="G3091" s="0" t="n">
        <v>188.1404</v>
      </c>
      <c r="H3091" s="0" t="n">
        <v>0</v>
      </c>
      <c r="I3091" s="7" t="n">
        <f aca="false">YEAR(B3091)</f>
        <v>2017</v>
      </c>
      <c r="J3091" s="0" t="str">
        <f aca="false">I3091&amp;"-Q"&amp;ROUNDUP(MONTH(B3091)/3,0)</f>
        <v>2017-Q1</v>
      </c>
    </row>
    <row r="3092" customFormat="false" ht="15" hidden="false" customHeight="false" outlineLevel="0" collapsed="false">
      <c r="A3092" s="0" t="s">
        <v>1618</v>
      </c>
      <c r="B3092" s="6" t="n">
        <v>42432</v>
      </c>
      <c r="C3092" s="7" t="s">
        <v>55</v>
      </c>
      <c r="D3092" s="7" t="s">
        <v>72</v>
      </c>
      <c r="E3092" s="7" t="s">
        <v>35</v>
      </c>
      <c r="F3092" s="0" t="n">
        <v>447.86</v>
      </c>
      <c r="G3092" s="0" t="n">
        <v>219.4514</v>
      </c>
      <c r="H3092" s="0" t="n">
        <v>0</v>
      </c>
      <c r="I3092" s="7" t="n">
        <f aca="false">YEAR(B3092)</f>
        <v>2016</v>
      </c>
      <c r="J3092" s="0" t="str">
        <f aca="false">I3092&amp;"-Q"&amp;ROUNDUP(MONTH(B3092)/3,0)</f>
        <v>2016-Q1</v>
      </c>
    </row>
    <row r="3093" customFormat="false" ht="15" hidden="false" customHeight="false" outlineLevel="0" collapsed="false">
      <c r="A3093" s="0" t="s">
        <v>1618</v>
      </c>
      <c r="B3093" s="6" t="n">
        <v>42432</v>
      </c>
      <c r="C3093" s="7" t="s">
        <v>55</v>
      </c>
      <c r="D3093" s="7" t="s">
        <v>72</v>
      </c>
      <c r="E3093" s="7" t="s">
        <v>39</v>
      </c>
      <c r="F3093" s="0" t="n">
        <v>479.95</v>
      </c>
      <c r="G3093" s="0" t="n">
        <v>129.5865</v>
      </c>
      <c r="H3093" s="0" t="n">
        <v>0</v>
      </c>
      <c r="I3093" s="7" t="n">
        <f aca="false">YEAR(B3093)</f>
        <v>2016</v>
      </c>
      <c r="J3093" s="0" t="str">
        <f aca="false">I3093&amp;"-Q"&amp;ROUNDUP(MONTH(B3093)/3,0)</f>
        <v>2016-Q1</v>
      </c>
    </row>
    <row r="3094" customFormat="false" ht="15" hidden="false" customHeight="false" outlineLevel="0" collapsed="false">
      <c r="A3094" s="0" t="s">
        <v>1618</v>
      </c>
      <c r="B3094" s="6" t="n">
        <v>42432</v>
      </c>
      <c r="C3094" s="7" t="s">
        <v>55</v>
      </c>
      <c r="D3094" s="7" t="s">
        <v>72</v>
      </c>
      <c r="E3094" s="7" t="s">
        <v>35</v>
      </c>
      <c r="F3094" s="0" t="n">
        <v>166.44</v>
      </c>
      <c r="G3094" s="0" t="n">
        <v>79.8912</v>
      </c>
      <c r="H3094" s="0" t="n">
        <v>0</v>
      </c>
      <c r="I3094" s="7" t="n">
        <f aca="false">YEAR(B3094)</f>
        <v>2016</v>
      </c>
      <c r="J3094" s="0" t="str">
        <f aca="false">I3094&amp;"-Q"&amp;ROUNDUP(MONTH(B3094)/3,0)</f>
        <v>2016-Q1</v>
      </c>
    </row>
    <row r="3095" customFormat="false" ht="15" hidden="false" customHeight="false" outlineLevel="0" collapsed="false">
      <c r="A3095" s="0" t="s">
        <v>1619</v>
      </c>
      <c r="B3095" s="6" t="n">
        <v>42239</v>
      </c>
      <c r="C3095" s="7" t="s">
        <v>45</v>
      </c>
      <c r="D3095" s="7" t="s">
        <v>64</v>
      </c>
      <c r="E3095" s="7" t="s">
        <v>35</v>
      </c>
      <c r="F3095" s="0" t="n">
        <v>31.68</v>
      </c>
      <c r="G3095" s="0" t="n">
        <v>2.772</v>
      </c>
      <c r="H3095" s="0" t="n">
        <v>0.2</v>
      </c>
      <c r="I3095" s="7" t="n">
        <f aca="false">YEAR(B3095)</f>
        <v>2015</v>
      </c>
      <c r="J3095" s="0" t="str">
        <f aca="false">I3095&amp;"-Q"&amp;ROUNDUP(MONTH(B3095)/3,0)</f>
        <v>2015-Q3</v>
      </c>
    </row>
    <row r="3096" customFormat="false" ht="15" hidden="false" customHeight="false" outlineLevel="0" collapsed="false">
      <c r="A3096" s="0" t="s">
        <v>1619</v>
      </c>
      <c r="B3096" s="6" t="n">
        <v>42239</v>
      </c>
      <c r="C3096" s="7" t="s">
        <v>45</v>
      </c>
      <c r="D3096" s="7" t="s">
        <v>64</v>
      </c>
      <c r="E3096" s="7" t="s">
        <v>35</v>
      </c>
      <c r="F3096" s="0" t="n">
        <v>10.368</v>
      </c>
      <c r="G3096" s="0" t="n">
        <v>3.6288</v>
      </c>
      <c r="H3096" s="0" t="n">
        <v>0.2</v>
      </c>
      <c r="I3096" s="7" t="n">
        <f aca="false">YEAR(B3096)</f>
        <v>2015</v>
      </c>
      <c r="J3096" s="0" t="str">
        <f aca="false">I3096&amp;"-Q"&amp;ROUNDUP(MONTH(B3096)/3,0)</f>
        <v>2015-Q3</v>
      </c>
    </row>
    <row r="3097" customFormat="false" ht="15" hidden="false" customHeight="false" outlineLevel="0" collapsed="false">
      <c r="A3097" s="0" t="s">
        <v>1619</v>
      </c>
      <c r="B3097" s="6" t="n">
        <v>42239</v>
      </c>
      <c r="C3097" s="7" t="s">
        <v>45</v>
      </c>
      <c r="D3097" s="7" t="s">
        <v>64</v>
      </c>
      <c r="E3097" s="7" t="s">
        <v>35</v>
      </c>
      <c r="F3097" s="0" t="n">
        <v>12.032</v>
      </c>
      <c r="G3097" s="0" t="n">
        <v>2.256</v>
      </c>
      <c r="H3097" s="0" t="n">
        <v>0.2</v>
      </c>
      <c r="I3097" s="7" t="n">
        <f aca="false">YEAR(B3097)</f>
        <v>2015</v>
      </c>
      <c r="J3097" s="0" t="str">
        <f aca="false">I3097&amp;"-Q"&amp;ROUNDUP(MONTH(B3097)/3,0)</f>
        <v>2015-Q3</v>
      </c>
    </row>
    <row r="3098" customFormat="false" ht="15" hidden="false" customHeight="false" outlineLevel="0" collapsed="false">
      <c r="A3098" s="0" t="s">
        <v>1619</v>
      </c>
      <c r="B3098" s="6" t="n">
        <v>42239</v>
      </c>
      <c r="C3098" s="7" t="s">
        <v>45</v>
      </c>
      <c r="D3098" s="7" t="s">
        <v>64</v>
      </c>
      <c r="E3098" s="7" t="s">
        <v>35</v>
      </c>
      <c r="F3098" s="0" t="n">
        <v>5.768</v>
      </c>
      <c r="G3098" s="0" t="n">
        <v>-13.5548</v>
      </c>
      <c r="H3098" s="0" t="n">
        <v>0.8</v>
      </c>
      <c r="I3098" s="7" t="n">
        <f aca="false">YEAR(B3098)</f>
        <v>2015</v>
      </c>
      <c r="J3098" s="0" t="str">
        <f aca="false">I3098&amp;"-Q"&amp;ROUNDUP(MONTH(B3098)/3,0)</f>
        <v>2015-Q3</v>
      </c>
    </row>
    <row r="3099" customFormat="false" ht="15" hidden="false" customHeight="false" outlineLevel="0" collapsed="false">
      <c r="A3099" s="0" t="s">
        <v>1620</v>
      </c>
      <c r="B3099" s="6" t="n">
        <v>42852</v>
      </c>
      <c r="C3099" s="7" t="s">
        <v>45</v>
      </c>
      <c r="D3099" s="7" t="s">
        <v>46</v>
      </c>
      <c r="E3099" s="7" t="s">
        <v>35</v>
      </c>
      <c r="F3099" s="0" t="n">
        <v>33.12</v>
      </c>
      <c r="G3099" s="0" t="n">
        <v>11.592</v>
      </c>
      <c r="H3099" s="0" t="n">
        <v>0.2</v>
      </c>
      <c r="I3099" s="7" t="n">
        <f aca="false">YEAR(B3099)</f>
        <v>2017</v>
      </c>
      <c r="J3099" s="0" t="str">
        <f aca="false">I3099&amp;"-Q"&amp;ROUNDUP(MONTH(B3099)/3,0)</f>
        <v>2017-Q2</v>
      </c>
    </row>
    <row r="3100" customFormat="false" ht="15" hidden="false" customHeight="false" outlineLevel="0" collapsed="false">
      <c r="A3100" s="0" t="s">
        <v>1620</v>
      </c>
      <c r="B3100" s="6" t="n">
        <v>42852</v>
      </c>
      <c r="C3100" s="7" t="s">
        <v>45</v>
      </c>
      <c r="D3100" s="7" t="s">
        <v>46</v>
      </c>
      <c r="E3100" s="7" t="s">
        <v>31</v>
      </c>
      <c r="F3100" s="0" t="n">
        <v>220.2656</v>
      </c>
      <c r="G3100" s="0" t="n">
        <v>-42.1096</v>
      </c>
      <c r="H3100" s="0" t="n">
        <v>0.32</v>
      </c>
      <c r="I3100" s="7" t="n">
        <f aca="false">YEAR(B3100)</f>
        <v>2017</v>
      </c>
      <c r="J3100" s="0" t="str">
        <f aca="false">I3100&amp;"-Q"&amp;ROUNDUP(MONTH(B3100)/3,0)</f>
        <v>2017-Q2</v>
      </c>
    </row>
    <row r="3101" customFormat="false" ht="15" hidden="false" customHeight="false" outlineLevel="0" collapsed="false">
      <c r="A3101" s="0" t="s">
        <v>1621</v>
      </c>
      <c r="B3101" s="6" t="n">
        <v>42839</v>
      </c>
      <c r="C3101" s="7" t="s">
        <v>55</v>
      </c>
      <c r="D3101" s="7" t="s">
        <v>76</v>
      </c>
      <c r="E3101" s="7" t="s">
        <v>35</v>
      </c>
      <c r="F3101" s="0" t="n">
        <v>10.776</v>
      </c>
      <c r="G3101" s="0" t="n">
        <v>3.5022</v>
      </c>
      <c r="H3101" s="0" t="n">
        <v>0.2</v>
      </c>
      <c r="I3101" s="7" t="n">
        <f aca="false">YEAR(B3101)</f>
        <v>2017</v>
      </c>
      <c r="J3101" s="0" t="str">
        <f aca="false">I3101&amp;"-Q"&amp;ROUNDUP(MONTH(B3101)/3,0)</f>
        <v>2017-Q2</v>
      </c>
    </row>
    <row r="3102" customFormat="false" ht="15" hidden="false" customHeight="false" outlineLevel="0" collapsed="false">
      <c r="A3102" s="0" t="s">
        <v>1621</v>
      </c>
      <c r="B3102" s="6" t="n">
        <v>42839</v>
      </c>
      <c r="C3102" s="7" t="s">
        <v>55</v>
      </c>
      <c r="D3102" s="7" t="s">
        <v>76</v>
      </c>
      <c r="E3102" s="7" t="s">
        <v>31</v>
      </c>
      <c r="F3102" s="0" t="n">
        <v>242.352</v>
      </c>
      <c r="G3102" s="0" t="n">
        <v>9.0882</v>
      </c>
      <c r="H3102" s="0" t="n">
        <v>0.2</v>
      </c>
      <c r="I3102" s="7" t="n">
        <f aca="false">YEAR(B3102)</f>
        <v>2017</v>
      </c>
      <c r="J3102" s="0" t="str">
        <f aca="false">I3102&amp;"-Q"&amp;ROUNDUP(MONTH(B3102)/3,0)</f>
        <v>2017-Q2</v>
      </c>
    </row>
    <row r="3103" customFormat="false" ht="15" hidden="false" customHeight="false" outlineLevel="0" collapsed="false">
      <c r="A3103" s="0" t="s">
        <v>1622</v>
      </c>
      <c r="B3103" s="6" t="n">
        <v>43091</v>
      </c>
      <c r="C3103" s="7" t="s">
        <v>55</v>
      </c>
      <c r="D3103" s="7" t="s">
        <v>250</v>
      </c>
      <c r="E3103" s="7" t="s">
        <v>35</v>
      </c>
      <c r="F3103" s="0" t="n">
        <v>695.16</v>
      </c>
      <c r="G3103" s="0" t="n">
        <v>34.758</v>
      </c>
      <c r="H3103" s="0" t="n">
        <v>0</v>
      </c>
      <c r="I3103" s="7" t="n">
        <f aca="false">YEAR(B3103)</f>
        <v>2017</v>
      </c>
      <c r="J3103" s="0" t="str">
        <f aca="false">I3103&amp;"-Q"&amp;ROUNDUP(MONTH(B3103)/3,0)</f>
        <v>2017-Q4</v>
      </c>
    </row>
    <row r="3104" customFormat="false" ht="15" hidden="false" customHeight="false" outlineLevel="0" collapsed="false">
      <c r="A3104" s="0" t="s">
        <v>1622</v>
      </c>
      <c r="B3104" s="6" t="n">
        <v>43091</v>
      </c>
      <c r="C3104" s="7" t="s">
        <v>55</v>
      </c>
      <c r="D3104" s="7" t="s">
        <v>250</v>
      </c>
      <c r="E3104" s="7" t="s">
        <v>31</v>
      </c>
      <c r="F3104" s="0" t="n">
        <v>220.98</v>
      </c>
      <c r="G3104" s="0" t="n">
        <v>50.8254</v>
      </c>
      <c r="H3104" s="0" t="n">
        <v>0</v>
      </c>
      <c r="I3104" s="7" t="n">
        <f aca="false">YEAR(B3104)</f>
        <v>2017</v>
      </c>
      <c r="J3104" s="0" t="str">
        <f aca="false">I3104&amp;"-Q"&amp;ROUNDUP(MONTH(B3104)/3,0)</f>
        <v>2017-Q4</v>
      </c>
    </row>
    <row r="3105" customFormat="false" ht="15" hidden="false" customHeight="false" outlineLevel="0" collapsed="false">
      <c r="A3105" s="0" t="s">
        <v>1623</v>
      </c>
      <c r="B3105" s="6" t="n">
        <v>42712</v>
      </c>
      <c r="C3105" s="7" t="s">
        <v>55</v>
      </c>
      <c r="D3105" s="7" t="s">
        <v>116</v>
      </c>
      <c r="E3105" s="7" t="s">
        <v>35</v>
      </c>
      <c r="F3105" s="0" t="n">
        <v>12.957</v>
      </c>
      <c r="G3105" s="0" t="n">
        <v>-9.5018</v>
      </c>
      <c r="H3105" s="0" t="n">
        <v>0.7</v>
      </c>
      <c r="I3105" s="7" t="n">
        <f aca="false">YEAR(B3105)</f>
        <v>2016</v>
      </c>
      <c r="J3105" s="0" t="str">
        <f aca="false">I3105&amp;"-Q"&amp;ROUNDUP(MONTH(B3105)/3,0)</f>
        <v>2016-Q4</v>
      </c>
    </row>
    <row r="3106" customFormat="false" ht="15" hidden="false" customHeight="false" outlineLevel="0" collapsed="false">
      <c r="A3106" s="0" t="s">
        <v>1624</v>
      </c>
      <c r="B3106" s="6" t="n">
        <v>42817</v>
      </c>
      <c r="C3106" s="7" t="s">
        <v>55</v>
      </c>
      <c r="D3106" s="7" t="s">
        <v>76</v>
      </c>
      <c r="E3106" s="7" t="s">
        <v>35</v>
      </c>
      <c r="F3106" s="0" t="n">
        <v>25.68</v>
      </c>
      <c r="G3106" s="0" t="n">
        <v>11.556</v>
      </c>
      <c r="H3106" s="0" t="n">
        <v>0</v>
      </c>
      <c r="I3106" s="7" t="n">
        <f aca="false">YEAR(B3106)</f>
        <v>2017</v>
      </c>
      <c r="J3106" s="0" t="str">
        <f aca="false">I3106&amp;"-Q"&amp;ROUNDUP(MONTH(B3106)/3,0)</f>
        <v>2017-Q1</v>
      </c>
    </row>
    <row r="3107" customFormat="false" ht="15" hidden="false" customHeight="false" outlineLevel="0" collapsed="false">
      <c r="A3107" s="0" t="s">
        <v>1625</v>
      </c>
      <c r="B3107" s="6" t="n">
        <v>42576</v>
      </c>
      <c r="C3107" s="7" t="s">
        <v>45</v>
      </c>
      <c r="D3107" s="7" t="s">
        <v>46</v>
      </c>
      <c r="E3107" s="7" t="s">
        <v>35</v>
      </c>
      <c r="F3107" s="0" t="n">
        <v>15.712</v>
      </c>
      <c r="G3107" s="0" t="n">
        <v>5.6956</v>
      </c>
      <c r="H3107" s="0" t="n">
        <v>0.2</v>
      </c>
      <c r="I3107" s="7" t="n">
        <f aca="false">YEAR(B3107)</f>
        <v>2016</v>
      </c>
      <c r="J3107" s="0" t="str">
        <f aca="false">I3107&amp;"-Q"&amp;ROUNDUP(MONTH(B3107)/3,0)</f>
        <v>2016-Q3</v>
      </c>
    </row>
    <row r="3108" customFormat="false" ht="15" hidden="false" customHeight="false" outlineLevel="0" collapsed="false">
      <c r="A3108" s="0" t="s">
        <v>1626</v>
      </c>
      <c r="B3108" s="6" t="n">
        <v>42926</v>
      </c>
      <c r="C3108" s="7" t="s">
        <v>45</v>
      </c>
      <c r="D3108" s="7" t="s">
        <v>64</v>
      </c>
      <c r="E3108" s="7" t="s">
        <v>35</v>
      </c>
      <c r="F3108" s="0" t="n">
        <v>298.464</v>
      </c>
      <c r="G3108" s="0" t="n">
        <v>26.1156</v>
      </c>
      <c r="H3108" s="0" t="n">
        <v>0.2</v>
      </c>
      <c r="I3108" s="7" t="n">
        <f aca="false">YEAR(B3108)</f>
        <v>2017</v>
      </c>
      <c r="J3108" s="0" t="str">
        <f aca="false">I3108&amp;"-Q"&amp;ROUNDUP(MONTH(B3108)/3,0)</f>
        <v>2017-Q3</v>
      </c>
    </row>
    <row r="3109" customFormat="false" ht="15" hidden="false" customHeight="false" outlineLevel="0" collapsed="false">
      <c r="A3109" s="0" t="s">
        <v>1627</v>
      </c>
      <c r="B3109" s="6" t="n">
        <v>42568</v>
      </c>
      <c r="C3109" s="7" t="s">
        <v>45</v>
      </c>
      <c r="D3109" s="7" t="s">
        <v>129</v>
      </c>
      <c r="E3109" s="7" t="s">
        <v>35</v>
      </c>
      <c r="F3109" s="0" t="n">
        <v>21.93</v>
      </c>
      <c r="G3109" s="0" t="n">
        <v>10.0878</v>
      </c>
      <c r="H3109" s="0" t="n">
        <v>0</v>
      </c>
      <c r="I3109" s="7" t="n">
        <f aca="false">YEAR(B3109)</f>
        <v>2016</v>
      </c>
      <c r="J3109" s="0" t="str">
        <f aca="false">I3109&amp;"-Q"&amp;ROUNDUP(MONTH(B3109)/3,0)</f>
        <v>2016-Q3</v>
      </c>
    </row>
    <row r="3110" customFormat="false" ht="15" hidden="false" customHeight="false" outlineLevel="0" collapsed="false">
      <c r="A3110" s="0" t="s">
        <v>1627</v>
      </c>
      <c r="B3110" s="6" t="n">
        <v>42568</v>
      </c>
      <c r="C3110" s="7" t="s">
        <v>45</v>
      </c>
      <c r="D3110" s="7" t="s">
        <v>129</v>
      </c>
      <c r="E3110" s="7" t="s">
        <v>35</v>
      </c>
      <c r="F3110" s="0" t="n">
        <v>242.94</v>
      </c>
      <c r="G3110" s="0" t="n">
        <v>4.8588</v>
      </c>
      <c r="H3110" s="0" t="n">
        <v>0</v>
      </c>
      <c r="I3110" s="7" t="n">
        <f aca="false">YEAR(B3110)</f>
        <v>2016</v>
      </c>
      <c r="J3110" s="0" t="str">
        <f aca="false">I3110&amp;"-Q"&amp;ROUNDUP(MONTH(B3110)/3,0)</f>
        <v>2016-Q3</v>
      </c>
    </row>
    <row r="3111" customFormat="false" ht="15" hidden="false" customHeight="false" outlineLevel="0" collapsed="false">
      <c r="A3111" s="0" t="s">
        <v>1627</v>
      </c>
      <c r="B3111" s="6" t="n">
        <v>42568</v>
      </c>
      <c r="C3111" s="7" t="s">
        <v>45</v>
      </c>
      <c r="D3111" s="7" t="s">
        <v>129</v>
      </c>
      <c r="E3111" s="7" t="s">
        <v>35</v>
      </c>
      <c r="F3111" s="0" t="n">
        <v>7.64</v>
      </c>
      <c r="G3111" s="0" t="n">
        <v>3.7436</v>
      </c>
      <c r="H3111" s="0" t="n">
        <v>0</v>
      </c>
      <c r="I3111" s="7" t="n">
        <f aca="false">YEAR(B3111)</f>
        <v>2016</v>
      </c>
      <c r="J3111" s="0" t="str">
        <f aca="false">I3111&amp;"-Q"&amp;ROUNDUP(MONTH(B3111)/3,0)</f>
        <v>2016-Q3</v>
      </c>
    </row>
    <row r="3112" customFormat="false" ht="15" hidden="false" customHeight="false" outlineLevel="0" collapsed="false">
      <c r="A3112" s="0" t="s">
        <v>1627</v>
      </c>
      <c r="B3112" s="6" t="n">
        <v>42568</v>
      </c>
      <c r="C3112" s="7" t="s">
        <v>45</v>
      </c>
      <c r="D3112" s="7" t="s">
        <v>129</v>
      </c>
      <c r="E3112" s="7" t="s">
        <v>35</v>
      </c>
      <c r="F3112" s="0" t="n">
        <v>51.84</v>
      </c>
      <c r="G3112" s="0" t="n">
        <v>25.4016</v>
      </c>
      <c r="H3112" s="0" t="n">
        <v>0</v>
      </c>
      <c r="I3112" s="7" t="n">
        <f aca="false">YEAR(B3112)</f>
        <v>2016</v>
      </c>
      <c r="J3112" s="0" t="str">
        <f aca="false">I3112&amp;"-Q"&amp;ROUNDUP(MONTH(B3112)/3,0)</f>
        <v>2016-Q3</v>
      </c>
    </row>
    <row r="3113" customFormat="false" ht="15" hidden="false" customHeight="false" outlineLevel="0" collapsed="false">
      <c r="A3113" s="0" t="s">
        <v>1627</v>
      </c>
      <c r="B3113" s="6" t="n">
        <v>42568</v>
      </c>
      <c r="C3113" s="7" t="s">
        <v>45</v>
      </c>
      <c r="D3113" s="7" t="s">
        <v>129</v>
      </c>
      <c r="E3113" s="7" t="s">
        <v>35</v>
      </c>
      <c r="F3113" s="0" t="n">
        <v>265.17</v>
      </c>
      <c r="G3113" s="0" t="n">
        <v>47.7306</v>
      </c>
      <c r="H3113" s="0" t="n">
        <v>0</v>
      </c>
      <c r="I3113" s="7" t="n">
        <f aca="false">YEAR(B3113)</f>
        <v>2016</v>
      </c>
      <c r="J3113" s="0" t="str">
        <f aca="false">I3113&amp;"-Q"&amp;ROUNDUP(MONTH(B3113)/3,0)</f>
        <v>2016-Q3</v>
      </c>
    </row>
    <row r="3114" customFormat="false" ht="15" hidden="false" customHeight="false" outlineLevel="0" collapsed="false">
      <c r="A3114" s="0" t="s">
        <v>1628</v>
      </c>
      <c r="B3114" s="6" t="n">
        <v>42605</v>
      </c>
      <c r="C3114" s="7" t="s">
        <v>33</v>
      </c>
      <c r="D3114" s="7" t="s">
        <v>43</v>
      </c>
      <c r="E3114" s="7" t="s">
        <v>39</v>
      </c>
      <c r="F3114" s="0" t="n">
        <v>837.6</v>
      </c>
      <c r="G3114" s="0" t="n">
        <v>62.82</v>
      </c>
      <c r="H3114" s="0" t="n">
        <v>0.2</v>
      </c>
      <c r="I3114" s="7" t="n">
        <f aca="false">YEAR(B3114)</f>
        <v>2016</v>
      </c>
      <c r="J3114" s="0" t="str">
        <f aca="false">I3114&amp;"-Q"&amp;ROUNDUP(MONTH(B3114)/3,0)</f>
        <v>2016-Q3</v>
      </c>
    </row>
    <row r="3115" customFormat="false" ht="15" hidden="false" customHeight="false" outlineLevel="0" collapsed="false">
      <c r="A3115" s="0" t="s">
        <v>1628</v>
      </c>
      <c r="B3115" s="6" t="n">
        <v>42605</v>
      </c>
      <c r="C3115" s="7" t="s">
        <v>33</v>
      </c>
      <c r="D3115" s="7" t="s">
        <v>43</v>
      </c>
      <c r="E3115" s="7" t="s">
        <v>35</v>
      </c>
      <c r="F3115" s="0" t="n">
        <v>135.9</v>
      </c>
      <c r="G3115" s="0" t="n">
        <v>63.873</v>
      </c>
      <c r="H3115" s="0" t="n">
        <v>0</v>
      </c>
      <c r="I3115" s="7" t="n">
        <f aca="false">YEAR(B3115)</f>
        <v>2016</v>
      </c>
      <c r="J3115" s="0" t="str">
        <f aca="false">I3115&amp;"-Q"&amp;ROUNDUP(MONTH(B3115)/3,0)</f>
        <v>2016-Q3</v>
      </c>
    </row>
    <row r="3116" customFormat="false" ht="15" hidden="false" customHeight="false" outlineLevel="0" collapsed="false">
      <c r="A3116" s="0" t="s">
        <v>1628</v>
      </c>
      <c r="B3116" s="6" t="n">
        <v>42605</v>
      </c>
      <c r="C3116" s="7" t="s">
        <v>33</v>
      </c>
      <c r="D3116" s="7" t="s">
        <v>43</v>
      </c>
      <c r="E3116" s="7" t="s">
        <v>35</v>
      </c>
      <c r="F3116" s="0" t="n">
        <v>34.68</v>
      </c>
      <c r="G3116" s="0" t="n">
        <v>16.9932</v>
      </c>
      <c r="H3116" s="0" t="n">
        <v>0</v>
      </c>
      <c r="I3116" s="7" t="n">
        <f aca="false">YEAR(B3116)</f>
        <v>2016</v>
      </c>
      <c r="J3116" s="0" t="str">
        <f aca="false">I3116&amp;"-Q"&amp;ROUNDUP(MONTH(B3116)/3,0)</f>
        <v>2016-Q3</v>
      </c>
    </row>
    <row r="3117" customFormat="false" ht="15" hidden="false" customHeight="false" outlineLevel="0" collapsed="false">
      <c r="A3117" s="0" t="s">
        <v>1628</v>
      </c>
      <c r="B3117" s="6" t="n">
        <v>42605</v>
      </c>
      <c r="C3117" s="7" t="s">
        <v>33</v>
      </c>
      <c r="D3117" s="7" t="s">
        <v>43</v>
      </c>
      <c r="E3117" s="7" t="s">
        <v>31</v>
      </c>
      <c r="F3117" s="0" t="n">
        <v>532.704</v>
      </c>
      <c r="G3117" s="0" t="n">
        <v>-39.9528</v>
      </c>
      <c r="H3117" s="0" t="n">
        <v>0.2</v>
      </c>
      <c r="I3117" s="7" t="n">
        <f aca="false">YEAR(B3117)</f>
        <v>2016</v>
      </c>
      <c r="J3117" s="0" t="str">
        <f aca="false">I3117&amp;"-Q"&amp;ROUNDUP(MONTH(B3117)/3,0)</f>
        <v>2016-Q3</v>
      </c>
    </row>
    <row r="3118" customFormat="false" ht="15" hidden="false" customHeight="false" outlineLevel="0" collapsed="false">
      <c r="A3118" s="0" t="s">
        <v>1628</v>
      </c>
      <c r="B3118" s="6" t="n">
        <v>42605</v>
      </c>
      <c r="C3118" s="7" t="s">
        <v>33</v>
      </c>
      <c r="D3118" s="7" t="s">
        <v>43</v>
      </c>
      <c r="E3118" s="7" t="s">
        <v>35</v>
      </c>
      <c r="F3118" s="0" t="n">
        <v>43.1</v>
      </c>
      <c r="G3118" s="0" t="n">
        <v>11.206</v>
      </c>
      <c r="H3118" s="0" t="n">
        <v>0</v>
      </c>
      <c r="I3118" s="7" t="n">
        <f aca="false">YEAR(B3118)</f>
        <v>2016</v>
      </c>
      <c r="J3118" s="0" t="str">
        <f aca="false">I3118&amp;"-Q"&amp;ROUNDUP(MONTH(B3118)/3,0)</f>
        <v>2016-Q3</v>
      </c>
    </row>
    <row r="3119" customFormat="false" ht="15" hidden="false" customHeight="false" outlineLevel="0" collapsed="false">
      <c r="A3119" s="0" t="s">
        <v>1628</v>
      </c>
      <c r="B3119" s="6" t="n">
        <v>42605</v>
      </c>
      <c r="C3119" s="7" t="s">
        <v>33</v>
      </c>
      <c r="D3119" s="7" t="s">
        <v>43</v>
      </c>
      <c r="E3119" s="7" t="s">
        <v>35</v>
      </c>
      <c r="F3119" s="0" t="n">
        <v>15.88</v>
      </c>
      <c r="G3119" s="0" t="n">
        <v>0.1588</v>
      </c>
      <c r="H3119" s="0" t="n">
        <v>0</v>
      </c>
      <c r="I3119" s="7" t="n">
        <f aca="false">YEAR(B3119)</f>
        <v>2016</v>
      </c>
      <c r="J3119" s="0" t="str">
        <f aca="false">I3119&amp;"-Q"&amp;ROUNDUP(MONTH(B3119)/3,0)</f>
        <v>2016-Q3</v>
      </c>
    </row>
    <row r="3120" customFormat="false" ht="15" hidden="false" customHeight="false" outlineLevel="0" collapsed="false">
      <c r="A3120" s="0" t="s">
        <v>1629</v>
      </c>
      <c r="B3120" s="6" t="n">
        <v>42166</v>
      </c>
      <c r="C3120" s="7" t="s">
        <v>29</v>
      </c>
      <c r="D3120" s="7" t="s">
        <v>37</v>
      </c>
      <c r="E3120" s="7" t="s">
        <v>31</v>
      </c>
      <c r="F3120" s="0" t="n">
        <v>1123.92</v>
      </c>
      <c r="G3120" s="0" t="n">
        <v>-182.637</v>
      </c>
      <c r="H3120" s="0" t="n">
        <v>0.2</v>
      </c>
      <c r="I3120" s="7" t="n">
        <f aca="false">YEAR(B3120)</f>
        <v>2015</v>
      </c>
      <c r="J3120" s="0" t="str">
        <f aca="false">I3120&amp;"-Q"&amp;ROUNDUP(MONTH(B3120)/3,0)</f>
        <v>2015-Q2</v>
      </c>
    </row>
    <row r="3121" customFormat="false" ht="15" hidden="false" customHeight="false" outlineLevel="0" collapsed="false">
      <c r="A3121" s="0" t="s">
        <v>1629</v>
      </c>
      <c r="B3121" s="6" t="n">
        <v>42166</v>
      </c>
      <c r="C3121" s="7" t="s">
        <v>29</v>
      </c>
      <c r="D3121" s="7" t="s">
        <v>37</v>
      </c>
      <c r="E3121" s="7" t="s">
        <v>39</v>
      </c>
      <c r="F3121" s="0" t="n">
        <v>249.584</v>
      </c>
      <c r="G3121" s="0" t="n">
        <v>31.198</v>
      </c>
      <c r="H3121" s="0" t="n">
        <v>0.2</v>
      </c>
      <c r="I3121" s="7" t="n">
        <f aca="false">YEAR(B3121)</f>
        <v>2015</v>
      </c>
      <c r="J3121" s="0" t="str">
        <f aca="false">I3121&amp;"-Q"&amp;ROUNDUP(MONTH(B3121)/3,0)</f>
        <v>2015-Q2</v>
      </c>
    </row>
    <row r="3122" customFormat="false" ht="15" hidden="false" customHeight="false" outlineLevel="0" collapsed="false">
      <c r="A3122" s="0" t="s">
        <v>1629</v>
      </c>
      <c r="B3122" s="6" t="n">
        <v>42166</v>
      </c>
      <c r="C3122" s="7" t="s">
        <v>29</v>
      </c>
      <c r="D3122" s="7" t="s">
        <v>37</v>
      </c>
      <c r="E3122" s="7" t="s">
        <v>31</v>
      </c>
      <c r="F3122" s="0" t="n">
        <v>48.672</v>
      </c>
      <c r="G3122" s="0" t="n">
        <v>7.3008</v>
      </c>
      <c r="H3122" s="0" t="n">
        <v>0.2</v>
      </c>
      <c r="I3122" s="7" t="n">
        <f aca="false">YEAR(B3122)</f>
        <v>2015</v>
      </c>
      <c r="J3122" s="0" t="str">
        <f aca="false">I3122&amp;"-Q"&amp;ROUNDUP(MONTH(B3122)/3,0)</f>
        <v>2015-Q2</v>
      </c>
    </row>
    <row r="3123" customFormat="false" ht="15" hidden="false" customHeight="false" outlineLevel="0" collapsed="false">
      <c r="A3123" s="0" t="s">
        <v>1629</v>
      </c>
      <c r="B3123" s="6" t="n">
        <v>42166</v>
      </c>
      <c r="C3123" s="7" t="s">
        <v>29</v>
      </c>
      <c r="D3123" s="7" t="s">
        <v>37</v>
      </c>
      <c r="E3123" s="7" t="s">
        <v>35</v>
      </c>
      <c r="F3123" s="0" t="n">
        <v>60.768</v>
      </c>
      <c r="G3123" s="0" t="n">
        <v>7.596</v>
      </c>
      <c r="H3123" s="0" t="n">
        <v>0.2</v>
      </c>
      <c r="I3123" s="7" t="n">
        <f aca="false">YEAR(B3123)</f>
        <v>2015</v>
      </c>
      <c r="J3123" s="0" t="str">
        <f aca="false">I3123&amp;"-Q"&amp;ROUNDUP(MONTH(B3123)/3,0)</f>
        <v>2015-Q2</v>
      </c>
    </row>
    <row r="3124" customFormat="false" ht="15" hidden="false" customHeight="false" outlineLevel="0" collapsed="false">
      <c r="A3124" s="0" t="s">
        <v>1629</v>
      </c>
      <c r="B3124" s="6" t="n">
        <v>42166</v>
      </c>
      <c r="C3124" s="7" t="s">
        <v>29</v>
      </c>
      <c r="D3124" s="7" t="s">
        <v>37</v>
      </c>
      <c r="E3124" s="7" t="s">
        <v>35</v>
      </c>
      <c r="F3124" s="0" t="n">
        <v>78.6</v>
      </c>
      <c r="G3124" s="0" t="n">
        <v>-62.88</v>
      </c>
      <c r="H3124" s="0" t="n">
        <v>0.7</v>
      </c>
      <c r="I3124" s="7" t="n">
        <f aca="false">YEAR(B3124)</f>
        <v>2015</v>
      </c>
      <c r="J3124" s="0" t="str">
        <f aca="false">I3124&amp;"-Q"&amp;ROUNDUP(MONTH(B3124)/3,0)</f>
        <v>2015-Q2</v>
      </c>
    </row>
    <row r="3125" customFormat="false" ht="15" hidden="false" customHeight="false" outlineLevel="0" collapsed="false">
      <c r="A3125" s="0" t="s">
        <v>1629</v>
      </c>
      <c r="B3125" s="6" t="n">
        <v>42166</v>
      </c>
      <c r="C3125" s="7" t="s">
        <v>29</v>
      </c>
      <c r="D3125" s="7" t="s">
        <v>37</v>
      </c>
      <c r="E3125" s="7" t="s">
        <v>35</v>
      </c>
      <c r="F3125" s="0" t="n">
        <v>3.768</v>
      </c>
      <c r="G3125" s="0" t="n">
        <v>-3.14</v>
      </c>
      <c r="H3125" s="0" t="n">
        <v>0.7</v>
      </c>
      <c r="I3125" s="7" t="n">
        <f aca="false">YEAR(B3125)</f>
        <v>2015</v>
      </c>
      <c r="J3125" s="0" t="str">
        <f aca="false">I3125&amp;"-Q"&amp;ROUNDUP(MONTH(B3125)/3,0)</f>
        <v>2015-Q2</v>
      </c>
    </row>
    <row r="3126" customFormat="false" ht="15" hidden="false" customHeight="false" outlineLevel="0" collapsed="false">
      <c r="A3126" s="0" t="s">
        <v>1629</v>
      </c>
      <c r="B3126" s="6" t="n">
        <v>42166</v>
      </c>
      <c r="C3126" s="7" t="s">
        <v>29</v>
      </c>
      <c r="D3126" s="7" t="s">
        <v>37</v>
      </c>
      <c r="E3126" s="7" t="s">
        <v>35</v>
      </c>
      <c r="F3126" s="0" t="n">
        <v>1036.624</v>
      </c>
      <c r="G3126" s="0" t="n">
        <v>51.8312</v>
      </c>
      <c r="H3126" s="0" t="n">
        <v>0.2</v>
      </c>
      <c r="I3126" s="7" t="n">
        <f aca="false">YEAR(B3126)</f>
        <v>2015</v>
      </c>
      <c r="J3126" s="0" t="str">
        <f aca="false">I3126&amp;"-Q"&amp;ROUNDUP(MONTH(B3126)/3,0)</f>
        <v>2015-Q2</v>
      </c>
    </row>
    <row r="3127" customFormat="false" ht="15" hidden="false" customHeight="false" outlineLevel="0" collapsed="false">
      <c r="A3127" s="0" t="s">
        <v>1629</v>
      </c>
      <c r="B3127" s="6" t="n">
        <v>42166</v>
      </c>
      <c r="C3127" s="7" t="s">
        <v>29</v>
      </c>
      <c r="D3127" s="7" t="s">
        <v>37</v>
      </c>
      <c r="E3127" s="7" t="s">
        <v>35</v>
      </c>
      <c r="F3127" s="0" t="n">
        <v>563.808</v>
      </c>
      <c r="G3127" s="0" t="n">
        <v>21.1428</v>
      </c>
      <c r="H3127" s="0" t="n">
        <v>0.2</v>
      </c>
      <c r="I3127" s="7" t="n">
        <f aca="false">YEAR(B3127)</f>
        <v>2015</v>
      </c>
      <c r="J3127" s="0" t="str">
        <f aca="false">I3127&amp;"-Q"&amp;ROUNDUP(MONTH(B3127)/3,0)</f>
        <v>2015-Q2</v>
      </c>
    </row>
    <row r="3128" customFormat="false" ht="15" hidden="false" customHeight="false" outlineLevel="0" collapsed="false">
      <c r="A3128" s="0" t="s">
        <v>1630</v>
      </c>
      <c r="B3128" s="6" t="n">
        <v>42986</v>
      </c>
      <c r="C3128" s="7" t="s">
        <v>55</v>
      </c>
      <c r="D3128" s="7" t="s">
        <v>56</v>
      </c>
      <c r="E3128" s="7" t="s">
        <v>39</v>
      </c>
      <c r="F3128" s="0" t="n">
        <v>258.528</v>
      </c>
      <c r="G3128" s="0" t="n">
        <v>-47.3968</v>
      </c>
      <c r="H3128" s="0" t="n">
        <v>0.4</v>
      </c>
      <c r="I3128" s="7" t="n">
        <f aca="false">YEAR(B3128)</f>
        <v>2017</v>
      </c>
      <c r="J3128" s="0" t="str">
        <f aca="false">I3128&amp;"-Q"&amp;ROUNDUP(MONTH(B3128)/3,0)</f>
        <v>2017-Q3</v>
      </c>
    </row>
    <row r="3129" customFormat="false" ht="15" hidden="false" customHeight="false" outlineLevel="0" collapsed="false">
      <c r="A3129" s="0" t="s">
        <v>1631</v>
      </c>
      <c r="B3129" s="6" t="n">
        <v>43010</v>
      </c>
      <c r="C3129" s="7" t="s">
        <v>55</v>
      </c>
      <c r="D3129" s="7" t="s">
        <v>76</v>
      </c>
      <c r="E3129" s="7" t="s">
        <v>35</v>
      </c>
      <c r="F3129" s="0" t="n">
        <v>49.12</v>
      </c>
      <c r="G3129" s="0" t="n">
        <v>23.0864</v>
      </c>
      <c r="H3129" s="0" t="n">
        <v>0</v>
      </c>
      <c r="I3129" s="7" t="n">
        <f aca="false">YEAR(B3129)</f>
        <v>2017</v>
      </c>
      <c r="J3129" s="0" t="str">
        <f aca="false">I3129&amp;"-Q"&amp;ROUNDUP(MONTH(B3129)/3,0)</f>
        <v>2017-Q4</v>
      </c>
    </row>
    <row r="3130" customFormat="false" ht="15" hidden="false" customHeight="false" outlineLevel="0" collapsed="false">
      <c r="A3130" s="0" t="s">
        <v>1632</v>
      </c>
      <c r="B3130" s="6" t="n">
        <v>41989</v>
      </c>
      <c r="C3130" s="7" t="s">
        <v>33</v>
      </c>
      <c r="D3130" s="7" t="s">
        <v>34</v>
      </c>
      <c r="E3130" s="7" t="s">
        <v>31</v>
      </c>
      <c r="F3130" s="0" t="n">
        <v>44.46</v>
      </c>
      <c r="G3130" s="0" t="n">
        <v>14.6718</v>
      </c>
      <c r="H3130" s="0" t="n">
        <v>0</v>
      </c>
      <c r="I3130" s="7" t="n">
        <f aca="false">YEAR(B3130)</f>
        <v>2014</v>
      </c>
      <c r="J3130" s="0" t="str">
        <f aca="false">I3130&amp;"-Q"&amp;ROUNDUP(MONTH(B3130)/3,0)</f>
        <v>2014-Q4</v>
      </c>
    </row>
    <row r="3131" customFormat="false" ht="15" hidden="false" customHeight="false" outlineLevel="0" collapsed="false">
      <c r="A3131" s="0" t="s">
        <v>1632</v>
      </c>
      <c r="B3131" s="6" t="n">
        <v>41989</v>
      </c>
      <c r="C3131" s="7" t="s">
        <v>33</v>
      </c>
      <c r="D3131" s="7" t="s">
        <v>34</v>
      </c>
      <c r="E3131" s="7" t="s">
        <v>31</v>
      </c>
      <c r="F3131" s="0" t="n">
        <v>241.568</v>
      </c>
      <c r="G3131" s="0" t="n">
        <v>18.1176</v>
      </c>
      <c r="H3131" s="0" t="n">
        <v>0.2</v>
      </c>
      <c r="I3131" s="7" t="n">
        <f aca="false">YEAR(B3131)</f>
        <v>2014</v>
      </c>
      <c r="J3131" s="0" t="str">
        <f aca="false">I3131&amp;"-Q"&amp;ROUNDUP(MONTH(B3131)/3,0)</f>
        <v>2014-Q4</v>
      </c>
    </row>
    <row r="3132" customFormat="false" ht="15" hidden="false" customHeight="false" outlineLevel="0" collapsed="false">
      <c r="A3132" s="0" t="s">
        <v>1632</v>
      </c>
      <c r="B3132" s="6" t="n">
        <v>41989</v>
      </c>
      <c r="C3132" s="7" t="s">
        <v>33</v>
      </c>
      <c r="D3132" s="7" t="s">
        <v>34</v>
      </c>
      <c r="E3132" s="7" t="s">
        <v>39</v>
      </c>
      <c r="F3132" s="0" t="n">
        <v>395</v>
      </c>
      <c r="G3132" s="0" t="n">
        <v>39.5</v>
      </c>
      <c r="H3132" s="0" t="n">
        <v>0</v>
      </c>
      <c r="I3132" s="7" t="n">
        <f aca="false">YEAR(B3132)</f>
        <v>2014</v>
      </c>
      <c r="J3132" s="0" t="str">
        <f aca="false">I3132&amp;"-Q"&amp;ROUNDUP(MONTH(B3132)/3,0)</f>
        <v>2014-Q4</v>
      </c>
    </row>
    <row r="3133" customFormat="false" ht="15" hidden="false" customHeight="false" outlineLevel="0" collapsed="false">
      <c r="A3133" s="0" t="s">
        <v>1632</v>
      </c>
      <c r="B3133" s="6" t="n">
        <v>41989</v>
      </c>
      <c r="C3133" s="7" t="s">
        <v>33</v>
      </c>
      <c r="D3133" s="7" t="s">
        <v>34</v>
      </c>
      <c r="E3133" s="7" t="s">
        <v>39</v>
      </c>
      <c r="F3133" s="0" t="n">
        <v>627.168</v>
      </c>
      <c r="G3133" s="0" t="n">
        <v>70.5564</v>
      </c>
      <c r="H3133" s="0" t="n">
        <v>0.2</v>
      </c>
      <c r="I3133" s="7" t="n">
        <f aca="false">YEAR(B3133)</f>
        <v>2014</v>
      </c>
      <c r="J3133" s="0" t="str">
        <f aca="false">I3133&amp;"-Q"&amp;ROUNDUP(MONTH(B3133)/3,0)</f>
        <v>2014-Q4</v>
      </c>
    </row>
    <row r="3134" customFormat="false" ht="15" hidden="false" customHeight="false" outlineLevel="0" collapsed="false">
      <c r="A3134" s="0" t="s">
        <v>1633</v>
      </c>
      <c r="B3134" s="6" t="n">
        <v>41875</v>
      </c>
      <c r="C3134" s="7" t="s">
        <v>55</v>
      </c>
      <c r="D3134" s="7" t="s">
        <v>76</v>
      </c>
      <c r="E3134" s="7" t="s">
        <v>31</v>
      </c>
      <c r="F3134" s="0" t="n">
        <v>13.28</v>
      </c>
      <c r="G3134" s="0" t="n">
        <v>6.3744</v>
      </c>
      <c r="H3134" s="0" t="n">
        <v>0</v>
      </c>
      <c r="I3134" s="7" t="n">
        <f aca="false">YEAR(B3134)</f>
        <v>2014</v>
      </c>
      <c r="J3134" s="0" t="str">
        <f aca="false">I3134&amp;"-Q"&amp;ROUNDUP(MONTH(B3134)/3,0)</f>
        <v>2014-Q3</v>
      </c>
    </row>
    <row r="3135" customFormat="false" ht="15" hidden="false" customHeight="false" outlineLevel="0" collapsed="false">
      <c r="A3135" s="0" t="s">
        <v>1633</v>
      </c>
      <c r="B3135" s="6" t="n">
        <v>41875</v>
      </c>
      <c r="C3135" s="7" t="s">
        <v>55</v>
      </c>
      <c r="D3135" s="7" t="s">
        <v>76</v>
      </c>
      <c r="E3135" s="7" t="s">
        <v>35</v>
      </c>
      <c r="F3135" s="0" t="n">
        <v>12.672</v>
      </c>
      <c r="G3135" s="0" t="n">
        <v>4.4352</v>
      </c>
      <c r="H3135" s="0" t="n">
        <v>0.2</v>
      </c>
      <c r="I3135" s="7" t="n">
        <f aca="false">YEAR(B3135)</f>
        <v>2014</v>
      </c>
      <c r="J3135" s="0" t="str">
        <f aca="false">I3135&amp;"-Q"&amp;ROUNDUP(MONTH(B3135)/3,0)</f>
        <v>2014-Q3</v>
      </c>
    </row>
    <row r="3136" customFormat="false" ht="15" hidden="false" customHeight="false" outlineLevel="0" collapsed="false">
      <c r="A3136" s="0" t="s">
        <v>1634</v>
      </c>
      <c r="B3136" s="6" t="n">
        <v>43051</v>
      </c>
      <c r="C3136" s="7" t="s">
        <v>45</v>
      </c>
      <c r="D3136" s="7" t="s">
        <v>46</v>
      </c>
      <c r="E3136" s="7" t="s">
        <v>35</v>
      </c>
      <c r="F3136" s="0" t="n">
        <v>30.56</v>
      </c>
      <c r="G3136" s="0" t="n">
        <v>-45.84</v>
      </c>
      <c r="H3136" s="0" t="n">
        <v>0.8</v>
      </c>
      <c r="I3136" s="7" t="n">
        <f aca="false">YEAR(B3136)</f>
        <v>2017</v>
      </c>
      <c r="J3136" s="0" t="str">
        <f aca="false">I3136&amp;"-Q"&amp;ROUNDUP(MONTH(B3136)/3,0)</f>
        <v>2017-Q4</v>
      </c>
    </row>
    <row r="3137" customFormat="false" ht="15" hidden="false" customHeight="false" outlineLevel="0" collapsed="false">
      <c r="A3137" s="0" t="s">
        <v>1634</v>
      </c>
      <c r="B3137" s="6" t="n">
        <v>43051</v>
      </c>
      <c r="C3137" s="7" t="s">
        <v>45</v>
      </c>
      <c r="D3137" s="7" t="s">
        <v>46</v>
      </c>
      <c r="E3137" s="7" t="s">
        <v>35</v>
      </c>
      <c r="F3137" s="0" t="n">
        <v>77.952</v>
      </c>
      <c r="G3137" s="0" t="n">
        <v>-15.5904</v>
      </c>
      <c r="H3137" s="0" t="n">
        <v>0.2</v>
      </c>
      <c r="I3137" s="7" t="n">
        <f aca="false">YEAR(B3137)</f>
        <v>2017</v>
      </c>
      <c r="J3137" s="0" t="str">
        <f aca="false">I3137&amp;"-Q"&amp;ROUNDUP(MONTH(B3137)/3,0)</f>
        <v>2017-Q4</v>
      </c>
    </row>
    <row r="3138" customFormat="false" ht="15" hidden="false" customHeight="false" outlineLevel="0" collapsed="false">
      <c r="A3138" s="0" t="s">
        <v>1634</v>
      </c>
      <c r="B3138" s="6" t="n">
        <v>43051</v>
      </c>
      <c r="C3138" s="7" t="s">
        <v>45</v>
      </c>
      <c r="D3138" s="7" t="s">
        <v>46</v>
      </c>
      <c r="E3138" s="7" t="s">
        <v>39</v>
      </c>
      <c r="F3138" s="0" t="n">
        <v>67.992</v>
      </c>
      <c r="G3138" s="0" t="n">
        <v>8.499</v>
      </c>
      <c r="H3138" s="0" t="n">
        <v>0.2</v>
      </c>
      <c r="I3138" s="7" t="n">
        <f aca="false">YEAR(B3138)</f>
        <v>2017</v>
      </c>
      <c r="J3138" s="0" t="str">
        <f aca="false">I3138&amp;"-Q"&amp;ROUNDUP(MONTH(B3138)/3,0)</f>
        <v>2017-Q4</v>
      </c>
    </row>
    <row r="3139" customFormat="false" ht="15" hidden="false" customHeight="false" outlineLevel="0" collapsed="false">
      <c r="A3139" s="0" t="s">
        <v>1634</v>
      </c>
      <c r="B3139" s="6" t="n">
        <v>43051</v>
      </c>
      <c r="C3139" s="7" t="s">
        <v>45</v>
      </c>
      <c r="D3139" s="7" t="s">
        <v>46</v>
      </c>
      <c r="E3139" s="7" t="s">
        <v>35</v>
      </c>
      <c r="F3139" s="0" t="n">
        <v>12.224</v>
      </c>
      <c r="G3139" s="0" t="n">
        <v>4.4312</v>
      </c>
      <c r="H3139" s="0" t="n">
        <v>0.2</v>
      </c>
      <c r="I3139" s="7" t="n">
        <f aca="false">YEAR(B3139)</f>
        <v>2017</v>
      </c>
      <c r="J3139" s="0" t="str">
        <f aca="false">I3139&amp;"-Q"&amp;ROUNDUP(MONTH(B3139)/3,0)</f>
        <v>2017-Q4</v>
      </c>
    </row>
    <row r="3140" customFormat="false" ht="15" hidden="false" customHeight="false" outlineLevel="0" collapsed="false">
      <c r="A3140" s="0" t="s">
        <v>1634</v>
      </c>
      <c r="B3140" s="6" t="n">
        <v>43051</v>
      </c>
      <c r="C3140" s="7" t="s">
        <v>45</v>
      </c>
      <c r="D3140" s="7" t="s">
        <v>46</v>
      </c>
      <c r="E3140" s="7" t="s">
        <v>39</v>
      </c>
      <c r="F3140" s="0" t="n">
        <v>44.784</v>
      </c>
      <c r="G3140" s="0" t="n">
        <v>-0.5598</v>
      </c>
      <c r="H3140" s="0" t="n">
        <v>0.2</v>
      </c>
      <c r="I3140" s="7" t="n">
        <f aca="false">YEAR(B3140)</f>
        <v>2017</v>
      </c>
      <c r="J3140" s="0" t="str">
        <f aca="false">I3140&amp;"-Q"&amp;ROUNDUP(MONTH(B3140)/3,0)</f>
        <v>2017-Q4</v>
      </c>
    </row>
    <row r="3141" customFormat="false" ht="15" hidden="false" customHeight="false" outlineLevel="0" collapsed="false">
      <c r="A3141" s="0" t="s">
        <v>1634</v>
      </c>
      <c r="B3141" s="6" t="n">
        <v>43051</v>
      </c>
      <c r="C3141" s="7" t="s">
        <v>45</v>
      </c>
      <c r="D3141" s="7" t="s">
        <v>46</v>
      </c>
      <c r="E3141" s="7" t="s">
        <v>31</v>
      </c>
      <c r="F3141" s="0" t="n">
        <v>22.848</v>
      </c>
      <c r="G3141" s="0" t="n">
        <v>-17.7072</v>
      </c>
      <c r="H3141" s="0" t="n">
        <v>0.6</v>
      </c>
      <c r="I3141" s="7" t="n">
        <f aca="false">YEAR(B3141)</f>
        <v>2017</v>
      </c>
      <c r="J3141" s="0" t="str">
        <f aca="false">I3141&amp;"-Q"&amp;ROUNDUP(MONTH(B3141)/3,0)</f>
        <v>2017-Q4</v>
      </c>
    </row>
    <row r="3142" customFormat="false" ht="15" hidden="false" customHeight="false" outlineLevel="0" collapsed="false">
      <c r="A3142" s="0" t="s">
        <v>1635</v>
      </c>
      <c r="B3142" s="6" t="n">
        <v>42119</v>
      </c>
      <c r="C3142" s="7" t="s">
        <v>55</v>
      </c>
      <c r="D3142" s="7" t="s">
        <v>76</v>
      </c>
      <c r="E3142" s="7" t="s">
        <v>35</v>
      </c>
      <c r="F3142" s="0" t="n">
        <v>206.43</v>
      </c>
      <c r="G3142" s="0" t="n">
        <v>90.8292</v>
      </c>
      <c r="H3142" s="0" t="n">
        <v>0</v>
      </c>
      <c r="I3142" s="7" t="n">
        <f aca="false">YEAR(B3142)</f>
        <v>2015</v>
      </c>
      <c r="J3142" s="0" t="str">
        <f aca="false">I3142&amp;"-Q"&amp;ROUNDUP(MONTH(B3142)/3,0)</f>
        <v>2015-Q2</v>
      </c>
    </row>
    <row r="3143" customFormat="false" ht="15" hidden="false" customHeight="false" outlineLevel="0" collapsed="false">
      <c r="A3143" s="0" t="s">
        <v>1636</v>
      </c>
      <c r="B3143" s="6" t="n">
        <v>41985</v>
      </c>
      <c r="C3143" s="7" t="s">
        <v>45</v>
      </c>
      <c r="D3143" s="7" t="s">
        <v>46</v>
      </c>
      <c r="E3143" s="7" t="s">
        <v>35</v>
      </c>
      <c r="F3143" s="0" t="n">
        <v>210.392</v>
      </c>
      <c r="G3143" s="0" t="n">
        <v>-336.6272</v>
      </c>
      <c r="H3143" s="0" t="n">
        <v>0.8</v>
      </c>
      <c r="I3143" s="7" t="n">
        <f aca="false">YEAR(B3143)</f>
        <v>2014</v>
      </c>
      <c r="J3143" s="0" t="str">
        <f aca="false">I3143&amp;"-Q"&amp;ROUNDUP(MONTH(B3143)/3,0)</f>
        <v>2014-Q4</v>
      </c>
    </row>
    <row r="3144" customFormat="false" ht="15" hidden="false" customHeight="false" outlineLevel="0" collapsed="false">
      <c r="A3144" s="0" t="s">
        <v>1637</v>
      </c>
      <c r="B3144" s="6" t="n">
        <v>43003</v>
      </c>
      <c r="C3144" s="7" t="s">
        <v>55</v>
      </c>
      <c r="D3144" s="7" t="s">
        <v>116</v>
      </c>
      <c r="E3144" s="7" t="s">
        <v>39</v>
      </c>
      <c r="F3144" s="0" t="n">
        <v>119.96</v>
      </c>
      <c r="G3144" s="0" t="n">
        <v>35.988</v>
      </c>
      <c r="H3144" s="0" t="n">
        <v>0.2</v>
      </c>
      <c r="I3144" s="7" t="n">
        <f aca="false">YEAR(B3144)</f>
        <v>2017</v>
      </c>
      <c r="J3144" s="0" t="str">
        <f aca="false">I3144&amp;"-Q"&amp;ROUNDUP(MONTH(B3144)/3,0)</f>
        <v>2017-Q3</v>
      </c>
    </row>
    <row r="3145" customFormat="false" ht="15" hidden="false" customHeight="false" outlineLevel="0" collapsed="false">
      <c r="A3145" s="0" t="s">
        <v>1637</v>
      </c>
      <c r="B3145" s="6" t="n">
        <v>43003</v>
      </c>
      <c r="C3145" s="7" t="s">
        <v>55</v>
      </c>
      <c r="D3145" s="7" t="s">
        <v>116</v>
      </c>
      <c r="E3145" s="7" t="s">
        <v>35</v>
      </c>
      <c r="F3145" s="0" t="n">
        <v>10.608</v>
      </c>
      <c r="G3145" s="0" t="n">
        <v>0.9282</v>
      </c>
      <c r="H3145" s="0" t="n">
        <v>0.2</v>
      </c>
      <c r="I3145" s="7" t="n">
        <f aca="false">YEAR(B3145)</f>
        <v>2017</v>
      </c>
      <c r="J3145" s="0" t="str">
        <f aca="false">I3145&amp;"-Q"&amp;ROUNDUP(MONTH(B3145)/3,0)</f>
        <v>2017-Q3</v>
      </c>
    </row>
    <row r="3146" customFormat="false" ht="15" hidden="false" customHeight="false" outlineLevel="0" collapsed="false">
      <c r="A3146" s="0" t="s">
        <v>1638</v>
      </c>
      <c r="B3146" s="6" t="n">
        <v>42618</v>
      </c>
      <c r="C3146" s="7" t="s">
        <v>45</v>
      </c>
      <c r="D3146" s="7" t="s">
        <v>46</v>
      </c>
      <c r="E3146" s="7" t="s">
        <v>31</v>
      </c>
      <c r="F3146" s="0" t="n">
        <v>347.802</v>
      </c>
      <c r="G3146" s="0" t="n">
        <v>-24.843</v>
      </c>
      <c r="H3146" s="0" t="n">
        <v>0.3</v>
      </c>
      <c r="I3146" s="7" t="n">
        <f aca="false">YEAR(B3146)</f>
        <v>2016</v>
      </c>
      <c r="J3146" s="0" t="str">
        <f aca="false">I3146&amp;"-Q"&amp;ROUNDUP(MONTH(B3146)/3,0)</f>
        <v>2016-Q3</v>
      </c>
    </row>
    <row r="3147" customFormat="false" ht="15" hidden="false" customHeight="false" outlineLevel="0" collapsed="false">
      <c r="A3147" s="0" t="s">
        <v>1639</v>
      </c>
      <c r="B3147" s="6" t="n">
        <v>42777</v>
      </c>
      <c r="C3147" s="7" t="s">
        <v>33</v>
      </c>
      <c r="D3147" s="7" t="s">
        <v>43</v>
      </c>
      <c r="E3147" s="7" t="s">
        <v>31</v>
      </c>
      <c r="F3147" s="0" t="n">
        <v>963.136</v>
      </c>
      <c r="G3147" s="0" t="n">
        <v>108.3528</v>
      </c>
      <c r="H3147" s="0" t="n">
        <v>0.2</v>
      </c>
      <c r="I3147" s="7" t="n">
        <f aca="false">YEAR(B3147)</f>
        <v>2017</v>
      </c>
      <c r="J3147" s="0" t="str">
        <f aca="false">I3147&amp;"-Q"&amp;ROUNDUP(MONTH(B3147)/3,0)</f>
        <v>2017-Q1</v>
      </c>
    </row>
    <row r="3148" customFormat="false" ht="15" hidden="false" customHeight="false" outlineLevel="0" collapsed="false">
      <c r="A3148" s="0" t="s">
        <v>1639</v>
      </c>
      <c r="B3148" s="6" t="n">
        <v>42777</v>
      </c>
      <c r="C3148" s="7" t="s">
        <v>33</v>
      </c>
      <c r="D3148" s="7" t="s">
        <v>43</v>
      </c>
      <c r="E3148" s="7" t="s">
        <v>39</v>
      </c>
      <c r="F3148" s="0" t="n">
        <v>88.776</v>
      </c>
      <c r="G3148" s="0" t="n">
        <v>7.7679</v>
      </c>
      <c r="H3148" s="0" t="n">
        <v>0.2</v>
      </c>
      <c r="I3148" s="7" t="n">
        <f aca="false">YEAR(B3148)</f>
        <v>2017</v>
      </c>
      <c r="J3148" s="0" t="str">
        <f aca="false">I3148&amp;"-Q"&amp;ROUNDUP(MONTH(B3148)/3,0)</f>
        <v>2017-Q1</v>
      </c>
    </row>
    <row r="3149" customFormat="false" ht="15" hidden="false" customHeight="false" outlineLevel="0" collapsed="false">
      <c r="A3149" s="0" t="s">
        <v>1640</v>
      </c>
      <c r="B3149" s="6" t="n">
        <v>41820</v>
      </c>
      <c r="C3149" s="7" t="s">
        <v>33</v>
      </c>
      <c r="D3149" s="7" t="s">
        <v>34</v>
      </c>
      <c r="E3149" s="7" t="s">
        <v>35</v>
      </c>
      <c r="F3149" s="0" t="n">
        <v>32.4</v>
      </c>
      <c r="G3149" s="0" t="n">
        <v>10.368</v>
      </c>
      <c r="H3149" s="0" t="n">
        <v>0</v>
      </c>
      <c r="I3149" s="7" t="n">
        <f aca="false">YEAR(B3149)</f>
        <v>2014</v>
      </c>
      <c r="J3149" s="0" t="str">
        <f aca="false">I3149&amp;"-Q"&amp;ROUNDUP(MONTH(B3149)/3,0)</f>
        <v>2014-Q2</v>
      </c>
    </row>
    <row r="3150" customFormat="false" ht="15" hidden="false" customHeight="false" outlineLevel="0" collapsed="false">
      <c r="A3150" s="0" t="s">
        <v>1641</v>
      </c>
      <c r="B3150" s="6" t="n">
        <v>42528</v>
      </c>
      <c r="C3150" s="7" t="s">
        <v>55</v>
      </c>
      <c r="D3150" s="7" t="s">
        <v>76</v>
      </c>
      <c r="E3150" s="7" t="s">
        <v>35</v>
      </c>
      <c r="F3150" s="0" t="n">
        <v>32.4</v>
      </c>
      <c r="G3150" s="0" t="n">
        <v>15.552</v>
      </c>
      <c r="H3150" s="0" t="n">
        <v>0</v>
      </c>
      <c r="I3150" s="7" t="n">
        <f aca="false">YEAR(B3150)</f>
        <v>2016</v>
      </c>
      <c r="J3150" s="0" t="str">
        <f aca="false">I3150&amp;"-Q"&amp;ROUNDUP(MONTH(B3150)/3,0)</f>
        <v>2016-Q2</v>
      </c>
    </row>
    <row r="3151" customFormat="false" ht="15" hidden="false" customHeight="false" outlineLevel="0" collapsed="false">
      <c r="A3151" s="0" t="s">
        <v>1642</v>
      </c>
      <c r="B3151" s="6" t="n">
        <v>41993</v>
      </c>
      <c r="C3151" s="7" t="s">
        <v>33</v>
      </c>
      <c r="D3151" s="7" t="s">
        <v>43</v>
      </c>
      <c r="E3151" s="7" t="s">
        <v>35</v>
      </c>
      <c r="F3151" s="0" t="n">
        <v>31.05</v>
      </c>
      <c r="G3151" s="0" t="n">
        <v>14.904</v>
      </c>
      <c r="H3151" s="0" t="n">
        <v>0</v>
      </c>
      <c r="I3151" s="7" t="n">
        <f aca="false">YEAR(B3151)</f>
        <v>2014</v>
      </c>
      <c r="J3151" s="0" t="str">
        <f aca="false">I3151&amp;"-Q"&amp;ROUNDUP(MONTH(B3151)/3,0)</f>
        <v>2014-Q4</v>
      </c>
    </row>
    <row r="3152" customFormat="false" ht="15" hidden="false" customHeight="false" outlineLevel="0" collapsed="false">
      <c r="A3152" s="0" t="s">
        <v>1643</v>
      </c>
      <c r="B3152" s="6" t="n">
        <v>42353</v>
      </c>
      <c r="C3152" s="7" t="s">
        <v>55</v>
      </c>
      <c r="D3152" s="7" t="s">
        <v>116</v>
      </c>
      <c r="E3152" s="7" t="s">
        <v>39</v>
      </c>
      <c r="F3152" s="0" t="n">
        <v>2025.36</v>
      </c>
      <c r="G3152" s="0" t="n">
        <v>607.608</v>
      </c>
      <c r="H3152" s="0" t="n">
        <v>0.2</v>
      </c>
      <c r="I3152" s="7" t="n">
        <f aca="false">YEAR(B3152)</f>
        <v>2015</v>
      </c>
      <c r="J3152" s="0" t="str">
        <f aca="false">I3152&amp;"-Q"&amp;ROUNDUP(MONTH(B3152)/3,0)</f>
        <v>2015-Q4</v>
      </c>
    </row>
    <row r="3153" customFormat="false" ht="15" hidden="false" customHeight="false" outlineLevel="0" collapsed="false">
      <c r="A3153" s="0" t="s">
        <v>1643</v>
      </c>
      <c r="B3153" s="6" t="n">
        <v>42353</v>
      </c>
      <c r="C3153" s="7" t="s">
        <v>55</v>
      </c>
      <c r="D3153" s="7" t="s">
        <v>116</v>
      </c>
      <c r="E3153" s="7" t="s">
        <v>39</v>
      </c>
      <c r="F3153" s="0" t="n">
        <v>1799.994</v>
      </c>
      <c r="G3153" s="0" t="n">
        <v>-2639.9912</v>
      </c>
      <c r="H3153" s="0" t="n">
        <v>0.7</v>
      </c>
      <c r="I3153" s="7" t="n">
        <f aca="false">YEAR(B3153)</f>
        <v>2015</v>
      </c>
      <c r="J3153" s="0" t="str">
        <f aca="false">I3153&amp;"-Q"&amp;ROUNDUP(MONTH(B3153)/3,0)</f>
        <v>2015-Q4</v>
      </c>
    </row>
    <row r="3154" customFormat="false" ht="15" hidden="false" customHeight="false" outlineLevel="0" collapsed="false">
      <c r="A3154" s="0" t="s">
        <v>1643</v>
      </c>
      <c r="B3154" s="6" t="n">
        <v>42353</v>
      </c>
      <c r="C3154" s="7" t="s">
        <v>55</v>
      </c>
      <c r="D3154" s="7" t="s">
        <v>116</v>
      </c>
      <c r="E3154" s="7" t="s">
        <v>39</v>
      </c>
      <c r="F3154" s="0" t="n">
        <v>101.988</v>
      </c>
      <c r="G3154" s="0" t="n">
        <v>-16.998</v>
      </c>
      <c r="H3154" s="0" t="n">
        <v>0.4</v>
      </c>
      <c r="I3154" s="7" t="n">
        <f aca="false">YEAR(B3154)</f>
        <v>2015</v>
      </c>
      <c r="J3154" s="0" t="str">
        <f aca="false">I3154&amp;"-Q"&amp;ROUNDUP(MONTH(B3154)/3,0)</f>
        <v>2015-Q4</v>
      </c>
    </row>
    <row r="3155" customFormat="false" ht="15" hidden="false" customHeight="false" outlineLevel="0" collapsed="false">
      <c r="A3155" s="0" t="s">
        <v>1643</v>
      </c>
      <c r="B3155" s="6" t="n">
        <v>42353</v>
      </c>
      <c r="C3155" s="7" t="s">
        <v>55</v>
      </c>
      <c r="D3155" s="7" t="s">
        <v>116</v>
      </c>
      <c r="E3155" s="7" t="s">
        <v>31</v>
      </c>
      <c r="F3155" s="0" t="n">
        <v>262.864</v>
      </c>
      <c r="G3155" s="0" t="n">
        <v>69.0018</v>
      </c>
      <c r="H3155" s="0" t="n">
        <v>0.2</v>
      </c>
      <c r="I3155" s="7" t="n">
        <f aca="false">YEAR(B3155)</f>
        <v>2015</v>
      </c>
      <c r="J3155" s="0" t="str">
        <f aca="false">I3155&amp;"-Q"&amp;ROUNDUP(MONTH(B3155)/3,0)</f>
        <v>2015-Q4</v>
      </c>
    </row>
    <row r="3156" customFormat="false" ht="15" hidden="false" customHeight="false" outlineLevel="0" collapsed="false">
      <c r="A3156" s="0" t="s">
        <v>1644</v>
      </c>
      <c r="B3156" s="6" t="n">
        <v>42936</v>
      </c>
      <c r="C3156" s="7" t="s">
        <v>45</v>
      </c>
      <c r="D3156" s="7" t="s">
        <v>68</v>
      </c>
      <c r="E3156" s="7" t="s">
        <v>35</v>
      </c>
      <c r="F3156" s="0" t="n">
        <v>735.98</v>
      </c>
      <c r="G3156" s="0" t="n">
        <v>331.191</v>
      </c>
      <c r="H3156" s="0" t="n">
        <v>0</v>
      </c>
      <c r="I3156" s="7" t="n">
        <f aca="false">YEAR(B3156)</f>
        <v>2017</v>
      </c>
      <c r="J3156" s="0" t="str">
        <f aca="false">I3156&amp;"-Q"&amp;ROUNDUP(MONTH(B3156)/3,0)</f>
        <v>2017-Q3</v>
      </c>
    </row>
    <row r="3157" customFormat="false" ht="15" hidden="false" customHeight="false" outlineLevel="0" collapsed="false">
      <c r="A3157" s="0" t="s">
        <v>1645</v>
      </c>
      <c r="B3157" s="6" t="n">
        <v>41854</v>
      </c>
      <c r="C3157" s="7" t="s">
        <v>33</v>
      </c>
      <c r="D3157" s="7" t="s">
        <v>81</v>
      </c>
      <c r="E3157" s="7" t="s">
        <v>35</v>
      </c>
      <c r="F3157" s="0" t="n">
        <v>93.024</v>
      </c>
      <c r="G3157" s="0" t="n">
        <v>33.7212</v>
      </c>
      <c r="H3157" s="0" t="n">
        <v>0.2</v>
      </c>
      <c r="I3157" s="7" t="n">
        <f aca="false">YEAR(B3157)</f>
        <v>2014</v>
      </c>
      <c r="J3157" s="0" t="str">
        <f aca="false">I3157&amp;"-Q"&amp;ROUNDUP(MONTH(B3157)/3,0)</f>
        <v>2014-Q3</v>
      </c>
    </row>
    <row r="3158" customFormat="false" ht="15" hidden="false" customHeight="false" outlineLevel="0" collapsed="false">
      <c r="A3158" s="0" t="s">
        <v>1646</v>
      </c>
      <c r="B3158" s="6" t="n">
        <v>42240</v>
      </c>
      <c r="C3158" s="7" t="s">
        <v>55</v>
      </c>
      <c r="D3158" s="7" t="s">
        <v>76</v>
      </c>
      <c r="E3158" s="7" t="s">
        <v>31</v>
      </c>
      <c r="F3158" s="0" t="n">
        <v>284.364</v>
      </c>
      <c r="G3158" s="0" t="n">
        <v>-75.8304</v>
      </c>
      <c r="H3158" s="0" t="n">
        <v>0.4</v>
      </c>
      <c r="I3158" s="7" t="n">
        <f aca="false">YEAR(B3158)</f>
        <v>2015</v>
      </c>
      <c r="J3158" s="0" t="str">
        <f aca="false">I3158&amp;"-Q"&amp;ROUNDUP(MONTH(B3158)/3,0)</f>
        <v>2015-Q3</v>
      </c>
    </row>
    <row r="3159" customFormat="false" ht="15" hidden="false" customHeight="false" outlineLevel="0" collapsed="false">
      <c r="A3159" s="0" t="s">
        <v>1646</v>
      </c>
      <c r="B3159" s="6" t="n">
        <v>42240</v>
      </c>
      <c r="C3159" s="7" t="s">
        <v>55</v>
      </c>
      <c r="D3159" s="7" t="s">
        <v>76</v>
      </c>
      <c r="E3159" s="7" t="s">
        <v>39</v>
      </c>
      <c r="F3159" s="0" t="n">
        <v>26</v>
      </c>
      <c r="G3159" s="0" t="n">
        <v>11.7</v>
      </c>
      <c r="H3159" s="0" t="n">
        <v>0</v>
      </c>
      <c r="I3159" s="7" t="n">
        <f aca="false">YEAR(B3159)</f>
        <v>2015</v>
      </c>
      <c r="J3159" s="0" t="str">
        <f aca="false">I3159&amp;"-Q"&amp;ROUNDUP(MONTH(B3159)/3,0)</f>
        <v>2015-Q3</v>
      </c>
    </row>
    <row r="3160" customFormat="false" ht="15" hidden="false" customHeight="false" outlineLevel="0" collapsed="false">
      <c r="A3160" s="0" t="s">
        <v>1647</v>
      </c>
      <c r="B3160" s="6" t="n">
        <v>42455</v>
      </c>
      <c r="C3160" s="7" t="s">
        <v>29</v>
      </c>
      <c r="D3160" s="7" t="s">
        <v>41</v>
      </c>
      <c r="E3160" s="7" t="s">
        <v>35</v>
      </c>
      <c r="F3160" s="0" t="n">
        <v>67.64</v>
      </c>
      <c r="G3160" s="0" t="n">
        <v>5.9185</v>
      </c>
      <c r="H3160" s="0" t="n">
        <v>0.2</v>
      </c>
      <c r="I3160" s="7" t="n">
        <f aca="false">YEAR(B3160)</f>
        <v>2016</v>
      </c>
      <c r="J3160" s="0" t="str">
        <f aca="false">I3160&amp;"-Q"&amp;ROUNDUP(MONTH(B3160)/3,0)</f>
        <v>2016-Q1</v>
      </c>
    </row>
    <row r="3161" customFormat="false" ht="15" hidden="false" customHeight="false" outlineLevel="0" collapsed="false">
      <c r="A3161" s="0" t="s">
        <v>1647</v>
      </c>
      <c r="B3161" s="6" t="n">
        <v>42455</v>
      </c>
      <c r="C3161" s="7" t="s">
        <v>29</v>
      </c>
      <c r="D3161" s="7" t="s">
        <v>41</v>
      </c>
      <c r="E3161" s="7" t="s">
        <v>39</v>
      </c>
      <c r="F3161" s="0" t="n">
        <v>119.976</v>
      </c>
      <c r="G3161" s="0" t="n">
        <v>-17.9964</v>
      </c>
      <c r="H3161" s="0" t="n">
        <v>0.2</v>
      </c>
      <c r="I3161" s="7" t="n">
        <f aca="false">YEAR(B3161)</f>
        <v>2016</v>
      </c>
      <c r="J3161" s="0" t="str">
        <f aca="false">I3161&amp;"-Q"&amp;ROUNDUP(MONTH(B3161)/3,0)</f>
        <v>2016-Q1</v>
      </c>
    </row>
    <row r="3162" customFormat="false" ht="15" hidden="false" customHeight="false" outlineLevel="0" collapsed="false">
      <c r="A3162" s="0" t="s">
        <v>1648</v>
      </c>
      <c r="B3162" s="6" t="n">
        <v>41894</v>
      </c>
      <c r="C3162" s="7" t="s">
        <v>45</v>
      </c>
      <c r="D3162" s="7" t="s">
        <v>46</v>
      </c>
      <c r="E3162" s="7" t="s">
        <v>35</v>
      </c>
      <c r="F3162" s="0" t="n">
        <v>5.18</v>
      </c>
      <c r="G3162" s="0" t="n">
        <v>-8.029</v>
      </c>
      <c r="H3162" s="0" t="n">
        <v>0.8</v>
      </c>
      <c r="I3162" s="7" t="n">
        <f aca="false">YEAR(B3162)</f>
        <v>2014</v>
      </c>
      <c r="J3162" s="0" t="str">
        <f aca="false">I3162&amp;"-Q"&amp;ROUNDUP(MONTH(B3162)/3,0)</f>
        <v>2014-Q3</v>
      </c>
    </row>
    <row r="3163" customFormat="false" ht="15" hidden="false" customHeight="false" outlineLevel="0" collapsed="false">
      <c r="A3163" s="0" t="s">
        <v>1649</v>
      </c>
      <c r="B3163" s="6" t="n">
        <v>41903</v>
      </c>
      <c r="C3163" s="7" t="s">
        <v>33</v>
      </c>
      <c r="D3163" s="7" t="s">
        <v>34</v>
      </c>
      <c r="E3163" s="7" t="s">
        <v>35</v>
      </c>
      <c r="F3163" s="0" t="n">
        <v>15.56</v>
      </c>
      <c r="G3163" s="0" t="n">
        <v>7.3132</v>
      </c>
      <c r="H3163" s="0" t="n">
        <v>0</v>
      </c>
      <c r="I3163" s="7" t="n">
        <f aca="false">YEAR(B3163)</f>
        <v>2014</v>
      </c>
      <c r="J3163" s="0" t="str">
        <f aca="false">I3163&amp;"-Q"&amp;ROUNDUP(MONTH(B3163)/3,0)</f>
        <v>2014-Q3</v>
      </c>
    </row>
    <row r="3164" customFormat="false" ht="15" hidden="false" customHeight="false" outlineLevel="0" collapsed="false">
      <c r="A3164" s="0" t="s">
        <v>1649</v>
      </c>
      <c r="B3164" s="6" t="n">
        <v>41903</v>
      </c>
      <c r="C3164" s="7" t="s">
        <v>33</v>
      </c>
      <c r="D3164" s="7" t="s">
        <v>34</v>
      </c>
      <c r="E3164" s="7" t="s">
        <v>35</v>
      </c>
      <c r="F3164" s="0" t="n">
        <v>78.35</v>
      </c>
      <c r="G3164" s="0" t="n">
        <v>36.8245</v>
      </c>
      <c r="H3164" s="0" t="n">
        <v>0</v>
      </c>
      <c r="I3164" s="7" t="n">
        <f aca="false">YEAR(B3164)</f>
        <v>2014</v>
      </c>
      <c r="J3164" s="0" t="str">
        <f aca="false">I3164&amp;"-Q"&amp;ROUNDUP(MONTH(B3164)/3,0)</f>
        <v>2014-Q3</v>
      </c>
    </row>
    <row r="3165" customFormat="false" ht="15" hidden="false" customHeight="false" outlineLevel="0" collapsed="false">
      <c r="A3165" s="0" t="s">
        <v>1649</v>
      </c>
      <c r="B3165" s="6" t="n">
        <v>41903</v>
      </c>
      <c r="C3165" s="7" t="s">
        <v>33</v>
      </c>
      <c r="D3165" s="7" t="s">
        <v>34</v>
      </c>
      <c r="E3165" s="7" t="s">
        <v>35</v>
      </c>
      <c r="F3165" s="0" t="n">
        <v>59.52</v>
      </c>
      <c r="G3165" s="0" t="n">
        <v>15.4752</v>
      </c>
      <c r="H3165" s="0" t="n">
        <v>0</v>
      </c>
      <c r="I3165" s="7" t="n">
        <f aca="false">YEAR(B3165)</f>
        <v>2014</v>
      </c>
      <c r="J3165" s="0" t="str">
        <f aca="false">I3165&amp;"-Q"&amp;ROUNDUP(MONTH(B3165)/3,0)</f>
        <v>2014-Q3</v>
      </c>
    </row>
    <row r="3166" customFormat="false" ht="15" hidden="false" customHeight="false" outlineLevel="0" collapsed="false">
      <c r="A3166" s="0" t="s">
        <v>1649</v>
      </c>
      <c r="B3166" s="6" t="n">
        <v>41903</v>
      </c>
      <c r="C3166" s="7" t="s">
        <v>33</v>
      </c>
      <c r="D3166" s="7" t="s">
        <v>34</v>
      </c>
      <c r="E3166" s="7" t="s">
        <v>35</v>
      </c>
      <c r="F3166" s="0" t="n">
        <v>38.52</v>
      </c>
      <c r="G3166" s="0" t="n">
        <v>17.334</v>
      </c>
      <c r="H3166" s="0" t="n">
        <v>0</v>
      </c>
      <c r="I3166" s="7" t="n">
        <f aca="false">YEAR(B3166)</f>
        <v>2014</v>
      </c>
      <c r="J3166" s="0" t="str">
        <f aca="false">I3166&amp;"-Q"&amp;ROUNDUP(MONTH(B3166)/3,0)</f>
        <v>2014-Q3</v>
      </c>
    </row>
    <row r="3167" customFormat="false" ht="15" hidden="false" customHeight="false" outlineLevel="0" collapsed="false">
      <c r="A3167" s="0" t="s">
        <v>1649</v>
      </c>
      <c r="B3167" s="6" t="n">
        <v>41903</v>
      </c>
      <c r="C3167" s="7" t="s">
        <v>33</v>
      </c>
      <c r="D3167" s="7" t="s">
        <v>34</v>
      </c>
      <c r="E3167" s="7" t="s">
        <v>39</v>
      </c>
      <c r="F3167" s="0" t="n">
        <v>239.984</v>
      </c>
      <c r="G3167" s="0" t="n">
        <v>23.9984</v>
      </c>
      <c r="H3167" s="0" t="n">
        <v>0.2</v>
      </c>
      <c r="I3167" s="7" t="n">
        <f aca="false">YEAR(B3167)</f>
        <v>2014</v>
      </c>
      <c r="J3167" s="0" t="str">
        <f aca="false">I3167&amp;"-Q"&amp;ROUNDUP(MONTH(B3167)/3,0)</f>
        <v>2014-Q3</v>
      </c>
    </row>
    <row r="3168" customFormat="false" ht="15" hidden="false" customHeight="false" outlineLevel="0" collapsed="false">
      <c r="A3168" s="0" t="s">
        <v>1649</v>
      </c>
      <c r="B3168" s="6" t="n">
        <v>41903</v>
      </c>
      <c r="C3168" s="7" t="s">
        <v>33</v>
      </c>
      <c r="D3168" s="7" t="s">
        <v>34</v>
      </c>
      <c r="E3168" s="7" t="s">
        <v>35</v>
      </c>
      <c r="F3168" s="0" t="n">
        <v>19.35</v>
      </c>
      <c r="G3168" s="0" t="n">
        <v>9.4815</v>
      </c>
      <c r="H3168" s="0" t="n">
        <v>0</v>
      </c>
      <c r="I3168" s="7" t="n">
        <f aca="false">YEAR(B3168)</f>
        <v>2014</v>
      </c>
      <c r="J3168" s="0" t="str">
        <f aca="false">I3168&amp;"-Q"&amp;ROUNDUP(MONTH(B3168)/3,0)</f>
        <v>2014-Q3</v>
      </c>
    </row>
    <row r="3169" customFormat="false" ht="15" hidden="false" customHeight="false" outlineLevel="0" collapsed="false">
      <c r="A3169" s="0" t="s">
        <v>1650</v>
      </c>
      <c r="B3169" s="6" t="n">
        <v>42672</v>
      </c>
      <c r="C3169" s="7" t="s">
        <v>45</v>
      </c>
      <c r="D3169" s="7" t="s">
        <v>70</v>
      </c>
      <c r="E3169" s="7" t="s">
        <v>31</v>
      </c>
      <c r="F3169" s="0" t="n">
        <v>67</v>
      </c>
      <c r="G3169" s="0" t="n">
        <v>32.16</v>
      </c>
      <c r="H3169" s="0" t="n">
        <v>0</v>
      </c>
      <c r="I3169" s="7" t="n">
        <f aca="false">YEAR(B3169)</f>
        <v>2016</v>
      </c>
      <c r="J3169" s="0" t="str">
        <f aca="false">I3169&amp;"-Q"&amp;ROUNDUP(MONTH(B3169)/3,0)</f>
        <v>2016-Q4</v>
      </c>
    </row>
    <row r="3170" customFormat="false" ht="15" hidden="false" customHeight="false" outlineLevel="0" collapsed="false">
      <c r="A3170" s="0" t="s">
        <v>1651</v>
      </c>
      <c r="B3170" s="6" t="n">
        <v>42518</v>
      </c>
      <c r="C3170" s="7" t="s">
        <v>29</v>
      </c>
      <c r="D3170" s="7" t="s">
        <v>37</v>
      </c>
      <c r="E3170" s="7" t="s">
        <v>31</v>
      </c>
      <c r="F3170" s="0" t="n">
        <v>390.272</v>
      </c>
      <c r="G3170" s="0" t="n">
        <v>-24.392</v>
      </c>
      <c r="H3170" s="0" t="n">
        <v>0.2</v>
      </c>
      <c r="I3170" s="7" t="n">
        <f aca="false">YEAR(B3170)</f>
        <v>2016</v>
      </c>
      <c r="J3170" s="0" t="str">
        <f aca="false">I3170&amp;"-Q"&amp;ROUNDUP(MONTH(B3170)/3,0)</f>
        <v>2016-Q2</v>
      </c>
    </row>
    <row r="3171" customFormat="false" ht="15" hidden="false" customHeight="false" outlineLevel="0" collapsed="false">
      <c r="A3171" s="0" t="s">
        <v>1651</v>
      </c>
      <c r="B3171" s="6" t="n">
        <v>42518</v>
      </c>
      <c r="C3171" s="7" t="s">
        <v>29</v>
      </c>
      <c r="D3171" s="7" t="s">
        <v>37</v>
      </c>
      <c r="E3171" s="7" t="s">
        <v>35</v>
      </c>
      <c r="F3171" s="0" t="n">
        <v>62.192</v>
      </c>
      <c r="G3171" s="0" t="n">
        <v>19.435</v>
      </c>
      <c r="H3171" s="0" t="n">
        <v>0.2</v>
      </c>
      <c r="I3171" s="7" t="n">
        <f aca="false">YEAR(B3171)</f>
        <v>2016</v>
      </c>
      <c r="J3171" s="0" t="str">
        <f aca="false">I3171&amp;"-Q"&amp;ROUNDUP(MONTH(B3171)/3,0)</f>
        <v>2016-Q2</v>
      </c>
    </row>
    <row r="3172" customFormat="false" ht="15" hidden="false" customHeight="false" outlineLevel="0" collapsed="false">
      <c r="A3172" s="0" t="s">
        <v>1652</v>
      </c>
      <c r="B3172" s="6" t="n">
        <v>43090</v>
      </c>
      <c r="C3172" s="7" t="s">
        <v>29</v>
      </c>
      <c r="D3172" s="7" t="s">
        <v>96</v>
      </c>
      <c r="E3172" s="7" t="s">
        <v>35</v>
      </c>
      <c r="F3172" s="0" t="n">
        <v>23.88</v>
      </c>
      <c r="G3172" s="0" t="n">
        <v>11.2236</v>
      </c>
      <c r="H3172" s="0" t="n">
        <v>0</v>
      </c>
      <c r="I3172" s="7" t="n">
        <f aca="false">YEAR(B3172)</f>
        <v>2017</v>
      </c>
      <c r="J3172" s="0" t="str">
        <f aca="false">I3172&amp;"-Q"&amp;ROUNDUP(MONTH(B3172)/3,0)</f>
        <v>2017-Q4</v>
      </c>
    </row>
    <row r="3173" customFormat="false" ht="15" hidden="false" customHeight="false" outlineLevel="0" collapsed="false">
      <c r="A3173" s="0" t="s">
        <v>1653</v>
      </c>
      <c r="B3173" s="6" t="n">
        <v>42450</v>
      </c>
      <c r="C3173" s="7" t="s">
        <v>45</v>
      </c>
      <c r="D3173" s="7" t="s">
        <v>64</v>
      </c>
      <c r="E3173" s="7" t="s">
        <v>35</v>
      </c>
      <c r="F3173" s="0" t="n">
        <v>3.168</v>
      </c>
      <c r="G3173" s="0" t="n">
        <v>-4.752</v>
      </c>
      <c r="H3173" s="0" t="n">
        <v>0.8</v>
      </c>
      <c r="I3173" s="7" t="n">
        <f aca="false">YEAR(B3173)</f>
        <v>2016</v>
      </c>
      <c r="J3173" s="0" t="str">
        <f aca="false">I3173&amp;"-Q"&amp;ROUNDUP(MONTH(B3173)/3,0)</f>
        <v>2016-Q1</v>
      </c>
    </row>
    <row r="3174" customFormat="false" ht="15" hidden="false" customHeight="false" outlineLevel="0" collapsed="false">
      <c r="A3174" s="0" t="s">
        <v>1653</v>
      </c>
      <c r="B3174" s="6" t="n">
        <v>42450</v>
      </c>
      <c r="C3174" s="7" t="s">
        <v>45</v>
      </c>
      <c r="D3174" s="7" t="s">
        <v>64</v>
      </c>
      <c r="E3174" s="7" t="s">
        <v>31</v>
      </c>
      <c r="F3174" s="0" t="n">
        <v>528.43</v>
      </c>
      <c r="G3174" s="0" t="n">
        <v>0</v>
      </c>
      <c r="H3174" s="0" t="n">
        <v>0.3</v>
      </c>
      <c r="I3174" s="7" t="n">
        <f aca="false">YEAR(B3174)</f>
        <v>2016</v>
      </c>
      <c r="J3174" s="0" t="str">
        <f aca="false">I3174&amp;"-Q"&amp;ROUNDUP(MONTH(B3174)/3,0)</f>
        <v>2016-Q1</v>
      </c>
    </row>
    <row r="3175" customFormat="false" ht="15" hidden="false" customHeight="false" outlineLevel="0" collapsed="false">
      <c r="A3175" s="0" t="s">
        <v>1653</v>
      </c>
      <c r="B3175" s="6" t="n">
        <v>42450</v>
      </c>
      <c r="C3175" s="7" t="s">
        <v>45</v>
      </c>
      <c r="D3175" s="7" t="s">
        <v>64</v>
      </c>
      <c r="E3175" s="7" t="s">
        <v>35</v>
      </c>
      <c r="F3175" s="0" t="n">
        <v>13.392</v>
      </c>
      <c r="G3175" s="0" t="n">
        <v>1.5066</v>
      </c>
      <c r="H3175" s="0" t="n">
        <v>0.2</v>
      </c>
      <c r="I3175" s="7" t="n">
        <f aca="false">YEAR(B3175)</f>
        <v>2016</v>
      </c>
      <c r="J3175" s="0" t="str">
        <f aca="false">I3175&amp;"-Q"&amp;ROUNDUP(MONTH(B3175)/3,0)</f>
        <v>2016-Q1</v>
      </c>
    </row>
    <row r="3176" customFormat="false" ht="15" hidden="false" customHeight="false" outlineLevel="0" collapsed="false">
      <c r="A3176" s="0" t="s">
        <v>1654</v>
      </c>
      <c r="B3176" s="6" t="n">
        <v>43050</v>
      </c>
      <c r="C3176" s="7" t="s">
        <v>45</v>
      </c>
      <c r="D3176" s="7" t="s">
        <v>70</v>
      </c>
      <c r="E3176" s="7" t="s">
        <v>35</v>
      </c>
      <c r="F3176" s="0" t="n">
        <v>181.86</v>
      </c>
      <c r="G3176" s="0" t="n">
        <v>50.9208</v>
      </c>
      <c r="H3176" s="0" t="n">
        <v>0</v>
      </c>
      <c r="I3176" s="7" t="n">
        <f aca="false">YEAR(B3176)</f>
        <v>2017</v>
      </c>
      <c r="J3176" s="0" t="str">
        <f aca="false">I3176&amp;"-Q"&amp;ROUNDUP(MONTH(B3176)/3,0)</f>
        <v>2017-Q4</v>
      </c>
    </row>
    <row r="3177" customFormat="false" ht="15" hidden="false" customHeight="false" outlineLevel="0" collapsed="false">
      <c r="A3177" s="0" t="s">
        <v>1655</v>
      </c>
      <c r="B3177" s="6" t="n">
        <v>43001</v>
      </c>
      <c r="C3177" s="7" t="s">
        <v>33</v>
      </c>
      <c r="D3177" s="7" t="s">
        <v>109</v>
      </c>
      <c r="E3177" s="7" t="s">
        <v>31</v>
      </c>
      <c r="F3177" s="0" t="n">
        <v>180.588</v>
      </c>
      <c r="G3177" s="0" t="n">
        <v>-240.784</v>
      </c>
      <c r="H3177" s="0" t="n">
        <v>0.7</v>
      </c>
      <c r="I3177" s="7" t="n">
        <f aca="false">YEAR(B3177)</f>
        <v>2017</v>
      </c>
      <c r="J3177" s="0" t="str">
        <f aca="false">I3177&amp;"-Q"&amp;ROUNDUP(MONTH(B3177)/3,0)</f>
        <v>2017-Q3</v>
      </c>
    </row>
    <row r="3178" customFormat="false" ht="15" hidden="false" customHeight="false" outlineLevel="0" collapsed="false">
      <c r="A3178" s="0" t="s">
        <v>1655</v>
      </c>
      <c r="B3178" s="6" t="n">
        <v>43001</v>
      </c>
      <c r="C3178" s="7" t="s">
        <v>33</v>
      </c>
      <c r="D3178" s="7" t="s">
        <v>109</v>
      </c>
      <c r="E3178" s="7" t="s">
        <v>39</v>
      </c>
      <c r="F3178" s="0" t="n">
        <v>47.984</v>
      </c>
      <c r="G3178" s="0" t="n">
        <v>0.5998</v>
      </c>
      <c r="H3178" s="0" t="n">
        <v>0.2</v>
      </c>
      <c r="I3178" s="7" t="n">
        <f aca="false">YEAR(B3178)</f>
        <v>2017</v>
      </c>
      <c r="J3178" s="0" t="str">
        <f aca="false">I3178&amp;"-Q"&amp;ROUNDUP(MONTH(B3178)/3,0)</f>
        <v>2017-Q3</v>
      </c>
    </row>
    <row r="3179" customFormat="false" ht="15" hidden="false" customHeight="false" outlineLevel="0" collapsed="false">
      <c r="A3179" s="0" t="s">
        <v>1656</v>
      </c>
      <c r="B3179" s="6" t="n">
        <v>42988</v>
      </c>
      <c r="C3179" s="7" t="s">
        <v>55</v>
      </c>
      <c r="D3179" s="7" t="s">
        <v>76</v>
      </c>
      <c r="E3179" s="7" t="s">
        <v>35</v>
      </c>
      <c r="F3179" s="0" t="n">
        <v>18.76</v>
      </c>
      <c r="G3179" s="0" t="n">
        <v>9.0048</v>
      </c>
      <c r="H3179" s="0" t="n">
        <v>0</v>
      </c>
      <c r="I3179" s="7" t="n">
        <f aca="false">YEAR(B3179)</f>
        <v>2017</v>
      </c>
      <c r="J3179" s="0" t="str">
        <f aca="false">I3179&amp;"-Q"&amp;ROUNDUP(MONTH(B3179)/3,0)</f>
        <v>2017-Q3</v>
      </c>
    </row>
    <row r="3180" customFormat="false" ht="15" hidden="false" customHeight="false" outlineLevel="0" collapsed="false">
      <c r="A3180" s="0" t="s">
        <v>1657</v>
      </c>
      <c r="B3180" s="6" t="n">
        <v>43074</v>
      </c>
      <c r="C3180" s="7" t="s">
        <v>55</v>
      </c>
      <c r="D3180" s="7" t="s">
        <v>76</v>
      </c>
      <c r="E3180" s="7" t="s">
        <v>31</v>
      </c>
      <c r="F3180" s="0" t="n">
        <v>20.94</v>
      </c>
      <c r="G3180" s="0" t="n">
        <v>6.0726</v>
      </c>
      <c r="H3180" s="0" t="n">
        <v>0</v>
      </c>
      <c r="I3180" s="7" t="n">
        <f aca="false">YEAR(B3180)</f>
        <v>2017</v>
      </c>
      <c r="J3180" s="0" t="str">
        <f aca="false">I3180&amp;"-Q"&amp;ROUNDUP(MONTH(B3180)/3,0)</f>
        <v>2017-Q4</v>
      </c>
    </row>
    <row r="3181" customFormat="false" ht="15" hidden="false" customHeight="false" outlineLevel="0" collapsed="false">
      <c r="A3181" s="0" t="s">
        <v>1657</v>
      </c>
      <c r="B3181" s="6" t="n">
        <v>43074</v>
      </c>
      <c r="C3181" s="7" t="s">
        <v>55</v>
      </c>
      <c r="D3181" s="7" t="s">
        <v>76</v>
      </c>
      <c r="E3181" s="7" t="s">
        <v>31</v>
      </c>
      <c r="F3181" s="0" t="n">
        <v>58.68</v>
      </c>
      <c r="G3181" s="0" t="n">
        <v>18.1908</v>
      </c>
      <c r="H3181" s="0" t="n">
        <v>0</v>
      </c>
      <c r="I3181" s="7" t="n">
        <f aca="false">YEAR(B3181)</f>
        <v>2017</v>
      </c>
      <c r="J3181" s="0" t="str">
        <f aca="false">I3181&amp;"-Q"&amp;ROUNDUP(MONTH(B3181)/3,0)</f>
        <v>2017-Q4</v>
      </c>
    </row>
    <row r="3182" customFormat="false" ht="15" hidden="false" customHeight="false" outlineLevel="0" collapsed="false">
      <c r="A3182" s="0" t="s">
        <v>1657</v>
      </c>
      <c r="B3182" s="6" t="n">
        <v>43074</v>
      </c>
      <c r="C3182" s="7" t="s">
        <v>55</v>
      </c>
      <c r="D3182" s="7" t="s">
        <v>76</v>
      </c>
      <c r="E3182" s="7" t="s">
        <v>35</v>
      </c>
      <c r="F3182" s="0" t="n">
        <v>254.9</v>
      </c>
      <c r="G3182" s="0" t="n">
        <v>68.823</v>
      </c>
      <c r="H3182" s="0" t="n">
        <v>0</v>
      </c>
      <c r="I3182" s="7" t="n">
        <f aca="false">YEAR(B3182)</f>
        <v>2017</v>
      </c>
      <c r="J3182" s="0" t="str">
        <f aca="false">I3182&amp;"-Q"&amp;ROUNDUP(MONTH(B3182)/3,0)</f>
        <v>2017-Q4</v>
      </c>
    </row>
    <row r="3183" customFormat="false" ht="15" hidden="false" customHeight="false" outlineLevel="0" collapsed="false">
      <c r="A3183" s="0" t="s">
        <v>1658</v>
      </c>
      <c r="B3183" s="6" t="n">
        <v>43048</v>
      </c>
      <c r="C3183" s="7" t="s">
        <v>55</v>
      </c>
      <c r="D3183" s="7" t="s">
        <v>495</v>
      </c>
      <c r="E3183" s="7" t="s">
        <v>35</v>
      </c>
      <c r="F3183" s="0" t="n">
        <v>9.64</v>
      </c>
      <c r="G3183" s="0" t="n">
        <v>4.4344</v>
      </c>
      <c r="H3183" s="0" t="n">
        <v>0</v>
      </c>
      <c r="I3183" s="7" t="n">
        <f aca="false">YEAR(B3183)</f>
        <v>2017</v>
      </c>
      <c r="J3183" s="0" t="str">
        <f aca="false">I3183&amp;"-Q"&amp;ROUNDUP(MONTH(B3183)/3,0)</f>
        <v>2017-Q4</v>
      </c>
    </row>
    <row r="3184" customFormat="false" ht="15" hidden="false" customHeight="false" outlineLevel="0" collapsed="false">
      <c r="A3184" s="0" t="s">
        <v>1658</v>
      </c>
      <c r="B3184" s="6" t="n">
        <v>43048</v>
      </c>
      <c r="C3184" s="7" t="s">
        <v>55</v>
      </c>
      <c r="D3184" s="7" t="s">
        <v>495</v>
      </c>
      <c r="E3184" s="7" t="s">
        <v>39</v>
      </c>
      <c r="F3184" s="0" t="n">
        <v>826.62</v>
      </c>
      <c r="G3184" s="0" t="n">
        <v>355.4466</v>
      </c>
      <c r="H3184" s="0" t="n">
        <v>0</v>
      </c>
      <c r="I3184" s="7" t="n">
        <f aca="false">YEAR(B3184)</f>
        <v>2017</v>
      </c>
      <c r="J3184" s="0" t="str">
        <f aca="false">I3184&amp;"-Q"&amp;ROUNDUP(MONTH(B3184)/3,0)</f>
        <v>2017-Q4</v>
      </c>
    </row>
    <row r="3185" customFormat="false" ht="15" hidden="false" customHeight="false" outlineLevel="0" collapsed="false">
      <c r="A3185" s="0" t="s">
        <v>1658</v>
      </c>
      <c r="B3185" s="6" t="n">
        <v>43048</v>
      </c>
      <c r="C3185" s="7" t="s">
        <v>55</v>
      </c>
      <c r="D3185" s="7" t="s">
        <v>495</v>
      </c>
      <c r="E3185" s="7" t="s">
        <v>35</v>
      </c>
      <c r="F3185" s="0" t="n">
        <v>1633.14</v>
      </c>
      <c r="G3185" s="0" t="n">
        <v>473.6106</v>
      </c>
      <c r="H3185" s="0" t="n">
        <v>0</v>
      </c>
      <c r="I3185" s="7" t="n">
        <f aca="false">YEAR(B3185)</f>
        <v>2017</v>
      </c>
      <c r="J3185" s="0" t="str">
        <f aca="false">I3185&amp;"-Q"&amp;ROUNDUP(MONTH(B3185)/3,0)</f>
        <v>2017-Q4</v>
      </c>
    </row>
    <row r="3186" customFormat="false" ht="15" hidden="false" customHeight="false" outlineLevel="0" collapsed="false">
      <c r="A3186" s="0" t="s">
        <v>1658</v>
      </c>
      <c r="B3186" s="6" t="n">
        <v>43048</v>
      </c>
      <c r="C3186" s="7" t="s">
        <v>55</v>
      </c>
      <c r="D3186" s="7" t="s">
        <v>495</v>
      </c>
      <c r="E3186" s="7" t="s">
        <v>35</v>
      </c>
      <c r="F3186" s="0" t="n">
        <v>544.38</v>
      </c>
      <c r="G3186" s="0" t="n">
        <v>157.8702</v>
      </c>
      <c r="H3186" s="0" t="n">
        <v>0</v>
      </c>
      <c r="I3186" s="7" t="n">
        <f aca="false">YEAR(B3186)</f>
        <v>2017</v>
      </c>
      <c r="J3186" s="0" t="str">
        <f aca="false">I3186&amp;"-Q"&amp;ROUNDUP(MONTH(B3186)/3,0)</f>
        <v>2017-Q4</v>
      </c>
    </row>
    <row r="3187" customFormat="false" ht="15" hidden="false" customHeight="false" outlineLevel="0" collapsed="false">
      <c r="A3187" s="0" t="s">
        <v>1659</v>
      </c>
      <c r="B3187" s="6" t="n">
        <v>41950</v>
      </c>
      <c r="C3187" s="7" t="s">
        <v>45</v>
      </c>
      <c r="D3187" s="7" t="s">
        <v>46</v>
      </c>
      <c r="E3187" s="7" t="s">
        <v>35</v>
      </c>
      <c r="F3187" s="0" t="n">
        <v>26.046</v>
      </c>
      <c r="G3187" s="0" t="n">
        <v>-44.2782</v>
      </c>
      <c r="H3187" s="0" t="n">
        <v>0.8</v>
      </c>
      <c r="I3187" s="7" t="n">
        <f aca="false">YEAR(B3187)</f>
        <v>2014</v>
      </c>
      <c r="J3187" s="0" t="str">
        <f aca="false">I3187&amp;"-Q"&amp;ROUNDUP(MONTH(B3187)/3,0)</f>
        <v>2014-Q4</v>
      </c>
    </row>
    <row r="3188" customFormat="false" ht="15" hidden="false" customHeight="false" outlineLevel="0" collapsed="false">
      <c r="A3188" s="0" t="s">
        <v>1659</v>
      </c>
      <c r="B3188" s="6" t="n">
        <v>41950</v>
      </c>
      <c r="C3188" s="7" t="s">
        <v>45</v>
      </c>
      <c r="D3188" s="7" t="s">
        <v>46</v>
      </c>
      <c r="E3188" s="7" t="s">
        <v>35</v>
      </c>
      <c r="F3188" s="0" t="n">
        <v>74.352</v>
      </c>
      <c r="G3188" s="0" t="n">
        <v>26.9526</v>
      </c>
      <c r="H3188" s="0" t="n">
        <v>0.2</v>
      </c>
      <c r="I3188" s="7" t="n">
        <f aca="false">YEAR(B3188)</f>
        <v>2014</v>
      </c>
      <c r="J3188" s="0" t="str">
        <f aca="false">I3188&amp;"-Q"&amp;ROUNDUP(MONTH(B3188)/3,0)</f>
        <v>2014-Q4</v>
      </c>
    </row>
    <row r="3189" customFormat="false" ht="15" hidden="false" customHeight="false" outlineLevel="0" collapsed="false">
      <c r="A3189" s="0" t="s">
        <v>1660</v>
      </c>
      <c r="B3189" s="6" t="n">
        <v>42806</v>
      </c>
      <c r="C3189" s="7" t="s">
        <v>55</v>
      </c>
      <c r="D3189" s="7" t="s">
        <v>225</v>
      </c>
      <c r="E3189" s="7" t="s">
        <v>39</v>
      </c>
      <c r="F3189" s="0" t="n">
        <v>69.93</v>
      </c>
      <c r="G3189" s="0" t="n">
        <v>32.1678</v>
      </c>
      <c r="H3189" s="0" t="n">
        <v>0</v>
      </c>
      <c r="I3189" s="7" t="n">
        <f aca="false">YEAR(B3189)</f>
        <v>2017</v>
      </c>
      <c r="J3189" s="0" t="str">
        <f aca="false">I3189&amp;"-Q"&amp;ROUNDUP(MONTH(B3189)/3,0)</f>
        <v>2017-Q1</v>
      </c>
    </row>
    <row r="3190" customFormat="false" ht="15" hidden="false" customHeight="false" outlineLevel="0" collapsed="false">
      <c r="A3190" s="0" t="s">
        <v>1661</v>
      </c>
      <c r="B3190" s="6" t="n">
        <v>43028</v>
      </c>
      <c r="C3190" s="7" t="s">
        <v>33</v>
      </c>
      <c r="D3190" s="7" t="s">
        <v>34</v>
      </c>
      <c r="E3190" s="7" t="s">
        <v>35</v>
      </c>
      <c r="F3190" s="0" t="n">
        <v>3.75</v>
      </c>
      <c r="G3190" s="0" t="n">
        <v>1.8</v>
      </c>
      <c r="H3190" s="0" t="n">
        <v>0</v>
      </c>
      <c r="I3190" s="7" t="n">
        <f aca="false">YEAR(B3190)</f>
        <v>2017</v>
      </c>
      <c r="J3190" s="0" t="str">
        <f aca="false">I3190&amp;"-Q"&amp;ROUNDUP(MONTH(B3190)/3,0)</f>
        <v>2017-Q4</v>
      </c>
    </row>
    <row r="3191" customFormat="false" ht="15" hidden="false" customHeight="false" outlineLevel="0" collapsed="false">
      <c r="A3191" s="0" t="s">
        <v>1661</v>
      </c>
      <c r="B3191" s="6" t="n">
        <v>43028</v>
      </c>
      <c r="C3191" s="7" t="s">
        <v>33</v>
      </c>
      <c r="D3191" s="7" t="s">
        <v>34</v>
      </c>
      <c r="E3191" s="7" t="s">
        <v>35</v>
      </c>
      <c r="F3191" s="0" t="n">
        <v>20.928</v>
      </c>
      <c r="G3191" s="0" t="n">
        <v>7.5864</v>
      </c>
      <c r="H3191" s="0" t="n">
        <v>0.2</v>
      </c>
      <c r="I3191" s="7" t="n">
        <f aca="false">YEAR(B3191)</f>
        <v>2017</v>
      </c>
      <c r="J3191" s="0" t="str">
        <f aca="false">I3191&amp;"-Q"&amp;ROUNDUP(MONTH(B3191)/3,0)</f>
        <v>2017-Q4</v>
      </c>
    </row>
    <row r="3192" customFormat="false" ht="15" hidden="false" customHeight="false" outlineLevel="0" collapsed="false">
      <c r="A3192" s="0" t="s">
        <v>1662</v>
      </c>
      <c r="B3192" s="6" t="n">
        <v>42365</v>
      </c>
      <c r="C3192" s="7" t="s">
        <v>45</v>
      </c>
      <c r="D3192" s="7" t="s">
        <v>64</v>
      </c>
      <c r="E3192" s="7" t="s">
        <v>35</v>
      </c>
      <c r="F3192" s="0" t="n">
        <v>12.672</v>
      </c>
      <c r="G3192" s="0" t="n">
        <v>-3.168</v>
      </c>
      <c r="H3192" s="0" t="n">
        <v>0.2</v>
      </c>
      <c r="I3192" s="7" t="n">
        <f aca="false">YEAR(B3192)</f>
        <v>2015</v>
      </c>
      <c r="J3192" s="0" t="str">
        <f aca="false">I3192&amp;"-Q"&amp;ROUNDUP(MONTH(B3192)/3,0)</f>
        <v>2015-Q4</v>
      </c>
    </row>
    <row r="3193" customFormat="false" ht="15" hidden="false" customHeight="false" outlineLevel="0" collapsed="false">
      <c r="A3193" s="0" t="s">
        <v>1663</v>
      </c>
      <c r="B3193" s="6" t="n">
        <v>43010</v>
      </c>
      <c r="C3193" s="7" t="s">
        <v>55</v>
      </c>
      <c r="D3193" s="7" t="s">
        <v>76</v>
      </c>
      <c r="E3193" s="7" t="s">
        <v>39</v>
      </c>
      <c r="F3193" s="0" t="n">
        <v>65.99</v>
      </c>
      <c r="G3193" s="0" t="n">
        <v>17.1574</v>
      </c>
      <c r="H3193" s="0" t="n">
        <v>0</v>
      </c>
      <c r="I3193" s="7" t="n">
        <f aca="false">YEAR(B3193)</f>
        <v>2017</v>
      </c>
      <c r="J3193" s="0" t="str">
        <f aca="false">I3193&amp;"-Q"&amp;ROUNDUP(MONTH(B3193)/3,0)</f>
        <v>2017-Q4</v>
      </c>
    </row>
    <row r="3194" customFormat="false" ht="15" hidden="false" customHeight="false" outlineLevel="0" collapsed="false">
      <c r="A3194" s="0" t="s">
        <v>1664</v>
      </c>
      <c r="B3194" s="6" t="n">
        <v>42890</v>
      </c>
      <c r="C3194" s="7" t="s">
        <v>45</v>
      </c>
      <c r="D3194" s="7" t="s">
        <v>46</v>
      </c>
      <c r="E3194" s="7" t="s">
        <v>35</v>
      </c>
      <c r="F3194" s="0" t="n">
        <v>6.37</v>
      </c>
      <c r="G3194" s="0" t="n">
        <v>-9.555</v>
      </c>
      <c r="H3194" s="0" t="n">
        <v>0.8</v>
      </c>
      <c r="I3194" s="7" t="n">
        <f aca="false">YEAR(B3194)</f>
        <v>2017</v>
      </c>
      <c r="J3194" s="0" t="str">
        <f aca="false">I3194&amp;"-Q"&amp;ROUNDUP(MONTH(B3194)/3,0)</f>
        <v>2017-Q2</v>
      </c>
    </row>
    <row r="3195" customFormat="false" ht="15" hidden="false" customHeight="false" outlineLevel="0" collapsed="false">
      <c r="A3195" s="0" t="s">
        <v>1665</v>
      </c>
      <c r="B3195" s="6" t="n">
        <v>41883</v>
      </c>
      <c r="C3195" s="7" t="s">
        <v>45</v>
      </c>
      <c r="D3195" s="7" t="s">
        <v>46</v>
      </c>
      <c r="E3195" s="7" t="s">
        <v>35</v>
      </c>
      <c r="F3195" s="0" t="n">
        <v>3.648</v>
      </c>
      <c r="G3195" s="0" t="n">
        <v>-6.0192</v>
      </c>
      <c r="H3195" s="0" t="n">
        <v>0.8</v>
      </c>
      <c r="I3195" s="7" t="n">
        <f aca="false">YEAR(B3195)</f>
        <v>2014</v>
      </c>
      <c r="J3195" s="0" t="str">
        <f aca="false">I3195&amp;"-Q"&amp;ROUNDUP(MONTH(B3195)/3,0)</f>
        <v>2014-Q3</v>
      </c>
    </row>
    <row r="3196" customFormat="false" ht="15" hidden="false" customHeight="false" outlineLevel="0" collapsed="false">
      <c r="A3196" s="0" t="s">
        <v>1665</v>
      </c>
      <c r="B3196" s="6" t="n">
        <v>41883</v>
      </c>
      <c r="C3196" s="7" t="s">
        <v>45</v>
      </c>
      <c r="D3196" s="7" t="s">
        <v>46</v>
      </c>
      <c r="E3196" s="7" t="s">
        <v>35</v>
      </c>
      <c r="F3196" s="0" t="n">
        <v>31.104</v>
      </c>
      <c r="G3196" s="0" t="n">
        <v>10.8864</v>
      </c>
      <c r="H3196" s="0" t="n">
        <v>0.2</v>
      </c>
      <c r="I3196" s="7" t="n">
        <f aca="false">YEAR(B3196)</f>
        <v>2014</v>
      </c>
      <c r="J3196" s="0" t="str">
        <f aca="false">I3196&amp;"-Q"&amp;ROUNDUP(MONTH(B3196)/3,0)</f>
        <v>2014-Q3</v>
      </c>
    </row>
    <row r="3197" customFormat="false" ht="15" hidden="false" customHeight="false" outlineLevel="0" collapsed="false">
      <c r="A3197" s="0" t="s">
        <v>1666</v>
      </c>
      <c r="B3197" s="6" t="n">
        <v>42590</v>
      </c>
      <c r="C3197" s="7" t="s">
        <v>29</v>
      </c>
      <c r="D3197" s="7" t="s">
        <v>265</v>
      </c>
      <c r="E3197" s="7" t="s">
        <v>35</v>
      </c>
      <c r="F3197" s="0" t="n">
        <v>23.34</v>
      </c>
      <c r="G3197" s="0" t="n">
        <v>0.2334</v>
      </c>
      <c r="H3197" s="0" t="n">
        <v>0</v>
      </c>
      <c r="I3197" s="7" t="n">
        <f aca="false">YEAR(B3197)</f>
        <v>2016</v>
      </c>
      <c r="J3197" s="0" t="str">
        <f aca="false">I3197&amp;"-Q"&amp;ROUNDUP(MONTH(B3197)/3,0)</f>
        <v>2016-Q3</v>
      </c>
    </row>
    <row r="3198" customFormat="false" ht="15" hidden="false" customHeight="false" outlineLevel="0" collapsed="false">
      <c r="A3198" s="0" t="s">
        <v>1667</v>
      </c>
      <c r="B3198" s="6" t="n">
        <v>42938</v>
      </c>
      <c r="C3198" s="7" t="s">
        <v>55</v>
      </c>
      <c r="D3198" s="7" t="s">
        <v>76</v>
      </c>
      <c r="E3198" s="7" t="s">
        <v>39</v>
      </c>
      <c r="F3198" s="0" t="n">
        <v>29.97</v>
      </c>
      <c r="G3198" s="0" t="n">
        <v>14.0859</v>
      </c>
      <c r="H3198" s="0" t="n">
        <v>0</v>
      </c>
      <c r="I3198" s="7" t="n">
        <f aca="false">YEAR(B3198)</f>
        <v>2017</v>
      </c>
      <c r="J3198" s="0" t="str">
        <f aca="false">I3198&amp;"-Q"&amp;ROUNDUP(MONTH(B3198)/3,0)</f>
        <v>2017-Q3</v>
      </c>
    </row>
    <row r="3199" customFormat="false" ht="15" hidden="false" customHeight="false" outlineLevel="0" collapsed="false">
      <c r="A3199" s="0" t="s">
        <v>1668</v>
      </c>
      <c r="B3199" s="6" t="n">
        <v>42195</v>
      </c>
      <c r="C3199" s="7" t="s">
        <v>33</v>
      </c>
      <c r="D3199" s="7" t="s">
        <v>81</v>
      </c>
      <c r="E3199" s="7" t="s">
        <v>35</v>
      </c>
      <c r="F3199" s="0" t="n">
        <v>3.366</v>
      </c>
      <c r="G3199" s="0" t="n">
        <v>-2.244</v>
      </c>
      <c r="H3199" s="0" t="n">
        <v>0.7</v>
      </c>
      <c r="I3199" s="7" t="n">
        <f aca="false">YEAR(B3199)</f>
        <v>2015</v>
      </c>
      <c r="J3199" s="0" t="str">
        <f aca="false">I3199&amp;"-Q"&amp;ROUNDUP(MONTH(B3199)/3,0)</f>
        <v>2015-Q3</v>
      </c>
    </row>
    <row r="3200" customFormat="false" ht="15" hidden="false" customHeight="false" outlineLevel="0" collapsed="false">
      <c r="A3200" s="0" t="s">
        <v>1669</v>
      </c>
      <c r="B3200" s="6" t="n">
        <v>41974</v>
      </c>
      <c r="C3200" s="7" t="s">
        <v>29</v>
      </c>
      <c r="D3200" s="7" t="s">
        <v>41</v>
      </c>
      <c r="E3200" s="7" t="s">
        <v>39</v>
      </c>
      <c r="F3200" s="0" t="n">
        <v>95.968</v>
      </c>
      <c r="G3200" s="0" t="n">
        <v>9.5968</v>
      </c>
      <c r="H3200" s="0" t="n">
        <v>0.2</v>
      </c>
      <c r="I3200" s="7" t="n">
        <f aca="false">YEAR(B3200)</f>
        <v>2014</v>
      </c>
      <c r="J3200" s="0" t="str">
        <f aca="false">I3200&amp;"-Q"&amp;ROUNDUP(MONTH(B3200)/3,0)</f>
        <v>2014-Q4</v>
      </c>
    </row>
    <row r="3201" customFormat="false" ht="15" hidden="false" customHeight="false" outlineLevel="0" collapsed="false">
      <c r="A3201" s="0" t="s">
        <v>1670</v>
      </c>
      <c r="B3201" s="6" t="n">
        <v>43087</v>
      </c>
      <c r="C3201" s="7" t="s">
        <v>55</v>
      </c>
      <c r="D3201" s="7" t="s">
        <v>56</v>
      </c>
      <c r="E3201" s="7" t="s">
        <v>35</v>
      </c>
      <c r="F3201" s="0" t="n">
        <v>18.704</v>
      </c>
      <c r="G3201" s="0" t="n">
        <v>2.338</v>
      </c>
      <c r="H3201" s="0" t="n">
        <v>0.2</v>
      </c>
      <c r="I3201" s="7" t="n">
        <f aca="false">YEAR(B3201)</f>
        <v>2017</v>
      </c>
      <c r="J3201" s="0" t="str">
        <f aca="false">I3201&amp;"-Q"&amp;ROUNDUP(MONTH(B3201)/3,0)</f>
        <v>2017-Q4</v>
      </c>
    </row>
    <row r="3202" customFormat="false" ht="15" hidden="false" customHeight="false" outlineLevel="0" collapsed="false">
      <c r="A3202" s="0" t="s">
        <v>1671</v>
      </c>
      <c r="B3202" s="6" t="n">
        <v>41777</v>
      </c>
      <c r="C3202" s="7" t="s">
        <v>55</v>
      </c>
      <c r="D3202" s="7" t="s">
        <v>116</v>
      </c>
      <c r="E3202" s="7" t="s">
        <v>31</v>
      </c>
      <c r="F3202" s="0" t="n">
        <v>149.232</v>
      </c>
      <c r="G3202" s="0" t="n">
        <v>3.7308</v>
      </c>
      <c r="H3202" s="0" t="n">
        <v>0.2</v>
      </c>
      <c r="I3202" s="7" t="n">
        <f aca="false">YEAR(B3202)</f>
        <v>2014</v>
      </c>
      <c r="J3202" s="0" t="str">
        <f aca="false">I3202&amp;"-Q"&amp;ROUNDUP(MONTH(B3202)/3,0)</f>
        <v>2014-Q2</v>
      </c>
    </row>
    <row r="3203" customFormat="false" ht="15" hidden="false" customHeight="false" outlineLevel="0" collapsed="false">
      <c r="A3203" s="0" t="s">
        <v>1671</v>
      </c>
      <c r="B3203" s="6" t="n">
        <v>41777</v>
      </c>
      <c r="C3203" s="7" t="s">
        <v>55</v>
      </c>
      <c r="D3203" s="7" t="s">
        <v>116</v>
      </c>
      <c r="E3203" s="7" t="s">
        <v>35</v>
      </c>
      <c r="F3203" s="0" t="n">
        <v>15.936</v>
      </c>
      <c r="G3203" s="0" t="n">
        <v>5.7768</v>
      </c>
      <c r="H3203" s="0" t="n">
        <v>0.2</v>
      </c>
      <c r="I3203" s="7" t="n">
        <f aca="false">YEAR(B3203)</f>
        <v>2014</v>
      </c>
      <c r="J3203" s="0" t="str">
        <f aca="false">I3203&amp;"-Q"&amp;ROUNDUP(MONTH(B3203)/3,0)</f>
        <v>2014-Q2</v>
      </c>
    </row>
    <row r="3204" customFormat="false" ht="15" hidden="false" customHeight="false" outlineLevel="0" collapsed="false">
      <c r="A3204" s="0" t="s">
        <v>1672</v>
      </c>
      <c r="B3204" s="6" t="n">
        <v>41953</v>
      </c>
      <c r="C3204" s="7" t="s">
        <v>33</v>
      </c>
      <c r="D3204" s="7" t="s">
        <v>34</v>
      </c>
      <c r="E3204" s="7" t="s">
        <v>39</v>
      </c>
      <c r="F3204" s="0" t="n">
        <v>601.536</v>
      </c>
      <c r="G3204" s="0" t="n">
        <v>60.1536</v>
      </c>
      <c r="H3204" s="0" t="n">
        <v>0.2</v>
      </c>
      <c r="I3204" s="7" t="n">
        <f aca="false">YEAR(B3204)</f>
        <v>2014</v>
      </c>
      <c r="J3204" s="0" t="str">
        <f aca="false">I3204&amp;"-Q"&amp;ROUNDUP(MONTH(B3204)/3,0)</f>
        <v>2014-Q4</v>
      </c>
    </row>
    <row r="3205" customFormat="false" ht="15" hidden="false" customHeight="false" outlineLevel="0" collapsed="false">
      <c r="A3205" s="0" t="s">
        <v>1672</v>
      </c>
      <c r="B3205" s="6" t="n">
        <v>41953</v>
      </c>
      <c r="C3205" s="7" t="s">
        <v>33</v>
      </c>
      <c r="D3205" s="7" t="s">
        <v>34</v>
      </c>
      <c r="E3205" s="7" t="s">
        <v>39</v>
      </c>
      <c r="F3205" s="0" t="n">
        <v>10.99</v>
      </c>
      <c r="G3205" s="0" t="n">
        <v>4.2861</v>
      </c>
      <c r="H3205" s="0" t="n">
        <v>0</v>
      </c>
      <c r="I3205" s="7" t="n">
        <f aca="false">YEAR(B3205)</f>
        <v>2014</v>
      </c>
      <c r="J3205" s="0" t="str">
        <f aca="false">I3205&amp;"-Q"&amp;ROUNDUP(MONTH(B3205)/3,0)</f>
        <v>2014-Q4</v>
      </c>
    </row>
    <row r="3206" customFormat="false" ht="15" hidden="false" customHeight="false" outlineLevel="0" collapsed="false">
      <c r="A3206" s="0" t="s">
        <v>1672</v>
      </c>
      <c r="B3206" s="6" t="n">
        <v>41953</v>
      </c>
      <c r="C3206" s="7" t="s">
        <v>33</v>
      </c>
      <c r="D3206" s="7" t="s">
        <v>34</v>
      </c>
      <c r="E3206" s="7" t="s">
        <v>31</v>
      </c>
      <c r="F3206" s="0" t="n">
        <v>39.88</v>
      </c>
      <c r="G3206" s="0" t="n">
        <v>11.1664</v>
      </c>
      <c r="H3206" s="0" t="n">
        <v>0</v>
      </c>
      <c r="I3206" s="7" t="n">
        <f aca="false">YEAR(B3206)</f>
        <v>2014</v>
      </c>
      <c r="J3206" s="0" t="str">
        <f aca="false">I3206&amp;"-Q"&amp;ROUNDUP(MONTH(B3206)/3,0)</f>
        <v>2014-Q4</v>
      </c>
    </row>
    <row r="3207" customFormat="false" ht="15" hidden="false" customHeight="false" outlineLevel="0" collapsed="false">
      <c r="A3207" s="0" t="s">
        <v>1672</v>
      </c>
      <c r="B3207" s="6" t="n">
        <v>41953</v>
      </c>
      <c r="C3207" s="7" t="s">
        <v>33</v>
      </c>
      <c r="D3207" s="7" t="s">
        <v>34</v>
      </c>
      <c r="E3207" s="7" t="s">
        <v>35</v>
      </c>
      <c r="F3207" s="0" t="n">
        <v>62.24</v>
      </c>
      <c r="G3207" s="0" t="n">
        <v>28.008</v>
      </c>
      <c r="H3207" s="0" t="n">
        <v>0</v>
      </c>
      <c r="I3207" s="7" t="n">
        <f aca="false">YEAR(B3207)</f>
        <v>2014</v>
      </c>
      <c r="J3207" s="0" t="str">
        <f aca="false">I3207&amp;"-Q"&amp;ROUNDUP(MONTH(B3207)/3,0)</f>
        <v>2014-Q4</v>
      </c>
    </row>
    <row r="3208" customFormat="false" ht="15" hidden="false" customHeight="false" outlineLevel="0" collapsed="false">
      <c r="A3208" s="0" t="s">
        <v>1672</v>
      </c>
      <c r="B3208" s="6" t="n">
        <v>41953</v>
      </c>
      <c r="C3208" s="7" t="s">
        <v>33</v>
      </c>
      <c r="D3208" s="7" t="s">
        <v>34</v>
      </c>
      <c r="E3208" s="7" t="s">
        <v>31</v>
      </c>
      <c r="F3208" s="0" t="n">
        <v>53.2</v>
      </c>
      <c r="G3208" s="0" t="n">
        <v>14.896</v>
      </c>
      <c r="H3208" s="0" t="n">
        <v>0</v>
      </c>
      <c r="I3208" s="7" t="n">
        <f aca="false">YEAR(B3208)</f>
        <v>2014</v>
      </c>
      <c r="J3208" s="0" t="str">
        <f aca="false">I3208&amp;"-Q"&amp;ROUNDUP(MONTH(B3208)/3,0)</f>
        <v>2014-Q4</v>
      </c>
    </row>
    <row r="3209" customFormat="false" ht="15" hidden="false" customHeight="false" outlineLevel="0" collapsed="false">
      <c r="A3209" s="0" t="s">
        <v>1672</v>
      </c>
      <c r="B3209" s="6" t="n">
        <v>41953</v>
      </c>
      <c r="C3209" s="7" t="s">
        <v>33</v>
      </c>
      <c r="D3209" s="7" t="s">
        <v>34</v>
      </c>
      <c r="E3209" s="7" t="s">
        <v>35</v>
      </c>
      <c r="F3209" s="0" t="n">
        <v>39.84</v>
      </c>
      <c r="G3209" s="0" t="n">
        <v>18.3264</v>
      </c>
      <c r="H3209" s="0" t="n">
        <v>0</v>
      </c>
      <c r="I3209" s="7" t="n">
        <f aca="false">YEAR(B3209)</f>
        <v>2014</v>
      </c>
      <c r="J3209" s="0" t="str">
        <f aca="false">I3209&amp;"-Q"&amp;ROUNDUP(MONTH(B3209)/3,0)</f>
        <v>2014-Q4</v>
      </c>
    </row>
    <row r="3210" customFormat="false" ht="15" hidden="false" customHeight="false" outlineLevel="0" collapsed="false">
      <c r="A3210" s="0" t="s">
        <v>1673</v>
      </c>
      <c r="B3210" s="6" t="n">
        <v>42378</v>
      </c>
      <c r="C3210" s="7" t="s">
        <v>33</v>
      </c>
      <c r="D3210" s="7" t="s">
        <v>34</v>
      </c>
      <c r="E3210" s="7" t="s">
        <v>39</v>
      </c>
      <c r="F3210" s="0" t="n">
        <v>349.95</v>
      </c>
      <c r="G3210" s="0" t="n">
        <v>118.983</v>
      </c>
      <c r="H3210" s="0" t="n">
        <v>0</v>
      </c>
      <c r="I3210" s="7" t="n">
        <f aca="false">YEAR(B3210)</f>
        <v>2016</v>
      </c>
      <c r="J3210" s="0" t="str">
        <f aca="false">I3210&amp;"-Q"&amp;ROUNDUP(MONTH(B3210)/3,0)</f>
        <v>2016-Q1</v>
      </c>
    </row>
    <row r="3211" customFormat="false" ht="15" hidden="false" customHeight="false" outlineLevel="0" collapsed="false">
      <c r="A3211" s="0" t="s">
        <v>1673</v>
      </c>
      <c r="B3211" s="6" t="n">
        <v>42378</v>
      </c>
      <c r="C3211" s="7" t="s">
        <v>33</v>
      </c>
      <c r="D3211" s="7" t="s">
        <v>34</v>
      </c>
      <c r="E3211" s="7" t="s">
        <v>39</v>
      </c>
      <c r="F3211" s="0" t="n">
        <v>377.928</v>
      </c>
      <c r="G3211" s="0" t="n">
        <v>141.723</v>
      </c>
      <c r="H3211" s="0" t="n">
        <v>0.2</v>
      </c>
      <c r="I3211" s="7" t="n">
        <f aca="false">YEAR(B3211)</f>
        <v>2016</v>
      </c>
      <c r="J3211" s="0" t="str">
        <f aca="false">I3211&amp;"-Q"&amp;ROUNDUP(MONTH(B3211)/3,0)</f>
        <v>2016-Q1</v>
      </c>
    </row>
    <row r="3212" customFormat="false" ht="15" hidden="false" customHeight="false" outlineLevel="0" collapsed="false">
      <c r="A3212" s="0" t="s">
        <v>1674</v>
      </c>
      <c r="B3212" s="6" t="n">
        <v>43000</v>
      </c>
      <c r="C3212" s="7" t="s">
        <v>45</v>
      </c>
      <c r="D3212" s="7" t="s">
        <v>46</v>
      </c>
      <c r="E3212" s="7" t="s">
        <v>35</v>
      </c>
      <c r="F3212" s="0" t="n">
        <v>13.392</v>
      </c>
      <c r="G3212" s="0" t="n">
        <v>5.022</v>
      </c>
      <c r="H3212" s="0" t="n">
        <v>0.2</v>
      </c>
      <c r="I3212" s="7" t="n">
        <f aca="false">YEAR(B3212)</f>
        <v>2017</v>
      </c>
      <c r="J3212" s="0" t="str">
        <f aca="false">I3212&amp;"-Q"&amp;ROUNDUP(MONTH(B3212)/3,0)</f>
        <v>2017-Q3</v>
      </c>
    </row>
    <row r="3213" customFormat="false" ht="15" hidden="false" customHeight="false" outlineLevel="0" collapsed="false">
      <c r="A3213" s="0" t="s">
        <v>1674</v>
      </c>
      <c r="B3213" s="6" t="n">
        <v>43000</v>
      </c>
      <c r="C3213" s="7" t="s">
        <v>45</v>
      </c>
      <c r="D3213" s="7" t="s">
        <v>46</v>
      </c>
      <c r="E3213" s="7" t="s">
        <v>35</v>
      </c>
      <c r="F3213" s="0" t="n">
        <v>11.228</v>
      </c>
      <c r="G3213" s="0" t="n">
        <v>-18.5262</v>
      </c>
      <c r="H3213" s="0" t="n">
        <v>0.8</v>
      </c>
      <c r="I3213" s="7" t="n">
        <f aca="false">YEAR(B3213)</f>
        <v>2017</v>
      </c>
      <c r="J3213" s="0" t="str">
        <f aca="false">I3213&amp;"-Q"&amp;ROUNDUP(MONTH(B3213)/3,0)</f>
        <v>2017-Q3</v>
      </c>
    </row>
    <row r="3214" customFormat="false" ht="15" hidden="false" customHeight="false" outlineLevel="0" collapsed="false">
      <c r="A3214" s="0" t="s">
        <v>1675</v>
      </c>
      <c r="B3214" s="6" t="n">
        <v>41996</v>
      </c>
      <c r="C3214" s="7" t="s">
        <v>45</v>
      </c>
      <c r="D3214" s="7" t="s">
        <v>74</v>
      </c>
      <c r="E3214" s="7" t="s">
        <v>35</v>
      </c>
      <c r="F3214" s="0" t="n">
        <v>207.24</v>
      </c>
      <c r="G3214" s="0" t="n">
        <v>58.0272</v>
      </c>
      <c r="H3214" s="0" t="n">
        <v>0</v>
      </c>
      <c r="I3214" s="7" t="n">
        <f aca="false">YEAR(B3214)</f>
        <v>2014</v>
      </c>
      <c r="J3214" s="0" t="str">
        <f aca="false">I3214&amp;"-Q"&amp;ROUNDUP(MONTH(B3214)/3,0)</f>
        <v>2014-Q4</v>
      </c>
    </row>
    <row r="3215" customFormat="false" ht="15" hidden="false" customHeight="false" outlineLevel="0" collapsed="false">
      <c r="A3215" s="0" t="s">
        <v>1676</v>
      </c>
      <c r="B3215" s="6" t="n">
        <v>42516</v>
      </c>
      <c r="C3215" s="7" t="s">
        <v>55</v>
      </c>
      <c r="D3215" s="7" t="s">
        <v>56</v>
      </c>
      <c r="E3215" s="7" t="s">
        <v>35</v>
      </c>
      <c r="F3215" s="0" t="n">
        <v>1.504</v>
      </c>
      <c r="G3215" s="0" t="n">
        <v>0.1692</v>
      </c>
      <c r="H3215" s="0" t="n">
        <v>0.2</v>
      </c>
      <c r="I3215" s="7" t="n">
        <f aca="false">YEAR(B3215)</f>
        <v>2016</v>
      </c>
      <c r="J3215" s="0" t="str">
        <f aca="false">I3215&amp;"-Q"&amp;ROUNDUP(MONTH(B3215)/3,0)</f>
        <v>2016-Q2</v>
      </c>
    </row>
    <row r="3216" customFormat="false" ht="15" hidden="false" customHeight="false" outlineLevel="0" collapsed="false">
      <c r="A3216" s="0" t="s">
        <v>1676</v>
      </c>
      <c r="B3216" s="6" t="n">
        <v>42516</v>
      </c>
      <c r="C3216" s="7" t="s">
        <v>55</v>
      </c>
      <c r="D3216" s="7" t="s">
        <v>56</v>
      </c>
      <c r="E3216" s="7" t="s">
        <v>35</v>
      </c>
      <c r="F3216" s="0" t="n">
        <v>34.848</v>
      </c>
      <c r="G3216" s="0" t="n">
        <v>6.534</v>
      </c>
      <c r="H3216" s="0" t="n">
        <v>0.2</v>
      </c>
      <c r="I3216" s="7" t="n">
        <f aca="false">YEAR(B3216)</f>
        <v>2016</v>
      </c>
      <c r="J3216" s="0" t="str">
        <f aca="false">I3216&amp;"-Q"&amp;ROUNDUP(MONTH(B3216)/3,0)</f>
        <v>2016-Q2</v>
      </c>
    </row>
    <row r="3217" customFormat="false" ht="15" hidden="false" customHeight="false" outlineLevel="0" collapsed="false">
      <c r="A3217" s="0" t="s">
        <v>1677</v>
      </c>
      <c r="B3217" s="6" t="n">
        <v>42924</v>
      </c>
      <c r="C3217" s="7" t="s">
        <v>33</v>
      </c>
      <c r="D3217" s="7" t="s">
        <v>34</v>
      </c>
      <c r="E3217" s="7" t="s">
        <v>35</v>
      </c>
      <c r="F3217" s="0" t="n">
        <v>75.18</v>
      </c>
      <c r="G3217" s="0" t="n">
        <v>35.3346</v>
      </c>
      <c r="H3217" s="0" t="n">
        <v>0</v>
      </c>
      <c r="I3217" s="7" t="n">
        <f aca="false">YEAR(B3217)</f>
        <v>2017</v>
      </c>
      <c r="J3217" s="0" t="str">
        <f aca="false">I3217&amp;"-Q"&amp;ROUNDUP(MONTH(B3217)/3,0)</f>
        <v>2017-Q3</v>
      </c>
    </row>
    <row r="3218" customFormat="false" ht="15" hidden="false" customHeight="false" outlineLevel="0" collapsed="false">
      <c r="A3218" s="0" t="s">
        <v>1678</v>
      </c>
      <c r="B3218" s="6" t="n">
        <v>41772</v>
      </c>
      <c r="C3218" s="7" t="s">
        <v>33</v>
      </c>
      <c r="D3218" s="7" t="s">
        <v>34</v>
      </c>
      <c r="E3218" s="7" t="s">
        <v>39</v>
      </c>
      <c r="F3218" s="0" t="n">
        <v>149.97</v>
      </c>
      <c r="G3218" s="0" t="n">
        <v>52.4895</v>
      </c>
      <c r="H3218" s="0" t="n">
        <v>0</v>
      </c>
      <c r="I3218" s="7" t="n">
        <f aca="false">YEAR(B3218)</f>
        <v>2014</v>
      </c>
      <c r="J3218" s="0" t="str">
        <f aca="false">I3218&amp;"-Q"&amp;ROUNDUP(MONTH(B3218)/3,0)</f>
        <v>2014-Q2</v>
      </c>
    </row>
    <row r="3219" customFormat="false" ht="15" hidden="false" customHeight="false" outlineLevel="0" collapsed="false">
      <c r="A3219" s="0" t="s">
        <v>1679</v>
      </c>
      <c r="B3219" s="6" t="n">
        <v>43049</v>
      </c>
      <c r="C3219" s="7" t="s">
        <v>55</v>
      </c>
      <c r="D3219" s="7" t="s">
        <v>76</v>
      </c>
      <c r="E3219" s="7" t="s">
        <v>35</v>
      </c>
      <c r="F3219" s="0" t="n">
        <v>931.176</v>
      </c>
      <c r="G3219" s="0" t="n">
        <v>314.2719</v>
      </c>
      <c r="H3219" s="0" t="n">
        <v>0.2</v>
      </c>
      <c r="I3219" s="7" t="n">
        <f aca="false">YEAR(B3219)</f>
        <v>2017</v>
      </c>
      <c r="J3219" s="0" t="str">
        <f aca="false">I3219&amp;"-Q"&amp;ROUNDUP(MONTH(B3219)/3,0)</f>
        <v>2017-Q4</v>
      </c>
    </row>
    <row r="3220" customFormat="false" ht="15" hidden="false" customHeight="false" outlineLevel="0" collapsed="false">
      <c r="A3220" s="0" t="s">
        <v>1679</v>
      </c>
      <c r="B3220" s="6" t="n">
        <v>43049</v>
      </c>
      <c r="C3220" s="7" t="s">
        <v>55</v>
      </c>
      <c r="D3220" s="7" t="s">
        <v>76</v>
      </c>
      <c r="E3220" s="7" t="s">
        <v>39</v>
      </c>
      <c r="F3220" s="0" t="n">
        <v>430.88</v>
      </c>
      <c r="G3220" s="0" t="n">
        <v>124.9552</v>
      </c>
      <c r="H3220" s="0" t="n">
        <v>0</v>
      </c>
      <c r="I3220" s="7" t="n">
        <f aca="false">YEAR(B3220)</f>
        <v>2017</v>
      </c>
      <c r="J3220" s="0" t="str">
        <f aca="false">I3220&amp;"-Q"&amp;ROUNDUP(MONTH(B3220)/3,0)</f>
        <v>2017-Q4</v>
      </c>
    </row>
    <row r="3221" customFormat="false" ht="15" hidden="false" customHeight="false" outlineLevel="0" collapsed="false">
      <c r="A3221" s="0" t="s">
        <v>1680</v>
      </c>
      <c r="B3221" s="6" t="n">
        <v>42279</v>
      </c>
      <c r="C3221" s="7" t="s">
        <v>55</v>
      </c>
      <c r="D3221" s="7" t="s">
        <v>161</v>
      </c>
      <c r="E3221" s="7" t="s">
        <v>35</v>
      </c>
      <c r="F3221" s="0" t="n">
        <v>94.85</v>
      </c>
      <c r="G3221" s="0" t="n">
        <v>45.528</v>
      </c>
      <c r="H3221" s="0" t="n">
        <v>0</v>
      </c>
      <c r="I3221" s="7" t="n">
        <f aca="false">YEAR(B3221)</f>
        <v>2015</v>
      </c>
      <c r="J3221" s="0" t="str">
        <f aca="false">I3221&amp;"-Q"&amp;ROUNDUP(MONTH(B3221)/3,0)</f>
        <v>2015-Q4</v>
      </c>
    </row>
    <row r="3222" customFormat="false" ht="15" hidden="false" customHeight="false" outlineLevel="0" collapsed="false">
      <c r="A3222" s="0" t="s">
        <v>1680</v>
      </c>
      <c r="B3222" s="6" t="n">
        <v>42279</v>
      </c>
      <c r="C3222" s="7" t="s">
        <v>55</v>
      </c>
      <c r="D3222" s="7" t="s">
        <v>161</v>
      </c>
      <c r="E3222" s="7" t="s">
        <v>35</v>
      </c>
      <c r="F3222" s="0" t="n">
        <v>51.12</v>
      </c>
      <c r="G3222" s="0" t="n">
        <v>23.004</v>
      </c>
      <c r="H3222" s="0" t="n">
        <v>0</v>
      </c>
      <c r="I3222" s="7" t="n">
        <f aca="false">YEAR(B3222)</f>
        <v>2015</v>
      </c>
      <c r="J3222" s="0" t="str">
        <f aca="false">I3222&amp;"-Q"&amp;ROUNDUP(MONTH(B3222)/3,0)</f>
        <v>2015-Q4</v>
      </c>
    </row>
    <row r="3223" customFormat="false" ht="15" hidden="false" customHeight="false" outlineLevel="0" collapsed="false">
      <c r="A3223" s="0" t="s">
        <v>1680</v>
      </c>
      <c r="B3223" s="6" t="n">
        <v>42279</v>
      </c>
      <c r="C3223" s="7" t="s">
        <v>55</v>
      </c>
      <c r="D3223" s="7" t="s">
        <v>161</v>
      </c>
      <c r="E3223" s="7" t="s">
        <v>39</v>
      </c>
      <c r="F3223" s="0" t="n">
        <v>90</v>
      </c>
      <c r="G3223" s="0" t="n">
        <v>32.4</v>
      </c>
      <c r="H3223" s="0" t="n">
        <v>0</v>
      </c>
      <c r="I3223" s="7" t="n">
        <f aca="false">YEAR(B3223)</f>
        <v>2015</v>
      </c>
      <c r="J3223" s="0" t="str">
        <f aca="false">I3223&amp;"-Q"&amp;ROUNDUP(MONTH(B3223)/3,0)</f>
        <v>2015-Q4</v>
      </c>
    </row>
    <row r="3224" customFormat="false" ht="15" hidden="false" customHeight="false" outlineLevel="0" collapsed="false">
      <c r="A3224" s="0" t="s">
        <v>1681</v>
      </c>
      <c r="B3224" s="6" t="n">
        <v>41914</v>
      </c>
      <c r="C3224" s="7" t="s">
        <v>33</v>
      </c>
      <c r="D3224" s="7" t="s">
        <v>81</v>
      </c>
      <c r="E3224" s="7" t="s">
        <v>35</v>
      </c>
      <c r="F3224" s="0" t="n">
        <v>9.408</v>
      </c>
      <c r="G3224" s="0" t="n">
        <v>3.4104</v>
      </c>
      <c r="H3224" s="0" t="n">
        <v>0.2</v>
      </c>
      <c r="I3224" s="7" t="n">
        <f aca="false">YEAR(B3224)</f>
        <v>2014</v>
      </c>
      <c r="J3224" s="0" t="str">
        <f aca="false">I3224&amp;"-Q"&amp;ROUNDUP(MONTH(B3224)/3,0)</f>
        <v>2014-Q4</v>
      </c>
    </row>
    <row r="3225" customFormat="false" ht="15" hidden="false" customHeight="false" outlineLevel="0" collapsed="false">
      <c r="A3225" s="0" t="s">
        <v>1681</v>
      </c>
      <c r="B3225" s="6" t="n">
        <v>41914</v>
      </c>
      <c r="C3225" s="7" t="s">
        <v>33</v>
      </c>
      <c r="D3225" s="7" t="s">
        <v>81</v>
      </c>
      <c r="E3225" s="7" t="s">
        <v>35</v>
      </c>
      <c r="F3225" s="0" t="n">
        <v>4.672</v>
      </c>
      <c r="G3225" s="0" t="n">
        <v>1.46</v>
      </c>
      <c r="H3225" s="0" t="n">
        <v>0.2</v>
      </c>
      <c r="I3225" s="7" t="n">
        <f aca="false">YEAR(B3225)</f>
        <v>2014</v>
      </c>
      <c r="J3225" s="0" t="str">
        <f aca="false">I3225&amp;"-Q"&amp;ROUNDUP(MONTH(B3225)/3,0)</f>
        <v>2014-Q4</v>
      </c>
    </row>
    <row r="3226" customFormat="false" ht="15" hidden="false" customHeight="false" outlineLevel="0" collapsed="false">
      <c r="A3226" s="0" t="s">
        <v>1681</v>
      </c>
      <c r="B3226" s="6" t="n">
        <v>41914</v>
      </c>
      <c r="C3226" s="7" t="s">
        <v>33</v>
      </c>
      <c r="D3226" s="7" t="s">
        <v>81</v>
      </c>
      <c r="E3226" s="7" t="s">
        <v>39</v>
      </c>
      <c r="F3226" s="0" t="n">
        <v>318.4</v>
      </c>
      <c r="G3226" s="0" t="n">
        <v>107.46</v>
      </c>
      <c r="H3226" s="0" t="n">
        <v>0.2</v>
      </c>
      <c r="I3226" s="7" t="n">
        <f aca="false">YEAR(B3226)</f>
        <v>2014</v>
      </c>
      <c r="J3226" s="0" t="str">
        <f aca="false">I3226&amp;"-Q"&amp;ROUNDUP(MONTH(B3226)/3,0)</f>
        <v>2014-Q4</v>
      </c>
    </row>
    <row r="3227" customFormat="false" ht="15" hidden="false" customHeight="false" outlineLevel="0" collapsed="false">
      <c r="A3227" s="0" t="s">
        <v>1681</v>
      </c>
      <c r="B3227" s="6" t="n">
        <v>41914</v>
      </c>
      <c r="C3227" s="7" t="s">
        <v>33</v>
      </c>
      <c r="D3227" s="7" t="s">
        <v>81</v>
      </c>
      <c r="E3227" s="7" t="s">
        <v>35</v>
      </c>
      <c r="F3227" s="0" t="n">
        <v>12.768</v>
      </c>
      <c r="G3227" s="0" t="n">
        <v>4.6284</v>
      </c>
      <c r="H3227" s="0" t="n">
        <v>0.2</v>
      </c>
      <c r="I3227" s="7" t="n">
        <f aca="false">YEAR(B3227)</f>
        <v>2014</v>
      </c>
      <c r="J3227" s="0" t="str">
        <f aca="false">I3227&amp;"-Q"&amp;ROUNDUP(MONTH(B3227)/3,0)</f>
        <v>2014-Q4</v>
      </c>
    </row>
    <row r="3228" customFormat="false" ht="15" hidden="false" customHeight="false" outlineLevel="0" collapsed="false">
      <c r="A3228" s="0" t="s">
        <v>1681</v>
      </c>
      <c r="B3228" s="6" t="n">
        <v>41914</v>
      </c>
      <c r="C3228" s="7" t="s">
        <v>33</v>
      </c>
      <c r="D3228" s="7" t="s">
        <v>81</v>
      </c>
      <c r="E3228" s="7" t="s">
        <v>35</v>
      </c>
      <c r="F3228" s="0" t="n">
        <v>15.36</v>
      </c>
      <c r="G3228" s="0" t="n">
        <v>-3.264</v>
      </c>
      <c r="H3228" s="0" t="n">
        <v>0.2</v>
      </c>
      <c r="I3228" s="7" t="n">
        <f aca="false">YEAR(B3228)</f>
        <v>2014</v>
      </c>
      <c r="J3228" s="0" t="str">
        <f aca="false">I3228&amp;"-Q"&amp;ROUNDUP(MONTH(B3228)/3,0)</f>
        <v>2014-Q4</v>
      </c>
    </row>
    <row r="3229" customFormat="false" ht="15" hidden="false" customHeight="false" outlineLevel="0" collapsed="false">
      <c r="A3229" s="0" t="s">
        <v>1681</v>
      </c>
      <c r="B3229" s="6" t="n">
        <v>41914</v>
      </c>
      <c r="C3229" s="7" t="s">
        <v>33</v>
      </c>
      <c r="D3229" s="7" t="s">
        <v>81</v>
      </c>
      <c r="E3229" s="7" t="s">
        <v>39</v>
      </c>
      <c r="F3229" s="0" t="n">
        <v>230.376</v>
      </c>
      <c r="G3229" s="0" t="n">
        <v>20.1579</v>
      </c>
      <c r="H3229" s="0" t="n">
        <v>0.2</v>
      </c>
      <c r="I3229" s="7" t="n">
        <f aca="false">YEAR(B3229)</f>
        <v>2014</v>
      </c>
      <c r="J3229" s="0" t="str">
        <f aca="false">I3229&amp;"-Q"&amp;ROUNDUP(MONTH(B3229)/3,0)</f>
        <v>2014-Q4</v>
      </c>
    </row>
    <row r="3230" customFormat="false" ht="15" hidden="false" customHeight="false" outlineLevel="0" collapsed="false">
      <c r="A3230" s="0" t="s">
        <v>1681</v>
      </c>
      <c r="B3230" s="6" t="n">
        <v>41914</v>
      </c>
      <c r="C3230" s="7" t="s">
        <v>33</v>
      </c>
      <c r="D3230" s="7" t="s">
        <v>81</v>
      </c>
      <c r="E3230" s="7" t="s">
        <v>39</v>
      </c>
      <c r="F3230" s="0" t="n">
        <v>7.16</v>
      </c>
      <c r="G3230" s="0" t="n">
        <v>-0.0895</v>
      </c>
      <c r="H3230" s="0" t="n">
        <v>0.2</v>
      </c>
      <c r="I3230" s="7" t="n">
        <f aca="false">YEAR(B3230)</f>
        <v>2014</v>
      </c>
      <c r="J3230" s="0" t="str">
        <f aca="false">I3230&amp;"-Q"&amp;ROUNDUP(MONTH(B3230)/3,0)</f>
        <v>2014-Q4</v>
      </c>
    </row>
    <row r="3231" customFormat="false" ht="15" hidden="false" customHeight="false" outlineLevel="0" collapsed="false">
      <c r="A3231" s="0" t="s">
        <v>1682</v>
      </c>
      <c r="B3231" s="6" t="n">
        <v>41862</v>
      </c>
      <c r="C3231" s="7" t="s">
        <v>55</v>
      </c>
      <c r="D3231" s="7" t="s">
        <v>76</v>
      </c>
      <c r="E3231" s="7" t="s">
        <v>35</v>
      </c>
      <c r="F3231" s="0" t="n">
        <v>375.34</v>
      </c>
      <c r="G3231" s="0" t="n">
        <v>18.767</v>
      </c>
      <c r="H3231" s="0" t="n">
        <v>0</v>
      </c>
      <c r="I3231" s="7" t="n">
        <f aca="false">YEAR(B3231)</f>
        <v>2014</v>
      </c>
      <c r="J3231" s="0" t="str">
        <f aca="false">I3231&amp;"-Q"&amp;ROUNDUP(MONTH(B3231)/3,0)</f>
        <v>2014-Q3</v>
      </c>
    </row>
    <row r="3232" customFormat="false" ht="15" hidden="false" customHeight="false" outlineLevel="0" collapsed="false">
      <c r="A3232" s="0" t="s">
        <v>1683</v>
      </c>
      <c r="B3232" s="6" t="n">
        <v>42979</v>
      </c>
      <c r="C3232" s="7" t="s">
        <v>55</v>
      </c>
      <c r="D3232" s="7" t="s">
        <v>76</v>
      </c>
      <c r="E3232" s="7" t="s">
        <v>31</v>
      </c>
      <c r="F3232" s="0" t="n">
        <v>114.9</v>
      </c>
      <c r="G3232" s="0" t="n">
        <v>39.066</v>
      </c>
      <c r="H3232" s="0" t="n">
        <v>0</v>
      </c>
      <c r="I3232" s="7" t="n">
        <f aca="false">YEAR(B3232)</f>
        <v>2017</v>
      </c>
      <c r="J3232" s="0" t="str">
        <f aca="false">I3232&amp;"-Q"&amp;ROUNDUP(MONTH(B3232)/3,0)</f>
        <v>2017-Q3</v>
      </c>
    </row>
    <row r="3233" customFormat="false" ht="15" hidden="false" customHeight="false" outlineLevel="0" collapsed="false">
      <c r="A3233" s="0" t="s">
        <v>1684</v>
      </c>
      <c r="B3233" s="6" t="n">
        <v>42841</v>
      </c>
      <c r="C3233" s="7" t="s">
        <v>45</v>
      </c>
      <c r="D3233" s="7" t="s">
        <v>46</v>
      </c>
      <c r="E3233" s="7" t="s">
        <v>35</v>
      </c>
      <c r="F3233" s="0" t="n">
        <v>26.046</v>
      </c>
      <c r="G3233" s="0" t="n">
        <v>-44.2782</v>
      </c>
      <c r="H3233" s="0" t="n">
        <v>0.8</v>
      </c>
      <c r="I3233" s="7" t="n">
        <f aca="false">YEAR(B3233)</f>
        <v>2017</v>
      </c>
      <c r="J3233" s="0" t="str">
        <f aca="false">I3233&amp;"-Q"&amp;ROUNDUP(MONTH(B3233)/3,0)</f>
        <v>2017-Q2</v>
      </c>
    </row>
    <row r="3234" customFormat="false" ht="15" hidden="false" customHeight="false" outlineLevel="0" collapsed="false">
      <c r="A3234" s="0" t="s">
        <v>1684</v>
      </c>
      <c r="B3234" s="6" t="n">
        <v>42841</v>
      </c>
      <c r="C3234" s="7" t="s">
        <v>45</v>
      </c>
      <c r="D3234" s="7" t="s">
        <v>46</v>
      </c>
      <c r="E3234" s="7" t="s">
        <v>35</v>
      </c>
      <c r="F3234" s="0" t="n">
        <v>2.896</v>
      </c>
      <c r="G3234" s="0" t="n">
        <v>-4.7784</v>
      </c>
      <c r="H3234" s="0" t="n">
        <v>0.8</v>
      </c>
      <c r="I3234" s="7" t="n">
        <f aca="false">YEAR(B3234)</f>
        <v>2017</v>
      </c>
      <c r="J3234" s="0" t="str">
        <f aca="false">I3234&amp;"-Q"&amp;ROUNDUP(MONTH(B3234)/3,0)</f>
        <v>2017-Q2</v>
      </c>
    </row>
    <row r="3235" customFormat="false" ht="15" hidden="false" customHeight="false" outlineLevel="0" collapsed="false">
      <c r="A3235" s="0" t="s">
        <v>1684</v>
      </c>
      <c r="B3235" s="6" t="n">
        <v>42841</v>
      </c>
      <c r="C3235" s="7" t="s">
        <v>45</v>
      </c>
      <c r="D3235" s="7" t="s">
        <v>46</v>
      </c>
      <c r="E3235" s="7" t="s">
        <v>35</v>
      </c>
      <c r="F3235" s="0" t="n">
        <v>32.544</v>
      </c>
      <c r="G3235" s="0" t="n">
        <v>-7.7292</v>
      </c>
      <c r="H3235" s="0" t="n">
        <v>0.2</v>
      </c>
      <c r="I3235" s="7" t="n">
        <f aca="false">YEAR(B3235)</f>
        <v>2017</v>
      </c>
      <c r="J3235" s="0" t="str">
        <f aca="false">I3235&amp;"-Q"&amp;ROUNDUP(MONTH(B3235)/3,0)</f>
        <v>2017-Q2</v>
      </c>
    </row>
    <row r="3236" customFormat="false" ht="15" hidden="false" customHeight="false" outlineLevel="0" collapsed="false">
      <c r="A3236" s="0" t="s">
        <v>1685</v>
      </c>
      <c r="B3236" s="6" t="n">
        <v>42484</v>
      </c>
      <c r="C3236" s="7" t="s">
        <v>33</v>
      </c>
      <c r="D3236" s="7" t="s">
        <v>34</v>
      </c>
      <c r="E3236" s="7" t="s">
        <v>35</v>
      </c>
      <c r="F3236" s="0" t="n">
        <v>3.984</v>
      </c>
      <c r="G3236" s="0" t="n">
        <v>1.3944</v>
      </c>
      <c r="H3236" s="0" t="n">
        <v>0.2</v>
      </c>
      <c r="I3236" s="7" t="n">
        <f aca="false">YEAR(B3236)</f>
        <v>2016</v>
      </c>
      <c r="J3236" s="0" t="str">
        <f aca="false">I3236&amp;"-Q"&amp;ROUNDUP(MONTH(B3236)/3,0)</f>
        <v>2016-Q2</v>
      </c>
    </row>
    <row r="3237" customFormat="false" ht="15" hidden="false" customHeight="false" outlineLevel="0" collapsed="false">
      <c r="A3237" s="0" t="s">
        <v>1686</v>
      </c>
      <c r="B3237" s="6" t="n">
        <v>42384</v>
      </c>
      <c r="C3237" s="7" t="s">
        <v>55</v>
      </c>
      <c r="D3237" s="7" t="s">
        <v>154</v>
      </c>
      <c r="E3237" s="7" t="s">
        <v>31</v>
      </c>
      <c r="F3237" s="0" t="n">
        <v>181.797</v>
      </c>
      <c r="G3237" s="0" t="n">
        <v>-15.5826</v>
      </c>
      <c r="H3237" s="0" t="n">
        <v>0.3</v>
      </c>
      <c r="I3237" s="7" t="n">
        <f aca="false">YEAR(B3237)</f>
        <v>2016</v>
      </c>
      <c r="J3237" s="0" t="str">
        <f aca="false">I3237&amp;"-Q"&amp;ROUNDUP(MONTH(B3237)/3,0)</f>
        <v>2016-Q1</v>
      </c>
    </row>
    <row r="3238" customFormat="false" ht="15" hidden="false" customHeight="false" outlineLevel="0" collapsed="false">
      <c r="A3238" s="0" t="s">
        <v>1687</v>
      </c>
      <c r="B3238" s="6" t="n">
        <v>42492</v>
      </c>
      <c r="C3238" s="7" t="s">
        <v>55</v>
      </c>
      <c r="D3238" s="7" t="s">
        <v>76</v>
      </c>
      <c r="E3238" s="7" t="s">
        <v>35</v>
      </c>
      <c r="F3238" s="0" t="n">
        <v>44.94</v>
      </c>
      <c r="G3238" s="0" t="n">
        <v>12.5832</v>
      </c>
      <c r="H3238" s="0" t="n">
        <v>0</v>
      </c>
      <c r="I3238" s="7" t="n">
        <f aca="false">YEAR(B3238)</f>
        <v>2016</v>
      </c>
      <c r="J3238" s="0" t="str">
        <f aca="false">I3238&amp;"-Q"&amp;ROUNDUP(MONTH(B3238)/3,0)</f>
        <v>2016-Q2</v>
      </c>
    </row>
    <row r="3239" customFormat="false" ht="15" hidden="false" customHeight="false" outlineLevel="0" collapsed="false">
      <c r="A3239" s="0" t="s">
        <v>1687</v>
      </c>
      <c r="B3239" s="6" t="n">
        <v>42492</v>
      </c>
      <c r="C3239" s="7" t="s">
        <v>55</v>
      </c>
      <c r="D3239" s="7" t="s">
        <v>76</v>
      </c>
      <c r="E3239" s="7" t="s">
        <v>35</v>
      </c>
      <c r="F3239" s="0" t="n">
        <v>45.576</v>
      </c>
      <c r="G3239" s="0" t="n">
        <v>15.9516</v>
      </c>
      <c r="H3239" s="0" t="n">
        <v>0.2</v>
      </c>
      <c r="I3239" s="7" t="n">
        <f aca="false">YEAR(B3239)</f>
        <v>2016</v>
      </c>
      <c r="J3239" s="0" t="str">
        <f aca="false">I3239&amp;"-Q"&amp;ROUNDUP(MONTH(B3239)/3,0)</f>
        <v>2016-Q2</v>
      </c>
    </row>
    <row r="3240" customFormat="false" ht="15" hidden="false" customHeight="false" outlineLevel="0" collapsed="false">
      <c r="A3240" s="0" t="s">
        <v>1688</v>
      </c>
      <c r="B3240" s="6" t="n">
        <v>42694</v>
      </c>
      <c r="C3240" s="7" t="s">
        <v>45</v>
      </c>
      <c r="D3240" s="7" t="s">
        <v>46</v>
      </c>
      <c r="E3240" s="7" t="s">
        <v>31</v>
      </c>
      <c r="F3240" s="0" t="n">
        <v>318.43</v>
      </c>
      <c r="G3240" s="0" t="n">
        <v>-77.333</v>
      </c>
      <c r="H3240" s="0" t="n">
        <v>0.3</v>
      </c>
      <c r="I3240" s="7" t="n">
        <f aca="false">YEAR(B3240)</f>
        <v>2016</v>
      </c>
      <c r="J3240" s="0" t="str">
        <f aca="false">I3240&amp;"-Q"&amp;ROUNDUP(MONTH(B3240)/3,0)</f>
        <v>2016-Q4</v>
      </c>
    </row>
    <row r="3241" customFormat="false" ht="15" hidden="false" customHeight="false" outlineLevel="0" collapsed="false">
      <c r="A3241" s="0" t="s">
        <v>1688</v>
      </c>
      <c r="B3241" s="6" t="n">
        <v>42694</v>
      </c>
      <c r="C3241" s="7" t="s">
        <v>45</v>
      </c>
      <c r="D3241" s="7" t="s">
        <v>46</v>
      </c>
      <c r="E3241" s="7" t="s">
        <v>39</v>
      </c>
      <c r="F3241" s="0" t="n">
        <v>122.92</v>
      </c>
      <c r="G3241" s="0" t="n">
        <v>46.095</v>
      </c>
      <c r="H3241" s="0" t="n">
        <v>0.2</v>
      </c>
      <c r="I3241" s="7" t="n">
        <f aca="false">YEAR(B3241)</f>
        <v>2016</v>
      </c>
      <c r="J3241" s="0" t="str">
        <f aca="false">I3241&amp;"-Q"&amp;ROUNDUP(MONTH(B3241)/3,0)</f>
        <v>2016-Q4</v>
      </c>
    </row>
    <row r="3242" customFormat="false" ht="15" hidden="false" customHeight="false" outlineLevel="0" collapsed="false">
      <c r="A3242" s="0" t="s">
        <v>1688</v>
      </c>
      <c r="B3242" s="6" t="n">
        <v>42694</v>
      </c>
      <c r="C3242" s="7" t="s">
        <v>45</v>
      </c>
      <c r="D3242" s="7" t="s">
        <v>46</v>
      </c>
      <c r="E3242" s="7" t="s">
        <v>31</v>
      </c>
      <c r="F3242" s="0" t="n">
        <v>7.068</v>
      </c>
      <c r="G3242" s="0" t="n">
        <v>-2.8272</v>
      </c>
      <c r="H3242" s="0" t="n">
        <v>0.6</v>
      </c>
      <c r="I3242" s="7" t="n">
        <f aca="false">YEAR(B3242)</f>
        <v>2016</v>
      </c>
      <c r="J3242" s="0" t="str">
        <f aca="false">I3242&amp;"-Q"&amp;ROUNDUP(MONTH(B3242)/3,0)</f>
        <v>2016-Q4</v>
      </c>
    </row>
    <row r="3243" customFormat="false" ht="15" hidden="false" customHeight="false" outlineLevel="0" collapsed="false">
      <c r="A3243" s="0" t="s">
        <v>1689</v>
      </c>
      <c r="B3243" s="6" t="n">
        <v>42401</v>
      </c>
      <c r="C3243" s="7" t="s">
        <v>29</v>
      </c>
      <c r="D3243" s="7" t="s">
        <v>83</v>
      </c>
      <c r="E3243" s="7" t="s">
        <v>35</v>
      </c>
      <c r="F3243" s="0" t="n">
        <v>56.45</v>
      </c>
      <c r="G3243" s="0" t="n">
        <v>14.677</v>
      </c>
      <c r="H3243" s="0" t="n">
        <v>0</v>
      </c>
      <c r="I3243" s="7" t="n">
        <f aca="false">YEAR(B3243)</f>
        <v>2016</v>
      </c>
      <c r="J3243" s="0" t="str">
        <f aca="false">I3243&amp;"-Q"&amp;ROUNDUP(MONTH(B3243)/3,0)</f>
        <v>2016-Q1</v>
      </c>
    </row>
    <row r="3244" customFormat="false" ht="15" hidden="false" customHeight="false" outlineLevel="0" collapsed="false">
      <c r="A3244" s="0" t="s">
        <v>1690</v>
      </c>
      <c r="B3244" s="6" t="n">
        <v>42825</v>
      </c>
      <c r="C3244" s="7" t="s">
        <v>45</v>
      </c>
      <c r="D3244" s="7" t="s">
        <v>64</v>
      </c>
      <c r="E3244" s="7" t="s">
        <v>35</v>
      </c>
      <c r="F3244" s="0" t="n">
        <v>13.468</v>
      </c>
      <c r="G3244" s="0" t="n">
        <v>-22.8956</v>
      </c>
      <c r="H3244" s="0" t="n">
        <v>0.8</v>
      </c>
      <c r="I3244" s="7" t="n">
        <f aca="false">YEAR(B3244)</f>
        <v>2017</v>
      </c>
      <c r="J3244" s="0" t="str">
        <f aca="false">I3244&amp;"-Q"&amp;ROUNDUP(MONTH(B3244)/3,0)</f>
        <v>2017-Q1</v>
      </c>
    </row>
    <row r="3245" customFormat="false" ht="15" hidden="false" customHeight="false" outlineLevel="0" collapsed="false">
      <c r="A3245" s="0" t="s">
        <v>1691</v>
      </c>
      <c r="B3245" s="6" t="n">
        <v>43070</v>
      </c>
      <c r="C3245" s="7" t="s">
        <v>45</v>
      </c>
      <c r="D3245" s="7" t="s">
        <v>46</v>
      </c>
      <c r="E3245" s="7" t="s">
        <v>39</v>
      </c>
      <c r="F3245" s="0" t="n">
        <v>219.8</v>
      </c>
      <c r="G3245" s="0" t="n">
        <v>24.7275</v>
      </c>
      <c r="H3245" s="0" t="n">
        <v>0.2</v>
      </c>
      <c r="I3245" s="7" t="n">
        <f aca="false">YEAR(B3245)</f>
        <v>2017</v>
      </c>
      <c r="J3245" s="0" t="str">
        <f aca="false">I3245&amp;"-Q"&amp;ROUNDUP(MONTH(B3245)/3,0)</f>
        <v>2017-Q4</v>
      </c>
    </row>
    <row r="3246" customFormat="false" ht="15" hidden="false" customHeight="false" outlineLevel="0" collapsed="false">
      <c r="A3246" s="0" t="s">
        <v>1691</v>
      </c>
      <c r="B3246" s="6" t="n">
        <v>43070</v>
      </c>
      <c r="C3246" s="7" t="s">
        <v>45</v>
      </c>
      <c r="D3246" s="7" t="s">
        <v>46</v>
      </c>
      <c r="E3246" s="7" t="s">
        <v>31</v>
      </c>
      <c r="F3246" s="0" t="n">
        <v>317.058</v>
      </c>
      <c r="G3246" s="0" t="n">
        <v>-18.1176</v>
      </c>
      <c r="H3246" s="0" t="n">
        <v>0.3</v>
      </c>
      <c r="I3246" s="7" t="n">
        <f aca="false">YEAR(B3246)</f>
        <v>2017</v>
      </c>
      <c r="J3246" s="0" t="str">
        <f aca="false">I3246&amp;"-Q"&amp;ROUNDUP(MONTH(B3246)/3,0)</f>
        <v>2017-Q4</v>
      </c>
    </row>
    <row r="3247" customFormat="false" ht="15" hidden="false" customHeight="false" outlineLevel="0" collapsed="false">
      <c r="A3247" s="0" t="s">
        <v>1692</v>
      </c>
      <c r="B3247" s="6" t="n">
        <v>43079</v>
      </c>
      <c r="C3247" s="7" t="s">
        <v>33</v>
      </c>
      <c r="D3247" s="7" t="s">
        <v>43</v>
      </c>
      <c r="E3247" s="7" t="s">
        <v>39</v>
      </c>
      <c r="F3247" s="0" t="n">
        <v>49.08</v>
      </c>
      <c r="G3247" s="0" t="n">
        <v>4.908</v>
      </c>
      <c r="H3247" s="0" t="n">
        <v>0</v>
      </c>
      <c r="I3247" s="7" t="n">
        <f aca="false">YEAR(B3247)</f>
        <v>2017</v>
      </c>
      <c r="J3247" s="0" t="str">
        <f aca="false">I3247&amp;"-Q"&amp;ROUNDUP(MONTH(B3247)/3,0)</f>
        <v>2017-Q4</v>
      </c>
    </row>
    <row r="3248" customFormat="false" ht="15" hidden="false" customHeight="false" outlineLevel="0" collapsed="false">
      <c r="A3248" s="0" t="s">
        <v>1692</v>
      </c>
      <c r="B3248" s="6" t="n">
        <v>43079</v>
      </c>
      <c r="C3248" s="7" t="s">
        <v>33</v>
      </c>
      <c r="D3248" s="7" t="s">
        <v>43</v>
      </c>
      <c r="E3248" s="7" t="s">
        <v>35</v>
      </c>
      <c r="F3248" s="0" t="n">
        <v>324.9</v>
      </c>
      <c r="G3248" s="0" t="n">
        <v>38.988</v>
      </c>
      <c r="H3248" s="0" t="n">
        <v>0</v>
      </c>
      <c r="I3248" s="7" t="n">
        <f aca="false">YEAR(B3248)</f>
        <v>2017</v>
      </c>
      <c r="J3248" s="0" t="str">
        <f aca="false">I3248&amp;"-Q"&amp;ROUNDUP(MONTH(B3248)/3,0)</f>
        <v>2017-Q4</v>
      </c>
    </row>
    <row r="3249" customFormat="false" ht="15" hidden="false" customHeight="false" outlineLevel="0" collapsed="false">
      <c r="A3249" s="0" t="s">
        <v>1692</v>
      </c>
      <c r="B3249" s="6" t="n">
        <v>43079</v>
      </c>
      <c r="C3249" s="7" t="s">
        <v>33</v>
      </c>
      <c r="D3249" s="7" t="s">
        <v>43</v>
      </c>
      <c r="E3249" s="7" t="s">
        <v>35</v>
      </c>
      <c r="F3249" s="0" t="n">
        <v>18.24</v>
      </c>
      <c r="G3249" s="0" t="n">
        <v>5.2896</v>
      </c>
      <c r="H3249" s="0" t="n">
        <v>0</v>
      </c>
      <c r="I3249" s="7" t="n">
        <f aca="false">YEAR(B3249)</f>
        <v>2017</v>
      </c>
      <c r="J3249" s="0" t="str">
        <f aca="false">I3249&amp;"-Q"&amp;ROUNDUP(MONTH(B3249)/3,0)</f>
        <v>2017-Q4</v>
      </c>
    </row>
    <row r="3250" customFormat="false" ht="15" hidden="false" customHeight="false" outlineLevel="0" collapsed="false">
      <c r="A3250" s="0" t="s">
        <v>1693</v>
      </c>
      <c r="B3250" s="6" t="n">
        <v>42630</v>
      </c>
      <c r="C3250" s="7" t="s">
        <v>33</v>
      </c>
      <c r="D3250" s="7" t="s">
        <v>43</v>
      </c>
      <c r="E3250" s="7" t="s">
        <v>31</v>
      </c>
      <c r="F3250" s="0" t="n">
        <v>113.888</v>
      </c>
      <c r="G3250" s="0" t="n">
        <v>9.9652</v>
      </c>
      <c r="H3250" s="0" t="n">
        <v>0.2</v>
      </c>
      <c r="I3250" s="7" t="n">
        <f aca="false">YEAR(B3250)</f>
        <v>2016</v>
      </c>
      <c r="J3250" s="0" t="str">
        <f aca="false">I3250&amp;"-Q"&amp;ROUNDUP(MONTH(B3250)/3,0)</f>
        <v>2016-Q3</v>
      </c>
    </row>
    <row r="3251" customFormat="false" ht="15" hidden="false" customHeight="false" outlineLevel="0" collapsed="false">
      <c r="A3251" s="0" t="s">
        <v>1693</v>
      </c>
      <c r="B3251" s="6" t="n">
        <v>42630</v>
      </c>
      <c r="C3251" s="7" t="s">
        <v>33</v>
      </c>
      <c r="D3251" s="7" t="s">
        <v>43</v>
      </c>
      <c r="E3251" s="7" t="s">
        <v>39</v>
      </c>
      <c r="F3251" s="0" t="n">
        <v>105.584</v>
      </c>
      <c r="G3251" s="0" t="n">
        <v>7.9188</v>
      </c>
      <c r="H3251" s="0" t="n">
        <v>0.2</v>
      </c>
      <c r="I3251" s="7" t="n">
        <f aca="false">YEAR(B3251)</f>
        <v>2016</v>
      </c>
      <c r="J3251" s="0" t="str">
        <f aca="false">I3251&amp;"-Q"&amp;ROUNDUP(MONTH(B3251)/3,0)</f>
        <v>2016-Q3</v>
      </c>
    </row>
    <row r="3252" customFormat="false" ht="15" hidden="false" customHeight="false" outlineLevel="0" collapsed="false">
      <c r="A3252" s="0" t="s">
        <v>1694</v>
      </c>
      <c r="B3252" s="6" t="n">
        <v>42727</v>
      </c>
      <c r="C3252" s="7" t="s">
        <v>45</v>
      </c>
      <c r="D3252" s="7" t="s">
        <v>70</v>
      </c>
      <c r="E3252" s="7" t="s">
        <v>35</v>
      </c>
      <c r="F3252" s="0" t="n">
        <v>24.85</v>
      </c>
      <c r="G3252" s="0" t="n">
        <v>11.6795</v>
      </c>
      <c r="H3252" s="0" t="n">
        <v>0</v>
      </c>
      <c r="I3252" s="7" t="n">
        <f aca="false">YEAR(B3252)</f>
        <v>2016</v>
      </c>
      <c r="J3252" s="0" t="str">
        <f aca="false">I3252&amp;"-Q"&amp;ROUNDUP(MONTH(B3252)/3,0)</f>
        <v>2016-Q4</v>
      </c>
    </row>
    <row r="3253" customFormat="false" ht="15" hidden="false" customHeight="false" outlineLevel="0" collapsed="false">
      <c r="A3253" s="0" t="s">
        <v>1695</v>
      </c>
      <c r="B3253" s="6" t="n">
        <v>42842</v>
      </c>
      <c r="C3253" s="7" t="s">
        <v>55</v>
      </c>
      <c r="D3253" s="7" t="s">
        <v>56</v>
      </c>
      <c r="E3253" s="7" t="s">
        <v>31</v>
      </c>
      <c r="F3253" s="0" t="n">
        <v>60.312</v>
      </c>
      <c r="G3253" s="0" t="n">
        <v>5.2773</v>
      </c>
      <c r="H3253" s="0" t="n">
        <v>0.2</v>
      </c>
      <c r="I3253" s="7" t="n">
        <f aca="false">YEAR(B3253)</f>
        <v>2017</v>
      </c>
      <c r="J3253" s="0" t="str">
        <f aca="false">I3253&amp;"-Q"&amp;ROUNDUP(MONTH(B3253)/3,0)</f>
        <v>2017-Q2</v>
      </c>
    </row>
    <row r="3254" customFormat="false" ht="15" hidden="false" customHeight="false" outlineLevel="0" collapsed="false">
      <c r="A3254" s="0" t="s">
        <v>1696</v>
      </c>
      <c r="B3254" s="6" t="n">
        <v>43035</v>
      </c>
      <c r="C3254" s="7" t="s">
        <v>45</v>
      </c>
      <c r="D3254" s="7" t="s">
        <v>64</v>
      </c>
      <c r="E3254" s="7" t="s">
        <v>35</v>
      </c>
      <c r="F3254" s="0" t="n">
        <v>7.056</v>
      </c>
      <c r="G3254" s="0" t="n">
        <v>2.205</v>
      </c>
      <c r="H3254" s="0" t="n">
        <v>0.2</v>
      </c>
      <c r="I3254" s="7" t="n">
        <f aca="false">YEAR(B3254)</f>
        <v>2017</v>
      </c>
      <c r="J3254" s="0" t="str">
        <f aca="false">I3254&amp;"-Q"&amp;ROUNDUP(MONTH(B3254)/3,0)</f>
        <v>2017-Q4</v>
      </c>
    </row>
    <row r="3255" customFormat="false" ht="15" hidden="false" customHeight="false" outlineLevel="0" collapsed="false">
      <c r="A3255" s="0" t="s">
        <v>1696</v>
      </c>
      <c r="B3255" s="6" t="n">
        <v>43035</v>
      </c>
      <c r="C3255" s="7" t="s">
        <v>45</v>
      </c>
      <c r="D3255" s="7" t="s">
        <v>64</v>
      </c>
      <c r="E3255" s="7" t="s">
        <v>39</v>
      </c>
      <c r="F3255" s="0" t="n">
        <v>27.184</v>
      </c>
      <c r="G3255" s="0" t="n">
        <v>2.0388</v>
      </c>
      <c r="H3255" s="0" t="n">
        <v>0.2</v>
      </c>
      <c r="I3255" s="7" t="n">
        <f aca="false">YEAR(B3255)</f>
        <v>2017</v>
      </c>
      <c r="J3255" s="0" t="str">
        <f aca="false">I3255&amp;"-Q"&amp;ROUNDUP(MONTH(B3255)/3,0)</f>
        <v>2017-Q4</v>
      </c>
    </row>
    <row r="3256" customFormat="false" ht="15" hidden="false" customHeight="false" outlineLevel="0" collapsed="false">
      <c r="A3256" s="0" t="s">
        <v>1697</v>
      </c>
      <c r="B3256" s="6" t="n">
        <v>42559</v>
      </c>
      <c r="C3256" s="7" t="s">
        <v>33</v>
      </c>
      <c r="D3256" s="7" t="s">
        <v>43</v>
      </c>
      <c r="E3256" s="7" t="s">
        <v>39</v>
      </c>
      <c r="F3256" s="0" t="n">
        <v>107.984</v>
      </c>
      <c r="G3256" s="0" t="n">
        <v>9.4486</v>
      </c>
      <c r="H3256" s="0" t="n">
        <v>0.2</v>
      </c>
      <c r="I3256" s="7" t="n">
        <f aca="false">YEAR(B3256)</f>
        <v>2016</v>
      </c>
      <c r="J3256" s="0" t="str">
        <f aca="false">I3256&amp;"-Q"&amp;ROUNDUP(MONTH(B3256)/3,0)</f>
        <v>2016-Q3</v>
      </c>
    </row>
    <row r="3257" customFormat="false" ht="15" hidden="false" customHeight="false" outlineLevel="0" collapsed="false">
      <c r="A3257" s="0" t="s">
        <v>1697</v>
      </c>
      <c r="B3257" s="6" t="n">
        <v>42559</v>
      </c>
      <c r="C3257" s="7" t="s">
        <v>33</v>
      </c>
      <c r="D3257" s="7" t="s">
        <v>43</v>
      </c>
      <c r="E3257" s="7" t="s">
        <v>35</v>
      </c>
      <c r="F3257" s="0" t="n">
        <v>19.296</v>
      </c>
      <c r="G3257" s="0" t="n">
        <v>6.03</v>
      </c>
      <c r="H3257" s="0" t="n">
        <v>0.2</v>
      </c>
      <c r="I3257" s="7" t="n">
        <f aca="false">YEAR(B3257)</f>
        <v>2016</v>
      </c>
      <c r="J3257" s="0" t="str">
        <f aca="false">I3257&amp;"-Q"&amp;ROUNDUP(MONTH(B3257)/3,0)</f>
        <v>2016-Q3</v>
      </c>
    </row>
    <row r="3258" customFormat="false" ht="15" hidden="false" customHeight="false" outlineLevel="0" collapsed="false">
      <c r="A3258" s="0" t="s">
        <v>1698</v>
      </c>
      <c r="B3258" s="6" t="n">
        <v>42225</v>
      </c>
      <c r="C3258" s="7" t="s">
        <v>29</v>
      </c>
      <c r="D3258" s="7" t="s">
        <v>37</v>
      </c>
      <c r="E3258" s="7" t="s">
        <v>35</v>
      </c>
      <c r="F3258" s="0" t="n">
        <v>4.608</v>
      </c>
      <c r="G3258" s="0" t="n">
        <v>1.6704</v>
      </c>
      <c r="H3258" s="0" t="n">
        <v>0.2</v>
      </c>
      <c r="I3258" s="7" t="n">
        <f aca="false">YEAR(B3258)</f>
        <v>2015</v>
      </c>
      <c r="J3258" s="0" t="str">
        <f aca="false">I3258&amp;"-Q"&amp;ROUNDUP(MONTH(B3258)/3,0)</f>
        <v>2015-Q3</v>
      </c>
    </row>
    <row r="3259" customFormat="false" ht="15" hidden="false" customHeight="false" outlineLevel="0" collapsed="false">
      <c r="A3259" s="0" t="s">
        <v>1699</v>
      </c>
      <c r="B3259" s="6" t="n">
        <v>42713</v>
      </c>
      <c r="C3259" s="7" t="s">
        <v>29</v>
      </c>
      <c r="D3259" s="7" t="s">
        <v>87</v>
      </c>
      <c r="E3259" s="7" t="s">
        <v>31</v>
      </c>
      <c r="F3259" s="0" t="n">
        <v>79.974</v>
      </c>
      <c r="G3259" s="0" t="n">
        <v>-29.3238</v>
      </c>
      <c r="H3259" s="0" t="n">
        <v>0.4</v>
      </c>
      <c r="I3259" s="7" t="n">
        <f aca="false">YEAR(B3259)</f>
        <v>2016</v>
      </c>
      <c r="J3259" s="0" t="str">
        <f aca="false">I3259&amp;"-Q"&amp;ROUNDUP(MONTH(B3259)/3,0)</f>
        <v>2016-Q4</v>
      </c>
    </row>
    <row r="3260" customFormat="false" ht="15" hidden="false" customHeight="false" outlineLevel="0" collapsed="false">
      <c r="A3260" s="0" t="s">
        <v>1699</v>
      </c>
      <c r="B3260" s="6" t="n">
        <v>42713</v>
      </c>
      <c r="C3260" s="7" t="s">
        <v>29</v>
      </c>
      <c r="D3260" s="7" t="s">
        <v>87</v>
      </c>
      <c r="E3260" s="7" t="s">
        <v>35</v>
      </c>
      <c r="F3260" s="0" t="n">
        <v>2.946</v>
      </c>
      <c r="G3260" s="0" t="n">
        <v>-2.0622</v>
      </c>
      <c r="H3260" s="0" t="n">
        <v>0.7</v>
      </c>
      <c r="I3260" s="7" t="n">
        <f aca="false">YEAR(B3260)</f>
        <v>2016</v>
      </c>
      <c r="J3260" s="0" t="str">
        <f aca="false">I3260&amp;"-Q"&amp;ROUNDUP(MONTH(B3260)/3,0)</f>
        <v>2016-Q4</v>
      </c>
    </row>
    <row r="3261" customFormat="false" ht="15" hidden="false" customHeight="false" outlineLevel="0" collapsed="false">
      <c r="A3261" s="0" t="s">
        <v>1700</v>
      </c>
      <c r="B3261" s="6" t="n">
        <v>42687</v>
      </c>
      <c r="C3261" s="7" t="s">
        <v>45</v>
      </c>
      <c r="D3261" s="7" t="s">
        <v>64</v>
      </c>
      <c r="E3261" s="7" t="s">
        <v>35</v>
      </c>
      <c r="F3261" s="0" t="n">
        <v>3.136</v>
      </c>
      <c r="G3261" s="0" t="n">
        <v>-4.704</v>
      </c>
      <c r="H3261" s="0" t="n">
        <v>0.8</v>
      </c>
      <c r="I3261" s="7" t="n">
        <f aca="false">YEAR(B3261)</f>
        <v>2016</v>
      </c>
      <c r="J3261" s="0" t="str">
        <f aca="false">I3261&amp;"-Q"&amp;ROUNDUP(MONTH(B3261)/3,0)</f>
        <v>2016-Q4</v>
      </c>
    </row>
    <row r="3262" customFormat="false" ht="15" hidden="false" customHeight="false" outlineLevel="0" collapsed="false">
      <c r="A3262" s="0" t="s">
        <v>1701</v>
      </c>
      <c r="B3262" s="6" t="n">
        <v>41957</v>
      </c>
      <c r="C3262" s="7" t="s">
        <v>45</v>
      </c>
      <c r="D3262" s="7" t="s">
        <v>46</v>
      </c>
      <c r="E3262" s="7" t="s">
        <v>35</v>
      </c>
      <c r="F3262" s="0" t="n">
        <v>20.736</v>
      </c>
      <c r="G3262" s="0" t="n">
        <v>7.2576</v>
      </c>
      <c r="H3262" s="0" t="n">
        <v>0.2</v>
      </c>
      <c r="I3262" s="7" t="n">
        <f aca="false">YEAR(B3262)</f>
        <v>2014</v>
      </c>
      <c r="J3262" s="0" t="str">
        <f aca="false">I3262&amp;"-Q"&amp;ROUNDUP(MONTH(B3262)/3,0)</f>
        <v>2014-Q4</v>
      </c>
    </row>
    <row r="3263" customFormat="false" ht="15" hidden="false" customHeight="false" outlineLevel="0" collapsed="false">
      <c r="A3263" s="0" t="s">
        <v>1702</v>
      </c>
      <c r="B3263" s="6" t="n">
        <v>41960</v>
      </c>
      <c r="C3263" s="7" t="s">
        <v>33</v>
      </c>
      <c r="D3263" s="7" t="s">
        <v>34</v>
      </c>
      <c r="E3263" s="7" t="s">
        <v>39</v>
      </c>
      <c r="F3263" s="0" t="n">
        <v>99.98</v>
      </c>
      <c r="G3263" s="0" t="n">
        <v>7.9984</v>
      </c>
      <c r="H3263" s="0" t="n">
        <v>0</v>
      </c>
      <c r="I3263" s="7" t="n">
        <f aca="false">YEAR(B3263)</f>
        <v>2014</v>
      </c>
      <c r="J3263" s="0" t="str">
        <f aca="false">I3263&amp;"-Q"&amp;ROUNDUP(MONTH(B3263)/3,0)</f>
        <v>2014-Q4</v>
      </c>
    </row>
    <row r="3264" customFormat="false" ht="15" hidden="false" customHeight="false" outlineLevel="0" collapsed="false">
      <c r="A3264" s="0" t="s">
        <v>1702</v>
      </c>
      <c r="B3264" s="6" t="n">
        <v>41960</v>
      </c>
      <c r="C3264" s="7" t="s">
        <v>33</v>
      </c>
      <c r="D3264" s="7" t="s">
        <v>34</v>
      </c>
      <c r="E3264" s="7" t="s">
        <v>35</v>
      </c>
      <c r="F3264" s="0" t="n">
        <v>733.95</v>
      </c>
      <c r="G3264" s="0" t="n">
        <v>352.296</v>
      </c>
      <c r="H3264" s="0" t="n">
        <v>0</v>
      </c>
      <c r="I3264" s="7" t="n">
        <f aca="false">YEAR(B3264)</f>
        <v>2014</v>
      </c>
      <c r="J3264" s="0" t="str">
        <f aca="false">I3264&amp;"-Q"&amp;ROUNDUP(MONTH(B3264)/3,0)</f>
        <v>2014-Q4</v>
      </c>
    </row>
    <row r="3265" customFormat="false" ht="15" hidden="false" customHeight="false" outlineLevel="0" collapsed="false">
      <c r="A3265" s="0" t="s">
        <v>1702</v>
      </c>
      <c r="B3265" s="6" t="n">
        <v>41960</v>
      </c>
      <c r="C3265" s="7" t="s">
        <v>33</v>
      </c>
      <c r="D3265" s="7" t="s">
        <v>34</v>
      </c>
      <c r="E3265" s="7" t="s">
        <v>35</v>
      </c>
      <c r="F3265" s="0" t="n">
        <v>241.44</v>
      </c>
      <c r="G3265" s="0" t="n">
        <v>72.432</v>
      </c>
      <c r="H3265" s="0" t="n">
        <v>0</v>
      </c>
      <c r="I3265" s="7" t="n">
        <f aca="false">YEAR(B3265)</f>
        <v>2014</v>
      </c>
      <c r="J3265" s="0" t="str">
        <f aca="false">I3265&amp;"-Q"&amp;ROUNDUP(MONTH(B3265)/3,0)</f>
        <v>2014-Q4</v>
      </c>
    </row>
    <row r="3266" customFormat="false" ht="15" hidden="false" customHeight="false" outlineLevel="0" collapsed="false">
      <c r="A3266" s="0" t="s">
        <v>1703</v>
      </c>
      <c r="B3266" s="6" t="n">
        <v>42433</v>
      </c>
      <c r="C3266" s="7" t="s">
        <v>29</v>
      </c>
      <c r="D3266" s="7" t="s">
        <v>37</v>
      </c>
      <c r="E3266" s="7" t="s">
        <v>35</v>
      </c>
      <c r="F3266" s="0" t="n">
        <v>10.08</v>
      </c>
      <c r="G3266" s="0" t="n">
        <v>3.528</v>
      </c>
      <c r="H3266" s="0" t="n">
        <v>0.2</v>
      </c>
      <c r="I3266" s="7" t="n">
        <f aca="false">YEAR(B3266)</f>
        <v>2016</v>
      </c>
      <c r="J3266" s="0" t="str">
        <f aca="false">I3266&amp;"-Q"&amp;ROUNDUP(MONTH(B3266)/3,0)</f>
        <v>2016-Q1</v>
      </c>
    </row>
    <row r="3267" customFormat="false" ht="15" hidden="false" customHeight="false" outlineLevel="0" collapsed="false">
      <c r="A3267" s="0" t="s">
        <v>1704</v>
      </c>
      <c r="B3267" s="6" t="n">
        <v>41923</v>
      </c>
      <c r="C3267" s="7" t="s">
        <v>55</v>
      </c>
      <c r="D3267" s="7" t="s">
        <v>56</v>
      </c>
      <c r="E3267" s="7" t="s">
        <v>35</v>
      </c>
      <c r="F3267" s="0" t="n">
        <v>281.904</v>
      </c>
      <c r="G3267" s="0" t="n">
        <v>10.5714</v>
      </c>
      <c r="H3267" s="0" t="n">
        <v>0.2</v>
      </c>
      <c r="I3267" s="7" t="n">
        <f aca="false">YEAR(B3267)</f>
        <v>2014</v>
      </c>
      <c r="J3267" s="0" t="str">
        <f aca="false">I3267&amp;"-Q"&amp;ROUNDUP(MONTH(B3267)/3,0)</f>
        <v>2014-Q4</v>
      </c>
    </row>
    <row r="3268" customFormat="false" ht="15" hidden="false" customHeight="false" outlineLevel="0" collapsed="false">
      <c r="A3268" s="0" t="s">
        <v>1704</v>
      </c>
      <c r="B3268" s="6" t="n">
        <v>41923</v>
      </c>
      <c r="C3268" s="7" t="s">
        <v>55</v>
      </c>
      <c r="D3268" s="7" t="s">
        <v>56</v>
      </c>
      <c r="E3268" s="7" t="s">
        <v>35</v>
      </c>
      <c r="F3268" s="0" t="n">
        <v>201.432</v>
      </c>
      <c r="G3268" s="0" t="n">
        <v>67.9833</v>
      </c>
      <c r="H3268" s="0" t="n">
        <v>0.2</v>
      </c>
      <c r="I3268" s="7" t="n">
        <f aca="false">YEAR(B3268)</f>
        <v>2014</v>
      </c>
      <c r="J3268" s="0" t="str">
        <f aca="false">I3268&amp;"-Q"&amp;ROUNDUP(MONTH(B3268)/3,0)</f>
        <v>2014-Q4</v>
      </c>
    </row>
    <row r="3269" customFormat="false" ht="15" hidden="false" customHeight="false" outlineLevel="0" collapsed="false">
      <c r="A3269" s="0" t="s">
        <v>1705</v>
      </c>
      <c r="B3269" s="6" t="n">
        <v>41781</v>
      </c>
      <c r="C3269" s="7" t="s">
        <v>29</v>
      </c>
      <c r="D3269" s="7" t="s">
        <v>91</v>
      </c>
      <c r="E3269" s="7" t="s">
        <v>39</v>
      </c>
      <c r="F3269" s="0" t="n">
        <v>135.98</v>
      </c>
      <c r="G3269" s="0" t="n">
        <v>33.995</v>
      </c>
      <c r="H3269" s="0" t="n">
        <v>0</v>
      </c>
      <c r="I3269" s="7" t="n">
        <f aca="false">YEAR(B3269)</f>
        <v>2014</v>
      </c>
      <c r="J3269" s="0" t="str">
        <f aca="false">I3269&amp;"-Q"&amp;ROUNDUP(MONTH(B3269)/3,0)</f>
        <v>2014-Q2</v>
      </c>
    </row>
    <row r="3270" customFormat="false" ht="15" hidden="false" customHeight="false" outlineLevel="0" collapsed="false">
      <c r="A3270" s="0" t="s">
        <v>1705</v>
      </c>
      <c r="B3270" s="6" t="n">
        <v>41781</v>
      </c>
      <c r="C3270" s="7" t="s">
        <v>29</v>
      </c>
      <c r="D3270" s="7" t="s">
        <v>91</v>
      </c>
      <c r="E3270" s="7" t="s">
        <v>39</v>
      </c>
      <c r="F3270" s="0" t="n">
        <v>44.95</v>
      </c>
      <c r="G3270" s="0" t="n">
        <v>12.586</v>
      </c>
      <c r="H3270" s="0" t="n">
        <v>0</v>
      </c>
      <c r="I3270" s="7" t="n">
        <f aca="false">YEAR(B3270)</f>
        <v>2014</v>
      </c>
      <c r="J3270" s="0" t="str">
        <f aca="false">I3270&amp;"-Q"&amp;ROUNDUP(MONTH(B3270)/3,0)</f>
        <v>2014-Q2</v>
      </c>
    </row>
    <row r="3271" customFormat="false" ht="15" hidden="false" customHeight="false" outlineLevel="0" collapsed="false">
      <c r="A3271" s="0" t="s">
        <v>1706</v>
      </c>
      <c r="B3271" s="6" t="n">
        <v>41835</v>
      </c>
      <c r="C3271" s="7" t="s">
        <v>45</v>
      </c>
      <c r="D3271" s="7" t="s">
        <v>1218</v>
      </c>
      <c r="E3271" s="7" t="s">
        <v>39</v>
      </c>
      <c r="F3271" s="0" t="n">
        <v>2.97</v>
      </c>
      <c r="G3271" s="0" t="n">
        <v>1.3068</v>
      </c>
      <c r="H3271" s="0" t="n">
        <v>0</v>
      </c>
      <c r="I3271" s="7" t="n">
        <f aca="false">YEAR(B3271)</f>
        <v>2014</v>
      </c>
      <c r="J3271" s="0" t="str">
        <f aca="false">I3271&amp;"-Q"&amp;ROUNDUP(MONTH(B3271)/3,0)</f>
        <v>2014-Q3</v>
      </c>
    </row>
    <row r="3272" customFormat="false" ht="15" hidden="false" customHeight="false" outlineLevel="0" collapsed="false">
      <c r="A3272" s="0" t="s">
        <v>1706</v>
      </c>
      <c r="B3272" s="6" t="n">
        <v>41835</v>
      </c>
      <c r="C3272" s="7" t="s">
        <v>45</v>
      </c>
      <c r="D3272" s="7" t="s">
        <v>1218</v>
      </c>
      <c r="E3272" s="7" t="s">
        <v>35</v>
      </c>
      <c r="F3272" s="0" t="n">
        <v>6.54</v>
      </c>
      <c r="G3272" s="0" t="n">
        <v>2.6814</v>
      </c>
      <c r="H3272" s="0" t="n">
        <v>0</v>
      </c>
      <c r="I3272" s="7" t="n">
        <f aca="false">YEAR(B3272)</f>
        <v>2014</v>
      </c>
      <c r="J3272" s="0" t="str">
        <f aca="false">I3272&amp;"-Q"&amp;ROUNDUP(MONTH(B3272)/3,0)</f>
        <v>2014-Q3</v>
      </c>
    </row>
    <row r="3273" customFormat="false" ht="15" hidden="false" customHeight="false" outlineLevel="0" collapsed="false">
      <c r="A3273" s="0" t="s">
        <v>1707</v>
      </c>
      <c r="B3273" s="6" t="n">
        <v>42365</v>
      </c>
      <c r="C3273" s="7" t="s">
        <v>33</v>
      </c>
      <c r="D3273" s="7" t="s">
        <v>34</v>
      </c>
      <c r="E3273" s="7" t="s">
        <v>39</v>
      </c>
      <c r="F3273" s="0" t="n">
        <v>7.92</v>
      </c>
      <c r="G3273" s="0" t="n">
        <v>3.4848</v>
      </c>
      <c r="H3273" s="0" t="n">
        <v>0</v>
      </c>
      <c r="I3273" s="7" t="n">
        <f aca="false">YEAR(B3273)</f>
        <v>2015</v>
      </c>
      <c r="J3273" s="0" t="str">
        <f aca="false">I3273&amp;"-Q"&amp;ROUNDUP(MONTH(B3273)/3,0)</f>
        <v>2015-Q4</v>
      </c>
    </row>
    <row r="3274" customFormat="false" ht="15" hidden="false" customHeight="false" outlineLevel="0" collapsed="false">
      <c r="A3274" s="0" t="s">
        <v>1708</v>
      </c>
      <c r="B3274" s="6" t="n">
        <v>42044</v>
      </c>
      <c r="C3274" s="7" t="s">
        <v>33</v>
      </c>
      <c r="D3274" s="7" t="s">
        <v>34</v>
      </c>
      <c r="E3274" s="7" t="s">
        <v>31</v>
      </c>
      <c r="F3274" s="0" t="n">
        <v>203.92</v>
      </c>
      <c r="G3274" s="0" t="n">
        <v>22.941</v>
      </c>
      <c r="H3274" s="0" t="n">
        <v>0.2</v>
      </c>
      <c r="I3274" s="7" t="n">
        <f aca="false">YEAR(B3274)</f>
        <v>2015</v>
      </c>
      <c r="J3274" s="0" t="str">
        <f aca="false">I3274&amp;"-Q"&amp;ROUNDUP(MONTH(B3274)/3,0)</f>
        <v>2015-Q1</v>
      </c>
    </row>
    <row r="3275" customFormat="false" ht="15" hidden="false" customHeight="false" outlineLevel="0" collapsed="false">
      <c r="A3275" s="0" t="s">
        <v>1709</v>
      </c>
      <c r="B3275" s="6" t="n">
        <v>42863</v>
      </c>
      <c r="C3275" s="7" t="s">
        <v>33</v>
      </c>
      <c r="D3275" s="7" t="s">
        <v>34</v>
      </c>
      <c r="E3275" s="7" t="s">
        <v>39</v>
      </c>
      <c r="F3275" s="0" t="n">
        <v>3359.952</v>
      </c>
      <c r="G3275" s="0" t="n">
        <v>1049.985</v>
      </c>
      <c r="H3275" s="0" t="n">
        <v>0.2</v>
      </c>
      <c r="I3275" s="7" t="n">
        <f aca="false">YEAR(B3275)</f>
        <v>2017</v>
      </c>
      <c r="J3275" s="0" t="str">
        <f aca="false">I3275&amp;"-Q"&amp;ROUNDUP(MONTH(B3275)/3,0)</f>
        <v>2017-Q2</v>
      </c>
    </row>
    <row r="3276" customFormat="false" ht="15" hidden="false" customHeight="false" outlineLevel="0" collapsed="false">
      <c r="A3276" s="0" t="s">
        <v>1710</v>
      </c>
      <c r="B3276" s="6" t="n">
        <v>43041</v>
      </c>
      <c r="C3276" s="7" t="s">
        <v>45</v>
      </c>
      <c r="D3276" s="7" t="s">
        <v>946</v>
      </c>
      <c r="E3276" s="7" t="s">
        <v>35</v>
      </c>
      <c r="F3276" s="0" t="n">
        <v>18.24</v>
      </c>
      <c r="G3276" s="0" t="n">
        <v>9.12</v>
      </c>
      <c r="H3276" s="0" t="n">
        <v>0</v>
      </c>
      <c r="I3276" s="7" t="n">
        <f aca="false">YEAR(B3276)</f>
        <v>2017</v>
      </c>
      <c r="J3276" s="0" t="str">
        <f aca="false">I3276&amp;"-Q"&amp;ROUNDUP(MONTH(B3276)/3,0)</f>
        <v>2017-Q4</v>
      </c>
    </row>
    <row r="3277" customFormat="false" ht="15" hidden="false" customHeight="false" outlineLevel="0" collapsed="false">
      <c r="A3277" s="0" t="s">
        <v>1710</v>
      </c>
      <c r="B3277" s="6" t="n">
        <v>43041</v>
      </c>
      <c r="C3277" s="7" t="s">
        <v>45</v>
      </c>
      <c r="D3277" s="7" t="s">
        <v>946</v>
      </c>
      <c r="E3277" s="7" t="s">
        <v>35</v>
      </c>
      <c r="F3277" s="0" t="n">
        <v>27.78</v>
      </c>
      <c r="G3277" s="0" t="n">
        <v>9.1674</v>
      </c>
      <c r="H3277" s="0" t="n">
        <v>0</v>
      </c>
      <c r="I3277" s="7" t="n">
        <f aca="false">YEAR(B3277)</f>
        <v>2017</v>
      </c>
      <c r="J3277" s="0" t="str">
        <f aca="false">I3277&amp;"-Q"&amp;ROUNDUP(MONTH(B3277)/3,0)</f>
        <v>2017-Q4</v>
      </c>
    </row>
    <row r="3278" customFormat="false" ht="15" hidden="false" customHeight="false" outlineLevel="0" collapsed="false">
      <c r="A3278" s="0" t="s">
        <v>1711</v>
      </c>
      <c r="B3278" s="6" t="n">
        <v>41734</v>
      </c>
      <c r="C3278" s="7" t="s">
        <v>29</v>
      </c>
      <c r="D3278" s="7" t="s">
        <v>83</v>
      </c>
      <c r="E3278" s="7" t="s">
        <v>35</v>
      </c>
      <c r="F3278" s="0" t="n">
        <v>22.96</v>
      </c>
      <c r="G3278" s="0" t="n">
        <v>7.5768</v>
      </c>
      <c r="H3278" s="0" t="n">
        <v>0</v>
      </c>
      <c r="I3278" s="7" t="n">
        <f aca="false">YEAR(B3278)</f>
        <v>2014</v>
      </c>
      <c r="J3278" s="0" t="str">
        <f aca="false">I3278&amp;"-Q"&amp;ROUNDUP(MONTH(B3278)/3,0)</f>
        <v>2014-Q2</v>
      </c>
    </row>
    <row r="3279" customFormat="false" ht="15" hidden="false" customHeight="false" outlineLevel="0" collapsed="false">
      <c r="A3279" s="0" t="s">
        <v>1711</v>
      </c>
      <c r="B3279" s="6" t="n">
        <v>41734</v>
      </c>
      <c r="C3279" s="7" t="s">
        <v>29</v>
      </c>
      <c r="D3279" s="7" t="s">
        <v>83</v>
      </c>
      <c r="E3279" s="7" t="s">
        <v>39</v>
      </c>
      <c r="F3279" s="0" t="n">
        <v>28.99</v>
      </c>
      <c r="G3279" s="0" t="n">
        <v>8.4071</v>
      </c>
      <c r="H3279" s="0" t="n">
        <v>0</v>
      </c>
      <c r="I3279" s="7" t="n">
        <f aca="false">YEAR(B3279)</f>
        <v>2014</v>
      </c>
      <c r="J3279" s="0" t="str">
        <f aca="false">I3279&amp;"-Q"&amp;ROUNDUP(MONTH(B3279)/3,0)</f>
        <v>2014-Q2</v>
      </c>
    </row>
    <row r="3280" customFormat="false" ht="15" hidden="false" customHeight="false" outlineLevel="0" collapsed="false">
      <c r="A3280" s="0" t="s">
        <v>1711</v>
      </c>
      <c r="B3280" s="6" t="n">
        <v>41734</v>
      </c>
      <c r="C3280" s="7" t="s">
        <v>29</v>
      </c>
      <c r="D3280" s="7" t="s">
        <v>83</v>
      </c>
      <c r="E3280" s="7" t="s">
        <v>35</v>
      </c>
      <c r="F3280" s="0" t="n">
        <v>12.96</v>
      </c>
      <c r="G3280" s="0" t="n">
        <v>6.3504</v>
      </c>
      <c r="H3280" s="0" t="n">
        <v>0</v>
      </c>
      <c r="I3280" s="7" t="n">
        <f aca="false">YEAR(B3280)</f>
        <v>2014</v>
      </c>
      <c r="J3280" s="0" t="str">
        <f aca="false">I3280&amp;"-Q"&amp;ROUNDUP(MONTH(B3280)/3,0)</f>
        <v>2014-Q2</v>
      </c>
    </row>
    <row r="3281" customFormat="false" ht="15" hidden="false" customHeight="false" outlineLevel="0" collapsed="false">
      <c r="A3281" s="0" t="s">
        <v>1711</v>
      </c>
      <c r="B3281" s="6" t="n">
        <v>41734</v>
      </c>
      <c r="C3281" s="7" t="s">
        <v>29</v>
      </c>
      <c r="D3281" s="7" t="s">
        <v>83</v>
      </c>
      <c r="E3281" s="7" t="s">
        <v>35</v>
      </c>
      <c r="F3281" s="0" t="n">
        <v>22.96</v>
      </c>
      <c r="G3281" s="0" t="n">
        <v>6.6584</v>
      </c>
      <c r="H3281" s="0" t="n">
        <v>0</v>
      </c>
      <c r="I3281" s="7" t="n">
        <f aca="false">YEAR(B3281)</f>
        <v>2014</v>
      </c>
      <c r="J3281" s="0" t="str">
        <f aca="false">I3281&amp;"-Q"&amp;ROUNDUP(MONTH(B3281)/3,0)</f>
        <v>2014-Q2</v>
      </c>
    </row>
    <row r="3282" customFormat="false" ht="15" hidden="false" customHeight="false" outlineLevel="0" collapsed="false">
      <c r="A3282" s="0" t="s">
        <v>1711</v>
      </c>
      <c r="B3282" s="6" t="n">
        <v>41734</v>
      </c>
      <c r="C3282" s="7" t="s">
        <v>29</v>
      </c>
      <c r="D3282" s="7" t="s">
        <v>83</v>
      </c>
      <c r="E3282" s="7" t="s">
        <v>35</v>
      </c>
      <c r="F3282" s="0" t="n">
        <v>4164.05</v>
      </c>
      <c r="G3282" s="0" t="n">
        <v>83.281</v>
      </c>
      <c r="H3282" s="0" t="n">
        <v>0</v>
      </c>
      <c r="I3282" s="7" t="n">
        <f aca="false">YEAR(B3282)</f>
        <v>2014</v>
      </c>
      <c r="J3282" s="0" t="str">
        <f aca="false">I3282&amp;"-Q"&amp;ROUNDUP(MONTH(B3282)/3,0)</f>
        <v>2014-Q2</v>
      </c>
    </row>
    <row r="3283" customFormat="false" ht="15" hidden="false" customHeight="false" outlineLevel="0" collapsed="false">
      <c r="A3283" s="0" t="s">
        <v>1712</v>
      </c>
      <c r="B3283" s="6" t="n">
        <v>41899</v>
      </c>
      <c r="C3283" s="7" t="s">
        <v>29</v>
      </c>
      <c r="D3283" s="7" t="s">
        <v>41</v>
      </c>
      <c r="E3283" s="7" t="s">
        <v>39</v>
      </c>
      <c r="F3283" s="0" t="n">
        <v>47.984</v>
      </c>
      <c r="G3283" s="0" t="n">
        <v>13.1956</v>
      </c>
      <c r="H3283" s="0" t="n">
        <v>0.2</v>
      </c>
      <c r="I3283" s="7" t="n">
        <f aca="false">YEAR(B3283)</f>
        <v>2014</v>
      </c>
      <c r="J3283" s="0" t="str">
        <f aca="false">I3283&amp;"-Q"&amp;ROUNDUP(MONTH(B3283)/3,0)</f>
        <v>2014-Q3</v>
      </c>
    </row>
    <row r="3284" customFormat="false" ht="15" hidden="false" customHeight="false" outlineLevel="0" collapsed="false">
      <c r="A3284" s="0" t="s">
        <v>1712</v>
      </c>
      <c r="B3284" s="6" t="n">
        <v>41899</v>
      </c>
      <c r="C3284" s="7" t="s">
        <v>29</v>
      </c>
      <c r="D3284" s="7" t="s">
        <v>41</v>
      </c>
      <c r="E3284" s="7" t="s">
        <v>35</v>
      </c>
      <c r="F3284" s="0" t="n">
        <v>4.624</v>
      </c>
      <c r="G3284" s="0" t="n">
        <v>1.6762</v>
      </c>
      <c r="H3284" s="0" t="n">
        <v>0.2</v>
      </c>
      <c r="I3284" s="7" t="n">
        <f aca="false">YEAR(B3284)</f>
        <v>2014</v>
      </c>
      <c r="J3284" s="0" t="str">
        <f aca="false">I3284&amp;"-Q"&amp;ROUNDUP(MONTH(B3284)/3,0)</f>
        <v>2014-Q3</v>
      </c>
    </row>
    <row r="3285" customFormat="false" ht="15" hidden="false" customHeight="false" outlineLevel="0" collapsed="false">
      <c r="A3285" s="0" t="s">
        <v>1713</v>
      </c>
      <c r="B3285" s="6" t="n">
        <v>41912</v>
      </c>
      <c r="C3285" s="7" t="s">
        <v>55</v>
      </c>
      <c r="D3285" s="7" t="s">
        <v>76</v>
      </c>
      <c r="E3285" s="7" t="s">
        <v>31</v>
      </c>
      <c r="F3285" s="0" t="n">
        <v>15.24</v>
      </c>
      <c r="G3285" s="0" t="n">
        <v>5.1816</v>
      </c>
      <c r="H3285" s="0" t="n">
        <v>0</v>
      </c>
      <c r="I3285" s="7" t="n">
        <f aca="false">YEAR(B3285)</f>
        <v>2014</v>
      </c>
      <c r="J3285" s="0" t="str">
        <f aca="false">I3285&amp;"-Q"&amp;ROUNDUP(MONTH(B3285)/3,0)</f>
        <v>2014-Q3</v>
      </c>
    </row>
    <row r="3286" customFormat="false" ht="15" hidden="false" customHeight="false" outlineLevel="0" collapsed="false">
      <c r="A3286" s="0" t="s">
        <v>1714</v>
      </c>
      <c r="B3286" s="6" t="n">
        <v>41894</v>
      </c>
      <c r="C3286" s="7" t="s">
        <v>55</v>
      </c>
      <c r="D3286" s="7" t="s">
        <v>116</v>
      </c>
      <c r="E3286" s="7" t="s">
        <v>35</v>
      </c>
      <c r="F3286" s="0" t="n">
        <v>63.924</v>
      </c>
      <c r="G3286" s="0" t="n">
        <v>-46.8776</v>
      </c>
      <c r="H3286" s="0" t="n">
        <v>0.7</v>
      </c>
      <c r="I3286" s="7" t="n">
        <f aca="false">YEAR(B3286)</f>
        <v>2014</v>
      </c>
      <c r="J3286" s="0" t="str">
        <f aca="false">I3286&amp;"-Q"&amp;ROUNDUP(MONTH(B3286)/3,0)</f>
        <v>2014-Q3</v>
      </c>
    </row>
    <row r="3287" customFormat="false" ht="15" hidden="false" customHeight="false" outlineLevel="0" collapsed="false">
      <c r="A3287" s="0" t="s">
        <v>1715</v>
      </c>
      <c r="B3287" s="6" t="n">
        <v>42786</v>
      </c>
      <c r="C3287" s="7" t="s">
        <v>45</v>
      </c>
      <c r="D3287" s="7" t="s">
        <v>138</v>
      </c>
      <c r="E3287" s="7" t="s">
        <v>35</v>
      </c>
      <c r="F3287" s="0" t="n">
        <v>6.56</v>
      </c>
      <c r="G3287" s="0" t="n">
        <v>1.9024</v>
      </c>
      <c r="H3287" s="0" t="n">
        <v>0</v>
      </c>
      <c r="I3287" s="7" t="n">
        <f aca="false">YEAR(B3287)</f>
        <v>2017</v>
      </c>
      <c r="J3287" s="0" t="str">
        <f aca="false">I3287&amp;"-Q"&amp;ROUNDUP(MONTH(B3287)/3,0)</f>
        <v>2017-Q1</v>
      </c>
    </row>
    <row r="3288" customFormat="false" ht="15" hidden="false" customHeight="false" outlineLevel="0" collapsed="false">
      <c r="A3288" s="0" t="s">
        <v>1715</v>
      </c>
      <c r="B3288" s="6" t="n">
        <v>42786</v>
      </c>
      <c r="C3288" s="7" t="s">
        <v>45</v>
      </c>
      <c r="D3288" s="7" t="s">
        <v>138</v>
      </c>
      <c r="E3288" s="7" t="s">
        <v>35</v>
      </c>
      <c r="F3288" s="0" t="n">
        <v>13.11</v>
      </c>
      <c r="G3288" s="0" t="n">
        <v>3.4086</v>
      </c>
      <c r="H3288" s="0" t="n">
        <v>0</v>
      </c>
      <c r="I3288" s="7" t="n">
        <f aca="false">YEAR(B3288)</f>
        <v>2017</v>
      </c>
      <c r="J3288" s="0" t="str">
        <f aca="false">I3288&amp;"-Q"&amp;ROUNDUP(MONTH(B3288)/3,0)</f>
        <v>2017-Q1</v>
      </c>
    </row>
    <row r="3289" customFormat="false" ht="15" hidden="false" customHeight="false" outlineLevel="0" collapsed="false">
      <c r="A3289" s="0" t="s">
        <v>1716</v>
      </c>
      <c r="B3289" s="6" t="n">
        <v>42351</v>
      </c>
      <c r="C3289" s="7" t="s">
        <v>33</v>
      </c>
      <c r="D3289" s="7" t="s">
        <v>34</v>
      </c>
      <c r="E3289" s="7" t="s">
        <v>39</v>
      </c>
      <c r="F3289" s="0" t="n">
        <v>494.376</v>
      </c>
      <c r="G3289" s="0" t="n">
        <v>49.4376</v>
      </c>
      <c r="H3289" s="0" t="n">
        <v>0.2</v>
      </c>
      <c r="I3289" s="7" t="n">
        <f aca="false">YEAR(B3289)</f>
        <v>2015</v>
      </c>
      <c r="J3289" s="0" t="str">
        <f aca="false">I3289&amp;"-Q"&amp;ROUNDUP(MONTH(B3289)/3,0)</f>
        <v>2015-Q4</v>
      </c>
    </row>
    <row r="3290" customFormat="false" ht="15" hidden="false" customHeight="false" outlineLevel="0" collapsed="false">
      <c r="A3290" s="0" t="s">
        <v>1716</v>
      </c>
      <c r="B3290" s="6" t="n">
        <v>42351</v>
      </c>
      <c r="C3290" s="7" t="s">
        <v>33</v>
      </c>
      <c r="D3290" s="7" t="s">
        <v>34</v>
      </c>
      <c r="E3290" s="7" t="s">
        <v>35</v>
      </c>
      <c r="F3290" s="0" t="n">
        <v>29.2</v>
      </c>
      <c r="G3290" s="0" t="n">
        <v>9.855</v>
      </c>
      <c r="H3290" s="0" t="n">
        <v>0.2</v>
      </c>
      <c r="I3290" s="7" t="n">
        <f aca="false">YEAR(B3290)</f>
        <v>2015</v>
      </c>
      <c r="J3290" s="0" t="str">
        <f aca="false">I3290&amp;"-Q"&amp;ROUNDUP(MONTH(B3290)/3,0)</f>
        <v>2015-Q4</v>
      </c>
    </row>
    <row r="3291" customFormat="false" ht="15" hidden="false" customHeight="false" outlineLevel="0" collapsed="false">
      <c r="A3291" s="0" t="s">
        <v>1716</v>
      </c>
      <c r="B3291" s="6" t="n">
        <v>42351</v>
      </c>
      <c r="C3291" s="7" t="s">
        <v>33</v>
      </c>
      <c r="D3291" s="7" t="s">
        <v>34</v>
      </c>
      <c r="E3291" s="7" t="s">
        <v>39</v>
      </c>
      <c r="F3291" s="0" t="n">
        <v>248.85</v>
      </c>
      <c r="G3291" s="0" t="n">
        <v>27.3735</v>
      </c>
      <c r="H3291" s="0" t="n">
        <v>0</v>
      </c>
      <c r="I3291" s="7" t="n">
        <f aca="false">YEAR(B3291)</f>
        <v>2015</v>
      </c>
      <c r="J3291" s="0" t="str">
        <f aca="false">I3291&amp;"-Q"&amp;ROUNDUP(MONTH(B3291)/3,0)</f>
        <v>2015-Q4</v>
      </c>
    </row>
    <row r="3292" customFormat="false" ht="15" hidden="false" customHeight="false" outlineLevel="0" collapsed="false">
      <c r="A3292" s="0" t="s">
        <v>1716</v>
      </c>
      <c r="B3292" s="6" t="n">
        <v>42351</v>
      </c>
      <c r="C3292" s="7" t="s">
        <v>33</v>
      </c>
      <c r="D3292" s="7" t="s">
        <v>34</v>
      </c>
      <c r="E3292" s="7" t="s">
        <v>39</v>
      </c>
      <c r="F3292" s="0" t="n">
        <v>36.24</v>
      </c>
      <c r="G3292" s="0" t="n">
        <v>15.2208</v>
      </c>
      <c r="H3292" s="0" t="n">
        <v>0</v>
      </c>
      <c r="I3292" s="7" t="n">
        <f aca="false">YEAR(B3292)</f>
        <v>2015</v>
      </c>
      <c r="J3292" s="0" t="str">
        <f aca="false">I3292&amp;"-Q"&amp;ROUNDUP(MONTH(B3292)/3,0)</f>
        <v>2015-Q4</v>
      </c>
    </row>
    <row r="3293" customFormat="false" ht="15" hidden="false" customHeight="false" outlineLevel="0" collapsed="false">
      <c r="A3293" s="0" t="s">
        <v>1717</v>
      </c>
      <c r="B3293" s="6" t="n">
        <v>42673</v>
      </c>
      <c r="C3293" s="7" t="s">
        <v>45</v>
      </c>
      <c r="D3293" s="7" t="s">
        <v>70</v>
      </c>
      <c r="E3293" s="7" t="s">
        <v>35</v>
      </c>
      <c r="F3293" s="0" t="n">
        <v>11.68</v>
      </c>
      <c r="G3293" s="0" t="n">
        <v>3.504</v>
      </c>
      <c r="H3293" s="0" t="n">
        <v>0</v>
      </c>
      <c r="I3293" s="7" t="n">
        <f aca="false">YEAR(B3293)</f>
        <v>2016</v>
      </c>
      <c r="J3293" s="0" t="str">
        <f aca="false">I3293&amp;"-Q"&amp;ROUNDUP(MONTH(B3293)/3,0)</f>
        <v>2016-Q4</v>
      </c>
    </row>
    <row r="3294" customFormat="false" ht="15" hidden="false" customHeight="false" outlineLevel="0" collapsed="false">
      <c r="A3294" s="0" t="s">
        <v>1718</v>
      </c>
      <c r="B3294" s="6" t="n">
        <v>41999</v>
      </c>
      <c r="C3294" s="7" t="s">
        <v>33</v>
      </c>
      <c r="D3294" s="7" t="s">
        <v>34</v>
      </c>
      <c r="E3294" s="7" t="s">
        <v>35</v>
      </c>
      <c r="F3294" s="0" t="n">
        <v>11.91</v>
      </c>
      <c r="G3294" s="0" t="n">
        <v>0.1191</v>
      </c>
      <c r="H3294" s="0" t="n">
        <v>0</v>
      </c>
      <c r="I3294" s="7" t="n">
        <f aca="false">YEAR(B3294)</f>
        <v>2014</v>
      </c>
      <c r="J3294" s="0" t="str">
        <f aca="false">I3294&amp;"-Q"&amp;ROUNDUP(MONTH(B3294)/3,0)</f>
        <v>2014-Q4</v>
      </c>
    </row>
    <row r="3295" customFormat="false" ht="15" hidden="false" customHeight="false" outlineLevel="0" collapsed="false">
      <c r="A3295" s="0" t="s">
        <v>1718</v>
      </c>
      <c r="B3295" s="6" t="n">
        <v>41999</v>
      </c>
      <c r="C3295" s="7" t="s">
        <v>33</v>
      </c>
      <c r="D3295" s="7" t="s">
        <v>34</v>
      </c>
      <c r="E3295" s="7" t="s">
        <v>31</v>
      </c>
      <c r="F3295" s="0" t="n">
        <v>3.48</v>
      </c>
      <c r="G3295" s="0" t="n">
        <v>1.1136</v>
      </c>
      <c r="H3295" s="0" t="n">
        <v>0</v>
      </c>
      <c r="I3295" s="7" t="n">
        <f aca="false">YEAR(B3295)</f>
        <v>2014</v>
      </c>
      <c r="J3295" s="0" t="str">
        <f aca="false">I3295&amp;"-Q"&amp;ROUNDUP(MONTH(B3295)/3,0)</f>
        <v>2014-Q4</v>
      </c>
    </row>
    <row r="3296" customFormat="false" ht="15" hidden="false" customHeight="false" outlineLevel="0" collapsed="false">
      <c r="A3296" s="0" t="s">
        <v>1719</v>
      </c>
      <c r="B3296" s="6" t="n">
        <v>41866</v>
      </c>
      <c r="C3296" s="7" t="s">
        <v>45</v>
      </c>
      <c r="D3296" s="7" t="s">
        <v>46</v>
      </c>
      <c r="E3296" s="7" t="s">
        <v>35</v>
      </c>
      <c r="F3296" s="0" t="n">
        <v>30.96</v>
      </c>
      <c r="G3296" s="0" t="n">
        <v>-52.632</v>
      </c>
      <c r="H3296" s="0" t="n">
        <v>0.8</v>
      </c>
      <c r="I3296" s="7" t="n">
        <f aca="false">YEAR(B3296)</f>
        <v>2014</v>
      </c>
      <c r="J3296" s="0" t="str">
        <f aca="false">I3296&amp;"-Q"&amp;ROUNDUP(MONTH(B3296)/3,0)</f>
        <v>2014-Q3</v>
      </c>
    </row>
    <row r="3297" customFormat="false" ht="15" hidden="false" customHeight="false" outlineLevel="0" collapsed="false">
      <c r="A3297" s="0" t="s">
        <v>1720</v>
      </c>
      <c r="B3297" s="6" t="n">
        <v>43009</v>
      </c>
      <c r="C3297" s="7" t="s">
        <v>55</v>
      </c>
      <c r="D3297" s="7" t="s">
        <v>76</v>
      </c>
      <c r="E3297" s="7" t="s">
        <v>39</v>
      </c>
      <c r="F3297" s="0" t="n">
        <v>1704.89</v>
      </c>
      <c r="G3297" s="0" t="n">
        <v>767.2005</v>
      </c>
      <c r="H3297" s="0" t="n">
        <v>0</v>
      </c>
      <c r="I3297" s="7" t="n">
        <f aca="false">YEAR(B3297)</f>
        <v>2017</v>
      </c>
      <c r="J3297" s="0" t="str">
        <f aca="false">I3297&amp;"-Q"&amp;ROUNDUP(MONTH(B3297)/3,0)</f>
        <v>2017-Q4</v>
      </c>
    </row>
    <row r="3298" customFormat="false" ht="15" hidden="false" customHeight="false" outlineLevel="0" collapsed="false">
      <c r="A3298" s="0" t="s">
        <v>1721</v>
      </c>
      <c r="B3298" s="6" t="n">
        <v>42147</v>
      </c>
      <c r="C3298" s="7" t="s">
        <v>33</v>
      </c>
      <c r="D3298" s="7" t="s">
        <v>81</v>
      </c>
      <c r="E3298" s="7" t="s">
        <v>35</v>
      </c>
      <c r="F3298" s="0" t="n">
        <v>19.194</v>
      </c>
      <c r="G3298" s="0" t="n">
        <v>-12.796</v>
      </c>
      <c r="H3298" s="0" t="n">
        <v>0.7</v>
      </c>
      <c r="I3298" s="7" t="n">
        <f aca="false">YEAR(B3298)</f>
        <v>2015</v>
      </c>
      <c r="J3298" s="0" t="str">
        <f aca="false">I3298&amp;"-Q"&amp;ROUNDUP(MONTH(B3298)/3,0)</f>
        <v>2015-Q2</v>
      </c>
    </row>
    <row r="3299" customFormat="false" ht="15" hidden="false" customHeight="false" outlineLevel="0" collapsed="false">
      <c r="A3299" s="0" t="s">
        <v>1721</v>
      </c>
      <c r="B3299" s="6" t="n">
        <v>42147</v>
      </c>
      <c r="C3299" s="7" t="s">
        <v>33</v>
      </c>
      <c r="D3299" s="7" t="s">
        <v>81</v>
      </c>
      <c r="E3299" s="7" t="s">
        <v>35</v>
      </c>
      <c r="F3299" s="0" t="n">
        <v>121.792</v>
      </c>
      <c r="G3299" s="0" t="n">
        <v>13.7016</v>
      </c>
      <c r="H3299" s="0" t="n">
        <v>0.2</v>
      </c>
      <c r="I3299" s="7" t="n">
        <f aca="false">YEAR(B3299)</f>
        <v>2015</v>
      </c>
      <c r="J3299" s="0" t="str">
        <f aca="false">I3299&amp;"-Q"&amp;ROUNDUP(MONTH(B3299)/3,0)</f>
        <v>2015-Q2</v>
      </c>
    </row>
    <row r="3300" customFormat="false" ht="15" hidden="false" customHeight="false" outlineLevel="0" collapsed="false">
      <c r="A3300" s="0" t="s">
        <v>1722</v>
      </c>
      <c r="B3300" s="6" t="n">
        <v>43055</v>
      </c>
      <c r="C3300" s="7" t="s">
        <v>33</v>
      </c>
      <c r="D3300" s="7" t="s">
        <v>34</v>
      </c>
      <c r="E3300" s="7" t="s">
        <v>39</v>
      </c>
      <c r="F3300" s="0" t="n">
        <v>1919.976</v>
      </c>
      <c r="G3300" s="0" t="n">
        <v>215.9973</v>
      </c>
      <c r="H3300" s="0" t="n">
        <v>0.2</v>
      </c>
      <c r="I3300" s="7" t="n">
        <f aca="false">YEAR(B3300)</f>
        <v>2017</v>
      </c>
      <c r="J3300" s="0" t="str">
        <f aca="false">I3300&amp;"-Q"&amp;ROUNDUP(MONTH(B3300)/3,0)</f>
        <v>2017-Q4</v>
      </c>
    </row>
    <row r="3301" customFormat="false" ht="15" hidden="false" customHeight="false" outlineLevel="0" collapsed="false">
      <c r="A3301" s="0" t="s">
        <v>1723</v>
      </c>
      <c r="B3301" s="6" t="n">
        <v>41961</v>
      </c>
      <c r="C3301" s="7" t="s">
        <v>55</v>
      </c>
      <c r="D3301" s="7" t="s">
        <v>56</v>
      </c>
      <c r="E3301" s="7" t="s">
        <v>35</v>
      </c>
      <c r="F3301" s="0" t="n">
        <v>50.997</v>
      </c>
      <c r="G3301" s="0" t="n">
        <v>-40.7976</v>
      </c>
      <c r="H3301" s="0" t="n">
        <v>0.7</v>
      </c>
      <c r="I3301" s="7" t="n">
        <f aca="false">YEAR(B3301)</f>
        <v>2014</v>
      </c>
      <c r="J3301" s="0" t="str">
        <f aca="false">I3301&amp;"-Q"&amp;ROUNDUP(MONTH(B3301)/3,0)</f>
        <v>2014-Q4</v>
      </c>
    </row>
    <row r="3302" customFormat="false" ht="15" hidden="false" customHeight="false" outlineLevel="0" collapsed="false">
      <c r="A3302" s="0" t="s">
        <v>1723</v>
      </c>
      <c r="B3302" s="6" t="n">
        <v>41961</v>
      </c>
      <c r="C3302" s="7" t="s">
        <v>55</v>
      </c>
      <c r="D3302" s="7" t="s">
        <v>56</v>
      </c>
      <c r="E3302" s="7" t="s">
        <v>35</v>
      </c>
      <c r="F3302" s="0" t="n">
        <v>76.792</v>
      </c>
      <c r="G3302" s="0" t="n">
        <v>-16.3183</v>
      </c>
      <c r="H3302" s="0" t="n">
        <v>0.2</v>
      </c>
      <c r="I3302" s="7" t="n">
        <f aca="false">YEAR(B3302)</f>
        <v>2014</v>
      </c>
      <c r="J3302" s="0" t="str">
        <f aca="false">I3302&amp;"-Q"&amp;ROUNDUP(MONTH(B3302)/3,0)</f>
        <v>2014-Q4</v>
      </c>
    </row>
    <row r="3303" customFormat="false" ht="15" hidden="false" customHeight="false" outlineLevel="0" collapsed="false">
      <c r="A3303" s="0" t="s">
        <v>1723</v>
      </c>
      <c r="B3303" s="6" t="n">
        <v>41961</v>
      </c>
      <c r="C3303" s="7" t="s">
        <v>55</v>
      </c>
      <c r="D3303" s="7" t="s">
        <v>56</v>
      </c>
      <c r="E3303" s="7" t="s">
        <v>39</v>
      </c>
      <c r="F3303" s="0" t="n">
        <v>539.964</v>
      </c>
      <c r="G3303" s="0" t="n">
        <v>-107.9928</v>
      </c>
      <c r="H3303" s="0" t="n">
        <v>0.4</v>
      </c>
      <c r="I3303" s="7" t="n">
        <f aca="false">YEAR(B3303)</f>
        <v>2014</v>
      </c>
      <c r="J3303" s="0" t="str">
        <f aca="false">I3303&amp;"-Q"&amp;ROUNDUP(MONTH(B3303)/3,0)</f>
        <v>2014-Q4</v>
      </c>
    </row>
    <row r="3304" customFormat="false" ht="15" hidden="false" customHeight="false" outlineLevel="0" collapsed="false">
      <c r="A3304" s="0" t="s">
        <v>1723</v>
      </c>
      <c r="B3304" s="6" t="n">
        <v>41961</v>
      </c>
      <c r="C3304" s="7" t="s">
        <v>55</v>
      </c>
      <c r="D3304" s="7" t="s">
        <v>56</v>
      </c>
      <c r="E3304" s="7" t="s">
        <v>31</v>
      </c>
      <c r="F3304" s="0" t="n">
        <v>60.312</v>
      </c>
      <c r="G3304" s="0" t="n">
        <v>5.2773</v>
      </c>
      <c r="H3304" s="0" t="n">
        <v>0.2</v>
      </c>
      <c r="I3304" s="7" t="n">
        <f aca="false">YEAR(B3304)</f>
        <v>2014</v>
      </c>
      <c r="J3304" s="0" t="str">
        <f aca="false">I3304&amp;"-Q"&amp;ROUNDUP(MONTH(B3304)/3,0)</f>
        <v>2014-Q4</v>
      </c>
    </row>
    <row r="3305" customFormat="false" ht="15" hidden="false" customHeight="false" outlineLevel="0" collapsed="false">
      <c r="A3305" s="0" t="s">
        <v>1723</v>
      </c>
      <c r="B3305" s="6" t="n">
        <v>41961</v>
      </c>
      <c r="C3305" s="7" t="s">
        <v>55</v>
      </c>
      <c r="D3305" s="7" t="s">
        <v>56</v>
      </c>
      <c r="E3305" s="7" t="s">
        <v>35</v>
      </c>
      <c r="F3305" s="0" t="n">
        <v>1.944</v>
      </c>
      <c r="G3305" s="0" t="n">
        <v>-1.4256</v>
      </c>
      <c r="H3305" s="0" t="n">
        <v>0.7</v>
      </c>
      <c r="I3305" s="7" t="n">
        <f aca="false">YEAR(B3305)</f>
        <v>2014</v>
      </c>
      <c r="J3305" s="0" t="str">
        <f aca="false">I3305&amp;"-Q"&amp;ROUNDUP(MONTH(B3305)/3,0)</f>
        <v>2014-Q4</v>
      </c>
    </row>
    <row r="3306" customFormat="false" ht="15" hidden="false" customHeight="false" outlineLevel="0" collapsed="false">
      <c r="A3306" s="0" t="s">
        <v>1724</v>
      </c>
      <c r="B3306" s="6" t="n">
        <v>42003</v>
      </c>
      <c r="C3306" s="7" t="s">
        <v>45</v>
      </c>
      <c r="D3306" s="7" t="s">
        <v>46</v>
      </c>
      <c r="E3306" s="7" t="s">
        <v>35</v>
      </c>
      <c r="F3306" s="0" t="n">
        <v>12.984</v>
      </c>
      <c r="G3306" s="0" t="n">
        <v>4.7067</v>
      </c>
      <c r="H3306" s="0" t="n">
        <v>0.2</v>
      </c>
      <c r="I3306" s="7" t="n">
        <f aca="false">YEAR(B3306)</f>
        <v>2014</v>
      </c>
      <c r="J3306" s="0" t="str">
        <f aca="false">I3306&amp;"-Q"&amp;ROUNDUP(MONTH(B3306)/3,0)</f>
        <v>2014-Q4</v>
      </c>
    </row>
    <row r="3307" customFormat="false" ht="15" hidden="false" customHeight="false" outlineLevel="0" collapsed="false">
      <c r="A3307" s="0" t="s">
        <v>1724</v>
      </c>
      <c r="B3307" s="6" t="n">
        <v>42003</v>
      </c>
      <c r="C3307" s="7" t="s">
        <v>45</v>
      </c>
      <c r="D3307" s="7" t="s">
        <v>46</v>
      </c>
      <c r="E3307" s="7" t="s">
        <v>39</v>
      </c>
      <c r="F3307" s="0" t="n">
        <v>217.584</v>
      </c>
      <c r="G3307" s="0" t="n">
        <v>19.0386</v>
      </c>
      <c r="H3307" s="0" t="n">
        <v>0.2</v>
      </c>
      <c r="I3307" s="7" t="n">
        <f aca="false">YEAR(B3307)</f>
        <v>2014</v>
      </c>
      <c r="J3307" s="0" t="str">
        <f aca="false">I3307&amp;"-Q"&amp;ROUNDUP(MONTH(B3307)/3,0)</f>
        <v>2014-Q4</v>
      </c>
    </row>
    <row r="3308" customFormat="false" ht="15" hidden="false" customHeight="false" outlineLevel="0" collapsed="false">
      <c r="A3308" s="0" t="s">
        <v>1724</v>
      </c>
      <c r="B3308" s="6" t="n">
        <v>42003</v>
      </c>
      <c r="C3308" s="7" t="s">
        <v>45</v>
      </c>
      <c r="D3308" s="7" t="s">
        <v>46</v>
      </c>
      <c r="E3308" s="7" t="s">
        <v>39</v>
      </c>
      <c r="F3308" s="0" t="n">
        <v>328.776</v>
      </c>
      <c r="G3308" s="0" t="n">
        <v>28.7679</v>
      </c>
      <c r="H3308" s="0" t="n">
        <v>0.2</v>
      </c>
      <c r="I3308" s="7" t="n">
        <f aca="false">YEAR(B3308)</f>
        <v>2014</v>
      </c>
      <c r="J3308" s="0" t="str">
        <f aca="false">I3308&amp;"-Q"&amp;ROUNDUP(MONTH(B3308)/3,0)</f>
        <v>2014-Q4</v>
      </c>
    </row>
    <row r="3309" customFormat="false" ht="15" hidden="false" customHeight="false" outlineLevel="0" collapsed="false">
      <c r="A3309" s="0" t="s">
        <v>1724</v>
      </c>
      <c r="B3309" s="6" t="n">
        <v>42003</v>
      </c>
      <c r="C3309" s="7" t="s">
        <v>45</v>
      </c>
      <c r="D3309" s="7" t="s">
        <v>46</v>
      </c>
      <c r="E3309" s="7" t="s">
        <v>35</v>
      </c>
      <c r="F3309" s="0" t="n">
        <v>2.286</v>
      </c>
      <c r="G3309" s="0" t="n">
        <v>-3.6576</v>
      </c>
      <c r="H3309" s="0" t="n">
        <v>0.8</v>
      </c>
      <c r="I3309" s="7" t="n">
        <f aca="false">YEAR(B3309)</f>
        <v>2014</v>
      </c>
      <c r="J3309" s="0" t="str">
        <f aca="false">I3309&amp;"-Q"&amp;ROUNDUP(MONTH(B3309)/3,0)</f>
        <v>2014-Q4</v>
      </c>
    </row>
    <row r="3310" customFormat="false" ht="15" hidden="false" customHeight="false" outlineLevel="0" collapsed="false">
      <c r="A3310" s="0" t="s">
        <v>1724</v>
      </c>
      <c r="B3310" s="6" t="n">
        <v>42003</v>
      </c>
      <c r="C3310" s="7" t="s">
        <v>45</v>
      </c>
      <c r="D3310" s="7" t="s">
        <v>46</v>
      </c>
      <c r="E3310" s="7" t="s">
        <v>39</v>
      </c>
      <c r="F3310" s="0" t="n">
        <v>47.984</v>
      </c>
      <c r="G3310" s="0" t="n">
        <v>14.3952</v>
      </c>
      <c r="H3310" s="0" t="n">
        <v>0.2</v>
      </c>
      <c r="I3310" s="7" t="n">
        <f aca="false">YEAR(B3310)</f>
        <v>2014</v>
      </c>
      <c r="J3310" s="0" t="str">
        <f aca="false">I3310&amp;"-Q"&amp;ROUNDUP(MONTH(B3310)/3,0)</f>
        <v>2014-Q4</v>
      </c>
    </row>
    <row r="3311" customFormat="false" ht="15" hidden="false" customHeight="false" outlineLevel="0" collapsed="false">
      <c r="A3311" s="0" t="s">
        <v>1725</v>
      </c>
      <c r="B3311" s="6" t="n">
        <v>42313</v>
      </c>
      <c r="C3311" s="7" t="s">
        <v>55</v>
      </c>
      <c r="D3311" s="7" t="s">
        <v>76</v>
      </c>
      <c r="E3311" s="7" t="s">
        <v>35</v>
      </c>
      <c r="F3311" s="0" t="n">
        <v>25.344</v>
      </c>
      <c r="G3311" s="0" t="n">
        <v>8.8704</v>
      </c>
      <c r="H3311" s="0" t="n">
        <v>0.2</v>
      </c>
      <c r="I3311" s="7" t="n">
        <f aca="false">YEAR(B3311)</f>
        <v>2015</v>
      </c>
      <c r="J3311" s="0" t="str">
        <f aca="false">I3311&amp;"-Q"&amp;ROUNDUP(MONTH(B3311)/3,0)</f>
        <v>2015-Q4</v>
      </c>
    </row>
    <row r="3312" customFormat="false" ht="15" hidden="false" customHeight="false" outlineLevel="0" collapsed="false">
      <c r="A3312" s="0" t="s">
        <v>1726</v>
      </c>
      <c r="B3312" s="6" t="n">
        <v>42630</v>
      </c>
      <c r="C3312" s="7" t="s">
        <v>55</v>
      </c>
      <c r="D3312" s="7" t="s">
        <v>76</v>
      </c>
      <c r="E3312" s="7" t="s">
        <v>35</v>
      </c>
      <c r="F3312" s="0" t="n">
        <v>232.4</v>
      </c>
      <c r="G3312" s="0" t="n">
        <v>78.435</v>
      </c>
      <c r="H3312" s="0" t="n">
        <v>0.2</v>
      </c>
      <c r="I3312" s="7" t="n">
        <f aca="false">YEAR(B3312)</f>
        <v>2016</v>
      </c>
      <c r="J3312" s="0" t="str">
        <f aca="false">I3312&amp;"-Q"&amp;ROUNDUP(MONTH(B3312)/3,0)</f>
        <v>2016-Q3</v>
      </c>
    </row>
    <row r="3313" customFormat="false" ht="15" hidden="false" customHeight="false" outlineLevel="0" collapsed="false">
      <c r="A3313" s="0" t="s">
        <v>1727</v>
      </c>
      <c r="B3313" s="6" t="n">
        <v>42449</v>
      </c>
      <c r="C3313" s="7" t="s">
        <v>29</v>
      </c>
      <c r="D3313" s="7" t="s">
        <v>265</v>
      </c>
      <c r="E3313" s="7" t="s">
        <v>31</v>
      </c>
      <c r="F3313" s="0" t="n">
        <v>86.45</v>
      </c>
      <c r="G3313" s="0" t="n">
        <v>38.038</v>
      </c>
      <c r="H3313" s="0" t="n">
        <v>0</v>
      </c>
      <c r="I3313" s="7" t="n">
        <f aca="false">YEAR(B3313)</f>
        <v>2016</v>
      </c>
      <c r="J3313" s="0" t="str">
        <f aca="false">I3313&amp;"-Q"&amp;ROUNDUP(MONTH(B3313)/3,0)</f>
        <v>2016-Q1</v>
      </c>
    </row>
    <row r="3314" customFormat="false" ht="15" hidden="false" customHeight="false" outlineLevel="0" collapsed="false">
      <c r="A3314" s="0" t="s">
        <v>1728</v>
      </c>
      <c r="B3314" s="6" t="n">
        <v>41909</v>
      </c>
      <c r="C3314" s="7" t="s">
        <v>33</v>
      </c>
      <c r="D3314" s="7" t="s">
        <v>34</v>
      </c>
      <c r="E3314" s="7" t="s">
        <v>31</v>
      </c>
      <c r="F3314" s="0" t="n">
        <v>603.92</v>
      </c>
      <c r="G3314" s="0" t="n">
        <v>45.294</v>
      </c>
      <c r="H3314" s="0" t="n">
        <v>0.2</v>
      </c>
      <c r="I3314" s="7" t="n">
        <f aca="false">YEAR(B3314)</f>
        <v>2014</v>
      </c>
      <c r="J3314" s="0" t="str">
        <f aca="false">I3314&amp;"-Q"&amp;ROUNDUP(MONTH(B3314)/3,0)</f>
        <v>2014-Q3</v>
      </c>
    </row>
    <row r="3315" customFormat="false" ht="15" hidden="false" customHeight="false" outlineLevel="0" collapsed="false">
      <c r="A3315" s="0" t="s">
        <v>1728</v>
      </c>
      <c r="B3315" s="6" t="n">
        <v>41909</v>
      </c>
      <c r="C3315" s="7" t="s">
        <v>33</v>
      </c>
      <c r="D3315" s="7" t="s">
        <v>34</v>
      </c>
      <c r="E3315" s="7" t="s">
        <v>35</v>
      </c>
      <c r="F3315" s="0" t="n">
        <v>81.98</v>
      </c>
      <c r="G3315" s="0" t="n">
        <v>40.1702</v>
      </c>
      <c r="H3315" s="0" t="n">
        <v>0</v>
      </c>
      <c r="I3315" s="7" t="n">
        <f aca="false">YEAR(B3315)</f>
        <v>2014</v>
      </c>
      <c r="J3315" s="0" t="str">
        <f aca="false">I3315&amp;"-Q"&amp;ROUNDUP(MONTH(B3315)/3,0)</f>
        <v>2014-Q3</v>
      </c>
    </row>
    <row r="3316" customFormat="false" ht="15" hidden="false" customHeight="false" outlineLevel="0" collapsed="false">
      <c r="A3316" s="0" t="s">
        <v>1729</v>
      </c>
      <c r="B3316" s="6" t="n">
        <v>43093</v>
      </c>
      <c r="C3316" s="7" t="s">
        <v>55</v>
      </c>
      <c r="D3316" s="7" t="s">
        <v>76</v>
      </c>
      <c r="E3316" s="7" t="s">
        <v>31</v>
      </c>
      <c r="F3316" s="0" t="n">
        <v>271.764</v>
      </c>
      <c r="G3316" s="0" t="n">
        <v>48.3136</v>
      </c>
      <c r="H3316" s="0" t="n">
        <v>0.1</v>
      </c>
      <c r="I3316" s="7" t="n">
        <f aca="false">YEAR(B3316)</f>
        <v>2017</v>
      </c>
      <c r="J3316" s="0" t="str">
        <f aca="false">I3316&amp;"-Q"&amp;ROUNDUP(MONTH(B3316)/3,0)</f>
        <v>2017-Q4</v>
      </c>
    </row>
    <row r="3317" customFormat="false" ht="15" hidden="false" customHeight="false" outlineLevel="0" collapsed="false">
      <c r="A3317" s="0" t="s">
        <v>1729</v>
      </c>
      <c r="B3317" s="6" t="n">
        <v>43093</v>
      </c>
      <c r="C3317" s="7" t="s">
        <v>55</v>
      </c>
      <c r="D3317" s="7" t="s">
        <v>76</v>
      </c>
      <c r="E3317" s="7" t="s">
        <v>35</v>
      </c>
      <c r="F3317" s="0" t="n">
        <v>14.376</v>
      </c>
      <c r="G3317" s="0" t="n">
        <v>4.8519</v>
      </c>
      <c r="H3317" s="0" t="n">
        <v>0.2</v>
      </c>
      <c r="I3317" s="7" t="n">
        <f aca="false">YEAR(B3317)</f>
        <v>2017</v>
      </c>
      <c r="J3317" s="0" t="str">
        <f aca="false">I3317&amp;"-Q"&amp;ROUNDUP(MONTH(B3317)/3,0)</f>
        <v>2017-Q4</v>
      </c>
    </row>
    <row r="3318" customFormat="false" ht="15" hidden="false" customHeight="false" outlineLevel="0" collapsed="false">
      <c r="A3318" s="0" t="s">
        <v>1730</v>
      </c>
      <c r="B3318" s="6" t="n">
        <v>43049</v>
      </c>
      <c r="C3318" s="7" t="s">
        <v>45</v>
      </c>
      <c r="D3318" s="7" t="s">
        <v>46</v>
      </c>
      <c r="E3318" s="7" t="s">
        <v>31</v>
      </c>
      <c r="F3318" s="0" t="n">
        <v>341.96</v>
      </c>
      <c r="G3318" s="0" t="n">
        <v>-427.45</v>
      </c>
      <c r="H3318" s="0" t="n">
        <v>0.6</v>
      </c>
      <c r="I3318" s="7" t="n">
        <f aca="false">YEAR(B3318)</f>
        <v>2017</v>
      </c>
      <c r="J3318" s="0" t="str">
        <f aca="false">I3318&amp;"-Q"&amp;ROUNDUP(MONTH(B3318)/3,0)</f>
        <v>2017-Q4</v>
      </c>
    </row>
    <row r="3319" customFormat="false" ht="15" hidden="false" customHeight="false" outlineLevel="0" collapsed="false">
      <c r="A3319" s="0" t="s">
        <v>1731</v>
      </c>
      <c r="B3319" s="6" t="n">
        <v>42258</v>
      </c>
      <c r="C3319" s="7" t="s">
        <v>33</v>
      </c>
      <c r="D3319" s="7" t="s">
        <v>34</v>
      </c>
      <c r="E3319" s="7" t="s">
        <v>35</v>
      </c>
      <c r="F3319" s="0" t="n">
        <v>181.35</v>
      </c>
      <c r="G3319" s="0" t="n">
        <v>48.9645</v>
      </c>
      <c r="H3319" s="0" t="n">
        <v>0</v>
      </c>
      <c r="I3319" s="7" t="n">
        <f aca="false">YEAR(B3319)</f>
        <v>2015</v>
      </c>
      <c r="J3319" s="0" t="str">
        <f aca="false">I3319&amp;"-Q"&amp;ROUNDUP(MONTH(B3319)/3,0)</f>
        <v>2015-Q3</v>
      </c>
    </row>
    <row r="3320" customFormat="false" ht="15" hidden="false" customHeight="false" outlineLevel="0" collapsed="false">
      <c r="A3320" s="0" t="s">
        <v>1731</v>
      </c>
      <c r="B3320" s="6" t="n">
        <v>42258</v>
      </c>
      <c r="C3320" s="7" t="s">
        <v>33</v>
      </c>
      <c r="D3320" s="7" t="s">
        <v>34</v>
      </c>
      <c r="E3320" s="7" t="s">
        <v>35</v>
      </c>
      <c r="F3320" s="0" t="n">
        <v>8.64</v>
      </c>
      <c r="G3320" s="0" t="n">
        <v>4.2336</v>
      </c>
      <c r="H3320" s="0" t="n">
        <v>0</v>
      </c>
      <c r="I3320" s="7" t="n">
        <f aca="false">YEAR(B3320)</f>
        <v>2015</v>
      </c>
      <c r="J3320" s="0" t="str">
        <f aca="false">I3320&amp;"-Q"&amp;ROUNDUP(MONTH(B3320)/3,0)</f>
        <v>2015-Q3</v>
      </c>
    </row>
    <row r="3321" customFormat="false" ht="15" hidden="false" customHeight="false" outlineLevel="0" collapsed="false">
      <c r="A3321" s="0" t="s">
        <v>1732</v>
      </c>
      <c r="B3321" s="6" t="n">
        <v>41993</v>
      </c>
      <c r="C3321" s="7" t="s">
        <v>29</v>
      </c>
      <c r="D3321" s="7" t="s">
        <v>87</v>
      </c>
      <c r="E3321" s="7" t="s">
        <v>35</v>
      </c>
      <c r="F3321" s="0" t="n">
        <v>43.512</v>
      </c>
      <c r="G3321" s="0" t="n">
        <v>3.8073</v>
      </c>
      <c r="H3321" s="0" t="n">
        <v>0.2</v>
      </c>
      <c r="I3321" s="7" t="n">
        <f aca="false">YEAR(B3321)</f>
        <v>2014</v>
      </c>
      <c r="J3321" s="0" t="str">
        <f aca="false">I3321&amp;"-Q"&amp;ROUNDUP(MONTH(B3321)/3,0)</f>
        <v>2014-Q4</v>
      </c>
    </row>
    <row r="3322" customFormat="false" ht="15" hidden="false" customHeight="false" outlineLevel="0" collapsed="false">
      <c r="A3322" s="0" t="s">
        <v>1732</v>
      </c>
      <c r="B3322" s="6" t="n">
        <v>41993</v>
      </c>
      <c r="C3322" s="7" t="s">
        <v>29</v>
      </c>
      <c r="D3322" s="7" t="s">
        <v>87</v>
      </c>
      <c r="E3322" s="7" t="s">
        <v>31</v>
      </c>
      <c r="F3322" s="0" t="n">
        <v>662.88</v>
      </c>
      <c r="G3322" s="0" t="n">
        <v>74.574</v>
      </c>
      <c r="H3322" s="0" t="n">
        <v>0.2</v>
      </c>
      <c r="I3322" s="7" t="n">
        <f aca="false">YEAR(B3322)</f>
        <v>2014</v>
      </c>
      <c r="J3322" s="0" t="str">
        <f aca="false">I3322&amp;"-Q"&amp;ROUNDUP(MONTH(B3322)/3,0)</f>
        <v>2014-Q4</v>
      </c>
    </row>
    <row r="3323" customFormat="false" ht="15" hidden="false" customHeight="false" outlineLevel="0" collapsed="false">
      <c r="A3323" s="0" t="s">
        <v>1732</v>
      </c>
      <c r="B3323" s="6" t="n">
        <v>41993</v>
      </c>
      <c r="C3323" s="7" t="s">
        <v>29</v>
      </c>
      <c r="D3323" s="7" t="s">
        <v>87</v>
      </c>
      <c r="E3323" s="7" t="s">
        <v>35</v>
      </c>
      <c r="F3323" s="0" t="n">
        <v>25.92</v>
      </c>
      <c r="G3323" s="0" t="n">
        <v>9.072</v>
      </c>
      <c r="H3323" s="0" t="n">
        <v>0.2</v>
      </c>
      <c r="I3323" s="7" t="n">
        <f aca="false">YEAR(B3323)</f>
        <v>2014</v>
      </c>
      <c r="J3323" s="0" t="str">
        <f aca="false">I3323&amp;"-Q"&amp;ROUNDUP(MONTH(B3323)/3,0)</f>
        <v>2014-Q4</v>
      </c>
    </row>
    <row r="3324" customFormat="false" ht="15" hidden="false" customHeight="false" outlineLevel="0" collapsed="false">
      <c r="A3324" s="0" t="s">
        <v>1733</v>
      </c>
      <c r="B3324" s="6" t="n">
        <v>42208</v>
      </c>
      <c r="C3324" s="7" t="s">
        <v>55</v>
      </c>
      <c r="D3324" s="7" t="s">
        <v>76</v>
      </c>
      <c r="E3324" s="7" t="s">
        <v>35</v>
      </c>
      <c r="F3324" s="0" t="n">
        <v>68.94</v>
      </c>
      <c r="G3324" s="0" t="n">
        <v>20.682</v>
      </c>
      <c r="H3324" s="0" t="n">
        <v>0</v>
      </c>
      <c r="I3324" s="7" t="n">
        <f aca="false">YEAR(B3324)</f>
        <v>2015</v>
      </c>
      <c r="J3324" s="0" t="str">
        <f aca="false">I3324&amp;"-Q"&amp;ROUNDUP(MONTH(B3324)/3,0)</f>
        <v>2015-Q3</v>
      </c>
    </row>
    <row r="3325" customFormat="false" ht="15" hidden="false" customHeight="false" outlineLevel="0" collapsed="false">
      <c r="A3325" s="0" t="s">
        <v>1733</v>
      </c>
      <c r="B3325" s="6" t="n">
        <v>42208</v>
      </c>
      <c r="C3325" s="7" t="s">
        <v>55</v>
      </c>
      <c r="D3325" s="7" t="s">
        <v>76</v>
      </c>
      <c r="E3325" s="7" t="s">
        <v>31</v>
      </c>
      <c r="F3325" s="0" t="n">
        <v>128.82</v>
      </c>
      <c r="G3325" s="0" t="n">
        <v>50.2398</v>
      </c>
      <c r="H3325" s="0" t="n">
        <v>0</v>
      </c>
      <c r="I3325" s="7" t="n">
        <f aca="false">YEAR(B3325)</f>
        <v>2015</v>
      </c>
      <c r="J3325" s="0" t="str">
        <f aca="false">I3325&amp;"-Q"&amp;ROUNDUP(MONTH(B3325)/3,0)</f>
        <v>2015-Q3</v>
      </c>
    </row>
    <row r="3326" customFormat="false" ht="15" hidden="false" customHeight="false" outlineLevel="0" collapsed="false">
      <c r="A3326" s="0" t="s">
        <v>1734</v>
      </c>
      <c r="B3326" s="6" t="n">
        <v>41954</v>
      </c>
      <c r="C3326" s="7" t="s">
        <v>45</v>
      </c>
      <c r="D3326" s="7" t="s">
        <v>46</v>
      </c>
      <c r="E3326" s="7" t="s">
        <v>35</v>
      </c>
      <c r="F3326" s="0" t="n">
        <v>896.99</v>
      </c>
      <c r="G3326" s="0" t="n">
        <v>-1480.0335</v>
      </c>
      <c r="H3326" s="0" t="n">
        <v>0.8</v>
      </c>
      <c r="I3326" s="7" t="n">
        <f aca="false">YEAR(B3326)</f>
        <v>2014</v>
      </c>
      <c r="J3326" s="0" t="str">
        <f aca="false">I3326&amp;"-Q"&amp;ROUNDUP(MONTH(B3326)/3,0)</f>
        <v>2014-Q4</v>
      </c>
    </row>
    <row r="3327" customFormat="false" ht="15" hidden="false" customHeight="false" outlineLevel="0" collapsed="false">
      <c r="A3327" s="0" t="s">
        <v>1734</v>
      </c>
      <c r="B3327" s="6" t="n">
        <v>41954</v>
      </c>
      <c r="C3327" s="7" t="s">
        <v>45</v>
      </c>
      <c r="D3327" s="7" t="s">
        <v>46</v>
      </c>
      <c r="E3327" s="7" t="s">
        <v>35</v>
      </c>
      <c r="F3327" s="0" t="n">
        <v>1.234</v>
      </c>
      <c r="G3327" s="0" t="n">
        <v>-1.9744</v>
      </c>
      <c r="H3327" s="0" t="n">
        <v>0.8</v>
      </c>
      <c r="I3327" s="7" t="n">
        <f aca="false">YEAR(B3327)</f>
        <v>2014</v>
      </c>
      <c r="J3327" s="0" t="str">
        <f aca="false">I3327&amp;"-Q"&amp;ROUNDUP(MONTH(B3327)/3,0)</f>
        <v>2014-Q4</v>
      </c>
    </row>
    <row r="3328" customFormat="false" ht="15" hidden="false" customHeight="false" outlineLevel="0" collapsed="false">
      <c r="A3328" s="0" t="s">
        <v>1734</v>
      </c>
      <c r="B3328" s="6" t="n">
        <v>41954</v>
      </c>
      <c r="C3328" s="7" t="s">
        <v>45</v>
      </c>
      <c r="D3328" s="7" t="s">
        <v>46</v>
      </c>
      <c r="E3328" s="7" t="s">
        <v>35</v>
      </c>
      <c r="F3328" s="0" t="n">
        <v>67.56</v>
      </c>
      <c r="G3328" s="0" t="n">
        <v>6.756</v>
      </c>
      <c r="H3328" s="0" t="n">
        <v>0.2</v>
      </c>
      <c r="I3328" s="7" t="n">
        <f aca="false">YEAR(B3328)</f>
        <v>2014</v>
      </c>
      <c r="J3328" s="0" t="str">
        <f aca="false">I3328&amp;"-Q"&amp;ROUNDUP(MONTH(B3328)/3,0)</f>
        <v>2014-Q4</v>
      </c>
    </row>
    <row r="3329" customFormat="false" ht="15" hidden="false" customHeight="false" outlineLevel="0" collapsed="false">
      <c r="A3329" s="0" t="s">
        <v>1734</v>
      </c>
      <c r="B3329" s="6" t="n">
        <v>41954</v>
      </c>
      <c r="C3329" s="7" t="s">
        <v>45</v>
      </c>
      <c r="D3329" s="7" t="s">
        <v>46</v>
      </c>
      <c r="E3329" s="7" t="s">
        <v>35</v>
      </c>
      <c r="F3329" s="0" t="n">
        <v>21.72</v>
      </c>
      <c r="G3329" s="0" t="n">
        <v>7.8735</v>
      </c>
      <c r="H3329" s="0" t="n">
        <v>0.2</v>
      </c>
      <c r="I3329" s="7" t="n">
        <f aca="false">YEAR(B3329)</f>
        <v>2014</v>
      </c>
      <c r="J3329" s="0" t="str">
        <f aca="false">I3329&amp;"-Q"&amp;ROUNDUP(MONTH(B3329)/3,0)</f>
        <v>2014-Q4</v>
      </c>
    </row>
    <row r="3330" customFormat="false" ht="15" hidden="false" customHeight="false" outlineLevel="0" collapsed="false">
      <c r="A3330" s="0" t="s">
        <v>1734</v>
      </c>
      <c r="B3330" s="6" t="n">
        <v>41954</v>
      </c>
      <c r="C3330" s="7" t="s">
        <v>45</v>
      </c>
      <c r="D3330" s="7" t="s">
        <v>46</v>
      </c>
      <c r="E3330" s="7" t="s">
        <v>35</v>
      </c>
      <c r="F3330" s="0" t="n">
        <v>262.336</v>
      </c>
      <c r="G3330" s="0" t="n">
        <v>95.0968</v>
      </c>
      <c r="H3330" s="0" t="n">
        <v>0.2</v>
      </c>
      <c r="I3330" s="7" t="n">
        <f aca="false">YEAR(B3330)</f>
        <v>2014</v>
      </c>
      <c r="J3330" s="0" t="str">
        <f aca="false">I3330&amp;"-Q"&amp;ROUNDUP(MONTH(B3330)/3,0)</f>
        <v>2014-Q4</v>
      </c>
    </row>
    <row r="3331" customFormat="false" ht="15" hidden="false" customHeight="false" outlineLevel="0" collapsed="false">
      <c r="A3331" s="0" t="s">
        <v>1734</v>
      </c>
      <c r="B3331" s="6" t="n">
        <v>41954</v>
      </c>
      <c r="C3331" s="7" t="s">
        <v>45</v>
      </c>
      <c r="D3331" s="7" t="s">
        <v>46</v>
      </c>
      <c r="E3331" s="7" t="s">
        <v>39</v>
      </c>
      <c r="F3331" s="0" t="n">
        <v>148.48</v>
      </c>
      <c r="G3331" s="0" t="n">
        <v>16.704</v>
      </c>
      <c r="H3331" s="0" t="n">
        <v>0.2</v>
      </c>
      <c r="I3331" s="7" t="n">
        <f aca="false">YEAR(B3331)</f>
        <v>2014</v>
      </c>
      <c r="J3331" s="0" t="str">
        <f aca="false">I3331&amp;"-Q"&amp;ROUNDUP(MONTH(B3331)/3,0)</f>
        <v>2014-Q4</v>
      </c>
    </row>
    <row r="3332" customFormat="false" ht="15" hidden="false" customHeight="false" outlineLevel="0" collapsed="false">
      <c r="A3332" s="0" t="s">
        <v>1734</v>
      </c>
      <c r="B3332" s="6" t="n">
        <v>41954</v>
      </c>
      <c r="C3332" s="7" t="s">
        <v>45</v>
      </c>
      <c r="D3332" s="7" t="s">
        <v>46</v>
      </c>
      <c r="E3332" s="7" t="s">
        <v>39</v>
      </c>
      <c r="F3332" s="0" t="n">
        <v>241.176</v>
      </c>
      <c r="G3332" s="0" t="n">
        <v>15.0735</v>
      </c>
      <c r="H3332" s="0" t="n">
        <v>0.2</v>
      </c>
      <c r="I3332" s="7" t="n">
        <f aca="false">YEAR(B3332)</f>
        <v>2014</v>
      </c>
      <c r="J3332" s="0" t="str">
        <f aca="false">I3332&amp;"-Q"&amp;ROUNDUP(MONTH(B3332)/3,0)</f>
        <v>2014-Q4</v>
      </c>
    </row>
    <row r="3333" customFormat="false" ht="15" hidden="false" customHeight="false" outlineLevel="0" collapsed="false">
      <c r="A3333" s="0" t="s">
        <v>1735</v>
      </c>
      <c r="B3333" s="6" t="n">
        <v>43083</v>
      </c>
      <c r="C3333" s="7" t="s">
        <v>45</v>
      </c>
      <c r="D3333" s="7" t="s">
        <v>64</v>
      </c>
      <c r="E3333" s="7" t="s">
        <v>39</v>
      </c>
      <c r="F3333" s="0" t="n">
        <v>227.976</v>
      </c>
      <c r="G3333" s="0" t="n">
        <v>28.497</v>
      </c>
      <c r="H3333" s="0" t="n">
        <v>0.2</v>
      </c>
      <c r="I3333" s="7" t="n">
        <f aca="false">YEAR(B3333)</f>
        <v>2017</v>
      </c>
      <c r="J3333" s="0" t="str">
        <f aca="false">I3333&amp;"-Q"&amp;ROUNDUP(MONTH(B3333)/3,0)</f>
        <v>2017-Q4</v>
      </c>
    </row>
    <row r="3334" customFormat="false" ht="15" hidden="false" customHeight="false" outlineLevel="0" collapsed="false">
      <c r="A3334" s="0" t="s">
        <v>1735</v>
      </c>
      <c r="B3334" s="6" t="n">
        <v>43083</v>
      </c>
      <c r="C3334" s="7" t="s">
        <v>45</v>
      </c>
      <c r="D3334" s="7" t="s">
        <v>64</v>
      </c>
      <c r="E3334" s="7" t="s">
        <v>39</v>
      </c>
      <c r="F3334" s="0" t="n">
        <v>52.68</v>
      </c>
      <c r="G3334" s="0" t="n">
        <v>19.755</v>
      </c>
      <c r="H3334" s="0" t="n">
        <v>0.2</v>
      </c>
      <c r="I3334" s="7" t="n">
        <f aca="false">YEAR(B3334)</f>
        <v>2017</v>
      </c>
      <c r="J3334" s="0" t="str">
        <f aca="false">I3334&amp;"-Q"&amp;ROUNDUP(MONTH(B3334)/3,0)</f>
        <v>2017-Q4</v>
      </c>
    </row>
    <row r="3335" customFormat="false" ht="15" hidden="false" customHeight="false" outlineLevel="0" collapsed="false">
      <c r="A3335" s="0" t="s">
        <v>1735</v>
      </c>
      <c r="B3335" s="6" t="n">
        <v>43083</v>
      </c>
      <c r="C3335" s="7" t="s">
        <v>45</v>
      </c>
      <c r="D3335" s="7" t="s">
        <v>64</v>
      </c>
      <c r="E3335" s="7" t="s">
        <v>31</v>
      </c>
      <c r="F3335" s="0" t="n">
        <v>2.032</v>
      </c>
      <c r="G3335" s="0" t="n">
        <v>-1.3208</v>
      </c>
      <c r="H3335" s="0" t="n">
        <v>0.6</v>
      </c>
      <c r="I3335" s="7" t="n">
        <f aca="false">YEAR(B3335)</f>
        <v>2017</v>
      </c>
      <c r="J3335" s="0" t="str">
        <f aca="false">I3335&amp;"-Q"&amp;ROUNDUP(MONTH(B3335)/3,0)</f>
        <v>2017-Q4</v>
      </c>
    </row>
    <row r="3336" customFormat="false" ht="15" hidden="false" customHeight="false" outlineLevel="0" collapsed="false">
      <c r="A3336" s="0" t="s">
        <v>1736</v>
      </c>
      <c r="B3336" s="6" t="n">
        <v>42968</v>
      </c>
      <c r="C3336" s="7" t="s">
        <v>33</v>
      </c>
      <c r="D3336" s="7" t="s">
        <v>34</v>
      </c>
      <c r="E3336" s="7" t="s">
        <v>35</v>
      </c>
      <c r="F3336" s="0" t="n">
        <v>17.12</v>
      </c>
      <c r="G3336" s="0" t="n">
        <v>4.9648</v>
      </c>
      <c r="H3336" s="0" t="n">
        <v>0</v>
      </c>
      <c r="I3336" s="7" t="n">
        <f aca="false">YEAR(B3336)</f>
        <v>2017</v>
      </c>
      <c r="J3336" s="0" t="str">
        <f aca="false">I3336&amp;"-Q"&amp;ROUNDUP(MONTH(B3336)/3,0)</f>
        <v>2017-Q3</v>
      </c>
    </row>
    <row r="3337" customFormat="false" ht="15" hidden="false" customHeight="false" outlineLevel="0" collapsed="false">
      <c r="A3337" s="0" t="s">
        <v>1736</v>
      </c>
      <c r="B3337" s="6" t="n">
        <v>42968</v>
      </c>
      <c r="C3337" s="7" t="s">
        <v>33</v>
      </c>
      <c r="D3337" s="7" t="s">
        <v>34</v>
      </c>
      <c r="E3337" s="7" t="s">
        <v>39</v>
      </c>
      <c r="F3337" s="0" t="n">
        <v>431.968</v>
      </c>
      <c r="G3337" s="0" t="n">
        <v>37.7972</v>
      </c>
      <c r="H3337" s="0" t="n">
        <v>0.2</v>
      </c>
      <c r="I3337" s="7" t="n">
        <f aca="false">YEAR(B3337)</f>
        <v>2017</v>
      </c>
      <c r="J3337" s="0" t="str">
        <f aca="false">I3337&amp;"-Q"&amp;ROUNDUP(MONTH(B3337)/3,0)</f>
        <v>2017-Q3</v>
      </c>
    </row>
    <row r="3338" customFormat="false" ht="15" hidden="false" customHeight="false" outlineLevel="0" collapsed="false">
      <c r="A3338" s="0" t="s">
        <v>1736</v>
      </c>
      <c r="B3338" s="6" t="n">
        <v>42968</v>
      </c>
      <c r="C3338" s="7" t="s">
        <v>33</v>
      </c>
      <c r="D3338" s="7" t="s">
        <v>34</v>
      </c>
      <c r="E3338" s="7" t="s">
        <v>31</v>
      </c>
      <c r="F3338" s="0" t="n">
        <v>129.92</v>
      </c>
      <c r="G3338" s="0" t="n">
        <v>10.3936</v>
      </c>
      <c r="H3338" s="0" t="n">
        <v>0</v>
      </c>
      <c r="I3338" s="7" t="n">
        <f aca="false">YEAR(B3338)</f>
        <v>2017</v>
      </c>
      <c r="J3338" s="0" t="str">
        <f aca="false">I3338&amp;"-Q"&amp;ROUNDUP(MONTH(B3338)/3,0)</f>
        <v>2017-Q3</v>
      </c>
    </row>
    <row r="3339" customFormat="false" ht="15" hidden="false" customHeight="false" outlineLevel="0" collapsed="false">
      <c r="A3339" s="0" t="s">
        <v>1736</v>
      </c>
      <c r="B3339" s="6" t="n">
        <v>42968</v>
      </c>
      <c r="C3339" s="7" t="s">
        <v>33</v>
      </c>
      <c r="D3339" s="7" t="s">
        <v>34</v>
      </c>
      <c r="E3339" s="7" t="s">
        <v>31</v>
      </c>
      <c r="F3339" s="0" t="n">
        <v>568.728</v>
      </c>
      <c r="G3339" s="0" t="n">
        <v>28.4364</v>
      </c>
      <c r="H3339" s="0" t="n">
        <v>0.2</v>
      </c>
      <c r="I3339" s="7" t="n">
        <f aca="false">YEAR(B3339)</f>
        <v>2017</v>
      </c>
      <c r="J3339" s="0" t="str">
        <f aca="false">I3339&amp;"-Q"&amp;ROUNDUP(MONTH(B3339)/3,0)</f>
        <v>2017-Q3</v>
      </c>
    </row>
    <row r="3340" customFormat="false" ht="15" hidden="false" customHeight="false" outlineLevel="0" collapsed="false">
      <c r="A3340" s="0" t="s">
        <v>1736</v>
      </c>
      <c r="B3340" s="6" t="n">
        <v>42968</v>
      </c>
      <c r="C3340" s="7" t="s">
        <v>33</v>
      </c>
      <c r="D3340" s="7" t="s">
        <v>34</v>
      </c>
      <c r="E3340" s="7" t="s">
        <v>35</v>
      </c>
      <c r="F3340" s="0" t="n">
        <v>117.144</v>
      </c>
      <c r="G3340" s="0" t="n">
        <v>42.4647</v>
      </c>
      <c r="H3340" s="0" t="n">
        <v>0.2</v>
      </c>
      <c r="I3340" s="7" t="n">
        <f aca="false">YEAR(B3340)</f>
        <v>2017</v>
      </c>
      <c r="J3340" s="0" t="str">
        <f aca="false">I3340&amp;"-Q"&amp;ROUNDUP(MONTH(B3340)/3,0)</f>
        <v>2017-Q3</v>
      </c>
    </row>
    <row r="3341" customFormat="false" ht="15" hidden="false" customHeight="false" outlineLevel="0" collapsed="false">
      <c r="A3341" s="0" t="s">
        <v>1736</v>
      </c>
      <c r="B3341" s="6" t="n">
        <v>42968</v>
      </c>
      <c r="C3341" s="7" t="s">
        <v>33</v>
      </c>
      <c r="D3341" s="7" t="s">
        <v>34</v>
      </c>
      <c r="E3341" s="7" t="s">
        <v>35</v>
      </c>
      <c r="F3341" s="0" t="n">
        <v>203.52</v>
      </c>
      <c r="G3341" s="0" t="n">
        <v>54.9504</v>
      </c>
      <c r="H3341" s="0" t="n">
        <v>0</v>
      </c>
      <c r="I3341" s="7" t="n">
        <f aca="false">YEAR(B3341)</f>
        <v>2017</v>
      </c>
      <c r="J3341" s="0" t="str">
        <f aca="false">I3341&amp;"-Q"&amp;ROUNDUP(MONTH(B3341)/3,0)</f>
        <v>2017-Q3</v>
      </c>
    </row>
    <row r="3342" customFormat="false" ht="15" hidden="false" customHeight="false" outlineLevel="0" collapsed="false">
      <c r="A3342" s="0" t="s">
        <v>1736</v>
      </c>
      <c r="B3342" s="6" t="n">
        <v>42968</v>
      </c>
      <c r="C3342" s="7" t="s">
        <v>33</v>
      </c>
      <c r="D3342" s="7" t="s">
        <v>34</v>
      </c>
      <c r="E3342" s="7" t="s">
        <v>35</v>
      </c>
      <c r="F3342" s="0" t="n">
        <v>51.75</v>
      </c>
      <c r="G3342" s="0" t="n">
        <v>24.84</v>
      </c>
      <c r="H3342" s="0" t="n">
        <v>0</v>
      </c>
      <c r="I3342" s="7" t="n">
        <f aca="false">YEAR(B3342)</f>
        <v>2017</v>
      </c>
      <c r="J3342" s="0" t="str">
        <f aca="false">I3342&amp;"-Q"&amp;ROUNDUP(MONTH(B3342)/3,0)</f>
        <v>2017-Q3</v>
      </c>
    </row>
    <row r="3343" customFormat="false" ht="15" hidden="false" customHeight="false" outlineLevel="0" collapsed="false">
      <c r="A3343" s="0" t="s">
        <v>1737</v>
      </c>
      <c r="B3343" s="6" t="n">
        <v>42609</v>
      </c>
      <c r="C3343" s="7" t="s">
        <v>55</v>
      </c>
      <c r="D3343" s="7" t="s">
        <v>225</v>
      </c>
      <c r="E3343" s="7" t="s">
        <v>35</v>
      </c>
      <c r="F3343" s="0" t="n">
        <v>122.97</v>
      </c>
      <c r="G3343" s="0" t="n">
        <v>60.2553</v>
      </c>
      <c r="H3343" s="0" t="n">
        <v>0</v>
      </c>
      <c r="I3343" s="7" t="n">
        <f aca="false">YEAR(B3343)</f>
        <v>2016</v>
      </c>
      <c r="J3343" s="0" t="str">
        <f aca="false">I3343&amp;"-Q"&amp;ROUNDUP(MONTH(B3343)/3,0)</f>
        <v>2016-Q3</v>
      </c>
    </row>
    <row r="3344" customFormat="false" ht="15" hidden="false" customHeight="false" outlineLevel="0" collapsed="false">
      <c r="A3344" s="0" t="s">
        <v>1737</v>
      </c>
      <c r="B3344" s="6" t="n">
        <v>42609</v>
      </c>
      <c r="C3344" s="7" t="s">
        <v>55</v>
      </c>
      <c r="D3344" s="7" t="s">
        <v>225</v>
      </c>
      <c r="E3344" s="7" t="s">
        <v>31</v>
      </c>
      <c r="F3344" s="0" t="n">
        <v>244.615</v>
      </c>
      <c r="G3344" s="0" t="n">
        <v>20.967</v>
      </c>
      <c r="H3344" s="0" t="n">
        <v>0.3</v>
      </c>
      <c r="I3344" s="7" t="n">
        <f aca="false">YEAR(B3344)</f>
        <v>2016</v>
      </c>
      <c r="J3344" s="0" t="str">
        <f aca="false">I3344&amp;"-Q"&amp;ROUNDUP(MONTH(B3344)/3,0)</f>
        <v>2016-Q3</v>
      </c>
    </row>
    <row r="3345" customFormat="false" ht="15" hidden="false" customHeight="false" outlineLevel="0" collapsed="false">
      <c r="A3345" s="0" t="s">
        <v>1737</v>
      </c>
      <c r="B3345" s="6" t="n">
        <v>42609</v>
      </c>
      <c r="C3345" s="7" t="s">
        <v>55</v>
      </c>
      <c r="D3345" s="7" t="s">
        <v>225</v>
      </c>
      <c r="E3345" s="7" t="s">
        <v>39</v>
      </c>
      <c r="F3345" s="0" t="n">
        <v>59.97</v>
      </c>
      <c r="G3345" s="0" t="n">
        <v>28.7856</v>
      </c>
      <c r="H3345" s="0" t="n">
        <v>0</v>
      </c>
      <c r="I3345" s="7" t="n">
        <f aca="false">YEAR(B3345)</f>
        <v>2016</v>
      </c>
      <c r="J3345" s="0" t="str">
        <f aca="false">I3345&amp;"-Q"&amp;ROUNDUP(MONTH(B3345)/3,0)</f>
        <v>2016-Q3</v>
      </c>
    </row>
    <row r="3346" customFormat="false" ht="15" hidden="false" customHeight="false" outlineLevel="0" collapsed="false">
      <c r="A3346" s="0" t="s">
        <v>1737</v>
      </c>
      <c r="B3346" s="6" t="n">
        <v>42609</v>
      </c>
      <c r="C3346" s="7" t="s">
        <v>55</v>
      </c>
      <c r="D3346" s="7" t="s">
        <v>225</v>
      </c>
      <c r="E3346" s="7" t="s">
        <v>35</v>
      </c>
      <c r="F3346" s="0" t="n">
        <v>81.54</v>
      </c>
      <c r="G3346" s="0" t="n">
        <v>36.693</v>
      </c>
      <c r="H3346" s="0" t="n">
        <v>0</v>
      </c>
      <c r="I3346" s="7" t="n">
        <f aca="false">YEAR(B3346)</f>
        <v>2016</v>
      </c>
      <c r="J3346" s="0" t="str">
        <f aca="false">I3346&amp;"-Q"&amp;ROUNDUP(MONTH(B3346)/3,0)</f>
        <v>2016-Q3</v>
      </c>
    </row>
    <row r="3347" customFormat="false" ht="15" hidden="false" customHeight="false" outlineLevel="0" collapsed="false">
      <c r="A3347" s="0" t="s">
        <v>1737</v>
      </c>
      <c r="B3347" s="6" t="n">
        <v>42609</v>
      </c>
      <c r="C3347" s="7" t="s">
        <v>55</v>
      </c>
      <c r="D3347" s="7" t="s">
        <v>225</v>
      </c>
      <c r="E3347" s="7" t="s">
        <v>35</v>
      </c>
      <c r="F3347" s="0" t="n">
        <v>11.68</v>
      </c>
      <c r="G3347" s="0" t="n">
        <v>5.256</v>
      </c>
      <c r="H3347" s="0" t="n">
        <v>0</v>
      </c>
      <c r="I3347" s="7" t="n">
        <f aca="false">YEAR(B3347)</f>
        <v>2016</v>
      </c>
      <c r="J3347" s="0" t="str">
        <f aca="false">I3347&amp;"-Q"&amp;ROUNDUP(MONTH(B3347)/3,0)</f>
        <v>2016-Q3</v>
      </c>
    </row>
    <row r="3348" customFormat="false" ht="15" hidden="false" customHeight="false" outlineLevel="0" collapsed="false">
      <c r="A3348" s="0" t="s">
        <v>1737</v>
      </c>
      <c r="B3348" s="6" t="n">
        <v>42609</v>
      </c>
      <c r="C3348" s="7" t="s">
        <v>55</v>
      </c>
      <c r="D3348" s="7" t="s">
        <v>225</v>
      </c>
      <c r="E3348" s="7" t="s">
        <v>35</v>
      </c>
      <c r="F3348" s="0" t="n">
        <v>29</v>
      </c>
      <c r="G3348" s="0" t="n">
        <v>13.92</v>
      </c>
      <c r="H3348" s="0" t="n">
        <v>0</v>
      </c>
      <c r="I3348" s="7" t="n">
        <f aca="false">YEAR(B3348)</f>
        <v>2016</v>
      </c>
      <c r="J3348" s="0" t="str">
        <f aca="false">I3348&amp;"-Q"&amp;ROUNDUP(MONTH(B3348)/3,0)</f>
        <v>2016-Q3</v>
      </c>
    </row>
    <row r="3349" customFormat="false" ht="15" hidden="false" customHeight="false" outlineLevel="0" collapsed="false">
      <c r="A3349" s="0" t="s">
        <v>1738</v>
      </c>
      <c r="B3349" s="6" t="n">
        <v>42229</v>
      </c>
      <c r="C3349" s="7" t="s">
        <v>33</v>
      </c>
      <c r="D3349" s="7" t="s">
        <v>34</v>
      </c>
      <c r="E3349" s="7" t="s">
        <v>35</v>
      </c>
      <c r="F3349" s="0" t="n">
        <v>50.8</v>
      </c>
      <c r="G3349" s="0" t="n">
        <v>13.208</v>
      </c>
      <c r="H3349" s="0" t="n">
        <v>0</v>
      </c>
      <c r="I3349" s="7" t="n">
        <f aca="false">YEAR(B3349)</f>
        <v>2015</v>
      </c>
      <c r="J3349" s="0" t="str">
        <f aca="false">I3349&amp;"-Q"&amp;ROUNDUP(MONTH(B3349)/3,0)</f>
        <v>2015-Q3</v>
      </c>
    </row>
    <row r="3350" customFormat="false" ht="15" hidden="false" customHeight="false" outlineLevel="0" collapsed="false">
      <c r="A3350" s="0" t="s">
        <v>1739</v>
      </c>
      <c r="B3350" s="6" t="n">
        <v>43044</v>
      </c>
      <c r="C3350" s="7" t="s">
        <v>45</v>
      </c>
      <c r="D3350" s="7" t="s">
        <v>64</v>
      </c>
      <c r="E3350" s="7" t="s">
        <v>35</v>
      </c>
      <c r="F3350" s="0" t="n">
        <v>16.03</v>
      </c>
      <c r="G3350" s="0" t="n">
        <v>-25.648</v>
      </c>
      <c r="H3350" s="0" t="n">
        <v>0.8</v>
      </c>
      <c r="I3350" s="7" t="n">
        <f aca="false">YEAR(B3350)</f>
        <v>2017</v>
      </c>
      <c r="J3350" s="0" t="str">
        <f aca="false">I3350&amp;"-Q"&amp;ROUNDUP(MONTH(B3350)/3,0)</f>
        <v>2017-Q4</v>
      </c>
    </row>
    <row r="3351" customFormat="false" ht="15" hidden="false" customHeight="false" outlineLevel="0" collapsed="false">
      <c r="A3351" s="0" t="s">
        <v>1740</v>
      </c>
      <c r="B3351" s="6" t="n">
        <v>42599</v>
      </c>
      <c r="C3351" s="7" t="s">
        <v>33</v>
      </c>
      <c r="D3351" s="7" t="s">
        <v>43</v>
      </c>
      <c r="E3351" s="7" t="s">
        <v>35</v>
      </c>
      <c r="F3351" s="0" t="n">
        <v>15.712</v>
      </c>
      <c r="G3351" s="0" t="n">
        <v>5.6956</v>
      </c>
      <c r="H3351" s="0" t="n">
        <v>0.2</v>
      </c>
      <c r="I3351" s="7" t="n">
        <f aca="false">YEAR(B3351)</f>
        <v>2016</v>
      </c>
      <c r="J3351" s="0" t="str">
        <f aca="false">I3351&amp;"-Q"&amp;ROUNDUP(MONTH(B3351)/3,0)</f>
        <v>2016-Q3</v>
      </c>
    </row>
    <row r="3352" customFormat="false" ht="15" hidden="false" customHeight="false" outlineLevel="0" collapsed="false">
      <c r="A3352" s="0" t="s">
        <v>1741</v>
      </c>
      <c r="B3352" s="6" t="n">
        <v>42730</v>
      </c>
      <c r="C3352" s="7" t="s">
        <v>55</v>
      </c>
      <c r="D3352" s="7" t="s">
        <v>76</v>
      </c>
      <c r="E3352" s="7" t="s">
        <v>39</v>
      </c>
      <c r="F3352" s="0" t="n">
        <v>89.97</v>
      </c>
      <c r="G3352" s="0" t="n">
        <v>18.8937</v>
      </c>
      <c r="H3352" s="0" t="n">
        <v>0</v>
      </c>
      <c r="I3352" s="7" t="n">
        <f aca="false">YEAR(B3352)</f>
        <v>2016</v>
      </c>
      <c r="J3352" s="0" t="str">
        <f aca="false">I3352&amp;"-Q"&amp;ROUNDUP(MONTH(B3352)/3,0)</f>
        <v>2016-Q4</v>
      </c>
    </row>
    <row r="3353" customFormat="false" ht="15" hidden="false" customHeight="false" outlineLevel="0" collapsed="false">
      <c r="A3353" s="0" t="s">
        <v>1742</v>
      </c>
      <c r="B3353" s="6" t="n">
        <v>41905</v>
      </c>
      <c r="C3353" s="7" t="s">
        <v>33</v>
      </c>
      <c r="D3353" s="7" t="s">
        <v>34</v>
      </c>
      <c r="E3353" s="7" t="s">
        <v>31</v>
      </c>
      <c r="F3353" s="0" t="n">
        <v>435.999</v>
      </c>
      <c r="G3353" s="0" t="n">
        <v>20.5176</v>
      </c>
      <c r="H3353" s="0" t="n">
        <v>0.15</v>
      </c>
      <c r="I3353" s="7" t="n">
        <f aca="false">YEAR(B3353)</f>
        <v>2014</v>
      </c>
      <c r="J3353" s="0" t="str">
        <f aca="false">I3353&amp;"-Q"&amp;ROUNDUP(MONTH(B3353)/3,0)</f>
        <v>2014-Q3</v>
      </c>
    </row>
    <row r="3354" customFormat="false" ht="15" hidden="false" customHeight="false" outlineLevel="0" collapsed="false">
      <c r="A3354" s="0" t="s">
        <v>1742</v>
      </c>
      <c r="B3354" s="6" t="n">
        <v>41905</v>
      </c>
      <c r="C3354" s="7" t="s">
        <v>33</v>
      </c>
      <c r="D3354" s="7" t="s">
        <v>34</v>
      </c>
      <c r="E3354" s="7" t="s">
        <v>39</v>
      </c>
      <c r="F3354" s="0" t="n">
        <v>83.984</v>
      </c>
      <c r="G3354" s="0" t="n">
        <v>31.494</v>
      </c>
      <c r="H3354" s="0" t="n">
        <v>0.2</v>
      </c>
      <c r="I3354" s="7" t="n">
        <f aca="false">YEAR(B3354)</f>
        <v>2014</v>
      </c>
      <c r="J3354" s="0" t="str">
        <f aca="false">I3354&amp;"-Q"&amp;ROUNDUP(MONTH(B3354)/3,0)</f>
        <v>2014-Q3</v>
      </c>
    </row>
    <row r="3355" customFormat="false" ht="15" hidden="false" customHeight="false" outlineLevel="0" collapsed="false">
      <c r="A3355" s="0" t="s">
        <v>1743</v>
      </c>
      <c r="B3355" s="6" t="n">
        <v>41839</v>
      </c>
      <c r="C3355" s="7" t="s">
        <v>55</v>
      </c>
      <c r="D3355" s="7" t="s">
        <v>154</v>
      </c>
      <c r="E3355" s="7" t="s">
        <v>39</v>
      </c>
      <c r="F3355" s="0" t="n">
        <v>359.98</v>
      </c>
      <c r="G3355" s="0" t="n">
        <v>93.5948</v>
      </c>
      <c r="H3355" s="0" t="n">
        <v>0</v>
      </c>
      <c r="I3355" s="7" t="n">
        <f aca="false">YEAR(B3355)</f>
        <v>2014</v>
      </c>
      <c r="J3355" s="0" t="str">
        <f aca="false">I3355&amp;"-Q"&amp;ROUNDUP(MONTH(B3355)/3,0)</f>
        <v>2014-Q3</v>
      </c>
    </row>
    <row r="3356" customFormat="false" ht="15" hidden="false" customHeight="false" outlineLevel="0" collapsed="false">
      <c r="A3356" s="0" t="s">
        <v>1743</v>
      </c>
      <c r="B3356" s="6" t="n">
        <v>41839</v>
      </c>
      <c r="C3356" s="7" t="s">
        <v>55</v>
      </c>
      <c r="D3356" s="7" t="s">
        <v>154</v>
      </c>
      <c r="E3356" s="7" t="s">
        <v>31</v>
      </c>
      <c r="F3356" s="0" t="n">
        <v>70.56</v>
      </c>
      <c r="G3356" s="0" t="n">
        <v>-4.032</v>
      </c>
      <c r="H3356" s="0" t="n">
        <v>0.3</v>
      </c>
      <c r="I3356" s="7" t="n">
        <f aca="false">YEAR(B3356)</f>
        <v>2014</v>
      </c>
      <c r="J3356" s="0" t="str">
        <f aca="false">I3356&amp;"-Q"&amp;ROUNDUP(MONTH(B3356)/3,0)</f>
        <v>2014-Q3</v>
      </c>
    </row>
    <row r="3357" customFormat="false" ht="15" hidden="false" customHeight="false" outlineLevel="0" collapsed="false">
      <c r="A3357" s="0" t="s">
        <v>1743</v>
      </c>
      <c r="B3357" s="6" t="n">
        <v>41839</v>
      </c>
      <c r="C3357" s="7" t="s">
        <v>55</v>
      </c>
      <c r="D3357" s="7" t="s">
        <v>154</v>
      </c>
      <c r="E3357" s="7" t="s">
        <v>35</v>
      </c>
      <c r="F3357" s="0" t="n">
        <v>20.88</v>
      </c>
      <c r="G3357" s="0" t="n">
        <v>9.6048</v>
      </c>
      <c r="H3357" s="0" t="n">
        <v>0</v>
      </c>
      <c r="I3357" s="7" t="n">
        <f aca="false">YEAR(B3357)</f>
        <v>2014</v>
      </c>
      <c r="J3357" s="0" t="str">
        <f aca="false">I3357&amp;"-Q"&amp;ROUNDUP(MONTH(B3357)/3,0)</f>
        <v>2014-Q3</v>
      </c>
    </row>
    <row r="3358" customFormat="false" ht="15" hidden="false" customHeight="false" outlineLevel="0" collapsed="false">
      <c r="A3358" s="0" t="s">
        <v>1743</v>
      </c>
      <c r="B3358" s="6" t="n">
        <v>41839</v>
      </c>
      <c r="C3358" s="7" t="s">
        <v>55</v>
      </c>
      <c r="D3358" s="7" t="s">
        <v>154</v>
      </c>
      <c r="E3358" s="7" t="s">
        <v>35</v>
      </c>
      <c r="F3358" s="0" t="n">
        <v>3.81</v>
      </c>
      <c r="G3358" s="0" t="n">
        <v>1.8288</v>
      </c>
      <c r="H3358" s="0" t="n">
        <v>0</v>
      </c>
      <c r="I3358" s="7" t="n">
        <f aca="false">YEAR(B3358)</f>
        <v>2014</v>
      </c>
      <c r="J3358" s="0" t="str">
        <f aca="false">I3358&amp;"-Q"&amp;ROUNDUP(MONTH(B3358)/3,0)</f>
        <v>2014-Q3</v>
      </c>
    </row>
    <row r="3359" customFormat="false" ht="15" hidden="false" customHeight="false" outlineLevel="0" collapsed="false">
      <c r="A3359" s="0" t="s">
        <v>1744</v>
      </c>
      <c r="B3359" s="6" t="n">
        <v>42985</v>
      </c>
      <c r="C3359" s="7" t="s">
        <v>45</v>
      </c>
      <c r="D3359" s="7" t="s">
        <v>64</v>
      </c>
      <c r="E3359" s="7" t="s">
        <v>35</v>
      </c>
      <c r="F3359" s="0" t="n">
        <v>73.008</v>
      </c>
      <c r="G3359" s="0" t="n">
        <v>26.4654</v>
      </c>
      <c r="H3359" s="0" t="n">
        <v>0.2</v>
      </c>
      <c r="I3359" s="7" t="n">
        <f aca="false">YEAR(B3359)</f>
        <v>2017</v>
      </c>
      <c r="J3359" s="0" t="str">
        <f aca="false">I3359&amp;"-Q"&amp;ROUNDUP(MONTH(B3359)/3,0)</f>
        <v>2017-Q3</v>
      </c>
    </row>
    <row r="3360" customFormat="false" ht="15" hidden="false" customHeight="false" outlineLevel="0" collapsed="false">
      <c r="A3360" s="0" t="s">
        <v>1745</v>
      </c>
      <c r="B3360" s="6" t="n">
        <v>42496</v>
      </c>
      <c r="C3360" s="7" t="s">
        <v>45</v>
      </c>
      <c r="D3360" s="7" t="s">
        <v>64</v>
      </c>
      <c r="E3360" s="7" t="s">
        <v>35</v>
      </c>
      <c r="F3360" s="0" t="n">
        <v>3.208</v>
      </c>
      <c r="G3360" s="0" t="n">
        <v>-5.2932</v>
      </c>
      <c r="H3360" s="0" t="n">
        <v>0.8</v>
      </c>
      <c r="I3360" s="7" t="n">
        <f aca="false">YEAR(B3360)</f>
        <v>2016</v>
      </c>
      <c r="J3360" s="0" t="str">
        <f aca="false">I3360&amp;"-Q"&amp;ROUNDUP(MONTH(B3360)/3,0)</f>
        <v>2016-Q2</v>
      </c>
    </row>
    <row r="3361" customFormat="false" ht="15" hidden="false" customHeight="false" outlineLevel="0" collapsed="false">
      <c r="A3361" s="0" t="s">
        <v>1745</v>
      </c>
      <c r="B3361" s="6" t="n">
        <v>42496</v>
      </c>
      <c r="C3361" s="7" t="s">
        <v>45</v>
      </c>
      <c r="D3361" s="7" t="s">
        <v>64</v>
      </c>
      <c r="E3361" s="7" t="s">
        <v>39</v>
      </c>
      <c r="F3361" s="0" t="n">
        <v>26.176</v>
      </c>
      <c r="G3361" s="0" t="n">
        <v>-3.272</v>
      </c>
      <c r="H3361" s="0" t="n">
        <v>0.2</v>
      </c>
      <c r="I3361" s="7" t="n">
        <f aca="false">YEAR(B3361)</f>
        <v>2016</v>
      </c>
      <c r="J3361" s="0" t="str">
        <f aca="false">I3361&amp;"-Q"&amp;ROUNDUP(MONTH(B3361)/3,0)</f>
        <v>2016-Q2</v>
      </c>
    </row>
    <row r="3362" customFormat="false" ht="15" hidden="false" customHeight="false" outlineLevel="0" collapsed="false">
      <c r="A3362" s="0" t="s">
        <v>1746</v>
      </c>
      <c r="B3362" s="6" t="n">
        <v>42159</v>
      </c>
      <c r="C3362" s="7" t="s">
        <v>55</v>
      </c>
      <c r="D3362" s="7" t="s">
        <v>76</v>
      </c>
      <c r="E3362" s="7" t="s">
        <v>35</v>
      </c>
      <c r="F3362" s="0" t="n">
        <v>30.44</v>
      </c>
      <c r="G3362" s="0" t="n">
        <v>14.3068</v>
      </c>
      <c r="H3362" s="0" t="n">
        <v>0</v>
      </c>
      <c r="I3362" s="7" t="n">
        <f aca="false">YEAR(B3362)</f>
        <v>2015</v>
      </c>
      <c r="J3362" s="0" t="str">
        <f aca="false">I3362&amp;"-Q"&amp;ROUNDUP(MONTH(B3362)/3,0)</f>
        <v>2015-Q2</v>
      </c>
    </row>
    <row r="3363" customFormat="false" ht="15" hidden="false" customHeight="false" outlineLevel="0" collapsed="false">
      <c r="A3363" s="0" t="s">
        <v>1746</v>
      </c>
      <c r="B3363" s="6" t="n">
        <v>42159</v>
      </c>
      <c r="C3363" s="7" t="s">
        <v>55</v>
      </c>
      <c r="D3363" s="7" t="s">
        <v>76</v>
      </c>
      <c r="E3363" s="7" t="s">
        <v>31</v>
      </c>
      <c r="F3363" s="0" t="n">
        <v>35.28</v>
      </c>
      <c r="G3363" s="0" t="n">
        <v>11.9952</v>
      </c>
      <c r="H3363" s="0" t="n">
        <v>0</v>
      </c>
      <c r="I3363" s="7" t="n">
        <f aca="false">YEAR(B3363)</f>
        <v>2015</v>
      </c>
      <c r="J3363" s="0" t="str">
        <f aca="false">I3363&amp;"-Q"&amp;ROUNDUP(MONTH(B3363)/3,0)</f>
        <v>2015-Q2</v>
      </c>
    </row>
    <row r="3364" customFormat="false" ht="15" hidden="false" customHeight="false" outlineLevel="0" collapsed="false">
      <c r="A3364" s="0" t="s">
        <v>1747</v>
      </c>
      <c r="B3364" s="6" t="n">
        <v>42351</v>
      </c>
      <c r="C3364" s="7" t="s">
        <v>55</v>
      </c>
      <c r="D3364" s="7" t="s">
        <v>225</v>
      </c>
      <c r="E3364" s="7" t="s">
        <v>35</v>
      </c>
      <c r="F3364" s="0" t="n">
        <v>19.44</v>
      </c>
      <c r="G3364" s="0" t="n">
        <v>9.3312</v>
      </c>
      <c r="H3364" s="0" t="n">
        <v>0</v>
      </c>
      <c r="I3364" s="7" t="n">
        <f aca="false">YEAR(B3364)</f>
        <v>2015</v>
      </c>
      <c r="J3364" s="0" t="str">
        <f aca="false">I3364&amp;"-Q"&amp;ROUNDUP(MONTH(B3364)/3,0)</f>
        <v>2015-Q4</v>
      </c>
    </row>
    <row r="3365" customFormat="false" ht="15" hidden="false" customHeight="false" outlineLevel="0" collapsed="false">
      <c r="A3365" s="0" t="s">
        <v>1747</v>
      </c>
      <c r="B3365" s="6" t="n">
        <v>42351</v>
      </c>
      <c r="C3365" s="7" t="s">
        <v>55</v>
      </c>
      <c r="D3365" s="7" t="s">
        <v>225</v>
      </c>
      <c r="E3365" s="7" t="s">
        <v>35</v>
      </c>
      <c r="F3365" s="0" t="n">
        <v>37.88</v>
      </c>
      <c r="G3365" s="0" t="n">
        <v>18.94</v>
      </c>
      <c r="H3365" s="0" t="n">
        <v>0</v>
      </c>
      <c r="I3365" s="7" t="n">
        <f aca="false">YEAR(B3365)</f>
        <v>2015</v>
      </c>
      <c r="J3365" s="0" t="str">
        <f aca="false">I3365&amp;"-Q"&amp;ROUNDUP(MONTH(B3365)/3,0)</f>
        <v>2015-Q4</v>
      </c>
    </row>
    <row r="3366" customFormat="false" ht="15" hidden="false" customHeight="false" outlineLevel="0" collapsed="false">
      <c r="A3366" s="0" t="s">
        <v>1748</v>
      </c>
      <c r="B3366" s="6" t="n">
        <v>42567</v>
      </c>
      <c r="C3366" s="7" t="s">
        <v>45</v>
      </c>
      <c r="D3366" s="7" t="s">
        <v>46</v>
      </c>
      <c r="E3366" s="7" t="s">
        <v>31</v>
      </c>
      <c r="F3366" s="0" t="n">
        <v>9.552</v>
      </c>
      <c r="G3366" s="0" t="n">
        <v>-3.8208</v>
      </c>
      <c r="H3366" s="0" t="n">
        <v>0.6</v>
      </c>
      <c r="I3366" s="7" t="n">
        <f aca="false">YEAR(B3366)</f>
        <v>2016</v>
      </c>
      <c r="J3366" s="0" t="str">
        <f aca="false">I3366&amp;"-Q"&amp;ROUNDUP(MONTH(B3366)/3,0)</f>
        <v>2016-Q3</v>
      </c>
    </row>
    <row r="3367" customFormat="false" ht="15" hidden="false" customHeight="false" outlineLevel="0" collapsed="false">
      <c r="A3367" s="0" t="s">
        <v>1749</v>
      </c>
      <c r="B3367" s="6" t="n">
        <v>41670</v>
      </c>
      <c r="C3367" s="7" t="s">
        <v>33</v>
      </c>
      <c r="D3367" s="7" t="s">
        <v>34</v>
      </c>
      <c r="E3367" s="7" t="s">
        <v>31</v>
      </c>
      <c r="F3367" s="0" t="n">
        <v>290.666</v>
      </c>
      <c r="G3367" s="0" t="n">
        <v>3.4196</v>
      </c>
      <c r="H3367" s="0" t="n">
        <v>0.15</v>
      </c>
      <c r="I3367" s="7" t="n">
        <f aca="false">YEAR(B3367)</f>
        <v>2014</v>
      </c>
      <c r="J3367" s="0" t="str">
        <f aca="false">I3367&amp;"-Q"&amp;ROUNDUP(MONTH(B3367)/3,0)</f>
        <v>2014-Q1</v>
      </c>
    </row>
    <row r="3368" customFormat="false" ht="15" hidden="false" customHeight="false" outlineLevel="0" collapsed="false">
      <c r="A3368" s="0" t="s">
        <v>1750</v>
      </c>
      <c r="B3368" s="6" t="n">
        <v>41829</v>
      </c>
      <c r="C3368" s="7" t="s">
        <v>45</v>
      </c>
      <c r="D3368" s="7" t="s">
        <v>46</v>
      </c>
      <c r="E3368" s="7" t="s">
        <v>35</v>
      </c>
      <c r="F3368" s="0" t="n">
        <v>10.368</v>
      </c>
      <c r="G3368" s="0" t="n">
        <v>3.6288</v>
      </c>
      <c r="H3368" s="0" t="n">
        <v>0.2</v>
      </c>
      <c r="I3368" s="7" t="n">
        <f aca="false">YEAR(B3368)</f>
        <v>2014</v>
      </c>
      <c r="J3368" s="0" t="str">
        <f aca="false">I3368&amp;"-Q"&amp;ROUNDUP(MONTH(B3368)/3,0)</f>
        <v>2014-Q3</v>
      </c>
    </row>
    <row r="3369" customFormat="false" ht="15" hidden="false" customHeight="false" outlineLevel="0" collapsed="false">
      <c r="A3369" s="0" t="s">
        <v>1750</v>
      </c>
      <c r="B3369" s="6" t="n">
        <v>41829</v>
      </c>
      <c r="C3369" s="7" t="s">
        <v>45</v>
      </c>
      <c r="D3369" s="7" t="s">
        <v>46</v>
      </c>
      <c r="E3369" s="7" t="s">
        <v>35</v>
      </c>
      <c r="F3369" s="0" t="n">
        <v>14.352</v>
      </c>
      <c r="G3369" s="0" t="n">
        <v>4.485</v>
      </c>
      <c r="H3369" s="0" t="n">
        <v>0.2</v>
      </c>
      <c r="I3369" s="7" t="n">
        <f aca="false">YEAR(B3369)</f>
        <v>2014</v>
      </c>
      <c r="J3369" s="0" t="str">
        <f aca="false">I3369&amp;"-Q"&amp;ROUNDUP(MONTH(B3369)/3,0)</f>
        <v>2014-Q3</v>
      </c>
    </row>
    <row r="3370" customFormat="false" ht="15" hidden="false" customHeight="false" outlineLevel="0" collapsed="false">
      <c r="A3370" s="0" t="s">
        <v>1751</v>
      </c>
      <c r="B3370" s="6" t="n">
        <v>42329</v>
      </c>
      <c r="C3370" s="7" t="s">
        <v>33</v>
      </c>
      <c r="D3370" s="7" t="s">
        <v>248</v>
      </c>
      <c r="E3370" s="7" t="s">
        <v>31</v>
      </c>
      <c r="F3370" s="0" t="n">
        <v>141.96</v>
      </c>
      <c r="G3370" s="0" t="n">
        <v>41.1684</v>
      </c>
      <c r="H3370" s="0" t="n">
        <v>0</v>
      </c>
      <c r="I3370" s="7" t="n">
        <f aca="false">YEAR(B3370)</f>
        <v>2015</v>
      </c>
      <c r="J3370" s="0" t="str">
        <f aca="false">I3370&amp;"-Q"&amp;ROUNDUP(MONTH(B3370)/3,0)</f>
        <v>2015-Q4</v>
      </c>
    </row>
    <row r="3371" customFormat="false" ht="15" hidden="false" customHeight="false" outlineLevel="0" collapsed="false">
      <c r="A3371" s="0" t="s">
        <v>1751</v>
      </c>
      <c r="B3371" s="6" t="n">
        <v>42329</v>
      </c>
      <c r="C3371" s="7" t="s">
        <v>33</v>
      </c>
      <c r="D3371" s="7" t="s">
        <v>248</v>
      </c>
      <c r="E3371" s="7" t="s">
        <v>35</v>
      </c>
      <c r="F3371" s="0" t="n">
        <v>66.048</v>
      </c>
      <c r="G3371" s="0" t="n">
        <v>23.1168</v>
      </c>
      <c r="H3371" s="0" t="n">
        <v>0.2</v>
      </c>
      <c r="I3371" s="7" t="n">
        <f aca="false">YEAR(B3371)</f>
        <v>2015</v>
      </c>
      <c r="J3371" s="0" t="str">
        <f aca="false">I3371&amp;"-Q"&amp;ROUNDUP(MONTH(B3371)/3,0)</f>
        <v>2015-Q4</v>
      </c>
    </row>
    <row r="3372" customFormat="false" ht="15" hidden="false" customHeight="false" outlineLevel="0" collapsed="false">
      <c r="A3372" s="0" t="s">
        <v>1752</v>
      </c>
      <c r="B3372" s="6" t="n">
        <v>42454</v>
      </c>
      <c r="C3372" s="7" t="s">
        <v>45</v>
      </c>
      <c r="D3372" s="7" t="s">
        <v>138</v>
      </c>
      <c r="E3372" s="7" t="s">
        <v>39</v>
      </c>
      <c r="F3372" s="0" t="n">
        <v>1287.45</v>
      </c>
      <c r="G3372" s="0" t="n">
        <v>244.6155</v>
      </c>
      <c r="H3372" s="0" t="n">
        <v>0</v>
      </c>
      <c r="I3372" s="7" t="n">
        <f aca="false">YEAR(B3372)</f>
        <v>2016</v>
      </c>
      <c r="J3372" s="0" t="str">
        <f aca="false">I3372&amp;"-Q"&amp;ROUNDUP(MONTH(B3372)/3,0)</f>
        <v>2016-Q1</v>
      </c>
    </row>
    <row r="3373" customFormat="false" ht="15" hidden="false" customHeight="false" outlineLevel="0" collapsed="false">
      <c r="A3373" s="0" t="s">
        <v>1753</v>
      </c>
      <c r="B3373" s="6" t="n">
        <v>43001</v>
      </c>
      <c r="C3373" s="7" t="s">
        <v>33</v>
      </c>
      <c r="D3373" s="7" t="s">
        <v>34</v>
      </c>
      <c r="E3373" s="7" t="s">
        <v>35</v>
      </c>
      <c r="F3373" s="0" t="n">
        <v>25.824</v>
      </c>
      <c r="G3373" s="0" t="n">
        <v>9.0384</v>
      </c>
      <c r="H3373" s="0" t="n">
        <v>0.2</v>
      </c>
      <c r="I3373" s="7" t="n">
        <f aca="false">YEAR(B3373)</f>
        <v>2017</v>
      </c>
      <c r="J3373" s="0" t="str">
        <f aca="false">I3373&amp;"-Q"&amp;ROUNDUP(MONTH(B3373)/3,0)</f>
        <v>2017-Q3</v>
      </c>
    </row>
    <row r="3374" customFormat="false" ht="15" hidden="false" customHeight="false" outlineLevel="0" collapsed="false">
      <c r="A3374" s="0" t="s">
        <v>1753</v>
      </c>
      <c r="B3374" s="6" t="n">
        <v>43001</v>
      </c>
      <c r="C3374" s="7" t="s">
        <v>33</v>
      </c>
      <c r="D3374" s="7" t="s">
        <v>34</v>
      </c>
      <c r="E3374" s="7" t="s">
        <v>35</v>
      </c>
      <c r="F3374" s="0" t="n">
        <v>160.96</v>
      </c>
      <c r="G3374" s="0" t="n">
        <v>48.288</v>
      </c>
      <c r="H3374" s="0" t="n">
        <v>0</v>
      </c>
      <c r="I3374" s="7" t="n">
        <f aca="false">YEAR(B3374)</f>
        <v>2017</v>
      </c>
      <c r="J3374" s="0" t="str">
        <f aca="false">I3374&amp;"-Q"&amp;ROUNDUP(MONTH(B3374)/3,0)</f>
        <v>2017-Q3</v>
      </c>
    </row>
    <row r="3375" customFormat="false" ht="15" hidden="false" customHeight="false" outlineLevel="0" collapsed="false">
      <c r="A3375" s="0" t="s">
        <v>1754</v>
      </c>
      <c r="B3375" s="6" t="n">
        <v>42342</v>
      </c>
      <c r="C3375" s="7" t="s">
        <v>55</v>
      </c>
      <c r="D3375" s="7" t="s">
        <v>76</v>
      </c>
      <c r="E3375" s="7" t="s">
        <v>31</v>
      </c>
      <c r="F3375" s="0" t="n">
        <v>28.44</v>
      </c>
      <c r="G3375" s="0" t="n">
        <v>11.376</v>
      </c>
      <c r="H3375" s="0" t="n">
        <v>0</v>
      </c>
      <c r="I3375" s="7" t="n">
        <f aca="false">YEAR(B3375)</f>
        <v>2015</v>
      </c>
      <c r="J3375" s="0" t="str">
        <f aca="false">I3375&amp;"-Q"&amp;ROUNDUP(MONTH(B3375)/3,0)</f>
        <v>2015-Q4</v>
      </c>
    </row>
    <row r="3376" customFormat="false" ht="15" hidden="false" customHeight="false" outlineLevel="0" collapsed="false">
      <c r="A3376" s="0" t="s">
        <v>1754</v>
      </c>
      <c r="B3376" s="6" t="n">
        <v>42342</v>
      </c>
      <c r="C3376" s="7" t="s">
        <v>55</v>
      </c>
      <c r="D3376" s="7" t="s">
        <v>76</v>
      </c>
      <c r="E3376" s="7" t="s">
        <v>31</v>
      </c>
      <c r="F3376" s="0" t="n">
        <v>364.41</v>
      </c>
      <c r="G3376" s="0" t="n">
        <v>8.098</v>
      </c>
      <c r="H3376" s="0" t="n">
        <v>0.1</v>
      </c>
      <c r="I3376" s="7" t="n">
        <f aca="false">YEAR(B3376)</f>
        <v>2015</v>
      </c>
      <c r="J3376" s="0" t="str">
        <f aca="false">I3376&amp;"-Q"&amp;ROUNDUP(MONTH(B3376)/3,0)</f>
        <v>2015-Q4</v>
      </c>
    </row>
    <row r="3377" customFormat="false" ht="15" hidden="false" customHeight="false" outlineLevel="0" collapsed="false">
      <c r="A3377" s="0" t="s">
        <v>1754</v>
      </c>
      <c r="B3377" s="6" t="n">
        <v>42342</v>
      </c>
      <c r="C3377" s="7" t="s">
        <v>55</v>
      </c>
      <c r="D3377" s="7" t="s">
        <v>76</v>
      </c>
      <c r="E3377" s="7" t="s">
        <v>39</v>
      </c>
      <c r="F3377" s="0" t="n">
        <v>39.96</v>
      </c>
      <c r="G3377" s="0" t="n">
        <v>10.3896</v>
      </c>
      <c r="H3377" s="0" t="n">
        <v>0</v>
      </c>
      <c r="I3377" s="7" t="n">
        <f aca="false">YEAR(B3377)</f>
        <v>2015</v>
      </c>
      <c r="J3377" s="0" t="str">
        <f aca="false">I3377&amp;"-Q"&amp;ROUNDUP(MONTH(B3377)/3,0)</f>
        <v>2015-Q4</v>
      </c>
    </row>
    <row r="3378" customFormat="false" ht="15" hidden="false" customHeight="false" outlineLevel="0" collapsed="false">
      <c r="A3378" s="0" t="s">
        <v>1754</v>
      </c>
      <c r="B3378" s="6" t="n">
        <v>42342</v>
      </c>
      <c r="C3378" s="7" t="s">
        <v>55</v>
      </c>
      <c r="D3378" s="7" t="s">
        <v>76</v>
      </c>
      <c r="E3378" s="7" t="s">
        <v>31</v>
      </c>
      <c r="F3378" s="0" t="n">
        <v>361.764</v>
      </c>
      <c r="G3378" s="0" t="n">
        <v>68.3332</v>
      </c>
      <c r="H3378" s="0" t="n">
        <v>0.1</v>
      </c>
      <c r="I3378" s="7" t="n">
        <f aca="false">YEAR(B3378)</f>
        <v>2015</v>
      </c>
      <c r="J3378" s="0" t="str">
        <f aca="false">I3378&amp;"-Q"&amp;ROUNDUP(MONTH(B3378)/3,0)</f>
        <v>2015-Q4</v>
      </c>
    </row>
    <row r="3379" customFormat="false" ht="15" hidden="false" customHeight="false" outlineLevel="0" collapsed="false">
      <c r="A3379" s="0" t="s">
        <v>1755</v>
      </c>
      <c r="B3379" s="6" t="n">
        <v>42675</v>
      </c>
      <c r="C3379" s="7" t="s">
        <v>45</v>
      </c>
      <c r="D3379" s="7" t="s">
        <v>46</v>
      </c>
      <c r="E3379" s="7" t="s">
        <v>35</v>
      </c>
      <c r="F3379" s="0" t="n">
        <v>111.672</v>
      </c>
      <c r="G3379" s="0" t="n">
        <v>6.9795</v>
      </c>
      <c r="H3379" s="0" t="n">
        <v>0.2</v>
      </c>
      <c r="I3379" s="7" t="n">
        <f aca="false">YEAR(B3379)</f>
        <v>2016</v>
      </c>
      <c r="J3379" s="0" t="str">
        <f aca="false">I3379&amp;"-Q"&amp;ROUNDUP(MONTH(B3379)/3,0)</f>
        <v>2016-Q4</v>
      </c>
    </row>
    <row r="3380" customFormat="false" ht="15" hidden="false" customHeight="false" outlineLevel="0" collapsed="false">
      <c r="A3380" s="0" t="s">
        <v>1756</v>
      </c>
      <c r="B3380" s="6" t="n">
        <v>42811</v>
      </c>
      <c r="C3380" s="7" t="s">
        <v>45</v>
      </c>
      <c r="D3380" s="7" t="s">
        <v>46</v>
      </c>
      <c r="E3380" s="7" t="s">
        <v>35</v>
      </c>
      <c r="F3380" s="0" t="n">
        <v>13.776</v>
      </c>
      <c r="G3380" s="0" t="n">
        <v>-22.0416</v>
      </c>
      <c r="H3380" s="0" t="n">
        <v>0.8</v>
      </c>
      <c r="I3380" s="7" t="n">
        <f aca="false">YEAR(B3380)</f>
        <v>2017</v>
      </c>
      <c r="J3380" s="0" t="str">
        <f aca="false">I3380&amp;"-Q"&amp;ROUNDUP(MONTH(B3380)/3,0)</f>
        <v>2017-Q1</v>
      </c>
    </row>
    <row r="3381" customFormat="false" ht="15" hidden="false" customHeight="false" outlineLevel="0" collapsed="false">
      <c r="A3381" s="0" t="s">
        <v>1756</v>
      </c>
      <c r="B3381" s="6" t="n">
        <v>42811</v>
      </c>
      <c r="C3381" s="7" t="s">
        <v>45</v>
      </c>
      <c r="D3381" s="7" t="s">
        <v>46</v>
      </c>
      <c r="E3381" s="7" t="s">
        <v>35</v>
      </c>
      <c r="F3381" s="0" t="n">
        <v>10.272</v>
      </c>
      <c r="G3381" s="0" t="n">
        <v>3.21</v>
      </c>
      <c r="H3381" s="0" t="n">
        <v>0.2</v>
      </c>
      <c r="I3381" s="7" t="n">
        <f aca="false">YEAR(B3381)</f>
        <v>2017</v>
      </c>
      <c r="J3381" s="0" t="str">
        <f aca="false">I3381&amp;"-Q"&amp;ROUNDUP(MONTH(B3381)/3,0)</f>
        <v>2017-Q1</v>
      </c>
    </row>
    <row r="3382" customFormat="false" ht="15" hidden="false" customHeight="false" outlineLevel="0" collapsed="false">
      <c r="A3382" s="0" t="s">
        <v>1757</v>
      </c>
      <c r="B3382" s="6" t="n">
        <v>43062</v>
      </c>
      <c r="C3382" s="7" t="s">
        <v>55</v>
      </c>
      <c r="D3382" s="7" t="s">
        <v>56</v>
      </c>
      <c r="E3382" s="7" t="s">
        <v>31</v>
      </c>
      <c r="F3382" s="0" t="n">
        <v>24.048</v>
      </c>
      <c r="G3382" s="0" t="n">
        <v>7.2144</v>
      </c>
      <c r="H3382" s="0" t="n">
        <v>0.2</v>
      </c>
      <c r="I3382" s="7" t="n">
        <f aca="false">YEAR(B3382)</f>
        <v>2017</v>
      </c>
      <c r="J3382" s="0" t="str">
        <f aca="false">I3382&amp;"-Q"&amp;ROUNDUP(MONTH(B3382)/3,0)</f>
        <v>2017-Q4</v>
      </c>
    </row>
    <row r="3383" customFormat="false" ht="15" hidden="false" customHeight="false" outlineLevel="0" collapsed="false">
      <c r="A3383" s="0" t="s">
        <v>1758</v>
      </c>
      <c r="B3383" s="6" t="n">
        <v>42974</v>
      </c>
      <c r="C3383" s="7" t="s">
        <v>29</v>
      </c>
      <c r="D3383" s="7" t="s">
        <v>37</v>
      </c>
      <c r="E3383" s="7" t="s">
        <v>35</v>
      </c>
      <c r="F3383" s="0" t="n">
        <v>2.896</v>
      </c>
      <c r="G3383" s="0" t="n">
        <v>0.9774</v>
      </c>
      <c r="H3383" s="0" t="n">
        <v>0.2</v>
      </c>
      <c r="I3383" s="7" t="n">
        <f aca="false">YEAR(B3383)</f>
        <v>2017</v>
      </c>
      <c r="J3383" s="0" t="str">
        <f aca="false">I3383&amp;"-Q"&amp;ROUNDUP(MONTH(B3383)/3,0)</f>
        <v>2017-Q3</v>
      </c>
    </row>
    <row r="3384" customFormat="false" ht="15" hidden="false" customHeight="false" outlineLevel="0" collapsed="false">
      <c r="A3384" s="0" t="s">
        <v>1759</v>
      </c>
      <c r="B3384" s="6" t="n">
        <v>42342</v>
      </c>
      <c r="C3384" s="7" t="s">
        <v>55</v>
      </c>
      <c r="D3384" s="7" t="s">
        <v>76</v>
      </c>
      <c r="E3384" s="7" t="s">
        <v>35</v>
      </c>
      <c r="F3384" s="0" t="n">
        <v>17.94</v>
      </c>
      <c r="G3384" s="0" t="n">
        <v>8.7906</v>
      </c>
      <c r="H3384" s="0" t="n">
        <v>0</v>
      </c>
      <c r="I3384" s="7" t="n">
        <f aca="false">YEAR(B3384)</f>
        <v>2015</v>
      </c>
      <c r="J3384" s="0" t="str">
        <f aca="false">I3384&amp;"-Q"&amp;ROUNDUP(MONTH(B3384)/3,0)</f>
        <v>2015-Q4</v>
      </c>
    </row>
    <row r="3385" customFormat="false" ht="15" hidden="false" customHeight="false" outlineLevel="0" collapsed="false">
      <c r="A3385" s="0" t="s">
        <v>1759</v>
      </c>
      <c r="B3385" s="6" t="n">
        <v>42342</v>
      </c>
      <c r="C3385" s="7" t="s">
        <v>55</v>
      </c>
      <c r="D3385" s="7" t="s">
        <v>76</v>
      </c>
      <c r="E3385" s="7" t="s">
        <v>31</v>
      </c>
      <c r="F3385" s="0" t="n">
        <v>384.174</v>
      </c>
      <c r="G3385" s="0" t="n">
        <v>29.8802</v>
      </c>
      <c r="H3385" s="0" t="n">
        <v>0.1</v>
      </c>
      <c r="I3385" s="7" t="n">
        <f aca="false">YEAR(B3385)</f>
        <v>2015</v>
      </c>
      <c r="J3385" s="0" t="str">
        <f aca="false">I3385&amp;"-Q"&amp;ROUNDUP(MONTH(B3385)/3,0)</f>
        <v>2015-Q4</v>
      </c>
    </row>
    <row r="3386" customFormat="false" ht="15" hidden="false" customHeight="false" outlineLevel="0" collapsed="false">
      <c r="A3386" s="0" t="s">
        <v>1759</v>
      </c>
      <c r="B3386" s="6" t="n">
        <v>42342</v>
      </c>
      <c r="C3386" s="7" t="s">
        <v>55</v>
      </c>
      <c r="D3386" s="7" t="s">
        <v>76</v>
      </c>
      <c r="E3386" s="7" t="s">
        <v>39</v>
      </c>
      <c r="F3386" s="0" t="n">
        <v>1799.75</v>
      </c>
      <c r="G3386" s="0" t="n">
        <v>539.925</v>
      </c>
      <c r="H3386" s="0" t="n">
        <v>0</v>
      </c>
      <c r="I3386" s="7" t="n">
        <f aca="false">YEAR(B3386)</f>
        <v>2015</v>
      </c>
      <c r="J3386" s="0" t="str">
        <f aca="false">I3386&amp;"-Q"&amp;ROUNDUP(MONTH(B3386)/3,0)</f>
        <v>2015-Q4</v>
      </c>
    </row>
    <row r="3387" customFormat="false" ht="15" hidden="false" customHeight="false" outlineLevel="0" collapsed="false">
      <c r="A3387" s="0" t="s">
        <v>1760</v>
      </c>
      <c r="B3387" s="6" t="n">
        <v>43015</v>
      </c>
      <c r="C3387" s="7" t="s">
        <v>29</v>
      </c>
      <c r="D3387" s="7" t="s">
        <v>41</v>
      </c>
      <c r="E3387" s="7" t="s">
        <v>35</v>
      </c>
      <c r="F3387" s="0" t="n">
        <v>580.672</v>
      </c>
      <c r="G3387" s="0" t="n">
        <v>65.3256</v>
      </c>
      <c r="H3387" s="0" t="n">
        <v>0.2</v>
      </c>
      <c r="I3387" s="7" t="n">
        <f aca="false">YEAR(B3387)</f>
        <v>2017</v>
      </c>
      <c r="J3387" s="0" t="str">
        <f aca="false">I3387&amp;"-Q"&amp;ROUNDUP(MONTH(B3387)/3,0)</f>
        <v>2017-Q4</v>
      </c>
    </row>
    <row r="3388" customFormat="false" ht="15" hidden="false" customHeight="false" outlineLevel="0" collapsed="false">
      <c r="A3388" s="0" t="s">
        <v>1760</v>
      </c>
      <c r="B3388" s="6" t="n">
        <v>43015</v>
      </c>
      <c r="C3388" s="7" t="s">
        <v>29</v>
      </c>
      <c r="D3388" s="7" t="s">
        <v>41</v>
      </c>
      <c r="E3388" s="7" t="s">
        <v>35</v>
      </c>
      <c r="F3388" s="0" t="n">
        <v>18.936</v>
      </c>
      <c r="G3388" s="0" t="n">
        <v>5.9175</v>
      </c>
      <c r="H3388" s="0" t="n">
        <v>0.2</v>
      </c>
      <c r="I3388" s="7" t="n">
        <f aca="false">YEAR(B3388)</f>
        <v>2017</v>
      </c>
      <c r="J3388" s="0" t="str">
        <f aca="false">I3388&amp;"-Q"&amp;ROUNDUP(MONTH(B3388)/3,0)</f>
        <v>2017-Q4</v>
      </c>
    </row>
    <row r="3389" customFormat="false" ht="15" hidden="false" customHeight="false" outlineLevel="0" collapsed="false">
      <c r="A3389" s="0" t="s">
        <v>1760</v>
      </c>
      <c r="B3389" s="6" t="n">
        <v>43015</v>
      </c>
      <c r="C3389" s="7" t="s">
        <v>29</v>
      </c>
      <c r="D3389" s="7" t="s">
        <v>41</v>
      </c>
      <c r="E3389" s="7" t="s">
        <v>39</v>
      </c>
      <c r="F3389" s="0" t="n">
        <v>222.384</v>
      </c>
      <c r="G3389" s="0" t="n">
        <v>16.6788</v>
      </c>
      <c r="H3389" s="0" t="n">
        <v>0.2</v>
      </c>
      <c r="I3389" s="7" t="n">
        <f aca="false">YEAR(B3389)</f>
        <v>2017</v>
      </c>
      <c r="J3389" s="0" t="str">
        <f aca="false">I3389&amp;"-Q"&amp;ROUNDUP(MONTH(B3389)/3,0)</f>
        <v>2017-Q4</v>
      </c>
    </row>
    <row r="3390" customFormat="false" ht="15" hidden="false" customHeight="false" outlineLevel="0" collapsed="false">
      <c r="A3390" s="0" t="s">
        <v>1760</v>
      </c>
      <c r="B3390" s="6" t="n">
        <v>43015</v>
      </c>
      <c r="C3390" s="7" t="s">
        <v>29</v>
      </c>
      <c r="D3390" s="7" t="s">
        <v>41</v>
      </c>
      <c r="E3390" s="7" t="s">
        <v>35</v>
      </c>
      <c r="F3390" s="0" t="n">
        <v>50.454</v>
      </c>
      <c r="G3390" s="0" t="n">
        <v>-33.636</v>
      </c>
      <c r="H3390" s="0" t="n">
        <v>0.7</v>
      </c>
      <c r="I3390" s="7" t="n">
        <f aca="false">YEAR(B3390)</f>
        <v>2017</v>
      </c>
      <c r="J3390" s="0" t="str">
        <f aca="false">I3390&amp;"-Q"&amp;ROUNDUP(MONTH(B3390)/3,0)</f>
        <v>2017-Q4</v>
      </c>
    </row>
    <row r="3391" customFormat="false" ht="15" hidden="false" customHeight="false" outlineLevel="0" collapsed="false">
      <c r="A3391" s="0" t="s">
        <v>1760</v>
      </c>
      <c r="B3391" s="6" t="n">
        <v>43015</v>
      </c>
      <c r="C3391" s="7" t="s">
        <v>29</v>
      </c>
      <c r="D3391" s="7" t="s">
        <v>41</v>
      </c>
      <c r="E3391" s="7" t="s">
        <v>31</v>
      </c>
      <c r="F3391" s="0" t="n">
        <v>154.764</v>
      </c>
      <c r="G3391" s="0" t="n">
        <v>-36.1116</v>
      </c>
      <c r="H3391" s="0" t="n">
        <v>0.4</v>
      </c>
      <c r="I3391" s="7" t="n">
        <f aca="false">YEAR(B3391)</f>
        <v>2017</v>
      </c>
      <c r="J3391" s="0" t="str">
        <f aca="false">I3391&amp;"-Q"&amp;ROUNDUP(MONTH(B3391)/3,0)</f>
        <v>2017-Q4</v>
      </c>
    </row>
    <row r="3392" customFormat="false" ht="15" hidden="false" customHeight="false" outlineLevel="0" collapsed="false">
      <c r="A3392" s="0" t="s">
        <v>1761</v>
      </c>
      <c r="B3392" s="6" t="n">
        <v>42819</v>
      </c>
      <c r="C3392" s="7" t="s">
        <v>45</v>
      </c>
      <c r="D3392" s="7" t="s">
        <v>46</v>
      </c>
      <c r="E3392" s="7" t="s">
        <v>35</v>
      </c>
      <c r="F3392" s="0" t="n">
        <v>6.848</v>
      </c>
      <c r="G3392" s="0" t="n">
        <v>2.14</v>
      </c>
      <c r="H3392" s="0" t="n">
        <v>0.2</v>
      </c>
      <c r="I3392" s="7" t="n">
        <f aca="false">YEAR(B3392)</f>
        <v>2017</v>
      </c>
      <c r="J3392" s="0" t="str">
        <f aca="false">I3392&amp;"-Q"&amp;ROUNDUP(MONTH(B3392)/3,0)</f>
        <v>2017-Q1</v>
      </c>
    </row>
    <row r="3393" customFormat="false" ht="15" hidden="false" customHeight="false" outlineLevel="0" collapsed="false">
      <c r="A3393" s="0" t="s">
        <v>1762</v>
      </c>
      <c r="B3393" s="6" t="n">
        <v>41860</v>
      </c>
      <c r="C3393" s="7" t="s">
        <v>33</v>
      </c>
      <c r="D3393" s="7" t="s">
        <v>43</v>
      </c>
      <c r="E3393" s="7" t="s">
        <v>39</v>
      </c>
      <c r="F3393" s="0" t="n">
        <v>1091.168</v>
      </c>
      <c r="G3393" s="0" t="n">
        <v>68.198</v>
      </c>
      <c r="H3393" s="0" t="n">
        <v>0.2</v>
      </c>
      <c r="I3393" s="7" t="n">
        <f aca="false">YEAR(B3393)</f>
        <v>2014</v>
      </c>
      <c r="J3393" s="0" t="str">
        <f aca="false">I3393&amp;"-Q"&amp;ROUNDUP(MONTH(B3393)/3,0)</f>
        <v>2014-Q3</v>
      </c>
    </row>
    <row r="3394" customFormat="false" ht="15" hidden="false" customHeight="false" outlineLevel="0" collapsed="false">
      <c r="A3394" s="0" t="s">
        <v>1762</v>
      </c>
      <c r="B3394" s="6" t="n">
        <v>41860</v>
      </c>
      <c r="C3394" s="7" t="s">
        <v>33</v>
      </c>
      <c r="D3394" s="7" t="s">
        <v>43</v>
      </c>
      <c r="E3394" s="7" t="s">
        <v>39</v>
      </c>
      <c r="F3394" s="0" t="n">
        <v>219.168</v>
      </c>
      <c r="G3394" s="0" t="n">
        <v>-43.8336</v>
      </c>
      <c r="H3394" s="0" t="n">
        <v>0.2</v>
      </c>
      <c r="I3394" s="7" t="n">
        <f aca="false">YEAR(B3394)</f>
        <v>2014</v>
      </c>
      <c r="J3394" s="0" t="str">
        <f aca="false">I3394&amp;"-Q"&amp;ROUNDUP(MONTH(B3394)/3,0)</f>
        <v>2014-Q3</v>
      </c>
    </row>
    <row r="3395" customFormat="false" ht="15" hidden="false" customHeight="false" outlineLevel="0" collapsed="false">
      <c r="A3395" s="0" t="s">
        <v>1763</v>
      </c>
      <c r="B3395" s="6" t="n">
        <v>41965</v>
      </c>
      <c r="C3395" s="7" t="s">
        <v>45</v>
      </c>
      <c r="D3395" s="7" t="s">
        <v>46</v>
      </c>
      <c r="E3395" s="7" t="s">
        <v>35</v>
      </c>
      <c r="F3395" s="0" t="n">
        <v>6.928</v>
      </c>
      <c r="G3395" s="0" t="n">
        <v>-11.0848</v>
      </c>
      <c r="H3395" s="0" t="n">
        <v>0.8</v>
      </c>
      <c r="I3395" s="7" t="n">
        <f aca="false">YEAR(B3395)</f>
        <v>2014</v>
      </c>
      <c r="J3395" s="0" t="str">
        <f aca="false">I3395&amp;"-Q"&amp;ROUNDUP(MONTH(B3395)/3,0)</f>
        <v>2014-Q4</v>
      </c>
    </row>
    <row r="3396" customFormat="false" ht="15" hidden="false" customHeight="false" outlineLevel="0" collapsed="false">
      <c r="A3396" s="0" t="s">
        <v>1764</v>
      </c>
      <c r="B3396" s="6" t="n">
        <v>42896</v>
      </c>
      <c r="C3396" s="7" t="s">
        <v>55</v>
      </c>
      <c r="D3396" s="7" t="s">
        <v>56</v>
      </c>
      <c r="E3396" s="7" t="s">
        <v>35</v>
      </c>
      <c r="F3396" s="0" t="n">
        <v>40.032</v>
      </c>
      <c r="G3396" s="0" t="n">
        <v>15.012</v>
      </c>
      <c r="H3396" s="0" t="n">
        <v>0.2</v>
      </c>
      <c r="I3396" s="7" t="n">
        <f aca="false">YEAR(B3396)</f>
        <v>2017</v>
      </c>
      <c r="J3396" s="0" t="str">
        <f aca="false">I3396&amp;"-Q"&amp;ROUNDUP(MONTH(B3396)/3,0)</f>
        <v>2017-Q2</v>
      </c>
    </row>
    <row r="3397" customFormat="false" ht="15" hidden="false" customHeight="false" outlineLevel="0" collapsed="false">
      <c r="A3397" s="0" t="s">
        <v>1765</v>
      </c>
      <c r="B3397" s="6" t="n">
        <v>42917</v>
      </c>
      <c r="C3397" s="7" t="s">
        <v>45</v>
      </c>
      <c r="D3397" s="7" t="s">
        <v>74</v>
      </c>
      <c r="E3397" s="7" t="s">
        <v>35</v>
      </c>
      <c r="F3397" s="0" t="n">
        <v>443.92</v>
      </c>
      <c r="G3397" s="0" t="n">
        <v>13.3176</v>
      </c>
      <c r="H3397" s="0" t="n">
        <v>0</v>
      </c>
      <c r="I3397" s="7" t="n">
        <f aca="false">YEAR(B3397)</f>
        <v>2017</v>
      </c>
      <c r="J3397" s="0" t="str">
        <f aca="false">I3397&amp;"-Q"&amp;ROUNDUP(MONTH(B3397)/3,0)</f>
        <v>2017-Q3</v>
      </c>
    </row>
    <row r="3398" customFormat="false" ht="15" hidden="false" customHeight="false" outlineLevel="0" collapsed="false">
      <c r="A3398" s="0" t="s">
        <v>1765</v>
      </c>
      <c r="B3398" s="6" t="n">
        <v>42917</v>
      </c>
      <c r="C3398" s="7" t="s">
        <v>45</v>
      </c>
      <c r="D3398" s="7" t="s">
        <v>74</v>
      </c>
      <c r="E3398" s="7" t="s">
        <v>35</v>
      </c>
      <c r="F3398" s="0" t="n">
        <v>169.99</v>
      </c>
      <c r="G3398" s="0" t="n">
        <v>78.1954</v>
      </c>
      <c r="H3398" s="0" t="n">
        <v>0</v>
      </c>
      <c r="I3398" s="7" t="n">
        <f aca="false">YEAR(B3398)</f>
        <v>2017</v>
      </c>
      <c r="J3398" s="0" t="str">
        <f aca="false">I3398&amp;"-Q"&amp;ROUNDUP(MONTH(B3398)/3,0)</f>
        <v>2017-Q3</v>
      </c>
    </row>
    <row r="3399" customFormat="false" ht="15" hidden="false" customHeight="false" outlineLevel="0" collapsed="false">
      <c r="A3399" s="0" t="s">
        <v>1765</v>
      </c>
      <c r="B3399" s="6" t="n">
        <v>42917</v>
      </c>
      <c r="C3399" s="7" t="s">
        <v>45</v>
      </c>
      <c r="D3399" s="7" t="s">
        <v>74</v>
      </c>
      <c r="E3399" s="7" t="s">
        <v>35</v>
      </c>
      <c r="F3399" s="0" t="n">
        <v>25.92</v>
      </c>
      <c r="G3399" s="0" t="n">
        <v>12.4416</v>
      </c>
      <c r="H3399" s="0" t="n">
        <v>0</v>
      </c>
      <c r="I3399" s="7" t="n">
        <f aca="false">YEAR(B3399)</f>
        <v>2017</v>
      </c>
      <c r="J3399" s="0" t="str">
        <f aca="false">I3399&amp;"-Q"&amp;ROUNDUP(MONTH(B3399)/3,0)</f>
        <v>2017-Q3</v>
      </c>
    </row>
    <row r="3400" customFormat="false" ht="15" hidden="false" customHeight="false" outlineLevel="0" collapsed="false">
      <c r="A3400" s="0" t="s">
        <v>1766</v>
      </c>
      <c r="B3400" s="6" t="n">
        <v>41964</v>
      </c>
      <c r="C3400" s="7" t="s">
        <v>29</v>
      </c>
      <c r="D3400" s="7" t="s">
        <v>30</v>
      </c>
      <c r="E3400" s="7" t="s">
        <v>39</v>
      </c>
      <c r="F3400" s="0" t="n">
        <v>36.99</v>
      </c>
      <c r="G3400" s="0" t="n">
        <v>9.9873</v>
      </c>
      <c r="H3400" s="0" t="n">
        <v>0</v>
      </c>
      <c r="I3400" s="7" t="n">
        <f aca="false">YEAR(B3400)</f>
        <v>2014</v>
      </c>
      <c r="J3400" s="0" t="str">
        <f aca="false">I3400&amp;"-Q"&amp;ROUNDUP(MONTH(B3400)/3,0)</f>
        <v>2014-Q4</v>
      </c>
    </row>
    <row r="3401" customFormat="false" ht="15" hidden="false" customHeight="false" outlineLevel="0" collapsed="false">
      <c r="A3401" s="0" t="s">
        <v>1766</v>
      </c>
      <c r="B3401" s="6" t="n">
        <v>41964</v>
      </c>
      <c r="C3401" s="7" t="s">
        <v>29</v>
      </c>
      <c r="D3401" s="7" t="s">
        <v>30</v>
      </c>
      <c r="E3401" s="7" t="s">
        <v>35</v>
      </c>
      <c r="F3401" s="0" t="n">
        <v>629.1</v>
      </c>
      <c r="G3401" s="0" t="n">
        <v>301.968</v>
      </c>
      <c r="H3401" s="0" t="n">
        <v>0</v>
      </c>
      <c r="I3401" s="7" t="n">
        <f aca="false">YEAR(B3401)</f>
        <v>2014</v>
      </c>
      <c r="J3401" s="0" t="str">
        <f aca="false">I3401&amp;"-Q"&amp;ROUNDUP(MONTH(B3401)/3,0)</f>
        <v>2014-Q4</v>
      </c>
    </row>
    <row r="3402" customFormat="false" ht="15" hidden="false" customHeight="false" outlineLevel="0" collapsed="false">
      <c r="A3402" s="0" t="s">
        <v>1766</v>
      </c>
      <c r="B3402" s="6" t="n">
        <v>41964</v>
      </c>
      <c r="C3402" s="7" t="s">
        <v>29</v>
      </c>
      <c r="D3402" s="7" t="s">
        <v>30</v>
      </c>
      <c r="E3402" s="7" t="s">
        <v>35</v>
      </c>
      <c r="F3402" s="0" t="n">
        <v>193.95</v>
      </c>
      <c r="G3402" s="0" t="n">
        <v>9.6975</v>
      </c>
      <c r="H3402" s="0" t="n">
        <v>0</v>
      </c>
      <c r="I3402" s="7" t="n">
        <f aca="false">YEAR(B3402)</f>
        <v>2014</v>
      </c>
      <c r="J3402" s="0" t="str">
        <f aca="false">I3402&amp;"-Q"&amp;ROUNDUP(MONTH(B3402)/3,0)</f>
        <v>2014-Q4</v>
      </c>
    </row>
    <row r="3403" customFormat="false" ht="15" hidden="false" customHeight="false" outlineLevel="0" collapsed="false">
      <c r="A3403" s="0" t="s">
        <v>1766</v>
      </c>
      <c r="B3403" s="6" t="n">
        <v>41964</v>
      </c>
      <c r="C3403" s="7" t="s">
        <v>29</v>
      </c>
      <c r="D3403" s="7" t="s">
        <v>30</v>
      </c>
      <c r="E3403" s="7" t="s">
        <v>35</v>
      </c>
      <c r="F3403" s="0" t="n">
        <v>5.46</v>
      </c>
      <c r="G3403" s="0" t="n">
        <v>1.4742</v>
      </c>
      <c r="H3403" s="0" t="n">
        <v>0</v>
      </c>
      <c r="I3403" s="7" t="n">
        <f aca="false">YEAR(B3403)</f>
        <v>2014</v>
      </c>
      <c r="J3403" s="0" t="str">
        <f aca="false">I3403&amp;"-Q"&amp;ROUNDUP(MONTH(B3403)/3,0)</f>
        <v>2014-Q4</v>
      </c>
    </row>
    <row r="3404" customFormat="false" ht="15" hidden="false" customHeight="false" outlineLevel="0" collapsed="false">
      <c r="A3404" s="0" t="s">
        <v>1767</v>
      </c>
      <c r="B3404" s="6" t="n">
        <v>42128</v>
      </c>
      <c r="C3404" s="7" t="s">
        <v>45</v>
      </c>
      <c r="D3404" s="7" t="s">
        <v>64</v>
      </c>
      <c r="E3404" s="7" t="s">
        <v>31</v>
      </c>
      <c r="F3404" s="0" t="n">
        <v>22.288</v>
      </c>
      <c r="G3404" s="0" t="n">
        <v>-8.9152</v>
      </c>
      <c r="H3404" s="0" t="n">
        <v>0.6</v>
      </c>
      <c r="I3404" s="7" t="n">
        <f aca="false">YEAR(B3404)</f>
        <v>2015</v>
      </c>
      <c r="J3404" s="0" t="str">
        <f aca="false">I3404&amp;"-Q"&amp;ROUNDUP(MONTH(B3404)/3,0)</f>
        <v>2015-Q2</v>
      </c>
    </row>
    <row r="3405" customFormat="false" ht="15" hidden="false" customHeight="false" outlineLevel="0" collapsed="false">
      <c r="A3405" s="0" t="s">
        <v>1768</v>
      </c>
      <c r="B3405" s="6" t="n">
        <v>42884</v>
      </c>
      <c r="C3405" s="7" t="s">
        <v>45</v>
      </c>
      <c r="D3405" s="7" t="s">
        <v>46</v>
      </c>
      <c r="E3405" s="7" t="s">
        <v>31</v>
      </c>
      <c r="F3405" s="0" t="n">
        <v>65.424</v>
      </c>
      <c r="G3405" s="0" t="n">
        <v>-52.3392</v>
      </c>
      <c r="H3405" s="0" t="n">
        <v>0.6</v>
      </c>
      <c r="I3405" s="7" t="n">
        <f aca="false">YEAR(B3405)</f>
        <v>2017</v>
      </c>
      <c r="J3405" s="0" t="str">
        <f aca="false">I3405&amp;"-Q"&amp;ROUNDUP(MONTH(B3405)/3,0)</f>
        <v>2017-Q2</v>
      </c>
    </row>
    <row r="3406" customFormat="false" ht="15" hidden="false" customHeight="false" outlineLevel="0" collapsed="false">
      <c r="A3406" s="0" t="s">
        <v>1769</v>
      </c>
      <c r="B3406" s="6" t="n">
        <v>42294</v>
      </c>
      <c r="C3406" s="7" t="s">
        <v>33</v>
      </c>
      <c r="D3406" s="7" t="s">
        <v>34</v>
      </c>
      <c r="E3406" s="7" t="s">
        <v>35</v>
      </c>
      <c r="F3406" s="0" t="n">
        <v>77.88</v>
      </c>
      <c r="G3406" s="0" t="n">
        <v>3.894</v>
      </c>
      <c r="H3406" s="0" t="n">
        <v>0</v>
      </c>
      <c r="I3406" s="7" t="n">
        <f aca="false">YEAR(B3406)</f>
        <v>2015</v>
      </c>
      <c r="J3406" s="0" t="str">
        <f aca="false">I3406&amp;"-Q"&amp;ROUNDUP(MONTH(B3406)/3,0)</f>
        <v>2015-Q4</v>
      </c>
    </row>
    <row r="3407" customFormat="false" ht="15" hidden="false" customHeight="false" outlineLevel="0" collapsed="false">
      <c r="A3407" s="0" t="s">
        <v>1770</v>
      </c>
      <c r="B3407" s="6" t="n">
        <v>41752</v>
      </c>
      <c r="C3407" s="7" t="s">
        <v>55</v>
      </c>
      <c r="D3407" s="7" t="s">
        <v>116</v>
      </c>
      <c r="E3407" s="7" t="s">
        <v>31</v>
      </c>
      <c r="F3407" s="0" t="n">
        <v>281.372</v>
      </c>
      <c r="G3407" s="0" t="n">
        <v>-12.0588</v>
      </c>
      <c r="H3407" s="0" t="n">
        <v>0.3</v>
      </c>
      <c r="I3407" s="7" t="n">
        <f aca="false">YEAR(B3407)</f>
        <v>2014</v>
      </c>
      <c r="J3407" s="0" t="str">
        <f aca="false">I3407&amp;"-Q"&amp;ROUNDUP(MONTH(B3407)/3,0)</f>
        <v>2014-Q2</v>
      </c>
    </row>
    <row r="3408" customFormat="false" ht="15" hidden="false" customHeight="false" outlineLevel="0" collapsed="false">
      <c r="A3408" s="0" t="s">
        <v>1770</v>
      </c>
      <c r="B3408" s="6" t="n">
        <v>41752</v>
      </c>
      <c r="C3408" s="7" t="s">
        <v>55</v>
      </c>
      <c r="D3408" s="7" t="s">
        <v>116</v>
      </c>
      <c r="E3408" s="7" t="s">
        <v>31</v>
      </c>
      <c r="F3408" s="0" t="n">
        <v>281.372</v>
      </c>
      <c r="G3408" s="0" t="n">
        <v>-12.0588</v>
      </c>
      <c r="H3408" s="0" t="n">
        <v>0.3</v>
      </c>
      <c r="I3408" s="7" t="n">
        <f aca="false">YEAR(B3408)</f>
        <v>2014</v>
      </c>
      <c r="J3408" s="0" t="str">
        <f aca="false">I3408&amp;"-Q"&amp;ROUNDUP(MONTH(B3408)/3,0)</f>
        <v>2014-Q2</v>
      </c>
    </row>
    <row r="3409" customFormat="false" ht="15" hidden="false" customHeight="false" outlineLevel="0" collapsed="false">
      <c r="A3409" s="0" t="s">
        <v>1770</v>
      </c>
      <c r="B3409" s="6" t="n">
        <v>41752</v>
      </c>
      <c r="C3409" s="7" t="s">
        <v>55</v>
      </c>
      <c r="D3409" s="7" t="s">
        <v>116</v>
      </c>
      <c r="E3409" s="7" t="s">
        <v>35</v>
      </c>
      <c r="F3409" s="0" t="n">
        <v>7.488</v>
      </c>
      <c r="G3409" s="0" t="n">
        <v>-5.2416</v>
      </c>
      <c r="H3409" s="0" t="n">
        <v>0.7</v>
      </c>
      <c r="I3409" s="7" t="n">
        <f aca="false">YEAR(B3409)</f>
        <v>2014</v>
      </c>
      <c r="J3409" s="0" t="str">
        <f aca="false">I3409&amp;"-Q"&amp;ROUNDUP(MONTH(B3409)/3,0)</f>
        <v>2014-Q2</v>
      </c>
    </row>
    <row r="3410" customFormat="false" ht="15" hidden="false" customHeight="false" outlineLevel="0" collapsed="false">
      <c r="A3410" s="0" t="s">
        <v>1770</v>
      </c>
      <c r="B3410" s="6" t="n">
        <v>41752</v>
      </c>
      <c r="C3410" s="7" t="s">
        <v>55</v>
      </c>
      <c r="D3410" s="7" t="s">
        <v>116</v>
      </c>
      <c r="E3410" s="7" t="s">
        <v>31</v>
      </c>
      <c r="F3410" s="0" t="n">
        <v>22.336</v>
      </c>
      <c r="G3410" s="0" t="n">
        <v>7.8176</v>
      </c>
      <c r="H3410" s="0" t="n">
        <v>0.2</v>
      </c>
      <c r="I3410" s="7" t="n">
        <f aca="false">YEAR(B3410)</f>
        <v>2014</v>
      </c>
      <c r="J3410" s="0" t="str">
        <f aca="false">I3410&amp;"-Q"&amp;ROUNDUP(MONTH(B3410)/3,0)</f>
        <v>2014-Q2</v>
      </c>
    </row>
    <row r="3411" customFormat="false" ht="15" hidden="false" customHeight="false" outlineLevel="0" collapsed="false">
      <c r="A3411" s="0" t="s">
        <v>1771</v>
      </c>
      <c r="B3411" s="6" t="n">
        <v>42855</v>
      </c>
      <c r="C3411" s="7" t="s">
        <v>55</v>
      </c>
      <c r="D3411" s="7" t="s">
        <v>116</v>
      </c>
      <c r="E3411" s="7" t="s">
        <v>35</v>
      </c>
      <c r="F3411" s="0" t="n">
        <v>10.368</v>
      </c>
      <c r="G3411" s="0" t="n">
        <v>3.6288</v>
      </c>
      <c r="H3411" s="0" t="n">
        <v>0.2</v>
      </c>
      <c r="I3411" s="7" t="n">
        <f aca="false">YEAR(B3411)</f>
        <v>2017</v>
      </c>
      <c r="J3411" s="0" t="str">
        <f aca="false">I3411&amp;"-Q"&amp;ROUNDUP(MONTH(B3411)/3,0)</f>
        <v>2017-Q2</v>
      </c>
    </row>
    <row r="3412" customFormat="false" ht="15" hidden="false" customHeight="false" outlineLevel="0" collapsed="false">
      <c r="A3412" s="0" t="s">
        <v>1772</v>
      </c>
      <c r="B3412" s="6" t="n">
        <v>42633</v>
      </c>
      <c r="C3412" s="7" t="s">
        <v>33</v>
      </c>
      <c r="D3412" s="7" t="s">
        <v>34</v>
      </c>
      <c r="E3412" s="7" t="s">
        <v>35</v>
      </c>
      <c r="F3412" s="0" t="n">
        <v>65.79</v>
      </c>
      <c r="G3412" s="0" t="n">
        <v>30.2634</v>
      </c>
      <c r="H3412" s="0" t="n">
        <v>0</v>
      </c>
      <c r="I3412" s="7" t="n">
        <f aca="false">YEAR(B3412)</f>
        <v>2016</v>
      </c>
      <c r="J3412" s="0" t="str">
        <f aca="false">I3412&amp;"-Q"&amp;ROUNDUP(MONTH(B3412)/3,0)</f>
        <v>2016-Q3</v>
      </c>
    </row>
    <row r="3413" customFormat="false" ht="15" hidden="false" customHeight="false" outlineLevel="0" collapsed="false">
      <c r="A3413" s="0" t="s">
        <v>1772</v>
      </c>
      <c r="B3413" s="6" t="n">
        <v>42633</v>
      </c>
      <c r="C3413" s="7" t="s">
        <v>33</v>
      </c>
      <c r="D3413" s="7" t="s">
        <v>34</v>
      </c>
      <c r="E3413" s="7" t="s">
        <v>35</v>
      </c>
      <c r="F3413" s="0" t="n">
        <v>271.984</v>
      </c>
      <c r="G3413" s="0" t="n">
        <v>88.3948</v>
      </c>
      <c r="H3413" s="0" t="n">
        <v>0.2</v>
      </c>
      <c r="I3413" s="7" t="n">
        <f aca="false">YEAR(B3413)</f>
        <v>2016</v>
      </c>
      <c r="J3413" s="0" t="str">
        <f aca="false">I3413&amp;"-Q"&amp;ROUNDUP(MONTH(B3413)/3,0)</f>
        <v>2016-Q3</v>
      </c>
    </row>
    <row r="3414" customFormat="false" ht="15" hidden="false" customHeight="false" outlineLevel="0" collapsed="false">
      <c r="A3414" s="0" t="s">
        <v>1772</v>
      </c>
      <c r="B3414" s="6" t="n">
        <v>42633</v>
      </c>
      <c r="C3414" s="7" t="s">
        <v>33</v>
      </c>
      <c r="D3414" s="7" t="s">
        <v>34</v>
      </c>
      <c r="E3414" s="7" t="s">
        <v>35</v>
      </c>
      <c r="F3414" s="0" t="n">
        <v>11.76</v>
      </c>
      <c r="G3414" s="0" t="n">
        <v>3.1752</v>
      </c>
      <c r="H3414" s="0" t="n">
        <v>0</v>
      </c>
      <c r="I3414" s="7" t="n">
        <f aca="false">YEAR(B3414)</f>
        <v>2016</v>
      </c>
      <c r="J3414" s="0" t="str">
        <f aca="false">I3414&amp;"-Q"&amp;ROUNDUP(MONTH(B3414)/3,0)</f>
        <v>2016-Q3</v>
      </c>
    </row>
    <row r="3415" customFormat="false" ht="15" hidden="false" customHeight="false" outlineLevel="0" collapsed="false">
      <c r="A3415" s="0" t="s">
        <v>1772</v>
      </c>
      <c r="B3415" s="6" t="n">
        <v>42633</v>
      </c>
      <c r="C3415" s="7" t="s">
        <v>33</v>
      </c>
      <c r="D3415" s="7" t="s">
        <v>34</v>
      </c>
      <c r="E3415" s="7" t="s">
        <v>35</v>
      </c>
      <c r="F3415" s="0" t="n">
        <v>77.52</v>
      </c>
      <c r="G3415" s="0" t="n">
        <v>37.9848</v>
      </c>
      <c r="H3415" s="0" t="n">
        <v>0</v>
      </c>
      <c r="I3415" s="7" t="n">
        <f aca="false">YEAR(B3415)</f>
        <v>2016</v>
      </c>
      <c r="J3415" s="0" t="str">
        <f aca="false">I3415&amp;"-Q"&amp;ROUNDUP(MONTH(B3415)/3,0)</f>
        <v>2016-Q3</v>
      </c>
    </row>
    <row r="3416" customFormat="false" ht="15" hidden="false" customHeight="false" outlineLevel="0" collapsed="false">
      <c r="A3416" s="0" t="s">
        <v>1772</v>
      </c>
      <c r="B3416" s="6" t="n">
        <v>42633</v>
      </c>
      <c r="C3416" s="7" t="s">
        <v>33</v>
      </c>
      <c r="D3416" s="7" t="s">
        <v>34</v>
      </c>
      <c r="E3416" s="7" t="s">
        <v>35</v>
      </c>
      <c r="F3416" s="0" t="n">
        <v>48.64</v>
      </c>
      <c r="G3416" s="0" t="n">
        <v>15.808</v>
      </c>
      <c r="H3416" s="0" t="n">
        <v>0.2</v>
      </c>
      <c r="I3416" s="7" t="n">
        <f aca="false">YEAR(B3416)</f>
        <v>2016</v>
      </c>
      <c r="J3416" s="0" t="str">
        <f aca="false">I3416&amp;"-Q"&amp;ROUNDUP(MONTH(B3416)/3,0)</f>
        <v>2016-Q3</v>
      </c>
    </row>
    <row r="3417" customFormat="false" ht="15" hidden="false" customHeight="false" outlineLevel="0" collapsed="false">
      <c r="A3417" s="0" t="s">
        <v>1773</v>
      </c>
      <c r="B3417" s="6" t="n">
        <v>42615</v>
      </c>
      <c r="C3417" s="7" t="s">
        <v>45</v>
      </c>
      <c r="D3417" s="7" t="s">
        <v>48</v>
      </c>
      <c r="E3417" s="7" t="s">
        <v>35</v>
      </c>
      <c r="F3417" s="0" t="n">
        <v>1.81</v>
      </c>
      <c r="G3417" s="0" t="n">
        <v>0.6516</v>
      </c>
      <c r="H3417" s="0" t="n">
        <v>0</v>
      </c>
      <c r="I3417" s="7" t="n">
        <f aca="false">YEAR(B3417)</f>
        <v>2016</v>
      </c>
      <c r="J3417" s="0" t="str">
        <f aca="false">I3417&amp;"-Q"&amp;ROUNDUP(MONTH(B3417)/3,0)</f>
        <v>2016-Q3</v>
      </c>
    </row>
    <row r="3418" customFormat="false" ht="15" hidden="false" customHeight="false" outlineLevel="0" collapsed="false">
      <c r="A3418" s="0" t="s">
        <v>1773</v>
      </c>
      <c r="B3418" s="6" t="n">
        <v>42615</v>
      </c>
      <c r="C3418" s="7" t="s">
        <v>45</v>
      </c>
      <c r="D3418" s="7" t="s">
        <v>48</v>
      </c>
      <c r="E3418" s="7" t="s">
        <v>35</v>
      </c>
      <c r="F3418" s="0" t="n">
        <v>8.26</v>
      </c>
      <c r="G3418" s="0" t="n">
        <v>3.8822</v>
      </c>
      <c r="H3418" s="0" t="n">
        <v>0</v>
      </c>
      <c r="I3418" s="7" t="n">
        <f aca="false">YEAR(B3418)</f>
        <v>2016</v>
      </c>
      <c r="J3418" s="0" t="str">
        <f aca="false">I3418&amp;"-Q"&amp;ROUNDUP(MONTH(B3418)/3,0)</f>
        <v>2016-Q3</v>
      </c>
    </row>
    <row r="3419" customFormat="false" ht="15" hidden="false" customHeight="false" outlineLevel="0" collapsed="false">
      <c r="A3419" s="0" t="s">
        <v>1774</v>
      </c>
      <c r="B3419" s="6" t="n">
        <v>42121</v>
      </c>
      <c r="C3419" s="7" t="s">
        <v>33</v>
      </c>
      <c r="D3419" s="7" t="s">
        <v>109</v>
      </c>
      <c r="E3419" s="7" t="s">
        <v>35</v>
      </c>
      <c r="F3419" s="0" t="n">
        <v>43.56</v>
      </c>
      <c r="G3419" s="0" t="n">
        <v>3.267</v>
      </c>
      <c r="H3419" s="0" t="n">
        <v>0.2</v>
      </c>
      <c r="I3419" s="7" t="n">
        <f aca="false">YEAR(B3419)</f>
        <v>2015</v>
      </c>
      <c r="J3419" s="0" t="str">
        <f aca="false">I3419&amp;"-Q"&amp;ROUNDUP(MONTH(B3419)/3,0)</f>
        <v>2015-Q2</v>
      </c>
    </row>
    <row r="3420" customFormat="false" ht="15" hidden="false" customHeight="false" outlineLevel="0" collapsed="false">
      <c r="A3420" s="0" t="s">
        <v>1774</v>
      </c>
      <c r="B3420" s="6" t="n">
        <v>42121</v>
      </c>
      <c r="C3420" s="7" t="s">
        <v>33</v>
      </c>
      <c r="D3420" s="7" t="s">
        <v>109</v>
      </c>
      <c r="E3420" s="7" t="s">
        <v>35</v>
      </c>
      <c r="F3420" s="0" t="n">
        <v>5.84</v>
      </c>
      <c r="G3420" s="0" t="n">
        <v>0.73</v>
      </c>
      <c r="H3420" s="0" t="n">
        <v>0.2</v>
      </c>
      <c r="I3420" s="7" t="n">
        <f aca="false">YEAR(B3420)</f>
        <v>2015</v>
      </c>
      <c r="J3420" s="0" t="str">
        <f aca="false">I3420&amp;"-Q"&amp;ROUNDUP(MONTH(B3420)/3,0)</f>
        <v>2015-Q2</v>
      </c>
    </row>
    <row r="3421" customFormat="false" ht="15" hidden="false" customHeight="false" outlineLevel="0" collapsed="false">
      <c r="A3421" s="0" t="s">
        <v>1775</v>
      </c>
      <c r="B3421" s="6" t="n">
        <v>42253</v>
      </c>
      <c r="C3421" s="7" t="s">
        <v>55</v>
      </c>
      <c r="D3421" s="7" t="s">
        <v>76</v>
      </c>
      <c r="E3421" s="7" t="s">
        <v>31</v>
      </c>
      <c r="F3421" s="0" t="n">
        <v>271.764</v>
      </c>
      <c r="G3421" s="0" t="n">
        <v>60.392</v>
      </c>
      <c r="H3421" s="0" t="n">
        <v>0.1</v>
      </c>
      <c r="I3421" s="7" t="n">
        <f aca="false">YEAR(B3421)</f>
        <v>2015</v>
      </c>
      <c r="J3421" s="0" t="str">
        <f aca="false">I3421&amp;"-Q"&amp;ROUNDUP(MONTH(B3421)/3,0)</f>
        <v>2015-Q3</v>
      </c>
    </row>
    <row r="3422" customFormat="false" ht="15" hidden="false" customHeight="false" outlineLevel="0" collapsed="false">
      <c r="A3422" s="0" t="s">
        <v>1776</v>
      </c>
      <c r="B3422" s="6" t="n">
        <v>42518</v>
      </c>
      <c r="C3422" s="7" t="s">
        <v>33</v>
      </c>
      <c r="D3422" s="7" t="s">
        <v>34</v>
      </c>
      <c r="E3422" s="7" t="s">
        <v>35</v>
      </c>
      <c r="F3422" s="0" t="n">
        <v>262.24</v>
      </c>
      <c r="G3422" s="0" t="n">
        <v>78.672</v>
      </c>
      <c r="H3422" s="0" t="n">
        <v>0</v>
      </c>
      <c r="I3422" s="7" t="n">
        <f aca="false">YEAR(B3422)</f>
        <v>2016</v>
      </c>
      <c r="J3422" s="0" t="str">
        <f aca="false">I3422&amp;"-Q"&amp;ROUNDUP(MONTH(B3422)/3,0)</f>
        <v>2016-Q2</v>
      </c>
    </row>
    <row r="3423" customFormat="false" ht="15" hidden="false" customHeight="false" outlineLevel="0" collapsed="false">
      <c r="A3423" s="0" t="s">
        <v>1776</v>
      </c>
      <c r="B3423" s="6" t="n">
        <v>42518</v>
      </c>
      <c r="C3423" s="7" t="s">
        <v>33</v>
      </c>
      <c r="D3423" s="7" t="s">
        <v>34</v>
      </c>
      <c r="E3423" s="7" t="s">
        <v>35</v>
      </c>
      <c r="F3423" s="0" t="n">
        <v>182.72</v>
      </c>
      <c r="G3423" s="0" t="n">
        <v>84.0512</v>
      </c>
      <c r="H3423" s="0" t="n">
        <v>0</v>
      </c>
      <c r="I3423" s="7" t="n">
        <f aca="false">YEAR(B3423)</f>
        <v>2016</v>
      </c>
      <c r="J3423" s="0" t="str">
        <f aca="false">I3423&amp;"-Q"&amp;ROUNDUP(MONTH(B3423)/3,0)</f>
        <v>2016-Q2</v>
      </c>
    </row>
    <row r="3424" customFormat="false" ht="15" hidden="false" customHeight="false" outlineLevel="0" collapsed="false">
      <c r="A3424" s="0" t="s">
        <v>1776</v>
      </c>
      <c r="B3424" s="6" t="n">
        <v>42518</v>
      </c>
      <c r="C3424" s="7" t="s">
        <v>33</v>
      </c>
      <c r="D3424" s="7" t="s">
        <v>34</v>
      </c>
      <c r="E3424" s="7" t="s">
        <v>39</v>
      </c>
      <c r="F3424" s="0" t="n">
        <v>131.6</v>
      </c>
      <c r="G3424" s="0" t="n">
        <v>7.896</v>
      </c>
      <c r="H3424" s="0" t="n">
        <v>0</v>
      </c>
      <c r="I3424" s="7" t="n">
        <f aca="false">YEAR(B3424)</f>
        <v>2016</v>
      </c>
      <c r="J3424" s="0" t="str">
        <f aca="false">I3424&amp;"-Q"&amp;ROUNDUP(MONTH(B3424)/3,0)</f>
        <v>2016-Q2</v>
      </c>
    </row>
    <row r="3425" customFormat="false" ht="15" hidden="false" customHeight="false" outlineLevel="0" collapsed="false">
      <c r="A3425" s="0" t="s">
        <v>1776</v>
      </c>
      <c r="B3425" s="6" t="n">
        <v>42518</v>
      </c>
      <c r="C3425" s="7" t="s">
        <v>33</v>
      </c>
      <c r="D3425" s="7" t="s">
        <v>34</v>
      </c>
      <c r="E3425" s="7" t="s">
        <v>35</v>
      </c>
      <c r="F3425" s="0" t="n">
        <v>22.72</v>
      </c>
      <c r="G3425" s="0" t="n">
        <v>7.384</v>
      </c>
      <c r="H3425" s="0" t="n">
        <v>0.2</v>
      </c>
      <c r="I3425" s="7" t="n">
        <f aca="false">YEAR(B3425)</f>
        <v>2016</v>
      </c>
      <c r="J3425" s="0" t="str">
        <f aca="false">I3425&amp;"-Q"&amp;ROUNDUP(MONTH(B3425)/3,0)</f>
        <v>2016-Q2</v>
      </c>
    </row>
    <row r="3426" customFormat="false" ht="15" hidden="false" customHeight="false" outlineLevel="0" collapsed="false">
      <c r="A3426" s="0" t="s">
        <v>1776</v>
      </c>
      <c r="B3426" s="6" t="n">
        <v>42518</v>
      </c>
      <c r="C3426" s="7" t="s">
        <v>33</v>
      </c>
      <c r="D3426" s="7" t="s">
        <v>34</v>
      </c>
      <c r="E3426" s="7" t="s">
        <v>39</v>
      </c>
      <c r="F3426" s="0" t="n">
        <v>558.4</v>
      </c>
      <c r="G3426" s="0" t="n">
        <v>41.88</v>
      </c>
      <c r="H3426" s="0" t="n">
        <v>0.2</v>
      </c>
      <c r="I3426" s="7" t="n">
        <f aca="false">YEAR(B3426)</f>
        <v>2016</v>
      </c>
      <c r="J3426" s="0" t="str">
        <f aca="false">I3426&amp;"-Q"&amp;ROUNDUP(MONTH(B3426)/3,0)</f>
        <v>2016-Q2</v>
      </c>
    </row>
    <row r="3427" customFormat="false" ht="15" hidden="false" customHeight="false" outlineLevel="0" collapsed="false">
      <c r="A3427" s="0" t="s">
        <v>1777</v>
      </c>
      <c r="B3427" s="6" t="n">
        <v>42271</v>
      </c>
      <c r="C3427" s="7" t="s">
        <v>45</v>
      </c>
      <c r="D3427" s="7" t="s">
        <v>114</v>
      </c>
      <c r="E3427" s="7" t="s">
        <v>35</v>
      </c>
      <c r="F3427" s="0" t="n">
        <v>15.24</v>
      </c>
      <c r="G3427" s="0" t="n">
        <v>6.858</v>
      </c>
      <c r="H3427" s="0" t="n">
        <v>0</v>
      </c>
      <c r="I3427" s="7" t="n">
        <f aca="false">YEAR(B3427)</f>
        <v>2015</v>
      </c>
      <c r="J3427" s="0" t="str">
        <f aca="false">I3427&amp;"-Q"&amp;ROUNDUP(MONTH(B3427)/3,0)</f>
        <v>2015-Q3</v>
      </c>
    </row>
    <row r="3428" customFormat="false" ht="15" hidden="false" customHeight="false" outlineLevel="0" collapsed="false">
      <c r="A3428" s="0" t="s">
        <v>1777</v>
      </c>
      <c r="B3428" s="6" t="n">
        <v>42271</v>
      </c>
      <c r="C3428" s="7" t="s">
        <v>45</v>
      </c>
      <c r="D3428" s="7" t="s">
        <v>114</v>
      </c>
      <c r="E3428" s="7" t="s">
        <v>31</v>
      </c>
      <c r="F3428" s="0" t="n">
        <v>1408.1</v>
      </c>
      <c r="G3428" s="0" t="n">
        <v>394.268</v>
      </c>
      <c r="H3428" s="0" t="n">
        <v>0</v>
      </c>
      <c r="I3428" s="7" t="n">
        <f aca="false">YEAR(B3428)</f>
        <v>2015</v>
      </c>
      <c r="J3428" s="0" t="str">
        <f aca="false">I3428&amp;"-Q"&amp;ROUNDUP(MONTH(B3428)/3,0)</f>
        <v>2015-Q3</v>
      </c>
    </row>
    <row r="3429" customFormat="false" ht="15" hidden="false" customHeight="false" outlineLevel="0" collapsed="false">
      <c r="A3429" s="0" t="s">
        <v>1778</v>
      </c>
      <c r="B3429" s="6" t="n">
        <v>42919</v>
      </c>
      <c r="C3429" s="7" t="s">
        <v>55</v>
      </c>
      <c r="D3429" s="7" t="s">
        <v>116</v>
      </c>
      <c r="E3429" s="7" t="s">
        <v>35</v>
      </c>
      <c r="F3429" s="0" t="n">
        <v>32.896</v>
      </c>
      <c r="G3429" s="0" t="n">
        <v>11.1024</v>
      </c>
      <c r="H3429" s="0" t="n">
        <v>0.2</v>
      </c>
      <c r="I3429" s="7" t="n">
        <f aca="false">YEAR(B3429)</f>
        <v>2017</v>
      </c>
      <c r="J3429" s="0" t="str">
        <f aca="false">I3429&amp;"-Q"&amp;ROUNDUP(MONTH(B3429)/3,0)</f>
        <v>2017-Q3</v>
      </c>
    </row>
    <row r="3430" customFormat="false" ht="15" hidden="false" customHeight="false" outlineLevel="0" collapsed="false">
      <c r="A3430" s="0" t="s">
        <v>1778</v>
      </c>
      <c r="B3430" s="6" t="n">
        <v>42919</v>
      </c>
      <c r="C3430" s="7" t="s">
        <v>55</v>
      </c>
      <c r="D3430" s="7" t="s">
        <v>116</v>
      </c>
      <c r="E3430" s="7" t="s">
        <v>31</v>
      </c>
      <c r="F3430" s="0" t="n">
        <v>215.148</v>
      </c>
      <c r="G3430" s="0" t="n">
        <v>-103.9882</v>
      </c>
      <c r="H3430" s="0" t="n">
        <v>0.4</v>
      </c>
      <c r="I3430" s="7" t="n">
        <f aca="false">YEAR(B3430)</f>
        <v>2017</v>
      </c>
      <c r="J3430" s="0" t="str">
        <f aca="false">I3430&amp;"-Q"&amp;ROUNDUP(MONTH(B3430)/3,0)</f>
        <v>2017-Q3</v>
      </c>
    </row>
    <row r="3431" customFormat="false" ht="15" hidden="false" customHeight="false" outlineLevel="0" collapsed="false">
      <c r="A3431" s="0" t="s">
        <v>1778</v>
      </c>
      <c r="B3431" s="6" t="n">
        <v>42919</v>
      </c>
      <c r="C3431" s="7" t="s">
        <v>55</v>
      </c>
      <c r="D3431" s="7" t="s">
        <v>116</v>
      </c>
      <c r="E3431" s="7" t="s">
        <v>35</v>
      </c>
      <c r="F3431" s="0" t="n">
        <v>30.96</v>
      </c>
      <c r="G3431" s="0" t="n">
        <v>11.223</v>
      </c>
      <c r="H3431" s="0" t="n">
        <v>0.2</v>
      </c>
      <c r="I3431" s="7" t="n">
        <f aca="false">YEAR(B3431)</f>
        <v>2017</v>
      </c>
      <c r="J3431" s="0" t="str">
        <f aca="false">I3431&amp;"-Q"&amp;ROUNDUP(MONTH(B3431)/3,0)</f>
        <v>2017-Q3</v>
      </c>
    </row>
    <row r="3432" customFormat="false" ht="15" hidden="false" customHeight="false" outlineLevel="0" collapsed="false">
      <c r="A3432" s="0" t="s">
        <v>1779</v>
      </c>
      <c r="B3432" s="6" t="n">
        <v>43077</v>
      </c>
      <c r="C3432" s="7" t="s">
        <v>33</v>
      </c>
      <c r="D3432" s="7" t="s">
        <v>34</v>
      </c>
      <c r="E3432" s="7" t="s">
        <v>35</v>
      </c>
      <c r="F3432" s="0" t="n">
        <v>29.79</v>
      </c>
      <c r="G3432" s="0" t="n">
        <v>8.6391</v>
      </c>
      <c r="H3432" s="0" t="n">
        <v>0</v>
      </c>
      <c r="I3432" s="7" t="n">
        <f aca="false">YEAR(B3432)</f>
        <v>2017</v>
      </c>
      <c r="J3432" s="0" t="str">
        <f aca="false">I3432&amp;"-Q"&amp;ROUNDUP(MONTH(B3432)/3,0)</f>
        <v>2017-Q4</v>
      </c>
    </row>
    <row r="3433" customFormat="false" ht="15" hidden="false" customHeight="false" outlineLevel="0" collapsed="false">
      <c r="A3433" s="0" t="s">
        <v>1779</v>
      </c>
      <c r="B3433" s="6" t="n">
        <v>43077</v>
      </c>
      <c r="C3433" s="7" t="s">
        <v>33</v>
      </c>
      <c r="D3433" s="7" t="s">
        <v>34</v>
      </c>
      <c r="E3433" s="7" t="s">
        <v>31</v>
      </c>
      <c r="F3433" s="0" t="n">
        <v>128.9</v>
      </c>
      <c r="G3433" s="0" t="n">
        <v>15.468</v>
      </c>
      <c r="H3433" s="0" t="n">
        <v>0</v>
      </c>
      <c r="I3433" s="7" t="n">
        <f aca="false">YEAR(B3433)</f>
        <v>2017</v>
      </c>
      <c r="J3433" s="0" t="str">
        <f aca="false">I3433&amp;"-Q"&amp;ROUNDUP(MONTH(B3433)/3,0)</f>
        <v>2017-Q4</v>
      </c>
    </row>
    <row r="3434" customFormat="false" ht="15" hidden="false" customHeight="false" outlineLevel="0" collapsed="false">
      <c r="A3434" s="0" t="s">
        <v>1779</v>
      </c>
      <c r="B3434" s="6" t="n">
        <v>43077</v>
      </c>
      <c r="C3434" s="7" t="s">
        <v>33</v>
      </c>
      <c r="D3434" s="7" t="s">
        <v>34</v>
      </c>
      <c r="E3434" s="7" t="s">
        <v>35</v>
      </c>
      <c r="F3434" s="0" t="n">
        <v>60.12</v>
      </c>
      <c r="G3434" s="0" t="n">
        <v>28.8576</v>
      </c>
      <c r="H3434" s="0" t="n">
        <v>0</v>
      </c>
      <c r="I3434" s="7" t="n">
        <f aca="false">YEAR(B3434)</f>
        <v>2017</v>
      </c>
      <c r="J3434" s="0" t="str">
        <f aca="false">I3434&amp;"-Q"&amp;ROUNDUP(MONTH(B3434)/3,0)</f>
        <v>2017-Q4</v>
      </c>
    </row>
    <row r="3435" customFormat="false" ht="15" hidden="false" customHeight="false" outlineLevel="0" collapsed="false">
      <c r="A3435" s="0" t="s">
        <v>1780</v>
      </c>
      <c r="B3435" s="6" t="n">
        <v>43074</v>
      </c>
      <c r="C3435" s="7" t="s">
        <v>33</v>
      </c>
      <c r="D3435" s="7" t="s">
        <v>43</v>
      </c>
      <c r="E3435" s="7" t="s">
        <v>35</v>
      </c>
      <c r="F3435" s="0" t="n">
        <v>24.816</v>
      </c>
      <c r="G3435" s="0" t="n">
        <v>8.3754</v>
      </c>
      <c r="H3435" s="0" t="n">
        <v>0.2</v>
      </c>
      <c r="I3435" s="7" t="n">
        <f aca="false">YEAR(B3435)</f>
        <v>2017</v>
      </c>
      <c r="J3435" s="0" t="str">
        <f aca="false">I3435&amp;"-Q"&amp;ROUNDUP(MONTH(B3435)/3,0)</f>
        <v>2017-Q4</v>
      </c>
    </row>
    <row r="3436" customFormat="false" ht="15" hidden="false" customHeight="false" outlineLevel="0" collapsed="false">
      <c r="A3436" s="0" t="s">
        <v>1780</v>
      </c>
      <c r="B3436" s="6" t="n">
        <v>43074</v>
      </c>
      <c r="C3436" s="7" t="s">
        <v>33</v>
      </c>
      <c r="D3436" s="7" t="s">
        <v>43</v>
      </c>
      <c r="E3436" s="7" t="s">
        <v>35</v>
      </c>
      <c r="F3436" s="0" t="n">
        <v>14.976</v>
      </c>
      <c r="G3436" s="0" t="n">
        <v>5.4288</v>
      </c>
      <c r="H3436" s="0" t="n">
        <v>0.2</v>
      </c>
      <c r="I3436" s="7" t="n">
        <f aca="false">YEAR(B3436)</f>
        <v>2017</v>
      </c>
      <c r="J3436" s="0" t="str">
        <f aca="false">I3436&amp;"-Q"&amp;ROUNDUP(MONTH(B3436)/3,0)</f>
        <v>2017-Q4</v>
      </c>
    </row>
    <row r="3437" customFormat="false" ht="15" hidden="false" customHeight="false" outlineLevel="0" collapsed="false">
      <c r="A3437" s="0" t="s">
        <v>1781</v>
      </c>
      <c r="B3437" s="6" t="n">
        <v>42274</v>
      </c>
      <c r="C3437" s="7" t="s">
        <v>45</v>
      </c>
      <c r="D3437" s="7" t="s">
        <v>64</v>
      </c>
      <c r="E3437" s="7" t="s">
        <v>35</v>
      </c>
      <c r="F3437" s="0" t="n">
        <v>15.08</v>
      </c>
      <c r="G3437" s="0" t="n">
        <v>-22.62</v>
      </c>
      <c r="H3437" s="0" t="n">
        <v>0.8</v>
      </c>
      <c r="I3437" s="7" t="n">
        <f aca="false">YEAR(B3437)</f>
        <v>2015</v>
      </c>
      <c r="J3437" s="0" t="str">
        <f aca="false">I3437&amp;"-Q"&amp;ROUNDUP(MONTH(B3437)/3,0)</f>
        <v>2015-Q3</v>
      </c>
    </row>
    <row r="3438" customFormat="false" ht="15" hidden="false" customHeight="false" outlineLevel="0" collapsed="false">
      <c r="A3438" s="0" t="s">
        <v>1781</v>
      </c>
      <c r="B3438" s="6" t="n">
        <v>42274</v>
      </c>
      <c r="C3438" s="7" t="s">
        <v>45</v>
      </c>
      <c r="D3438" s="7" t="s">
        <v>64</v>
      </c>
      <c r="E3438" s="7" t="s">
        <v>31</v>
      </c>
      <c r="F3438" s="0" t="n">
        <v>24.288</v>
      </c>
      <c r="G3438" s="0" t="n">
        <v>-12.7512</v>
      </c>
      <c r="H3438" s="0" t="n">
        <v>0.6</v>
      </c>
      <c r="I3438" s="7" t="n">
        <f aca="false">YEAR(B3438)</f>
        <v>2015</v>
      </c>
      <c r="J3438" s="0" t="str">
        <f aca="false">I3438&amp;"-Q"&amp;ROUNDUP(MONTH(B3438)/3,0)</f>
        <v>2015-Q3</v>
      </c>
    </row>
    <row r="3439" customFormat="false" ht="15" hidden="false" customHeight="false" outlineLevel="0" collapsed="false">
      <c r="A3439" s="0" t="s">
        <v>1782</v>
      </c>
      <c r="B3439" s="6" t="n">
        <v>43038</v>
      </c>
      <c r="C3439" s="7" t="s">
        <v>45</v>
      </c>
      <c r="D3439" s="7" t="s">
        <v>46</v>
      </c>
      <c r="E3439" s="7" t="s">
        <v>31</v>
      </c>
      <c r="F3439" s="0" t="n">
        <v>16.192</v>
      </c>
      <c r="G3439" s="0" t="n">
        <v>-8.5008</v>
      </c>
      <c r="H3439" s="0" t="n">
        <v>0.6</v>
      </c>
      <c r="I3439" s="7" t="n">
        <f aca="false">YEAR(B3439)</f>
        <v>2017</v>
      </c>
      <c r="J3439" s="0" t="str">
        <f aca="false">I3439&amp;"-Q"&amp;ROUNDUP(MONTH(B3439)/3,0)</f>
        <v>2017-Q4</v>
      </c>
    </row>
    <row r="3440" customFormat="false" ht="15" hidden="false" customHeight="false" outlineLevel="0" collapsed="false">
      <c r="A3440" s="0" t="s">
        <v>1782</v>
      </c>
      <c r="B3440" s="6" t="n">
        <v>43038</v>
      </c>
      <c r="C3440" s="7" t="s">
        <v>45</v>
      </c>
      <c r="D3440" s="7" t="s">
        <v>46</v>
      </c>
      <c r="E3440" s="7" t="s">
        <v>31</v>
      </c>
      <c r="F3440" s="0" t="n">
        <v>251.006</v>
      </c>
      <c r="G3440" s="0" t="n">
        <v>-68.1302</v>
      </c>
      <c r="H3440" s="0" t="n">
        <v>0.3</v>
      </c>
      <c r="I3440" s="7" t="n">
        <f aca="false">YEAR(B3440)</f>
        <v>2017</v>
      </c>
      <c r="J3440" s="0" t="str">
        <f aca="false">I3440&amp;"-Q"&amp;ROUNDUP(MONTH(B3440)/3,0)</f>
        <v>2017-Q4</v>
      </c>
    </row>
    <row r="3441" customFormat="false" ht="15" hidden="false" customHeight="false" outlineLevel="0" collapsed="false">
      <c r="A3441" s="0" t="s">
        <v>1782</v>
      </c>
      <c r="B3441" s="6" t="n">
        <v>43038</v>
      </c>
      <c r="C3441" s="7" t="s">
        <v>45</v>
      </c>
      <c r="D3441" s="7" t="s">
        <v>46</v>
      </c>
      <c r="E3441" s="7" t="s">
        <v>35</v>
      </c>
      <c r="F3441" s="0" t="n">
        <v>54.192</v>
      </c>
      <c r="G3441" s="0" t="n">
        <v>4.0644</v>
      </c>
      <c r="H3441" s="0" t="n">
        <v>0.2</v>
      </c>
      <c r="I3441" s="7" t="n">
        <f aca="false">YEAR(B3441)</f>
        <v>2017</v>
      </c>
      <c r="J3441" s="0" t="str">
        <f aca="false">I3441&amp;"-Q"&amp;ROUNDUP(MONTH(B3441)/3,0)</f>
        <v>2017-Q4</v>
      </c>
    </row>
    <row r="3442" customFormat="false" ht="15" hidden="false" customHeight="false" outlineLevel="0" collapsed="false">
      <c r="A3442" s="0" t="s">
        <v>1783</v>
      </c>
      <c r="B3442" s="6" t="n">
        <v>42337</v>
      </c>
      <c r="C3442" s="7" t="s">
        <v>33</v>
      </c>
      <c r="D3442" s="7" t="s">
        <v>34</v>
      </c>
      <c r="E3442" s="7" t="s">
        <v>35</v>
      </c>
      <c r="F3442" s="0" t="n">
        <v>4.304</v>
      </c>
      <c r="G3442" s="0" t="n">
        <v>1.5602</v>
      </c>
      <c r="H3442" s="0" t="n">
        <v>0.2</v>
      </c>
      <c r="I3442" s="7" t="n">
        <f aca="false">YEAR(B3442)</f>
        <v>2015</v>
      </c>
      <c r="J3442" s="0" t="str">
        <f aca="false">I3442&amp;"-Q"&amp;ROUNDUP(MONTH(B3442)/3,0)</f>
        <v>2015-Q4</v>
      </c>
    </row>
    <row r="3443" customFormat="false" ht="15" hidden="false" customHeight="false" outlineLevel="0" collapsed="false">
      <c r="A3443" s="0" t="s">
        <v>1784</v>
      </c>
      <c r="B3443" s="6" t="n">
        <v>41709</v>
      </c>
      <c r="C3443" s="7" t="s">
        <v>55</v>
      </c>
      <c r="D3443" s="7" t="s">
        <v>76</v>
      </c>
      <c r="E3443" s="7" t="s">
        <v>35</v>
      </c>
      <c r="F3443" s="0" t="n">
        <v>108.92</v>
      </c>
      <c r="G3443" s="0" t="n">
        <v>49.014</v>
      </c>
      <c r="H3443" s="0" t="n">
        <v>0</v>
      </c>
      <c r="I3443" s="7" t="n">
        <f aca="false">YEAR(B3443)</f>
        <v>2014</v>
      </c>
      <c r="J3443" s="0" t="str">
        <f aca="false">I3443&amp;"-Q"&amp;ROUNDUP(MONTH(B3443)/3,0)</f>
        <v>2014-Q1</v>
      </c>
    </row>
    <row r="3444" customFormat="false" ht="15" hidden="false" customHeight="false" outlineLevel="0" collapsed="false">
      <c r="A3444" s="0" t="s">
        <v>1785</v>
      </c>
      <c r="B3444" s="6" t="n">
        <v>43058</v>
      </c>
      <c r="C3444" s="7" t="s">
        <v>55</v>
      </c>
      <c r="D3444" s="7" t="s">
        <v>76</v>
      </c>
      <c r="E3444" s="7" t="s">
        <v>35</v>
      </c>
      <c r="F3444" s="0" t="n">
        <v>16.74</v>
      </c>
      <c r="G3444" s="0" t="n">
        <v>8.37</v>
      </c>
      <c r="H3444" s="0" t="n">
        <v>0</v>
      </c>
      <c r="I3444" s="7" t="n">
        <f aca="false">YEAR(B3444)</f>
        <v>2017</v>
      </c>
      <c r="J3444" s="0" t="str">
        <f aca="false">I3444&amp;"-Q"&amp;ROUNDUP(MONTH(B3444)/3,0)</f>
        <v>2017-Q4</v>
      </c>
    </row>
    <row r="3445" customFormat="false" ht="15" hidden="false" customHeight="false" outlineLevel="0" collapsed="false">
      <c r="A3445" s="0" t="s">
        <v>1785</v>
      </c>
      <c r="B3445" s="6" t="n">
        <v>43058</v>
      </c>
      <c r="C3445" s="7" t="s">
        <v>55</v>
      </c>
      <c r="D3445" s="7" t="s">
        <v>76</v>
      </c>
      <c r="E3445" s="7" t="s">
        <v>35</v>
      </c>
      <c r="F3445" s="0" t="n">
        <v>2504.74</v>
      </c>
      <c r="G3445" s="0" t="n">
        <v>626.185</v>
      </c>
      <c r="H3445" s="0" t="n">
        <v>0</v>
      </c>
      <c r="I3445" s="7" t="n">
        <f aca="false">YEAR(B3445)</f>
        <v>2017</v>
      </c>
      <c r="J3445" s="0" t="str">
        <f aca="false">I3445&amp;"-Q"&amp;ROUNDUP(MONTH(B3445)/3,0)</f>
        <v>2017-Q4</v>
      </c>
    </row>
    <row r="3446" customFormat="false" ht="15" hidden="false" customHeight="false" outlineLevel="0" collapsed="false">
      <c r="A3446" s="0" t="s">
        <v>1786</v>
      </c>
      <c r="B3446" s="6" t="n">
        <v>42580</v>
      </c>
      <c r="C3446" s="7" t="s">
        <v>55</v>
      </c>
      <c r="D3446" s="7" t="s">
        <v>56</v>
      </c>
      <c r="E3446" s="7" t="s">
        <v>35</v>
      </c>
      <c r="F3446" s="0" t="n">
        <v>84.784</v>
      </c>
      <c r="G3446" s="0" t="n">
        <v>-16.9568</v>
      </c>
      <c r="H3446" s="0" t="n">
        <v>0.2</v>
      </c>
      <c r="I3446" s="7" t="n">
        <f aca="false">YEAR(B3446)</f>
        <v>2016</v>
      </c>
      <c r="J3446" s="0" t="str">
        <f aca="false">I3446&amp;"-Q"&amp;ROUNDUP(MONTH(B3446)/3,0)</f>
        <v>2016-Q3</v>
      </c>
    </row>
    <row r="3447" customFormat="false" ht="15" hidden="false" customHeight="false" outlineLevel="0" collapsed="false">
      <c r="A3447" s="0" t="s">
        <v>1787</v>
      </c>
      <c r="B3447" s="6" t="n">
        <v>42167</v>
      </c>
      <c r="C3447" s="7" t="s">
        <v>55</v>
      </c>
      <c r="D3447" s="7" t="s">
        <v>72</v>
      </c>
      <c r="E3447" s="7" t="s">
        <v>35</v>
      </c>
      <c r="F3447" s="0" t="n">
        <v>29.9</v>
      </c>
      <c r="G3447" s="0" t="n">
        <v>5.083</v>
      </c>
      <c r="H3447" s="0" t="n">
        <v>0</v>
      </c>
      <c r="I3447" s="7" t="n">
        <f aca="false">YEAR(B3447)</f>
        <v>2015</v>
      </c>
      <c r="J3447" s="0" t="str">
        <f aca="false">I3447&amp;"-Q"&amp;ROUNDUP(MONTH(B3447)/3,0)</f>
        <v>2015-Q2</v>
      </c>
    </row>
    <row r="3448" customFormat="false" ht="15" hidden="false" customHeight="false" outlineLevel="0" collapsed="false">
      <c r="A3448" s="0" t="s">
        <v>1788</v>
      </c>
      <c r="B3448" s="6" t="n">
        <v>42588</v>
      </c>
      <c r="C3448" s="7" t="s">
        <v>55</v>
      </c>
      <c r="D3448" s="7" t="s">
        <v>76</v>
      </c>
      <c r="E3448" s="7" t="s">
        <v>35</v>
      </c>
      <c r="F3448" s="0" t="n">
        <v>70.88</v>
      </c>
      <c r="G3448" s="0" t="n">
        <v>33.3136</v>
      </c>
      <c r="H3448" s="0" t="n">
        <v>0</v>
      </c>
      <c r="I3448" s="7" t="n">
        <f aca="false">YEAR(B3448)</f>
        <v>2016</v>
      </c>
      <c r="J3448" s="0" t="str">
        <f aca="false">I3448&amp;"-Q"&amp;ROUNDUP(MONTH(B3448)/3,0)</f>
        <v>2016-Q3</v>
      </c>
    </row>
    <row r="3449" customFormat="false" ht="15" hidden="false" customHeight="false" outlineLevel="0" collapsed="false">
      <c r="A3449" s="0" t="s">
        <v>1789</v>
      </c>
      <c r="B3449" s="6" t="n">
        <v>42897</v>
      </c>
      <c r="C3449" s="7" t="s">
        <v>29</v>
      </c>
      <c r="D3449" s="7" t="s">
        <v>91</v>
      </c>
      <c r="E3449" s="7" t="s">
        <v>35</v>
      </c>
      <c r="F3449" s="0" t="n">
        <v>3.76</v>
      </c>
      <c r="G3449" s="0" t="n">
        <v>1.0904</v>
      </c>
      <c r="H3449" s="0" t="n">
        <v>0</v>
      </c>
      <c r="I3449" s="7" t="n">
        <f aca="false">YEAR(B3449)</f>
        <v>2017</v>
      </c>
      <c r="J3449" s="0" t="str">
        <f aca="false">I3449&amp;"-Q"&amp;ROUNDUP(MONTH(B3449)/3,0)</f>
        <v>2017-Q2</v>
      </c>
    </row>
    <row r="3450" customFormat="false" ht="15" hidden="false" customHeight="false" outlineLevel="0" collapsed="false">
      <c r="A3450" s="0" t="s">
        <v>1790</v>
      </c>
      <c r="B3450" s="6" t="n">
        <v>42650</v>
      </c>
      <c r="C3450" s="7" t="s">
        <v>33</v>
      </c>
      <c r="D3450" s="7" t="s">
        <v>34</v>
      </c>
      <c r="E3450" s="7" t="s">
        <v>35</v>
      </c>
      <c r="F3450" s="0" t="n">
        <v>27.264</v>
      </c>
      <c r="G3450" s="0" t="n">
        <v>8.8608</v>
      </c>
      <c r="H3450" s="0" t="n">
        <v>0.2</v>
      </c>
      <c r="I3450" s="7" t="n">
        <f aca="false">YEAR(B3450)</f>
        <v>2016</v>
      </c>
      <c r="J3450" s="0" t="str">
        <f aca="false">I3450&amp;"-Q"&amp;ROUNDUP(MONTH(B3450)/3,0)</f>
        <v>2016-Q4</v>
      </c>
    </row>
    <row r="3451" customFormat="false" ht="15" hidden="false" customHeight="false" outlineLevel="0" collapsed="false">
      <c r="A3451" s="0" t="s">
        <v>1791</v>
      </c>
      <c r="B3451" s="6" t="n">
        <v>41890</v>
      </c>
      <c r="C3451" s="7" t="s">
        <v>33</v>
      </c>
      <c r="D3451" s="7" t="s">
        <v>34</v>
      </c>
      <c r="E3451" s="7" t="s">
        <v>35</v>
      </c>
      <c r="F3451" s="0" t="n">
        <v>56.65</v>
      </c>
      <c r="G3451" s="0" t="n">
        <v>24.3595</v>
      </c>
      <c r="H3451" s="0" t="n">
        <v>0</v>
      </c>
      <c r="I3451" s="7" t="n">
        <f aca="false">YEAR(B3451)</f>
        <v>2014</v>
      </c>
      <c r="J3451" s="0" t="str">
        <f aca="false">I3451&amp;"-Q"&amp;ROUNDUP(MONTH(B3451)/3,0)</f>
        <v>2014-Q3</v>
      </c>
    </row>
    <row r="3452" customFormat="false" ht="15" hidden="false" customHeight="false" outlineLevel="0" collapsed="false">
      <c r="A3452" s="0" t="s">
        <v>1791</v>
      </c>
      <c r="B3452" s="6" t="n">
        <v>41890</v>
      </c>
      <c r="C3452" s="7" t="s">
        <v>33</v>
      </c>
      <c r="D3452" s="7" t="s">
        <v>34</v>
      </c>
      <c r="E3452" s="7" t="s">
        <v>35</v>
      </c>
      <c r="F3452" s="0" t="n">
        <v>14.97</v>
      </c>
      <c r="G3452" s="0" t="n">
        <v>4.1916</v>
      </c>
      <c r="H3452" s="0" t="n">
        <v>0</v>
      </c>
      <c r="I3452" s="7" t="n">
        <f aca="false">YEAR(B3452)</f>
        <v>2014</v>
      </c>
      <c r="J3452" s="0" t="str">
        <f aca="false">I3452&amp;"-Q"&amp;ROUNDUP(MONTH(B3452)/3,0)</f>
        <v>2014-Q3</v>
      </c>
    </row>
    <row r="3453" customFormat="false" ht="15" hidden="false" customHeight="false" outlineLevel="0" collapsed="false">
      <c r="A3453" s="0" t="s">
        <v>1791</v>
      </c>
      <c r="B3453" s="6" t="n">
        <v>41890</v>
      </c>
      <c r="C3453" s="7" t="s">
        <v>33</v>
      </c>
      <c r="D3453" s="7" t="s">
        <v>34</v>
      </c>
      <c r="E3453" s="7" t="s">
        <v>35</v>
      </c>
      <c r="F3453" s="0" t="n">
        <v>4.02</v>
      </c>
      <c r="G3453" s="0" t="n">
        <v>1.9698</v>
      </c>
      <c r="H3453" s="0" t="n">
        <v>0</v>
      </c>
      <c r="I3453" s="7" t="n">
        <f aca="false">YEAR(B3453)</f>
        <v>2014</v>
      </c>
      <c r="J3453" s="0" t="str">
        <f aca="false">I3453&amp;"-Q"&amp;ROUNDUP(MONTH(B3453)/3,0)</f>
        <v>2014-Q3</v>
      </c>
    </row>
    <row r="3454" customFormat="false" ht="15" hidden="false" customHeight="false" outlineLevel="0" collapsed="false">
      <c r="A3454" s="0" t="s">
        <v>1792</v>
      </c>
      <c r="B3454" s="6" t="n">
        <v>41714</v>
      </c>
      <c r="C3454" s="7" t="s">
        <v>29</v>
      </c>
      <c r="D3454" s="7" t="s">
        <v>41</v>
      </c>
      <c r="E3454" s="7" t="s">
        <v>39</v>
      </c>
      <c r="F3454" s="0" t="n">
        <v>471.92</v>
      </c>
      <c r="G3454" s="0" t="n">
        <v>29.495</v>
      </c>
      <c r="H3454" s="0" t="n">
        <v>0.2</v>
      </c>
      <c r="I3454" s="7" t="n">
        <f aca="false">YEAR(B3454)</f>
        <v>2014</v>
      </c>
      <c r="J3454" s="0" t="str">
        <f aca="false">I3454&amp;"-Q"&amp;ROUNDUP(MONTH(B3454)/3,0)</f>
        <v>2014-Q1</v>
      </c>
    </row>
    <row r="3455" customFormat="false" ht="15" hidden="false" customHeight="false" outlineLevel="0" collapsed="false">
      <c r="A3455" s="0" t="s">
        <v>1793</v>
      </c>
      <c r="B3455" s="6" t="n">
        <v>42064</v>
      </c>
      <c r="C3455" s="7" t="s">
        <v>29</v>
      </c>
      <c r="D3455" s="7" t="s">
        <v>230</v>
      </c>
      <c r="E3455" s="7" t="s">
        <v>35</v>
      </c>
      <c r="F3455" s="0" t="n">
        <v>58.72</v>
      </c>
      <c r="G3455" s="0" t="n">
        <v>27.0112</v>
      </c>
      <c r="H3455" s="0" t="n">
        <v>0</v>
      </c>
      <c r="I3455" s="7" t="n">
        <f aca="false">YEAR(B3455)</f>
        <v>2015</v>
      </c>
      <c r="J3455" s="0" t="str">
        <f aca="false">I3455&amp;"-Q"&amp;ROUNDUP(MONTH(B3455)/3,0)</f>
        <v>2015-Q1</v>
      </c>
    </row>
    <row r="3456" customFormat="false" ht="15" hidden="false" customHeight="false" outlineLevel="0" collapsed="false">
      <c r="A3456" s="0" t="s">
        <v>1794</v>
      </c>
      <c r="B3456" s="6" t="n">
        <v>42194</v>
      </c>
      <c r="C3456" s="7" t="s">
        <v>29</v>
      </c>
      <c r="D3456" s="7" t="s">
        <v>87</v>
      </c>
      <c r="E3456" s="7" t="s">
        <v>35</v>
      </c>
      <c r="F3456" s="0" t="n">
        <v>5.16</v>
      </c>
      <c r="G3456" s="0" t="n">
        <v>0.8385</v>
      </c>
      <c r="H3456" s="0" t="n">
        <v>0.2</v>
      </c>
      <c r="I3456" s="7" t="n">
        <f aca="false">YEAR(B3456)</f>
        <v>2015</v>
      </c>
      <c r="J3456" s="0" t="str">
        <f aca="false">I3456&amp;"-Q"&amp;ROUNDUP(MONTH(B3456)/3,0)</f>
        <v>2015-Q3</v>
      </c>
    </row>
    <row r="3457" customFormat="false" ht="15" hidden="false" customHeight="false" outlineLevel="0" collapsed="false">
      <c r="A3457" s="0" t="s">
        <v>1795</v>
      </c>
      <c r="B3457" s="6" t="n">
        <v>42420</v>
      </c>
      <c r="C3457" s="7" t="s">
        <v>29</v>
      </c>
      <c r="D3457" s="7" t="s">
        <v>87</v>
      </c>
      <c r="E3457" s="7" t="s">
        <v>35</v>
      </c>
      <c r="F3457" s="0" t="n">
        <v>16.496</v>
      </c>
      <c r="G3457" s="0" t="n">
        <v>5.5674</v>
      </c>
      <c r="H3457" s="0" t="n">
        <v>0.2</v>
      </c>
      <c r="I3457" s="7" t="n">
        <f aca="false">YEAR(B3457)</f>
        <v>2016</v>
      </c>
      <c r="J3457" s="0" t="str">
        <f aca="false">I3457&amp;"-Q"&amp;ROUNDUP(MONTH(B3457)/3,0)</f>
        <v>2016-Q1</v>
      </c>
    </row>
    <row r="3458" customFormat="false" ht="15" hidden="false" customHeight="false" outlineLevel="0" collapsed="false">
      <c r="A3458" s="0" t="s">
        <v>1796</v>
      </c>
      <c r="B3458" s="6" t="n">
        <v>42994</v>
      </c>
      <c r="C3458" s="7" t="s">
        <v>55</v>
      </c>
      <c r="D3458" s="7" t="s">
        <v>56</v>
      </c>
      <c r="E3458" s="7" t="s">
        <v>39</v>
      </c>
      <c r="F3458" s="0" t="n">
        <v>71.976</v>
      </c>
      <c r="G3458" s="0" t="n">
        <v>19.7934</v>
      </c>
      <c r="H3458" s="0" t="n">
        <v>0.2</v>
      </c>
      <c r="I3458" s="7" t="n">
        <f aca="false">YEAR(B3458)</f>
        <v>2017</v>
      </c>
      <c r="J3458" s="0" t="str">
        <f aca="false">I3458&amp;"-Q"&amp;ROUNDUP(MONTH(B3458)/3,0)</f>
        <v>2017-Q3</v>
      </c>
    </row>
    <row r="3459" customFormat="false" ht="15" hidden="false" customHeight="false" outlineLevel="0" collapsed="false">
      <c r="A3459" s="0" t="s">
        <v>1796</v>
      </c>
      <c r="B3459" s="6" t="n">
        <v>42994</v>
      </c>
      <c r="C3459" s="7" t="s">
        <v>55</v>
      </c>
      <c r="D3459" s="7" t="s">
        <v>56</v>
      </c>
      <c r="E3459" s="7" t="s">
        <v>31</v>
      </c>
      <c r="F3459" s="0" t="n">
        <v>22.512</v>
      </c>
      <c r="G3459" s="0" t="n">
        <v>2.2512</v>
      </c>
      <c r="H3459" s="0" t="n">
        <v>0.2</v>
      </c>
      <c r="I3459" s="7" t="n">
        <f aca="false">YEAR(B3459)</f>
        <v>2017</v>
      </c>
      <c r="J3459" s="0" t="str">
        <f aca="false">I3459&amp;"-Q"&amp;ROUNDUP(MONTH(B3459)/3,0)</f>
        <v>2017-Q3</v>
      </c>
    </row>
    <row r="3460" customFormat="false" ht="15" hidden="false" customHeight="false" outlineLevel="0" collapsed="false">
      <c r="A3460" s="0" t="s">
        <v>1796</v>
      </c>
      <c r="B3460" s="6" t="n">
        <v>42994</v>
      </c>
      <c r="C3460" s="7" t="s">
        <v>55</v>
      </c>
      <c r="D3460" s="7" t="s">
        <v>56</v>
      </c>
      <c r="E3460" s="7" t="s">
        <v>35</v>
      </c>
      <c r="F3460" s="0" t="n">
        <v>3.444</v>
      </c>
      <c r="G3460" s="0" t="n">
        <v>-2.7552</v>
      </c>
      <c r="H3460" s="0" t="n">
        <v>0.7</v>
      </c>
      <c r="I3460" s="7" t="n">
        <f aca="false">YEAR(B3460)</f>
        <v>2017</v>
      </c>
      <c r="J3460" s="0" t="str">
        <f aca="false">I3460&amp;"-Q"&amp;ROUNDUP(MONTH(B3460)/3,0)</f>
        <v>2017-Q3</v>
      </c>
    </row>
    <row r="3461" customFormat="false" ht="15" hidden="false" customHeight="false" outlineLevel="0" collapsed="false">
      <c r="A3461" s="0" t="s">
        <v>1796</v>
      </c>
      <c r="B3461" s="6" t="n">
        <v>42994</v>
      </c>
      <c r="C3461" s="7" t="s">
        <v>55</v>
      </c>
      <c r="D3461" s="7" t="s">
        <v>56</v>
      </c>
      <c r="E3461" s="7" t="s">
        <v>35</v>
      </c>
      <c r="F3461" s="0" t="n">
        <v>538.194</v>
      </c>
      <c r="G3461" s="0" t="n">
        <v>-412.6154</v>
      </c>
      <c r="H3461" s="0" t="n">
        <v>0.7</v>
      </c>
      <c r="I3461" s="7" t="n">
        <f aca="false">YEAR(B3461)</f>
        <v>2017</v>
      </c>
      <c r="J3461" s="0" t="str">
        <f aca="false">I3461&amp;"-Q"&amp;ROUNDUP(MONTH(B3461)/3,0)</f>
        <v>2017-Q3</v>
      </c>
    </row>
    <row r="3462" customFormat="false" ht="15" hidden="false" customHeight="false" outlineLevel="0" collapsed="false">
      <c r="A3462" s="0" t="s">
        <v>1796</v>
      </c>
      <c r="B3462" s="6" t="n">
        <v>42994</v>
      </c>
      <c r="C3462" s="7" t="s">
        <v>55</v>
      </c>
      <c r="D3462" s="7" t="s">
        <v>56</v>
      </c>
      <c r="E3462" s="7" t="s">
        <v>39</v>
      </c>
      <c r="F3462" s="0" t="n">
        <v>47.984</v>
      </c>
      <c r="G3462" s="0" t="n">
        <v>14.3952</v>
      </c>
      <c r="H3462" s="0" t="n">
        <v>0.2</v>
      </c>
      <c r="I3462" s="7" t="n">
        <f aca="false">YEAR(B3462)</f>
        <v>2017</v>
      </c>
      <c r="J3462" s="0" t="str">
        <f aca="false">I3462&amp;"-Q"&amp;ROUNDUP(MONTH(B3462)/3,0)</f>
        <v>2017-Q3</v>
      </c>
    </row>
    <row r="3463" customFormat="false" ht="15" hidden="false" customHeight="false" outlineLevel="0" collapsed="false">
      <c r="A3463" s="0" t="s">
        <v>1797</v>
      </c>
      <c r="B3463" s="6" t="n">
        <v>43044</v>
      </c>
      <c r="C3463" s="7" t="s">
        <v>45</v>
      </c>
      <c r="D3463" s="7" t="s">
        <v>46</v>
      </c>
      <c r="E3463" s="7" t="s">
        <v>39</v>
      </c>
      <c r="F3463" s="0" t="n">
        <v>492.768</v>
      </c>
      <c r="G3463" s="0" t="n">
        <v>55.4364</v>
      </c>
      <c r="H3463" s="0" t="n">
        <v>0.2</v>
      </c>
      <c r="I3463" s="7" t="n">
        <f aca="false">YEAR(B3463)</f>
        <v>2017</v>
      </c>
      <c r="J3463" s="0" t="str">
        <f aca="false">I3463&amp;"-Q"&amp;ROUNDUP(MONTH(B3463)/3,0)</f>
        <v>2017-Q4</v>
      </c>
    </row>
    <row r="3464" customFormat="false" ht="15" hidden="false" customHeight="false" outlineLevel="0" collapsed="false">
      <c r="A3464" s="0" t="s">
        <v>1798</v>
      </c>
      <c r="B3464" s="6" t="n">
        <v>42055</v>
      </c>
      <c r="C3464" s="7" t="s">
        <v>55</v>
      </c>
      <c r="D3464" s="7" t="s">
        <v>161</v>
      </c>
      <c r="E3464" s="7" t="s">
        <v>35</v>
      </c>
      <c r="F3464" s="0" t="n">
        <v>286.79</v>
      </c>
      <c r="G3464" s="0" t="n">
        <v>74.5654</v>
      </c>
      <c r="H3464" s="0" t="n">
        <v>0</v>
      </c>
      <c r="I3464" s="7" t="n">
        <f aca="false">YEAR(B3464)</f>
        <v>2015</v>
      </c>
      <c r="J3464" s="0" t="str">
        <f aca="false">I3464&amp;"-Q"&amp;ROUNDUP(MONTH(B3464)/3,0)</f>
        <v>2015-Q1</v>
      </c>
    </row>
    <row r="3465" customFormat="false" ht="15" hidden="false" customHeight="false" outlineLevel="0" collapsed="false">
      <c r="A3465" s="0" t="s">
        <v>1799</v>
      </c>
      <c r="B3465" s="6" t="n">
        <v>42699</v>
      </c>
      <c r="C3465" s="7" t="s">
        <v>29</v>
      </c>
      <c r="D3465" s="7" t="s">
        <v>37</v>
      </c>
      <c r="E3465" s="7" t="s">
        <v>35</v>
      </c>
      <c r="F3465" s="0" t="n">
        <v>5.08</v>
      </c>
      <c r="G3465" s="0" t="n">
        <v>1.651</v>
      </c>
      <c r="H3465" s="0" t="n">
        <v>0.2</v>
      </c>
      <c r="I3465" s="7" t="n">
        <f aca="false">YEAR(B3465)</f>
        <v>2016</v>
      </c>
      <c r="J3465" s="0" t="str">
        <f aca="false">I3465&amp;"-Q"&amp;ROUNDUP(MONTH(B3465)/3,0)</f>
        <v>2016-Q4</v>
      </c>
    </row>
    <row r="3466" customFormat="false" ht="15" hidden="false" customHeight="false" outlineLevel="0" collapsed="false">
      <c r="A3466" s="0" t="s">
        <v>1800</v>
      </c>
      <c r="B3466" s="6" t="n">
        <v>43072</v>
      </c>
      <c r="C3466" s="7" t="s">
        <v>29</v>
      </c>
      <c r="D3466" s="7" t="s">
        <v>37</v>
      </c>
      <c r="E3466" s="7" t="s">
        <v>39</v>
      </c>
      <c r="F3466" s="0" t="n">
        <v>47.992</v>
      </c>
      <c r="G3466" s="0" t="n">
        <v>7.1988</v>
      </c>
      <c r="H3466" s="0" t="n">
        <v>0.2</v>
      </c>
      <c r="I3466" s="7" t="n">
        <f aca="false">YEAR(B3466)</f>
        <v>2017</v>
      </c>
      <c r="J3466" s="0" t="str">
        <f aca="false">I3466&amp;"-Q"&amp;ROUNDUP(MONTH(B3466)/3,0)</f>
        <v>2017-Q4</v>
      </c>
    </row>
    <row r="3467" customFormat="false" ht="15" hidden="false" customHeight="false" outlineLevel="0" collapsed="false">
      <c r="A3467" s="0" t="s">
        <v>1801</v>
      </c>
      <c r="B3467" s="6" t="n">
        <v>42257</v>
      </c>
      <c r="C3467" s="7" t="s">
        <v>55</v>
      </c>
      <c r="D3467" s="7" t="s">
        <v>225</v>
      </c>
      <c r="E3467" s="7" t="s">
        <v>35</v>
      </c>
      <c r="F3467" s="0" t="n">
        <v>61.96</v>
      </c>
      <c r="G3467" s="0" t="n">
        <v>16.1096</v>
      </c>
      <c r="H3467" s="0" t="n">
        <v>0</v>
      </c>
      <c r="I3467" s="7" t="n">
        <f aca="false">YEAR(B3467)</f>
        <v>2015</v>
      </c>
      <c r="J3467" s="0" t="str">
        <f aca="false">I3467&amp;"-Q"&amp;ROUNDUP(MONTH(B3467)/3,0)</f>
        <v>2015-Q3</v>
      </c>
    </row>
    <row r="3468" customFormat="false" ht="15" hidden="false" customHeight="false" outlineLevel="0" collapsed="false">
      <c r="A3468" s="0" t="s">
        <v>1801</v>
      </c>
      <c r="B3468" s="6" t="n">
        <v>42257</v>
      </c>
      <c r="C3468" s="7" t="s">
        <v>55</v>
      </c>
      <c r="D3468" s="7" t="s">
        <v>225</v>
      </c>
      <c r="E3468" s="7" t="s">
        <v>31</v>
      </c>
      <c r="F3468" s="0" t="n">
        <v>361.96</v>
      </c>
      <c r="G3468" s="0" t="n">
        <v>83.2508</v>
      </c>
      <c r="H3468" s="0" t="n">
        <v>0</v>
      </c>
      <c r="I3468" s="7" t="n">
        <f aca="false">YEAR(B3468)</f>
        <v>2015</v>
      </c>
      <c r="J3468" s="0" t="str">
        <f aca="false">I3468&amp;"-Q"&amp;ROUNDUP(MONTH(B3468)/3,0)</f>
        <v>2015-Q3</v>
      </c>
    </row>
    <row r="3469" customFormat="false" ht="15" hidden="false" customHeight="false" outlineLevel="0" collapsed="false">
      <c r="A3469" s="0" t="s">
        <v>1801</v>
      </c>
      <c r="B3469" s="6" t="n">
        <v>42257</v>
      </c>
      <c r="C3469" s="7" t="s">
        <v>55</v>
      </c>
      <c r="D3469" s="7" t="s">
        <v>225</v>
      </c>
      <c r="E3469" s="7" t="s">
        <v>35</v>
      </c>
      <c r="F3469" s="0" t="n">
        <v>278.82</v>
      </c>
      <c r="G3469" s="0" t="n">
        <v>125.469</v>
      </c>
      <c r="H3469" s="0" t="n">
        <v>0</v>
      </c>
      <c r="I3469" s="7" t="n">
        <f aca="false">YEAR(B3469)</f>
        <v>2015</v>
      </c>
      <c r="J3469" s="0" t="str">
        <f aca="false">I3469&amp;"-Q"&amp;ROUNDUP(MONTH(B3469)/3,0)</f>
        <v>2015-Q3</v>
      </c>
    </row>
    <row r="3470" customFormat="false" ht="15" hidden="false" customHeight="false" outlineLevel="0" collapsed="false">
      <c r="A3470" s="0" t="s">
        <v>1802</v>
      </c>
      <c r="B3470" s="6" t="n">
        <v>42718</v>
      </c>
      <c r="C3470" s="7" t="s">
        <v>29</v>
      </c>
      <c r="D3470" s="7" t="s">
        <v>265</v>
      </c>
      <c r="E3470" s="7" t="s">
        <v>31</v>
      </c>
      <c r="F3470" s="0" t="n">
        <v>133.38</v>
      </c>
      <c r="G3470" s="0" t="n">
        <v>58.6872</v>
      </c>
      <c r="H3470" s="0" t="n">
        <v>0</v>
      </c>
      <c r="I3470" s="7" t="n">
        <f aca="false">YEAR(B3470)</f>
        <v>2016</v>
      </c>
      <c r="J3470" s="0" t="str">
        <f aca="false">I3470&amp;"-Q"&amp;ROUNDUP(MONTH(B3470)/3,0)</f>
        <v>2016-Q4</v>
      </c>
    </row>
    <row r="3471" customFormat="false" ht="15" hidden="false" customHeight="false" outlineLevel="0" collapsed="false">
      <c r="A3471" s="0" t="s">
        <v>1803</v>
      </c>
      <c r="B3471" s="6" t="n">
        <v>42100</v>
      </c>
      <c r="C3471" s="7" t="s">
        <v>29</v>
      </c>
      <c r="D3471" s="7" t="s">
        <v>41</v>
      </c>
      <c r="E3471" s="7" t="s">
        <v>35</v>
      </c>
      <c r="F3471" s="0" t="n">
        <v>47.952</v>
      </c>
      <c r="G3471" s="0" t="n">
        <v>16.1838</v>
      </c>
      <c r="H3471" s="0" t="n">
        <v>0.2</v>
      </c>
      <c r="I3471" s="7" t="n">
        <f aca="false">YEAR(B3471)</f>
        <v>2015</v>
      </c>
      <c r="J3471" s="0" t="str">
        <f aca="false">I3471&amp;"-Q"&amp;ROUNDUP(MONTH(B3471)/3,0)</f>
        <v>2015-Q2</v>
      </c>
    </row>
    <row r="3472" customFormat="false" ht="15" hidden="false" customHeight="false" outlineLevel="0" collapsed="false">
      <c r="A3472" s="0" t="s">
        <v>1804</v>
      </c>
      <c r="B3472" s="6" t="n">
        <v>42705</v>
      </c>
      <c r="C3472" s="7" t="s">
        <v>33</v>
      </c>
      <c r="D3472" s="7" t="s">
        <v>34</v>
      </c>
      <c r="E3472" s="7" t="s">
        <v>31</v>
      </c>
      <c r="F3472" s="0" t="n">
        <v>16.74</v>
      </c>
      <c r="G3472" s="0" t="n">
        <v>4.3524</v>
      </c>
      <c r="H3472" s="0" t="n">
        <v>0</v>
      </c>
      <c r="I3472" s="7" t="n">
        <f aca="false">YEAR(B3472)</f>
        <v>2016</v>
      </c>
      <c r="J3472" s="0" t="str">
        <f aca="false">I3472&amp;"-Q"&amp;ROUNDUP(MONTH(B3472)/3,0)</f>
        <v>2016-Q4</v>
      </c>
    </row>
    <row r="3473" customFormat="false" ht="15" hidden="false" customHeight="false" outlineLevel="0" collapsed="false">
      <c r="A3473" s="0" t="s">
        <v>1805</v>
      </c>
      <c r="B3473" s="6" t="n">
        <v>43051</v>
      </c>
      <c r="C3473" s="7" t="s">
        <v>55</v>
      </c>
      <c r="D3473" s="7" t="s">
        <v>116</v>
      </c>
      <c r="E3473" s="7" t="s">
        <v>35</v>
      </c>
      <c r="F3473" s="0" t="n">
        <v>10.848</v>
      </c>
      <c r="G3473" s="0" t="n">
        <v>3.5256</v>
      </c>
      <c r="H3473" s="0" t="n">
        <v>0.2</v>
      </c>
      <c r="I3473" s="7" t="n">
        <f aca="false">YEAR(B3473)</f>
        <v>2017</v>
      </c>
      <c r="J3473" s="0" t="str">
        <f aca="false">I3473&amp;"-Q"&amp;ROUNDUP(MONTH(B3473)/3,0)</f>
        <v>2017-Q4</v>
      </c>
    </row>
    <row r="3474" customFormat="false" ht="15" hidden="false" customHeight="false" outlineLevel="0" collapsed="false">
      <c r="A3474" s="0" t="s">
        <v>1805</v>
      </c>
      <c r="B3474" s="6" t="n">
        <v>43051</v>
      </c>
      <c r="C3474" s="7" t="s">
        <v>55</v>
      </c>
      <c r="D3474" s="7" t="s">
        <v>116</v>
      </c>
      <c r="E3474" s="7" t="s">
        <v>39</v>
      </c>
      <c r="F3474" s="0" t="n">
        <v>18.544</v>
      </c>
      <c r="G3474" s="0" t="n">
        <v>3.0134</v>
      </c>
      <c r="H3474" s="0" t="n">
        <v>0.2</v>
      </c>
      <c r="I3474" s="7" t="n">
        <f aca="false">YEAR(B3474)</f>
        <v>2017</v>
      </c>
      <c r="J3474" s="0" t="str">
        <f aca="false">I3474&amp;"-Q"&amp;ROUNDUP(MONTH(B3474)/3,0)</f>
        <v>2017-Q4</v>
      </c>
    </row>
    <row r="3475" customFormat="false" ht="15" hidden="false" customHeight="false" outlineLevel="0" collapsed="false">
      <c r="A3475" s="0" t="s">
        <v>1806</v>
      </c>
      <c r="B3475" s="6" t="n">
        <v>42797</v>
      </c>
      <c r="C3475" s="7" t="s">
        <v>45</v>
      </c>
      <c r="D3475" s="7" t="s">
        <v>70</v>
      </c>
      <c r="E3475" s="7" t="s">
        <v>31</v>
      </c>
      <c r="F3475" s="0" t="n">
        <v>180.98</v>
      </c>
      <c r="G3475" s="0" t="n">
        <v>47.0548</v>
      </c>
      <c r="H3475" s="0" t="n">
        <v>0</v>
      </c>
      <c r="I3475" s="7" t="n">
        <f aca="false">YEAR(B3475)</f>
        <v>2017</v>
      </c>
      <c r="J3475" s="0" t="str">
        <f aca="false">I3475&amp;"-Q"&amp;ROUNDUP(MONTH(B3475)/3,0)</f>
        <v>2017-Q1</v>
      </c>
    </row>
    <row r="3476" customFormat="false" ht="15" hidden="false" customHeight="false" outlineLevel="0" collapsed="false">
      <c r="A3476" s="0" t="s">
        <v>1806</v>
      </c>
      <c r="B3476" s="6" t="n">
        <v>42797</v>
      </c>
      <c r="C3476" s="7" t="s">
        <v>45</v>
      </c>
      <c r="D3476" s="7" t="s">
        <v>70</v>
      </c>
      <c r="E3476" s="7" t="s">
        <v>39</v>
      </c>
      <c r="F3476" s="0" t="n">
        <v>99.98</v>
      </c>
      <c r="G3476" s="0" t="n">
        <v>42.9914</v>
      </c>
      <c r="H3476" s="0" t="n">
        <v>0</v>
      </c>
      <c r="I3476" s="7" t="n">
        <f aca="false">YEAR(B3476)</f>
        <v>2017</v>
      </c>
      <c r="J3476" s="0" t="str">
        <f aca="false">I3476&amp;"-Q"&amp;ROUNDUP(MONTH(B3476)/3,0)</f>
        <v>2017-Q1</v>
      </c>
    </row>
    <row r="3477" customFormat="false" ht="15" hidden="false" customHeight="false" outlineLevel="0" collapsed="false">
      <c r="A3477" s="0" t="s">
        <v>1807</v>
      </c>
      <c r="B3477" s="6" t="n">
        <v>42701</v>
      </c>
      <c r="C3477" s="7" t="s">
        <v>45</v>
      </c>
      <c r="D3477" s="7" t="s">
        <v>946</v>
      </c>
      <c r="E3477" s="7" t="s">
        <v>39</v>
      </c>
      <c r="F3477" s="0" t="n">
        <v>34.95</v>
      </c>
      <c r="G3477" s="0" t="n">
        <v>15.378</v>
      </c>
      <c r="H3477" s="0" t="n">
        <v>0</v>
      </c>
      <c r="I3477" s="7" t="n">
        <f aca="false">YEAR(B3477)</f>
        <v>2016</v>
      </c>
      <c r="J3477" s="0" t="str">
        <f aca="false">I3477&amp;"-Q"&amp;ROUNDUP(MONTH(B3477)/3,0)</f>
        <v>2016-Q4</v>
      </c>
    </row>
    <row r="3478" customFormat="false" ht="15" hidden="false" customHeight="false" outlineLevel="0" collapsed="false">
      <c r="A3478" s="0" t="s">
        <v>1807</v>
      </c>
      <c r="B3478" s="6" t="n">
        <v>42701</v>
      </c>
      <c r="C3478" s="7" t="s">
        <v>45</v>
      </c>
      <c r="D3478" s="7" t="s">
        <v>946</v>
      </c>
      <c r="E3478" s="7" t="s">
        <v>35</v>
      </c>
      <c r="F3478" s="0" t="n">
        <v>152</v>
      </c>
      <c r="G3478" s="0" t="n">
        <v>69.92</v>
      </c>
      <c r="H3478" s="0" t="n">
        <v>0</v>
      </c>
      <c r="I3478" s="7" t="n">
        <f aca="false">YEAR(B3478)</f>
        <v>2016</v>
      </c>
      <c r="J3478" s="0" t="str">
        <f aca="false">I3478&amp;"-Q"&amp;ROUNDUP(MONTH(B3478)/3,0)</f>
        <v>2016-Q4</v>
      </c>
    </row>
    <row r="3479" customFormat="false" ht="15" hidden="false" customHeight="false" outlineLevel="0" collapsed="false">
      <c r="A3479" s="0" t="s">
        <v>1808</v>
      </c>
      <c r="B3479" s="6" t="n">
        <v>41882</v>
      </c>
      <c r="C3479" s="7" t="s">
        <v>33</v>
      </c>
      <c r="D3479" s="7" t="s">
        <v>142</v>
      </c>
      <c r="E3479" s="7" t="s">
        <v>39</v>
      </c>
      <c r="F3479" s="0" t="n">
        <v>92.52</v>
      </c>
      <c r="G3479" s="0" t="n">
        <v>18.504</v>
      </c>
      <c r="H3479" s="0" t="n">
        <v>0</v>
      </c>
      <c r="I3479" s="7" t="n">
        <f aca="false">YEAR(B3479)</f>
        <v>2014</v>
      </c>
      <c r="J3479" s="0" t="str">
        <f aca="false">I3479&amp;"-Q"&amp;ROUNDUP(MONTH(B3479)/3,0)</f>
        <v>2014-Q3</v>
      </c>
    </row>
    <row r="3480" customFormat="false" ht="15" hidden="false" customHeight="false" outlineLevel="0" collapsed="false">
      <c r="A3480" s="0" t="s">
        <v>1809</v>
      </c>
      <c r="B3480" s="6" t="n">
        <v>42712</v>
      </c>
      <c r="C3480" s="7" t="s">
        <v>33</v>
      </c>
      <c r="D3480" s="7" t="s">
        <v>34</v>
      </c>
      <c r="E3480" s="7" t="s">
        <v>35</v>
      </c>
      <c r="F3480" s="0" t="n">
        <v>8.56</v>
      </c>
      <c r="G3480" s="0" t="n">
        <v>2.4824</v>
      </c>
      <c r="H3480" s="0" t="n">
        <v>0</v>
      </c>
      <c r="I3480" s="7" t="n">
        <f aca="false">YEAR(B3480)</f>
        <v>2016</v>
      </c>
      <c r="J3480" s="0" t="str">
        <f aca="false">I3480&amp;"-Q"&amp;ROUNDUP(MONTH(B3480)/3,0)</f>
        <v>2016-Q4</v>
      </c>
    </row>
    <row r="3481" customFormat="false" ht="15" hidden="false" customHeight="false" outlineLevel="0" collapsed="false">
      <c r="A3481" s="0" t="s">
        <v>1809</v>
      </c>
      <c r="B3481" s="6" t="n">
        <v>42712</v>
      </c>
      <c r="C3481" s="7" t="s">
        <v>33</v>
      </c>
      <c r="D3481" s="7" t="s">
        <v>34</v>
      </c>
      <c r="E3481" s="7" t="s">
        <v>35</v>
      </c>
      <c r="F3481" s="0" t="n">
        <v>45.36</v>
      </c>
      <c r="G3481" s="0" t="n">
        <v>21.7728</v>
      </c>
      <c r="H3481" s="0" t="n">
        <v>0</v>
      </c>
      <c r="I3481" s="7" t="n">
        <f aca="false">YEAR(B3481)</f>
        <v>2016</v>
      </c>
      <c r="J3481" s="0" t="str">
        <f aca="false">I3481&amp;"-Q"&amp;ROUNDUP(MONTH(B3481)/3,0)</f>
        <v>2016-Q4</v>
      </c>
    </row>
    <row r="3482" customFormat="false" ht="15" hidden="false" customHeight="false" outlineLevel="0" collapsed="false">
      <c r="A3482" s="0" t="s">
        <v>1809</v>
      </c>
      <c r="B3482" s="6" t="n">
        <v>42712</v>
      </c>
      <c r="C3482" s="7" t="s">
        <v>33</v>
      </c>
      <c r="D3482" s="7" t="s">
        <v>34</v>
      </c>
      <c r="E3482" s="7" t="s">
        <v>31</v>
      </c>
      <c r="F3482" s="0" t="n">
        <v>1421.664</v>
      </c>
      <c r="G3482" s="0" t="n">
        <v>-195.4788</v>
      </c>
      <c r="H3482" s="0" t="n">
        <v>0.2</v>
      </c>
      <c r="I3482" s="7" t="n">
        <f aca="false">YEAR(B3482)</f>
        <v>2016</v>
      </c>
      <c r="J3482" s="0" t="str">
        <f aca="false">I3482&amp;"-Q"&amp;ROUNDUP(MONTH(B3482)/3,0)</f>
        <v>2016-Q4</v>
      </c>
    </row>
    <row r="3483" customFormat="false" ht="15" hidden="false" customHeight="false" outlineLevel="0" collapsed="false">
      <c r="A3483" s="0" t="s">
        <v>1810</v>
      </c>
      <c r="B3483" s="6" t="n">
        <v>41736</v>
      </c>
      <c r="C3483" s="7" t="s">
        <v>29</v>
      </c>
      <c r="D3483" s="7" t="s">
        <v>91</v>
      </c>
      <c r="E3483" s="7" t="s">
        <v>31</v>
      </c>
      <c r="F3483" s="0" t="n">
        <v>8.96</v>
      </c>
      <c r="G3483" s="0" t="n">
        <v>2.7776</v>
      </c>
      <c r="H3483" s="0" t="n">
        <v>0</v>
      </c>
      <c r="I3483" s="7" t="n">
        <f aca="false">YEAR(B3483)</f>
        <v>2014</v>
      </c>
      <c r="J3483" s="0" t="str">
        <f aca="false">I3483&amp;"-Q"&amp;ROUNDUP(MONTH(B3483)/3,0)</f>
        <v>2014-Q2</v>
      </c>
    </row>
    <row r="3484" customFormat="false" ht="15" hidden="false" customHeight="false" outlineLevel="0" collapsed="false">
      <c r="A3484" s="0" t="s">
        <v>1811</v>
      </c>
      <c r="B3484" s="6" t="n">
        <v>41878</v>
      </c>
      <c r="C3484" s="7" t="s">
        <v>29</v>
      </c>
      <c r="D3484" s="7" t="s">
        <v>83</v>
      </c>
      <c r="E3484" s="7" t="s">
        <v>39</v>
      </c>
      <c r="F3484" s="0" t="n">
        <v>579.95</v>
      </c>
      <c r="G3484" s="0" t="n">
        <v>168.1855</v>
      </c>
      <c r="H3484" s="0" t="n">
        <v>0</v>
      </c>
      <c r="I3484" s="7" t="n">
        <f aca="false">YEAR(B3484)</f>
        <v>2014</v>
      </c>
      <c r="J3484" s="0" t="str">
        <f aca="false">I3484&amp;"-Q"&amp;ROUNDUP(MONTH(B3484)/3,0)</f>
        <v>2014-Q3</v>
      </c>
    </row>
    <row r="3485" customFormat="false" ht="15" hidden="false" customHeight="false" outlineLevel="0" collapsed="false">
      <c r="A3485" s="0" t="s">
        <v>1811</v>
      </c>
      <c r="B3485" s="6" t="n">
        <v>41878</v>
      </c>
      <c r="C3485" s="7" t="s">
        <v>29</v>
      </c>
      <c r="D3485" s="7" t="s">
        <v>83</v>
      </c>
      <c r="E3485" s="7" t="s">
        <v>31</v>
      </c>
      <c r="F3485" s="0" t="n">
        <v>29.12</v>
      </c>
      <c r="G3485" s="0" t="n">
        <v>12.5216</v>
      </c>
      <c r="H3485" s="0" t="n">
        <v>0</v>
      </c>
      <c r="I3485" s="7" t="n">
        <f aca="false">YEAR(B3485)</f>
        <v>2014</v>
      </c>
      <c r="J3485" s="0" t="str">
        <f aca="false">I3485&amp;"-Q"&amp;ROUNDUP(MONTH(B3485)/3,0)</f>
        <v>2014-Q3</v>
      </c>
    </row>
    <row r="3486" customFormat="false" ht="15" hidden="false" customHeight="false" outlineLevel="0" collapsed="false">
      <c r="A3486" s="0" t="s">
        <v>1811</v>
      </c>
      <c r="B3486" s="6" t="n">
        <v>41878</v>
      </c>
      <c r="C3486" s="7" t="s">
        <v>29</v>
      </c>
      <c r="D3486" s="7" t="s">
        <v>83</v>
      </c>
      <c r="E3486" s="7" t="s">
        <v>31</v>
      </c>
      <c r="F3486" s="0" t="n">
        <v>1202.94</v>
      </c>
      <c r="G3486" s="0" t="n">
        <v>300.735</v>
      </c>
      <c r="H3486" s="0" t="n">
        <v>0</v>
      </c>
      <c r="I3486" s="7" t="n">
        <f aca="false">YEAR(B3486)</f>
        <v>2014</v>
      </c>
      <c r="J3486" s="0" t="str">
        <f aca="false">I3486&amp;"-Q"&amp;ROUNDUP(MONTH(B3486)/3,0)</f>
        <v>2014-Q3</v>
      </c>
    </row>
    <row r="3487" customFormat="false" ht="15" hidden="false" customHeight="false" outlineLevel="0" collapsed="false">
      <c r="A3487" s="0" t="s">
        <v>1812</v>
      </c>
      <c r="B3487" s="6" t="n">
        <v>42664</v>
      </c>
      <c r="C3487" s="7" t="s">
        <v>55</v>
      </c>
      <c r="D3487" s="7" t="s">
        <v>72</v>
      </c>
      <c r="E3487" s="7" t="s">
        <v>35</v>
      </c>
      <c r="F3487" s="0" t="n">
        <v>7.92</v>
      </c>
      <c r="G3487" s="0" t="n">
        <v>3.564</v>
      </c>
      <c r="H3487" s="0" t="n">
        <v>0</v>
      </c>
      <c r="I3487" s="7" t="n">
        <f aca="false">YEAR(B3487)</f>
        <v>2016</v>
      </c>
      <c r="J3487" s="0" t="str">
        <f aca="false">I3487&amp;"-Q"&amp;ROUNDUP(MONTH(B3487)/3,0)</f>
        <v>2016-Q4</v>
      </c>
    </row>
    <row r="3488" customFormat="false" ht="15" hidden="false" customHeight="false" outlineLevel="0" collapsed="false">
      <c r="A3488" s="0" t="s">
        <v>1813</v>
      </c>
      <c r="B3488" s="6" t="n">
        <v>42704</v>
      </c>
      <c r="C3488" s="7" t="s">
        <v>29</v>
      </c>
      <c r="D3488" s="7" t="s">
        <v>41</v>
      </c>
      <c r="E3488" s="7" t="s">
        <v>39</v>
      </c>
      <c r="F3488" s="0" t="n">
        <v>36.192</v>
      </c>
      <c r="G3488" s="0" t="n">
        <v>2.7144</v>
      </c>
      <c r="H3488" s="0" t="n">
        <v>0.2</v>
      </c>
      <c r="I3488" s="7" t="n">
        <f aca="false">YEAR(B3488)</f>
        <v>2016</v>
      </c>
      <c r="J3488" s="0" t="str">
        <f aca="false">I3488&amp;"-Q"&amp;ROUNDUP(MONTH(B3488)/3,0)</f>
        <v>2016-Q4</v>
      </c>
    </row>
    <row r="3489" customFormat="false" ht="15" hidden="false" customHeight="false" outlineLevel="0" collapsed="false">
      <c r="A3489" s="0" t="s">
        <v>1814</v>
      </c>
      <c r="B3489" s="6" t="n">
        <v>42983</v>
      </c>
      <c r="C3489" s="7" t="s">
        <v>29</v>
      </c>
      <c r="D3489" s="7" t="s">
        <v>37</v>
      </c>
      <c r="E3489" s="7" t="s">
        <v>35</v>
      </c>
      <c r="F3489" s="0" t="n">
        <v>147.184</v>
      </c>
      <c r="G3489" s="0" t="n">
        <v>-29.4368</v>
      </c>
      <c r="H3489" s="0" t="n">
        <v>0.2</v>
      </c>
      <c r="I3489" s="7" t="n">
        <f aca="false">YEAR(B3489)</f>
        <v>2017</v>
      </c>
      <c r="J3489" s="0" t="str">
        <f aca="false">I3489&amp;"-Q"&amp;ROUNDUP(MONTH(B3489)/3,0)</f>
        <v>2017-Q3</v>
      </c>
    </row>
    <row r="3490" customFormat="false" ht="15" hidden="false" customHeight="false" outlineLevel="0" collapsed="false">
      <c r="A3490" s="0" t="s">
        <v>1815</v>
      </c>
      <c r="B3490" s="6" t="n">
        <v>42187</v>
      </c>
      <c r="C3490" s="7" t="s">
        <v>45</v>
      </c>
      <c r="D3490" s="7" t="s">
        <v>64</v>
      </c>
      <c r="E3490" s="7" t="s">
        <v>31</v>
      </c>
      <c r="F3490" s="0" t="n">
        <v>408.422</v>
      </c>
      <c r="G3490" s="0" t="n">
        <v>-5.8346</v>
      </c>
      <c r="H3490" s="0" t="n">
        <v>0.3</v>
      </c>
      <c r="I3490" s="7" t="n">
        <f aca="false">YEAR(B3490)</f>
        <v>2015</v>
      </c>
      <c r="J3490" s="0" t="str">
        <f aca="false">I3490&amp;"-Q"&amp;ROUNDUP(MONTH(B3490)/3,0)</f>
        <v>2015-Q3</v>
      </c>
    </row>
    <row r="3491" customFormat="false" ht="15" hidden="false" customHeight="false" outlineLevel="0" collapsed="false">
      <c r="A3491" s="0" t="s">
        <v>1815</v>
      </c>
      <c r="B3491" s="6" t="n">
        <v>42187</v>
      </c>
      <c r="C3491" s="7" t="s">
        <v>45</v>
      </c>
      <c r="D3491" s="7" t="s">
        <v>64</v>
      </c>
      <c r="E3491" s="7" t="s">
        <v>31</v>
      </c>
      <c r="F3491" s="0" t="n">
        <v>382.116</v>
      </c>
      <c r="G3491" s="0" t="n">
        <v>-92.7996</v>
      </c>
      <c r="H3491" s="0" t="n">
        <v>0.3</v>
      </c>
      <c r="I3491" s="7" t="n">
        <f aca="false">YEAR(B3491)</f>
        <v>2015</v>
      </c>
      <c r="J3491" s="0" t="str">
        <f aca="false">I3491&amp;"-Q"&amp;ROUNDUP(MONTH(B3491)/3,0)</f>
        <v>2015-Q3</v>
      </c>
    </row>
    <row r="3492" customFormat="false" ht="15" hidden="false" customHeight="false" outlineLevel="0" collapsed="false">
      <c r="A3492" s="0" t="s">
        <v>1815</v>
      </c>
      <c r="B3492" s="6" t="n">
        <v>42187</v>
      </c>
      <c r="C3492" s="7" t="s">
        <v>45</v>
      </c>
      <c r="D3492" s="7" t="s">
        <v>64</v>
      </c>
      <c r="E3492" s="7" t="s">
        <v>35</v>
      </c>
      <c r="F3492" s="0" t="n">
        <v>68.6</v>
      </c>
      <c r="G3492" s="0" t="n">
        <v>6.0025</v>
      </c>
      <c r="H3492" s="0" t="n">
        <v>0.2</v>
      </c>
      <c r="I3492" s="7" t="n">
        <f aca="false">YEAR(B3492)</f>
        <v>2015</v>
      </c>
      <c r="J3492" s="0" t="str">
        <f aca="false">I3492&amp;"-Q"&amp;ROUNDUP(MONTH(B3492)/3,0)</f>
        <v>2015-Q3</v>
      </c>
    </row>
    <row r="3493" customFormat="false" ht="15" hidden="false" customHeight="false" outlineLevel="0" collapsed="false">
      <c r="A3493" s="0" t="s">
        <v>1815</v>
      </c>
      <c r="B3493" s="6" t="n">
        <v>42187</v>
      </c>
      <c r="C3493" s="7" t="s">
        <v>45</v>
      </c>
      <c r="D3493" s="7" t="s">
        <v>64</v>
      </c>
      <c r="E3493" s="7" t="s">
        <v>35</v>
      </c>
      <c r="F3493" s="0" t="n">
        <v>435.504</v>
      </c>
      <c r="G3493" s="0" t="n">
        <v>48.9942</v>
      </c>
      <c r="H3493" s="0" t="n">
        <v>0.2</v>
      </c>
      <c r="I3493" s="7" t="n">
        <f aca="false">YEAR(B3493)</f>
        <v>2015</v>
      </c>
      <c r="J3493" s="0" t="str">
        <f aca="false">I3493&amp;"-Q"&amp;ROUNDUP(MONTH(B3493)/3,0)</f>
        <v>2015-Q3</v>
      </c>
    </row>
    <row r="3494" customFormat="false" ht="15" hidden="false" customHeight="false" outlineLevel="0" collapsed="false">
      <c r="A3494" s="0" t="s">
        <v>1815</v>
      </c>
      <c r="B3494" s="6" t="n">
        <v>42187</v>
      </c>
      <c r="C3494" s="7" t="s">
        <v>45</v>
      </c>
      <c r="D3494" s="7" t="s">
        <v>64</v>
      </c>
      <c r="E3494" s="7" t="s">
        <v>35</v>
      </c>
      <c r="F3494" s="0" t="n">
        <v>11.168</v>
      </c>
      <c r="G3494" s="0" t="n">
        <v>3.7692</v>
      </c>
      <c r="H3494" s="0" t="n">
        <v>0.2</v>
      </c>
      <c r="I3494" s="7" t="n">
        <f aca="false">YEAR(B3494)</f>
        <v>2015</v>
      </c>
      <c r="J3494" s="0" t="str">
        <f aca="false">I3494&amp;"-Q"&amp;ROUNDUP(MONTH(B3494)/3,0)</f>
        <v>2015-Q3</v>
      </c>
    </row>
    <row r="3495" customFormat="false" ht="15" hidden="false" customHeight="false" outlineLevel="0" collapsed="false">
      <c r="A3495" s="0" t="s">
        <v>1816</v>
      </c>
      <c r="B3495" s="6" t="n">
        <v>43002</v>
      </c>
      <c r="C3495" s="7" t="s">
        <v>45</v>
      </c>
      <c r="D3495" s="7" t="s">
        <v>68</v>
      </c>
      <c r="E3495" s="7" t="s">
        <v>39</v>
      </c>
      <c r="F3495" s="0" t="n">
        <v>72</v>
      </c>
      <c r="G3495" s="0" t="n">
        <v>12.96</v>
      </c>
      <c r="H3495" s="0" t="n">
        <v>0</v>
      </c>
      <c r="I3495" s="7" t="n">
        <f aca="false">YEAR(B3495)</f>
        <v>2017</v>
      </c>
      <c r="J3495" s="0" t="str">
        <f aca="false">I3495&amp;"-Q"&amp;ROUNDUP(MONTH(B3495)/3,0)</f>
        <v>2017-Q3</v>
      </c>
    </row>
    <row r="3496" customFormat="false" ht="15" hidden="false" customHeight="false" outlineLevel="0" collapsed="false">
      <c r="A3496" s="0" t="s">
        <v>1816</v>
      </c>
      <c r="B3496" s="6" t="n">
        <v>43002</v>
      </c>
      <c r="C3496" s="7" t="s">
        <v>45</v>
      </c>
      <c r="D3496" s="7" t="s">
        <v>68</v>
      </c>
      <c r="E3496" s="7" t="s">
        <v>39</v>
      </c>
      <c r="F3496" s="0" t="n">
        <v>655.9</v>
      </c>
      <c r="G3496" s="0" t="n">
        <v>275.478</v>
      </c>
      <c r="H3496" s="0" t="n">
        <v>0</v>
      </c>
      <c r="I3496" s="7" t="n">
        <f aca="false">YEAR(B3496)</f>
        <v>2017</v>
      </c>
      <c r="J3496" s="0" t="str">
        <f aca="false">I3496&amp;"-Q"&amp;ROUNDUP(MONTH(B3496)/3,0)</f>
        <v>2017-Q3</v>
      </c>
    </row>
    <row r="3497" customFormat="false" ht="15" hidden="false" customHeight="false" outlineLevel="0" collapsed="false">
      <c r="A3497" s="0" t="s">
        <v>1816</v>
      </c>
      <c r="B3497" s="6" t="n">
        <v>43002</v>
      </c>
      <c r="C3497" s="7" t="s">
        <v>45</v>
      </c>
      <c r="D3497" s="7" t="s">
        <v>68</v>
      </c>
      <c r="E3497" s="7" t="s">
        <v>31</v>
      </c>
      <c r="F3497" s="0" t="n">
        <v>603.92</v>
      </c>
      <c r="G3497" s="0" t="n">
        <v>181.176</v>
      </c>
      <c r="H3497" s="0" t="n">
        <v>0</v>
      </c>
      <c r="I3497" s="7" t="n">
        <f aca="false">YEAR(B3497)</f>
        <v>2017</v>
      </c>
      <c r="J3497" s="0" t="str">
        <f aca="false">I3497&amp;"-Q"&amp;ROUNDUP(MONTH(B3497)/3,0)</f>
        <v>2017-Q3</v>
      </c>
    </row>
    <row r="3498" customFormat="false" ht="15" hidden="false" customHeight="false" outlineLevel="0" collapsed="false">
      <c r="A3498" s="0" t="s">
        <v>1817</v>
      </c>
      <c r="B3498" s="6" t="n">
        <v>42590</v>
      </c>
      <c r="C3498" s="7" t="s">
        <v>33</v>
      </c>
      <c r="D3498" s="7" t="s">
        <v>34</v>
      </c>
      <c r="E3498" s="7" t="s">
        <v>31</v>
      </c>
      <c r="F3498" s="0" t="n">
        <v>513.024</v>
      </c>
      <c r="G3498" s="0" t="n">
        <v>12.8256</v>
      </c>
      <c r="H3498" s="0" t="n">
        <v>0.2</v>
      </c>
      <c r="I3498" s="7" t="n">
        <f aca="false">YEAR(B3498)</f>
        <v>2016</v>
      </c>
      <c r="J3498" s="0" t="str">
        <f aca="false">I3498&amp;"-Q"&amp;ROUNDUP(MONTH(B3498)/3,0)</f>
        <v>2016-Q3</v>
      </c>
    </row>
    <row r="3499" customFormat="false" ht="15" hidden="false" customHeight="false" outlineLevel="0" collapsed="false">
      <c r="A3499" s="0" t="s">
        <v>1817</v>
      </c>
      <c r="B3499" s="6" t="n">
        <v>42590</v>
      </c>
      <c r="C3499" s="7" t="s">
        <v>33</v>
      </c>
      <c r="D3499" s="7" t="s">
        <v>34</v>
      </c>
      <c r="E3499" s="7" t="s">
        <v>35</v>
      </c>
      <c r="F3499" s="0" t="n">
        <v>487.92</v>
      </c>
      <c r="G3499" s="0" t="n">
        <v>136.6176</v>
      </c>
      <c r="H3499" s="0" t="n">
        <v>0</v>
      </c>
      <c r="I3499" s="7" t="n">
        <f aca="false">YEAR(B3499)</f>
        <v>2016</v>
      </c>
      <c r="J3499" s="0" t="str">
        <f aca="false">I3499&amp;"-Q"&amp;ROUNDUP(MONTH(B3499)/3,0)</f>
        <v>2016-Q3</v>
      </c>
    </row>
    <row r="3500" customFormat="false" ht="15" hidden="false" customHeight="false" outlineLevel="0" collapsed="false">
      <c r="A3500" s="0" t="s">
        <v>1817</v>
      </c>
      <c r="B3500" s="6" t="n">
        <v>42590</v>
      </c>
      <c r="C3500" s="7" t="s">
        <v>33</v>
      </c>
      <c r="D3500" s="7" t="s">
        <v>34</v>
      </c>
      <c r="E3500" s="7" t="s">
        <v>35</v>
      </c>
      <c r="F3500" s="0" t="n">
        <v>15.24</v>
      </c>
      <c r="G3500" s="0" t="n">
        <v>5.334</v>
      </c>
      <c r="H3500" s="0" t="n">
        <v>0.2</v>
      </c>
      <c r="I3500" s="7" t="n">
        <f aca="false">YEAR(B3500)</f>
        <v>2016</v>
      </c>
      <c r="J3500" s="0" t="str">
        <f aca="false">I3500&amp;"-Q"&amp;ROUNDUP(MONTH(B3500)/3,0)</f>
        <v>2016-Q3</v>
      </c>
    </row>
    <row r="3501" customFormat="false" ht="15" hidden="false" customHeight="false" outlineLevel="0" collapsed="false">
      <c r="A3501" s="0" t="s">
        <v>1818</v>
      </c>
      <c r="B3501" s="6" t="n">
        <v>42642</v>
      </c>
      <c r="C3501" s="7" t="s">
        <v>29</v>
      </c>
      <c r="D3501" s="7" t="s">
        <v>91</v>
      </c>
      <c r="E3501" s="7" t="s">
        <v>39</v>
      </c>
      <c r="F3501" s="0" t="n">
        <v>209.97</v>
      </c>
      <c r="G3501" s="0" t="n">
        <v>71.3898</v>
      </c>
      <c r="H3501" s="0" t="n">
        <v>0</v>
      </c>
      <c r="I3501" s="7" t="n">
        <f aca="false">YEAR(B3501)</f>
        <v>2016</v>
      </c>
      <c r="J3501" s="0" t="str">
        <f aca="false">I3501&amp;"-Q"&amp;ROUNDUP(MONTH(B3501)/3,0)</f>
        <v>2016-Q3</v>
      </c>
    </row>
    <row r="3502" customFormat="false" ht="15" hidden="false" customHeight="false" outlineLevel="0" collapsed="false">
      <c r="A3502" s="0" t="s">
        <v>1818</v>
      </c>
      <c r="B3502" s="6" t="n">
        <v>42642</v>
      </c>
      <c r="C3502" s="7" t="s">
        <v>29</v>
      </c>
      <c r="D3502" s="7" t="s">
        <v>91</v>
      </c>
      <c r="E3502" s="7" t="s">
        <v>35</v>
      </c>
      <c r="F3502" s="0" t="n">
        <v>62.94</v>
      </c>
      <c r="G3502" s="0" t="n">
        <v>30.2112</v>
      </c>
      <c r="H3502" s="0" t="n">
        <v>0</v>
      </c>
      <c r="I3502" s="7" t="n">
        <f aca="false">YEAR(B3502)</f>
        <v>2016</v>
      </c>
      <c r="J3502" s="0" t="str">
        <f aca="false">I3502&amp;"-Q"&amp;ROUNDUP(MONTH(B3502)/3,0)</f>
        <v>2016-Q3</v>
      </c>
    </row>
    <row r="3503" customFormat="false" ht="15" hidden="false" customHeight="false" outlineLevel="0" collapsed="false">
      <c r="A3503" s="0" t="s">
        <v>1818</v>
      </c>
      <c r="B3503" s="6" t="n">
        <v>42642</v>
      </c>
      <c r="C3503" s="7" t="s">
        <v>29</v>
      </c>
      <c r="D3503" s="7" t="s">
        <v>91</v>
      </c>
      <c r="E3503" s="7" t="s">
        <v>35</v>
      </c>
      <c r="F3503" s="0" t="n">
        <v>25.92</v>
      </c>
      <c r="G3503" s="0" t="n">
        <v>7.776</v>
      </c>
      <c r="H3503" s="0" t="n">
        <v>0</v>
      </c>
      <c r="I3503" s="7" t="n">
        <f aca="false">YEAR(B3503)</f>
        <v>2016</v>
      </c>
      <c r="J3503" s="0" t="str">
        <f aca="false">I3503&amp;"-Q"&amp;ROUNDUP(MONTH(B3503)/3,0)</f>
        <v>2016-Q3</v>
      </c>
    </row>
    <row r="3504" customFormat="false" ht="15" hidden="false" customHeight="false" outlineLevel="0" collapsed="false">
      <c r="A3504" s="0" t="s">
        <v>1819</v>
      </c>
      <c r="B3504" s="6" t="n">
        <v>42835</v>
      </c>
      <c r="C3504" s="7" t="s">
        <v>45</v>
      </c>
      <c r="D3504" s="7" t="s">
        <v>46</v>
      </c>
      <c r="E3504" s="7" t="s">
        <v>35</v>
      </c>
      <c r="F3504" s="0" t="n">
        <v>10.368</v>
      </c>
      <c r="G3504" s="0" t="n">
        <v>3.6288</v>
      </c>
      <c r="H3504" s="0" t="n">
        <v>0.2</v>
      </c>
      <c r="I3504" s="7" t="n">
        <f aca="false">YEAR(B3504)</f>
        <v>2017</v>
      </c>
      <c r="J3504" s="0" t="str">
        <f aca="false">I3504&amp;"-Q"&amp;ROUNDUP(MONTH(B3504)/3,0)</f>
        <v>2017-Q2</v>
      </c>
    </row>
    <row r="3505" customFormat="false" ht="15" hidden="false" customHeight="false" outlineLevel="0" collapsed="false">
      <c r="A3505" s="0" t="s">
        <v>1819</v>
      </c>
      <c r="B3505" s="6" t="n">
        <v>42835</v>
      </c>
      <c r="C3505" s="7" t="s">
        <v>45</v>
      </c>
      <c r="D3505" s="7" t="s">
        <v>46</v>
      </c>
      <c r="E3505" s="7" t="s">
        <v>39</v>
      </c>
      <c r="F3505" s="0" t="n">
        <v>95.736</v>
      </c>
      <c r="G3505" s="0" t="n">
        <v>20.3439</v>
      </c>
      <c r="H3505" s="0" t="n">
        <v>0.2</v>
      </c>
      <c r="I3505" s="7" t="n">
        <f aca="false">YEAR(B3505)</f>
        <v>2017</v>
      </c>
      <c r="J3505" s="0" t="str">
        <f aca="false">I3505&amp;"-Q"&amp;ROUNDUP(MONTH(B3505)/3,0)</f>
        <v>2017-Q2</v>
      </c>
    </row>
    <row r="3506" customFormat="false" ht="15" hidden="false" customHeight="false" outlineLevel="0" collapsed="false">
      <c r="A3506" s="0" t="s">
        <v>1820</v>
      </c>
      <c r="B3506" s="6" t="n">
        <v>42722</v>
      </c>
      <c r="C3506" s="7" t="s">
        <v>55</v>
      </c>
      <c r="D3506" s="7" t="s">
        <v>76</v>
      </c>
      <c r="E3506" s="7" t="s">
        <v>35</v>
      </c>
      <c r="F3506" s="0" t="n">
        <v>900.08</v>
      </c>
      <c r="G3506" s="0" t="n">
        <v>117.0104</v>
      </c>
      <c r="H3506" s="0" t="n">
        <v>0</v>
      </c>
      <c r="I3506" s="7" t="n">
        <f aca="false">YEAR(B3506)</f>
        <v>2016</v>
      </c>
      <c r="J3506" s="0" t="str">
        <f aca="false">I3506&amp;"-Q"&amp;ROUNDUP(MONTH(B3506)/3,0)</f>
        <v>2016-Q4</v>
      </c>
    </row>
    <row r="3507" customFormat="false" ht="15" hidden="false" customHeight="false" outlineLevel="0" collapsed="false">
      <c r="A3507" s="0" t="s">
        <v>1821</v>
      </c>
      <c r="B3507" s="6" t="n">
        <v>41810</v>
      </c>
      <c r="C3507" s="7" t="s">
        <v>45</v>
      </c>
      <c r="D3507" s="7" t="s">
        <v>46</v>
      </c>
      <c r="E3507" s="7" t="s">
        <v>39</v>
      </c>
      <c r="F3507" s="0" t="n">
        <v>201.584</v>
      </c>
      <c r="G3507" s="0" t="n">
        <v>20.1584</v>
      </c>
      <c r="H3507" s="0" t="n">
        <v>0.2</v>
      </c>
      <c r="I3507" s="7" t="n">
        <f aca="false">YEAR(B3507)</f>
        <v>2014</v>
      </c>
      <c r="J3507" s="0" t="str">
        <f aca="false">I3507&amp;"-Q"&amp;ROUNDUP(MONTH(B3507)/3,0)</f>
        <v>2014-Q2</v>
      </c>
    </row>
    <row r="3508" customFormat="false" ht="15" hidden="false" customHeight="false" outlineLevel="0" collapsed="false">
      <c r="A3508" s="0" t="s">
        <v>1821</v>
      </c>
      <c r="B3508" s="6" t="n">
        <v>41810</v>
      </c>
      <c r="C3508" s="7" t="s">
        <v>45</v>
      </c>
      <c r="D3508" s="7" t="s">
        <v>46</v>
      </c>
      <c r="E3508" s="7" t="s">
        <v>35</v>
      </c>
      <c r="F3508" s="0" t="n">
        <v>3.392</v>
      </c>
      <c r="G3508" s="0" t="n">
        <v>-5.088</v>
      </c>
      <c r="H3508" s="0" t="n">
        <v>0.8</v>
      </c>
      <c r="I3508" s="7" t="n">
        <f aca="false">YEAR(B3508)</f>
        <v>2014</v>
      </c>
      <c r="J3508" s="0" t="str">
        <f aca="false">I3508&amp;"-Q"&amp;ROUNDUP(MONTH(B3508)/3,0)</f>
        <v>2014-Q2</v>
      </c>
    </row>
    <row r="3509" customFormat="false" ht="15" hidden="false" customHeight="false" outlineLevel="0" collapsed="false">
      <c r="A3509" s="0" t="s">
        <v>1821</v>
      </c>
      <c r="B3509" s="6" t="n">
        <v>41810</v>
      </c>
      <c r="C3509" s="7" t="s">
        <v>45</v>
      </c>
      <c r="D3509" s="7" t="s">
        <v>46</v>
      </c>
      <c r="E3509" s="7" t="s">
        <v>31</v>
      </c>
      <c r="F3509" s="0" t="n">
        <v>193.0656</v>
      </c>
      <c r="G3509" s="0" t="n">
        <v>-19.8744</v>
      </c>
      <c r="H3509" s="0" t="n">
        <v>0.32</v>
      </c>
      <c r="I3509" s="7" t="n">
        <f aca="false">YEAR(B3509)</f>
        <v>2014</v>
      </c>
      <c r="J3509" s="0" t="str">
        <f aca="false">I3509&amp;"-Q"&amp;ROUNDUP(MONTH(B3509)/3,0)</f>
        <v>2014-Q2</v>
      </c>
    </row>
    <row r="3510" customFormat="false" ht="15" hidden="false" customHeight="false" outlineLevel="0" collapsed="false">
      <c r="A3510" s="0" t="s">
        <v>1821</v>
      </c>
      <c r="B3510" s="6" t="n">
        <v>41810</v>
      </c>
      <c r="C3510" s="7" t="s">
        <v>45</v>
      </c>
      <c r="D3510" s="7" t="s">
        <v>46</v>
      </c>
      <c r="E3510" s="7" t="s">
        <v>35</v>
      </c>
      <c r="F3510" s="0" t="n">
        <v>15.552</v>
      </c>
      <c r="G3510" s="0" t="n">
        <v>5.4432</v>
      </c>
      <c r="H3510" s="0" t="n">
        <v>0.2</v>
      </c>
      <c r="I3510" s="7" t="n">
        <f aca="false">YEAR(B3510)</f>
        <v>2014</v>
      </c>
      <c r="J3510" s="0" t="str">
        <f aca="false">I3510&amp;"-Q"&amp;ROUNDUP(MONTH(B3510)/3,0)</f>
        <v>2014-Q2</v>
      </c>
    </row>
    <row r="3511" customFormat="false" ht="15" hidden="false" customHeight="false" outlineLevel="0" collapsed="false">
      <c r="A3511" s="0" t="s">
        <v>1821</v>
      </c>
      <c r="B3511" s="6" t="n">
        <v>41810</v>
      </c>
      <c r="C3511" s="7" t="s">
        <v>45</v>
      </c>
      <c r="D3511" s="7" t="s">
        <v>46</v>
      </c>
      <c r="E3511" s="7" t="s">
        <v>35</v>
      </c>
      <c r="F3511" s="0" t="n">
        <v>11.648</v>
      </c>
      <c r="G3511" s="0" t="n">
        <v>4.0768</v>
      </c>
      <c r="H3511" s="0" t="n">
        <v>0.2</v>
      </c>
      <c r="I3511" s="7" t="n">
        <f aca="false">YEAR(B3511)</f>
        <v>2014</v>
      </c>
      <c r="J3511" s="0" t="str">
        <f aca="false">I3511&amp;"-Q"&amp;ROUNDUP(MONTH(B3511)/3,0)</f>
        <v>2014-Q2</v>
      </c>
    </row>
    <row r="3512" customFormat="false" ht="15" hidden="false" customHeight="false" outlineLevel="0" collapsed="false">
      <c r="A3512" s="0" t="s">
        <v>1821</v>
      </c>
      <c r="B3512" s="6" t="n">
        <v>41810</v>
      </c>
      <c r="C3512" s="7" t="s">
        <v>45</v>
      </c>
      <c r="D3512" s="7" t="s">
        <v>46</v>
      </c>
      <c r="E3512" s="7" t="s">
        <v>39</v>
      </c>
      <c r="F3512" s="0" t="n">
        <v>418.8</v>
      </c>
      <c r="G3512" s="0" t="n">
        <v>-97.72</v>
      </c>
      <c r="H3512" s="0" t="n">
        <v>0.4</v>
      </c>
      <c r="I3512" s="7" t="n">
        <f aca="false">YEAR(B3512)</f>
        <v>2014</v>
      </c>
      <c r="J3512" s="0" t="str">
        <f aca="false">I3512&amp;"-Q"&amp;ROUNDUP(MONTH(B3512)/3,0)</f>
        <v>2014-Q2</v>
      </c>
    </row>
    <row r="3513" customFormat="false" ht="15" hidden="false" customHeight="false" outlineLevel="0" collapsed="false">
      <c r="A3513" s="0" t="s">
        <v>1821</v>
      </c>
      <c r="B3513" s="6" t="n">
        <v>41810</v>
      </c>
      <c r="C3513" s="7" t="s">
        <v>45</v>
      </c>
      <c r="D3513" s="7" t="s">
        <v>46</v>
      </c>
      <c r="E3513" s="7" t="s">
        <v>35</v>
      </c>
      <c r="F3513" s="0" t="n">
        <v>509.488</v>
      </c>
      <c r="G3513" s="0" t="n">
        <v>-127.372</v>
      </c>
      <c r="H3513" s="0" t="n">
        <v>0.2</v>
      </c>
      <c r="I3513" s="7" t="n">
        <f aca="false">YEAR(B3513)</f>
        <v>2014</v>
      </c>
      <c r="J3513" s="0" t="str">
        <f aca="false">I3513&amp;"-Q"&amp;ROUNDUP(MONTH(B3513)/3,0)</f>
        <v>2014-Q2</v>
      </c>
    </row>
    <row r="3514" customFormat="false" ht="15" hidden="false" customHeight="false" outlineLevel="0" collapsed="false">
      <c r="A3514" s="0" t="s">
        <v>1822</v>
      </c>
      <c r="B3514" s="6" t="n">
        <v>42982</v>
      </c>
      <c r="C3514" s="7" t="s">
        <v>45</v>
      </c>
      <c r="D3514" s="7" t="s">
        <v>64</v>
      </c>
      <c r="E3514" s="7" t="s">
        <v>31</v>
      </c>
      <c r="F3514" s="0" t="n">
        <v>825.174</v>
      </c>
      <c r="G3514" s="0" t="n">
        <v>-117.882</v>
      </c>
      <c r="H3514" s="0" t="n">
        <v>0.3</v>
      </c>
      <c r="I3514" s="7" t="n">
        <f aca="false">YEAR(B3514)</f>
        <v>2017</v>
      </c>
      <c r="J3514" s="0" t="str">
        <f aca="false">I3514&amp;"-Q"&amp;ROUNDUP(MONTH(B3514)/3,0)</f>
        <v>2017-Q3</v>
      </c>
    </row>
    <row r="3515" customFormat="false" ht="15" hidden="false" customHeight="false" outlineLevel="0" collapsed="false">
      <c r="A3515" s="0" t="s">
        <v>1822</v>
      </c>
      <c r="B3515" s="6" t="n">
        <v>42982</v>
      </c>
      <c r="C3515" s="7" t="s">
        <v>45</v>
      </c>
      <c r="D3515" s="7" t="s">
        <v>64</v>
      </c>
      <c r="E3515" s="7" t="s">
        <v>35</v>
      </c>
      <c r="F3515" s="0" t="n">
        <v>17.76</v>
      </c>
      <c r="G3515" s="0" t="n">
        <v>5.55</v>
      </c>
      <c r="H3515" s="0" t="n">
        <v>0.2</v>
      </c>
      <c r="I3515" s="7" t="n">
        <f aca="false">YEAR(B3515)</f>
        <v>2017</v>
      </c>
      <c r="J3515" s="0" t="str">
        <f aca="false">I3515&amp;"-Q"&amp;ROUNDUP(MONTH(B3515)/3,0)</f>
        <v>2017-Q3</v>
      </c>
    </row>
    <row r="3516" customFormat="false" ht="15" hidden="false" customHeight="false" outlineLevel="0" collapsed="false">
      <c r="A3516" s="0" t="s">
        <v>1822</v>
      </c>
      <c r="B3516" s="6" t="n">
        <v>42982</v>
      </c>
      <c r="C3516" s="7" t="s">
        <v>45</v>
      </c>
      <c r="D3516" s="7" t="s">
        <v>64</v>
      </c>
      <c r="E3516" s="7" t="s">
        <v>35</v>
      </c>
      <c r="F3516" s="0" t="n">
        <v>6.912</v>
      </c>
      <c r="G3516" s="0" t="n">
        <v>0.864</v>
      </c>
      <c r="H3516" s="0" t="n">
        <v>0.2</v>
      </c>
      <c r="I3516" s="7" t="n">
        <f aca="false">YEAR(B3516)</f>
        <v>2017</v>
      </c>
      <c r="J3516" s="0" t="str">
        <f aca="false">I3516&amp;"-Q"&amp;ROUNDUP(MONTH(B3516)/3,0)</f>
        <v>2017-Q3</v>
      </c>
    </row>
    <row r="3517" customFormat="false" ht="15" hidden="false" customHeight="false" outlineLevel="0" collapsed="false">
      <c r="A3517" s="0" t="s">
        <v>1823</v>
      </c>
      <c r="B3517" s="6" t="n">
        <v>42724</v>
      </c>
      <c r="C3517" s="7" t="s">
        <v>29</v>
      </c>
      <c r="D3517" s="7" t="s">
        <v>265</v>
      </c>
      <c r="E3517" s="7" t="s">
        <v>39</v>
      </c>
      <c r="F3517" s="0" t="n">
        <v>66.3</v>
      </c>
      <c r="G3517" s="0" t="n">
        <v>8.619</v>
      </c>
      <c r="H3517" s="0" t="n">
        <v>0</v>
      </c>
      <c r="I3517" s="7" t="n">
        <f aca="false">YEAR(B3517)</f>
        <v>2016</v>
      </c>
      <c r="J3517" s="0" t="str">
        <f aca="false">I3517&amp;"-Q"&amp;ROUNDUP(MONTH(B3517)/3,0)</f>
        <v>2016-Q4</v>
      </c>
    </row>
    <row r="3518" customFormat="false" ht="15" hidden="false" customHeight="false" outlineLevel="0" collapsed="false">
      <c r="A3518" s="0" t="s">
        <v>1824</v>
      </c>
      <c r="B3518" s="6" t="n">
        <v>42591</v>
      </c>
      <c r="C3518" s="7" t="s">
        <v>29</v>
      </c>
      <c r="D3518" s="7" t="s">
        <v>41</v>
      </c>
      <c r="E3518" s="7" t="s">
        <v>35</v>
      </c>
      <c r="F3518" s="0" t="n">
        <v>30.816</v>
      </c>
      <c r="G3518" s="0" t="n">
        <v>9.63</v>
      </c>
      <c r="H3518" s="0" t="n">
        <v>0.2</v>
      </c>
      <c r="I3518" s="7" t="n">
        <f aca="false">YEAR(B3518)</f>
        <v>2016</v>
      </c>
      <c r="J3518" s="0" t="str">
        <f aca="false">I3518&amp;"-Q"&amp;ROUNDUP(MONTH(B3518)/3,0)</f>
        <v>2016-Q3</v>
      </c>
    </row>
    <row r="3519" customFormat="false" ht="15" hidden="false" customHeight="false" outlineLevel="0" collapsed="false">
      <c r="A3519" s="0" t="s">
        <v>1824</v>
      </c>
      <c r="B3519" s="6" t="n">
        <v>42591</v>
      </c>
      <c r="C3519" s="7" t="s">
        <v>29</v>
      </c>
      <c r="D3519" s="7" t="s">
        <v>41</v>
      </c>
      <c r="E3519" s="7" t="s">
        <v>39</v>
      </c>
      <c r="F3519" s="0" t="n">
        <v>44.784</v>
      </c>
      <c r="G3519" s="0" t="n">
        <v>4.4784</v>
      </c>
      <c r="H3519" s="0" t="n">
        <v>0.2</v>
      </c>
      <c r="I3519" s="7" t="n">
        <f aca="false">YEAR(B3519)</f>
        <v>2016</v>
      </c>
      <c r="J3519" s="0" t="str">
        <f aca="false">I3519&amp;"-Q"&amp;ROUNDUP(MONTH(B3519)/3,0)</f>
        <v>2016-Q3</v>
      </c>
    </row>
    <row r="3520" customFormat="false" ht="15" hidden="false" customHeight="false" outlineLevel="0" collapsed="false">
      <c r="A3520" s="0" t="s">
        <v>1824</v>
      </c>
      <c r="B3520" s="6" t="n">
        <v>42591</v>
      </c>
      <c r="C3520" s="7" t="s">
        <v>29</v>
      </c>
      <c r="D3520" s="7" t="s">
        <v>41</v>
      </c>
      <c r="E3520" s="7" t="s">
        <v>35</v>
      </c>
      <c r="F3520" s="0" t="n">
        <v>569.536</v>
      </c>
      <c r="G3520" s="0" t="n">
        <v>64.0728</v>
      </c>
      <c r="H3520" s="0" t="n">
        <v>0.2</v>
      </c>
      <c r="I3520" s="7" t="n">
        <f aca="false">YEAR(B3520)</f>
        <v>2016</v>
      </c>
      <c r="J3520" s="0" t="str">
        <f aca="false">I3520&amp;"-Q"&amp;ROUNDUP(MONTH(B3520)/3,0)</f>
        <v>2016-Q3</v>
      </c>
    </row>
    <row r="3521" customFormat="false" ht="15" hidden="false" customHeight="false" outlineLevel="0" collapsed="false">
      <c r="A3521" s="0" t="s">
        <v>1825</v>
      </c>
      <c r="B3521" s="6" t="n">
        <v>42177</v>
      </c>
      <c r="C3521" s="7" t="s">
        <v>45</v>
      </c>
      <c r="D3521" s="7" t="s">
        <v>64</v>
      </c>
      <c r="E3521" s="7" t="s">
        <v>31</v>
      </c>
      <c r="F3521" s="0" t="n">
        <v>796.425</v>
      </c>
      <c r="G3521" s="0" t="n">
        <v>-525.6405</v>
      </c>
      <c r="H3521" s="0" t="n">
        <v>0.5</v>
      </c>
      <c r="I3521" s="7" t="n">
        <f aca="false">YEAR(B3521)</f>
        <v>2015</v>
      </c>
      <c r="J3521" s="0" t="str">
        <f aca="false">I3521&amp;"-Q"&amp;ROUNDUP(MONTH(B3521)/3,0)</f>
        <v>2015-Q2</v>
      </c>
    </row>
    <row r="3522" customFormat="false" ht="15" hidden="false" customHeight="false" outlineLevel="0" collapsed="false">
      <c r="A3522" s="0" t="s">
        <v>1826</v>
      </c>
      <c r="B3522" s="6" t="n">
        <v>42104</v>
      </c>
      <c r="C3522" s="7" t="s">
        <v>33</v>
      </c>
      <c r="D3522" s="7" t="s">
        <v>34</v>
      </c>
      <c r="E3522" s="7" t="s">
        <v>35</v>
      </c>
      <c r="F3522" s="0" t="n">
        <v>12.832</v>
      </c>
      <c r="G3522" s="0" t="n">
        <v>4.3308</v>
      </c>
      <c r="H3522" s="0" t="n">
        <v>0.2</v>
      </c>
      <c r="I3522" s="7" t="n">
        <f aca="false">YEAR(B3522)</f>
        <v>2015</v>
      </c>
      <c r="J3522" s="0" t="str">
        <f aca="false">I3522&amp;"-Q"&amp;ROUNDUP(MONTH(B3522)/3,0)</f>
        <v>2015-Q2</v>
      </c>
    </row>
    <row r="3523" customFormat="false" ht="15" hidden="false" customHeight="false" outlineLevel="0" collapsed="false">
      <c r="A3523" s="0" t="s">
        <v>1827</v>
      </c>
      <c r="B3523" s="6" t="n">
        <v>42695</v>
      </c>
      <c r="C3523" s="7" t="s">
        <v>45</v>
      </c>
      <c r="D3523" s="7" t="s">
        <v>114</v>
      </c>
      <c r="E3523" s="7" t="s">
        <v>35</v>
      </c>
      <c r="F3523" s="0" t="n">
        <v>40.46</v>
      </c>
      <c r="G3523" s="0" t="n">
        <v>19.8254</v>
      </c>
      <c r="H3523" s="0" t="n">
        <v>0</v>
      </c>
      <c r="I3523" s="7" t="n">
        <f aca="false">YEAR(B3523)</f>
        <v>2016</v>
      </c>
      <c r="J3523" s="0" t="str">
        <f aca="false">I3523&amp;"-Q"&amp;ROUNDUP(MONTH(B3523)/3,0)</f>
        <v>2016-Q4</v>
      </c>
    </row>
    <row r="3524" customFormat="false" ht="15" hidden="false" customHeight="false" outlineLevel="0" collapsed="false">
      <c r="A3524" s="0" t="s">
        <v>1827</v>
      </c>
      <c r="B3524" s="6" t="n">
        <v>42695</v>
      </c>
      <c r="C3524" s="7" t="s">
        <v>45</v>
      </c>
      <c r="D3524" s="7" t="s">
        <v>114</v>
      </c>
      <c r="E3524" s="7" t="s">
        <v>39</v>
      </c>
      <c r="F3524" s="0" t="n">
        <v>404.94</v>
      </c>
      <c r="G3524" s="0" t="n">
        <v>109.3338</v>
      </c>
      <c r="H3524" s="0" t="n">
        <v>0</v>
      </c>
      <c r="I3524" s="7" t="n">
        <f aca="false">YEAR(B3524)</f>
        <v>2016</v>
      </c>
      <c r="J3524" s="0" t="str">
        <f aca="false">I3524&amp;"-Q"&amp;ROUNDUP(MONTH(B3524)/3,0)</f>
        <v>2016-Q4</v>
      </c>
    </row>
    <row r="3525" customFormat="false" ht="15" hidden="false" customHeight="false" outlineLevel="0" collapsed="false">
      <c r="A3525" s="0" t="s">
        <v>1828</v>
      </c>
      <c r="B3525" s="6" t="n">
        <v>42618</v>
      </c>
      <c r="C3525" s="7" t="s">
        <v>33</v>
      </c>
      <c r="D3525" s="7" t="s">
        <v>34</v>
      </c>
      <c r="E3525" s="7" t="s">
        <v>39</v>
      </c>
      <c r="F3525" s="0" t="n">
        <v>116</v>
      </c>
      <c r="G3525" s="0" t="n">
        <v>29</v>
      </c>
      <c r="H3525" s="0" t="n">
        <v>0</v>
      </c>
      <c r="I3525" s="7" t="n">
        <f aca="false">YEAR(B3525)</f>
        <v>2016</v>
      </c>
      <c r="J3525" s="0" t="str">
        <f aca="false">I3525&amp;"-Q"&amp;ROUNDUP(MONTH(B3525)/3,0)</f>
        <v>2016-Q3</v>
      </c>
    </row>
    <row r="3526" customFormat="false" ht="15" hidden="false" customHeight="false" outlineLevel="0" collapsed="false">
      <c r="A3526" s="0" t="s">
        <v>1829</v>
      </c>
      <c r="B3526" s="6" t="n">
        <v>42698</v>
      </c>
      <c r="C3526" s="7" t="s">
        <v>45</v>
      </c>
      <c r="D3526" s="7" t="s">
        <v>46</v>
      </c>
      <c r="E3526" s="7" t="s">
        <v>39</v>
      </c>
      <c r="F3526" s="0" t="n">
        <v>657.552</v>
      </c>
      <c r="G3526" s="0" t="n">
        <v>49.3164</v>
      </c>
      <c r="H3526" s="0" t="n">
        <v>0.2</v>
      </c>
      <c r="I3526" s="7" t="n">
        <f aca="false">YEAR(B3526)</f>
        <v>2016</v>
      </c>
      <c r="J3526" s="0" t="str">
        <f aca="false">I3526&amp;"-Q"&amp;ROUNDUP(MONTH(B3526)/3,0)</f>
        <v>2016-Q4</v>
      </c>
    </row>
    <row r="3527" customFormat="false" ht="15" hidden="false" customHeight="false" outlineLevel="0" collapsed="false">
      <c r="A3527" s="0" t="s">
        <v>1830</v>
      </c>
      <c r="B3527" s="6" t="n">
        <v>43079</v>
      </c>
      <c r="C3527" s="7" t="s">
        <v>29</v>
      </c>
      <c r="D3527" s="7" t="s">
        <v>265</v>
      </c>
      <c r="E3527" s="7" t="s">
        <v>39</v>
      </c>
      <c r="F3527" s="0" t="n">
        <v>599.97</v>
      </c>
      <c r="G3527" s="0" t="n">
        <v>257.9871</v>
      </c>
      <c r="H3527" s="0" t="n">
        <v>0</v>
      </c>
      <c r="I3527" s="7" t="n">
        <f aca="false">YEAR(B3527)</f>
        <v>2017</v>
      </c>
      <c r="J3527" s="0" t="str">
        <f aca="false">I3527&amp;"-Q"&amp;ROUNDUP(MONTH(B3527)/3,0)</f>
        <v>2017-Q4</v>
      </c>
    </row>
    <row r="3528" customFormat="false" ht="15" hidden="false" customHeight="false" outlineLevel="0" collapsed="false">
      <c r="A3528" s="0" t="s">
        <v>1830</v>
      </c>
      <c r="B3528" s="6" t="n">
        <v>43079</v>
      </c>
      <c r="C3528" s="7" t="s">
        <v>29</v>
      </c>
      <c r="D3528" s="7" t="s">
        <v>265</v>
      </c>
      <c r="E3528" s="7" t="s">
        <v>39</v>
      </c>
      <c r="F3528" s="0" t="n">
        <v>38.97</v>
      </c>
      <c r="G3528" s="0" t="n">
        <v>0.7794</v>
      </c>
      <c r="H3528" s="0" t="n">
        <v>0</v>
      </c>
      <c r="I3528" s="7" t="n">
        <f aca="false">YEAR(B3528)</f>
        <v>2017</v>
      </c>
      <c r="J3528" s="0" t="str">
        <f aca="false">I3528&amp;"-Q"&amp;ROUNDUP(MONTH(B3528)/3,0)</f>
        <v>2017-Q4</v>
      </c>
    </row>
    <row r="3529" customFormat="false" ht="15" hidden="false" customHeight="false" outlineLevel="0" collapsed="false">
      <c r="A3529" s="0" t="s">
        <v>1830</v>
      </c>
      <c r="B3529" s="6" t="n">
        <v>43079</v>
      </c>
      <c r="C3529" s="7" t="s">
        <v>29</v>
      </c>
      <c r="D3529" s="7" t="s">
        <v>265</v>
      </c>
      <c r="E3529" s="7" t="s">
        <v>35</v>
      </c>
      <c r="F3529" s="0" t="n">
        <v>45.84</v>
      </c>
      <c r="G3529" s="0" t="n">
        <v>22.0032</v>
      </c>
      <c r="H3529" s="0" t="n">
        <v>0</v>
      </c>
      <c r="I3529" s="7" t="n">
        <f aca="false">YEAR(B3529)</f>
        <v>2017</v>
      </c>
      <c r="J3529" s="0" t="str">
        <f aca="false">I3529&amp;"-Q"&amp;ROUNDUP(MONTH(B3529)/3,0)</f>
        <v>2017-Q4</v>
      </c>
    </row>
    <row r="3530" customFormat="false" ht="15" hidden="false" customHeight="false" outlineLevel="0" collapsed="false">
      <c r="A3530" s="0" t="s">
        <v>1831</v>
      </c>
      <c r="B3530" s="6" t="n">
        <v>42545</v>
      </c>
      <c r="C3530" s="7" t="s">
        <v>33</v>
      </c>
      <c r="D3530" s="7" t="s">
        <v>34</v>
      </c>
      <c r="E3530" s="7" t="s">
        <v>39</v>
      </c>
      <c r="F3530" s="0" t="n">
        <v>38.24</v>
      </c>
      <c r="G3530" s="0" t="n">
        <v>-9.56</v>
      </c>
      <c r="H3530" s="0" t="n">
        <v>0.2</v>
      </c>
      <c r="I3530" s="7" t="n">
        <f aca="false">YEAR(B3530)</f>
        <v>2016</v>
      </c>
      <c r="J3530" s="0" t="str">
        <f aca="false">I3530&amp;"-Q"&amp;ROUNDUP(MONTH(B3530)/3,0)</f>
        <v>2016-Q2</v>
      </c>
    </row>
    <row r="3531" customFormat="false" ht="15" hidden="false" customHeight="false" outlineLevel="0" collapsed="false">
      <c r="A3531" s="0" t="s">
        <v>1832</v>
      </c>
      <c r="B3531" s="6" t="n">
        <v>42264</v>
      </c>
      <c r="C3531" s="7" t="s">
        <v>29</v>
      </c>
      <c r="D3531" s="7" t="s">
        <v>37</v>
      </c>
      <c r="E3531" s="7" t="s">
        <v>39</v>
      </c>
      <c r="F3531" s="0" t="n">
        <v>87.168</v>
      </c>
      <c r="G3531" s="0" t="n">
        <v>10.896</v>
      </c>
      <c r="H3531" s="0" t="n">
        <v>0.2</v>
      </c>
      <c r="I3531" s="7" t="n">
        <f aca="false">YEAR(B3531)</f>
        <v>2015</v>
      </c>
      <c r="J3531" s="0" t="str">
        <f aca="false">I3531&amp;"-Q"&amp;ROUNDUP(MONTH(B3531)/3,0)</f>
        <v>2015-Q3</v>
      </c>
    </row>
    <row r="3532" customFormat="false" ht="15" hidden="false" customHeight="false" outlineLevel="0" collapsed="false">
      <c r="A3532" s="0" t="s">
        <v>1833</v>
      </c>
      <c r="B3532" s="6" t="n">
        <v>42509</v>
      </c>
      <c r="C3532" s="7" t="s">
        <v>45</v>
      </c>
      <c r="D3532" s="7" t="s">
        <v>74</v>
      </c>
      <c r="E3532" s="7" t="s">
        <v>35</v>
      </c>
      <c r="F3532" s="0" t="n">
        <v>21.4</v>
      </c>
      <c r="G3532" s="0" t="n">
        <v>6.206</v>
      </c>
      <c r="H3532" s="0" t="n">
        <v>0</v>
      </c>
      <c r="I3532" s="7" t="n">
        <f aca="false">YEAR(B3532)</f>
        <v>2016</v>
      </c>
      <c r="J3532" s="0" t="str">
        <f aca="false">I3532&amp;"-Q"&amp;ROUNDUP(MONTH(B3532)/3,0)</f>
        <v>2016-Q2</v>
      </c>
    </row>
    <row r="3533" customFormat="false" ht="15" hidden="false" customHeight="false" outlineLevel="0" collapsed="false">
      <c r="A3533" s="0" t="s">
        <v>1834</v>
      </c>
      <c r="B3533" s="6" t="n">
        <v>42518</v>
      </c>
      <c r="C3533" s="7" t="s">
        <v>55</v>
      </c>
      <c r="D3533" s="7" t="s">
        <v>76</v>
      </c>
      <c r="E3533" s="7" t="s">
        <v>35</v>
      </c>
      <c r="F3533" s="0" t="n">
        <v>54.9</v>
      </c>
      <c r="G3533" s="0" t="n">
        <v>15.372</v>
      </c>
      <c r="H3533" s="0" t="n">
        <v>0</v>
      </c>
      <c r="I3533" s="7" t="n">
        <f aca="false">YEAR(B3533)</f>
        <v>2016</v>
      </c>
      <c r="J3533" s="0" t="str">
        <f aca="false">I3533&amp;"-Q"&amp;ROUNDUP(MONTH(B3533)/3,0)</f>
        <v>2016-Q2</v>
      </c>
    </row>
    <row r="3534" customFormat="false" ht="15" hidden="false" customHeight="false" outlineLevel="0" collapsed="false">
      <c r="A3534" s="0" t="s">
        <v>1835</v>
      </c>
      <c r="B3534" s="6" t="n">
        <v>41747</v>
      </c>
      <c r="C3534" s="7" t="s">
        <v>33</v>
      </c>
      <c r="D3534" s="7" t="s">
        <v>34</v>
      </c>
      <c r="E3534" s="7" t="s">
        <v>39</v>
      </c>
      <c r="F3534" s="0" t="n">
        <v>287.968</v>
      </c>
      <c r="G3534" s="0" t="n">
        <v>97.1892</v>
      </c>
      <c r="H3534" s="0" t="n">
        <v>0.2</v>
      </c>
      <c r="I3534" s="7" t="n">
        <f aca="false">YEAR(B3534)</f>
        <v>2014</v>
      </c>
      <c r="J3534" s="0" t="str">
        <f aca="false">I3534&amp;"-Q"&amp;ROUNDUP(MONTH(B3534)/3,0)</f>
        <v>2014-Q2</v>
      </c>
    </row>
    <row r="3535" customFormat="false" ht="15" hidden="false" customHeight="false" outlineLevel="0" collapsed="false">
      <c r="A3535" s="0" t="s">
        <v>1835</v>
      </c>
      <c r="B3535" s="6" t="n">
        <v>41747</v>
      </c>
      <c r="C3535" s="7" t="s">
        <v>33</v>
      </c>
      <c r="D3535" s="7" t="s">
        <v>34</v>
      </c>
      <c r="E3535" s="7" t="s">
        <v>35</v>
      </c>
      <c r="F3535" s="0" t="n">
        <v>13.12</v>
      </c>
      <c r="G3535" s="0" t="n">
        <v>3.8048</v>
      </c>
      <c r="H3535" s="0" t="n">
        <v>0</v>
      </c>
      <c r="I3535" s="7" t="n">
        <f aca="false">YEAR(B3535)</f>
        <v>2014</v>
      </c>
      <c r="J3535" s="0" t="str">
        <f aca="false">I3535&amp;"-Q"&amp;ROUNDUP(MONTH(B3535)/3,0)</f>
        <v>2014-Q2</v>
      </c>
    </row>
    <row r="3536" customFormat="false" ht="15" hidden="false" customHeight="false" outlineLevel="0" collapsed="false">
      <c r="A3536" s="0" t="s">
        <v>1835</v>
      </c>
      <c r="B3536" s="6" t="n">
        <v>41747</v>
      </c>
      <c r="C3536" s="7" t="s">
        <v>33</v>
      </c>
      <c r="D3536" s="7" t="s">
        <v>34</v>
      </c>
      <c r="E3536" s="7" t="s">
        <v>35</v>
      </c>
      <c r="F3536" s="0" t="n">
        <v>10.75</v>
      </c>
      <c r="G3536" s="0" t="n">
        <v>3.5475</v>
      </c>
      <c r="H3536" s="0" t="n">
        <v>0</v>
      </c>
      <c r="I3536" s="7" t="n">
        <f aca="false">YEAR(B3536)</f>
        <v>2014</v>
      </c>
      <c r="J3536" s="0" t="str">
        <f aca="false">I3536&amp;"-Q"&amp;ROUNDUP(MONTH(B3536)/3,0)</f>
        <v>2014-Q2</v>
      </c>
    </row>
    <row r="3537" customFormat="false" ht="15" hidden="false" customHeight="false" outlineLevel="0" collapsed="false">
      <c r="A3537" s="0" t="s">
        <v>1835</v>
      </c>
      <c r="B3537" s="6" t="n">
        <v>41747</v>
      </c>
      <c r="C3537" s="7" t="s">
        <v>33</v>
      </c>
      <c r="D3537" s="7" t="s">
        <v>34</v>
      </c>
      <c r="E3537" s="7" t="s">
        <v>35</v>
      </c>
      <c r="F3537" s="0" t="n">
        <v>11.62</v>
      </c>
      <c r="G3537" s="0" t="n">
        <v>3.6022</v>
      </c>
      <c r="H3537" s="0" t="n">
        <v>0</v>
      </c>
      <c r="I3537" s="7" t="n">
        <f aca="false">YEAR(B3537)</f>
        <v>2014</v>
      </c>
      <c r="J3537" s="0" t="str">
        <f aca="false">I3537&amp;"-Q"&amp;ROUNDUP(MONTH(B3537)/3,0)</f>
        <v>2014-Q2</v>
      </c>
    </row>
    <row r="3538" customFormat="false" ht="15" hidden="false" customHeight="false" outlineLevel="0" collapsed="false">
      <c r="A3538" s="0" t="s">
        <v>1836</v>
      </c>
      <c r="B3538" s="6" t="n">
        <v>42538</v>
      </c>
      <c r="C3538" s="7" t="s">
        <v>55</v>
      </c>
      <c r="D3538" s="7" t="s">
        <v>76</v>
      </c>
      <c r="E3538" s="7" t="s">
        <v>35</v>
      </c>
      <c r="F3538" s="0" t="n">
        <v>40.74</v>
      </c>
      <c r="G3538" s="0" t="n">
        <v>0.4074</v>
      </c>
      <c r="H3538" s="0" t="n">
        <v>0</v>
      </c>
      <c r="I3538" s="7" t="n">
        <f aca="false">YEAR(B3538)</f>
        <v>2016</v>
      </c>
      <c r="J3538" s="0" t="str">
        <f aca="false">I3538&amp;"-Q"&amp;ROUNDUP(MONTH(B3538)/3,0)</f>
        <v>2016-Q2</v>
      </c>
    </row>
    <row r="3539" customFormat="false" ht="15" hidden="false" customHeight="false" outlineLevel="0" collapsed="false">
      <c r="A3539" s="0" t="s">
        <v>1837</v>
      </c>
      <c r="B3539" s="6" t="n">
        <v>41768</v>
      </c>
      <c r="C3539" s="7" t="s">
        <v>29</v>
      </c>
      <c r="D3539" s="7" t="s">
        <v>30</v>
      </c>
      <c r="E3539" s="7" t="s">
        <v>35</v>
      </c>
      <c r="F3539" s="0" t="n">
        <v>83.25</v>
      </c>
      <c r="G3539" s="0" t="n">
        <v>14.985</v>
      </c>
      <c r="H3539" s="0" t="n">
        <v>0</v>
      </c>
      <c r="I3539" s="7" t="n">
        <f aca="false">YEAR(B3539)</f>
        <v>2014</v>
      </c>
      <c r="J3539" s="0" t="str">
        <f aca="false">I3539&amp;"-Q"&amp;ROUNDUP(MONTH(B3539)/3,0)</f>
        <v>2014-Q2</v>
      </c>
    </row>
    <row r="3540" customFormat="false" ht="15" hidden="false" customHeight="false" outlineLevel="0" collapsed="false">
      <c r="A3540" s="0" t="s">
        <v>1837</v>
      </c>
      <c r="B3540" s="6" t="n">
        <v>41768</v>
      </c>
      <c r="C3540" s="7" t="s">
        <v>29</v>
      </c>
      <c r="D3540" s="7" t="s">
        <v>30</v>
      </c>
      <c r="E3540" s="7" t="s">
        <v>35</v>
      </c>
      <c r="F3540" s="0" t="n">
        <v>9.45</v>
      </c>
      <c r="G3540" s="0" t="n">
        <v>4.536</v>
      </c>
      <c r="H3540" s="0" t="n">
        <v>0</v>
      </c>
      <c r="I3540" s="7" t="n">
        <f aca="false">YEAR(B3540)</f>
        <v>2014</v>
      </c>
      <c r="J3540" s="0" t="str">
        <f aca="false">I3540&amp;"-Q"&amp;ROUNDUP(MONTH(B3540)/3,0)</f>
        <v>2014-Q2</v>
      </c>
    </row>
    <row r="3541" customFormat="false" ht="15" hidden="false" customHeight="false" outlineLevel="0" collapsed="false">
      <c r="A3541" s="0" t="s">
        <v>1837</v>
      </c>
      <c r="B3541" s="6" t="n">
        <v>41768</v>
      </c>
      <c r="C3541" s="7" t="s">
        <v>29</v>
      </c>
      <c r="D3541" s="7" t="s">
        <v>30</v>
      </c>
      <c r="E3541" s="7" t="s">
        <v>35</v>
      </c>
      <c r="F3541" s="0" t="n">
        <v>20.65</v>
      </c>
      <c r="G3541" s="0" t="n">
        <v>9.499</v>
      </c>
      <c r="H3541" s="0" t="n">
        <v>0</v>
      </c>
      <c r="I3541" s="7" t="n">
        <f aca="false">YEAR(B3541)</f>
        <v>2014</v>
      </c>
      <c r="J3541" s="0" t="str">
        <f aca="false">I3541&amp;"-Q"&amp;ROUNDUP(MONTH(B3541)/3,0)</f>
        <v>2014-Q2</v>
      </c>
    </row>
    <row r="3542" customFormat="false" ht="15" hidden="false" customHeight="false" outlineLevel="0" collapsed="false">
      <c r="A3542" s="0" t="s">
        <v>1837</v>
      </c>
      <c r="B3542" s="6" t="n">
        <v>41768</v>
      </c>
      <c r="C3542" s="7" t="s">
        <v>29</v>
      </c>
      <c r="D3542" s="7" t="s">
        <v>30</v>
      </c>
      <c r="E3542" s="7" t="s">
        <v>35</v>
      </c>
      <c r="F3542" s="0" t="n">
        <v>45.36</v>
      </c>
      <c r="G3542" s="0" t="n">
        <v>21.7728</v>
      </c>
      <c r="H3542" s="0" t="n">
        <v>0</v>
      </c>
      <c r="I3542" s="7" t="n">
        <f aca="false">YEAR(B3542)</f>
        <v>2014</v>
      </c>
      <c r="J3542" s="0" t="str">
        <f aca="false">I3542&amp;"-Q"&amp;ROUNDUP(MONTH(B3542)/3,0)</f>
        <v>2014-Q2</v>
      </c>
    </row>
    <row r="3543" customFormat="false" ht="15" hidden="false" customHeight="false" outlineLevel="0" collapsed="false">
      <c r="A3543" s="0" t="s">
        <v>1838</v>
      </c>
      <c r="B3543" s="6" t="n">
        <v>42631</v>
      </c>
      <c r="C3543" s="7" t="s">
        <v>55</v>
      </c>
      <c r="D3543" s="7" t="s">
        <v>116</v>
      </c>
      <c r="E3543" s="7" t="s">
        <v>31</v>
      </c>
      <c r="F3543" s="0" t="n">
        <v>5.352</v>
      </c>
      <c r="G3543" s="0" t="n">
        <v>1.6056</v>
      </c>
      <c r="H3543" s="0" t="n">
        <v>0.2</v>
      </c>
      <c r="I3543" s="7" t="n">
        <f aca="false">YEAR(B3543)</f>
        <v>2016</v>
      </c>
      <c r="J3543" s="0" t="str">
        <f aca="false">I3543&amp;"-Q"&amp;ROUNDUP(MONTH(B3543)/3,0)</f>
        <v>2016-Q3</v>
      </c>
    </row>
    <row r="3544" customFormat="false" ht="15" hidden="false" customHeight="false" outlineLevel="0" collapsed="false">
      <c r="A3544" s="0" t="s">
        <v>1838</v>
      </c>
      <c r="B3544" s="6" t="n">
        <v>42631</v>
      </c>
      <c r="C3544" s="7" t="s">
        <v>55</v>
      </c>
      <c r="D3544" s="7" t="s">
        <v>116</v>
      </c>
      <c r="E3544" s="7" t="s">
        <v>31</v>
      </c>
      <c r="F3544" s="0" t="n">
        <v>99.372</v>
      </c>
      <c r="G3544" s="0" t="n">
        <v>-7.098</v>
      </c>
      <c r="H3544" s="0" t="n">
        <v>0.3</v>
      </c>
      <c r="I3544" s="7" t="n">
        <f aca="false">YEAR(B3544)</f>
        <v>2016</v>
      </c>
      <c r="J3544" s="0" t="str">
        <f aca="false">I3544&amp;"-Q"&amp;ROUNDUP(MONTH(B3544)/3,0)</f>
        <v>2016-Q3</v>
      </c>
    </row>
    <row r="3545" customFormat="false" ht="15" hidden="false" customHeight="false" outlineLevel="0" collapsed="false">
      <c r="A3545" s="0" t="s">
        <v>1838</v>
      </c>
      <c r="B3545" s="6" t="n">
        <v>42631</v>
      </c>
      <c r="C3545" s="7" t="s">
        <v>55</v>
      </c>
      <c r="D3545" s="7" t="s">
        <v>116</v>
      </c>
      <c r="E3545" s="7" t="s">
        <v>35</v>
      </c>
      <c r="F3545" s="0" t="n">
        <v>2.672</v>
      </c>
      <c r="G3545" s="0" t="n">
        <v>0.3674</v>
      </c>
      <c r="H3545" s="0" t="n">
        <v>0.2</v>
      </c>
      <c r="I3545" s="7" t="n">
        <f aca="false">YEAR(B3545)</f>
        <v>2016</v>
      </c>
      <c r="J3545" s="0" t="str">
        <f aca="false">I3545&amp;"-Q"&amp;ROUNDUP(MONTH(B3545)/3,0)</f>
        <v>2016-Q3</v>
      </c>
    </row>
    <row r="3546" customFormat="false" ht="15" hidden="false" customHeight="false" outlineLevel="0" collapsed="false">
      <c r="A3546" s="0" t="s">
        <v>1839</v>
      </c>
      <c r="B3546" s="6" t="n">
        <v>43092</v>
      </c>
      <c r="C3546" s="7" t="s">
        <v>45</v>
      </c>
      <c r="D3546" s="7" t="s">
        <v>46</v>
      </c>
      <c r="E3546" s="7" t="s">
        <v>35</v>
      </c>
      <c r="F3546" s="0" t="n">
        <v>28.672</v>
      </c>
      <c r="G3546" s="0" t="n">
        <v>10.3936</v>
      </c>
      <c r="H3546" s="0" t="n">
        <v>0.2</v>
      </c>
      <c r="I3546" s="7" t="n">
        <f aca="false">YEAR(B3546)</f>
        <v>2017</v>
      </c>
      <c r="J3546" s="0" t="str">
        <f aca="false">I3546&amp;"-Q"&amp;ROUNDUP(MONTH(B3546)/3,0)</f>
        <v>2017-Q4</v>
      </c>
    </row>
    <row r="3547" customFormat="false" ht="15" hidden="false" customHeight="false" outlineLevel="0" collapsed="false">
      <c r="A3547" s="0" t="s">
        <v>1839</v>
      </c>
      <c r="B3547" s="6" t="n">
        <v>43092</v>
      </c>
      <c r="C3547" s="7" t="s">
        <v>45</v>
      </c>
      <c r="D3547" s="7" t="s">
        <v>46</v>
      </c>
      <c r="E3547" s="7" t="s">
        <v>35</v>
      </c>
      <c r="F3547" s="0" t="n">
        <v>29.312</v>
      </c>
      <c r="G3547" s="0" t="n">
        <v>-74.7456</v>
      </c>
      <c r="H3547" s="0" t="n">
        <v>0.8</v>
      </c>
      <c r="I3547" s="7" t="n">
        <f aca="false">YEAR(B3547)</f>
        <v>2017</v>
      </c>
      <c r="J3547" s="0" t="str">
        <f aca="false">I3547&amp;"-Q"&amp;ROUNDUP(MONTH(B3547)/3,0)</f>
        <v>2017-Q4</v>
      </c>
    </row>
    <row r="3548" customFormat="false" ht="15" hidden="false" customHeight="false" outlineLevel="0" collapsed="false">
      <c r="A3548" s="0" t="s">
        <v>1840</v>
      </c>
      <c r="B3548" s="6" t="n">
        <v>43038</v>
      </c>
      <c r="C3548" s="7" t="s">
        <v>29</v>
      </c>
      <c r="D3548" s="7" t="s">
        <v>30</v>
      </c>
      <c r="E3548" s="7" t="s">
        <v>35</v>
      </c>
      <c r="F3548" s="0" t="n">
        <v>105.98</v>
      </c>
      <c r="G3548" s="0" t="n">
        <v>4.2392</v>
      </c>
      <c r="H3548" s="0" t="n">
        <v>0</v>
      </c>
      <c r="I3548" s="7" t="n">
        <f aca="false">YEAR(B3548)</f>
        <v>2017</v>
      </c>
      <c r="J3548" s="0" t="str">
        <f aca="false">I3548&amp;"-Q"&amp;ROUNDUP(MONTH(B3548)/3,0)</f>
        <v>2017-Q4</v>
      </c>
    </row>
    <row r="3549" customFormat="false" ht="15" hidden="false" customHeight="false" outlineLevel="0" collapsed="false">
      <c r="A3549" s="0" t="s">
        <v>1840</v>
      </c>
      <c r="B3549" s="6" t="n">
        <v>43038</v>
      </c>
      <c r="C3549" s="7" t="s">
        <v>29</v>
      </c>
      <c r="D3549" s="7" t="s">
        <v>30</v>
      </c>
      <c r="E3549" s="7" t="s">
        <v>35</v>
      </c>
      <c r="F3549" s="0" t="n">
        <v>35.06</v>
      </c>
      <c r="G3549" s="0" t="n">
        <v>10.518</v>
      </c>
      <c r="H3549" s="0" t="n">
        <v>0</v>
      </c>
      <c r="I3549" s="7" t="n">
        <f aca="false">YEAR(B3549)</f>
        <v>2017</v>
      </c>
      <c r="J3549" s="0" t="str">
        <f aca="false">I3549&amp;"-Q"&amp;ROUNDUP(MONTH(B3549)/3,0)</f>
        <v>2017-Q4</v>
      </c>
    </row>
    <row r="3550" customFormat="false" ht="15" hidden="false" customHeight="false" outlineLevel="0" collapsed="false">
      <c r="A3550" s="0" t="s">
        <v>1840</v>
      </c>
      <c r="B3550" s="6" t="n">
        <v>43038</v>
      </c>
      <c r="C3550" s="7" t="s">
        <v>29</v>
      </c>
      <c r="D3550" s="7" t="s">
        <v>30</v>
      </c>
      <c r="E3550" s="7" t="s">
        <v>31</v>
      </c>
      <c r="F3550" s="0" t="n">
        <v>33.94</v>
      </c>
      <c r="G3550" s="0" t="n">
        <v>9.1638</v>
      </c>
      <c r="H3550" s="0" t="n">
        <v>0</v>
      </c>
      <c r="I3550" s="7" t="n">
        <f aca="false">YEAR(B3550)</f>
        <v>2017</v>
      </c>
      <c r="J3550" s="0" t="str">
        <f aca="false">I3550&amp;"-Q"&amp;ROUNDUP(MONTH(B3550)/3,0)</f>
        <v>2017-Q4</v>
      </c>
    </row>
    <row r="3551" customFormat="false" ht="15" hidden="false" customHeight="false" outlineLevel="0" collapsed="false">
      <c r="A3551" s="0" t="s">
        <v>1840</v>
      </c>
      <c r="B3551" s="6" t="n">
        <v>43038</v>
      </c>
      <c r="C3551" s="7" t="s">
        <v>29</v>
      </c>
      <c r="D3551" s="7" t="s">
        <v>30</v>
      </c>
      <c r="E3551" s="7" t="s">
        <v>35</v>
      </c>
      <c r="F3551" s="0" t="n">
        <v>30</v>
      </c>
      <c r="G3551" s="0" t="n">
        <v>14.4</v>
      </c>
      <c r="H3551" s="0" t="n">
        <v>0</v>
      </c>
      <c r="I3551" s="7" t="n">
        <f aca="false">YEAR(B3551)</f>
        <v>2017</v>
      </c>
      <c r="J3551" s="0" t="str">
        <f aca="false">I3551&amp;"-Q"&amp;ROUNDUP(MONTH(B3551)/3,0)</f>
        <v>2017-Q4</v>
      </c>
    </row>
    <row r="3552" customFormat="false" ht="15" hidden="false" customHeight="false" outlineLevel="0" collapsed="false">
      <c r="A3552" s="0" t="s">
        <v>1841</v>
      </c>
      <c r="B3552" s="6" t="n">
        <v>42458</v>
      </c>
      <c r="C3552" s="7" t="s">
        <v>45</v>
      </c>
      <c r="D3552" s="7" t="s">
        <v>64</v>
      </c>
      <c r="E3552" s="7" t="s">
        <v>35</v>
      </c>
      <c r="F3552" s="0" t="n">
        <v>45.528</v>
      </c>
      <c r="G3552" s="0" t="n">
        <v>15.9348</v>
      </c>
      <c r="H3552" s="0" t="n">
        <v>0.2</v>
      </c>
      <c r="I3552" s="7" t="n">
        <f aca="false">YEAR(B3552)</f>
        <v>2016</v>
      </c>
      <c r="J3552" s="0" t="str">
        <f aca="false">I3552&amp;"-Q"&amp;ROUNDUP(MONTH(B3552)/3,0)</f>
        <v>2016-Q1</v>
      </c>
    </row>
    <row r="3553" customFormat="false" ht="15" hidden="false" customHeight="false" outlineLevel="0" collapsed="false">
      <c r="A3553" s="0" t="s">
        <v>1841</v>
      </c>
      <c r="B3553" s="6" t="n">
        <v>42458</v>
      </c>
      <c r="C3553" s="7" t="s">
        <v>45</v>
      </c>
      <c r="D3553" s="7" t="s">
        <v>64</v>
      </c>
      <c r="E3553" s="7" t="s">
        <v>31</v>
      </c>
      <c r="F3553" s="0" t="n">
        <v>844.116</v>
      </c>
      <c r="G3553" s="0" t="n">
        <v>-36.1764</v>
      </c>
      <c r="H3553" s="0" t="n">
        <v>0.3</v>
      </c>
      <c r="I3553" s="7" t="n">
        <f aca="false">YEAR(B3553)</f>
        <v>2016</v>
      </c>
      <c r="J3553" s="0" t="str">
        <f aca="false">I3553&amp;"-Q"&amp;ROUNDUP(MONTH(B3553)/3,0)</f>
        <v>2016-Q1</v>
      </c>
    </row>
    <row r="3554" customFormat="false" ht="15" hidden="false" customHeight="false" outlineLevel="0" collapsed="false">
      <c r="A3554" s="0" t="s">
        <v>1841</v>
      </c>
      <c r="B3554" s="6" t="n">
        <v>42458</v>
      </c>
      <c r="C3554" s="7" t="s">
        <v>45</v>
      </c>
      <c r="D3554" s="7" t="s">
        <v>64</v>
      </c>
      <c r="E3554" s="7" t="s">
        <v>39</v>
      </c>
      <c r="F3554" s="0" t="n">
        <v>812.736</v>
      </c>
      <c r="G3554" s="0" t="n">
        <v>60.9552</v>
      </c>
      <c r="H3554" s="0" t="n">
        <v>0.2</v>
      </c>
      <c r="I3554" s="7" t="n">
        <f aca="false">YEAR(B3554)</f>
        <v>2016</v>
      </c>
      <c r="J3554" s="0" t="str">
        <f aca="false">I3554&amp;"-Q"&amp;ROUNDUP(MONTH(B3554)/3,0)</f>
        <v>2016-Q1</v>
      </c>
    </row>
    <row r="3555" customFormat="false" ht="15" hidden="false" customHeight="false" outlineLevel="0" collapsed="false">
      <c r="A3555" s="0" t="s">
        <v>1842</v>
      </c>
      <c r="B3555" s="6" t="n">
        <v>43062</v>
      </c>
      <c r="C3555" s="7" t="s">
        <v>55</v>
      </c>
      <c r="D3555" s="7" t="s">
        <v>56</v>
      </c>
      <c r="E3555" s="7" t="s">
        <v>35</v>
      </c>
      <c r="F3555" s="0" t="n">
        <v>7.476</v>
      </c>
      <c r="G3555" s="0" t="n">
        <v>-5.9808</v>
      </c>
      <c r="H3555" s="0" t="n">
        <v>0.7</v>
      </c>
      <c r="I3555" s="7" t="n">
        <f aca="false">YEAR(B3555)</f>
        <v>2017</v>
      </c>
      <c r="J3555" s="0" t="str">
        <f aca="false">I3555&amp;"-Q"&amp;ROUNDUP(MONTH(B3555)/3,0)</f>
        <v>2017-Q4</v>
      </c>
    </row>
    <row r="3556" customFormat="false" ht="15" hidden="false" customHeight="false" outlineLevel="0" collapsed="false">
      <c r="A3556" s="0" t="s">
        <v>1843</v>
      </c>
      <c r="B3556" s="6" t="n">
        <v>41721</v>
      </c>
      <c r="C3556" s="7" t="s">
        <v>33</v>
      </c>
      <c r="D3556" s="7" t="s">
        <v>34</v>
      </c>
      <c r="E3556" s="7" t="s">
        <v>35</v>
      </c>
      <c r="F3556" s="0" t="n">
        <v>330.4</v>
      </c>
      <c r="G3556" s="0" t="n">
        <v>85.904</v>
      </c>
      <c r="H3556" s="0" t="n">
        <v>0</v>
      </c>
      <c r="I3556" s="7" t="n">
        <f aca="false">YEAR(B3556)</f>
        <v>2014</v>
      </c>
      <c r="J3556" s="0" t="str">
        <f aca="false">I3556&amp;"-Q"&amp;ROUNDUP(MONTH(B3556)/3,0)</f>
        <v>2014-Q1</v>
      </c>
    </row>
    <row r="3557" customFormat="false" ht="15" hidden="false" customHeight="false" outlineLevel="0" collapsed="false">
      <c r="A3557" s="0" t="s">
        <v>1843</v>
      </c>
      <c r="B3557" s="6" t="n">
        <v>41721</v>
      </c>
      <c r="C3557" s="7" t="s">
        <v>33</v>
      </c>
      <c r="D3557" s="7" t="s">
        <v>34</v>
      </c>
      <c r="E3557" s="7" t="s">
        <v>39</v>
      </c>
      <c r="F3557" s="0" t="n">
        <v>604.752</v>
      </c>
      <c r="G3557" s="0" t="n">
        <v>37.797</v>
      </c>
      <c r="H3557" s="0" t="n">
        <v>0.2</v>
      </c>
      <c r="I3557" s="7" t="n">
        <f aca="false">YEAR(B3557)</f>
        <v>2014</v>
      </c>
      <c r="J3557" s="0" t="str">
        <f aca="false">I3557&amp;"-Q"&amp;ROUNDUP(MONTH(B3557)/3,0)</f>
        <v>2014-Q1</v>
      </c>
    </row>
    <row r="3558" customFormat="false" ht="15" hidden="false" customHeight="false" outlineLevel="0" collapsed="false">
      <c r="A3558" s="0" t="s">
        <v>1844</v>
      </c>
      <c r="B3558" s="6" t="n">
        <v>43070</v>
      </c>
      <c r="C3558" s="7" t="s">
        <v>33</v>
      </c>
      <c r="D3558" s="7" t="s">
        <v>34</v>
      </c>
      <c r="E3558" s="7" t="s">
        <v>35</v>
      </c>
      <c r="F3558" s="0" t="n">
        <v>45.36</v>
      </c>
      <c r="G3558" s="0" t="n">
        <v>21.7728</v>
      </c>
      <c r="H3558" s="0" t="n">
        <v>0</v>
      </c>
      <c r="I3558" s="7" t="n">
        <f aca="false">YEAR(B3558)</f>
        <v>2017</v>
      </c>
      <c r="J3558" s="0" t="str">
        <f aca="false">I3558&amp;"-Q"&amp;ROUNDUP(MONTH(B3558)/3,0)</f>
        <v>2017-Q4</v>
      </c>
    </row>
    <row r="3559" customFormat="false" ht="15" hidden="false" customHeight="false" outlineLevel="0" collapsed="false">
      <c r="A3559" s="0" t="s">
        <v>1844</v>
      </c>
      <c r="B3559" s="6" t="n">
        <v>43070</v>
      </c>
      <c r="C3559" s="7" t="s">
        <v>33</v>
      </c>
      <c r="D3559" s="7" t="s">
        <v>34</v>
      </c>
      <c r="E3559" s="7" t="s">
        <v>35</v>
      </c>
      <c r="F3559" s="0" t="n">
        <v>10.128</v>
      </c>
      <c r="G3559" s="0" t="n">
        <v>3.6714</v>
      </c>
      <c r="H3559" s="0" t="n">
        <v>0.2</v>
      </c>
      <c r="I3559" s="7" t="n">
        <f aca="false">YEAR(B3559)</f>
        <v>2017</v>
      </c>
      <c r="J3559" s="0" t="str">
        <f aca="false">I3559&amp;"-Q"&amp;ROUNDUP(MONTH(B3559)/3,0)</f>
        <v>2017-Q4</v>
      </c>
    </row>
    <row r="3560" customFormat="false" ht="15" hidden="false" customHeight="false" outlineLevel="0" collapsed="false">
      <c r="A3560" s="0" t="s">
        <v>1845</v>
      </c>
      <c r="B3560" s="6" t="n">
        <v>43046</v>
      </c>
      <c r="C3560" s="7" t="s">
        <v>33</v>
      </c>
      <c r="D3560" s="7" t="s">
        <v>34</v>
      </c>
      <c r="E3560" s="7" t="s">
        <v>35</v>
      </c>
      <c r="F3560" s="0" t="n">
        <v>21.792</v>
      </c>
      <c r="G3560" s="0" t="n">
        <v>7.6272</v>
      </c>
      <c r="H3560" s="0" t="n">
        <v>0.2</v>
      </c>
      <c r="I3560" s="7" t="n">
        <f aca="false">YEAR(B3560)</f>
        <v>2017</v>
      </c>
      <c r="J3560" s="0" t="str">
        <f aca="false">I3560&amp;"-Q"&amp;ROUNDUP(MONTH(B3560)/3,0)</f>
        <v>2017-Q4</v>
      </c>
    </row>
    <row r="3561" customFormat="false" ht="15" hidden="false" customHeight="false" outlineLevel="0" collapsed="false">
      <c r="A3561" s="0" t="s">
        <v>1845</v>
      </c>
      <c r="B3561" s="6" t="n">
        <v>43046</v>
      </c>
      <c r="C3561" s="7" t="s">
        <v>33</v>
      </c>
      <c r="D3561" s="7" t="s">
        <v>34</v>
      </c>
      <c r="E3561" s="7" t="s">
        <v>39</v>
      </c>
      <c r="F3561" s="0" t="n">
        <v>439.8</v>
      </c>
      <c r="G3561" s="0" t="n">
        <v>145.134</v>
      </c>
      <c r="H3561" s="0" t="n">
        <v>0</v>
      </c>
      <c r="I3561" s="7" t="n">
        <f aca="false">YEAR(B3561)</f>
        <v>2017</v>
      </c>
      <c r="J3561" s="0" t="str">
        <f aca="false">I3561&amp;"-Q"&amp;ROUNDUP(MONTH(B3561)/3,0)</f>
        <v>2017-Q4</v>
      </c>
    </row>
    <row r="3562" customFormat="false" ht="15" hidden="false" customHeight="false" outlineLevel="0" collapsed="false">
      <c r="A3562" s="0" t="s">
        <v>1846</v>
      </c>
      <c r="B3562" s="6" t="n">
        <v>42982</v>
      </c>
      <c r="C3562" s="7" t="s">
        <v>55</v>
      </c>
      <c r="D3562" s="7" t="s">
        <v>116</v>
      </c>
      <c r="E3562" s="7" t="s">
        <v>35</v>
      </c>
      <c r="F3562" s="0" t="n">
        <v>8.256</v>
      </c>
      <c r="G3562" s="0" t="n">
        <v>0.6192</v>
      </c>
      <c r="H3562" s="0" t="n">
        <v>0.2</v>
      </c>
      <c r="I3562" s="7" t="n">
        <f aca="false">YEAR(B3562)</f>
        <v>2017</v>
      </c>
      <c r="J3562" s="0" t="str">
        <f aca="false">I3562&amp;"-Q"&amp;ROUNDUP(MONTH(B3562)/3,0)</f>
        <v>2017-Q3</v>
      </c>
    </row>
    <row r="3563" customFormat="false" ht="15" hidden="false" customHeight="false" outlineLevel="0" collapsed="false">
      <c r="A3563" s="0" t="s">
        <v>1846</v>
      </c>
      <c r="B3563" s="6" t="n">
        <v>42982</v>
      </c>
      <c r="C3563" s="7" t="s">
        <v>55</v>
      </c>
      <c r="D3563" s="7" t="s">
        <v>116</v>
      </c>
      <c r="E3563" s="7" t="s">
        <v>35</v>
      </c>
      <c r="F3563" s="0" t="n">
        <v>25.56</v>
      </c>
      <c r="G3563" s="0" t="n">
        <v>-20.448</v>
      </c>
      <c r="H3563" s="0" t="n">
        <v>0.7</v>
      </c>
      <c r="I3563" s="7" t="n">
        <f aca="false">YEAR(B3563)</f>
        <v>2017</v>
      </c>
      <c r="J3563" s="0" t="str">
        <f aca="false">I3563&amp;"-Q"&amp;ROUNDUP(MONTH(B3563)/3,0)</f>
        <v>2017-Q3</v>
      </c>
    </row>
    <row r="3564" customFormat="false" ht="15" hidden="false" customHeight="false" outlineLevel="0" collapsed="false">
      <c r="A3564" s="0" t="s">
        <v>1846</v>
      </c>
      <c r="B3564" s="6" t="n">
        <v>42982</v>
      </c>
      <c r="C3564" s="7" t="s">
        <v>55</v>
      </c>
      <c r="D3564" s="7" t="s">
        <v>116</v>
      </c>
      <c r="E3564" s="7" t="s">
        <v>35</v>
      </c>
      <c r="F3564" s="0" t="n">
        <v>4.368</v>
      </c>
      <c r="G3564" s="0" t="n">
        <v>-3.0576</v>
      </c>
      <c r="H3564" s="0" t="n">
        <v>0.7</v>
      </c>
      <c r="I3564" s="7" t="n">
        <f aca="false">YEAR(B3564)</f>
        <v>2017</v>
      </c>
      <c r="J3564" s="0" t="str">
        <f aca="false">I3564&amp;"-Q"&amp;ROUNDUP(MONTH(B3564)/3,0)</f>
        <v>2017-Q3</v>
      </c>
    </row>
    <row r="3565" customFormat="false" ht="15" hidden="false" customHeight="false" outlineLevel="0" collapsed="false">
      <c r="A3565" s="0" t="s">
        <v>1846</v>
      </c>
      <c r="B3565" s="6" t="n">
        <v>42982</v>
      </c>
      <c r="C3565" s="7" t="s">
        <v>55</v>
      </c>
      <c r="D3565" s="7" t="s">
        <v>116</v>
      </c>
      <c r="E3565" s="7" t="s">
        <v>35</v>
      </c>
      <c r="F3565" s="0" t="n">
        <v>11.52</v>
      </c>
      <c r="G3565" s="0" t="n">
        <v>3.744</v>
      </c>
      <c r="H3565" s="0" t="n">
        <v>0.2</v>
      </c>
      <c r="I3565" s="7" t="n">
        <f aca="false">YEAR(B3565)</f>
        <v>2017</v>
      </c>
      <c r="J3565" s="0" t="str">
        <f aca="false">I3565&amp;"-Q"&amp;ROUNDUP(MONTH(B3565)/3,0)</f>
        <v>2017-Q3</v>
      </c>
    </row>
    <row r="3566" customFormat="false" ht="15" hidden="false" customHeight="false" outlineLevel="0" collapsed="false">
      <c r="A3566" s="0" t="s">
        <v>1847</v>
      </c>
      <c r="B3566" s="6" t="n">
        <v>42554</v>
      </c>
      <c r="C3566" s="7" t="s">
        <v>33</v>
      </c>
      <c r="D3566" s="7" t="s">
        <v>34</v>
      </c>
      <c r="E3566" s="7" t="s">
        <v>35</v>
      </c>
      <c r="F3566" s="0" t="n">
        <v>12.96</v>
      </c>
      <c r="G3566" s="0" t="n">
        <v>6.2208</v>
      </c>
      <c r="H3566" s="0" t="n">
        <v>0</v>
      </c>
      <c r="I3566" s="7" t="n">
        <f aca="false">YEAR(B3566)</f>
        <v>2016</v>
      </c>
      <c r="J3566" s="0" t="str">
        <f aca="false">I3566&amp;"-Q"&amp;ROUNDUP(MONTH(B3566)/3,0)</f>
        <v>2016-Q3</v>
      </c>
    </row>
    <row r="3567" customFormat="false" ht="15" hidden="false" customHeight="false" outlineLevel="0" collapsed="false">
      <c r="A3567" s="0" t="s">
        <v>1847</v>
      </c>
      <c r="B3567" s="6" t="n">
        <v>42554</v>
      </c>
      <c r="C3567" s="7" t="s">
        <v>33</v>
      </c>
      <c r="D3567" s="7" t="s">
        <v>34</v>
      </c>
      <c r="E3567" s="7" t="s">
        <v>35</v>
      </c>
      <c r="F3567" s="0" t="n">
        <v>3.96</v>
      </c>
      <c r="G3567" s="0" t="n">
        <v>0.0792</v>
      </c>
      <c r="H3567" s="0" t="n">
        <v>0</v>
      </c>
      <c r="I3567" s="7" t="n">
        <f aca="false">YEAR(B3567)</f>
        <v>2016</v>
      </c>
      <c r="J3567" s="0" t="str">
        <f aca="false">I3567&amp;"-Q"&amp;ROUNDUP(MONTH(B3567)/3,0)</f>
        <v>2016-Q3</v>
      </c>
    </row>
    <row r="3568" customFormat="false" ht="15" hidden="false" customHeight="false" outlineLevel="0" collapsed="false">
      <c r="A3568" s="0" t="s">
        <v>1848</v>
      </c>
      <c r="B3568" s="6" t="n">
        <v>42985</v>
      </c>
      <c r="C3568" s="7" t="s">
        <v>45</v>
      </c>
      <c r="D3568" s="7" t="s">
        <v>129</v>
      </c>
      <c r="E3568" s="7" t="s">
        <v>35</v>
      </c>
      <c r="F3568" s="0" t="n">
        <v>1577.94</v>
      </c>
      <c r="G3568" s="0" t="n">
        <v>757.4112</v>
      </c>
      <c r="H3568" s="0" t="n">
        <v>0</v>
      </c>
      <c r="I3568" s="7" t="n">
        <f aca="false">YEAR(B3568)</f>
        <v>2017</v>
      </c>
      <c r="J3568" s="0" t="str">
        <f aca="false">I3568&amp;"-Q"&amp;ROUNDUP(MONTH(B3568)/3,0)</f>
        <v>2017-Q3</v>
      </c>
    </row>
    <row r="3569" customFormat="false" ht="15" hidden="false" customHeight="false" outlineLevel="0" collapsed="false">
      <c r="A3569" s="0" t="s">
        <v>1849</v>
      </c>
      <c r="B3569" s="6" t="n">
        <v>42622</v>
      </c>
      <c r="C3569" s="7" t="s">
        <v>45</v>
      </c>
      <c r="D3569" s="7" t="s">
        <v>46</v>
      </c>
      <c r="E3569" s="7" t="s">
        <v>31</v>
      </c>
      <c r="F3569" s="0" t="n">
        <v>15.008</v>
      </c>
      <c r="G3569" s="0" t="n">
        <v>-12.0064</v>
      </c>
      <c r="H3569" s="0" t="n">
        <v>0.6</v>
      </c>
      <c r="I3569" s="7" t="n">
        <f aca="false">YEAR(B3569)</f>
        <v>2016</v>
      </c>
      <c r="J3569" s="0" t="str">
        <f aca="false">I3569&amp;"-Q"&amp;ROUNDUP(MONTH(B3569)/3,0)</f>
        <v>2016-Q3</v>
      </c>
    </row>
    <row r="3570" customFormat="false" ht="15" hidden="false" customHeight="false" outlineLevel="0" collapsed="false">
      <c r="A3570" s="0" t="s">
        <v>1850</v>
      </c>
      <c r="B3570" s="6" t="n">
        <v>42919</v>
      </c>
      <c r="C3570" s="7" t="s">
        <v>33</v>
      </c>
      <c r="D3570" s="7" t="s">
        <v>43</v>
      </c>
      <c r="E3570" s="7" t="s">
        <v>39</v>
      </c>
      <c r="F3570" s="0" t="n">
        <v>59.98</v>
      </c>
      <c r="G3570" s="0" t="n">
        <v>26.3912</v>
      </c>
      <c r="H3570" s="0" t="n">
        <v>0</v>
      </c>
      <c r="I3570" s="7" t="n">
        <f aca="false">YEAR(B3570)</f>
        <v>2017</v>
      </c>
      <c r="J3570" s="0" t="str">
        <f aca="false">I3570&amp;"-Q"&amp;ROUNDUP(MONTH(B3570)/3,0)</f>
        <v>2017-Q3</v>
      </c>
    </row>
    <row r="3571" customFormat="false" ht="15" hidden="false" customHeight="false" outlineLevel="0" collapsed="false">
      <c r="A3571" s="0" t="s">
        <v>1850</v>
      </c>
      <c r="B3571" s="6" t="n">
        <v>42919</v>
      </c>
      <c r="C3571" s="7" t="s">
        <v>33</v>
      </c>
      <c r="D3571" s="7" t="s">
        <v>43</v>
      </c>
      <c r="E3571" s="7" t="s">
        <v>39</v>
      </c>
      <c r="F3571" s="0" t="n">
        <v>2395.2</v>
      </c>
      <c r="G3571" s="0" t="n">
        <v>209.58</v>
      </c>
      <c r="H3571" s="0" t="n">
        <v>0.2</v>
      </c>
      <c r="I3571" s="7" t="n">
        <f aca="false">YEAR(B3571)</f>
        <v>2017</v>
      </c>
      <c r="J3571" s="0" t="str">
        <f aca="false">I3571&amp;"-Q"&amp;ROUNDUP(MONTH(B3571)/3,0)</f>
        <v>2017-Q3</v>
      </c>
    </row>
    <row r="3572" customFormat="false" ht="15" hidden="false" customHeight="false" outlineLevel="0" collapsed="false">
      <c r="A3572" s="0" t="s">
        <v>1850</v>
      </c>
      <c r="B3572" s="6" t="n">
        <v>42919</v>
      </c>
      <c r="C3572" s="7" t="s">
        <v>33</v>
      </c>
      <c r="D3572" s="7" t="s">
        <v>43</v>
      </c>
      <c r="E3572" s="7" t="s">
        <v>39</v>
      </c>
      <c r="F3572" s="0" t="n">
        <v>1687.8</v>
      </c>
      <c r="G3572" s="0" t="n">
        <v>742.632</v>
      </c>
      <c r="H3572" s="0" t="n">
        <v>0</v>
      </c>
      <c r="I3572" s="7" t="n">
        <f aca="false">YEAR(B3572)</f>
        <v>2017</v>
      </c>
      <c r="J3572" s="0" t="str">
        <f aca="false">I3572&amp;"-Q"&amp;ROUNDUP(MONTH(B3572)/3,0)</f>
        <v>2017-Q3</v>
      </c>
    </row>
    <row r="3573" customFormat="false" ht="15" hidden="false" customHeight="false" outlineLevel="0" collapsed="false">
      <c r="A3573" s="0" t="s">
        <v>1850</v>
      </c>
      <c r="B3573" s="6" t="n">
        <v>42919</v>
      </c>
      <c r="C3573" s="7" t="s">
        <v>33</v>
      </c>
      <c r="D3573" s="7" t="s">
        <v>43</v>
      </c>
      <c r="E3573" s="7" t="s">
        <v>39</v>
      </c>
      <c r="F3573" s="0" t="n">
        <v>7.992</v>
      </c>
      <c r="G3573" s="0" t="n">
        <v>2.6973</v>
      </c>
      <c r="H3573" s="0" t="n">
        <v>0.2</v>
      </c>
      <c r="I3573" s="7" t="n">
        <f aca="false">YEAR(B3573)</f>
        <v>2017</v>
      </c>
      <c r="J3573" s="0" t="str">
        <f aca="false">I3573&amp;"-Q"&amp;ROUNDUP(MONTH(B3573)/3,0)</f>
        <v>2017-Q3</v>
      </c>
    </row>
    <row r="3574" customFormat="false" ht="15" hidden="false" customHeight="false" outlineLevel="0" collapsed="false">
      <c r="A3574" s="0" t="s">
        <v>1851</v>
      </c>
      <c r="B3574" s="6" t="n">
        <v>42915</v>
      </c>
      <c r="C3574" s="7" t="s">
        <v>45</v>
      </c>
      <c r="D3574" s="7" t="s">
        <v>46</v>
      </c>
      <c r="E3574" s="7" t="s">
        <v>35</v>
      </c>
      <c r="F3574" s="0" t="n">
        <v>5.184</v>
      </c>
      <c r="G3574" s="0" t="n">
        <v>1.8144</v>
      </c>
      <c r="H3574" s="0" t="n">
        <v>0.2</v>
      </c>
      <c r="I3574" s="7" t="n">
        <f aca="false">YEAR(B3574)</f>
        <v>2017</v>
      </c>
      <c r="J3574" s="0" t="str">
        <f aca="false">I3574&amp;"-Q"&amp;ROUNDUP(MONTH(B3574)/3,0)</f>
        <v>2017-Q2</v>
      </c>
    </row>
    <row r="3575" customFormat="false" ht="15" hidden="false" customHeight="false" outlineLevel="0" collapsed="false">
      <c r="A3575" s="0" t="s">
        <v>1852</v>
      </c>
      <c r="B3575" s="6" t="n">
        <v>42954</v>
      </c>
      <c r="C3575" s="7" t="s">
        <v>55</v>
      </c>
      <c r="D3575" s="7" t="s">
        <v>76</v>
      </c>
      <c r="E3575" s="7" t="s">
        <v>35</v>
      </c>
      <c r="F3575" s="0" t="n">
        <v>11.68</v>
      </c>
      <c r="G3575" s="0" t="n">
        <v>5.4896</v>
      </c>
      <c r="H3575" s="0" t="n">
        <v>0</v>
      </c>
      <c r="I3575" s="7" t="n">
        <f aca="false">YEAR(B3575)</f>
        <v>2017</v>
      </c>
      <c r="J3575" s="0" t="str">
        <f aca="false">I3575&amp;"-Q"&amp;ROUNDUP(MONTH(B3575)/3,0)</f>
        <v>2017-Q3</v>
      </c>
    </row>
    <row r="3576" customFormat="false" ht="15" hidden="false" customHeight="false" outlineLevel="0" collapsed="false">
      <c r="A3576" s="0" t="s">
        <v>1852</v>
      </c>
      <c r="B3576" s="6" t="n">
        <v>42954</v>
      </c>
      <c r="C3576" s="7" t="s">
        <v>55</v>
      </c>
      <c r="D3576" s="7" t="s">
        <v>76</v>
      </c>
      <c r="E3576" s="7" t="s">
        <v>35</v>
      </c>
      <c r="F3576" s="0" t="n">
        <v>104.8</v>
      </c>
      <c r="G3576" s="0" t="n">
        <v>26.2</v>
      </c>
      <c r="H3576" s="0" t="n">
        <v>0</v>
      </c>
      <c r="I3576" s="7" t="n">
        <f aca="false">YEAR(B3576)</f>
        <v>2017</v>
      </c>
      <c r="J3576" s="0" t="str">
        <f aca="false">I3576&amp;"-Q"&amp;ROUNDUP(MONTH(B3576)/3,0)</f>
        <v>2017-Q3</v>
      </c>
    </row>
    <row r="3577" customFormat="false" ht="15" hidden="false" customHeight="false" outlineLevel="0" collapsed="false">
      <c r="A3577" s="0" t="s">
        <v>1853</v>
      </c>
      <c r="B3577" s="6" t="n">
        <v>42082</v>
      </c>
      <c r="C3577" s="7" t="s">
        <v>29</v>
      </c>
      <c r="D3577" s="7" t="s">
        <v>37</v>
      </c>
      <c r="E3577" s="7" t="s">
        <v>35</v>
      </c>
      <c r="F3577" s="0" t="n">
        <v>14.496</v>
      </c>
      <c r="G3577" s="0" t="n">
        <v>4.8924</v>
      </c>
      <c r="H3577" s="0" t="n">
        <v>0.2</v>
      </c>
      <c r="I3577" s="7" t="n">
        <f aca="false">YEAR(B3577)</f>
        <v>2015</v>
      </c>
      <c r="J3577" s="0" t="str">
        <f aca="false">I3577&amp;"-Q"&amp;ROUNDUP(MONTH(B3577)/3,0)</f>
        <v>2015-Q1</v>
      </c>
    </row>
    <row r="3578" customFormat="false" ht="15" hidden="false" customHeight="false" outlineLevel="0" collapsed="false">
      <c r="A3578" s="0" t="s">
        <v>1854</v>
      </c>
      <c r="B3578" s="6" t="n">
        <v>42528</v>
      </c>
      <c r="C3578" s="7" t="s">
        <v>33</v>
      </c>
      <c r="D3578" s="7" t="s">
        <v>34</v>
      </c>
      <c r="E3578" s="7" t="s">
        <v>35</v>
      </c>
      <c r="F3578" s="0" t="n">
        <v>4.784</v>
      </c>
      <c r="G3578" s="0" t="n">
        <v>1.5548</v>
      </c>
      <c r="H3578" s="0" t="n">
        <v>0.2</v>
      </c>
      <c r="I3578" s="7" t="n">
        <f aca="false">YEAR(B3578)</f>
        <v>2016</v>
      </c>
      <c r="J3578" s="0" t="str">
        <f aca="false">I3578&amp;"-Q"&amp;ROUNDUP(MONTH(B3578)/3,0)</f>
        <v>2016-Q2</v>
      </c>
    </row>
    <row r="3579" customFormat="false" ht="15" hidden="false" customHeight="false" outlineLevel="0" collapsed="false">
      <c r="A3579" s="0" t="s">
        <v>1854</v>
      </c>
      <c r="B3579" s="6" t="n">
        <v>42528</v>
      </c>
      <c r="C3579" s="7" t="s">
        <v>33</v>
      </c>
      <c r="D3579" s="7" t="s">
        <v>34</v>
      </c>
      <c r="E3579" s="7" t="s">
        <v>35</v>
      </c>
      <c r="F3579" s="0" t="n">
        <v>4.73</v>
      </c>
      <c r="G3579" s="0" t="n">
        <v>2.3177</v>
      </c>
      <c r="H3579" s="0" t="n">
        <v>0</v>
      </c>
      <c r="I3579" s="7" t="n">
        <f aca="false">YEAR(B3579)</f>
        <v>2016</v>
      </c>
      <c r="J3579" s="0" t="str">
        <f aca="false">I3579&amp;"-Q"&amp;ROUNDUP(MONTH(B3579)/3,0)</f>
        <v>2016-Q2</v>
      </c>
    </row>
    <row r="3580" customFormat="false" ht="15" hidden="false" customHeight="false" outlineLevel="0" collapsed="false">
      <c r="A3580" s="0" t="s">
        <v>1855</v>
      </c>
      <c r="B3580" s="6" t="n">
        <v>42576</v>
      </c>
      <c r="C3580" s="7" t="s">
        <v>29</v>
      </c>
      <c r="D3580" s="7" t="s">
        <v>265</v>
      </c>
      <c r="E3580" s="7" t="s">
        <v>35</v>
      </c>
      <c r="F3580" s="0" t="n">
        <v>7.89</v>
      </c>
      <c r="G3580" s="0" t="n">
        <v>0.3156</v>
      </c>
      <c r="H3580" s="0" t="n">
        <v>0</v>
      </c>
      <c r="I3580" s="7" t="n">
        <f aca="false">YEAR(B3580)</f>
        <v>2016</v>
      </c>
      <c r="J3580" s="0" t="str">
        <f aca="false">I3580&amp;"-Q"&amp;ROUNDUP(MONTH(B3580)/3,0)</f>
        <v>2016-Q3</v>
      </c>
    </row>
    <row r="3581" customFormat="false" ht="15" hidden="false" customHeight="false" outlineLevel="0" collapsed="false">
      <c r="A3581" s="0" t="s">
        <v>1855</v>
      </c>
      <c r="B3581" s="6" t="n">
        <v>42576</v>
      </c>
      <c r="C3581" s="7" t="s">
        <v>29</v>
      </c>
      <c r="D3581" s="7" t="s">
        <v>265</v>
      </c>
      <c r="E3581" s="7" t="s">
        <v>35</v>
      </c>
      <c r="F3581" s="0" t="n">
        <v>65.5</v>
      </c>
      <c r="G3581" s="0" t="n">
        <v>32.095</v>
      </c>
      <c r="H3581" s="0" t="n">
        <v>0</v>
      </c>
      <c r="I3581" s="7" t="n">
        <f aca="false">YEAR(B3581)</f>
        <v>2016</v>
      </c>
      <c r="J3581" s="0" t="str">
        <f aca="false">I3581&amp;"-Q"&amp;ROUNDUP(MONTH(B3581)/3,0)</f>
        <v>2016-Q3</v>
      </c>
    </row>
    <row r="3582" customFormat="false" ht="15" hidden="false" customHeight="false" outlineLevel="0" collapsed="false">
      <c r="A3582" s="0" t="s">
        <v>1855</v>
      </c>
      <c r="B3582" s="6" t="n">
        <v>42576</v>
      </c>
      <c r="C3582" s="7" t="s">
        <v>29</v>
      </c>
      <c r="D3582" s="7" t="s">
        <v>265</v>
      </c>
      <c r="E3582" s="7" t="s">
        <v>31</v>
      </c>
      <c r="F3582" s="0" t="n">
        <v>2430.08</v>
      </c>
      <c r="G3582" s="0" t="n">
        <v>388.8128</v>
      </c>
      <c r="H3582" s="0" t="n">
        <v>0</v>
      </c>
      <c r="I3582" s="7" t="n">
        <f aca="false">YEAR(B3582)</f>
        <v>2016</v>
      </c>
      <c r="J3582" s="0" t="str">
        <f aca="false">I3582&amp;"-Q"&amp;ROUNDUP(MONTH(B3582)/3,0)</f>
        <v>2016-Q3</v>
      </c>
    </row>
    <row r="3583" customFormat="false" ht="15" hidden="false" customHeight="false" outlineLevel="0" collapsed="false">
      <c r="A3583" s="0" t="s">
        <v>1856</v>
      </c>
      <c r="B3583" s="6" t="n">
        <v>43009</v>
      </c>
      <c r="C3583" s="7" t="s">
        <v>45</v>
      </c>
      <c r="D3583" s="7" t="s">
        <v>53</v>
      </c>
      <c r="E3583" s="7" t="s">
        <v>35</v>
      </c>
      <c r="F3583" s="0" t="n">
        <v>104.85</v>
      </c>
      <c r="G3583" s="0" t="n">
        <v>50.328</v>
      </c>
      <c r="H3583" s="0" t="n">
        <v>0</v>
      </c>
      <c r="I3583" s="7" t="n">
        <f aca="false">YEAR(B3583)</f>
        <v>2017</v>
      </c>
      <c r="J3583" s="0" t="str">
        <f aca="false">I3583&amp;"-Q"&amp;ROUNDUP(MONTH(B3583)/3,0)</f>
        <v>2017-Q4</v>
      </c>
    </row>
    <row r="3584" customFormat="false" ht="15" hidden="false" customHeight="false" outlineLevel="0" collapsed="false">
      <c r="A3584" s="0" t="s">
        <v>1857</v>
      </c>
      <c r="B3584" s="6" t="n">
        <v>42348</v>
      </c>
      <c r="C3584" s="7" t="s">
        <v>45</v>
      </c>
      <c r="D3584" s="7" t="s">
        <v>70</v>
      </c>
      <c r="E3584" s="7" t="s">
        <v>35</v>
      </c>
      <c r="F3584" s="0" t="n">
        <v>3.9</v>
      </c>
      <c r="G3584" s="0" t="n">
        <v>1.521</v>
      </c>
      <c r="H3584" s="0" t="n">
        <v>0</v>
      </c>
      <c r="I3584" s="7" t="n">
        <f aca="false">YEAR(B3584)</f>
        <v>2015</v>
      </c>
      <c r="J3584" s="0" t="str">
        <f aca="false">I3584&amp;"-Q"&amp;ROUNDUP(MONTH(B3584)/3,0)</f>
        <v>2015-Q4</v>
      </c>
    </row>
    <row r="3585" customFormat="false" ht="15" hidden="false" customHeight="false" outlineLevel="0" collapsed="false">
      <c r="A3585" s="0" t="s">
        <v>1857</v>
      </c>
      <c r="B3585" s="6" t="n">
        <v>42348</v>
      </c>
      <c r="C3585" s="7" t="s">
        <v>45</v>
      </c>
      <c r="D3585" s="7" t="s">
        <v>70</v>
      </c>
      <c r="E3585" s="7" t="s">
        <v>31</v>
      </c>
      <c r="F3585" s="0" t="n">
        <v>801.96</v>
      </c>
      <c r="G3585" s="0" t="n">
        <v>200.49</v>
      </c>
      <c r="H3585" s="0" t="n">
        <v>0</v>
      </c>
      <c r="I3585" s="7" t="n">
        <f aca="false">YEAR(B3585)</f>
        <v>2015</v>
      </c>
      <c r="J3585" s="0" t="str">
        <f aca="false">I3585&amp;"-Q"&amp;ROUNDUP(MONTH(B3585)/3,0)</f>
        <v>2015-Q4</v>
      </c>
    </row>
    <row r="3586" customFormat="false" ht="15" hidden="false" customHeight="false" outlineLevel="0" collapsed="false">
      <c r="A3586" s="0" t="s">
        <v>1857</v>
      </c>
      <c r="B3586" s="6" t="n">
        <v>42348</v>
      </c>
      <c r="C3586" s="7" t="s">
        <v>45</v>
      </c>
      <c r="D3586" s="7" t="s">
        <v>70</v>
      </c>
      <c r="E3586" s="7" t="s">
        <v>31</v>
      </c>
      <c r="F3586" s="0" t="n">
        <v>191.96</v>
      </c>
      <c r="G3586" s="0" t="n">
        <v>32.6332</v>
      </c>
      <c r="H3586" s="0" t="n">
        <v>0</v>
      </c>
      <c r="I3586" s="7" t="n">
        <f aca="false">YEAR(B3586)</f>
        <v>2015</v>
      </c>
      <c r="J3586" s="0" t="str">
        <f aca="false">I3586&amp;"-Q"&amp;ROUNDUP(MONTH(B3586)/3,0)</f>
        <v>2015-Q4</v>
      </c>
    </row>
    <row r="3587" customFormat="false" ht="15" hidden="false" customHeight="false" outlineLevel="0" collapsed="false">
      <c r="A3587" s="0" t="s">
        <v>1857</v>
      </c>
      <c r="B3587" s="6" t="n">
        <v>42348</v>
      </c>
      <c r="C3587" s="7" t="s">
        <v>45</v>
      </c>
      <c r="D3587" s="7" t="s">
        <v>70</v>
      </c>
      <c r="E3587" s="7" t="s">
        <v>35</v>
      </c>
      <c r="F3587" s="0" t="n">
        <v>2.61</v>
      </c>
      <c r="G3587" s="0" t="n">
        <v>1.2006</v>
      </c>
      <c r="H3587" s="0" t="n">
        <v>0</v>
      </c>
      <c r="I3587" s="7" t="n">
        <f aca="false">YEAR(B3587)</f>
        <v>2015</v>
      </c>
      <c r="J3587" s="0" t="str">
        <f aca="false">I3587&amp;"-Q"&amp;ROUNDUP(MONTH(B3587)/3,0)</f>
        <v>2015-Q4</v>
      </c>
    </row>
    <row r="3588" customFormat="false" ht="15" hidden="false" customHeight="false" outlineLevel="0" collapsed="false">
      <c r="A3588" s="0" t="s">
        <v>1858</v>
      </c>
      <c r="B3588" s="6" t="n">
        <v>42981</v>
      </c>
      <c r="C3588" s="7" t="s">
        <v>33</v>
      </c>
      <c r="D3588" s="7" t="s">
        <v>34</v>
      </c>
      <c r="E3588" s="7" t="s">
        <v>35</v>
      </c>
      <c r="F3588" s="0" t="n">
        <v>5.96</v>
      </c>
      <c r="G3588" s="0" t="n">
        <v>1.6688</v>
      </c>
      <c r="H3588" s="0" t="n">
        <v>0</v>
      </c>
      <c r="I3588" s="7" t="n">
        <f aca="false">YEAR(B3588)</f>
        <v>2017</v>
      </c>
      <c r="J3588" s="0" t="str">
        <f aca="false">I3588&amp;"-Q"&amp;ROUNDUP(MONTH(B3588)/3,0)</f>
        <v>2017-Q3</v>
      </c>
    </row>
    <row r="3589" customFormat="false" ht="15" hidden="false" customHeight="false" outlineLevel="0" collapsed="false">
      <c r="A3589" s="0" t="s">
        <v>1859</v>
      </c>
      <c r="B3589" s="6" t="n">
        <v>43002</v>
      </c>
      <c r="C3589" s="7" t="s">
        <v>55</v>
      </c>
      <c r="D3589" s="7" t="s">
        <v>116</v>
      </c>
      <c r="E3589" s="7" t="s">
        <v>39</v>
      </c>
      <c r="F3589" s="0" t="n">
        <v>1169.694</v>
      </c>
      <c r="G3589" s="0" t="n">
        <v>-253.4337</v>
      </c>
      <c r="H3589" s="0" t="n">
        <v>0.4</v>
      </c>
      <c r="I3589" s="7" t="n">
        <f aca="false">YEAR(B3589)</f>
        <v>2017</v>
      </c>
      <c r="J3589" s="0" t="str">
        <f aca="false">I3589&amp;"-Q"&amp;ROUNDUP(MONTH(B3589)/3,0)</f>
        <v>2017-Q3</v>
      </c>
    </row>
    <row r="3590" customFormat="false" ht="15" hidden="false" customHeight="false" outlineLevel="0" collapsed="false">
      <c r="A3590" s="0" t="s">
        <v>1860</v>
      </c>
      <c r="B3590" s="6" t="n">
        <v>43088</v>
      </c>
      <c r="C3590" s="7" t="s">
        <v>29</v>
      </c>
      <c r="D3590" s="7" t="s">
        <v>152</v>
      </c>
      <c r="E3590" s="7" t="s">
        <v>35</v>
      </c>
      <c r="F3590" s="0" t="n">
        <v>1665.62</v>
      </c>
      <c r="G3590" s="0" t="n">
        <v>33.3124</v>
      </c>
      <c r="H3590" s="0" t="n">
        <v>0</v>
      </c>
      <c r="I3590" s="7" t="n">
        <f aca="false">YEAR(B3590)</f>
        <v>2017</v>
      </c>
      <c r="J3590" s="0" t="str">
        <f aca="false">I3590&amp;"-Q"&amp;ROUNDUP(MONTH(B3590)/3,0)</f>
        <v>2017-Q4</v>
      </c>
    </row>
    <row r="3591" customFormat="false" ht="15" hidden="false" customHeight="false" outlineLevel="0" collapsed="false">
      <c r="A3591" s="0" t="s">
        <v>1861</v>
      </c>
      <c r="B3591" s="6" t="n">
        <v>43063</v>
      </c>
      <c r="C3591" s="7" t="s">
        <v>29</v>
      </c>
      <c r="D3591" s="7" t="s">
        <v>30</v>
      </c>
      <c r="E3591" s="7" t="s">
        <v>35</v>
      </c>
      <c r="F3591" s="0" t="n">
        <v>2.88</v>
      </c>
      <c r="G3591" s="0" t="n">
        <v>1.4112</v>
      </c>
      <c r="H3591" s="0" t="n">
        <v>0</v>
      </c>
      <c r="I3591" s="7" t="n">
        <f aca="false">YEAR(B3591)</f>
        <v>2017</v>
      </c>
      <c r="J3591" s="0" t="str">
        <f aca="false">I3591&amp;"-Q"&amp;ROUNDUP(MONTH(B3591)/3,0)</f>
        <v>2017-Q4</v>
      </c>
    </row>
    <row r="3592" customFormat="false" ht="15" hidden="false" customHeight="false" outlineLevel="0" collapsed="false">
      <c r="A3592" s="0" t="s">
        <v>1861</v>
      </c>
      <c r="B3592" s="6" t="n">
        <v>43063</v>
      </c>
      <c r="C3592" s="7" t="s">
        <v>29</v>
      </c>
      <c r="D3592" s="7" t="s">
        <v>30</v>
      </c>
      <c r="E3592" s="7" t="s">
        <v>35</v>
      </c>
      <c r="F3592" s="0" t="n">
        <v>1443.96</v>
      </c>
      <c r="G3592" s="0" t="n">
        <v>375.4296</v>
      </c>
      <c r="H3592" s="0" t="n">
        <v>0</v>
      </c>
      <c r="I3592" s="7" t="n">
        <f aca="false">YEAR(B3592)</f>
        <v>2017</v>
      </c>
      <c r="J3592" s="0" t="str">
        <f aca="false">I3592&amp;"-Q"&amp;ROUNDUP(MONTH(B3592)/3,0)</f>
        <v>2017-Q4</v>
      </c>
    </row>
    <row r="3593" customFormat="false" ht="15" hidden="false" customHeight="false" outlineLevel="0" collapsed="false">
      <c r="A3593" s="0" t="s">
        <v>1862</v>
      </c>
      <c r="B3593" s="6" t="n">
        <v>41986</v>
      </c>
      <c r="C3593" s="7" t="s">
        <v>45</v>
      </c>
      <c r="D3593" s="7" t="s">
        <v>46</v>
      </c>
      <c r="E3593" s="7" t="s">
        <v>35</v>
      </c>
      <c r="F3593" s="0" t="n">
        <v>2.92</v>
      </c>
      <c r="G3593" s="0" t="n">
        <v>0.365</v>
      </c>
      <c r="H3593" s="0" t="n">
        <v>0.2</v>
      </c>
      <c r="I3593" s="7" t="n">
        <f aca="false">YEAR(B3593)</f>
        <v>2014</v>
      </c>
      <c r="J3593" s="0" t="str">
        <f aca="false">I3593&amp;"-Q"&amp;ROUNDUP(MONTH(B3593)/3,0)</f>
        <v>2014-Q4</v>
      </c>
    </row>
    <row r="3594" customFormat="false" ht="15" hidden="false" customHeight="false" outlineLevel="0" collapsed="false">
      <c r="A3594" s="0" t="s">
        <v>1863</v>
      </c>
      <c r="B3594" s="6" t="n">
        <v>42709</v>
      </c>
      <c r="C3594" s="7" t="s">
        <v>55</v>
      </c>
      <c r="D3594" s="7" t="s">
        <v>76</v>
      </c>
      <c r="E3594" s="7" t="s">
        <v>35</v>
      </c>
      <c r="F3594" s="0" t="n">
        <v>465.18</v>
      </c>
      <c r="G3594" s="0" t="n">
        <v>120.9468</v>
      </c>
      <c r="H3594" s="0" t="n">
        <v>0</v>
      </c>
      <c r="I3594" s="7" t="n">
        <f aca="false">YEAR(B3594)</f>
        <v>2016</v>
      </c>
      <c r="J3594" s="0" t="str">
        <f aca="false">I3594&amp;"-Q"&amp;ROUNDUP(MONTH(B3594)/3,0)</f>
        <v>2016-Q4</v>
      </c>
    </row>
    <row r="3595" customFormat="false" ht="15" hidden="false" customHeight="false" outlineLevel="0" collapsed="false">
      <c r="A3595" s="0" t="s">
        <v>1864</v>
      </c>
      <c r="B3595" s="6" t="n">
        <v>42624</v>
      </c>
      <c r="C3595" s="7" t="s">
        <v>55</v>
      </c>
      <c r="D3595" s="7" t="s">
        <v>116</v>
      </c>
      <c r="E3595" s="7" t="s">
        <v>35</v>
      </c>
      <c r="F3595" s="0" t="n">
        <v>22.428</v>
      </c>
      <c r="G3595" s="0" t="n">
        <v>-17.9424</v>
      </c>
      <c r="H3595" s="0" t="n">
        <v>0.7</v>
      </c>
      <c r="I3595" s="7" t="n">
        <f aca="false">YEAR(B3595)</f>
        <v>2016</v>
      </c>
      <c r="J3595" s="0" t="str">
        <f aca="false">I3595&amp;"-Q"&amp;ROUNDUP(MONTH(B3595)/3,0)</f>
        <v>2016-Q3</v>
      </c>
    </row>
    <row r="3596" customFormat="false" ht="15" hidden="false" customHeight="false" outlineLevel="0" collapsed="false">
      <c r="A3596" s="0" t="s">
        <v>1864</v>
      </c>
      <c r="B3596" s="6" t="n">
        <v>42624</v>
      </c>
      <c r="C3596" s="7" t="s">
        <v>55</v>
      </c>
      <c r="D3596" s="7" t="s">
        <v>116</v>
      </c>
      <c r="E3596" s="7" t="s">
        <v>35</v>
      </c>
      <c r="F3596" s="0" t="n">
        <v>37.52</v>
      </c>
      <c r="G3596" s="0" t="n">
        <v>3.752</v>
      </c>
      <c r="H3596" s="0" t="n">
        <v>0.2</v>
      </c>
      <c r="I3596" s="7" t="n">
        <f aca="false">YEAR(B3596)</f>
        <v>2016</v>
      </c>
      <c r="J3596" s="0" t="str">
        <f aca="false">I3596&amp;"-Q"&amp;ROUNDUP(MONTH(B3596)/3,0)</f>
        <v>2016-Q3</v>
      </c>
    </row>
    <row r="3597" customFormat="false" ht="15" hidden="false" customHeight="false" outlineLevel="0" collapsed="false">
      <c r="A3597" s="0" t="s">
        <v>1865</v>
      </c>
      <c r="B3597" s="6" t="n">
        <v>43078</v>
      </c>
      <c r="C3597" s="7" t="s">
        <v>55</v>
      </c>
      <c r="D3597" s="7" t="s">
        <v>56</v>
      </c>
      <c r="E3597" s="7" t="s">
        <v>35</v>
      </c>
      <c r="F3597" s="0" t="n">
        <v>2.624</v>
      </c>
      <c r="G3597" s="0" t="n">
        <v>0.4264</v>
      </c>
      <c r="H3597" s="0" t="n">
        <v>0.2</v>
      </c>
      <c r="I3597" s="7" t="n">
        <f aca="false">YEAR(B3597)</f>
        <v>2017</v>
      </c>
      <c r="J3597" s="0" t="str">
        <f aca="false">I3597&amp;"-Q"&amp;ROUNDUP(MONTH(B3597)/3,0)</f>
        <v>2017-Q4</v>
      </c>
    </row>
    <row r="3598" customFormat="false" ht="15" hidden="false" customHeight="false" outlineLevel="0" collapsed="false">
      <c r="A3598" s="0" t="s">
        <v>1866</v>
      </c>
      <c r="B3598" s="6" t="n">
        <v>41891</v>
      </c>
      <c r="C3598" s="7" t="s">
        <v>55</v>
      </c>
      <c r="D3598" s="7" t="s">
        <v>56</v>
      </c>
      <c r="E3598" s="7" t="s">
        <v>35</v>
      </c>
      <c r="F3598" s="0" t="n">
        <v>15.552</v>
      </c>
      <c r="G3598" s="0" t="n">
        <v>5.4432</v>
      </c>
      <c r="H3598" s="0" t="n">
        <v>0.2</v>
      </c>
      <c r="I3598" s="7" t="n">
        <f aca="false">YEAR(B3598)</f>
        <v>2014</v>
      </c>
      <c r="J3598" s="0" t="str">
        <f aca="false">I3598&amp;"-Q"&amp;ROUNDUP(MONTH(B3598)/3,0)</f>
        <v>2014-Q3</v>
      </c>
    </row>
    <row r="3599" customFormat="false" ht="15" hidden="false" customHeight="false" outlineLevel="0" collapsed="false">
      <c r="A3599" s="0" t="s">
        <v>1866</v>
      </c>
      <c r="B3599" s="6" t="n">
        <v>41891</v>
      </c>
      <c r="C3599" s="7" t="s">
        <v>55</v>
      </c>
      <c r="D3599" s="7" t="s">
        <v>56</v>
      </c>
      <c r="E3599" s="7" t="s">
        <v>39</v>
      </c>
      <c r="F3599" s="0" t="n">
        <v>64.704</v>
      </c>
      <c r="G3599" s="0" t="n">
        <v>-4.8528</v>
      </c>
      <c r="H3599" s="0" t="n">
        <v>0.2</v>
      </c>
      <c r="I3599" s="7" t="n">
        <f aca="false">YEAR(B3599)</f>
        <v>2014</v>
      </c>
      <c r="J3599" s="0" t="str">
        <f aca="false">I3599&amp;"-Q"&amp;ROUNDUP(MONTH(B3599)/3,0)</f>
        <v>2014-Q3</v>
      </c>
    </row>
    <row r="3600" customFormat="false" ht="15" hidden="false" customHeight="false" outlineLevel="0" collapsed="false">
      <c r="A3600" s="0" t="s">
        <v>1866</v>
      </c>
      <c r="B3600" s="6" t="n">
        <v>41891</v>
      </c>
      <c r="C3600" s="7" t="s">
        <v>55</v>
      </c>
      <c r="D3600" s="7" t="s">
        <v>56</v>
      </c>
      <c r="E3600" s="7" t="s">
        <v>31</v>
      </c>
      <c r="F3600" s="0" t="n">
        <v>17.472</v>
      </c>
      <c r="G3600" s="0" t="n">
        <v>5.0232</v>
      </c>
      <c r="H3600" s="0" t="n">
        <v>0.2</v>
      </c>
      <c r="I3600" s="7" t="n">
        <f aca="false">YEAR(B3600)</f>
        <v>2014</v>
      </c>
      <c r="J3600" s="0" t="str">
        <f aca="false">I3600&amp;"-Q"&amp;ROUNDUP(MONTH(B3600)/3,0)</f>
        <v>2014-Q3</v>
      </c>
    </row>
    <row r="3601" customFormat="false" ht="15" hidden="false" customHeight="false" outlineLevel="0" collapsed="false">
      <c r="A3601" s="0" t="s">
        <v>1866</v>
      </c>
      <c r="B3601" s="6" t="n">
        <v>41891</v>
      </c>
      <c r="C3601" s="7" t="s">
        <v>55</v>
      </c>
      <c r="D3601" s="7" t="s">
        <v>56</v>
      </c>
      <c r="E3601" s="7" t="s">
        <v>39</v>
      </c>
      <c r="F3601" s="0" t="n">
        <v>135.516</v>
      </c>
      <c r="G3601" s="0" t="n">
        <v>-31.6204</v>
      </c>
      <c r="H3601" s="0" t="n">
        <v>0.4</v>
      </c>
      <c r="I3601" s="7" t="n">
        <f aca="false">YEAR(B3601)</f>
        <v>2014</v>
      </c>
      <c r="J3601" s="0" t="str">
        <f aca="false">I3601&amp;"-Q"&amp;ROUNDUP(MONTH(B3601)/3,0)</f>
        <v>2014-Q3</v>
      </c>
    </row>
    <row r="3602" customFormat="false" ht="15" hidden="false" customHeight="false" outlineLevel="0" collapsed="false">
      <c r="A3602" s="0" t="s">
        <v>1867</v>
      </c>
      <c r="B3602" s="6" t="n">
        <v>42912</v>
      </c>
      <c r="C3602" s="7" t="s">
        <v>33</v>
      </c>
      <c r="D3602" s="7" t="s">
        <v>109</v>
      </c>
      <c r="E3602" s="7" t="s">
        <v>39</v>
      </c>
      <c r="F3602" s="0" t="n">
        <v>431.928</v>
      </c>
      <c r="G3602" s="0" t="n">
        <v>64.7892</v>
      </c>
      <c r="H3602" s="0" t="n">
        <v>0.2</v>
      </c>
      <c r="I3602" s="7" t="n">
        <f aca="false">YEAR(B3602)</f>
        <v>2017</v>
      </c>
      <c r="J3602" s="0" t="str">
        <f aca="false">I3602&amp;"-Q"&amp;ROUNDUP(MONTH(B3602)/3,0)</f>
        <v>2017-Q2</v>
      </c>
    </row>
    <row r="3603" customFormat="false" ht="15" hidden="false" customHeight="false" outlineLevel="0" collapsed="false">
      <c r="A3603" s="0" t="s">
        <v>1868</v>
      </c>
      <c r="B3603" s="6" t="n">
        <v>41960</v>
      </c>
      <c r="C3603" s="7" t="s">
        <v>55</v>
      </c>
      <c r="D3603" s="7" t="s">
        <v>56</v>
      </c>
      <c r="E3603" s="7" t="s">
        <v>35</v>
      </c>
      <c r="F3603" s="0" t="n">
        <v>12.448</v>
      </c>
      <c r="G3603" s="0" t="n">
        <v>3.89</v>
      </c>
      <c r="H3603" s="0" t="n">
        <v>0.2</v>
      </c>
      <c r="I3603" s="7" t="n">
        <f aca="false">YEAR(B3603)</f>
        <v>2014</v>
      </c>
      <c r="J3603" s="0" t="str">
        <f aca="false">I3603&amp;"-Q"&amp;ROUNDUP(MONTH(B3603)/3,0)</f>
        <v>2014-Q4</v>
      </c>
    </row>
    <row r="3604" customFormat="false" ht="15" hidden="false" customHeight="false" outlineLevel="0" collapsed="false">
      <c r="A3604" s="0" t="s">
        <v>1868</v>
      </c>
      <c r="B3604" s="6" t="n">
        <v>41960</v>
      </c>
      <c r="C3604" s="7" t="s">
        <v>55</v>
      </c>
      <c r="D3604" s="7" t="s">
        <v>56</v>
      </c>
      <c r="E3604" s="7" t="s">
        <v>31</v>
      </c>
      <c r="F3604" s="0" t="n">
        <v>657.93</v>
      </c>
      <c r="G3604" s="0" t="n">
        <v>-93.99</v>
      </c>
      <c r="H3604" s="0" t="n">
        <v>0.3</v>
      </c>
      <c r="I3604" s="7" t="n">
        <f aca="false">YEAR(B3604)</f>
        <v>2014</v>
      </c>
      <c r="J3604" s="0" t="str">
        <f aca="false">I3604&amp;"-Q"&amp;ROUNDUP(MONTH(B3604)/3,0)</f>
        <v>2014-Q4</v>
      </c>
    </row>
    <row r="3605" customFormat="false" ht="15" hidden="false" customHeight="false" outlineLevel="0" collapsed="false">
      <c r="A3605" s="0" t="s">
        <v>1869</v>
      </c>
      <c r="B3605" s="6" t="n">
        <v>42968</v>
      </c>
      <c r="C3605" s="7" t="s">
        <v>55</v>
      </c>
      <c r="D3605" s="7" t="s">
        <v>495</v>
      </c>
      <c r="E3605" s="7" t="s">
        <v>35</v>
      </c>
      <c r="F3605" s="0" t="n">
        <v>277.4</v>
      </c>
      <c r="G3605" s="0" t="n">
        <v>133.152</v>
      </c>
      <c r="H3605" s="0" t="n">
        <v>0</v>
      </c>
      <c r="I3605" s="7" t="n">
        <f aca="false">YEAR(B3605)</f>
        <v>2017</v>
      </c>
      <c r="J3605" s="0" t="str">
        <f aca="false">I3605&amp;"-Q"&amp;ROUNDUP(MONTH(B3605)/3,0)</f>
        <v>2017-Q3</v>
      </c>
    </row>
    <row r="3606" customFormat="false" ht="15" hidden="false" customHeight="false" outlineLevel="0" collapsed="false">
      <c r="A3606" s="0" t="s">
        <v>1869</v>
      </c>
      <c r="B3606" s="6" t="n">
        <v>42968</v>
      </c>
      <c r="C3606" s="7" t="s">
        <v>55</v>
      </c>
      <c r="D3606" s="7" t="s">
        <v>495</v>
      </c>
      <c r="E3606" s="7" t="s">
        <v>31</v>
      </c>
      <c r="F3606" s="0" t="n">
        <v>25.16</v>
      </c>
      <c r="G3606" s="0" t="n">
        <v>8.5544</v>
      </c>
      <c r="H3606" s="0" t="n">
        <v>0</v>
      </c>
      <c r="I3606" s="7" t="n">
        <f aca="false">YEAR(B3606)</f>
        <v>2017</v>
      </c>
      <c r="J3606" s="0" t="str">
        <f aca="false">I3606&amp;"-Q"&amp;ROUNDUP(MONTH(B3606)/3,0)</f>
        <v>2017-Q3</v>
      </c>
    </row>
    <row r="3607" customFormat="false" ht="15" hidden="false" customHeight="false" outlineLevel="0" collapsed="false">
      <c r="A3607" s="0" t="s">
        <v>1869</v>
      </c>
      <c r="B3607" s="6" t="n">
        <v>42968</v>
      </c>
      <c r="C3607" s="7" t="s">
        <v>55</v>
      </c>
      <c r="D3607" s="7" t="s">
        <v>495</v>
      </c>
      <c r="E3607" s="7" t="s">
        <v>31</v>
      </c>
      <c r="F3607" s="0" t="n">
        <v>91.92</v>
      </c>
      <c r="G3607" s="0" t="n">
        <v>31.2528</v>
      </c>
      <c r="H3607" s="0" t="n">
        <v>0</v>
      </c>
      <c r="I3607" s="7" t="n">
        <f aca="false">YEAR(B3607)</f>
        <v>2017</v>
      </c>
      <c r="J3607" s="0" t="str">
        <f aca="false">I3607&amp;"-Q"&amp;ROUNDUP(MONTH(B3607)/3,0)</f>
        <v>2017-Q3</v>
      </c>
    </row>
    <row r="3608" customFormat="false" ht="15" hidden="false" customHeight="false" outlineLevel="0" collapsed="false">
      <c r="A3608" s="0" t="s">
        <v>1870</v>
      </c>
      <c r="B3608" s="6" t="n">
        <v>42441</v>
      </c>
      <c r="C3608" s="7" t="s">
        <v>55</v>
      </c>
      <c r="D3608" s="7" t="s">
        <v>76</v>
      </c>
      <c r="E3608" s="7" t="s">
        <v>35</v>
      </c>
      <c r="F3608" s="0" t="n">
        <v>29.34</v>
      </c>
      <c r="G3608" s="0" t="n">
        <v>13.4964</v>
      </c>
      <c r="H3608" s="0" t="n">
        <v>0</v>
      </c>
      <c r="I3608" s="7" t="n">
        <f aca="false">YEAR(B3608)</f>
        <v>2016</v>
      </c>
      <c r="J3608" s="0" t="str">
        <f aca="false">I3608&amp;"-Q"&amp;ROUNDUP(MONTH(B3608)/3,0)</f>
        <v>2016-Q1</v>
      </c>
    </row>
    <row r="3609" customFormat="false" ht="15" hidden="false" customHeight="false" outlineLevel="0" collapsed="false">
      <c r="A3609" s="0" t="s">
        <v>1871</v>
      </c>
      <c r="B3609" s="6" t="n">
        <v>41905</v>
      </c>
      <c r="C3609" s="7" t="s">
        <v>55</v>
      </c>
      <c r="D3609" s="7" t="s">
        <v>76</v>
      </c>
      <c r="E3609" s="7" t="s">
        <v>35</v>
      </c>
      <c r="F3609" s="0" t="n">
        <v>139.44</v>
      </c>
      <c r="G3609" s="0" t="n">
        <v>47.061</v>
      </c>
      <c r="H3609" s="0" t="n">
        <v>0.2</v>
      </c>
      <c r="I3609" s="7" t="n">
        <f aca="false">YEAR(B3609)</f>
        <v>2014</v>
      </c>
      <c r="J3609" s="0" t="str">
        <f aca="false">I3609&amp;"-Q"&amp;ROUNDUP(MONTH(B3609)/3,0)</f>
        <v>2014-Q3</v>
      </c>
    </row>
    <row r="3610" customFormat="false" ht="15" hidden="false" customHeight="false" outlineLevel="0" collapsed="false">
      <c r="A3610" s="0" t="s">
        <v>1872</v>
      </c>
      <c r="B3610" s="6" t="n">
        <v>41757</v>
      </c>
      <c r="C3610" s="7" t="s">
        <v>55</v>
      </c>
      <c r="D3610" s="7" t="s">
        <v>116</v>
      </c>
      <c r="E3610" s="7" t="s">
        <v>35</v>
      </c>
      <c r="F3610" s="0" t="n">
        <v>6.912</v>
      </c>
      <c r="G3610" s="0" t="n">
        <v>2.5056</v>
      </c>
      <c r="H3610" s="0" t="n">
        <v>0.2</v>
      </c>
      <c r="I3610" s="7" t="n">
        <f aca="false">YEAR(B3610)</f>
        <v>2014</v>
      </c>
      <c r="J3610" s="0" t="str">
        <f aca="false">I3610&amp;"-Q"&amp;ROUNDUP(MONTH(B3610)/3,0)</f>
        <v>2014-Q2</v>
      </c>
    </row>
    <row r="3611" customFormat="false" ht="15" hidden="false" customHeight="false" outlineLevel="0" collapsed="false">
      <c r="A3611" s="0" t="s">
        <v>1872</v>
      </c>
      <c r="B3611" s="6" t="n">
        <v>41757</v>
      </c>
      <c r="C3611" s="7" t="s">
        <v>55</v>
      </c>
      <c r="D3611" s="7" t="s">
        <v>116</v>
      </c>
      <c r="E3611" s="7" t="s">
        <v>35</v>
      </c>
      <c r="F3611" s="0" t="n">
        <v>27.096</v>
      </c>
      <c r="G3611" s="0" t="n">
        <v>2.0322</v>
      </c>
      <c r="H3611" s="0" t="n">
        <v>0.2</v>
      </c>
      <c r="I3611" s="7" t="n">
        <f aca="false">YEAR(B3611)</f>
        <v>2014</v>
      </c>
      <c r="J3611" s="0" t="str">
        <f aca="false">I3611&amp;"-Q"&amp;ROUNDUP(MONTH(B3611)/3,0)</f>
        <v>2014-Q2</v>
      </c>
    </row>
    <row r="3612" customFormat="false" ht="15" hidden="false" customHeight="false" outlineLevel="0" collapsed="false">
      <c r="A3612" s="0" t="s">
        <v>1872</v>
      </c>
      <c r="B3612" s="6" t="n">
        <v>41757</v>
      </c>
      <c r="C3612" s="7" t="s">
        <v>55</v>
      </c>
      <c r="D3612" s="7" t="s">
        <v>116</v>
      </c>
      <c r="E3612" s="7" t="s">
        <v>35</v>
      </c>
      <c r="F3612" s="0" t="n">
        <v>177.568</v>
      </c>
      <c r="G3612" s="0" t="n">
        <v>-37.7332</v>
      </c>
      <c r="H3612" s="0" t="n">
        <v>0.2</v>
      </c>
      <c r="I3612" s="7" t="n">
        <f aca="false">YEAR(B3612)</f>
        <v>2014</v>
      </c>
      <c r="J3612" s="0" t="str">
        <f aca="false">I3612&amp;"-Q"&amp;ROUNDUP(MONTH(B3612)/3,0)</f>
        <v>2014-Q2</v>
      </c>
    </row>
    <row r="3613" customFormat="false" ht="15" hidden="false" customHeight="false" outlineLevel="0" collapsed="false">
      <c r="A3613" s="0" t="s">
        <v>1873</v>
      </c>
      <c r="B3613" s="6" t="n">
        <v>42703</v>
      </c>
      <c r="C3613" s="7" t="s">
        <v>45</v>
      </c>
      <c r="D3613" s="7" t="s">
        <v>46</v>
      </c>
      <c r="E3613" s="7" t="s">
        <v>39</v>
      </c>
      <c r="F3613" s="0" t="n">
        <v>58.416</v>
      </c>
      <c r="G3613" s="0" t="n">
        <v>16.7946</v>
      </c>
      <c r="H3613" s="0" t="n">
        <v>0.2</v>
      </c>
      <c r="I3613" s="7" t="n">
        <f aca="false">YEAR(B3613)</f>
        <v>2016</v>
      </c>
      <c r="J3613" s="0" t="str">
        <f aca="false">I3613&amp;"-Q"&amp;ROUNDUP(MONTH(B3613)/3,0)</f>
        <v>2016-Q4</v>
      </c>
    </row>
    <row r="3614" customFormat="false" ht="15" hidden="false" customHeight="false" outlineLevel="0" collapsed="false">
      <c r="A3614" s="0" t="s">
        <v>1874</v>
      </c>
      <c r="B3614" s="6" t="n">
        <v>42341</v>
      </c>
      <c r="C3614" s="7" t="s">
        <v>55</v>
      </c>
      <c r="D3614" s="7" t="s">
        <v>56</v>
      </c>
      <c r="E3614" s="7" t="s">
        <v>35</v>
      </c>
      <c r="F3614" s="0" t="n">
        <v>16.448</v>
      </c>
      <c r="G3614" s="0" t="n">
        <v>5.5512</v>
      </c>
      <c r="H3614" s="0" t="n">
        <v>0.2</v>
      </c>
      <c r="I3614" s="7" t="n">
        <f aca="false">YEAR(B3614)</f>
        <v>2015</v>
      </c>
      <c r="J3614" s="0" t="str">
        <f aca="false">I3614&amp;"-Q"&amp;ROUNDUP(MONTH(B3614)/3,0)</f>
        <v>2015-Q4</v>
      </c>
    </row>
    <row r="3615" customFormat="false" ht="15" hidden="false" customHeight="false" outlineLevel="0" collapsed="false">
      <c r="A3615" s="0" t="s">
        <v>1874</v>
      </c>
      <c r="B3615" s="6" t="n">
        <v>42341</v>
      </c>
      <c r="C3615" s="7" t="s">
        <v>55</v>
      </c>
      <c r="D3615" s="7" t="s">
        <v>56</v>
      </c>
      <c r="E3615" s="7" t="s">
        <v>39</v>
      </c>
      <c r="F3615" s="0" t="n">
        <v>36.784</v>
      </c>
      <c r="G3615" s="0" t="n">
        <v>10.5754</v>
      </c>
      <c r="H3615" s="0" t="n">
        <v>0.2</v>
      </c>
      <c r="I3615" s="7" t="n">
        <f aca="false">YEAR(B3615)</f>
        <v>2015</v>
      </c>
      <c r="J3615" s="0" t="str">
        <f aca="false">I3615&amp;"-Q"&amp;ROUNDUP(MONTH(B3615)/3,0)</f>
        <v>2015-Q4</v>
      </c>
    </row>
    <row r="3616" customFormat="false" ht="15" hidden="false" customHeight="false" outlineLevel="0" collapsed="false">
      <c r="A3616" s="0" t="s">
        <v>1875</v>
      </c>
      <c r="B3616" s="6" t="n">
        <v>43058</v>
      </c>
      <c r="C3616" s="7" t="s">
        <v>45</v>
      </c>
      <c r="D3616" s="7" t="s">
        <v>46</v>
      </c>
      <c r="E3616" s="7" t="s">
        <v>31</v>
      </c>
      <c r="F3616" s="0" t="n">
        <v>718.116</v>
      </c>
      <c r="G3616" s="0" t="n">
        <v>-71.8116</v>
      </c>
      <c r="H3616" s="0" t="n">
        <v>0.3</v>
      </c>
      <c r="I3616" s="7" t="n">
        <f aca="false">YEAR(B3616)</f>
        <v>2017</v>
      </c>
      <c r="J3616" s="0" t="str">
        <f aca="false">I3616&amp;"-Q"&amp;ROUNDUP(MONTH(B3616)/3,0)</f>
        <v>2017-Q4</v>
      </c>
    </row>
    <row r="3617" customFormat="false" ht="15" hidden="false" customHeight="false" outlineLevel="0" collapsed="false">
      <c r="A3617" s="0" t="s">
        <v>1875</v>
      </c>
      <c r="B3617" s="6" t="n">
        <v>43058</v>
      </c>
      <c r="C3617" s="7" t="s">
        <v>45</v>
      </c>
      <c r="D3617" s="7" t="s">
        <v>46</v>
      </c>
      <c r="E3617" s="7" t="s">
        <v>35</v>
      </c>
      <c r="F3617" s="0" t="n">
        <v>31.776</v>
      </c>
      <c r="G3617" s="0" t="n">
        <v>8.7384</v>
      </c>
      <c r="H3617" s="0" t="n">
        <v>0.2</v>
      </c>
      <c r="I3617" s="7" t="n">
        <f aca="false">YEAR(B3617)</f>
        <v>2017</v>
      </c>
      <c r="J3617" s="0" t="str">
        <f aca="false">I3617&amp;"-Q"&amp;ROUNDUP(MONTH(B3617)/3,0)</f>
        <v>2017-Q4</v>
      </c>
    </row>
    <row r="3618" customFormat="false" ht="15" hidden="false" customHeight="false" outlineLevel="0" collapsed="false">
      <c r="A3618" s="0" t="s">
        <v>1876</v>
      </c>
      <c r="B3618" s="6" t="n">
        <v>42618</v>
      </c>
      <c r="C3618" s="7" t="s">
        <v>55</v>
      </c>
      <c r="D3618" s="7" t="s">
        <v>56</v>
      </c>
      <c r="E3618" s="7" t="s">
        <v>35</v>
      </c>
      <c r="F3618" s="0" t="n">
        <v>9.555</v>
      </c>
      <c r="G3618" s="0" t="n">
        <v>-7.3255</v>
      </c>
      <c r="H3618" s="0" t="n">
        <v>0.7</v>
      </c>
      <c r="I3618" s="7" t="n">
        <f aca="false">YEAR(B3618)</f>
        <v>2016</v>
      </c>
      <c r="J3618" s="0" t="str">
        <f aca="false">I3618&amp;"-Q"&amp;ROUNDUP(MONTH(B3618)/3,0)</f>
        <v>2016-Q3</v>
      </c>
    </row>
    <row r="3619" customFormat="false" ht="15" hidden="false" customHeight="false" outlineLevel="0" collapsed="false">
      <c r="A3619" s="0" t="s">
        <v>1877</v>
      </c>
      <c r="B3619" s="6" t="n">
        <v>42982</v>
      </c>
      <c r="C3619" s="7" t="s">
        <v>33</v>
      </c>
      <c r="D3619" s="7" t="s">
        <v>34</v>
      </c>
      <c r="E3619" s="7" t="s">
        <v>35</v>
      </c>
      <c r="F3619" s="0" t="n">
        <v>487.984</v>
      </c>
      <c r="G3619" s="0" t="n">
        <v>152.495</v>
      </c>
      <c r="H3619" s="0" t="n">
        <v>0.2</v>
      </c>
      <c r="I3619" s="7" t="n">
        <f aca="false">YEAR(B3619)</f>
        <v>2017</v>
      </c>
      <c r="J3619" s="0" t="str">
        <f aca="false">I3619&amp;"-Q"&amp;ROUNDUP(MONTH(B3619)/3,0)</f>
        <v>2017-Q3</v>
      </c>
    </row>
    <row r="3620" customFormat="false" ht="15" hidden="false" customHeight="false" outlineLevel="0" collapsed="false">
      <c r="A3620" s="0" t="s">
        <v>1877</v>
      </c>
      <c r="B3620" s="6" t="n">
        <v>42982</v>
      </c>
      <c r="C3620" s="7" t="s">
        <v>33</v>
      </c>
      <c r="D3620" s="7" t="s">
        <v>34</v>
      </c>
      <c r="E3620" s="7" t="s">
        <v>39</v>
      </c>
      <c r="F3620" s="0" t="n">
        <v>5.56</v>
      </c>
      <c r="G3620" s="0" t="n">
        <v>1.7375</v>
      </c>
      <c r="H3620" s="0" t="n">
        <v>0.2</v>
      </c>
      <c r="I3620" s="7" t="n">
        <f aca="false">YEAR(B3620)</f>
        <v>2017</v>
      </c>
      <c r="J3620" s="0" t="str">
        <f aca="false">I3620&amp;"-Q"&amp;ROUNDUP(MONTH(B3620)/3,0)</f>
        <v>2017-Q3</v>
      </c>
    </row>
    <row r="3621" customFormat="false" ht="15" hidden="false" customHeight="false" outlineLevel="0" collapsed="false">
      <c r="A3621" s="0" t="s">
        <v>1877</v>
      </c>
      <c r="B3621" s="6" t="n">
        <v>42982</v>
      </c>
      <c r="C3621" s="7" t="s">
        <v>33</v>
      </c>
      <c r="D3621" s="7" t="s">
        <v>34</v>
      </c>
      <c r="E3621" s="7" t="s">
        <v>35</v>
      </c>
      <c r="F3621" s="0" t="n">
        <v>217.85</v>
      </c>
      <c r="G3621" s="0" t="n">
        <v>65.355</v>
      </c>
      <c r="H3621" s="0" t="n">
        <v>0</v>
      </c>
      <c r="I3621" s="7" t="n">
        <f aca="false">YEAR(B3621)</f>
        <v>2017</v>
      </c>
      <c r="J3621" s="0" t="str">
        <f aca="false">I3621&amp;"-Q"&amp;ROUNDUP(MONTH(B3621)/3,0)</f>
        <v>2017-Q3</v>
      </c>
    </row>
    <row r="3622" customFormat="false" ht="15" hidden="false" customHeight="false" outlineLevel="0" collapsed="false">
      <c r="A3622" s="0" t="s">
        <v>1878</v>
      </c>
      <c r="B3622" s="6" t="n">
        <v>42635</v>
      </c>
      <c r="C3622" s="7" t="s">
        <v>29</v>
      </c>
      <c r="D3622" s="7" t="s">
        <v>87</v>
      </c>
      <c r="E3622" s="7" t="s">
        <v>35</v>
      </c>
      <c r="F3622" s="0" t="n">
        <v>40.776</v>
      </c>
      <c r="G3622" s="0" t="n">
        <v>4.5873</v>
      </c>
      <c r="H3622" s="0" t="n">
        <v>0.2</v>
      </c>
      <c r="I3622" s="7" t="n">
        <f aca="false">YEAR(B3622)</f>
        <v>2016</v>
      </c>
      <c r="J3622" s="0" t="str">
        <f aca="false">I3622&amp;"-Q"&amp;ROUNDUP(MONTH(B3622)/3,0)</f>
        <v>2016-Q3</v>
      </c>
    </row>
    <row r="3623" customFormat="false" ht="15" hidden="false" customHeight="false" outlineLevel="0" collapsed="false">
      <c r="A3623" s="0" t="s">
        <v>1878</v>
      </c>
      <c r="B3623" s="6" t="n">
        <v>42635</v>
      </c>
      <c r="C3623" s="7" t="s">
        <v>29</v>
      </c>
      <c r="D3623" s="7" t="s">
        <v>87</v>
      </c>
      <c r="E3623" s="7" t="s">
        <v>39</v>
      </c>
      <c r="F3623" s="0" t="n">
        <v>63.936</v>
      </c>
      <c r="G3623" s="0" t="n">
        <v>5.5944</v>
      </c>
      <c r="H3623" s="0" t="n">
        <v>0.2</v>
      </c>
      <c r="I3623" s="7" t="n">
        <f aca="false">YEAR(B3623)</f>
        <v>2016</v>
      </c>
      <c r="J3623" s="0" t="str">
        <f aca="false">I3623&amp;"-Q"&amp;ROUNDUP(MONTH(B3623)/3,0)</f>
        <v>2016-Q3</v>
      </c>
    </row>
    <row r="3624" customFormat="false" ht="15" hidden="false" customHeight="false" outlineLevel="0" collapsed="false">
      <c r="A3624" s="0" t="s">
        <v>1879</v>
      </c>
      <c r="B3624" s="6" t="n">
        <v>41896</v>
      </c>
      <c r="C3624" s="7" t="s">
        <v>29</v>
      </c>
      <c r="D3624" s="7" t="s">
        <v>230</v>
      </c>
      <c r="E3624" s="7" t="s">
        <v>31</v>
      </c>
      <c r="F3624" s="0" t="n">
        <v>142.4</v>
      </c>
      <c r="G3624" s="0" t="n">
        <v>52.688</v>
      </c>
      <c r="H3624" s="0" t="n">
        <v>0</v>
      </c>
      <c r="I3624" s="7" t="n">
        <f aca="false">YEAR(B3624)</f>
        <v>2014</v>
      </c>
      <c r="J3624" s="0" t="str">
        <f aca="false">I3624&amp;"-Q"&amp;ROUNDUP(MONTH(B3624)/3,0)</f>
        <v>2014-Q3</v>
      </c>
    </row>
    <row r="3625" customFormat="false" ht="15" hidden="false" customHeight="false" outlineLevel="0" collapsed="false">
      <c r="A3625" s="0" t="s">
        <v>1879</v>
      </c>
      <c r="B3625" s="6" t="n">
        <v>41896</v>
      </c>
      <c r="C3625" s="7" t="s">
        <v>29</v>
      </c>
      <c r="D3625" s="7" t="s">
        <v>230</v>
      </c>
      <c r="E3625" s="7" t="s">
        <v>35</v>
      </c>
      <c r="F3625" s="0" t="n">
        <v>7.16</v>
      </c>
      <c r="G3625" s="0" t="n">
        <v>3.4368</v>
      </c>
      <c r="H3625" s="0" t="n">
        <v>0</v>
      </c>
      <c r="I3625" s="7" t="n">
        <f aca="false">YEAR(B3625)</f>
        <v>2014</v>
      </c>
      <c r="J3625" s="0" t="str">
        <f aca="false">I3625&amp;"-Q"&amp;ROUNDUP(MONTH(B3625)/3,0)</f>
        <v>2014-Q3</v>
      </c>
    </row>
    <row r="3626" customFormat="false" ht="15" hidden="false" customHeight="false" outlineLevel="0" collapsed="false">
      <c r="A3626" s="0" t="s">
        <v>1880</v>
      </c>
      <c r="B3626" s="6" t="n">
        <v>42874</v>
      </c>
      <c r="C3626" s="7" t="s">
        <v>33</v>
      </c>
      <c r="D3626" s="7" t="s">
        <v>34</v>
      </c>
      <c r="E3626" s="7" t="s">
        <v>31</v>
      </c>
      <c r="F3626" s="0" t="n">
        <v>681.408</v>
      </c>
      <c r="G3626" s="0" t="n">
        <v>42.588</v>
      </c>
      <c r="H3626" s="0" t="n">
        <v>0.2</v>
      </c>
      <c r="I3626" s="7" t="n">
        <f aca="false">YEAR(B3626)</f>
        <v>2017</v>
      </c>
      <c r="J3626" s="0" t="str">
        <f aca="false">I3626&amp;"-Q"&amp;ROUNDUP(MONTH(B3626)/3,0)</f>
        <v>2017-Q2</v>
      </c>
    </row>
    <row r="3627" customFormat="false" ht="15" hidden="false" customHeight="false" outlineLevel="0" collapsed="false">
      <c r="A3627" s="0" t="s">
        <v>1880</v>
      </c>
      <c r="B3627" s="6" t="n">
        <v>42874</v>
      </c>
      <c r="C3627" s="7" t="s">
        <v>33</v>
      </c>
      <c r="D3627" s="7" t="s">
        <v>34</v>
      </c>
      <c r="E3627" s="7" t="s">
        <v>35</v>
      </c>
      <c r="F3627" s="0" t="n">
        <v>3.52</v>
      </c>
      <c r="G3627" s="0" t="n">
        <v>1.0208</v>
      </c>
      <c r="H3627" s="0" t="n">
        <v>0</v>
      </c>
      <c r="I3627" s="7" t="n">
        <f aca="false">YEAR(B3627)</f>
        <v>2017</v>
      </c>
      <c r="J3627" s="0" t="str">
        <f aca="false">I3627&amp;"-Q"&amp;ROUNDUP(MONTH(B3627)/3,0)</f>
        <v>2017-Q2</v>
      </c>
    </row>
    <row r="3628" customFormat="false" ht="15" hidden="false" customHeight="false" outlineLevel="0" collapsed="false">
      <c r="A3628" s="0" t="s">
        <v>1880</v>
      </c>
      <c r="B3628" s="6" t="n">
        <v>42874</v>
      </c>
      <c r="C3628" s="7" t="s">
        <v>33</v>
      </c>
      <c r="D3628" s="7" t="s">
        <v>34</v>
      </c>
      <c r="E3628" s="7" t="s">
        <v>35</v>
      </c>
      <c r="F3628" s="0" t="n">
        <v>5.58</v>
      </c>
      <c r="G3628" s="0" t="n">
        <v>1.395</v>
      </c>
      <c r="H3628" s="0" t="n">
        <v>0</v>
      </c>
      <c r="I3628" s="7" t="n">
        <f aca="false">YEAR(B3628)</f>
        <v>2017</v>
      </c>
      <c r="J3628" s="0" t="str">
        <f aca="false">I3628&amp;"-Q"&amp;ROUNDUP(MONTH(B3628)/3,0)</f>
        <v>2017-Q2</v>
      </c>
    </row>
    <row r="3629" customFormat="false" ht="15" hidden="false" customHeight="false" outlineLevel="0" collapsed="false">
      <c r="A3629" s="0" t="s">
        <v>1880</v>
      </c>
      <c r="B3629" s="6" t="n">
        <v>42874</v>
      </c>
      <c r="C3629" s="7" t="s">
        <v>33</v>
      </c>
      <c r="D3629" s="7" t="s">
        <v>34</v>
      </c>
      <c r="E3629" s="7" t="s">
        <v>39</v>
      </c>
      <c r="F3629" s="0" t="n">
        <v>36.32</v>
      </c>
      <c r="G3629" s="0" t="n">
        <v>10.896</v>
      </c>
      <c r="H3629" s="0" t="n">
        <v>0</v>
      </c>
      <c r="I3629" s="7" t="n">
        <f aca="false">YEAR(B3629)</f>
        <v>2017</v>
      </c>
      <c r="J3629" s="0" t="str">
        <f aca="false">I3629&amp;"-Q"&amp;ROUNDUP(MONTH(B3629)/3,0)</f>
        <v>2017-Q2</v>
      </c>
    </row>
    <row r="3630" customFormat="false" ht="15" hidden="false" customHeight="false" outlineLevel="0" collapsed="false">
      <c r="A3630" s="0" t="s">
        <v>1881</v>
      </c>
      <c r="B3630" s="6" t="n">
        <v>41860</v>
      </c>
      <c r="C3630" s="7" t="s">
        <v>33</v>
      </c>
      <c r="D3630" s="7" t="s">
        <v>43</v>
      </c>
      <c r="E3630" s="7" t="s">
        <v>35</v>
      </c>
      <c r="F3630" s="0" t="n">
        <v>2060.744</v>
      </c>
      <c r="G3630" s="0" t="n">
        <v>643.9825</v>
      </c>
      <c r="H3630" s="0" t="n">
        <v>0.2</v>
      </c>
      <c r="I3630" s="7" t="n">
        <f aca="false">YEAR(B3630)</f>
        <v>2014</v>
      </c>
      <c r="J3630" s="0" t="str">
        <f aca="false">I3630&amp;"-Q"&amp;ROUNDUP(MONTH(B3630)/3,0)</f>
        <v>2014-Q3</v>
      </c>
    </row>
    <row r="3631" customFormat="false" ht="15" hidden="false" customHeight="false" outlineLevel="0" collapsed="false">
      <c r="A3631" s="0" t="s">
        <v>1882</v>
      </c>
      <c r="B3631" s="6" t="n">
        <v>43065</v>
      </c>
      <c r="C3631" s="7" t="s">
        <v>55</v>
      </c>
      <c r="D3631" s="7" t="s">
        <v>116</v>
      </c>
      <c r="E3631" s="7" t="s">
        <v>35</v>
      </c>
      <c r="F3631" s="0" t="n">
        <v>52.272</v>
      </c>
      <c r="G3631" s="0" t="n">
        <v>9.801</v>
      </c>
      <c r="H3631" s="0" t="n">
        <v>0.2</v>
      </c>
      <c r="I3631" s="7" t="n">
        <f aca="false">YEAR(B3631)</f>
        <v>2017</v>
      </c>
      <c r="J3631" s="0" t="str">
        <f aca="false">I3631&amp;"-Q"&amp;ROUNDUP(MONTH(B3631)/3,0)</f>
        <v>2017-Q4</v>
      </c>
    </row>
    <row r="3632" customFormat="false" ht="15" hidden="false" customHeight="false" outlineLevel="0" collapsed="false">
      <c r="A3632" s="0" t="s">
        <v>1882</v>
      </c>
      <c r="B3632" s="6" t="n">
        <v>43065</v>
      </c>
      <c r="C3632" s="7" t="s">
        <v>55</v>
      </c>
      <c r="D3632" s="7" t="s">
        <v>116</v>
      </c>
      <c r="E3632" s="7" t="s">
        <v>35</v>
      </c>
      <c r="F3632" s="0" t="n">
        <v>213.136</v>
      </c>
      <c r="G3632" s="0" t="n">
        <v>23.9778</v>
      </c>
      <c r="H3632" s="0" t="n">
        <v>0.2</v>
      </c>
      <c r="I3632" s="7" t="n">
        <f aca="false">YEAR(B3632)</f>
        <v>2017</v>
      </c>
      <c r="J3632" s="0" t="str">
        <f aca="false">I3632&amp;"-Q"&amp;ROUNDUP(MONTH(B3632)/3,0)</f>
        <v>2017-Q4</v>
      </c>
    </row>
    <row r="3633" customFormat="false" ht="15" hidden="false" customHeight="false" outlineLevel="0" collapsed="false">
      <c r="A3633" s="0" t="s">
        <v>1883</v>
      </c>
      <c r="B3633" s="6" t="n">
        <v>42858</v>
      </c>
      <c r="C3633" s="7" t="s">
        <v>33</v>
      </c>
      <c r="D3633" s="7" t="s">
        <v>34</v>
      </c>
      <c r="E3633" s="7" t="s">
        <v>35</v>
      </c>
      <c r="F3633" s="0" t="n">
        <v>69.52</v>
      </c>
      <c r="G3633" s="0" t="n">
        <v>19.4656</v>
      </c>
      <c r="H3633" s="0" t="n">
        <v>0</v>
      </c>
      <c r="I3633" s="7" t="n">
        <f aca="false">YEAR(B3633)</f>
        <v>2017</v>
      </c>
      <c r="J3633" s="0" t="str">
        <f aca="false">I3633&amp;"-Q"&amp;ROUNDUP(MONTH(B3633)/3,0)</f>
        <v>2017-Q2</v>
      </c>
    </row>
    <row r="3634" customFormat="false" ht="15" hidden="false" customHeight="false" outlineLevel="0" collapsed="false">
      <c r="A3634" s="0" t="s">
        <v>1883</v>
      </c>
      <c r="B3634" s="6" t="n">
        <v>42858</v>
      </c>
      <c r="C3634" s="7" t="s">
        <v>33</v>
      </c>
      <c r="D3634" s="7" t="s">
        <v>34</v>
      </c>
      <c r="E3634" s="7" t="s">
        <v>35</v>
      </c>
      <c r="F3634" s="0" t="n">
        <v>763.44</v>
      </c>
      <c r="G3634" s="0" t="n">
        <v>45.8064</v>
      </c>
      <c r="H3634" s="0" t="n">
        <v>0</v>
      </c>
      <c r="I3634" s="7" t="n">
        <f aca="false">YEAR(B3634)</f>
        <v>2017</v>
      </c>
      <c r="J3634" s="0" t="str">
        <f aca="false">I3634&amp;"-Q"&amp;ROUNDUP(MONTH(B3634)/3,0)</f>
        <v>2017-Q2</v>
      </c>
    </row>
    <row r="3635" customFormat="false" ht="15" hidden="false" customHeight="false" outlineLevel="0" collapsed="false">
      <c r="A3635" s="0" t="s">
        <v>1884</v>
      </c>
      <c r="B3635" s="6" t="n">
        <v>42684</v>
      </c>
      <c r="C3635" s="7" t="s">
        <v>55</v>
      </c>
      <c r="D3635" s="7" t="s">
        <v>116</v>
      </c>
      <c r="E3635" s="7" t="s">
        <v>35</v>
      </c>
      <c r="F3635" s="0" t="n">
        <v>9.216</v>
      </c>
      <c r="G3635" s="0" t="n">
        <v>3.3408</v>
      </c>
      <c r="H3635" s="0" t="n">
        <v>0.2</v>
      </c>
      <c r="I3635" s="7" t="n">
        <f aca="false">YEAR(B3635)</f>
        <v>2016</v>
      </c>
      <c r="J3635" s="0" t="str">
        <f aca="false">I3635&amp;"-Q"&amp;ROUNDUP(MONTH(B3635)/3,0)</f>
        <v>2016-Q4</v>
      </c>
    </row>
    <row r="3636" customFormat="false" ht="15" hidden="false" customHeight="false" outlineLevel="0" collapsed="false">
      <c r="A3636" s="0" t="s">
        <v>1884</v>
      </c>
      <c r="B3636" s="6" t="n">
        <v>42684</v>
      </c>
      <c r="C3636" s="7" t="s">
        <v>55</v>
      </c>
      <c r="D3636" s="7" t="s">
        <v>116</v>
      </c>
      <c r="E3636" s="7" t="s">
        <v>39</v>
      </c>
      <c r="F3636" s="0" t="n">
        <v>41.958</v>
      </c>
      <c r="G3636" s="0" t="n">
        <v>-9.7902</v>
      </c>
      <c r="H3636" s="0" t="n">
        <v>0.4</v>
      </c>
      <c r="I3636" s="7" t="n">
        <f aca="false">YEAR(B3636)</f>
        <v>2016</v>
      </c>
      <c r="J3636" s="0" t="str">
        <f aca="false">I3636&amp;"-Q"&amp;ROUNDUP(MONTH(B3636)/3,0)</f>
        <v>2016-Q4</v>
      </c>
    </row>
    <row r="3637" customFormat="false" ht="15" hidden="false" customHeight="false" outlineLevel="0" collapsed="false">
      <c r="A3637" s="0" t="s">
        <v>1884</v>
      </c>
      <c r="B3637" s="6" t="n">
        <v>42684</v>
      </c>
      <c r="C3637" s="7" t="s">
        <v>55</v>
      </c>
      <c r="D3637" s="7" t="s">
        <v>116</v>
      </c>
      <c r="E3637" s="7" t="s">
        <v>35</v>
      </c>
      <c r="F3637" s="0" t="n">
        <v>89.568</v>
      </c>
      <c r="G3637" s="0" t="n">
        <v>32.4684</v>
      </c>
      <c r="H3637" s="0" t="n">
        <v>0.2</v>
      </c>
      <c r="I3637" s="7" t="n">
        <f aca="false">YEAR(B3637)</f>
        <v>2016</v>
      </c>
      <c r="J3637" s="0" t="str">
        <f aca="false">I3637&amp;"-Q"&amp;ROUNDUP(MONTH(B3637)/3,0)</f>
        <v>2016-Q4</v>
      </c>
    </row>
    <row r="3638" customFormat="false" ht="15" hidden="false" customHeight="false" outlineLevel="0" collapsed="false">
      <c r="A3638" s="0" t="s">
        <v>1884</v>
      </c>
      <c r="B3638" s="6" t="n">
        <v>42684</v>
      </c>
      <c r="C3638" s="7" t="s">
        <v>55</v>
      </c>
      <c r="D3638" s="7" t="s">
        <v>116</v>
      </c>
      <c r="E3638" s="7" t="s">
        <v>35</v>
      </c>
      <c r="F3638" s="0" t="n">
        <v>22.248</v>
      </c>
      <c r="G3638" s="0" t="n">
        <v>7.5087</v>
      </c>
      <c r="H3638" s="0" t="n">
        <v>0.2</v>
      </c>
      <c r="I3638" s="7" t="n">
        <f aca="false">YEAR(B3638)</f>
        <v>2016</v>
      </c>
      <c r="J3638" s="0" t="str">
        <f aca="false">I3638&amp;"-Q"&amp;ROUNDUP(MONTH(B3638)/3,0)</f>
        <v>2016-Q4</v>
      </c>
    </row>
    <row r="3639" customFormat="false" ht="15" hidden="false" customHeight="false" outlineLevel="0" collapsed="false">
      <c r="A3639" s="0" t="s">
        <v>1884</v>
      </c>
      <c r="B3639" s="6" t="n">
        <v>42684</v>
      </c>
      <c r="C3639" s="7" t="s">
        <v>55</v>
      </c>
      <c r="D3639" s="7" t="s">
        <v>116</v>
      </c>
      <c r="E3639" s="7" t="s">
        <v>35</v>
      </c>
      <c r="F3639" s="0" t="n">
        <v>334.88</v>
      </c>
      <c r="G3639" s="0" t="n">
        <v>29.302</v>
      </c>
      <c r="H3639" s="0" t="n">
        <v>0.2</v>
      </c>
      <c r="I3639" s="7" t="n">
        <f aca="false">YEAR(B3639)</f>
        <v>2016</v>
      </c>
      <c r="J3639" s="0" t="str">
        <f aca="false">I3639&amp;"-Q"&amp;ROUNDUP(MONTH(B3639)/3,0)</f>
        <v>2016-Q4</v>
      </c>
    </row>
    <row r="3640" customFormat="false" ht="15" hidden="false" customHeight="false" outlineLevel="0" collapsed="false">
      <c r="A3640" s="0" t="s">
        <v>1884</v>
      </c>
      <c r="B3640" s="6" t="n">
        <v>42684</v>
      </c>
      <c r="C3640" s="7" t="s">
        <v>55</v>
      </c>
      <c r="D3640" s="7" t="s">
        <v>116</v>
      </c>
      <c r="E3640" s="7" t="s">
        <v>31</v>
      </c>
      <c r="F3640" s="0" t="n">
        <v>148.288</v>
      </c>
      <c r="G3640" s="0" t="n">
        <v>29.6576</v>
      </c>
      <c r="H3640" s="0" t="n">
        <v>0.2</v>
      </c>
      <c r="I3640" s="7" t="n">
        <f aca="false">YEAR(B3640)</f>
        <v>2016</v>
      </c>
      <c r="J3640" s="0" t="str">
        <f aca="false">I3640&amp;"-Q"&amp;ROUNDUP(MONTH(B3640)/3,0)</f>
        <v>2016-Q4</v>
      </c>
    </row>
    <row r="3641" customFormat="false" ht="15" hidden="false" customHeight="false" outlineLevel="0" collapsed="false">
      <c r="A3641" s="0" t="s">
        <v>1884</v>
      </c>
      <c r="B3641" s="6" t="n">
        <v>42684</v>
      </c>
      <c r="C3641" s="7" t="s">
        <v>55</v>
      </c>
      <c r="D3641" s="7" t="s">
        <v>116</v>
      </c>
      <c r="E3641" s="7" t="s">
        <v>35</v>
      </c>
      <c r="F3641" s="0" t="n">
        <v>4.624</v>
      </c>
      <c r="G3641" s="0" t="n">
        <v>1.6762</v>
      </c>
      <c r="H3641" s="0" t="n">
        <v>0.2</v>
      </c>
      <c r="I3641" s="7" t="n">
        <f aca="false">YEAR(B3641)</f>
        <v>2016</v>
      </c>
      <c r="J3641" s="0" t="str">
        <f aca="false">I3641&amp;"-Q"&amp;ROUNDUP(MONTH(B3641)/3,0)</f>
        <v>2016-Q4</v>
      </c>
    </row>
    <row r="3642" customFormat="false" ht="15" hidden="false" customHeight="false" outlineLevel="0" collapsed="false">
      <c r="A3642" s="0" t="s">
        <v>1884</v>
      </c>
      <c r="B3642" s="6" t="n">
        <v>42684</v>
      </c>
      <c r="C3642" s="7" t="s">
        <v>55</v>
      </c>
      <c r="D3642" s="7" t="s">
        <v>116</v>
      </c>
      <c r="E3642" s="7" t="s">
        <v>39</v>
      </c>
      <c r="F3642" s="0" t="n">
        <v>178.92</v>
      </c>
      <c r="G3642" s="0" t="n">
        <v>-29.0745</v>
      </c>
      <c r="H3642" s="0" t="n">
        <v>0.2</v>
      </c>
      <c r="I3642" s="7" t="n">
        <f aca="false">YEAR(B3642)</f>
        <v>2016</v>
      </c>
      <c r="J3642" s="0" t="str">
        <f aca="false">I3642&amp;"-Q"&amp;ROUNDUP(MONTH(B3642)/3,0)</f>
        <v>2016-Q4</v>
      </c>
    </row>
    <row r="3643" customFormat="false" ht="15" hidden="false" customHeight="false" outlineLevel="0" collapsed="false">
      <c r="A3643" s="0" t="s">
        <v>1884</v>
      </c>
      <c r="B3643" s="6" t="n">
        <v>42684</v>
      </c>
      <c r="C3643" s="7" t="s">
        <v>55</v>
      </c>
      <c r="D3643" s="7" t="s">
        <v>116</v>
      </c>
      <c r="E3643" s="7" t="s">
        <v>35</v>
      </c>
      <c r="F3643" s="0" t="n">
        <v>69.888</v>
      </c>
      <c r="G3643" s="0" t="n">
        <v>-46.592</v>
      </c>
      <c r="H3643" s="0" t="n">
        <v>0.7</v>
      </c>
      <c r="I3643" s="7" t="n">
        <f aca="false">YEAR(B3643)</f>
        <v>2016</v>
      </c>
      <c r="J3643" s="0" t="str">
        <f aca="false">I3643&amp;"-Q"&amp;ROUNDUP(MONTH(B3643)/3,0)</f>
        <v>2016-Q4</v>
      </c>
    </row>
    <row r="3644" customFormat="false" ht="15" hidden="false" customHeight="false" outlineLevel="0" collapsed="false">
      <c r="A3644" s="0" t="s">
        <v>1885</v>
      </c>
      <c r="B3644" s="6" t="n">
        <v>41993</v>
      </c>
      <c r="C3644" s="7" t="s">
        <v>33</v>
      </c>
      <c r="D3644" s="7" t="s">
        <v>34</v>
      </c>
      <c r="E3644" s="7" t="s">
        <v>35</v>
      </c>
      <c r="F3644" s="0" t="n">
        <v>487.984</v>
      </c>
      <c r="G3644" s="0" t="n">
        <v>152.495</v>
      </c>
      <c r="H3644" s="0" t="n">
        <v>0.2</v>
      </c>
      <c r="I3644" s="7" t="n">
        <f aca="false">YEAR(B3644)</f>
        <v>2014</v>
      </c>
      <c r="J3644" s="0" t="str">
        <f aca="false">I3644&amp;"-Q"&amp;ROUNDUP(MONTH(B3644)/3,0)</f>
        <v>2014-Q4</v>
      </c>
    </row>
    <row r="3645" customFormat="false" ht="15" hidden="false" customHeight="false" outlineLevel="0" collapsed="false">
      <c r="A3645" s="0" t="s">
        <v>1885</v>
      </c>
      <c r="B3645" s="6" t="n">
        <v>41993</v>
      </c>
      <c r="C3645" s="7" t="s">
        <v>33</v>
      </c>
      <c r="D3645" s="7" t="s">
        <v>34</v>
      </c>
      <c r="E3645" s="7" t="s">
        <v>35</v>
      </c>
      <c r="F3645" s="0" t="n">
        <v>47.3</v>
      </c>
      <c r="G3645" s="0" t="n">
        <v>12.298</v>
      </c>
      <c r="H3645" s="0" t="n">
        <v>0</v>
      </c>
      <c r="I3645" s="7" t="n">
        <f aca="false">YEAR(B3645)</f>
        <v>2014</v>
      </c>
      <c r="J3645" s="0" t="str">
        <f aca="false">I3645&amp;"-Q"&amp;ROUNDUP(MONTH(B3645)/3,0)</f>
        <v>2014-Q4</v>
      </c>
    </row>
    <row r="3646" customFormat="false" ht="15" hidden="false" customHeight="false" outlineLevel="0" collapsed="false">
      <c r="A3646" s="0" t="s">
        <v>1885</v>
      </c>
      <c r="B3646" s="6" t="n">
        <v>41993</v>
      </c>
      <c r="C3646" s="7" t="s">
        <v>33</v>
      </c>
      <c r="D3646" s="7" t="s">
        <v>34</v>
      </c>
      <c r="E3646" s="7" t="s">
        <v>35</v>
      </c>
      <c r="F3646" s="0" t="n">
        <v>4.13</v>
      </c>
      <c r="G3646" s="0" t="n">
        <v>1.1564</v>
      </c>
      <c r="H3646" s="0" t="n">
        <v>0</v>
      </c>
      <c r="I3646" s="7" t="n">
        <f aca="false">YEAR(B3646)</f>
        <v>2014</v>
      </c>
      <c r="J3646" s="0" t="str">
        <f aca="false">I3646&amp;"-Q"&amp;ROUNDUP(MONTH(B3646)/3,0)</f>
        <v>2014-Q4</v>
      </c>
    </row>
    <row r="3647" customFormat="false" ht="15" hidden="false" customHeight="false" outlineLevel="0" collapsed="false">
      <c r="A3647" s="0" t="s">
        <v>1885</v>
      </c>
      <c r="B3647" s="6" t="n">
        <v>41993</v>
      </c>
      <c r="C3647" s="7" t="s">
        <v>33</v>
      </c>
      <c r="D3647" s="7" t="s">
        <v>34</v>
      </c>
      <c r="E3647" s="7" t="s">
        <v>35</v>
      </c>
      <c r="F3647" s="0" t="n">
        <v>155.12</v>
      </c>
      <c r="G3647" s="0" t="n">
        <v>50.414</v>
      </c>
      <c r="H3647" s="0" t="n">
        <v>0.2</v>
      </c>
      <c r="I3647" s="7" t="n">
        <f aca="false">YEAR(B3647)</f>
        <v>2014</v>
      </c>
      <c r="J3647" s="0" t="str">
        <f aca="false">I3647&amp;"-Q"&amp;ROUNDUP(MONTH(B3647)/3,0)</f>
        <v>2014-Q4</v>
      </c>
    </row>
    <row r="3648" customFormat="false" ht="15" hidden="false" customHeight="false" outlineLevel="0" collapsed="false">
      <c r="A3648" s="0" t="s">
        <v>1886</v>
      </c>
      <c r="B3648" s="6" t="n">
        <v>41845</v>
      </c>
      <c r="C3648" s="7" t="s">
        <v>33</v>
      </c>
      <c r="D3648" s="7" t="s">
        <v>34</v>
      </c>
      <c r="E3648" s="7" t="s">
        <v>35</v>
      </c>
      <c r="F3648" s="0" t="n">
        <v>6.48</v>
      </c>
      <c r="G3648" s="0" t="n">
        <v>3.1752</v>
      </c>
      <c r="H3648" s="0" t="n">
        <v>0</v>
      </c>
      <c r="I3648" s="7" t="n">
        <f aca="false">YEAR(B3648)</f>
        <v>2014</v>
      </c>
      <c r="J3648" s="0" t="str">
        <f aca="false">I3648&amp;"-Q"&amp;ROUNDUP(MONTH(B3648)/3,0)</f>
        <v>2014-Q3</v>
      </c>
    </row>
    <row r="3649" customFormat="false" ht="15" hidden="false" customHeight="false" outlineLevel="0" collapsed="false">
      <c r="A3649" s="0" t="s">
        <v>1886</v>
      </c>
      <c r="B3649" s="6" t="n">
        <v>41845</v>
      </c>
      <c r="C3649" s="7" t="s">
        <v>33</v>
      </c>
      <c r="D3649" s="7" t="s">
        <v>34</v>
      </c>
      <c r="E3649" s="7" t="s">
        <v>35</v>
      </c>
      <c r="F3649" s="0" t="n">
        <v>15.52</v>
      </c>
      <c r="G3649" s="0" t="n">
        <v>4.5008</v>
      </c>
      <c r="H3649" s="0" t="n">
        <v>0</v>
      </c>
      <c r="I3649" s="7" t="n">
        <f aca="false">YEAR(B3649)</f>
        <v>2014</v>
      </c>
      <c r="J3649" s="0" t="str">
        <f aca="false">I3649&amp;"-Q"&amp;ROUNDUP(MONTH(B3649)/3,0)</f>
        <v>2014-Q3</v>
      </c>
    </row>
    <row r="3650" customFormat="false" ht="15" hidden="false" customHeight="false" outlineLevel="0" collapsed="false">
      <c r="A3650" s="0" t="s">
        <v>1887</v>
      </c>
      <c r="B3650" s="6" t="n">
        <v>42330</v>
      </c>
      <c r="C3650" s="7" t="s">
        <v>29</v>
      </c>
      <c r="D3650" s="7" t="s">
        <v>87</v>
      </c>
      <c r="E3650" s="7" t="s">
        <v>35</v>
      </c>
      <c r="F3650" s="0" t="n">
        <v>2.946</v>
      </c>
      <c r="G3650" s="0" t="n">
        <v>-2.0622</v>
      </c>
      <c r="H3650" s="0" t="n">
        <v>0.7</v>
      </c>
      <c r="I3650" s="7" t="n">
        <f aca="false">YEAR(B3650)</f>
        <v>2015</v>
      </c>
      <c r="J3650" s="0" t="str">
        <f aca="false">I3650&amp;"-Q"&amp;ROUNDUP(MONTH(B3650)/3,0)</f>
        <v>2015-Q4</v>
      </c>
    </row>
    <row r="3651" customFormat="false" ht="15" hidden="false" customHeight="false" outlineLevel="0" collapsed="false">
      <c r="A3651" s="0" t="s">
        <v>1887</v>
      </c>
      <c r="B3651" s="6" t="n">
        <v>42330</v>
      </c>
      <c r="C3651" s="7" t="s">
        <v>29</v>
      </c>
      <c r="D3651" s="7" t="s">
        <v>87</v>
      </c>
      <c r="E3651" s="7" t="s">
        <v>35</v>
      </c>
      <c r="F3651" s="0" t="n">
        <v>55.104</v>
      </c>
      <c r="G3651" s="0" t="n">
        <v>18.5976</v>
      </c>
      <c r="H3651" s="0" t="n">
        <v>0.2</v>
      </c>
      <c r="I3651" s="7" t="n">
        <f aca="false">YEAR(B3651)</f>
        <v>2015</v>
      </c>
      <c r="J3651" s="0" t="str">
        <f aca="false">I3651&amp;"-Q"&amp;ROUNDUP(MONTH(B3651)/3,0)</f>
        <v>2015-Q4</v>
      </c>
    </row>
    <row r="3652" customFormat="false" ht="15" hidden="false" customHeight="false" outlineLevel="0" collapsed="false">
      <c r="A3652" s="0" t="s">
        <v>1888</v>
      </c>
      <c r="B3652" s="6" t="n">
        <v>43078</v>
      </c>
      <c r="C3652" s="7" t="s">
        <v>45</v>
      </c>
      <c r="D3652" s="7" t="s">
        <v>70</v>
      </c>
      <c r="E3652" s="7" t="s">
        <v>39</v>
      </c>
      <c r="F3652" s="0" t="n">
        <v>104.88</v>
      </c>
      <c r="G3652" s="0" t="n">
        <v>41.952</v>
      </c>
      <c r="H3652" s="0" t="n">
        <v>0</v>
      </c>
      <c r="I3652" s="7" t="n">
        <f aca="false">YEAR(B3652)</f>
        <v>2017</v>
      </c>
      <c r="J3652" s="0" t="str">
        <f aca="false">I3652&amp;"-Q"&amp;ROUNDUP(MONTH(B3652)/3,0)</f>
        <v>2017-Q4</v>
      </c>
    </row>
    <row r="3653" customFormat="false" ht="15" hidden="false" customHeight="false" outlineLevel="0" collapsed="false">
      <c r="A3653" s="0" t="s">
        <v>1888</v>
      </c>
      <c r="B3653" s="6" t="n">
        <v>43078</v>
      </c>
      <c r="C3653" s="7" t="s">
        <v>45</v>
      </c>
      <c r="D3653" s="7" t="s">
        <v>70</v>
      </c>
      <c r="E3653" s="7" t="s">
        <v>35</v>
      </c>
      <c r="F3653" s="0" t="n">
        <v>34.7</v>
      </c>
      <c r="G3653" s="0" t="n">
        <v>12.492</v>
      </c>
      <c r="H3653" s="0" t="n">
        <v>0</v>
      </c>
      <c r="I3653" s="7" t="n">
        <f aca="false">YEAR(B3653)</f>
        <v>2017</v>
      </c>
      <c r="J3653" s="0" t="str">
        <f aca="false">I3653&amp;"-Q"&amp;ROUNDUP(MONTH(B3653)/3,0)</f>
        <v>2017-Q4</v>
      </c>
    </row>
    <row r="3654" customFormat="false" ht="15" hidden="false" customHeight="false" outlineLevel="0" collapsed="false">
      <c r="A3654" s="0" t="s">
        <v>1888</v>
      </c>
      <c r="B3654" s="6" t="n">
        <v>43078</v>
      </c>
      <c r="C3654" s="7" t="s">
        <v>45</v>
      </c>
      <c r="D3654" s="7" t="s">
        <v>70</v>
      </c>
      <c r="E3654" s="7" t="s">
        <v>35</v>
      </c>
      <c r="F3654" s="0" t="n">
        <v>33.72</v>
      </c>
      <c r="G3654" s="0" t="n">
        <v>15.5112</v>
      </c>
      <c r="H3654" s="0" t="n">
        <v>0</v>
      </c>
      <c r="I3654" s="7" t="n">
        <f aca="false">YEAR(B3654)</f>
        <v>2017</v>
      </c>
      <c r="J3654" s="0" t="str">
        <f aca="false">I3654&amp;"-Q"&amp;ROUNDUP(MONTH(B3654)/3,0)</f>
        <v>2017-Q4</v>
      </c>
    </row>
    <row r="3655" customFormat="false" ht="15" hidden="false" customHeight="false" outlineLevel="0" collapsed="false">
      <c r="A3655" s="0" t="s">
        <v>1888</v>
      </c>
      <c r="B3655" s="6" t="n">
        <v>43078</v>
      </c>
      <c r="C3655" s="7" t="s">
        <v>45</v>
      </c>
      <c r="D3655" s="7" t="s">
        <v>70</v>
      </c>
      <c r="E3655" s="7" t="s">
        <v>35</v>
      </c>
      <c r="F3655" s="0" t="n">
        <v>14.94</v>
      </c>
      <c r="G3655" s="0" t="n">
        <v>7.0218</v>
      </c>
      <c r="H3655" s="0" t="n">
        <v>0</v>
      </c>
      <c r="I3655" s="7" t="n">
        <f aca="false">YEAR(B3655)</f>
        <v>2017</v>
      </c>
      <c r="J3655" s="0" t="str">
        <f aca="false">I3655&amp;"-Q"&amp;ROUNDUP(MONTH(B3655)/3,0)</f>
        <v>2017-Q4</v>
      </c>
    </row>
    <row r="3656" customFormat="false" ht="15" hidden="false" customHeight="false" outlineLevel="0" collapsed="false">
      <c r="A3656" s="0" t="s">
        <v>1889</v>
      </c>
      <c r="B3656" s="6" t="n">
        <v>42978</v>
      </c>
      <c r="C3656" s="7" t="s">
        <v>45</v>
      </c>
      <c r="D3656" s="7" t="s">
        <v>74</v>
      </c>
      <c r="E3656" s="7" t="s">
        <v>35</v>
      </c>
      <c r="F3656" s="0" t="n">
        <v>638.73</v>
      </c>
      <c r="G3656" s="0" t="n">
        <v>166.0698</v>
      </c>
      <c r="H3656" s="0" t="n">
        <v>0</v>
      </c>
      <c r="I3656" s="7" t="n">
        <f aca="false">YEAR(B3656)</f>
        <v>2017</v>
      </c>
      <c r="J3656" s="0" t="str">
        <f aca="false">I3656&amp;"-Q"&amp;ROUNDUP(MONTH(B3656)/3,0)</f>
        <v>2017-Q3</v>
      </c>
    </row>
    <row r="3657" customFormat="false" ht="15" hidden="false" customHeight="false" outlineLevel="0" collapsed="false">
      <c r="A3657" s="0" t="s">
        <v>1890</v>
      </c>
      <c r="B3657" s="6" t="n">
        <v>42849</v>
      </c>
      <c r="C3657" s="7" t="s">
        <v>29</v>
      </c>
      <c r="D3657" s="7" t="s">
        <v>37</v>
      </c>
      <c r="E3657" s="7" t="s">
        <v>35</v>
      </c>
      <c r="F3657" s="0" t="n">
        <v>113.568</v>
      </c>
      <c r="G3657" s="0" t="n">
        <v>-21.294</v>
      </c>
      <c r="H3657" s="0" t="n">
        <v>0.2</v>
      </c>
      <c r="I3657" s="7" t="n">
        <f aca="false">YEAR(B3657)</f>
        <v>2017</v>
      </c>
      <c r="J3657" s="0" t="str">
        <f aca="false">I3657&amp;"-Q"&amp;ROUNDUP(MONTH(B3657)/3,0)</f>
        <v>2017-Q2</v>
      </c>
    </row>
    <row r="3658" customFormat="false" ht="15" hidden="false" customHeight="false" outlineLevel="0" collapsed="false">
      <c r="A3658" s="0" t="s">
        <v>1891</v>
      </c>
      <c r="B3658" s="6" t="n">
        <v>42986</v>
      </c>
      <c r="C3658" s="7" t="s">
        <v>55</v>
      </c>
      <c r="D3658" s="7" t="s">
        <v>116</v>
      </c>
      <c r="E3658" s="7" t="s">
        <v>39</v>
      </c>
      <c r="F3658" s="0" t="n">
        <v>9.096</v>
      </c>
      <c r="G3658" s="0" t="n">
        <v>1.7055</v>
      </c>
      <c r="H3658" s="0" t="n">
        <v>0.2</v>
      </c>
      <c r="I3658" s="7" t="n">
        <f aca="false">YEAR(B3658)</f>
        <v>2017</v>
      </c>
      <c r="J3658" s="0" t="str">
        <f aca="false">I3658&amp;"-Q"&amp;ROUNDUP(MONTH(B3658)/3,0)</f>
        <v>2017-Q3</v>
      </c>
    </row>
    <row r="3659" customFormat="false" ht="15" hidden="false" customHeight="false" outlineLevel="0" collapsed="false">
      <c r="A3659" s="0" t="s">
        <v>1892</v>
      </c>
      <c r="B3659" s="6" t="n">
        <v>42075</v>
      </c>
      <c r="C3659" s="7" t="s">
        <v>29</v>
      </c>
      <c r="D3659" s="7" t="s">
        <v>37</v>
      </c>
      <c r="E3659" s="7" t="s">
        <v>35</v>
      </c>
      <c r="F3659" s="0" t="n">
        <v>8.688</v>
      </c>
      <c r="G3659" s="0" t="n">
        <v>2.9322</v>
      </c>
      <c r="H3659" s="0" t="n">
        <v>0.2</v>
      </c>
      <c r="I3659" s="7" t="n">
        <f aca="false">YEAR(B3659)</f>
        <v>2015</v>
      </c>
      <c r="J3659" s="0" t="str">
        <f aca="false">I3659&amp;"-Q"&amp;ROUNDUP(MONTH(B3659)/3,0)</f>
        <v>2015-Q1</v>
      </c>
    </row>
    <row r="3660" customFormat="false" ht="15" hidden="false" customHeight="false" outlineLevel="0" collapsed="false">
      <c r="A3660" s="0" t="s">
        <v>1892</v>
      </c>
      <c r="B3660" s="6" t="n">
        <v>42075</v>
      </c>
      <c r="C3660" s="7" t="s">
        <v>29</v>
      </c>
      <c r="D3660" s="7" t="s">
        <v>37</v>
      </c>
      <c r="E3660" s="7" t="s">
        <v>31</v>
      </c>
      <c r="F3660" s="0" t="n">
        <v>30.88</v>
      </c>
      <c r="G3660" s="0" t="n">
        <v>3.86</v>
      </c>
      <c r="H3660" s="0" t="n">
        <v>0.2</v>
      </c>
      <c r="I3660" s="7" t="n">
        <f aca="false">YEAR(B3660)</f>
        <v>2015</v>
      </c>
      <c r="J3660" s="0" t="str">
        <f aca="false">I3660&amp;"-Q"&amp;ROUNDUP(MONTH(B3660)/3,0)</f>
        <v>2015-Q1</v>
      </c>
    </row>
    <row r="3661" customFormat="false" ht="15" hidden="false" customHeight="false" outlineLevel="0" collapsed="false">
      <c r="A3661" s="0" t="s">
        <v>1892</v>
      </c>
      <c r="B3661" s="6" t="n">
        <v>42075</v>
      </c>
      <c r="C3661" s="7" t="s">
        <v>29</v>
      </c>
      <c r="D3661" s="7" t="s">
        <v>37</v>
      </c>
      <c r="E3661" s="7" t="s">
        <v>31</v>
      </c>
      <c r="F3661" s="0" t="n">
        <v>6.408</v>
      </c>
      <c r="G3661" s="0" t="n">
        <v>1.4418</v>
      </c>
      <c r="H3661" s="0" t="n">
        <v>0.2</v>
      </c>
      <c r="I3661" s="7" t="n">
        <f aca="false">YEAR(B3661)</f>
        <v>2015</v>
      </c>
      <c r="J3661" s="0" t="str">
        <f aca="false">I3661&amp;"-Q"&amp;ROUNDUP(MONTH(B3661)/3,0)</f>
        <v>2015-Q1</v>
      </c>
    </row>
    <row r="3662" customFormat="false" ht="15" hidden="false" customHeight="false" outlineLevel="0" collapsed="false">
      <c r="A3662" s="0" t="s">
        <v>1893</v>
      </c>
      <c r="B3662" s="6" t="n">
        <v>42569</v>
      </c>
      <c r="C3662" s="7" t="s">
        <v>33</v>
      </c>
      <c r="D3662" s="7" t="s">
        <v>81</v>
      </c>
      <c r="E3662" s="7" t="s">
        <v>35</v>
      </c>
      <c r="F3662" s="0" t="n">
        <v>33.8</v>
      </c>
      <c r="G3662" s="0" t="n">
        <v>4.225</v>
      </c>
      <c r="H3662" s="0" t="n">
        <v>0.2</v>
      </c>
      <c r="I3662" s="7" t="n">
        <f aca="false">YEAR(B3662)</f>
        <v>2016</v>
      </c>
      <c r="J3662" s="0" t="str">
        <f aca="false">I3662&amp;"-Q"&amp;ROUNDUP(MONTH(B3662)/3,0)</f>
        <v>2016-Q3</v>
      </c>
    </row>
    <row r="3663" customFormat="false" ht="15" hidden="false" customHeight="false" outlineLevel="0" collapsed="false">
      <c r="A3663" s="0" t="s">
        <v>1894</v>
      </c>
      <c r="B3663" s="6" t="n">
        <v>42534</v>
      </c>
      <c r="C3663" s="7" t="s">
        <v>45</v>
      </c>
      <c r="D3663" s="7" t="s">
        <v>70</v>
      </c>
      <c r="E3663" s="7" t="s">
        <v>39</v>
      </c>
      <c r="F3663" s="0" t="n">
        <v>377.97</v>
      </c>
      <c r="G3663" s="0" t="n">
        <v>94.4925</v>
      </c>
      <c r="H3663" s="0" t="n">
        <v>0</v>
      </c>
      <c r="I3663" s="7" t="n">
        <f aca="false">YEAR(B3663)</f>
        <v>2016</v>
      </c>
      <c r="J3663" s="0" t="str">
        <f aca="false">I3663&amp;"-Q"&amp;ROUNDUP(MONTH(B3663)/3,0)</f>
        <v>2016-Q2</v>
      </c>
    </row>
    <row r="3664" customFormat="false" ht="15" hidden="false" customHeight="false" outlineLevel="0" collapsed="false">
      <c r="A3664" s="0" t="s">
        <v>1895</v>
      </c>
      <c r="B3664" s="6" t="n">
        <v>42919</v>
      </c>
      <c r="C3664" s="7" t="s">
        <v>55</v>
      </c>
      <c r="D3664" s="7" t="s">
        <v>225</v>
      </c>
      <c r="E3664" s="7" t="s">
        <v>39</v>
      </c>
      <c r="F3664" s="0" t="n">
        <v>258.9</v>
      </c>
      <c r="G3664" s="0" t="n">
        <v>93.204</v>
      </c>
      <c r="H3664" s="0" t="n">
        <v>0</v>
      </c>
      <c r="I3664" s="7" t="n">
        <f aca="false">YEAR(B3664)</f>
        <v>2017</v>
      </c>
      <c r="J3664" s="0" t="str">
        <f aca="false">I3664&amp;"-Q"&amp;ROUNDUP(MONTH(B3664)/3,0)</f>
        <v>2017-Q3</v>
      </c>
    </row>
    <row r="3665" customFormat="false" ht="15" hidden="false" customHeight="false" outlineLevel="0" collapsed="false">
      <c r="A3665" s="0" t="s">
        <v>1895</v>
      </c>
      <c r="B3665" s="6" t="n">
        <v>42919</v>
      </c>
      <c r="C3665" s="7" t="s">
        <v>55</v>
      </c>
      <c r="D3665" s="7" t="s">
        <v>225</v>
      </c>
      <c r="E3665" s="7" t="s">
        <v>35</v>
      </c>
      <c r="F3665" s="0" t="n">
        <v>24.56</v>
      </c>
      <c r="G3665" s="0" t="n">
        <v>11.5432</v>
      </c>
      <c r="H3665" s="0" t="n">
        <v>0</v>
      </c>
      <c r="I3665" s="7" t="n">
        <f aca="false">YEAR(B3665)</f>
        <v>2017</v>
      </c>
      <c r="J3665" s="0" t="str">
        <f aca="false">I3665&amp;"-Q"&amp;ROUNDUP(MONTH(B3665)/3,0)</f>
        <v>2017-Q3</v>
      </c>
    </row>
    <row r="3666" customFormat="false" ht="15" hidden="false" customHeight="false" outlineLevel="0" collapsed="false">
      <c r="A3666" s="0" t="s">
        <v>1896</v>
      </c>
      <c r="B3666" s="6" t="n">
        <v>41981</v>
      </c>
      <c r="C3666" s="7" t="s">
        <v>33</v>
      </c>
      <c r="D3666" s="7" t="s">
        <v>102</v>
      </c>
      <c r="E3666" s="7" t="s">
        <v>35</v>
      </c>
      <c r="F3666" s="0" t="n">
        <v>27.888</v>
      </c>
      <c r="G3666" s="0" t="n">
        <v>9.0636</v>
      </c>
      <c r="H3666" s="0" t="n">
        <v>0.2</v>
      </c>
      <c r="I3666" s="7" t="n">
        <f aca="false">YEAR(B3666)</f>
        <v>2014</v>
      </c>
      <c r="J3666" s="0" t="str">
        <f aca="false">I3666&amp;"-Q"&amp;ROUNDUP(MONTH(B3666)/3,0)</f>
        <v>2014-Q4</v>
      </c>
    </row>
    <row r="3667" customFormat="false" ht="15" hidden="false" customHeight="false" outlineLevel="0" collapsed="false">
      <c r="A3667" s="0" t="s">
        <v>1896</v>
      </c>
      <c r="B3667" s="6" t="n">
        <v>41981</v>
      </c>
      <c r="C3667" s="7" t="s">
        <v>33</v>
      </c>
      <c r="D3667" s="7" t="s">
        <v>102</v>
      </c>
      <c r="E3667" s="7" t="s">
        <v>35</v>
      </c>
      <c r="F3667" s="0" t="n">
        <v>6.456</v>
      </c>
      <c r="G3667" s="0" t="n">
        <v>-4.5192</v>
      </c>
      <c r="H3667" s="0" t="n">
        <v>0.7</v>
      </c>
      <c r="I3667" s="7" t="n">
        <f aca="false">YEAR(B3667)</f>
        <v>2014</v>
      </c>
      <c r="J3667" s="0" t="str">
        <f aca="false">I3667&amp;"-Q"&amp;ROUNDUP(MONTH(B3667)/3,0)</f>
        <v>2014-Q4</v>
      </c>
    </row>
    <row r="3668" customFormat="false" ht="15" hidden="false" customHeight="false" outlineLevel="0" collapsed="false">
      <c r="A3668" s="0" t="s">
        <v>1896</v>
      </c>
      <c r="B3668" s="6" t="n">
        <v>41981</v>
      </c>
      <c r="C3668" s="7" t="s">
        <v>33</v>
      </c>
      <c r="D3668" s="7" t="s">
        <v>102</v>
      </c>
      <c r="E3668" s="7" t="s">
        <v>39</v>
      </c>
      <c r="F3668" s="0" t="n">
        <v>52.68</v>
      </c>
      <c r="G3668" s="0" t="n">
        <v>19.755</v>
      </c>
      <c r="H3668" s="0" t="n">
        <v>0.2</v>
      </c>
      <c r="I3668" s="7" t="n">
        <f aca="false">YEAR(B3668)</f>
        <v>2014</v>
      </c>
      <c r="J3668" s="0" t="str">
        <f aca="false">I3668&amp;"-Q"&amp;ROUNDUP(MONTH(B3668)/3,0)</f>
        <v>2014-Q4</v>
      </c>
    </row>
    <row r="3669" customFormat="false" ht="15" hidden="false" customHeight="false" outlineLevel="0" collapsed="false">
      <c r="A3669" s="0" t="s">
        <v>1896</v>
      </c>
      <c r="B3669" s="6" t="n">
        <v>41981</v>
      </c>
      <c r="C3669" s="7" t="s">
        <v>33</v>
      </c>
      <c r="D3669" s="7" t="s">
        <v>102</v>
      </c>
      <c r="E3669" s="7" t="s">
        <v>35</v>
      </c>
      <c r="F3669" s="0" t="n">
        <v>13.88</v>
      </c>
      <c r="G3669" s="0" t="n">
        <v>-2.6025</v>
      </c>
      <c r="H3669" s="0" t="n">
        <v>0.2</v>
      </c>
      <c r="I3669" s="7" t="n">
        <f aca="false">YEAR(B3669)</f>
        <v>2014</v>
      </c>
      <c r="J3669" s="0" t="str">
        <f aca="false">I3669&amp;"-Q"&amp;ROUNDUP(MONTH(B3669)/3,0)</f>
        <v>2014-Q4</v>
      </c>
    </row>
    <row r="3670" customFormat="false" ht="15" hidden="false" customHeight="false" outlineLevel="0" collapsed="false">
      <c r="A3670" s="0" t="s">
        <v>1896</v>
      </c>
      <c r="B3670" s="6" t="n">
        <v>41981</v>
      </c>
      <c r="C3670" s="7" t="s">
        <v>33</v>
      </c>
      <c r="D3670" s="7" t="s">
        <v>102</v>
      </c>
      <c r="E3670" s="7" t="s">
        <v>39</v>
      </c>
      <c r="F3670" s="0" t="n">
        <v>103.92</v>
      </c>
      <c r="G3670" s="0" t="n">
        <v>-18.186</v>
      </c>
      <c r="H3670" s="0" t="n">
        <v>0.2</v>
      </c>
      <c r="I3670" s="7" t="n">
        <f aca="false">YEAR(B3670)</f>
        <v>2014</v>
      </c>
      <c r="J3670" s="0" t="str">
        <f aca="false">I3670&amp;"-Q"&amp;ROUNDUP(MONTH(B3670)/3,0)</f>
        <v>2014-Q4</v>
      </c>
    </row>
    <row r="3671" customFormat="false" ht="15" hidden="false" customHeight="false" outlineLevel="0" collapsed="false">
      <c r="A3671" s="0" t="s">
        <v>1896</v>
      </c>
      <c r="B3671" s="6" t="n">
        <v>41981</v>
      </c>
      <c r="C3671" s="7" t="s">
        <v>33</v>
      </c>
      <c r="D3671" s="7" t="s">
        <v>102</v>
      </c>
      <c r="E3671" s="7" t="s">
        <v>35</v>
      </c>
      <c r="F3671" s="0" t="n">
        <v>11.52</v>
      </c>
      <c r="G3671" s="0" t="n">
        <v>3.744</v>
      </c>
      <c r="H3671" s="0" t="n">
        <v>0.2</v>
      </c>
      <c r="I3671" s="7" t="n">
        <f aca="false">YEAR(B3671)</f>
        <v>2014</v>
      </c>
      <c r="J3671" s="0" t="str">
        <f aca="false">I3671&amp;"-Q"&amp;ROUNDUP(MONTH(B3671)/3,0)</f>
        <v>2014-Q4</v>
      </c>
    </row>
    <row r="3672" customFormat="false" ht="15" hidden="false" customHeight="false" outlineLevel="0" collapsed="false">
      <c r="A3672" s="0" t="s">
        <v>1896</v>
      </c>
      <c r="B3672" s="6" t="n">
        <v>41981</v>
      </c>
      <c r="C3672" s="7" t="s">
        <v>33</v>
      </c>
      <c r="D3672" s="7" t="s">
        <v>102</v>
      </c>
      <c r="E3672" s="7" t="s">
        <v>35</v>
      </c>
      <c r="F3672" s="0" t="n">
        <v>10.368</v>
      </c>
      <c r="G3672" s="0" t="n">
        <v>3.6288</v>
      </c>
      <c r="H3672" s="0" t="n">
        <v>0.2</v>
      </c>
      <c r="I3672" s="7" t="n">
        <f aca="false">YEAR(B3672)</f>
        <v>2014</v>
      </c>
      <c r="J3672" s="0" t="str">
        <f aca="false">I3672&amp;"-Q"&amp;ROUNDUP(MONTH(B3672)/3,0)</f>
        <v>2014-Q4</v>
      </c>
    </row>
    <row r="3673" customFormat="false" ht="15" hidden="false" customHeight="false" outlineLevel="0" collapsed="false">
      <c r="A3673" s="0" t="s">
        <v>1896</v>
      </c>
      <c r="B3673" s="6" t="n">
        <v>41981</v>
      </c>
      <c r="C3673" s="7" t="s">
        <v>33</v>
      </c>
      <c r="D3673" s="7" t="s">
        <v>102</v>
      </c>
      <c r="E3673" s="7" t="s">
        <v>35</v>
      </c>
      <c r="F3673" s="0" t="n">
        <v>39.072</v>
      </c>
      <c r="G3673" s="0" t="n">
        <v>2.9304</v>
      </c>
      <c r="H3673" s="0" t="n">
        <v>0.2</v>
      </c>
      <c r="I3673" s="7" t="n">
        <f aca="false">YEAR(B3673)</f>
        <v>2014</v>
      </c>
      <c r="J3673" s="0" t="str">
        <f aca="false">I3673&amp;"-Q"&amp;ROUNDUP(MONTH(B3673)/3,0)</f>
        <v>2014-Q4</v>
      </c>
    </row>
    <row r="3674" customFormat="false" ht="15" hidden="false" customHeight="false" outlineLevel="0" collapsed="false">
      <c r="A3674" s="0" t="s">
        <v>1897</v>
      </c>
      <c r="B3674" s="6" t="n">
        <v>42468</v>
      </c>
      <c r="C3674" s="7" t="s">
        <v>55</v>
      </c>
      <c r="D3674" s="7" t="s">
        <v>116</v>
      </c>
      <c r="E3674" s="7" t="s">
        <v>35</v>
      </c>
      <c r="F3674" s="0" t="n">
        <v>8.872</v>
      </c>
      <c r="G3674" s="0" t="n">
        <v>3.2161</v>
      </c>
      <c r="H3674" s="0" t="n">
        <v>0.2</v>
      </c>
      <c r="I3674" s="7" t="n">
        <f aca="false">YEAR(B3674)</f>
        <v>2016</v>
      </c>
      <c r="J3674" s="0" t="str">
        <f aca="false">I3674&amp;"-Q"&amp;ROUNDUP(MONTH(B3674)/3,0)</f>
        <v>2016-Q2</v>
      </c>
    </row>
    <row r="3675" customFormat="false" ht="15" hidden="false" customHeight="false" outlineLevel="0" collapsed="false">
      <c r="A3675" s="0" t="s">
        <v>1897</v>
      </c>
      <c r="B3675" s="6" t="n">
        <v>42468</v>
      </c>
      <c r="C3675" s="7" t="s">
        <v>55</v>
      </c>
      <c r="D3675" s="7" t="s">
        <v>116</v>
      </c>
      <c r="E3675" s="7" t="s">
        <v>35</v>
      </c>
      <c r="F3675" s="0" t="n">
        <v>121.104</v>
      </c>
      <c r="G3675" s="0" t="n">
        <v>-100.92</v>
      </c>
      <c r="H3675" s="0" t="n">
        <v>0.7</v>
      </c>
      <c r="I3675" s="7" t="n">
        <f aca="false">YEAR(B3675)</f>
        <v>2016</v>
      </c>
      <c r="J3675" s="0" t="str">
        <f aca="false">I3675&amp;"-Q"&amp;ROUNDUP(MONTH(B3675)/3,0)</f>
        <v>2016-Q2</v>
      </c>
    </row>
    <row r="3676" customFormat="false" ht="15" hidden="false" customHeight="false" outlineLevel="0" collapsed="false">
      <c r="A3676" s="0" t="s">
        <v>1898</v>
      </c>
      <c r="B3676" s="6" t="n">
        <v>43045</v>
      </c>
      <c r="C3676" s="7" t="s">
        <v>55</v>
      </c>
      <c r="D3676" s="7" t="s">
        <v>56</v>
      </c>
      <c r="E3676" s="7" t="s">
        <v>31</v>
      </c>
      <c r="F3676" s="0" t="n">
        <v>127.372</v>
      </c>
      <c r="G3676" s="0" t="n">
        <v>-30.9332</v>
      </c>
      <c r="H3676" s="0" t="n">
        <v>0.3</v>
      </c>
      <c r="I3676" s="7" t="n">
        <f aca="false">YEAR(B3676)</f>
        <v>2017</v>
      </c>
      <c r="J3676" s="0" t="str">
        <f aca="false">I3676&amp;"-Q"&amp;ROUNDUP(MONTH(B3676)/3,0)</f>
        <v>2017-Q4</v>
      </c>
    </row>
    <row r="3677" customFormat="false" ht="15" hidden="false" customHeight="false" outlineLevel="0" collapsed="false">
      <c r="A3677" s="0" t="s">
        <v>1898</v>
      </c>
      <c r="B3677" s="6" t="n">
        <v>43045</v>
      </c>
      <c r="C3677" s="7" t="s">
        <v>55</v>
      </c>
      <c r="D3677" s="7" t="s">
        <v>56</v>
      </c>
      <c r="E3677" s="7" t="s">
        <v>35</v>
      </c>
      <c r="F3677" s="0" t="n">
        <v>47.952</v>
      </c>
      <c r="G3677" s="0" t="n">
        <v>16.1838</v>
      </c>
      <c r="H3677" s="0" t="n">
        <v>0.2</v>
      </c>
      <c r="I3677" s="7" t="n">
        <f aca="false">YEAR(B3677)</f>
        <v>2017</v>
      </c>
      <c r="J3677" s="0" t="str">
        <f aca="false">I3677&amp;"-Q"&amp;ROUNDUP(MONTH(B3677)/3,0)</f>
        <v>2017-Q4</v>
      </c>
    </row>
    <row r="3678" customFormat="false" ht="15" hidden="false" customHeight="false" outlineLevel="0" collapsed="false">
      <c r="A3678" s="0" t="s">
        <v>1899</v>
      </c>
      <c r="B3678" s="6" t="n">
        <v>42343</v>
      </c>
      <c r="C3678" s="7" t="s">
        <v>33</v>
      </c>
      <c r="D3678" s="7" t="s">
        <v>34</v>
      </c>
      <c r="E3678" s="7" t="s">
        <v>31</v>
      </c>
      <c r="F3678" s="0" t="n">
        <v>44.46</v>
      </c>
      <c r="G3678" s="0" t="n">
        <v>14.6718</v>
      </c>
      <c r="H3678" s="0" t="n">
        <v>0</v>
      </c>
      <c r="I3678" s="7" t="n">
        <f aca="false">YEAR(B3678)</f>
        <v>2015</v>
      </c>
      <c r="J3678" s="0" t="str">
        <f aca="false">I3678&amp;"-Q"&amp;ROUNDUP(MONTH(B3678)/3,0)</f>
        <v>2015-Q4</v>
      </c>
    </row>
    <row r="3679" customFormat="false" ht="15" hidden="false" customHeight="false" outlineLevel="0" collapsed="false">
      <c r="A3679" s="0" t="s">
        <v>1900</v>
      </c>
      <c r="B3679" s="6" t="n">
        <v>42194</v>
      </c>
      <c r="C3679" s="7" t="s">
        <v>55</v>
      </c>
      <c r="D3679" s="7" t="s">
        <v>495</v>
      </c>
      <c r="E3679" s="7" t="s">
        <v>35</v>
      </c>
      <c r="F3679" s="0" t="n">
        <v>15.8</v>
      </c>
      <c r="G3679" s="0" t="n">
        <v>5.056</v>
      </c>
      <c r="H3679" s="0" t="n">
        <v>0</v>
      </c>
      <c r="I3679" s="7" t="n">
        <f aca="false">YEAR(B3679)</f>
        <v>2015</v>
      </c>
      <c r="J3679" s="0" t="str">
        <f aca="false">I3679&amp;"-Q"&amp;ROUNDUP(MONTH(B3679)/3,0)</f>
        <v>2015-Q3</v>
      </c>
    </row>
    <row r="3680" customFormat="false" ht="15" hidden="false" customHeight="false" outlineLevel="0" collapsed="false">
      <c r="A3680" s="0" t="s">
        <v>1900</v>
      </c>
      <c r="B3680" s="6" t="n">
        <v>42194</v>
      </c>
      <c r="C3680" s="7" t="s">
        <v>55</v>
      </c>
      <c r="D3680" s="7" t="s">
        <v>495</v>
      </c>
      <c r="E3680" s="7" t="s">
        <v>39</v>
      </c>
      <c r="F3680" s="0" t="n">
        <v>464.97</v>
      </c>
      <c r="G3680" s="0" t="n">
        <v>209.2365</v>
      </c>
      <c r="H3680" s="0" t="n">
        <v>0</v>
      </c>
      <c r="I3680" s="7" t="n">
        <f aca="false">YEAR(B3680)</f>
        <v>2015</v>
      </c>
      <c r="J3680" s="0" t="str">
        <f aca="false">I3680&amp;"-Q"&amp;ROUNDUP(MONTH(B3680)/3,0)</f>
        <v>2015-Q3</v>
      </c>
    </row>
    <row r="3681" customFormat="false" ht="15" hidden="false" customHeight="false" outlineLevel="0" collapsed="false">
      <c r="A3681" s="0" t="s">
        <v>1900</v>
      </c>
      <c r="B3681" s="6" t="n">
        <v>42194</v>
      </c>
      <c r="C3681" s="7" t="s">
        <v>55</v>
      </c>
      <c r="D3681" s="7" t="s">
        <v>495</v>
      </c>
      <c r="E3681" s="7" t="s">
        <v>31</v>
      </c>
      <c r="F3681" s="0" t="n">
        <v>181.96</v>
      </c>
      <c r="G3681" s="0" t="n">
        <v>20.0156</v>
      </c>
      <c r="H3681" s="0" t="n">
        <v>0</v>
      </c>
      <c r="I3681" s="7" t="n">
        <f aca="false">YEAR(B3681)</f>
        <v>2015</v>
      </c>
      <c r="J3681" s="0" t="str">
        <f aca="false">I3681&amp;"-Q"&amp;ROUNDUP(MONTH(B3681)/3,0)</f>
        <v>2015-Q3</v>
      </c>
    </row>
    <row r="3682" customFormat="false" ht="15" hidden="false" customHeight="false" outlineLevel="0" collapsed="false">
      <c r="A3682" s="0" t="s">
        <v>1900</v>
      </c>
      <c r="B3682" s="6" t="n">
        <v>42194</v>
      </c>
      <c r="C3682" s="7" t="s">
        <v>55</v>
      </c>
      <c r="D3682" s="7" t="s">
        <v>495</v>
      </c>
      <c r="E3682" s="7" t="s">
        <v>35</v>
      </c>
      <c r="F3682" s="0" t="n">
        <v>12.39</v>
      </c>
      <c r="G3682" s="0" t="n">
        <v>5.6994</v>
      </c>
      <c r="H3682" s="0" t="n">
        <v>0</v>
      </c>
      <c r="I3682" s="7" t="n">
        <f aca="false">YEAR(B3682)</f>
        <v>2015</v>
      </c>
      <c r="J3682" s="0" t="str">
        <f aca="false">I3682&amp;"-Q"&amp;ROUNDUP(MONTH(B3682)/3,0)</f>
        <v>2015-Q3</v>
      </c>
    </row>
    <row r="3683" customFormat="false" ht="15" hidden="false" customHeight="false" outlineLevel="0" collapsed="false">
      <c r="A3683" s="0" t="s">
        <v>1900</v>
      </c>
      <c r="B3683" s="6" t="n">
        <v>42194</v>
      </c>
      <c r="C3683" s="7" t="s">
        <v>55</v>
      </c>
      <c r="D3683" s="7" t="s">
        <v>495</v>
      </c>
      <c r="E3683" s="7" t="s">
        <v>35</v>
      </c>
      <c r="F3683" s="0" t="n">
        <v>84.09</v>
      </c>
      <c r="G3683" s="0" t="n">
        <v>42.045</v>
      </c>
      <c r="H3683" s="0" t="n">
        <v>0</v>
      </c>
      <c r="I3683" s="7" t="n">
        <f aca="false">YEAR(B3683)</f>
        <v>2015</v>
      </c>
      <c r="J3683" s="0" t="str">
        <f aca="false">I3683&amp;"-Q"&amp;ROUNDUP(MONTH(B3683)/3,0)</f>
        <v>2015-Q3</v>
      </c>
    </row>
    <row r="3684" customFormat="false" ht="15" hidden="false" customHeight="false" outlineLevel="0" collapsed="false">
      <c r="A3684" s="0" t="s">
        <v>1900</v>
      </c>
      <c r="B3684" s="6" t="n">
        <v>42194</v>
      </c>
      <c r="C3684" s="7" t="s">
        <v>55</v>
      </c>
      <c r="D3684" s="7" t="s">
        <v>495</v>
      </c>
      <c r="E3684" s="7" t="s">
        <v>35</v>
      </c>
      <c r="F3684" s="0" t="n">
        <v>79.36</v>
      </c>
      <c r="G3684" s="0" t="n">
        <v>32.5376</v>
      </c>
      <c r="H3684" s="0" t="n">
        <v>0</v>
      </c>
      <c r="I3684" s="7" t="n">
        <f aca="false">YEAR(B3684)</f>
        <v>2015</v>
      </c>
      <c r="J3684" s="0" t="str">
        <f aca="false">I3684&amp;"-Q"&amp;ROUNDUP(MONTH(B3684)/3,0)</f>
        <v>2015-Q3</v>
      </c>
    </row>
    <row r="3685" customFormat="false" ht="15" hidden="false" customHeight="false" outlineLevel="0" collapsed="false">
      <c r="A3685" s="0" t="s">
        <v>1900</v>
      </c>
      <c r="B3685" s="6" t="n">
        <v>42194</v>
      </c>
      <c r="C3685" s="7" t="s">
        <v>55</v>
      </c>
      <c r="D3685" s="7" t="s">
        <v>495</v>
      </c>
      <c r="E3685" s="7" t="s">
        <v>35</v>
      </c>
      <c r="F3685" s="0" t="n">
        <v>153.36</v>
      </c>
      <c r="G3685" s="0" t="n">
        <v>70.5456</v>
      </c>
      <c r="H3685" s="0" t="n">
        <v>0</v>
      </c>
      <c r="I3685" s="7" t="n">
        <f aca="false">YEAR(B3685)</f>
        <v>2015</v>
      </c>
      <c r="J3685" s="0" t="str">
        <f aca="false">I3685&amp;"-Q"&amp;ROUNDUP(MONTH(B3685)/3,0)</f>
        <v>2015-Q3</v>
      </c>
    </row>
    <row r="3686" customFormat="false" ht="15" hidden="false" customHeight="false" outlineLevel="0" collapsed="false">
      <c r="A3686" s="0" t="s">
        <v>1900</v>
      </c>
      <c r="B3686" s="6" t="n">
        <v>42194</v>
      </c>
      <c r="C3686" s="7" t="s">
        <v>55</v>
      </c>
      <c r="D3686" s="7" t="s">
        <v>495</v>
      </c>
      <c r="E3686" s="7" t="s">
        <v>35</v>
      </c>
      <c r="F3686" s="0" t="n">
        <v>43.68</v>
      </c>
      <c r="G3686" s="0" t="n">
        <v>21.4032</v>
      </c>
      <c r="H3686" s="0" t="n">
        <v>0</v>
      </c>
      <c r="I3686" s="7" t="n">
        <f aca="false">YEAR(B3686)</f>
        <v>2015</v>
      </c>
      <c r="J3686" s="0" t="str">
        <f aca="false">I3686&amp;"-Q"&amp;ROUNDUP(MONTH(B3686)/3,0)</f>
        <v>2015-Q3</v>
      </c>
    </row>
    <row r="3687" customFormat="false" ht="15" hidden="false" customHeight="false" outlineLevel="0" collapsed="false">
      <c r="A3687" s="0" t="s">
        <v>1900</v>
      </c>
      <c r="B3687" s="6" t="n">
        <v>42194</v>
      </c>
      <c r="C3687" s="7" t="s">
        <v>55</v>
      </c>
      <c r="D3687" s="7" t="s">
        <v>495</v>
      </c>
      <c r="E3687" s="7" t="s">
        <v>35</v>
      </c>
      <c r="F3687" s="0" t="n">
        <v>98.21</v>
      </c>
      <c r="G3687" s="0" t="n">
        <v>28.4809</v>
      </c>
      <c r="H3687" s="0" t="n">
        <v>0</v>
      </c>
      <c r="I3687" s="7" t="n">
        <f aca="false">YEAR(B3687)</f>
        <v>2015</v>
      </c>
      <c r="J3687" s="0" t="str">
        <f aca="false">I3687&amp;"-Q"&amp;ROUNDUP(MONTH(B3687)/3,0)</f>
        <v>2015-Q3</v>
      </c>
    </row>
    <row r="3688" customFormat="false" ht="15" hidden="false" customHeight="false" outlineLevel="0" collapsed="false">
      <c r="A3688" s="0" t="s">
        <v>1901</v>
      </c>
      <c r="B3688" s="6" t="n">
        <v>42717</v>
      </c>
      <c r="C3688" s="7" t="s">
        <v>33</v>
      </c>
      <c r="D3688" s="7" t="s">
        <v>34</v>
      </c>
      <c r="E3688" s="7" t="s">
        <v>35</v>
      </c>
      <c r="F3688" s="0" t="n">
        <v>9.84</v>
      </c>
      <c r="G3688" s="0" t="n">
        <v>3.2472</v>
      </c>
      <c r="H3688" s="0" t="n">
        <v>0</v>
      </c>
      <c r="I3688" s="7" t="n">
        <f aca="false">YEAR(B3688)</f>
        <v>2016</v>
      </c>
      <c r="J3688" s="0" t="str">
        <f aca="false">I3688&amp;"-Q"&amp;ROUNDUP(MONTH(B3688)/3,0)</f>
        <v>2016-Q4</v>
      </c>
    </row>
    <row r="3689" customFormat="false" ht="15" hidden="false" customHeight="false" outlineLevel="0" collapsed="false">
      <c r="A3689" s="0" t="s">
        <v>1902</v>
      </c>
      <c r="B3689" s="6" t="n">
        <v>42510</v>
      </c>
      <c r="C3689" s="7" t="s">
        <v>29</v>
      </c>
      <c r="D3689" s="7" t="s">
        <v>37</v>
      </c>
      <c r="E3689" s="7" t="s">
        <v>35</v>
      </c>
      <c r="F3689" s="0" t="n">
        <v>2.694</v>
      </c>
      <c r="G3689" s="0" t="n">
        <v>-2.245</v>
      </c>
      <c r="H3689" s="0" t="n">
        <v>0.7</v>
      </c>
      <c r="I3689" s="7" t="n">
        <f aca="false">YEAR(B3689)</f>
        <v>2016</v>
      </c>
      <c r="J3689" s="0" t="str">
        <f aca="false">I3689&amp;"-Q"&amp;ROUNDUP(MONTH(B3689)/3,0)</f>
        <v>2016-Q2</v>
      </c>
    </row>
    <row r="3690" customFormat="false" ht="15" hidden="false" customHeight="false" outlineLevel="0" collapsed="false">
      <c r="A3690" s="0" t="s">
        <v>1903</v>
      </c>
      <c r="B3690" s="6" t="n">
        <v>42888</v>
      </c>
      <c r="C3690" s="7" t="s">
        <v>33</v>
      </c>
      <c r="D3690" s="7" t="s">
        <v>81</v>
      </c>
      <c r="E3690" s="7" t="s">
        <v>35</v>
      </c>
      <c r="F3690" s="0" t="n">
        <v>25.344</v>
      </c>
      <c r="G3690" s="0" t="n">
        <v>7.92</v>
      </c>
      <c r="H3690" s="0" t="n">
        <v>0.2</v>
      </c>
      <c r="I3690" s="7" t="n">
        <f aca="false">YEAR(B3690)</f>
        <v>2017</v>
      </c>
      <c r="J3690" s="0" t="str">
        <f aca="false">I3690&amp;"-Q"&amp;ROUNDUP(MONTH(B3690)/3,0)</f>
        <v>2017-Q2</v>
      </c>
    </row>
    <row r="3691" customFormat="false" ht="15" hidden="false" customHeight="false" outlineLevel="0" collapsed="false">
      <c r="A3691" s="0" t="s">
        <v>1903</v>
      </c>
      <c r="B3691" s="6" t="n">
        <v>42888</v>
      </c>
      <c r="C3691" s="7" t="s">
        <v>33</v>
      </c>
      <c r="D3691" s="7" t="s">
        <v>81</v>
      </c>
      <c r="E3691" s="7" t="s">
        <v>35</v>
      </c>
      <c r="F3691" s="0" t="n">
        <v>43.92</v>
      </c>
      <c r="G3691" s="0" t="n">
        <v>15.921</v>
      </c>
      <c r="H3691" s="0" t="n">
        <v>0.2</v>
      </c>
      <c r="I3691" s="7" t="n">
        <f aca="false">YEAR(B3691)</f>
        <v>2017</v>
      </c>
      <c r="J3691" s="0" t="str">
        <f aca="false">I3691&amp;"-Q"&amp;ROUNDUP(MONTH(B3691)/3,0)</f>
        <v>2017-Q2</v>
      </c>
    </row>
    <row r="3692" customFormat="false" ht="15" hidden="false" customHeight="false" outlineLevel="0" collapsed="false">
      <c r="A3692" s="0" t="s">
        <v>1904</v>
      </c>
      <c r="B3692" s="6" t="n">
        <v>42307</v>
      </c>
      <c r="C3692" s="7" t="s">
        <v>33</v>
      </c>
      <c r="D3692" s="7" t="s">
        <v>109</v>
      </c>
      <c r="E3692" s="7" t="s">
        <v>39</v>
      </c>
      <c r="F3692" s="0" t="n">
        <v>59.994</v>
      </c>
      <c r="G3692" s="0" t="n">
        <v>-45.9954</v>
      </c>
      <c r="H3692" s="0" t="n">
        <v>0.7</v>
      </c>
      <c r="I3692" s="7" t="n">
        <f aca="false">YEAR(B3692)</f>
        <v>2015</v>
      </c>
      <c r="J3692" s="0" t="str">
        <f aca="false">I3692&amp;"-Q"&amp;ROUNDUP(MONTH(B3692)/3,0)</f>
        <v>2015-Q4</v>
      </c>
    </row>
    <row r="3693" customFormat="false" ht="15" hidden="false" customHeight="false" outlineLevel="0" collapsed="false">
      <c r="A3693" s="0" t="s">
        <v>1904</v>
      </c>
      <c r="B3693" s="6" t="n">
        <v>42307</v>
      </c>
      <c r="C3693" s="7" t="s">
        <v>33</v>
      </c>
      <c r="D3693" s="7" t="s">
        <v>109</v>
      </c>
      <c r="E3693" s="7" t="s">
        <v>39</v>
      </c>
      <c r="F3693" s="0" t="n">
        <v>439.992</v>
      </c>
      <c r="G3693" s="0" t="n">
        <v>164.997</v>
      </c>
      <c r="H3693" s="0" t="n">
        <v>0.2</v>
      </c>
      <c r="I3693" s="7" t="n">
        <f aca="false">YEAR(B3693)</f>
        <v>2015</v>
      </c>
      <c r="J3693" s="0" t="str">
        <f aca="false">I3693&amp;"-Q"&amp;ROUNDUP(MONTH(B3693)/3,0)</f>
        <v>2015-Q4</v>
      </c>
    </row>
    <row r="3694" customFormat="false" ht="15" hidden="false" customHeight="false" outlineLevel="0" collapsed="false">
      <c r="A3694" s="0" t="s">
        <v>1904</v>
      </c>
      <c r="B3694" s="6" t="n">
        <v>42307</v>
      </c>
      <c r="C3694" s="7" t="s">
        <v>33</v>
      </c>
      <c r="D3694" s="7" t="s">
        <v>109</v>
      </c>
      <c r="E3694" s="7" t="s">
        <v>39</v>
      </c>
      <c r="F3694" s="0" t="n">
        <v>87.96</v>
      </c>
      <c r="G3694" s="0" t="n">
        <v>30.786</v>
      </c>
      <c r="H3694" s="0" t="n">
        <v>0.2</v>
      </c>
      <c r="I3694" s="7" t="n">
        <f aca="false">YEAR(B3694)</f>
        <v>2015</v>
      </c>
      <c r="J3694" s="0" t="str">
        <f aca="false">I3694&amp;"-Q"&amp;ROUNDUP(MONTH(B3694)/3,0)</f>
        <v>2015-Q4</v>
      </c>
    </row>
    <row r="3695" customFormat="false" ht="15" hidden="false" customHeight="false" outlineLevel="0" collapsed="false">
      <c r="A3695" s="0" t="s">
        <v>1904</v>
      </c>
      <c r="B3695" s="6" t="n">
        <v>42307</v>
      </c>
      <c r="C3695" s="7" t="s">
        <v>33</v>
      </c>
      <c r="D3695" s="7" t="s">
        <v>109</v>
      </c>
      <c r="E3695" s="7" t="s">
        <v>31</v>
      </c>
      <c r="F3695" s="0" t="n">
        <v>15.488</v>
      </c>
      <c r="G3695" s="0" t="n">
        <v>3.6784</v>
      </c>
      <c r="H3695" s="0" t="n">
        <v>0.2</v>
      </c>
      <c r="I3695" s="7" t="n">
        <f aca="false">YEAR(B3695)</f>
        <v>2015</v>
      </c>
      <c r="J3695" s="0" t="str">
        <f aca="false">I3695&amp;"-Q"&amp;ROUNDUP(MONTH(B3695)/3,0)</f>
        <v>2015-Q4</v>
      </c>
    </row>
    <row r="3696" customFormat="false" ht="15" hidden="false" customHeight="false" outlineLevel="0" collapsed="false">
      <c r="A3696" s="0" t="s">
        <v>1905</v>
      </c>
      <c r="B3696" s="6" t="n">
        <v>42658</v>
      </c>
      <c r="C3696" s="7" t="s">
        <v>29</v>
      </c>
      <c r="D3696" s="7" t="s">
        <v>83</v>
      </c>
      <c r="E3696" s="7" t="s">
        <v>35</v>
      </c>
      <c r="F3696" s="0" t="n">
        <v>232.96</v>
      </c>
      <c r="G3696" s="0" t="n">
        <v>116.48</v>
      </c>
      <c r="H3696" s="0" t="n">
        <v>0</v>
      </c>
      <c r="I3696" s="7" t="n">
        <f aca="false">YEAR(B3696)</f>
        <v>2016</v>
      </c>
      <c r="J3696" s="0" t="str">
        <f aca="false">I3696&amp;"-Q"&amp;ROUNDUP(MONTH(B3696)/3,0)</f>
        <v>2016-Q4</v>
      </c>
    </row>
    <row r="3697" customFormat="false" ht="15" hidden="false" customHeight="false" outlineLevel="0" collapsed="false">
      <c r="A3697" s="0" t="s">
        <v>1905</v>
      </c>
      <c r="B3697" s="6" t="n">
        <v>42658</v>
      </c>
      <c r="C3697" s="7" t="s">
        <v>29</v>
      </c>
      <c r="D3697" s="7" t="s">
        <v>83</v>
      </c>
      <c r="E3697" s="7" t="s">
        <v>35</v>
      </c>
      <c r="F3697" s="0" t="n">
        <v>66.54</v>
      </c>
      <c r="G3697" s="0" t="n">
        <v>32.6046</v>
      </c>
      <c r="H3697" s="0" t="n">
        <v>0</v>
      </c>
      <c r="I3697" s="7" t="n">
        <f aca="false">YEAR(B3697)</f>
        <v>2016</v>
      </c>
      <c r="J3697" s="0" t="str">
        <f aca="false">I3697&amp;"-Q"&amp;ROUNDUP(MONTH(B3697)/3,0)</f>
        <v>2016-Q4</v>
      </c>
    </row>
    <row r="3698" customFormat="false" ht="15" hidden="false" customHeight="false" outlineLevel="0" collapsed="false">
      <c r="A3698" s="0" t="s">
        <v>1905</v>
      </c>
      <c r="B3698" s="6" t="n">
        <v>42658</v>
      </c>
      <c r="C3698" s="7" t="s">
        <v>29</v>
      </c>
      <c r="D3698" s="7" t="s">
        <v>83</v>
      </c>
      <c r="E3698" s="7" t="s">
        <v>35</v>
      </c>
      <c r="F3698" s="0" t="n">
        <v>43.26</v>
      </c>
      <c r="G3698" s="0" t="n">
        <v>14.2758</v>
      </c>
      <c r="H3698" s="0" t="n">
        <v>0</v>
      </c>
      <c r="I3698" s="7" t="n">
        <f aca="false">YEAR(B3698)</f>
        <v>2016</v>
      </c>
      <c r="J3698" s="0" t="str">
        <f aca="false">I3698&amp;"-Q"&amp;ROUNDUP(MONTH(B3698)/3,0)</f>
        <v>2016-Q4</v>
      </c>
    </row>
    <row r="3699" customFormat="false" ht="15" hidden="false" customHeight="false" outlineLevel="0" collapsed="false">
      <c r="A3699" s="0" t="s">
        <v>1906</v>
      </c>
      <c r="B3699" s="6" t="n">
        <v>42327</v>
      </c>
      <c r="C3699" s="7" t="s">
        <v>33</v>
      </c>
      <c r="D3699" s="7" t="s">
        <v>43</v>
      </c>
      <c r="E3699" s="7" t="s">
        <v>31</v>
      </c>
      <c r="F3699" s="0" t="n">
        <v>141.96</v>
      </c>
      <c r="G3699" s="0" t="n">
        <v>22.7136</v>
      </c>
      <c r="H3699" s="0" t="n">
        <v>0</v>
      </c>
      <c r="I3699" s="7" t="n">
        <f aca="false">YEAR(B3699)</f>
        <v>2015</v>
      </c>
      <c r="J3699" s="0" t="str">
        <f aca="false">I3699&amp;"-Q"&amp;ROUNDUP(MONTH(B3699)/3,0)</f>
        <v>2015-Q4</v>
      </c>
    </row>
    <row r="3700" customFormat="false" ht="15" hidden="false" customHeight="false" outlineLevel="0" collapsed="false">
      <c r="A3700" s="0" t="s">
        <v>1907</v>
      </c>
      <c r="B3700" s="6" t="n">
        <v>41895</v>
      </c>
      <c r="C3700" s="7" t="s">
        <v>33</v>
      </c>
      <c r="D3700" s="7" t="s">
        <v>81</v>
      </c>
      <c r="E3700" s="7" t="s">
        <v>35</v>
      </c>
      <c r="F3700" s="0" t="n">
        <v>79.4</v>
      </c>
      <c r="G3700" s="0" t="n">
        <v>5.955</v>
      </c>
      <c r="H3700" s="0" t="n">
        <v>0.2</v>
      </c>
      <c r="I3700" s="7" t="n">
        <f aca="false">YEAR(B3700)</f>
        <v>2014</v>
      </c>
      <c r="J3700" s="0" t="str">
        <f aca="false">I3700&amp;"-Q"&amp;ROUNDUP(MONTH(B3700)/3,0)</f>
        <v>2014-Q3</v>
      </c>
    </row>
    <row r="3701" customFormat="false" ht="15" hidden="false" customHeight="false" outlineLevel="0" collapsed="false">
      <c r="A3701" s="0" t="s">
        <v>1908</v>
      </c>
      <c r="B3701" s="6" t="n">
        <v>43052</v>
      </c>
      <c r="C3701" s="7" t="s">
        <v>55</v>
      </c>
      <c r="D3701" s="7" t="s">
        <v>76</v>
      </c>
      <c r="E3701" s="7" t="s">
        <v>39</v>
      </c>
      <c r="F3701" s="0" t="n">
        <v>163.96</v>
      </c>
      <c r="G3701" s="0" t="n">
        <v>70.5028</v>
      </c>
      <c r="H3701" s="0" t="n">
        <v>0</v>
      </c>
      <c r="I3701" s="7" t="n">
        <f aca="false">YEAR(B3701)</f>
        <v>2017</v>
      </c>
      <c r="J3701" s="0" t="str">
        <f aca="false">I3701&amp;"-Q"&amp;ROUNDUP(MONTH(B3701)/3,0)</f>
        <v>2017-Q4</v>
      </c>
    </row>
    <row r="3702" customFormat="false" ht="15" hidden="false" customHeight="false" outlineLevel="0" collapsed="false">
      <c r="A3702" s="0" t="s">
        <v>1909</v>
      </c>
      <c r="B3702" s="6" t="n">
        <v>43093</v>
      </c>
      <c r="C3702" s="7" t="s">
        <v>55</v>
      </c>
      <c r="D3702" s="7" t="s">
        <v>76</v>
      </c>
      <c r="E3702" s="7" t="s">
        <v>31</v>
      </c>
      <c r="F3702" s="0" t="n">
        <v>37.93</v>
      </c>
      <c r="G3702" s="0" t="n">
        <v>6.8274</v>
      </c>
      <c r="H3702" s="0" t="n">
        <v>0</v>
      </c>
      <c r="I3702" s="7" t="n">
        <f aca="false">YEAR(B3702)</f>
        <v>2017</v>
      </c>
      <c r="J3702" s="0" t="str">
        <f aca="false">I3702&amp;"-Q"&amp;ROUNDUP(MONTH(B3702)/3,0)</f>
        <v>2017-Q4</v>
      </c>
    </row>
    <row r="3703" customFormat="false" ht="15" hidden="false" customHeight="false" outlineLevel="0" collapsed="false">
      <c r="A3703" s="0" t="s">
        <v>1910</v>
      </c>
      <c r="B3703" s="6" t="n">
        <v>42378</v>
      </c>
      <c r="C3703" s="7" t="s">
        <v>55</v>
      </c>
      <c r="D3703" s="7" t="s">
        <v>116</v>
      </c>
      <c r="E3703" s="7" t="s">
        <v>31</v>
      </c>
      <c r="F3703" s="0" t="n">
        <v>15.168</v>
      </c>
      <c r="G3703" s="0" t="n">
        <v>3.792</v>
      </c>
      <c r="H3703" s="0" t="n">
        <v>0.2</v>
      </c>
      <c r="I3703" s="7" t="n">
        <f aca="false">YEAR(B3703)</f>
        <v>2016</v>
      </c>
      <c r="J3703" s="0" t="str">
        <f aca="false">I3703&amp;"-Q"&amp;ROUNDUP(MONTH(B3703)/3,0)</f>
        <v>2016-Q1</v>
      </c>
    </row>
    <row r="3704" customFormat="false" ht="15" hidden="false" customHeight="false" outlineLevel="0" collapsed="false">
      <c r="A3704" s="0" t="s">
        <v>1911</v>
      </c>
      <c r="B3704" s="6" t="n">
        <v>42168</v>
      </c>
      <c r="C3704" s="7" t="s">
        <v>29</v>
      </c>
      <c r="D3704" s="7" t="s">
        <v>91</v>
      </c>
      <c r="E3704" s="7" t="s">
        <v>35</v>
      </c>
      <c r="F3704" s="0" t="n">
        <v>24.78</v>
      </c>
      <c r="G3704" s="0" t="n">
        <v>6.9384</v>
      </c>
      <c r="H3704" s="0" t="n">
        <v>0</v>
      </c>
      <c r="I3704" s="7" t="n">
        <f aca="false">YEAR(B3704)</f>
        <v>2015</v>
      </c>
      <c r="J3704" s="0" t="str">
        <f aca="false">I3704&amp;"-Q"&amp;ROUNDUP(MONTH(B3704)/3,0)</f>
        <v>2015-Q2</v>
      </c>
    </row>
    <row r="3705" customFormat="false" ht="15" hidden="false" customHeight="false" outlineLevel="0" collapsed="false">
      <c r="A3705" s="0" t="s">
        <v>1911</v>
      </c>
      <c r="B3705" s="6" t="n">
        <v>42168</v>
      </c>
      <c r="C3705" s="7" t="s">
        <v>29</v>
      </c>
      <c r="D3705" s="7" t="s">
        <v>91</v>
      </c>
      <c r="E3705" s="7" t="s">
        <v>35</v>
      </c>
      <c r="F3705" s="0" t="n">
        <v>19.14</v>
      </c>
      <c r="G3705" s="0" t="n">
        <v>8.8044</v>
      </c>
      <c r="H3705" s="0" t="n">
        <v>0</v>
      </c>
      <c r="I3705" s="7" t="n">
        <f aca="false">YEAR(B3705)</f>
        <v>2015</v>
      </c>
      <c r="J3705" s="0" t="str">
        <f aca="false">I3705&amp;"-Q"&amp;ROUNDUP(MONTH(B3705)/3,0)</f>
        <v>2015-Q2</v>
      </c>
    </row>
    <row r="3706" customFormat="false" ht="15" hidden="false" customHeight="false" outlineLevel="0" collapsed="false">
      <c r="A3706" s="0" t="s">
        <v>1911</v>
      </c>
      <c r="B3706" s="6" t="n">
        <v>42168</v>
      </c>
      <c r="C3706" s="7" t="s">
        <v>29</v>
      </c>
      <c r="D3706" s="7" t="s">
        <v>91</v>
      </c>
      <c r="E3706" s="7" t="s">
        <v>39</v>
      </c>
      <c r="F3706" s="0" t="n">
        <v>899.97</v>
      </c>
      <c r="G3706" s="0" t="n">
        <v>314.9895</v>
      </c>
      <c r="H3706" s="0" t="n">
        <v>0</v>
      </c>
      <c r="I3706" s="7" t="n">
        <f aca="false">YEAR(B3706)</f>
        <v>2015</v>
      </c>
      <c r="J3706" s="0" t="str">
        <f aca="false">I3706&amp;"-Q"&amp;ROUNDUP(MONTH(B3706)/3,0)</f>
        <v>2015-Q2</v>
      </c>
    </row>
    <row r="3707" customFormat="false" ht="15" hidden="false" customHeight="false" outlineLevel="0" collapsed="false">
      <c r="A3707" s="0" t="s">
        <v>1911</v>
      </c>
      <c r="B3707" s="6" t="n">
        <v>42168</v>
      </c>
      <c r="C3707" s="7" t="s">
        <v>29</v>
      </c>
      <c r="D3707" s="7" t="s">
        <v>91</v>
      </c>
      <c r="E3707" s="7" t="s">
        <v>35</v>
      </c>
      <c r="F3707" s="0" t="n">
        <v>32.4</v>
      </c>
      <c r="G3707" s="0" t="n">
        <v>15.552</v>
      </c>
      <c r="H3707" s="0" t="n">
        <v>0</v>
      </c>
      <c r="I3707" s="7" t="n">
        <f aca="false">YEAR(B3707)</f>
        <v>2015</v>
      </c>
      <c r="J3707" s="0" t="str">
        <f aca="false">I3707&amp;"-Q"&amp;ROUNDUP(MONTH(B3707)/3,0)</f>
        <v>2015-Q2</v>
      </c>
    </row>
    <row r="3708" customFormat="false" ht="15" hidden="false" customHeight="false" outlineLevel="0" collapsed="false">
      <c r="A3708" s="0" t="s">
        <v>1912</v>
      </c>
      <c r="B3708" s="6" t="n">
        <v>42812</v>
      </c>
      <c r="C3708" s="7" t="s">
        <v>45</v>
      </c>
      <c r="D3708" s="7" t="s">
        <v>46</v>
      </c>
      <c r="E3708" s="7" t="s">
        <v>35</v>
      </c>
      <c r="F3708" s="0" t="n">
        <v>23.832</v>
      </c>
      <c r="G3708" s="0" t="n">
        <v>6.5538</v>
      </c>
      <c r="H3708" s="0" t="n">
        <v>0.2</v>
      </c>
      <c r="I3708" s="7" t="n">
        <f aca="false">YEAR(B3708)</f>
        <v>2017</v>
      </c>
      <c r="J3708" s="0" t="str">
        <f aca="false">I3708&amp;"-Q"&amp;ROUNDUP(MONTH(B3708)/3,0)</f>
        <v>2017-Q1</v>
      </c>
    </row>
    <row r="3709" customFormat="false" ht="15" hidden="false" customHeight="false" outlineLevel="0" collapsed="false">
      <c r="A3709" s="0" t="s">
        <v>1913</v>
      </c>
      <c r="B3709" s="6" t="n">
        <v>41966</v>
      </c>
      <c r="C3709" s="7" t="s">
        <v>45</v>
      </c>
      <c r="D3709" s="7" t="s">
        <v>46</v>
      </c>
      <c r="E3709" s="7" t="s">
        <v>31</v>
      </c>
      <c r="F3709" s="0" t="n">
        <v>6.368</v>
      </c>
      <c r="G3709" s="0" t="n">
        <v>-2.5472</v>
      </c>
      <c r="H3709" s="0" t="n">
        <v>0.6</v>
      </c>
      <c r="I3709" s="7" t="n">
        <f aca="false">YEAR(B3709)</f>
        <v>2014</v>
      </c>
      <c r="J3709" s="0" t="str">
        <f aca="false">I3709&amp;"-Q"&amp;ROUNDUP(MONTH(B3709)/3,0)</f>
        <v>2014-Q4</v>
      </c>
    </row>
    <row r="3710" customFormat="false" ht="15" hidden="false" customHeight="false" outlineLevel="0" collapsed="false">
      <c r="A3710" s="0" t="s">
        <v>1913</v>
      </c>
      <c r="B3710" s="6" t="n">
        <v>41966</v>
      </c>
      <c r="C3710" s="7" t="s">
        <v>45</v>
      </c>
      <c r="D3710" s="7" t="s">
        <v>46</v>
      </c>
      <c r="E3710" s="7" t="s">
        <v>35</v>
      </c>
      <c r="F3710" s="0" t="n">
        <v>34.176</v>
      </c>
      <c r="G3710" s="0" t="n">
        <v>-87.1488</v>
      </c>
      <c r="H3710" s="0" t="n">
        <v>0.8</v>
      </c>
      <c r="I3710" s="7" t="n">
        <f aca="false">YEAR(B3710)</f>
        <v>2014</v>
      </c>
      <c r="J3710" s="0" t="str">
        <f aca="false">I3710&amp;"-Q"&amp;ROUNDUP(MONTH(B3710)/3,0)</f>
        <v>2014-Q4</v>
      </c>
    </row>
    <row r="3711" customFormat="false" ht="15" hidden="false" customHeight="false" outlineLevel="0" collapsed="false">
      <c r="A3711" s="0" t="s">
        <v>1913</v>
      </c>
      <c r="B3711" s="6" t="n">
        <v>41966</v>
      </c>
      <c r="C3711" s="7" t="s">
        <v>45</v>
      </c>
      <c r="D3711" s="7" t="s">
        <v>46</v>
      </c>
      <c r="E3711" s="7" t="s">
        <v>39</v>
      </c>
      <c r="F3711" s="0" t="n">
        <v>5.544</v>
      </c>
      <c r="G3711" s="0" t="n">
        <v>1.6632</v>
      </c>
      <c r="H3711" s="0" t="n">
        <v>0.2</v>
      </c>
      <c r="I3711" s="7" t="n">
        <f aca="false">YEAR(B3711)</f>
        <v>2014</v>
      </c>
      <c r="J3711" s="0" t="str">
        <f aca="false">I3711&amp;"-Q"&amp;ROUNDUP(MONTH(B3711)/3,0)</f>
        <v>2014-Q4</v>
      </c>
    </row>
    <row r="3712" customFormat="false" ht="15" hidden="false" customHeight="false" outlineLevel="0" collapsed="false">
      <c r="A3712" s="0" t="s">
        <v>1914</v>
      </c>
      <c r="B3712" s="6" t="n">
        <v>43023</v>
      </c>
      <c r="C3712" s="7" t="s">
        <v>33</v>
      </c>
      <c r="D3712" s="7" t="s">
        <v>34</v>
      </c>
      <c r="E3712" s="7" t="s">
        <v>31</v>
      </c>
      <c r="F3712" s="0" t="n">
        <v>510.24</v>
      </c>
      <c r="G3712" s="0" t="n">
        <v>6.378</v>
      </c>
      <c r="H3712" s="0" t="n">
        <v>0.2</v>
      </c>
      <c r="I3712" s="7" t="n">
        <f aca="false">YEAR(B3712)</f>
        <v>2017</v>
      </c>
      <c r="J3712" s="0" t="str">
        <f aca="false">I3712&amp;"-Q"&amp;ROUNDUP(MONTH(B3712)/3,0)</f>
        <v>2017-Q4</v>
      </c>
    </row>
    <row r="3713" customFormat="false" ht="15" hidden="false" customHeight="false" outlineLevel="0" collapsed="false">
      <c r="A3713" s="0" t="s">
        <v>1914</v>
      </c>
      <c r="B3713" s="6" t="n">
        <v>43023</v>
      </c>
      <c r="C3713" s="7" t="s">
        <v>33</v>
      </c>
      <c r="D3713" s="7" t="s">
        <v>34</v>
      </c>
      <c r="E3713" s="7" t="s">
        <v>35</v>
      </c>
      <c r="F3713" s="0" t="n">
        <v>204.95</v>
      </c>
      <c r="G3713" s="0" t="n">
        <v>100.4255</v>
      </c>
      <c r="H3713" s="0" t="n">
        <v>0</v>
      </c>
      <c r="I3713" s="7" t="n">
        <f aca="false">YEAR(B3713)</f>
        <v>2017</v>
      </c>
      <c r="J3713" s="0" t="str">
        <f aca="false">I3713&amp;"-Q"&amp;ROUNDUP(MONTH(B3713)/3,0)</f>
        <v>2017-Q4</v>
      </c>
    </row>
    <row r="3714" customFormat="false" ht="15" hidden="false" customHeight="false" outlineLevel="0" collapsed="false">
      <c r="A3714" s="0" t="s">
        <v>1915</v>
      </c>
      <c r="B3714" s="6" t="n">
        <v>42846</v>
      </c>
      <c r="C3714" s="7" t="s">
        <v>33</v>
      </c>
      <c r="D3714" s="7" t="s">
        <v>43</v>
      </c>
      <c r="E3714" s="7" t="s">
        <v>39</v>
      </c>
      <c r="F3714" s="0" t="n">
        <v>11.54</v>
      </c>
      <c r="G3714" s="0" t="n">
        <v>3.462</v>
      </c>
      <c r="H3714" s="0" t="n">
        <v>0</v>
      </c>
      <c r="I3714" s="7" t="n">
        <f aca="false">YEAR(B3714)</f>
        <v>2017</v>
      </c>
      <c r="J3714" s="0" t="str">
        <f aca="false">I3714&amp;"-Q"&amp;ROUNDUP(MONTH(B3714)/3,0)</f>
        <v>2017-Q2</v>
      </c>
    </row>
    <row r="3715" customFormat="false" ht="15" hidden="false" customHeight="false" outlineLevel="0" collapsed="false">
      <c r="A3715" s="0" t="s">
        <v>1915</v>
      </c>
      <c r="B3715" s="6" t="n">
        <v>42846</v>
      </c>
      <c r="C3715" s="7" t="s">
        <v>33</v>
      </c>
      <c r="D3715" s="7" t="s">
        <v>43</v>
      </c>
      <c r="E3715" s="7" t="s">
        <v>31</v>
      </c>
      <c r="F3715" s="0" t="n">
        <v>162.6</v>
      </c>
      <c r="G3715" s="0" t="n">
        <v>34.146</v>
      </c>
      <c r="H3715" s="0" t="n">
        <v>0</v>
      </c>
      <c r="I3715" s="7" t="n">
        <f aca="false">YEAR(B3715)</f>
        <v>2017</v>
      </c>
      <c r="J3715" s="0" t="str">
        <f aca="false">I3715&amp;"-Q"&amp;ROUNDUP(MONTH(B3715)/3,0)</f>
        <v>2017-Q2</v>
      </c>
    </row>
    <row r="3716" customFormat="false" ht="15" hidden="false" customHeight="false" outlineLevel="0" collapsed="false">
      <c r="A3716" s="0" t="s">
        <v>1916</v>
      </c>
      <c r="B3716" s="6" t="n">
        <v>41981</v>
      </c>
      <c r="C3716" s="7" t="s">
        <v>33</v>
      </c>
      <c r="D3716" s="7" t="s">
        <v>43</v>
      </c>
      <c r="E3716" s="7" t="s">
        <v>35</v>
      </c>
      <c r="F3716" s="0" t="n">
        <v>45.68</v>
      </c>
      <c r="G3716" s="0" t="n">
        <v>21.0128</v>
      </c>
      <c r="H3716" s="0" t="n">
        <v>0</v>
      </c>
      <c r="I3716" s="7" t="n">
        <f aca="false">YEAR(B3716)</f>
        <v>2014</v>
      </c>
      <c r="J3716" s="0" t="str">
        <f aca="false">I3716&amp;"-Q"&amp;ROUNDUP(MONTH(B3716)/3,0)</f>
        <v>2014-Q4</v>
      </c>
    </row>
    <row r="3717" customFormat="false" ht="15" hidden="false" customHeight="false" outlineLevel="0" collapsed="false">
      <c r="A3717" s="0" t="s">
        <v>1916</v>
      </c>
      <c r="B3717" s="6" t="n">
        <v>41981</v>
      </c>
      <c r="C3717" s="7" t="s">
        <v>33</v>
      </c>
      <c r="D3717" s="7" t="s">
        <v>43</v>
      </c>
      <c r="E3717" s="7" t="s">
        <v>31</v>
      </c>
      <c r="F3717" s="0" t="n">
        <v>603.92</v>
      </c>
      <c r="G3717" s="0" t="n">
        <v>45.294</v>
      </c>
      <c r="H3717" s="0" t="n">
        <v>0.2</v>
      </c>
      <c r="I3717" s="7" t="n">
        <f aca="false">YEAR(B3717)</f>
        <v>2014</v>
      </c>
      <c r="J3717" s="0" t="str">
        <f aca="false">I3717&amp;"-Q"&amp;ROUNDUP(MONTH(B3717)/3,0)</f>
        <v>2014-Q4</v>
      </c>
    </row>
    <row r="3718" customFormat="false" ht="15" hidden="false" customHeight="false" outlineLevel="0" collapsed="false">
      <c r="A3718" s="0" t="s">
        <v>1917</v>
      </c>
      <c r="B3718" s="6" t="n">
        <v>42884</v>
      </c>
      <c r="C3718" s="7" t="s">
        <v>45</v>
      </c>
      <c r="D3718" s="7" t="s">
        <v>53</v>
      </c>
      <c r="E3718" s="7" t="s">
        <v>35</v>
      </c>
      <c r="F3718" s="0" t="n">
        <v>23.55</v>
      </c>
      <c r="G3718" s="0" t="n">
        <v>1.1775</v>
      </c>
      <c r="H3718" s="0" t="n">
        <v>0</v>
      </c>
      <c r="I3718" s="7" t="n">
        <f aca="false">YEAR(B3718)</f>
        <v>2017</v>
      </c>
      <c r="J3718" s="0" t="str">
        <f aca="false">I3718&amp;"-Q"&amp;ROUNDUP(MONTH(B3718)/3,0)</f>
        <v>2017-Q2</v>
      </c>
    </row>
    <row r="3719" customFormat="false" ht="15" hidden="false" customHeight="false" outlineLevel="0" collapsed="false">
      <c r="A3719" s="0" t="s">
        <v>1918</v>
      </c>
      <c r="B3719" s="6" t="n">
        <v>42632</v>
      </c>
      <c r="C3719" s="7" t="s">
        <v>29</v>
      </c>
      <c r="D3719" s="7" t="s">
        <v>230</v>
      </c>
      <c r="E3719" s="7" t="s">
        <v>35</v>
      </c>
      <c r="F3719" s="0" t="n">
        <v>5.04</v>
      </c>
      <c r="G3719" s="0" t="n">
        <v>0.1512</v>
      </c>
      <c r="H3719" s="0" t="n">
        <v>0</v>
      </c>
      <c r="I3719" s="7" t="n">
        <f aca="false">YEAR(B3719)</f>
        <v>2016</v>
      </c>
      <c r="J3719" s="0" t="str">
        <f aca="false">I3719&amp;"-Q"&amp;ROUNDUP(MONTH(B3719)/3,0)</f>
        <v>2016-Q3</v>
      </c>
    </row>
    <row r="3720" customFormat="false" ht="15" hidden="false" customHeight="false" outlineLevel="0" collapsed="false">
      <c r="A3720" s="0" t="s">
        <v>1918</v>
      </c>
      <c r="B3720" s="6" t="n">
        <v>42632</v>
      </c>
      <c r="C3720" s="7" t="s">
        <v>29</v>
      </c>
      <c r="D3720" s="7" t="s">
        <v>230</v>
      </c>
      <c r="E3720" s="7" t="s">
        <v>39</v>
      </c>
      <c r="F3720" s="0" t="n">
        <v>249.95</v>
      </c>
      <c r="G3720" s="0" t="n">
        <v>107.4785</v>
      </c>
      <c r="H3720" s="0" t="n">
        <v>0</v>
      </c>
      <c r="I3720" s="7" t="n">
        <f aca="false">YEAR(B3720)</f>
        <v>2016</v>
      </c>
      <c r="J3720" s="0" t="str">
        <f aca="false">I3720&amp;"-Q"&amp;ROUNDUP(MONTH(B3720)/3,0)</f>
        <v>2016-Q3</v>
      </c>
    </row>
    <row r="3721" customFormat="false" ht="15" hidden="false" customHeight="false" outlineLevel="0" collapsed="false">
      <c r="A3721" s="0" t="s">
        <v>1919</v>
      </c>
      <c r="B3721" s="6" t="n">
        <v>42630</v>
      </c>
      <c r="C3721" s="7" t="s">
        <v>45</v>
      </c>
      <c r="D3721" s="7" t="s">
        <v>74</v>
      </c>
      <c r="E3721" s="7" t="s">
        <v>35</v>
      </c>
      <c r="F3721" s="0" t="n">
        <v>33.4</v>
      </c>
      <c r="G3721" s="0" t="n">
        <v>12.358</v>
      </c>
      <c r="H3721" s="0" t="n">
        <v>0</v>
      </c>
      <c r="I3721" s="7" t="n">
        <f aca="false">YEAR(B3721)</f>
        <v>2016</v>
      </c>
      <c r="J3721" s="0" t="str">
        <f aca="false">I3721&amp;"-Q"&amp;ROUNDUP(MONTH(B3721)/3,0)</f>
        <v>2016-Q3</v>
      </c>
    </row>
    <row r="3722" customFormat="false" ht="15" hidden="false" customHeight="false" outlineLevel="0" collapsed="false">
      <c r="A3722" s="0" t="s">
        <v>1920</v>
      </c>
      <c r="B3722" s="6" t="n">
        <v>42724</v>
      </c>
      <c r="C3722" s="7" t="s">
        <v>29</v>
      </c>
      <c r="D3722" s="7" t="s">
        <v>265</v>
      </c>
      <c r="E3722" s="7" t="s">
        <v>31</v>
      </c>
      <c r="F3722" s="0" t="n">
        <v>18.92</v>
      </c>
      <c r="G3722" s="0" t="n">
        <v>7.3788</v>
      </c>
      <c r="H3722" s="0" t="n">
        <v>0</v>
      </c>
      <c r="I3722" s="7" t="n">
        <f aca="false">YEAR(B3722)</f>
        <v>2016</v>
      </c>
      <c r="J3722" s="0" t="str">
        <f aca="false">I3722&amp;"-Q"&amp;ROUNDUP(MONTH(B3722)/3,0)</f>
        <v>2016-Q4</v>
      </c>
    </row>
    <row r="3723" customFormat="false" ht="15" hidden="false" customHeight="false" outlineLevel="0" collapsed="false">
      <c r="A3723" s="0" t="s">
        <v>1920</v>
      </c>
      <c r="B3723" s="6" t="n">
        <v>42724</v>
      </c>
      <c r="C3723" s="7" t="s">
        <v>29</v>
      </c>
      <c r="D3723" s="7" t="s">
        <v>265</v>
      </c>
      <c r="E3723" s="7" t="s">
        <v>35</v>
      </c>
      <c r="F3723" s="0" t="n">
        <v>15.42</v>
      </c>
      <c r="G3723" s="0" t="n">
        <v>6.939</v>
      </c>
      <c r="H3723" s="0" t="n">
        <v>0</v>
      </c>
      <c r="I3723" s="7" t="n">
        <f aca="false">YEAR(B3723)</f>
        <v>2016</v>
      </c>
      <c r="J3723" s="0" t="str">
        <f aca="false">I3723&amp;"-Q"&amp;ROUNDUP(MONTH(B3723)/3,0)</f>
        <v>2016-Q4</v>
      </c>
    </row>
    <row r="3724" customFormat="false" ht="15" hidden="false" customHeight="false" outlineLevel="0" collapsed="false">
      <c r="A3724" s="0" t="s">
        <v>1921</v>
      </c>
      <c r="B3724" s="6" t="n">
        <v>43061</v>
      </c>
      <c r="C3724" s="7" t="s">
        <v>45</v>
      </c>
      <c r="D3724" s="7" t="s">
        <v>46</v>
      </c>
      <c r="E3724" s="7" t="s">
        <v>35</v>
      </c>
      <c r="F3724" s="0" t="n">
        <v>35.712</v>
      </c>
      <c r="G3724" s="0" t="n">
        <v>2.232</v>
      </c>
      <c r="H3724" s="0" t="n">
        <v>0.2</v>
      </c>
      <c r="I3724" s="7" t="n">
        <f aca="false">YEAR(B3724)</f>
        <v>2017</v>
      </c>
      <c r="J3724" s="0" t="str">
        <f aca="false">I3724&amp;"-Q"&amp;ROUNDUP(MONTH(B3724)/3,0)</f>
        <v>2017-Q4</v>
      </c>
    </row>
    <row r="3725" customFormat="false" ht="15" hidden="false" customHeight="false" outlineLevel="0" collapsed="false">
      <c r="A3725" s="0" t="s">
        <v>1922</v>
      </c>
      <c r="B3725" s="6" t="n">
        <v>42003</v>
      </c>
      <c r="C3725" s="7" t="s">
        <v>33</v>
      </c>
      <c r="D3725" s="7" t="s">
        <v>81</v>
      </c>
      <c r="E3725" s="7" t="s">
        <v>35</v>
      </c>
      <c r="F3725" s="0" t="n">
        <v>551.985</v>
      </c>
      <c r="G3725" s="0" t="n">
        <v>-459.9875</v>
      </c>
      <c r="H3725" s="0" t="n">
        <v>0.7</v>
      </c>
      <c r="I3725" s="7" t="n">
        <f aca="false">YEAR(B3725)</f>
        <v>2014</v>
      </c>
      <c r="J3725" s="0" t="str">
        <f aca="false">I3725&amp;"-Q"&amp;ROUNDUP(MONTH(B3725)/3,0)</f>
        <v>2014-Q4</v>
      </c>
    </row>
    <row r="3726" customFormat="false" ht="15" hidden="false" customHeight="false" outlineLevel="0" collapsed="false">
      <c r="A3726" s="0" t="s">
        <v>1923</v>
      </c>
      <c r="B3726" s="6" t="n">
        <v>42828</v>
      </c>
      <c r="C3726" s="7" t="s">
        <v>45</v>
      </c>
      <c r="D3726" s="7" t="s">
        <v>64</v>
      </c>
      <c r="E3726" s="7" t="s">
        <v>35</v>
      </c>
      <c r="F3726" s="0" t="n">
        <v>7.056</v>
      </c>
      <c r="G3726" s="0" t="n">
        <v>2.205</v>
      </c>
      <c r="H3726" s="0" t="n">
        <v>0.2</v>
      </c>
      <c r="I3726" s="7" t="n">
        <f aca="false">YEAR(B3726)</f>
        <v>2017</v>
      </c>
      <c r="J3726" s="0" t="str">
        <f aca="false">I3726&amp;"-Q"&amp;ROUNDUP(MONTH(B3726)/3,0)</f>
        <v>2017-Q2</v>
      </c>
    </row>
    <row r="3727" customFormat="false" ht="15" hidden="false" customHeight="false" outlineLevel="0" collapsed="false">
      <c r="A3727" s="0" t="s">
        <v>1924</v>
      </c>
      <c r="B3727" s="6" t="n">
        <v>42730</v>
      </c>
      <c r="C3727" s="7" t="s">
        <v>33</v>
      </c>
      <c r="D3727" s="7" t="s">
        <v>109</v>
      </c>
      <c r="E3727" s="7" t="s">
        <v>35</v>
      </c>
      <c r="F3727" s="0" t="n">
        <v>18.72</v>
      </c>
      <c r="G3727" s="0" t="n">
        <v>3.51</v>
      </c>
      <c r="H3727" s="0" t="n">
        <v>0.2</v>
      </c>
      <c r="I3727" s="7" t="n">
        <f aca="false">YEAR(B3727)</f>
        <v>2016</v>
      </c>
      <c r="J3727" s="0" t="str">
        <f aca="false">I3727&amp;"-Q"&amp;ROUNDUP(MONTH(B3727)/3,0)</f>
        <v>2016-Q4</v>
      </c>
    </row>
    <row r="3728" customFormat="false" ht="15" hidden="false" customHeight="false" outlineLevel="0" collapsed="false">
      <c r="A3728" s="0" t="s">
        <v>1925</v>
      </c>
      <c r="B3728" s="6" t="n">
        <v>42526</v>
      </c>
      <c r="C3728" s="7" t="s">
        <v>55</v>
      </c>
      <c r="D3728" s="7" t="s">
        <v>72</v>
      </c>
      <c r="E3728" s="7" t="s">
        <v>35</v>
      </c>
      <c r="F3728" s="0" t="n">
        <v>360.38</v>
      </c>
      <c r="G3728" s="0" t="n">
        <v>93.6988</v>
      </c>
      <c r="H3728" s="0" t="n">
        <v>0</v>
      </c>
      <c r="I3728" s="7" t="n">
        <f aca="false">YEAR(B3728)</f>
        <v>2016</v>
      </c>
      <c r="J3728" s="0" t="str">
        <f aca="false">I3728&amp;"-Q"&amp;ROUNDUP(MONTH(B3728)/3,0)</f>
        <v>2016-Q2</v>
      </c>
    </row>
    <row r="3729" customFormat="false" ht="15" hidden="false" customHeight="false" outlineLevel="0" collapsed="false">
      <c r="A3729" s="0" t="s">
        <v>1925</v>
      </c>
      <c r="B3729" s="6" t="n">
        <v>42526</v>
      </c>
      <c r="C3729" s="7" t="s">
        <v>55</v>
      </c>
      <c r="D3729" s="7" t="s">
        <v>72</v>
      </c>
      <c r="E3729" s="7" t="s">
        <v>35</v>
      </c>
      <c r="F3729" s="0" t="n">
        <v>11.16</v>
      </c>
      <c r="G3729" s="0" t="n">
        <v>2.79</v>
      </c>
      <c r="H3729" s="0" t="n">
        <v>0</v>
      </c>
      <c r="I3729" s="7" t="n">
        <f aca="false">YEAR(B3729)</f>
        <v>2016</v>
      </c>
      <c r="J3729" s="0" t="str">
        <f aca="false">I3729&amp;"-Q"&amp;ROUNDUP(MONTH(B3729)/3,0)</f>
        <v>2016-Q2</v>
      </c>
    </row>
    <row r="3730" customFormat="false" ht="15" hidden="false" customHeight="false" outlineLevel="0" collapsed="false">
      <c r="A3730" s="0" t="s">
        <v>1925</v>
      </c>
      <c r="B3730" s="6" t="n">
        <v>42526</v>
      </c>
      <c r="C3730" s="7" t="s">
        <v>55</v>
      </c>
      <c r="D3730" s="7" t="s">
        <v>72</v>
      </c>
      <c r="E3730" s="7" t="s">
        <v>35</v>
      </c>
      <c r="F3730" s="0" t="n">
        <v>14.94</v>
      </c>
      <c r="G3730" s="0" t="n">
        <v>6.8724</v>
      </c>
      <c r="H3730" s="0" t="n">
        <v>0</v>
      </c>
      <c r="I3730" s="7" t="n">
        <f aca="false">YEAR(B3730)</f>
        <v>2016</v>
      </c>
      <c r="J3730" s="0" t="str">
        <f aca="false">I3730&amp;"-Q"&amp;ROUNDUP(MONTH(B3730)/3,0)</f>
        <v>2016-Q2</v>
      </c>
    </row>
    <row r="3731" customFormat="false" ht="15" hidden="false" customHeight="false" outlineLevel="0" collapsed="false">
      <c r="A3731" s="0" t="s">
        <v>1926</v>
      </c>
      <c r="B3731" s="6" t="n">
        <v>42265</v>
      </c>
      <c r="C3731" s="7" t="s">
        <v>55</v>
      </c>
      <c r="D3731" s="7" t="s">
        <v>495</v>
      </c>
      <c r="E3731" s="7" t="s">
        <v>35</v>
      </c>
      <c r="F3731" s="0" t="n">
        <v>41.96</v>
      </c>
      <c r="G3731" s="0" t="n">
        <v>7.9724</v>
      </c>
      <c r="H3731" s="0" t="n">
        <v>0</v>
      </c>
      <c r="I3731" s="7" t="n">
        <f aca="false">YEAR(B3731)</f>
        <v>2015</v>
      </c>
      <c r="J3731" s="0" t="str">
        <f aca="false">I3731&amp;"-Q"&amp;ROUNDUP(MONTH(B3731)/3,0)</f>
        <v>2015-Q3</v>
      </c>
    </row>
    <row r="3732" customFormat="false" ht="15" hidden="false" customHeight="false" outlineLevel="0" collapsed="false">
      <c r="A3732" s="0" t="s">
        <v>1926</v>
      </c>
      <c r="B3732" s="6" t="n">
        <v>42265</v>
      </c>
      <c r="C3732" s="7" t="s">
        <v>55</v>
      </c>
      <c r="D3732" s="7" t="s">
        <v>495</v>
      </c>
      <c r="E3732" s="7" t="s">
        <v>35</v>
      </c>
      <c r="F3732" s="0" t="n">
        <v>636.86</v>
      </c>
      <c r="G3732" s="0" t="n">
        <v>0</v>
      </c>
      <c r="H3732" s="0" t="n">
        <v>0</v>
      </c>
      <c r="I3732" s="7" t="n">
        <f aca="false">YEAR(B3732)</f>
        <v>2015</v>
      </c>
      <c r="J3732" s="0" t="str">
        <f aca="false">I3732&amp;"-Q"&amp;ROUNDUP(MONTH(B3732)/3,0)</f>
        <v>2015-Q3</v>
      </c>
    </row>
    <row r="3733" customFormat="false" ht="15" hidden="false" customHeight="false" outlineLevel="0" collapsed="false">
      <c r="A3733" s="0" t="s">
        <v>1926</v>
      </c>
      <c r="B3733" s="6" t="n">
        <v>42265</v>
      </c>
      <c r="C3733" s="7" t="s">
        <v>55</v>
      </c>
      <c r="D3733" s="7" t="s">
        <v>495</v>
      </c>
      <c r="E3733" s="7" t="s">
        <v>39</v>
      </c>
      <c r="F3733" s="0" t="n">
        <v>499.99</v>
      </c>
      <c r="G3733" s="0" t="n">
        <v>129.9974</v>
      </c>
      <c r="H3733" s="0" t="n">
        <v>0</v>
      </c>
      <c r="I3733" s="7" t="n">
        <f aca="false">YEAR(B3733)</f>
        <v>2015</v>
      </c>
      <c r="J3733" s="0" t="str">
        <f aca="false">I3733&amp;"-Q"&amp;ROUNDUP(MONTH(B3733)/3,0)</f>
        <v>2015-Q3</v>
      </c>
    </row>
    <row r="3734" customFormat="false" ht="15" hidden="false" customHeight="false" outlineLevel="0" collapsed="false">
      <c r="A3734" s="0" t="s">
        <v>1926</v>
      </c>
      <c r="B3734" s="6" t="n">
        <v>42265</v>
      </c>
      <c r="C3734" s="7" t="s">
        <v>55</v>
      </c>
      <c r="D3734" s="7" t="s">
        <v>495</v>
      </c>
      <c r="E3734" s="7" t="s">
        <v>39</v>
      </c>
      <c r="F3734" s="0" t="n">
        <v>1259.93</v>
      </c>
      <c r="G3734" s="0" t="n">
        <v>327.5818</v>
      </c>
      <c r="H3734" s="0" t="n">
        <v>0</v>
      </c>
      <c r="I3734" s="7" t="n">
        <f aca="false">YEAR(B3734)</f>
        <v>2015</v>
      </c>
      <c r="J3734" s="0" t="str">
        <f aca="false">I3734&amp;"-Q"&amp;ROUNDUP(MONTH(B3734)/3,0)</f>
        <v>2015-Q3</v>
      </c>
    </row>
    <row r="3735" customFormat="false" ht="15" hidden="false" customHeight="false" outlineLevel="0" collapsed="false">
      <c r="A3735" s="0" t="s">
        <v>1926</v>
      </c>
      <c r="B3735" s="6" t="n">
        <v>42265</v>
      </c>
      <c r="C3735" s="7" t="s">
        <v>55</v>
      </c>
      <c r="D3735" s="7" t="s">
        <v>495</v>
      </c>
      <c r="E3735" s="7" t="s">
        <v>35</v>
      </c>
      <c r="F3735" s="0" t="n">
        <v>65.08</v>
      </c>
      <c r="G3735" s="0" t="n">
        <v>31.8892</v>
      </c>
      <c r="H3735" s="0" t="n">
        <v>0</v>
      </c>
      <c r="I3735" s="7" t="n">
        <f aca="false">YEAR(B3735)</f>
        <v>2015</v>
      </c>
      <c r="J3735" s="0" t="str">
        <f aca="false">I3735&amp;"-Q"&amp;ROUNDUP(MONTH(B3735)/3,0)</f>
        <v>2015-Q3</v>
      </c>
    </row>
    <row r="3736" customFormat="false" ht="15" hidden="false" customHeight="false" outlineLevel="0" collapsed="false">
      <c r="A3736" s="0" t="s">
        <v>1927</v>
      </c>
      <c r="B3736" s="6" t="n">
        <v>42800</v>
      </c>
      <c r="C3736" s="7" t="s">
        <v>55</v>
      </c>
      <c r="D3736" s="7" t="s">
        <v>76</v>
      </c>
      <c r="E3736" s="7" t="s">
        <v>35</v>
      </c>
      <c r="F3736" s="0" t="n">
        <v>26.38</v>
      </c>
      <c r="G3736" s="0" t="n">
        <v>12.1348</v>
      </c>
      <c r="H3736" s="0" t="n">
        <v>0</v>
      </c>
      <c r="I3736" s="7" t="n">
        <f aca="false">YEAR(B3736)</f>
        <v>2017</v>
      </c>
      <c r="J3736" s="0" t="str">
        <f aca="false">I3736&amp;"-Q"&amp;ROUNDUP(MONTH(B3736)/3,0)</f>
        <v>2017-Q1</v>
      </c>
    </row>
    <row r="3737" customFormat="false" ht="15" hidden="false" customHeight="false" outlineLevel="0" collapsed="false">
      <c r="A3737" s="0" t="s">
        <v>1927</v>
      </c>
      <c r="B3737" s="6" t="n">
        <v>42800</v>
      </c>
      <c r="C3737" s="7" t="s">
        <v>55</v>
      </c>
      <c r="D3737" s="7" t="s">
        <v>76</v>
      </c>
      <c r="E3737" s="7" t="s">
        <v>31</v>
      </c>
      <c r="F3737" s="0" t="n">
        <v>71.97</v>
      </c>
      <c r="G3737" s="0" t="n">
        <v>16.5531</v>
      </c>
      <c r="H3737" s="0" t="n">
        <v>0</v>
      </c>
      <c r="I3737" s="7" t="n">
        <f aca="false">YEAR(B3737)</f>
        <v>2017</v>
      </c>
      <c r="J3737" s="0" t="str">
        <f aca="false">I3737&amp;"-Q"&amp;ROUNDUP(MONTH(B3737)/3,0)</f>
        <v>2017-Q1</v>
      </c>
    </row>
    <row r="3738" customFormat="false" ht="15" hidden="false" customHeight="false" outlineLevel="0" collapsed="false">
      <c r="A3738" s="0" t="s">
        <v>1928</v>
      </c>
      <c r="B3738" s="6" t="n">
        <v>42446</v>
      </c>
      <c r="C3738" s="7" t="s">
        <v>55</v>
      </c>
      <c r="D3738" s="7" t="s">
        <v>72</v>
      </c>
      <c r="E3738" s="7" t="s">
        <v>39</v>
      </c>
      <c r="F3738" s="0" t="n">
        <v>129.98</v>
      </c>
      <c r="G3738" s="0" t="n">
        <v>62.3904</v>
      </c>
      <c r="H3738" s="0" t="n">
        <v>0</v>
      </c>
      <c r="I3738" s="7" t="n">
        <f aca="false">YEAR(B3738)</f>
        <v>2016</v>
      </c>
      <c r="J3738" s="0" t="str">
        <f aca="false">I3738&amp;"-Q"&amp;ROUNDUP(MONTH(B3738)/3,0)</f>
        <v>2016-Q1</v>
      </c>
    </row>
    <row r="3739" customFormat="false" ht="15" hidden="false" customHeight="false" outlineLevel="0" collapsed="false">
      <c r="A3739" s="0" t="s">
        <v>1928</v>
      </c>
      <c r="B3739" s="6" t="n">
        <v>42446</v>
      </c>
      <c r="C3739" s="7" t="s">
        <v>55</v>
      </c>
      <c r="D3739" s="7" t="s">
        <v>72</v>
      </c>
      <c r="E3739" s="7" t="s">
        <v>35</v>
      </c>
      <c r="F3739" s="0" t="n">
        <v>32.54</v>
      </c>
      <c r="G3739" s="0" t="n">
        <v>15.9446</v>
      </c>
      <c r="H3739" s="0" t="n">
        <v>0</v>
      </c>
      <c r="I3739" s="7" t="n">
        <f aca="false">YEAR(B3739)</f>
        <v>2016</v>
      </c>
      <c r="J3739" s="0" t="str">
        <f aca="false">I3739&amp;"-Q"&amp;ROUNDUP(MONTH(B3739)/3,0)</f>
        <v>2016-Q1</v>
      </c>
    </row>
    <row r="3740" customFormat="false" ht="15" hidden="false" customHeight="false" outlineLevel="0" collapsed="false">
      <c r="A3740" s="0" t="s">
        <v>1929</v>
      </c>
      <c r="B3740" s="6" t="n">
        <v>42713</v>
      </c>
      <c r="C3740" s="7" t="s">
        <v>45</v>
      </c>
      <c r="D3740" s="7" t="s">
        <v>70</v>
      </c>
      <c r="E3740" s="7" t="s">
        <v>39</v>
      </c>
      <c r="F3740" s="0" t="n">
        <v>10.9</v>
      </c>
      <c r="G3740" s="0" t="n">
        <v>3.052</v>
      </c>
      <c r="H3740" s="0" t="n">
        <v>0</v>
      </c>
      <c r="I3740" s="7" t="n">
        <f aca="false">YEAR(B3740)</f>
        <v>2016</v>
      </c>
      <c r="J3740" s="0" t="str">
        <f aca="false">I3740&amp;"-Q"&amp;ROUNDUP(MONTH(B3740)/3,0)</f>
        <v>2016-Q4</v>
      </c>
    </row>
    <row r="3741" customFormat="false" ht="15" hidden="false" customHeight="false" outlineLevel="0" collapsed="false">
      <c r="A3741" s="0" t="s">
        <v>1929</v>
      </c>
      <c r="B3741" s="6" t="n">
        <v>42713</v>
      </c>
      <c r="C3741" s="7" t="s">
        <v>45</v>
      </c>
      <c r="D3741" s="7" t="s">
        <v>70</v>
      </c>
      <c r="E3741" s="7" t="s">
        <v>39</v>
      </c>
      <c r="F3741" s="0" t="n">
        <v>59.98</v>
      </c>
      <c r="G3741" s="0" t="n">
        <v>25.1916</v>
      </c>
      <c r="H3741" s="0" t="n">
        <v>0</v>
      </c>
      <c r="I3741" s="7" t="n">
        <f aca="false">YEAR(B3741)</f>
        <v>2016</v>
      </c>
      <c r="J3741" s="0" t="str">
        <f aca="false">I3741&amp;"-Q"&amp;ROUNDUP(MONTH(B3741)/3,0)</f>
        <v>2016-Q4</v>
      </c>
    </row>
    <row r="3742" customFormat="false" ht="15" hidden="false" customHeight="false" outlineLevel="0" collapsed="false">
      <c r="A3742" s="0" t="s">
        <v>1929</v>
      </c>
      <c r="B3742" s="6" t="n">
        <v>42713</v>
      </c>
      <c r="C3742" s="7" t="s">
        <v>45</v>
      </c>
      <c r="D3742" s="7" t="s">
        <v>70</v>
      </c>
      <c r="E3742" s="7" t="s">
        <v>35</v>
      </c>
      <c r="F3742" s="0" t="n">
        <v>61.929</v>
      </c>
      <c r="G3742" s="0" t="n">
        <v>23.3954</v>
      </c>
      <c r="H3742" s="0" t="n">
        <v>0.1</v>
      </c>
      <c r="I3742" s="7" t="n">
        <f aca="false">YEAR(B3742)</f>
        <v>2016</v>
      </c>
      <c r="J3742" s="0" t="str">
        <f aca="false">I3742&amp;"-Q"&amp;ROUNDUP(MONTH(B3742)/3,0)</f>
        <v>2016-Q4</v>
      </c>
    </row>
    <row r="3743" customFormat="false" ht="15" hidden="false" customHeight="false" outlineLevel="0" collapsed="false">
      <c r="A3743" s="0" t="s">
        <v>1930</v>
      </c>
      <c r="B3743" s="6" t="n">
        <v>42384</v>
      </c>
      <c r="C3743" s="7" t="s">
        <v>55</v>
      </c>
      <c r="D3743" s="7" t="s">
        <v>76</v>
      </c>
      <c r="E3743" s="7" t="s">
        <v>35</v>
      </c>
      <c r="F3743" s="0" t="n">
        <v>16.52</v>
      </c>
      <c r="G3743" s="0" t="n">
        <v>7.5992</v>
      </c>
      <c r="H3743" s="0" t="n">
        <v>0</v>
      </c>
      <c r="I3743" s="7" t="n">
        <f aca="false">YEAR(B3743)</f>
        <v>2016</v>
      </c>
      <c r="J3743" s="0" t="str">
        <f aca="false">I3743&amp;"-Q"&amp;ROUNDUP(MONTH(B3743)/3,0)</f>
        <v>2016-Q1</v>
      </c>
    </row>
    <row r="3744" customFormat="false" ht="15" hidden="false" customHeight="false" outlineLevel="0" collapsed="false">
      <c r="A3744" s="0" t="s">
        <v>1930</v>
      </c>
      <c r="B3744" s="6" t="n">
        <v>42384</v>
      </c>
      <c r="C3744" s="7" t="s">
        <v>55</v>
      </c>
      <c r="D3744" s="7" t="s">
        <v>76</v>
      </c>
      <c r="E3744" s="7" t="s">
        <v>35</v>
      </c>
      <c r="F3744" s="0" t="n">
        <v>60.12</v>
      </c>
      <c r="G3744" s="0" t="n">
        <v>28.8576</v>
      </c>
      <c r="H3744" s="0" t="n">
        <v>0</v>
      </c>
      <c r="I3744" s="7" t="n">
        <f aca="false">YEAR(B3744)</f>
        <v>2016</v>
      </c>
      <c r="J3744" s="0" t="str">
        <f aca="false">I3744&amp;"-Q"&amp;ROUNDUP(MONTH(B3744)/3,0)</f>
        <v>2016-Q1</v>
      </c>
    </row>
    <row r="3745" customFormat="false" ht="15" hidden="false" customHeight="false" outlineLevel="0" collapsed="false">
      <c r="A3745" s="0" t="s">
        <v>1930</v>
      </c>
      <c r="B3745" s="6" t="n">
        <v>42384</v>
      </c>
      <c r="C3745" s="7" t="s">
        <v>55</v>
      </c>
      <c r="D3745" s="7" t="s">
        <v>76</v>
      </c>
      <c r="E3745" s="7" t="s">
        <v>35</v>
      </c>
      <c r="F3745" s="0" t="n">
        <v>49.536</v>
      </c>
      <c r="G3745" s="0" t="n">
        <v>17.3376</v>
      </c>
      <c r="H3745" s="0" t="n">
        <v>0.2</v>
      </c>
      <c r="I3745" s="7" t="n">
        <f aca="false">YEAR(B3745)</f>
        <v>2016</v>
      </c>
      <c r="J3745" s="0" t="str">
        <f aca="false">I3745&amp;"-Q"&amp;ROUNDUP(MONTH(B3745)/3,0)</f>
        <v>2016-Q1</v>
      </c>
    </row>
    <row r="3746" customFormat="false" ht="15" hidden="false" customHeight="false" outlineLevel="0" collapsed="false">
      <c r="A3746" s="0" t="s">
        <v>1931</v>
      </c>
      <c r="B3746" s="6" t="n">
        <v>41936</v>
      </c>
      <c r="C3746" s="7" t="s">
        <v>29</v>
      </c>
      <c r="D3746" s="7" t="s">
        <v>96</v>
      </c>
      <c r="E3746" s="7" t="s">
        <v>35</v>
      </c>
      <c r="F3746" s="0" t="n">
        <v>11.85</v>
      </c>
      <c r="G3746" s="0" t="n">
        <v>3.792</v>
      </c>
      <c r="H3746" s="0" t="n">
        <v>0</v>
      </c>
      <c r="I3746" s="7" t="n">
        <f aca="false">YEAR(B3746)</f>
        <v>2014</v>
      </c>
      <c r="J3746" s="0" t="str">
        <f aca="false">I3746&amp;"-Q"&amp;ROUNDUP(MONTH(B3746)/3,0)</f>
        <v>2014-Q4</v>
      </c>
    </row>
    <row r="3747" customFormat="false" ht="15" hidden="false" customHeight="false" outlineLevel="0" collapsed="false">
      <c r="A3747" s="0" t="s">
        <v>1932</v>
      </c>
      <c r="B3747" s="6" t="n">
        <v>42636</v>
      </c>
      <c r="C3747" s="7" t="s">
        <v>29</v>
      </c>
      <c r="D3747" s="7" t="s">
        <v>230</v>
      </c>
      <c r="E3747" s="7" t="s">
        <v>35</v>
      </c>
      <c r="F3747" s="0" t="n">
        <v>118.25</v>
      </c>
      <c r="G3747" s="0" t="n">
        <v>34.2925</v>
      </c>
      <c r="H3747" s="0" t="n">
        <v>0</v>
      </c>
      <c r="I3747" s="7" t="n">
        <f aca="false">YEAR(B3747)</f>
        <v>2016</v>
      </c>
      <c r="J3747" s="0" t="str">
        <f aca="false">I3747&amp;"-Q"&amp;ROUNDUP(MONTH(B3747)/3,0)</f>
        <v>2016-Q3</v>
      </c>
    </row>
    <row r="3748" customFormat="false" ht="15" hidden="false" customHeight="false" outlineLevel="0" collapsed="false">
      <c r="A3748" s="0" t="s">
        <v>1932</v>
      </c>
      <c r="B3748" s="6" t="n">
        <v>42636</v>
      </c>
      <c r="C3748" s="7" t="s">
        <v>29</v>
      </c>
      <c r="D3748" s="7" t="s">
        <v>230</v>
      </c>
      <c r="E3748" s="7" t="s">
        <v>31</v>
      </c>
      <c r="F3748" s="0" t="n">
        <v>368.97</v>
      </c>
      <c r="G3748" s="0" t="n">
        <v>81.1734</v>
      </c>
      <c r="H3748" s="0" t="n">
        <v>0</v>
      </c>
      <c r="I3748" s="7" t="n">
        <f aca="false">YEAR(B3748)</f>
        <v>2016</v>
      </c>
      <c r="J3748" s="0" t="str">
        <f aca="false">I3748&amp;"-Q"&amp;ROUNDUP(MONTH(B3748)/3,0)</f>
        <v>2016-Q3</v>
      </c>
    </row>
    <row r="3749" customFormat="false" ht="15" hidden="false" customHeight="false" outlineLevel="0" collapsed="false">
      <c r="A3749" s="0" t="s">
        <v>1933</v>
      </c>
      <c r="B3749" s="6" t="n">
        <v>42974</v>
      </c>
      <c r="C3749" s="7" t="s">
        <v>33</v>
      </c>
      <c r="D3749" s="7" t="s">
        <v>34</v>
      </c>
      <c r="E3749" s="7" t="s">
        <v>31</v>
      </c>
      <c r="F3749" s="0" t="n">
        <v>198.46</v>
      </c>
      <c r="G3749" s="0" t="n">
        <v>99.23</v>
      </c>
      <c r="H3749" s="0" t="n">
        <v>0</v>
      </c>
      <c r="I3749" s="7" t="n">
        <f aca="false">YEAR(B3749)</f>
        <v>2017</v>
      </c>
      <c r="J3749" s="0" t="str">
        <f aca="false">I3749&amp;"-Q"&amp;ROUNDUP(MONTH(B3749)/3,0)</f>
        <v>2017-Q3</v>
      </c>
    </row>
    <row r="3750" customFormat="false" ht="15" hidden="false" customHeight="false" outlineLevel="0" collapsed="false">
      <c r="A3750" s="0" t="s">
        <v>1933</v>
      </c>
      <c r="B3750" s="6" t="n">
        <v>42974</v>
      </c>
      <c r="C3750" s="7" t="s">
        <v>33</v>
      </c>
      <c r="D3750" s="7" t="s">
        <v>34</v>
      </c>
      <c r="E3750" s="7" t="s">
        <v>35</v>
      </c>
      <c r="F3750" s="0" t="n">
        <v>321.92</v>
      </c>
      <c r="G3750" s="0" t="n">
        <v>96.576</v>
      </c>
      <c r="H3750" s="0" t="n">
        <v>0</v>
      </c>
      <c r="I3750" s="7" t="n">
        <f aca="false">YEAR(B3750)</f>
        <v>2017</v>
      </c>
      <c r="J3750" s="0" t="str">
        <f aca="false">I3750&amp;"-Q"&amp;ROUNDUP(MONTH(B3750)/3,0)</f>
        <v>2017-Q3</v>
      </c>
    </row>
    <row r="3751" customFormat="false" ht="15" hidden="false" customHeight="false" outlineLevel="0" collapsed="false">
      <c r="A3751" s="0" t="s">
        <v>1933</v>
      </c>
      <c r="B3751" s="6" t="n">
        <v>42974</v>
      </c>
      <c r="C3751" s="7" t="s">
        <v>33</v>
      </c>
      <c r="D3751" s="7" t="s">
        <v>34</v>
      </c>
      <c r="E3751" s="7" t="s">
        <v>39</v>
      </c>
      <c r="F3751" s="0" t="n">
        <v>879.984</v>
      </c>
      <c r="G3751" s="0" t="n">
        <v>329.994</v>
      </c>
      <c r="H3751" s="0" t="n">
        <v>0.2</v>
      </c>
      <c r="I3751" s="7" t="n">
        <f aca="false">YEAR(B3751)</f>
        <v>2017</v>
      </c>
      <c r="J3751" s="0" t="str">
        <f aca="false">I3751&amp;"-Q"&amp;ROUNDUP(MONTH(B3751)/3,0)</f>
        <v>2017-Q3</v>
      </c>
    </row>
    <row r="3752" customFormat="false" ht="15" hidden="false" customHeight="false" outlineLevel="0" collapsed="false">
      <c r="A3752" s="0" t="s">
        <v>1933</v>
      </c>
      <c r="B3752" s="6" t="n">
        <v>42974</v>
      </c>
      <c r="C3752" s="7" t="s">
        <v>33</v>
      </c>
      <c r="D3752" s="7" t="s">
        <v>34</v>
      </c>
      <c r="E3752" s="7" t="s">
        <v>35</v>
      </c>
      <c r="F3752" s="0" t="n">
        <v>28.4</v>
      </c>
      <c r="G3752" s="0" t="n">
        <v>8.236</v>
      </c>
      <c r="H3752" s="0" t="n">
        <v>0</v>
      </c>
      <c r="I3752" s="7" t="n">
        <f aca="false">YEAR(B3752)</f>
        <v>2017</v>
      </c>
      <c r="J3752" s="0" t="str">
        <f aca="false">I3752&amp;"-Q"&amp;ROUNDUP(MONTH(B3752)/3,0)</f>
        <v>2017-Q3</v>
      </c>
    </row>
    <row r="3753" customFormat="false" ht="15" hidden="false" customHeight="false" outlineLevel="0" collapsed="false">
      <c r="A3753" s="0" t="s">
        <v>1933</v>
      </c>
      <c r="B3753" s="6" t="n">
        <v>42974</v>
      </c>
      <c r="C3753" s="7" t="s">
        <v>33</v>
      </c>
      <c r="D3753" s="7" t="s">
        <v>34</v>
      </c>
      <c r="E3753" s="7" t="s">
        <v>31</v>
      </c>
      <c r="F3753" s="0" t="n">
        <v>230.28</v>
      </c>
      <c r="G3753" s="0" t="n">
        <v>23.028</v>
      </c>
      <c r="H3753" s="0" t="n">
        <v>0.2</v>
      </c>
      <c r="I3753" s="7" t="n">
        <f aca="false">YEAR(B3753)</f>
        <v>2017</v>
      </c>
      <c r="J3753" s="0" t="str">
        <f aca="false">I3753&amp;"-Q"&amp;ROUNDUP(MONTH(B3753)/3,0)</f>
        <v>2017-Q3</v>
      </c>
    </row>
    <row r="3754" customFormat="false" ht="15" hidden="false" customHeight="false" outlineLevel="0" collapsed="false">
      <c r="A3754" s="0" t="s">
        <v>1933</v>
      </c>
      <c r="B3754" s="6" t="n">
        <v>42974</v>
      </c>
      <c r="C3754" s="7" t="s">
        <v>33</v>
      </c>
      <c r="D3754" s="7" t="s">
        <v>34</v>
      </c>
      <c r="E3754" s="7" t="s">
        <v>35</v>
      </c>
      <c r="F3754" s="0" t="n">
        <v>116.28</v>
      </c>
      <c r="G3754" s="0" t="n">
        <v>56.9772</v>
      </c>
      <c r="H3754" s="0" t="n">
        <v>0</v>
      </c>
      <c r="I3754" s="7" t="n">
        <f aca="false">YEAR(B3754)</f>
        <v>2017</v>
      </c>
      <c r="J3754" s="0" t="str">
        <f aca="false">I3754&amp;"-Q"&amp;ROUNDUP(MONTH(B3754)/3,0)</f>
        <v>2017-Q3</v>
      </c>
    </row>
    <row r="3755" customFormat="false" ht="15" hidden="false" customHeight="false" outlineLevel="0" collapsed="false">
      <c r="A3755" s="0" t="s">
        <v>1933</v>
      </c>
      <c r="B3755" s="6" t="n">
        <v>42974</v>
      </c>
      <c r="C3755" s="7" t="s">
        <v>33</v>
      </c>
      <c r="D3755" s="7" t="s">
        <v>34</v>
      </c>
      <c r="E3755" s="7" t="s">
        <v>35</v>
      </c>
      <c r="F3755" s="0" t="n">
        <v>841.568</v>
      </c>
      <c r="G3755" s="0" t="n">
        <v>294.5488</v>
      </c>
      <c r="H3755" s="0" t="n">
        <v>0.2</v>
      </c>
      <c r="I3755" s="7" t="n">
        <f aca="false">YEAR(B3755)</f>
        <v>2017</v>
      </c>
      <c r="J3755" s="0" t="str">
        <f aca="false">I3755&amp;"-Q"&amp;ROUNDUP(MONTH(B3755)/3,0)</f>
        <v>2017-Q3</v>
      </c>
    </row>
    <row r="3756" customFormat="false" ht="15" hidden="false" customHeight="false" outlineLevel="0" collapsed="false">
      <c r="A3756" s="0" t="s">
        <v>1933</v>
      </c>
      <c r="B3756" s="6" t="n">
        <v>42974</v>
      </c>
      <c r="C3756" s="7" t="s">
        <v>33</v>
      </c>
      <c r="D3756" s="7" t="s">
        <v>34</v>
      </c>
      <c r="E3756" s="7" t="s">
        <v>35</v>
      </c>
      <c r="F3756" s="0" t="n">
        <v>354.9</v>
      </c>
      <c r="G3756" s="0" t="n">
        <v>17.745</v>
      </c>
      <c r="H3756" s="0" t="n">
        <v>0</v>
      </c>
      <c r="I3756" s="7" t="n">
        <f aca="false">YEAR(B3756)</f>
        <v>2017</v>
      </c>
      <c r="J3756" s="0" t="str">
        <f aca="false">I3756&amp;"-Q"&amp;ROUNDUP(MONTH(B3756)/3,0)</f>
        <v>2017-Q3</v>
      </c>
    </row>
    <row r="3757" customFormat="false" ht="15" hidden="false" customHeight="false" outlineLevel="0" collapsed="false">
      <c r="A3757" s="0" t="s">
        <v>1934</v>
      </c>
      <c r="B3757" s="6" t="n">
        <v>42432</v>
      </c>
      <c r="C3757" s="7" t="s">
        <v>45</v>
      </c>
      <c r="D3757" s="7" t="s">
        <v>46</v>
      </c>
      <c r="E3757" s="7" t="s">
        <v>35</v>
      </c>
      <c r="F3757" s="0" t="n">
        <v>42.784</v>
      </c>
      <c r="G3757" s="0" t="n">
        <v>15.5092</v>
      </c>
      <c r="H3757" s="0" t="n">
        <v>0.2</v>
      </c>
      <c r="I3757" s="7" t="n">
        <f aca="false">YEAR(B3757)</f>
        <v>2016</v>
      </c>
      <c r="J3757" s="0" t="str">
        <f aca="false">I3757&amp;"-Q"&amp;ROUNDUP(MONTH(B3757)/3,0)</f>
        <v>2016-Q1</v>
      </c>
    </row>
    <row r="3758" customFormat="false" ht="15" hidden="false" customHeight="false" outlineLevel="0" collapsed="false">
      <c r="A3758" s="0" t="s">
        <v>1934</v>
      </c>
      <c r="B3758" s="6" t="n">
        <v>42432</v>
      </c>
      <c r="C3758" s="7" t="s">
        <v>45</v>
      </c>
      <c r="D3758" s="7" t="s">
        <v>46</v>
      </c>
      <c r="E3758" s="7" t="s">
        <v>31</v>
      </c>
      <c r="F3758" s="0" t="n">
        <v>563.43</v>
      </c>
      <c r="G3758" s="0" t="n">
        <v>-56.343</v>
      </c>
      <c r="H3758" s="0" t="n">
        <v>0.3</v>
      </c>
      <c r="I3758" s="7" t="n">
        <f aca="false">YEAR(B3758)</f>
        <v>2016</v>
      </c>
      <c r="J3758" s="0" t="str">
        <f aca="false">I3758&amp;"-Q"&amp;ROUNDUP(MONTH(B3758)/3,0)</f>
        <v>2016-Q1</v>
      </c>
    </row>
    <row r="3759" customFormat="false" ht="15" hidden="false" customHeight="false" outlineLevel="0" collapsed="false">
      <c r="A3759" s="0" t="s">
        <v>1935</v>
      </c>
      <c r="B3759" s="6" t="n">
        <v>42429</v>
      </c>
      <c r="C3759" s="7" t="s">
        <v>55</v>
      </c>
      <c r="D3759" s="7" t="s">
        <v>116</v>
      </c>
      <c r="E3759" s="7" t="s">
        <v>35</v>
      </c>
      <c r="F3759" s="0" t="n">
        <v>111.104</v>
      </c>
      <c r="G3759" s="0" t="n">
        <v>8.3328</v>
      </c>
      <c r="H3759" s="0" t="n">
        <v>0.2</v>
      </c>
      <c r="I3759" s="7" t="n">
        <f aca="false">YEAR(B3759)</f>
        <v>2016</v>
      </c>
      <c r="J3759" s="0" t="str">
        <f aca="false">I3759&amp;"-Q"&amp;ROUNDUP(MONTH(B3759)/3,0)</f>
        <v>2016-Q1</v>
      </c>
    </row>
    <row r="3760" customFormat="false" ht="15" hidden="false" customHeight="false" outlineLevel="0" collapsed="false">
      <c r="A3760" s="0" t="s">
        <v>1936</v>
      </c>
      <c r="B3760" s="6" t="n">
        <v>42265</v>
      </c>
      <c r="C3760" s="7" t="s">
        <v>33</v>
      </c>
      <c r="D3760" s="7" t="s">
        <v>34</v>
      </c>
      <c r="E3760" s="7" t="s">
        <v>35</v>
      </c>
      <c r="F3760" s="0" t="n">
        <v>11.68</v>
      </c>
      <c r="G3760" s="0" t="n">
        <v>5.4896</v>
      </c>
      <c r="H3760" s="0" t="n">
        <v>0</v>
      </c>
      <c r="I3760" s="7" t="n">
        <f aca="false">YEAR(B3760)</f>
        <v>2015</v>
      </c>
      <c r="J3760" s="0" t="str">
        <f aca="false">I3760&amp;"-Q"&amp;ROUNDUP(MONTH(B3760)/3,0)</f>
        <v>2015-Q3</v>
      </c>
    </row>
    <row r="3761" customFormat="false" ht="15" hidden="false" customHeight="false" outlineLevel="0" collapsed="false">
      <c r="A3761" s="0" t="s">
        <v>1936</v>
      </c>
      <c r="B3761" s="6" t="n">
        <v>42265</v>
      </c>
      <c r="C3761" s="7" t="s">
        <v>33</v>
      </c>
      <c r="D3761" s="7" t="s">
        <v>34</v>
      </c>
      <c r="E3761" s="7" t="s">
        <v>35</v>
      </c>
      <c r="F3761" s="0" t="n">
        <v>16.9</v>
      </c>
      <c r="G3761" s="0" t="n">
        <v>5.07</v>
      </c>
      <c r="H3761" s="0" t="n">
        <v>0</v>
      </c>
      <c r="I3761" s="7" t="n">
        <f aca="false">YEAR(B3761)</f>
        <v>2015</v>
      </c>
      <c r="J3761" s="0" t="str">
        <f aca="false">I3761&amp;"-Q"&amp;ROUNDUP(MONTH(B3761)/3,0)</f>
        <v>2015-Q3</v>
      </c>
    </row>
    <row r="3762" customFormat="false" ht="15" hidden="false" customHeight="false" outlineLevel="0" collapsed="false">
      <c r="A3762" s="0" t="s">
        <v>1936</v>
      </c>
      <c r="B3762" s="6" t="n">
        <v>42265</v>
      </c>
      <c r="C3762" s="7" t="s">
        <v>33</v>
      </c>
      <c r="D3762" s="7" t="s">
        <v>34</v>
      </c>
      <c r="E3762" s="7" t="s">
        <v>31</v>
      </c>
      <c r="F3762" s="0" t="n">
        <v>24.4</v>
      </c>
      <c r="G3762" s="0" t="n">
        <v>10.248</v>
      </c>
      <c r="H3762" s="0" t="n">
        <v>0</v>
      </c>
      <c r="I3762" s="7" t="n">
        <f aca="false">YEAR(B3762)</f>
        <v>2015</v>
      </c>
      <c r="J3762" s="0" t="str">
        <f aca="false">I3762&amp;"-Q"&amp;ROUNDUP(MONTH(B3762)/3,0)</f>
        <v>2015-Q3</v>
      </c>
    </row>
    <row r="3763" customFormat="false" ht="15" hidden="false" customHeight="false" outlineLevel="0" collapsed="false">
      <c r="A3763" s="0" t="s">
        <v>1937</v>
      </c>
      <c r="B3763" s="6" t="n">
        <v>42867</v>
      </c>
      <c r="C3763" s="7" t="s">
        <v>55</v>
      </c>
      <c r="D3763" s="7" t="s">
        <v>225</v>
      </c>
      <c r="E3763" s="7" t="s">
        <v>35</v>
      </c>
      <c r="F3763" s="0" t="n">
        <v>87.6</v>
      </c>
      <c r="G3763" s="0" t="n">
        <v>42.048</v>
      </c>
      <c r="H3763" s="0" t="n">
        <v>0</v>
      </c>
      <c r="I3763" s="7" t="n">
        <f aca="false">YEAR(B3763)</f>
        <v>2017</v>
      </c>
      <c r="J3763" s="0" t="str">
        <f aca="false">I3763&amp;"-Q"&amp;ROUNDUP(MONTH(B3763)/3,0)</f>
        <v>2017-Q2</v>
      </c>
    </row>
    <row r="3764" customFormat="false" ht="15" hidden="false" customHeight="false" outlineLevel="0" collapsed="false">
      <c r="A3764" s="0" t="s">
        <v>1938</v>
      </c>
      <c r="B3764" s="6" t="n">
        <v>42595</v>
      </c>
      <c r="C3764" s="7" t="s">
        <v>45</v>
      </c>
      <c r="D3764" s="7" t="s">
        <v>48</v>
      </c>
      <c r="E3764" s="7" t="s">
        <v>31</v>
      </c>
      <c r="F3764" s="0" t="n">
        <v>241.96</v>
      </c>
      <c r="G3764" s="0" t="n">
        <v>24.196</v>
      </c>
      <c r="H3764" s="0" t="n">
        <v>0</v>
      </c>
      <c r="I3764" s="7" t="n">
        <f aca="false">YEAR(B3764)</f>
        <v>2016</v>
      </c>
      <c r="J3764" s="0" t="str">
        <f aca="false">I3764&amp;"-Q"&amp;ROUNDUP(MONTH(B3764)/3,0)</f>
        <v>2016-Q3</v>
      </c>
    </row>
    <row r="3765" customFormat="false" ht="15" hidden="false" customHeight="false" outlineLevel="0" collapsed="false">
      <c r="A3765" s="0" t="s">
        <v>1938</v>
      </c>
      <c r="B3765" s="6" t="n">
        <v>42595</v>
      </c>
      <c r="C3765" s="7" t="s">
        <v>45</v>
      </c>
      <c r="D3765" s="7" t="s">
        <v>48</v>
      </c>
      <c r="E3765" s="7" t="s">
        <v>35</v>
      </c>
      <c r="F3765" s="0" t="n">
        <v>8.52</v>
      </c>
      <c r="G3765" s="0" t="n">
        <v>4.1748</v>
      </c>
      <c r="H3765" s="0" t="n">
        <v>0</v>
      </c>
      <c r="I3765" s="7" t="n">
        <f aca="false">YEAR(B3765)</f>
        <v>2016</v>
      </c>
      <c r="J3765" s="0" t="str">
        <f aca="false">I3765&amp;"-Q"&amp;ROUNDUP(MONTH(B3765)/3,0)</f>
        <v>2016-Q3</v>
      </c>
    </row>
    <row r="3766" customFormat="false" ht="15" hidden="false" customHeight="false" outlineLevel="0" collapsed="false">
      <c r="A3766" s="0" t="s">
        <v>1939</v>
      </c>
      <c r="B3766" s="6" t="n">
        <v>42791</v>
      </c>
      <c r="C3766" s="7" t="s">
        <v>45</v>
      </c>
      <c r="D3766" s="7" t="s">
        <v>64</v>
      </c>
      <c r="E3766" s="7" t="s">
        <v>35</v>
      </c>
      <c r="F3766" s="0" t="n">
        <v>1.788</v>
      </c>
      <c r="G3766" s="0" t="n">
        <v>-3.0396</v>
      </c>
      <c r="H3766" s="0" t="n">
        <v>0.8</v>
      </c>
      <c r="I3766" s="7" t="n">
        <f aca="false">YEAR(B3766)</f>
        <v>2017</v>
      </c>
      <c r="J3766" s="0" t="str">
        <f aca="false">I3766&amp;"-Q"&amp;ROUNDUP(MONTH(B3766)/3,0)</f>
        <v>2017-Q1</v>
      </c>
    </row>
    <row r="3767" customFormat="false" ht="15" hidden="false" customHeight="false" outlineLevel="0" collapsed="false">
      <c r="A3767" s="0" t="s">
        <v>1940</v>
      </c>
      <c r="B3767" s="6" t="n">
        <v>42450</v>
      </c>
      <c r="C3767" s="7" t="s">
        <v>45</v>
      </c>
      <c r="D3767" s="7" t="s">
        <v>46</v>
      </c>
      <c r="E3767" s="7" t="s">
        <v>31</v>
      </c>
      <c r="F3767" s="0" t="n">
        <v>99.372</v>
      </c>
      <c r="G3767" s="0" t="n">
        <v>-1.4196</v>
      </c>
      <c r="H3767" s="0" t="n">
        <v>0.3</v>
      </c>
      <c r="I3767" s="7" t="n">
        <f aca="false">YEAR(B3767)</f>
        <v>2016</v>
      </c>
      <c r="J3767" s="0" t="str">
        <f aca="false">I3767&amp;"-Q"&amp;ROUNDUP(MONTH(B3767)/3,0)</f>
        <v>2016-Q1</v>
      </c>
    </row>
    <row r="3768" customFormat="false" ht="15" hidden="false" customHeight="false" outlineLevel="0" collapsed="false">
      <c r="A3768" s="0" t="s">
        <v>1940</v>
      </c>
      <c r="B3768" s="6" t="n">
        <v>42450</v>
      </c>
      <c r="C3768" s="7" t="s">
        <v>45</v>
      </c>
      <c r="D3768" s="7" t="s">
        <v>46</v>
      </c>
      <c r="E3768" s="7" t="s">
        <v>35</v>
      </c>
      <c r="F3768" s="0" t="n">
        <v>1.344</v>
      </c>
      <c r="G3768" s="0" t="n">
        <v>0.504</v>
      </c>
      <c r="H3768" s="0" t="n">
        <v>0.2</v>
      </c>
      <c r="I3768" s="7" t="n">
        <f aca="false">YEAR(B3768)</f>
        <v>2016</v>
      </c>
      <c r="J3768" s="0" t="str">
        <f aca="false">I3768&amp;"-Q"&amp;ROUNDUP(MONTH(B3768)/3,0)</f>
        <v>2016-Q1</v>
      </c>
    </row>
    <row r="3769" customFormat="false" ht="15" hidden="false" customHeight="false" outlineLevel="0" collapsed="false">
      <c r="A3769" s="0" t="s">
        <v>1941</v>
      </c>
      <c r="B3769" s="6" t="n">
        <v>42346</v>
      </c>
      <c r="C3769" s="7" t="s">
        <v>45</v>
      </c>
      <c r="D3769" s="7" t="s">
        <v>46</v>
      </c>
      <c r="E3769" s="7" t="s">
        <v>39</v>
      </c>
      <c r="F3769" s="0" t="n">
        <v>119.96</v>
      </c>
      <c r="G3769" s="0" t="n">
        <v>11.996</v>
      </c>
      <c r="H3769" s="0" t="n">
        <v>0.2</v>
      </c>
      <c r="I3769" s="7" t="n">
        <f aca="false">YEAR(B3769)</f>
        <v>2015</v>
      </c>
      <c r="J3769" s="0" t="str">
        <f aca="false">I3769&amp;"-Q"&amp;ROUNDUP(MONTH(B3769)/3,0)</f>
        <v>2015-Q4</v>
      </c>
    </row>
    <row r="3770" customFormat="false" ht="15" hidden="false" customHeight="false" outlineLevel="0" collapsed="false">
      <c r="A3770" s="0" t="s">
        <v>1942</v>
      </c>
      <c r="B3770" s="6" t="n">
        <v>41989</v>
      </c>
      <c r="C3770" s="7" t="s">
        <v>29</v>
      </c>
      <c r="D3770" s="7" t="s">
        <v>37</v>
      </c>
      <c r="E3770" s="7" t="s">
        <v>31</v>
      </c>
      <c r="F3770" s="0" t="n">
        <v>1013.832</v>
      </c>
      <c r="G3770" s="0" t="n">
        <v>101.3832</v>
      </c>
      <c r="H3770" s="0" t="n">
        <v>0.2</v>
      </c>
      <c r="I3770" s="7" t="n">
        <f aca="false">YEAR(B3770)</f>
        <v>2014</v>
      </c>
      <c r="J3770" s="0" t="str">
        <f aca="false">I3770&amp;"-Q"&amp;ROUNDUP(MONTH(B3770)/3,0)</f>
        <v>2014-Q4</v>
      </c>
    </row>
    <row r="3771" customFormat="false" ht="15" hidden="false" customHeight="false" outlineLevel="0" collapsed="false">
      <c r="A3771" s="0" t="s">
        <v>1942</v>
      </c>
      <c r="B3771" s="6" t="n">
        <v>41989</v>
      </c>
      <c r="C3771" s="7" t="s">
        <v>29</v>
      </c>
      <c r="D3771" s="7" t="s">
        <v>37</v>
      </c>
      <c r="E3771" s="7" t="s">
        <v>35</v>
      </c>
      <c r="F3771" s="0" t="n">
        <v>1.984</v>
      </c>
      <c r="G3771" s="0" t="n">
        <v>0.6696</v>
      </c>
      <c r="H3771" s="0" t="n">
        <v>0.2</v>
      </c>
      <c r="I3771" s="7" t="n">
        <f aca="false">YEAR(B3771)</f>
        <v>2014</v>
      </c>
      <c r="J3771" s="0" t="str">
        <f aca="false">I3771&amp;"-Q"&amp;ROUNDUP(MONTH(B3771)/3,0)</f>
        <v>2014-Q4</v>
      </c>
    </row>
    <row r="3772" customFormat="false" ht="15" hidden="false" customHeight="false" outlineLevel="0" collapsed="false">
      <c r="A3772" s="0" t="s">
        <v>1943</v>
      </c>
      <c r="B3772" s="6" t="n">
        <v>42721</v>
      </c>
      <c r="C3772" s="7" t="s">
        <v>33</v>
      </c>
      <c r="D3772" s="7" t="s">
        <v>34</v>
      </c>
      <c r="E3772" s="7" t="s">
        <v>31</v>
      </c>
      <c r="F3772" s="0" t="n">
        <v>2003.52</v>
      </c>
      <c r="G3772" s="0" t="n">
        <v>-325.572</v>
      </c>
      <c r="H3772" s="0" t="n">
        <v>0.2</v>
      </c>
      <c r="I3772" s="7" t="n">
        <f aca="false">YEAR(B3772)</f>
        <v>2016</v>
      </c>
      <c r="J3772" s="0" t="str">
        <f aca="false">I3772&amp;"-Q"&amp;ROUNDUP(MONTH(B3772)/3,0)</f>
        <v>2016-Q4</v>
      </c>
    </row>
    <row r="3773" customFormat="false" ht="15" hidden="false" customHeight="false" outlineLevel="0" collapsed="false">
      <c r="A3773" s="0" t="s">
        <v>1944</v>
      </c>
      <c r="B3773" s="6" t="n">
        <v>42502</v>
      </c>
      <c r="C3773" s="7" t="s">
        <v>55</v>
      </c>
      <c r="D3773" s="7" t="s">
        <v>56</v>
      </c>
      <c r="E3773" s="7" t="s">
        <v>35</v>
      </c>
      <c r="F3773" s="0" t="n">
        <v>82.368</v>
      </c>
      <c r="G3773" s="0" t="n">
        <v>-19.5624</v>
      </c>
      <c r="H3773" s="0" t="n">
        <v>0.2</v>
      </c>
      <c r="I3773" s="7" t="n">
        <f aca="false">YEAR(B3773)</f>
        <v>2016</v>
      </c>
      <c r="J3773" s="0" t="str">
        <f aca="false">I3773&amp;"-Q"&amp;ROUNDUP(MONTH(B3773)/3,0)</f>
        <v>2016-Q2</v>
      </c>
    </row>
    <row r="3774" customFormat="false" ht="15" hidden="false" customHeight="false" outlineLevel="0" collapsed="false">
      <c r="A3774" s="0" t="s">
        <v>1945</v>
      </c>
      <c r="B3774" s="6" t="n">
        <v>41857</v>
      </c>
      <c r="C3774" s="7" t="s">
        <v>29</v>
      </c>
      <c r="D3774" s="7" t="s">
        <v>96</v>
      </c>
      <c r="E3774" s="7" t="s">
        <v>39</v>
      </c>
      <c r="F3774" s="0" t="n">
        <v>62.91</v>
      </c>
      <c r="G3774" s="0" t="n">
        <v>22.6476</v>
      </c>
      <c r="H3774" s="0" t="n">
        <v>0</v>
      </c>
      <c r="I3774" s="7" t="n">
        <f aca="false">YEAR(B3774)</f>
        <v>2014</v>
      </c>
      <c r="J3774" s="0" t="str">
        <f aca="false">I3774&amp;"-Q"&amp;ROUNDUP(MONTH(B3774)/3,0)</f>
        <v>2014-Q3</v>
      </c>
    </row>
    <row r="3775" customFormat="false" ht="15" hidden="false" customHeight="false" outlineLevel="0" collapsed="false">
      <c r="A3775" s="0" t="s">
        <v>1946</v>
      </c>
      <c r="B3775" s="6" t="n">
        <v>41740</v>
      </c>
      <c r="C3775" s="7" t="s">
        <v>29</v>
      </c>
      <c r="D3775" s="7" t="s">
        <v>37</v>
      </c>
      <c r="E3775" s="7" t="s">
        <v>35</v>
      </c>
      <c r="F3775" s="0" t="n">
        <v>6.912</v>
      </c>
      <c r="G3775" s="0" t="n">
        <v>2.3328</v>
      </c>
      <c r="H3775" s="0" t="n">
        <v>0.2</v>
      </c>
      <c r="I3775" s="7" t="n">
        <f aca="false">YEAR(B3775)</f>
        <v>2014</v>
      </c>
      <c r="J3775" s="0" t="str">
        <f aca="false">I3775&amp;"-Q"&amp;ROUNDUP(MONTH(B3775)/3,0)</f>
        <v>2014-Q2</v>
      </c>
    </row>
    <row r="3776" customFormat="false" ht="15" hidden="false" customHeight="false" outlineLevel="0" collapsed="false">
      <c r="A3776" s="0" t="s">
        <v>1946</v>
      </c>
      <c r="B3776" s="6" t="n">
        <v>41740</v>
      </c>
      <c r="C3776" s="7" t="s">
        <v>29</v>
      </c>
      <c r="D3776" s="7" t="s">
        <v>37</v>
      </c>
      <c r="E3776" s="7" t="s">
        <v>39</v>
      </c>
      <c r="F3776" s="0" t="n">
        <v>383.976</v>
      </c>
      <c r="G3776" s="0" t="n">
        <v>81.5949</v>
      </c>
      <c r="H3776" s="0" t="n">
        <v>0.2</v>
      </c>
      <c r="I3776" s="7" t="n">
        <f aca="false">YEAR(B3776)</f>
        <v>2014</v>
      </c>
      <c r="J3776" s="0" t="str">
        <f aca="false">I3776&amp;"-Q"&amp;ROUNDUP(MONTH(B3776)/3,0)</f>
        <v>2014-Q2</v>
      </c>
    </row>
    <row r="3777" customFormat="false" ht="15" hidden="false" customHeight="false" outlineLevel="0" collapsed="false">
      <c r="A3777" s="0" t="s">
        <v>1946</v>
      </c>
      <c r="B3777" s="6" t="n">
        <v>41740</v>
      </c>
      <c r="C3777" s="7" t="s">
        <v>29</v>
      </c>
      <c r="D3777" s="7" t="s">
        <v>37</v>
      </c>
      <c r="E3777" s="7" t="s">
        <v>35</v>
      </c>
      <c r="F3777" s="0" t="n">
        <v>10.368</v>
      </c>
      <c r="G3777" s="0" t="n">
        <v>3.6288</v>
      </c>
      <c r="H3777" s="0" t="n">
        <v>0.2</v>
      </c>
      <c r="I3777" s="7" t="n">
        <f aca="false">YEAR(B3777)</f>
        <v>2014</v>
      </c>
      <c r="J3777" s="0" t="str">
        <f aca="false">I3777&amp;"-Q"&amp;ROUNDUP(MONTH(B3777)/3,0)</f>
        <v>2014-Q2</v>
      </c>
    </row>
    <row r="3778" customFormat="false" ht="15" hidden="false" customHeight="false" outlineLevel="0" collapsed="false">
      <c r="A3778" s="0" t="s">
        <v>1946</v>
      </c>
      <c r="B3778" s="6" t="n">
        <v>41740</v>
      </c>
      <c r="C3778" s="7" t="s">
        <v>29</v>
      </c>
      <c r="D3778" s="7" t="s">
        <v>37</v>
      </c>
      <c r="E3778" s="7" t="s">
        <v>39</v>
      </c>
      <c r="F3778" s="0" t="n">
        <v>335.944</v>
      </c>
      <c r="G3778" s="0" t="n">
        <v>41.993</v>
      </c>
      <c r="H3778" s="0" t="n">
        <v>0.2</v>
      </c>
      <c r="I3778" s="7" t="n">
        <f aca="false">YEAR(B3778)</f>
        <v>2014</v>
      </c>
      <c r="J3778" s="0" t="str">
        <f aca="false">I3778&amp;"-Q"&amp;ROUNDUP(MONTH(B3778)/3,0)</f>
        <v>2014-Q2</v>
      </c>
    </row>
    <row r="3779" customFormat="false" ht="15" hidden="false" customHeight="false" outlineLevel="0" collapsed="false">
      <c r="A3779" s="0" t="s">
        <v>1947</v>
      </c>
      <c r="B3779" s="6" t="n">
        <v>42127</v>
      </c>
      <c r="C3779" s="7" t="s">
        <v>33</v>
      </c>
      <c r="D3779" s="7" t="s">
        <v>34</v>
      </c>
      <c r="E3779" s="7" t="s">
        <v>31</v>
      </c>
      <c r="F3779" s="0" t="n">
        <v>665.88</v>
      </c>
      <c r="G3779" s="0" t="n">
        <v>106.5408</v>
      </c>
      <c r="H3779" s="0" t="n">
        <v>0</v>
      </c>
      <c r="I3779" s="7" t="n">
        <f aca="false">YEAR(B3779)</f>
        <v>2015</v>
      </c>
      <c r="J3779" s="0" t="str">
        <f aca="false">I3779&amp;"-Q"&amp;ROUNDUP(MONTH(B3779)/3,0)</f>
        <v>2015-Q2</v>
      </c>
    </row>
    <row r="3780" customFormat="false" ht="15" hidden="false" customHeight="false" outlineLevel="0" collapsed="false">
      <c r="A3780" s="0" t="s">
        <v>1948</v>
      </c>
      <c r="B3780" s="6" t="n">
        <v>43069</v>
      </c>
      <c r="C3780" s="7" t="s">
        <v>29</v>
      </c>
      <c r="D3780" s="7" t="s">
        <v>37</v>
      </c>
      <c r="E3780" s="7" t="s">
        <v>39</v>
      </c>
      <c r="F3780" s="0" t="n">
        <v>71.976</v>
      </c>
      <c r="G3780" s="0" t="n">
        <v>8.997</v>
      </c>
      <c r="H3780" s="0" t="n">
        <v>0.2</v>
      </c>
      <c r="I3780" s="7" t="n">
        <f aca="false">YEAR(B3780)</f>
        <v>2017</v>
      </c>
      <c r="J3780" s="0" t="str">
        <f aca="false">I3780&amp;"-Q"&amp;ROUNDUP(MONTH(B3780)/3,0)</f>
        <v>2017-Q4</v>
      </c>
    </row>
    <row r="3781" customFormat="false" ht="15" hidden="false" customHeight="false" outlineLevel="0" collapsed="false">
      <c r="A3781" s="0" t="s">
        <v>1949</v>
      </c>
      <c r="B3781" s="6" t="n">
        <v>42782</v>
      </c>
      <c r="C3781" s="7" t="s">
        <v>55</v>
      </c>
      <c r="D3781" s="7" t="s">
        <v>76</v>
      </c>
      <c r="E3781" s="7" t="s">
        <v>35</v>
      </c>
      <c r="F3781" s="0" t="n">
        <v>37.94</v>
      </c>
      <c r="G3781" s="0" t="n">
        <v>18.2112</v>
      </c>
      <c r="H3781" s="0" t="n">
        <v>0</v>
      </c>
      <c r="I3781" s="7" t="n">
        <f aca="false">YEAR(B3781)</f>
        <v>2017</v>
      </c>
      <c r="J3781" s="0" t="str">
        <f aca="false">I3781&amp;"-Q"&amp;ROUNDUP(MONTH(B3781)/3,0)</f>
        <v>2017-Q1</v>
      </c>
    </row>
    <row r="3782" customFormat="false" ht="15" hidden="false" customHeight="false" outlineLevel="0" collapsed="false">
      <c r="A3782" s="0" t="s">
        <v>1950</v>
      </c>
      <c r="B3782" s="6" t="n">
        <v>41959</v>
      </c>
      <c r="C3782" s="7" t="s">
        <v>45</v>
      </c>
      <c r="D3782" s="7" t="s">
        <v>946</v>
      </c>
      <c r="E3782" s="7" t="s">
        <v>39</v>
      </c>
      <c r="F3782" s="0" t="n">
        <v>273.96</v>
      </c>
      <c r="G3782" s="0" t="n">
        <v>10.9584</v>
      </c>
      <c r="H3782" s="0" t="n">
        <v>0</v>
      </c>
      <c r="I3782" s="7" t="n">
        <f aca="false">YEAR(B3782)</f>
        <v>2014</v>
      </c>
      <c r="J3782" s="0" t="str">
        <f aca="false">I3782&amp;"-Q"&amp;ROUNDUP(MONTH(B3782)/3,0)</f>
        <v>2014-Q4</v>
      </c>
    </row>
    <row r="3783" customFormat="false" ht="15" hidden="false" customHeight="false" outlineLevel="0" collapsed="false">
      <c r="A3783" s="0" t="s">
        <v>1951</v>
      </c>
      <c r="B3783" s="6" t="n">
        <v>42194</v>
      </c>
      <c r="C3783" s="7" t="s">
        <v>55</v>
      </c>
      <c r="D3783" s="7" t="s">
        <v>56</v>
      </c>
      <c r="E3783" s="7" t="s">
        <v>39</v>
      </c>
      <c r="F3783" s="0" t="n">
        <v>269.982</v>
      </c>
      <c r="G3783" s="0" t="n">
        <v>40.4973</v>
      </c>
      <c r="H3783" s="0" t="n">
        <v>0.4</v>
      </c>
      <c r="I3783" s="7" t="n">
        <f aca="false">YEAR(B3783)</f>
        <v>2015</v>
      </c>
      <c r="J3783" s="0" t="str">
        <f aca="false">I3783&amp;"-Q"&amp;ROUNDUP(MONTH(B3783)/3,0)</f>
        <v>2015-Q3</v>
      </c>
    </row>
    <row r="3784" customFormat="false" ht="15" hidden="false" customHeight="false" outlineLevel="0" collapsed="false">
      <c r="A3784" s="0" t="s">
        <v>1952</v>
      </c>
      <c r="B3784" s="6" t="n">
        <v>43052</v>
      </c>
      <c r="C3784" s="7" t="s">
        <v>29</v>
      </c>
      <c r="D3784" s="7" t="s">
        <v>87</v>
      </c>
      <c r="E3784" s="7" t="s">
        <v>35</v>
      </c>
      <c r="F3784" s="0" t="n">
        <v>8.904</v>
      </c>
      <c r="G3784" s="0" t="n">
        <v>3.339</v>
      </c>
      <c r="H3784" s="0" t="n">
        <v>0.2</v>
      </c>
      <c r="I3784" s="7" t="n">
        <f aca="false">YEAR(B3784)</f>
        <v>2017</v>
      </c>
      <c r="J3784" s="0" t="str">
        <f aca="false">I3784&amp;"-Q"&amp;ROUNDUP(MONTH(B3784)/3,0)</f>
        <v>2017-Q4</v>
      </c>
    </row>
    <row r="3785" customFormat="false" ht="15" hidden="false" customHeight="false" outlineLevel="0" collapsed="false">
      <c r="A3785" s="0" t="s">
        <v>1952</v>
      </c>
      <c r="B3785" s="6" t="n">
        <v>43052</v>
      </c>
      <c r="C3785" s="7" t="s">
        <v>29</v>
      </c>
      <c r="D3785" s="7" t="s">
        <v>87</v>
      </c>
      <c r="E3785" s="7" t="s">
        <v>35</v>
      </c>
      <c r="F3785" s="0" t="n">
        <v>720.064</v>
      </c>
      <c r="G3785" s="0" t="n">
        <v>-63.0056</v>
      </c>
      <c r="H3785" s="0" t="n">
        <v>0.2</v>
      </c>
      <c r="I3785" s="7" t="n">
        <f aca="false">YEAR(B3785)</f>
        <v>2017</v>
      </c>
      <c r="J3785" s="0" t="str">
        <f aca="false">I3785&amp;"-Q"&amp;ROUNDUP(MONTH(B3785)/3,0)</f>
        <v>2017-Q4</v>
      </c>
    </row>
    <row r="3786" customFormat="false" ht="15" hidden="false" customHeight="false" outlineLevel="0" collapsed="false">
      <c r="A3786" s="0" t="s">
        <v>1953</v>
      </c>
      <c r="B3786" s="6" t="n">
        <v>42947</v>
      </c>
      <c r="C3786" s="7" t="s">
        <v>29</v>
      </c>
      <c r="D3786" s="7" t="s">
        <v>37</v>
      </c>
      <c r="E3786" s="7" t="s">
        <v>39</v>
      </c>
      <c r="F3786" s="0" t="n">
        <v>41.424</v>
      </c>
      <c r="G3786" s="0" t="n">
        <v>8.2848</v>
      </c>
      <c r="H3786" s="0" t="n">
        <v>0.2</v>
      </c>
      <c r="I3786" s="7" t="n">
        <f aca="false">YEAR(B3786)</f>
        <v>2017</v>
      </c>
      <c r="J3786" s="0" t="str">
        <f aca="false">I3786&amp;"-Q"&amp;ROUNDUP(MONTH(B3786)/3,0)</f>
        <v>2017-Q3</v>
      </c>
    </row>
    <row r="3787" customFormat="false" ht="15" hidden="false" customHeight="false" outlineLevel="0" collapsed="false">
      <c r="A3787" s="0" t="s">
        <v>1954</v>
      </c>
      <c r="B3787" s="6" t="n">
        <v>43095</v>
      </c>
      <c r="C3787" s="7" t="s">
        <v>55</v>
      </c>
      <c r="D3787" s="7" t="s">
        <v>116</v>
      </c>
      <c r="E3787" s="7" t="s">
        <v>35</v>
      </c>
      <c r="F3787" s="0" t="n">
        <v>3.132</v>
      </c>
      <c r="G3787" s="0" t="n">
        <v>-2.61</v>
      </c>
      <c r="H3787" s="0" t="n">
        <v>0.7</v>
      </c>
      <c r="I3787" s="7" t="n">
        <f aca="false">YEAR(B3787)</f>
        <v>2017</v>
      </c>
      <c r="J3787" s="0" t="str">
        <f aca="false">I3787&amp;"-Q"&amp;ROUNDUP(MONTH(B3787)/3,0)</f>
        <v>2017-Q4</v>
      </c>
    </row>
    <row r="3788" customFormat="false" ht="15" hidden="false" customHeight="false" outlineLevel="0" collapsed="false">
      <c r="A3788" s="0" t="s">
        <v>1955</v>
      </c>
      <c r="B3788" s="6" t="n">
        <v>42674</v>
      </c>
      <c r="C3788" s="7" t="s">
        <v>33</v>
      </c>
      <c r="D3788" s="7" t="s">
        <v>34</v>
      </c>
      <c r="E3788" s="7" t="s">
        <v>35</v>
      </c>
      <c r="F3788" s="0" t="n">
        <v>1085.42</v>
      </c>
      <c r="G3788" s="0" t="n">
        <v>282.2092</v>
      </c>
      <c r="H3788" s="0" t="n">
        <v>0</v>
      </c>
      <c r="I3788" s="7" t="n">
        <f aca="false">YEAR(B3788)</f>
        <v>2016</v>
      </c>
      <c r="J3788" s="0" t="str">
        <f aca="false">I3788&amp;"-Q"&amp;ROUNDUP(MONTH(B3788)/3,0)</f>
        <v>2016-Q4</v>
      </c>
    </row>
    <row r="3789" customFormat="false" ht="15" hidden="false" customHeight="false" outlineLevel="0" collapsed="false">
      <c r="A3789" s="0" t="s">
        <v>1956</v>
      </c>
      <c r="B3789" s="6" t="n">
        <v>42617</v>
      </c>
      <c r="C3789" s="7" t="s">
        <v>45</v>
      </c>
      <c r="D3789" s="7" t="s">
        <v>46</v>
      </c>
      <c r="E3789" s="7" t="s">
        <v>35</v>
      </c>
      <c r="F3789" s="0" t="n">
        <v>3.912</v>
      </c>
      <c r="G3789" s="0" t="n">
        <v>1.0269</v>
      </c>
      <c r="H3789" s="0" t="n">
        <v>0.2</v>
      </c>
      <c r="I3789" s="7" t="n">
        <f aca="false">YEAR(B3789)</f>
        <v>2016</v>
      </c>
      <c r="J3789" s="0" t="str">
        <f aca="false">I3789&amp;"-Q"&amp;ROUNDUP(MONTH(B3789)/3,0)</f>
        <v>2016-Q3</v>
      </c>
    </row>
    <row r="3790" customFormat="false" ht="15" hidden="false" customHeight="false" outlineLevel="0" collapsed="false">
      <c r="A3790" s="0" t="s">
        <v>1956</v>
      </c>
      <c r="B3790" s="6" t="n">
        <v>42617</v>
      </c>
      <c r="C3790" s="7" t="s">
        <v>45</v>
      </c>
      <c r="D3790" s="7" t="s">
        <v>46</v>
      </c>
      <c r="E3790" s="7" t="s">
        <v>35</v>
      </c>
      <c r="F3790" s="0" t="n">
        <v>62.376</v>
      </c>
      <c r="G3790" s="0" t="n">
        <v>7.0173</v>
      </c>
      <c r="H3790" s="0" t="n">
        <v>0.2</v>
      </c>
      <c r="I3790" s="7" t="n">
        <f aca="false">YEAR(B3790)</f>
        <v>2016</v>
      </c>
      <c r="J3790" s="0" t="str">
        <f aca="false">I3790&amp;"-Q"&amp;ROUNDUP(MONTH(B3790)/3,0)</f>
        <v>2016-Q3</v>
      </c>
    </row>
    <row r="3791" customFormat="false" ht="15" hidden="false" customHeight="false" outlineLevel="0" collapsed="false">
      <c r="A3791" s="0" t="s">
        <v>1957</v>
      </c>
      <c r="B3791" s="6" t="n">
        <v>42477</v>
      </c>
      <c r="C3791" s="7" t="s">
        <v>45</v>
      </c>
      <c r="D3791" s="7" t="s">
        <v>53</v>
      </c>
      <c r="E3791" s="7" t="s">
        <v>35</v>
      </c>
      <c r="F3791" s="0" t="n">
        <v>29.05</v>
      </c>
      <c r="G3791" s="0" t="n">
        <v>9.0055</v>
      </c>
      <c r="H3791" s="0" t="n">
        <v>0</v>
      </c>
      <c r="I3791" s="7" t="n">
        <f aca="false">YEAR(B3791)</f>
        <v>2016</v>
      </c>
      <c r="J3791" s="0" t="str">
        <f aca="false">I3791&amp;"-Q"&amp;ROUNDUP(MONTH(B3791)/3,0)</f>
        <v>2016-Q2</v>
      </c>
    </row>
    <row r="3792" customFormat="false" ht="15" hidden="false" customHeight="false" outlineLevel="0" collapsed="false">
      <c r="A3792" s="0" t="s">
        <v>1958</v>
      </c>
      <c r="B3792" s="6" t="n">
        <v>41825</v>
      </c>
      <c r="C3792" s="7" t="s">
        <v>33</v>
      </c>
      <c r="D3792" s="7" t="s">
        <v>34</v>
      </c>
      <c r="E3792" s="7" t="s">
        <v>35</v>
      </c>
      <c r="F3792" s="0" t="n">
        <v>180.96</v>
      </c>
      <c r="G3792" s="0" t="n">
        <v>67.86</v>
      </c>
      <c r="H3792" s="0" t="n">
        <v>0.2</v>
      </c>
      <c r="I3792" s="7" t="n">
        <f aca="false">YEAR(B3792)</f>
        <v>2014</v>
      </c>
      <c r="J3792" s="0" t="str">
        <f aca="false">I3792&amp;"-Q"&amp;ROUNDUP(MONTH(B3792)/3,0)</f>
        <v>2014-Q3</v>
      </c>
    </row>
    <row r="3793" customFormat="false" ht="15" hidden="false" customHeight="false" outlineLevel="0" collapsed="false">
      <c r="A3793" s="0" t="s">
        <v>1959</v>
      </c>
      <c r="B3793" s="6" t="n">
        <v>42062</v>
      </c>
      <c r="C3793" s="7" t="s">
        <v>55</v>
      </c>
      <c r="D3793" s="7" t="s">
        <v>56</v>
      </c>
      <c r="E3793" s="7" t="s">
        <v>35</v>
      </c>
      <c r="F3793" s="0" t="n">
        <v>4.419</v>
      </c>
      <c r="G3793" s="0" t="n">
        <v>-3.3879</v>
      </c>
      <c r="H3793" s="0" t="n">
        <v>0.7</v>
      </c>
      <c r="I3793" s="7" t="n">
        <f aca="false">YEAR(B3793)</f>
        <v>2015</v>
      </c>
      <c r="J3793" s="0" t="str">
        <f aca="false">I3793&amp;"-Q"&amp;ROUNDUP(MONTH(B3793)/3,0)</f>
        <v>2015-Q1</v>
      </c>
    </row>
    <row r="3794" customFormat="false" ht="15" hidden="false" customHeight="false" outlineLevel="0" collapsed="false">
      <c r="A3794" s="0" t="s">
        <v>1959</v>
      </c>
      <c r="B3794" s="6" t="n">
        <v>42062</v>
      </c>
      <c r="C3794" s="7" t="s">
        <v>55</v>
      </c>
      <c r="D3794" s="7" t="s">
        <v>56</v>
      </c>
      <c r="E3794" s="7" t="s">
        <v>35</v>
      </c>
      <c r="F3794" s="0" t="n">
        <v>16.032</v>
      </c>
      <c r="G3794" s="0" t="n">
        <v>2.2044</v>
      </c>
      <c r="H3794" s="0" t="n">
        <v>0.2</v>
      </c>
      <c r="I3794" s="7" t="n">
        <f aca="false">YEAR(B3794)</f>
        <v>2015</v>
      </c>
      <c r="J3794" s="0" t="str">
        <f aca="false">I3794&amp;"-Q"&amp;ROUNDUP(MONTH(B3794)/3,0)</f>
        <v>2015-Q1</v>
      </c>
    </row>
    <row r="3795" customFormat="false" ht="15" hidden="false" customHeight="false" outlineLevel="0" collapsed="false">
      <c r="A3795" s="0" t="s">
        <v>1960</v>
      </c>
      <c r="B3795" s="6" t="n">
        <v>42335</v>
      </c>
      <c r="C3795" s="7" t="s">
        <v>55</v>
      </c>
      <c r="D3795" s="7" t="s">
        <v>76</v>
      </c>
      <c r="E3795" s="7" t="s">
        <v>35</v>
      </c>
      <c r="F3795" s="0" t="n">
        <v>29.79</v>
      </c>
      <c r="G3795" s="0" t="n">
        <v>12.5118</v>
      </c>
      <c r="H3795" s="0" t="n">
        <v>0</v>
      </c>
      <c r="I3795" s="7" t="n">
        <f aca="false">YEAR(B3795)</f>
        <v>2015</v>
      </c>
      <c r="J3795" s="0" t="str">
        <f aca="false">I3795&amp;"-Q"&amp;ROUNDUP(MONTH(B3795)/3,0)</f>
        <v>2015-Q4</v>
      </c>
    </row>
    <row r="3796" customFormat="false" ht="15" hidden="false" customHeight="false" outlineLevel="0" collapsed="false">
      <c r="A3796" s="0" t="s">
        <v>1961</v>
      </c>
      <c r="B3796" s="6" t="n">
        <v>41666</v>
      </c>
      <c r="C3796" s="7" t="s">
        <v>33</v>
      </c>
      <c r="D3796" s="7" t="s">
        <v>34</v>
      </c>
      <c r="E3796" s="7" t="s">
        <v>35</v>
      </c>
      <c r="F3796" s="0" t="n">
        <v>57.23</v>
      </c>
      <c r="G3796" s="0" t="n">
        <v>14.3075</v>
      </c>
      <c r="H3796" s="0" t="n">
        <v>0</v>
      </c>
      <c r="I3796" s="7" t="n">
        <f aca="false">YEAR(B3796)</f>
        <v>2014</v>
      </c>
      <c r="J3796" s="0" t="str">
        <f aca="false">I3796&amp;"-Q"&amp;ROUNDUP(MONTH(B3796)/3,0)</f>
        <v>2014-Q1</v>
      </c>
    </row>
    <row r="3797" customFormat="false" ht="15" hidden="false" customHeight="false" outlineLevel="0" collapsed="false">
      <c r="A3797" s="0" t="s">
        <v>1961</v>
      </c>
      <c r="B3797" s="6" t="n">
        <v>41666</v>
      </c>
      <c r="C3797" s="7" t="s">
        <v>33</v>
      </c>
      <c r="D3797" s="7" t="s">
        <v>34</v>
      </c>
      <c r="E3797" s="7" t="s">
        <v>31</v>
      </c>
      <c r="F3797" s="0" t="n">
        <v>333</v>
      </c>
      <c r="G3797" s="0" t="n">
        <v>-16.65</v>
      </c>
      <c r="H3797" s="0" t="n">
        <v>0.2</v>
      </c>
      <c r="I3797" s="7" t="n">
        <f aca="false">YEAR(B3797)</f>
        <v>2014</v>
      </c>
      <c r="J3797" s="0" t="str">
        <f aca="false">I3797&amp;"-Q"&amp;ROUNDUP(MONTH(B3797)/3,0)</f>
        <v>2014-Q1</v>
      </c>
    </row>
    <row r="3798" customFormat="false" ht="15" hidden="false" customHeight="false" outlineLevel="0" collapsed="false">
      <c r="A3798" s="0" t="s">
        <v>1961</v>
      </c>
      <c r="B3798" s="6" t="n">
        <v>41666</v>
      </c>
      <c r="C3798" s="7" t="s">
        <v>33</v>
      </c>
      <c r="D3798" s="7" t="s">
        <v>34</v>
      </c>
      <c r="E3798" s="7" t="s">
        <v>35</v>
      </c>
      <c r="F3798" s="0" t="n">
        <v>36.44</v>
      </c>
      <c r="G3798" s="0" t="n">
        <v>12.0252</v>
      </c>
      <c r="H3798" s="0" t="n">
        <v>0</v>
      </c>
      <c r="I3798" s="7" t="n">
        <f aca="false">YEAR(B3798)</f>
        <v>2014</v>
      </c>
      <c r="J3798" s="0" t="str">
        <f aca="false">I3798&amp;"-Q"&amp;ROUNDUP(MONTH(B3798)/3,0)</f>
        <v>2014-Q1</v>
      </c>
    </row>
    <row r="3799" customFormat="false" ht="15" hidden="false" customHeight="false" outlineLevel="0" collapsed="false">
      <c r="A3799" s="0" t="s">
        <v>1962</v>
      </c>
      <c r="B3799" s="6" t="n">
        <v>43001</v>
      </c>
      <c r="C3799" s="7" t="s">
        <v>29</v>
      </c>
      <c r="D3799" s="7" t="s">
        <v>37</v>
      </c>
      <c r="E3799" s="7" t="s">
        <v>35</v>
      </c>
      <c r="F3799" s="0" t="n">
        <v>251.64</v>
      </c>
      <c r="G3799" s="0" t="n">
        <v>88.074</v>
      </c>
      <c r="H3799" s="0" t="n">
        <v>0.2</v>
      </c>
      <c r="I3799" s="7" t="n">
        <f aca="false">YEAR(B3799)</f>
        <v>2017</v>
      </c>
      <c r="J3799" s="0" t="str">
        <f aca="false">I3799&amp;"-Q"&amp;ROUNDUP(MONTH(B3799)/3,0)</f>
        <v>2017-Q3</v>
      </c>
    </row>
    <row r="3800" customFormat="false" ht="15" hidden="false" customHeight="false" outlineLevel="0" collapsed="false">
      <c r="A3800" s="0" t="s">
        <v>1963</v>
      </c>
      <c r="B3800" s="6" t="n">
        <v>43043</v>
      </c>
      <c r="C3800" s="7" t="s">
        <v>29</v>
      </c>
      <c r="D3800" s="7" t="s">
        <v>41</v>
      </c>
      <c r="E3800" s="7" t="s">
        <v>31</v>
      </c>
      <c r="F3800" s="0" t="n">
        <v>523.764</v>
      </c>
      <c r="G3800" s="0" t="n">
        <v>-192.0468</v>
      </c>
      <c r="H3800" s="0" t="n">
        <v>0.4</v>
      </c>
      <c r="I3800" s="7" t="n">
        <f aca="false">YEAR(B3800)</f>
        <v>2017</v>
      </c>
      <c r="J3800" s="0" t="str">
        <f aca="false">I3800&amp;"-Q"&amp;ROUNDUP(MONTH(B3800)/3,0)</f>
        <v>2017-Q4</v>
      </c>
    </row>
    <row r="3801" customFormat="false" ht="15" hidden="false" customHeight="false" outlineLevel="0" collapsed="false">
      <c r="A3801" s="0" t="s">
        <v>1963</v>
      </c>
      <c r="B3801" s="6" t="n">
        <v>43043</v>
      </c>
      <c r="C3801" s="7" t="s">
        <v>29</v>
      </c>
      <c r="D3801" s="7" t="s">
        <v>41</v>
      </c>
      <c r="E3801" s="7" t="s">
        <v>39</v>
      </c>
      <c r="F3801" s="0" t="n">
        <v>1359.96</v>
      </c>
      <c r="G3801" s="0" t="n">
        <v>118.9965</v>
      </c>
      <c r="H3801" s="0" t="n">
        <v>0.2</v>
      </c>
      <c r="I3801" s="7" t="n">
        <f aca="false">YEAR(B3801)</f>
        <v>2017</v>
      </c>
      <c r="J3801" s="0" t="str">
        <f aca="false">I3801&amp;"-Q"&amp;ROUNDUP(MONTH(B3801)/3,0)</f>
        <v>2017-Q4</v>
      </c>
    </row>
    <row r="3802" customFormat="false" ht="15" hidden="false" customHeight="false" outlineLevel="0" collapsed="false">
      <c r="A3802" s="0" t="s">
        <v>1964</v>
      </c>
      <c r="B3802" s="6" t="n">
        <v>42657</v>
      </c>
      <c r="C3802" s="7" t="s">
        <v>29</v>
      </c>
      <c r="D3802" s="7" t="s">
        <v>41</v>
      </c>
      <c r="E3802" s="7" t="s">
        <v>31</v>
      </c>
      <c r="F3802" s="0" t="n">
        <v>102.592</v>
      </c>
      <c r="G3802" s="0" t="n">
        <v>10.2592</v>
      </c>
      <c r="H3802" s="0" t="n">
        <v>0.2</v>
      </c>
      <c r="I3802" s="7" t="n">
        <f aca="false">YEAR(B3802)</f>
        <v>2016</v>
      </c>
      <c r="J3802" s="0" t="str">
        <f aca="false">I3802&amp;"-Q"&amp;ROUNDUP(MONTH(B3802)/3,0)</f>
        <v>2016-Q4</v>
      </c>
    </row>
    <row r="3803" customFormat="false" ht="15" hidden="false" customHeight="false" outlineLevel="0" collapsed="false">
      <c r="A3803" s="0" t="s">
        <v>1964</v>
      </c>
      <c r="B3803" s="6" t="n">
        <v>42657</v>
      </c>
      <c r="C3803" s="7" t="s">
        <v>29</v>
      </c>
      <c r="D3803" s="7" t="s">
        <v>41</v>
      </c>
      <c r="E3803" s="7" t="s">
        <v>39</v>
      </c>
      <c r="F3803" s="0" t="n">
        <v>22.704</v>
      </c>
      <c r="G3803" s="0" t="n">
        <v>5.9598</v>
      </c>
      <c r="H3803" s="0" t="n">
        <v>0.2</v>
      </c>
      <c r="I3803" s="7" t="n">
        <f aca="false">YEAR(B3803)</f>
        <v>2016</v>
      </c>
      <c r="J3803" s="0" t="str">
        <f aca="false">I3803&amp;"-Q"&amp;ROUNDUP(MONTH(B3803)/3,0)</f>
        <v>2016-Q4</v>
      </c>
    </row>
    <row r="3804" customFormat="false" ht="15" hidden="false" customHeight="false" outlineLevel="0" collapsed="false">
      <c r="A3804" s="0" t="s">
        <v>1964</v>
      </c>
      <c r="B3804" s="6" t="n">
        <v>42657</v>
      </c>
      <c r="C3804" s="7" t="s">
        <v>29</v>
      </c>
      <c r="D3804" s="7" t="s">
        <v>41</v>
      </c>
      <c r="E3804" s="7" t="s">
        <v>35</v>
      </c>
      <c r="F3804" s="0" t="n">
        <v>93.024</v>
      </c>
      <c r="G3804" s="0" t="n">
        <v>33.7212</v>
      </c>
      <c r="H3804" s="0" t="n">
        <v>0.2</v>
      </c>
      <c r="I3804" s="7" t="n">
        <f aca="false">YEAR(B3804)</f>
        <v>2016</v>
      </c>
      <c r="J3804" s="0" t="str">
        <f aca="false">I3804&amp;"-Q"&amp;ROUNDUP(MONTH(B3804)/3,0)</f>
        <v>2016-Q4</v>
      </c>
    </row>
    <row r="3805" customFormat="false" ht="15" hidden="false" customHeight="false" outlineLevel="0" collapsed="false">
      <c r="A3805" s="0" t="s">
        <v>1964</v>
      </c>
      <c r="B3805" s="6" t="n">
        <v>42657</v>
      </c>
      <c r="C3805" s="7" t="s">
        <v>29</v>
      </c>
      <c r="D3805" s="7" t="s">
        <v>41</v>
      </c>
      <c r="E3805" s="7" t="s">
        <v>35</v>
      </c>
      <c r="F3805" s="0" t="n">
        <v>12.768</v>
      </c>
      <c r="G3805" s="0" t="n">
        <v>1.4364</v>
      </c>
      <c r="H3805" s="0" t="n">
        <v>0.2</v>
      </c>
      <c r="I3805" s="7" t="n">
        <f aca="false">YEAR(B3805)</f>
        <v>2016</v>
      </c>
      <c r="J3805" s="0" t="str">
        <f aca="false">I3805&amp;"-Q"&amp;ROUNDUP(MONTH(B3805)/3,0)</f>
        <v>2016-Q4</v>
      </c>
    </row>
    <row r="3806" customFormat="false" ht="15" hidden="false" customHeight="false" outlineLevel="0" collapsed="false">
      <c r="A3806" s="0" t="s">
        <v>1964</v>
      </c>
      <c r="B3806" s="6" t="n">
        <v>42657</v>
      </c>
      <c r="C3806" s="7" t="s">
        <v>29</v>
      </c>
      <c r="D3806" s="7" t="s">
        <v>41</v>
      </c>
      <c r="E3806" s="7" t="s">
        <v>35</v>
      </c>
      <c r="F3806" s="0" t="n">
        <v>35.008</v>
      </c>
      <c r="G3806" s="0" t="n">
        <v>13.128</v>
      </c>
      <c r="H3806" s="0" t="n">
        <v>0.2</v>
      </c>
      <c r="I3806" s="7" t="n">
        <f aca="false">YEAR(B3806)</f>
        <v>2016</v>
      </c>
      <c r="J3806" s="0" t="str">
        <f aca="false">I3806&amp;"-Q"&amp;ROUNDUP(MONTH(B3806)/3,0)</f>
        <v>2016-Q4</v>
      </c>
    </row>
    <row r="3807" customFormat="false" ht="15" hidden="false" customHeight="false" outlineLevel="0" collapsed="false">
      <c r="A3807" s="0" t="s">
        <v>1964</v>
      </c>
      <c r="B3807" s="6" t="n">
        <v>42657</v>
      </c>
      <c r="C3807" s="7" t="s">
        <v>29</v>
      </c>
      <c r="D3807" s="7" t="s">
        <v>41</v>
      </c>
      <c r="E3807" s="7" t="s">
        <v>35</v>
      </c>
      <c r="F3807" s="0" t="n">
        <v>39.152</v>
      </c>
      <c r="G3807" s="0" t="n">
        <v>14.682</v>
      </c>
      <c r="H3807" s="0" t="n">
        <v>0.2</v>
      </c>
      <c r="I3807" s="7" t="n">
        <f aca="false">YEAR(B3807)</f>
        <v>2016</v>
      </c>
      <c r="J3807" s="0" t="str">
        <f aca="false">I3807&amp;"-Q"&amp;ROUNDUP(MONTH(B3807)/3,0)</f>
        <v>2016-Q4</v>
      </c>
    </row>
    <row r="3808" customFormat="false" ht="15" hidden="false" customHeight="false" outlineLevel="0" collapsed="false">
      <c r="A3808" s="0" t="s">
        <v>1965</v>
      </c>
      <c r="B3808" s="6" t="n">
        <v>42320</v>
      </c>
      <c r="C3808" s="7" t="s">
        <v>29</v>
      </c>
      <c r="D3808" s="7" t="s">
        <v>37</v>
      </c>
      <c r="E3808" s="7" t="s">
        <v>35</v>
      </c>
      <c r="F3808" s="0" t="n">
        <v>11.76</v>
      </c>
      <c r="G3808" s="0" t="n">
        <v>1.323</v>
      </c>
      <c r="H3808" s="0" t="n">
        <v>0.2</v>
      </c>
      <c r="I3808" s="7" t="n">
        <f aca="false">YEAR(B3808)</f>
        <v>2015</v>
      </c>
      <c r="J3808" s="0" t="str">
        <f aca="false">I3808&amp;"-Q"&amp;ROUNDUP(MONTH(B3808)/3,0)</f>
        <v>2015-Q4</v>
      </c>
    </row>
    <row r="3809" customFormat="false" ht="15" hidden="false" customHeight="false" outlineLevel="0" collapsed="false">
      <c r="A3809" s="0" t="s">
        <v>1965</v>
      </c>
      <c r="B3809" s="6" t="n">
        <v>42320</v>
      </c>
      <c r="C3809" s="7" t="s">
        <v>29</v>
      </c>
      <c r="D3809" s="7" t="s">
        <v>37</v>
      </c>
      <c r="E3809" s="7" t="s">
        <v>35</v>
      </c>
      <c r="F3809" s="0" t="n">
        <v>5.238</v>
      </c>
      <c r="G3809" s="0" t="n">
        <v>-4.0158</v>
      </c>
      <c r="H3809" s="0" t="n">
        <v>0.7</v>
      </c>
      <c r="I3809" s="7" t="n">
        <f aca="false">YEAR(B3809)</f>
        <v>2015</v>
      </c>
      <c r="J3809" s="0" t="str">
        <f aca="false">I3809&amp;"-Q"&amp;ROUNDUP(MONTH(B3809)/3,0)</f>
        <v>2015-Q4</v>
      </c>
    </row>
    <row r="3810" customFormat="false" ht="15" hidden="false" customHeight="false" outlineLevel="0" collapsed="false">
      <c r="A3810" s="0" t="s">
        <v>1965</v>
      </c>
      <c r="B3810" s="6" t="n">
        <v>42320</v>
      </c>
      <c r="C3810" s="7" t="s">
        <v>29</v>
      </c>
      <c r="D3810" s="7" t="s">
        <v>37</v>
      </c>
      <c r="E3810" s="7" t="s">
        <v>35</v>
      </c>
      <c r="F3810" s="0" t="n">
        <v>4.662</v>
      </c>
      <c r="G3810" s="0" t="n">
        <v>-3.7296</v>
      </c>
      <c r="H3810" s="0" t="n">
        <v>0.7</v>
      </c>
      <c r="I3810" s="7" t="n">
        <f aca="false">YEAR(B3810)</f>
        <v>2015</v>
      </c>
      <c r="J3810" s="0" t="str">
        <f aca="false">I3810&amp;"-Q"&amp;ROUNDUP(MONTH(B3810)/3,0)</f>
        <v>2015-Q4</v>
      </c>
    </row>
    <row r="3811" customFormat="false" ht="15" hidden="false" customHeight="false" outlineLevel="0" collapsed="false">
      <c r="A3811" s="0" t="s">
        <v>1965</v>
      </c>
      <c r="B3811" s="6" t="n">
        <v>42320</v>
      </c>
      <c r="C3811" s="7" t="s">
        <v>29</v>
      </c>
      <c r="D3811" s="7" t="s">
        <v>37</v>
      </c>
      <c r="E3811" s="7" t="s">
        <v>31</v>
      </c>
      <c r="F3811" s="0" t="n">
        <v>523.92</v>
      </c>
      <c r="G3811" s="0" t="n">
        <v>-72.039</v>
      </c>
      <c r="H3811" s="0" t="n">
        <v>0.2</v>
      </c>
      <c r="I3811" s="7" t="n">
        <f aca="false">YEAR(B3811)</f>
        <v>2015</v>
      </c>
      <c r="J3811" s="0" t="str">
        <f aca="false">I3811&amp;"-Q"&amp;ROUNDUP(MONTH(B3811)/3,0)</f>
        <v>2015-Q4</v>
      </c>
    </row>
    <row r="3812" customFormat="false" ht="15" hidden="false" customHeight="false" outlineLevel="0" collapsed="false">
      <c r="A3812" s="0" t="s">
        <v>1965</v>
      </c>
      <c r="B3812" s="6" t="n">
        <v>42320</v>
      </c>
      <c r="C3812" s="7" t="s">
        <v>29</v>
      </c>
      <c r="D3812" s="7" t="s">
        <v>37</v>
      </c>
      <c r="E3812" s="7" t="s">
        <v>39</v>
      </c>
      <c r="F3812" s="0" t="n">
        <v>100.792</v>
      </c>
      <c r="G3812" s="0" t="n">
        <v>10.0792</v>
      </c>
      <c r="H3812" s="0" t="n">
        <v>0.2</v>
      </c>
      <c r="I3812" s="7" t="n">
        <f aca="false">YEAR(B3812)</f>
        <v>2015</v>
      </c>
      <c r="J3812" s="0" t="str">
        <f aca="false">I3812&amp;"-Q"&amp;ROUNDUP(MONTH(B3812)/3,0)</f>
        <v>2015-Q4</v>
      </c>
    </row>
    <row r="3813" customFormat="false" ht="15" hidden="false" customHeight="false" outlineLevel="0" collapsed="false">
      <c r="A3813" s="0" t="s">
        <v>1965</v>
      </c>
      <c r="B3813" s="6" t="n">
        <v>42320</v>
      </c>
      <c r="C3813" s="7" t="s">
        <v>29</v>
      </c>
      <c r="D3813" s="7" t="s">
        <v>37</v>
      </c>
      <c r="E3813" s="7" t="s">
        <v>31</v>
      </c>
      <c r="F3813" s="0" t="n">
        <v>146.136</v>
      </c>
      <c r="G3813" s="0" t="n">
        <v>16.4403</v>
      </c>
      <c r="H3813" s="0" t="n">
        <v>0.2</v>
      </c>
      <c r="I3813" s="7" t="n">
        <f aca="false">YEAR(B3813)</f>
        <v>2015</v>
      </c>
      <c r="J3813" s="0" t="str">
        <f aca="false">I3813&amp;"-Q"&amp;ROUNDUP(MONTH(B3813)/3,0)</f>
        <v>2015-Q4</v>
      </c>
    </row>
    <row r="3814" customFormat="false" ht="15" hidden="false" customHeight="false" outlineLevel="0" collapsed="false">
      <c r="A3814" s="0" t="s">
        <v>1966</v>
      </c>
      <c r="B3814" s="6" t="n">
        <v>42799</v>
      </c>
      <c r="C3814" s="7" t="s">
        <v>45</v>
      </c>
      <c r="D3814" s="7" t="s">
        <v>48</v>
      </c>
      <c r="E3814" s="7" t="s">
        <v>35</v>
      </c>
      <c r="F3814" s="0" t="n">
        <v>25.06</v>
      </c>
      <c r="G3814" s="0" t="n">
        <v>11.7782</v>
      </c>
      <c r="H3814" s="0" t="n">
        <v>0</v>
      </c>
      <c r="I3814" s="7" t="n">
        <f aca="false">YEAR(B3814)</f>
        <v>2017</v>
      </c>
      <c r="J3814" s="0" t="str">
        <f aca="false">I3814&amp;"-Q"&amp;ROUNDUP(MONTH(B3814)/3,0)</f>
        <v>2017-Q1</v>
      </c>
    </row>
    <row r="3815" customFormat="false" ht="15" hidden="false" customHeight="false" outlineLevel="0" collapsed="false">
      <c r="A3815" s="0" t="s">
        <v>1967</v>
      </c>
      <c r="B3815" s="6" t="n">
        <v>42313</v>
      </c>
      <c r="C3815" s="7" t="s">
        <v>45</v>
      </c>
      <c r="D3815" s="7" t="s">
        <v>64</v>
      </c>
      <c r="E3815" s="7" t="s">
        <v>35</v>
      </c>
      <c r="F3815" s="0" t="n">
        <v>19.824</v>
      </c>
      <c r="G3815" s="0" t="n">
        <v>6.4428</v>
      </c>
      <c r="H3815" s="0" t="n">
        <v>0.2</v>
      </c>
      <c r="I3815" s="7" t="n">
        <f aca="false">YEAR(B3815)</f>
        <v>2015</v>
      </c>
      <c r="J3815" s="0" t="str">
        <f aca="false">I3815&amp;"-Q"&amp;ROUNDUP(MONTH(B3815)/3,0)</f>
        <v>2015-Q4</v>
      </c>
    </row>
    <row r="3816" customFormat="false" ht="15" hidden="false" customHeight="false" outlineLevel="0" collapsed="false">
      <c r="A3816" s="0" t="s">
        <v>1968</v>
      </c>
      <c r="B3816" s="6" t="n">
        <v>42559</v>
      </c>
      <c r="C3816" s="7" t="s">
        <v>29</v>
      </c>
      <c r="D3816" s="7" t="s">
        <v>37</v>
      </c>
      <c r="E3816" s="7" t="s">
        <v>39</v>
      </c>
      <c r="F3816" s="0" t="n">
        <v>823.96</v>
      </c>
      <c r="G3816" s="0" t="n">
        <v>51.4975</v>
      </c>
      <c r="H3816" s="0" t="n">
        <v>0.2</v>
      </c>
      <c r="I3816" s="7" t="n">
        <f aca="false">YEAR(B3816)</f>
        <v>2016</v>
      </c>
      <c r="J3816" s="0" t="str">
        <f aca="false">I3816&amp;"-Q"&amp;ROUNDUP(MONTH(B3816)/3,0)</f>
        <v>2016-Q3</v>
      </c>
    </row>
    <row r="3817" customFormat="false" ht="15" hidden="false" customHeight="false" outlineLevel="0" collapsed="false">
      <c r="A3817" s="0" t="s">
        <v>1968</v>
      </c>
      <c r="B3817" s="6" t="n">
        <v>42559</v>
      </c>
      <c r="C3817" s="7" t="s">
        <v>29</v>
      </c>
      <c r="D3817" s="7" t="s">
        <v>37</v>
      </c>
      <c r="E3817" s="7" t="s">
        <v>35</v>
      </c>
      <c r="F3817" s="0" t="n">
        <v>15.984</v>
      </c>
      <c r="G3817" s="0" t="n">
        <v>4.995</v>
      </c>
      <c r="H3817" s="0" t="n">
        <v>0.2</v>
      </c>
      <c r="I3817" s="7" t="n">
        <f aca="false">YEAR(B3817)</f>
        <v>2016</v>
      </c>
      <c r="J3817" s="0" t="str">
        <f aca="false">I3817&amp;"-Q"&amp;ROUNDUP(MONTH(B3817)/3,0)</f>
        <v>2016-Q3</v>
      </c>
    </row>
    <row r="3818" customFormat="false" ht="15" hidden="false" customHeight="false" outlineLevel="0" collapsed="false">
      <c r="A3818" s="0" t="s">
        <v>1969</v>
      </c>
      <c r="B3818" s="6" t="n">
        <v>42262</v>
      </c>
      <c r="C3818" s="7" t="s">
        <v>29</v>
      </c>
      <c r="D3818" s="7" t="s">
        <v>91</v>
      </c>
      <c r="E3818" s="7" t="s">
        <v>31</v>
      </c>
      <c r="F3818" s="0" t="n">
        <v>801.96</v>
      </c>
      <c r="G3818" s="0" t="n">
        <v>200.49</v>
      </c>
      <c r="H3818" s="0" t="n">
        <v>0</v>
      </c>
      <c r="I3818" s="7" t="n">
        <f aca="false">YEAR(B3818)</f>
        <v>2015</v>
      </c>
      <c r="J3818" s="0" t="str">
        <f aca="false">I3818&amp;"-Q"&amp;ROUNDUP(MONTH(B3818)/3,0)</f>
        <v>2015-Q3</v>
      </c>
    </row>
    <row r="3819" customFormat="false" ht="15" hidden="false" customHeight="false" outlineLevel="0" collapsed="false">
      <c r="A3819" s="0" t="s">
        <v>1969</v>
      </c>
      <c r="B3819" s="6" t="n">
        <v>42262</v>
      </c>
      <c r="C3819" s="7" t="s">
        <v>29</v>
      </c>
      <c r="D3819" s="7" t="s">
        <v>91</v>
      </c>
      <c r="E3819" s="7" t="s">
        <v>39</v>
      </c>
      <c r="F3819" s="0" t="n">
        <v>59.97</v>
      </c>
      <c r="G3819" s="0" t="n">
        <v>0</v>
      </c>
      <c r="H3819" s="0" t="n">
        <v>0</v>
      </c>
      <c r="I3819" s="7" t="n">
        <f aca="false">YEAR(B3819)</f>
        <v>2015</v>
      </c>
      <c r="J3819" s="0" t="str">
        <f aca="false">I3819&amp;"-Q"&amp;ROUNDUP(MONTH(B3819)/3,0)</f>
        <v>2015-Q3</v>
      </c>
    </row>
    <row r="3820" customFormat="false" ht="15" hidden="false" customHeight="false" outlineLevel="0" collapsed="false">
      <c r="A3820" s="0" t="s">
        <v>1969</v>
      </c>
      <c r="B3820" s="6" t="n">
        <v>42262</v>
      </c>
      <c r="C3820" s="7" t="s">
        <v>29</v>
      </c>
      <c r="D3820" s="7" t="s">
        <v>91</v>
      </c>
      <c r="E3820" s="7" t="s">
        <v>31</v>
      </c>
      <c r="F3820" s="0" t="n">
        <v>1056.86</v>
      </c>
      <c r="G3820" s="0" t="n">
        <v>306.4894</v>
      </c>
      <c r="H3820" s="0" t="n">
        <v>0</v>
      </c>
      <c r="I3820" s="7" t="n">
        <f aca="false">YEAR(B3820)</f>
        <v>2015</v>
      </c>
      <c r="J3820" s="0" t="str">
        <f aca="false">I3820&amp;"-Q"&amp;ROUNDUP(MONTH(B3820)/3,0)</f>
        <v>2015-Q3</v>
      </c>
    </row>
    <row r="3821" customFormat="false" ht="15" hidden="false" customHeight="false" outlineLevel="0" collapsed="false">
      <c r="A3821" s="0" t="s">
        <v>1970</v>
      </c>
      <c r="B3821" s="6" t="n">
        <v>43017</v>
      </c>
      <c r="C3821" s="7" t="s">
        <v>55</v>
      </c>
      <c r="D3821" s="7" t="s">
        <v>76</v>
      </c>
      <c r="E3821" s="7" t="s">
        <v>35</v>
      </c>
      <c r="F3821" s="0" t="n">
        <v>12.816</v>
      </c>
      <c r="G3821" s="0" t="n">
        <v>4.3254</v>
      </c>
      <c r="H3821" s="0" t="n">
        <v>0.2</v>
      </c>
      <c r="I3821" s="7" t="n">
        <f aca="false">YEAR(B3821)</f>
        <v>2017</v>
      </c>
      <c r="J3821" s="0" t="str">
        <f aca="false">I3821&amp;"-Q"&amp;ROUNDUP(MONTH(B3821)/3,0)</f>
        <v>2017-Q4</v>
      </c>
    </row>
    <row r="3822" customFormat="false" ht="15" hidden="false" customHeight="false" outlineLevel="0" collapsed="false">
      <c r="A3822" s="0" t="s">
        <v>1970</v>
      </c>
      <c r="B3822" s="6" t="n">
        <v>43017</v>
      </c>
      <c r="C3822" s="7" t="s">
        <v>55</v>
      </c>
      <c r="D3822" s="7" t="s">
        <v>76</v>
      </c>
      <c r="E3822" s="7" t="s">
        <v>31</v>
      </c>
      <c r="F3822" s="0" t="n">
        <v>314.352</v>
      </c>
      <c r="G3822" s="0" t="n">
        <v>-15.7176</v>
      </c>
      <c r="H3822" s="0" t="n">
        <v>0.2</v>
      </c>
      <c r="I3822" s="7" t="n">
        <f aca="false">YEAR(B3822)</f>
        <v>2017</v>
      </c>
      <c r="J3822" s="0" t="str">
        <f aca="false">I3822&amp;"-Q"&amp;ROUNDUP(MONTH(B3822)/3,0)</f>
        <v>2017-Q4</v>
      </c>
    </row>
    <row r="3823" customFormat="false" ht="15" hidden="false" customHeight="false" outlineLevel="0" collapsed="false">
      <c r="A3823" s="0" t="s">
        <v>1970</v>
      </c>
      <c r="B3823" s="6" t="n">
        <v>43017</v>
      </c>
      <c r="C3823" s="7" t="s">
        <v>55</v>
      </c>
      <c r="D3823" s="7" t="s">
        <v>76</v>
      </c>
      <c r="E3823" s="7" t="s">
        <v>35</v>
      </c>
      <c r="F3823" s="0" t="n">
        <v>18.98</v>
      </c>
      <c r="G3823" s="0" t="n">
        <v>8.9206</v>
      </c>
      <c r="H3823" s="0" t="n">
        <v>0</v>
      </c>
      <c r="I3823" s="7" t="n">
        <f aca="false">YEAR(B3823)</f>
        <v>2017</v>
      </c>
      <c r="J3823" s="0" t="str">
        <f aca="false">I3823&amp;"-Q"&amp;ROUNDUP(MONTH(B3823)/3,0)</f>
        <v>2017-Q4</v>
      </c>
    </row>
    <row r="3824" customFormat="false" ht="15" hidden="false" customHeight="false" outlineLevel="0" collapsed="false">
      <c r="A3824" s="0" t="s">
        <v>1970</v>
      </c>
      <c r="B3824" s="6" t="n">
        <v>43017</v>
      </c>
      <c r="C3824" s="7" t="s">
        <v>55</v>
      </c>
      <c r="D3824" s="7" t="s">
        <v>76</v>
      </c>
      <c r="E3824" s="7" t="s">
        <v>35</v>
      </c>
      <c r="F3824" s="0" t="n">
        <v>18.24</v>
      </c>
      <c r="G3824" s="0" t="n">
        <v>6.156</v>
      </c>
      <c r="H3824" s="0" t="n">
        <v>0.2</v>
      </c>
      <c r="I3824" s="7" t="n">
        <f aca="false">YEAR(B3824)</f>
        <v>2017</v>
      </c>
      <c r="J3824" s="0" t="str">
        <f aca="false">I3824&amp;"-Q"&amp;ROUNDUP(MONTH(B3824)/3,0)</f>
        <v>2017-Q4</v>
      </c>
    </row>
    <row r="3825" customFormat="false" ht="15" hidden="false" customHeight="false" outlineLevel="0" collapsed="false">
      <c r="A3825" s="0" t="s">
        <v>1971</v>
      </c>
      <c r="B3825" s="6" t="n">
        <v>42261</v>
      </c>
      <c r="C3825" s="7" t="s">
        <v>55</v>
      </c>
      <c r="D3825" s="7" t="s">
        <v>76</v>
      </c>
      <c r="E3825" s="7" t="s">
        <v>35</v>
      </c>
      <c r="F3825" s="0" t="n">
        <v>991.2</v>
      </c>
      <c r="G3825" s="0" t="n">
        <v>257.712</v>
      </c>
      <c r="H3825" s="0" t="n">
        <v>0</v>
      </c>
      <c r="I3825" s="7" t="n">
        <f aca="false">YEAR(B3825)</f>
        <v>2015</v>
      </c>
      <c r="J3825" s="0" t="str">
        <f aca="false">I3825&amp;"-Q"&amp;ROUNDUP(MONTH(B3825)/3,0)</f>
        <v>2015-Q3</v>
      </c>
    </row>
    <row r="3826" customFormat="false" ht="15" hidden="false" customHeight="false" outlineLevel="0" collapsed="false">
      <c r="A3826" s="0" t="s">
        <v>1971</v>
      </c>
      <c r="B3826" s="6" t="n">
        <v>42261</v>
      </c>
      <c r="C3826" s="7" t="s">
        <v>55</v>
      </c>
      <c r="D3826" s="7" t="s">
        <v>76</v>
      </c>
      <c r="E3826" s="7" t="s">
        <v>39</v>
      </c>
      <c r="F3826" s="0" t="n">
        <v>879.984</v>
      </c>
      <c r="G3826" s="0" t="n">
        <v>329.994</v>
      </c>
      <c r="H3826" s="0" t="n">
        <v>0.2</v>
      </c>
      <c r="I3826" s="7" t="n">
        <f aca="false">YEAR(B3826)</f>
        <v>2015</v>
      </c>
      <c r="J3826" s="0" t="str">
        <f aca="false">I3826&amp;"-Q"&amp;ROUNDUP(MONTH(B3826)/3,0)</f>
        <v>2015-Q3</v>
      </c>
    </row>
    <row r="3827" customFormat="false" ht="15" hidden="false" customHeight="false" outlineLevel="0" collapsed="false">
      <c r="A3827" s="0" t="s">
        <v>1971</v>
      </c>
      <c r="B3827" s="6" t="n">
        <v>42261</v>
      </c>
      <c r="C3827" s="7" t="s">
        <v>55</v>
      </c>
      <c r="D3827" s="7" t="s">
        <v>76</v>
      </c>
      <c r="E3827" s="7" t="s">
        <v>35</v>
      </c>
      <c r="F3827" s="0" t="n">
        <v>12.96</v>
      </c>
      <c r="G3827" s="0" t="n">
        <v>4.536</v>
      </c>
      <c r="H3827" s="0" t="n">
        <v>0.2</v>
      </c>
      <c r="I3827" s="7" t="n">
        <f aca="false">YEAR(B3827)</f>
        <v>2015</v>
      </c>
      <c r="J3827" s="0" t="str">
        <f aca="false">I3827&amp;"-Q"&amp;ROUNDUP(MONTH(B3827)/3,0)</f>
        <v>2015-Q3</v>
      </c>
    </row>
    <row r="3828" customFormat="false" ht="15" hidden="false" customHeight="false" outlineLevel="0" collapsed="false">
      <c r="A3828" s="0" t="s">
        <v>1972</v>
      </c>
      <c r="B3828" s="6" t="n">
        <v>41919</v>
      </c>
      <c r="C3828" s="7" t="s">
        <v>45</v>
      </c>
      <c r="D3828" s="7" t="s">
        <v>46</v>
      </c>
      <c r="E3828" s="7" t="s">
        <v>35</v>
      </c>
      <c r="F3828" s="0" t="n">
        <v>107.44</v>
      </c>
      <c r="G3828" s="0" t="n">
        <v>10.744</v>
      </c>
      <c r="H3828" s="0" t="n">
        <v>0.2</v>
      </c>
      <c r="I3828" s="7" t="n">
        <f aca="false">YEAR(B3828)</f>
        <v>2014</v>
      </c>
      <c r="J3828" s="0" t="str">
        <f aca="false">I3828&amp;"-Q"&amp;ROUNDUP(MONTH(B3828)/3,0)</f>
        <v>2014-Q4</v>
      </c>
    </row>
    <row r="3829" customFormat="false" ht="15" hidden="false" customHeight="false" outlineLevel="0" collapsed="false">
      <c r="A3829" s="0" t="s">
        <v>1973</v>
      </c>
      <c r="B3829" s="6" t="n">
        <v>42862</v>
      </c>
      <c r="C3829" s="7" t="s">
        <v>45</v>
      </c>
      <c r="D3829" s="7" t="s">
        <v>70</v>
      </c>
      <c r="E3829" s="7" t="s">
        <v>31</v>
      </c>
      <c r="F3829" s="0" t="n">
        <v>1458.65</v>
      </c>
      <c r="G3829" s="0" t="n">
        <v>423.0085</v>
      </c>
      <c r="H3829" s="0" t="n">
        <v>0</v>
      </c>
      <c r="I3829" s="7" t="n">
        <f aca="false">YEAR(B3829)</f>
        <v>2017</v>
      </c>
      <c r="J3829" s="0" t="str">
        <f aca="false">I3829&amp;"-Q"&amp;ROUNDUP(MONTH(B3829)/3,0)</f>
        <v>2017-Q2</v>
      </c>
    </row>
    <row r="3830" customFormat="false" ht="15" hidden="false" customHeight="false" outlineLevel="0" collapsed="false">
      <c r="A3830" s="0" t="s">
        <v>1973</v>
      </c>
      <c r="B3830" s="6" t="n">
        <v>42862</v>
      </c>
      <c r="C3830" s="7" t="s">
        <v>45</v>
      </c>
      <c r="D3830" s="7" t="s">
        <v>70</v>
      </c>
      <c r="E3830" s="7" t="s">
        <v>31</v>
      </c>
      <c r="F3830" s="0" t="n">
        <v>26.64</v>
      </c>
      <c r="G3830" s="0" t="n">
        <v>7.4592</v>
      </c>
      <c r="H3830" s="0" t="n">
        <v>0</v>
      </c>
      <c r="I3830" s="7" t="n">
        <f aca="false">YEAR(B3830)</f>
        <v>2017</v>
      </c>
      <c r="J3830" s="0" t="str">
        <f aca="false">I3830&amp;"-Q"&amp;ROUNDUP(MONTH(B3830)/3,0)</f>
        <v>2017-Q2</v>
      </c>
    </row>
    <row r="3831" customFormat="false" ht="15" hidden="false" customHeight="false" outlineLevel="0" collapsed="false">
      <c r="A3831" s="0" t="s">
        <v>1973</v>
      </c>
      <c r="B3831" s="6" t="n">
        <v>42862</v>
      </c>
      <c r="C3831" s="7" t="s">
        <v>45</v>
      </c>
      <c r="D3831" s="7" t="s">
        <v>70</v>
      </c>
      <c r="E3831" s="7" t="s">
        <v>31</v>
      </c>
      <c r="F3831" s="0" t="n">
        <v>476.8</v>
      </c>
      <c r="G3831" s="0" t="n">
        <v>119.2</v>
      </c>
      <c r="H3831" s="0" t="n">
        <v>0</v>
      </c>
      <c r="I3831" s="7" t="n">
        <f aca="false">YEAR(B3831)</f>
        <v>2017</v>
      </c>
      <c r="J3831" s="0" t="str">
        <f aca="false">I3831&amp;"-Q"&amp;ROUNDUP(MONTH(B3831)/3,0)</f>
        <v>2017-Q2</v>
      </c>
    </row>
    <row r="3832" customFormat="false" ht="15" hidden="false" customHeight="false" outlineLevel="0" collapsed="false">
      <c r="A3832" s="0" t="s">
        <v>1973</v>
      </c>
      <c r="B3832" s="6" t="n">
        <v>42862</v>
      </c>
      <c r="C3832" s="7" t="s">
        <v>45</v>
      </c>
      <c r="D3832" s="7" t="s">
        <v>70</v>
      </c>
      <c r="E3832" s="7" t="s">
        <v>35</v>
      </c>
      <c r="F3832" s="0" t="n">
        <v>87.444</v>
      </c>
      <c r="G3832" s="0" t="n">
        <v>18.4604</v>
      </c>
      <c r="H3832" s="0" t="n">
        <v>0.1</v>
      </c>
      <c r="I3832" s="7" t="n">
        <f aca="false">YEAR(B3832)</f>
        <v>2017</v>
      </c>
      <c r="J3832" s="0" t="str">
        <f aca="false">I3832&amp;"-Q"&amp;ROUNDUP(MONTH(B3832)/3,0)</f>
        <v>2017-Q2</v>
      </c>
    </row>
    <row r="3833" customFormat="false" ht="15" hidden="false" customHeight="false" outlineLevel="0" collapsed="false">
      <c r="A3833" s="0" t="s">
        <v>1974</v>
      </c>
      <c r="B3833" s="6" t="n">
        <v>42322</v>
      </c>
      <c r="C3833" s="7" t="s">
        <v>55</v>
      </c>
      <c r="D3833" s="7" t="s">
        <v>72</v>
      </c>
      <c r="E3833" s="7" t="s">
        <v>31</v>
      </c>
      <c r="F3833" s="0" t="n">
        <v>76.14</v>
      </c>
      <c r="G3833" s="0" t="n">
        <v>26.649</v>
      </c>
      <c r="H3833" s="0" t="n">
        <v>0</v>
      </c>
      <c r="I3833" s="7" t="n">
        <f aca="false">YEAR(B3833)</f>
        <v>2015</v>
      </c>
      <c r="J3833" s="0" t="str">
        <f aca="false">I3833&amp;"-Q"&amp;ROUNDUP(MONTH(B3833)/3,0)</f>
        <v>2015-Q4</v>
      </c>
    </row>
    <row r="3834" customFormat="false" ht="15" hidden="false" customHeight="false" outlineLevel="0" collapsed="false">
      <c r="A3834" s="0" t="s">
        <v>1974</v>
      </c>
      <c r="B3834" s="6" t="n">
        <v>42322</v>
      </c>
      <c r="C3834" s="7" t="s">
        <v>55</v>
      </c>
      <c r="D3834" s="7" t="s">
        <v>72</v>
      </c>
      <c r="E3834" s="7" t="s">
        <v>35</v>
      </c>
      <c r="F3834" s="0" t="n">
        <v>19.96</v>
      </c>
      <c r="G3834" s="0" t="n">
        <v>9.3812</v>
      </c>
      <c r="H3834" s="0" t="n">
        <v>0</v>
      </c>
      <c r="I3834" s="7" t="n">
        <f aca="false">YEAR(B3834)</f>
        <v>2015</v>
      </c>
      <c r="J3834" s="0" t="str">
        <f aca="false">I3834&amp;"-Q"&amp;ROUNDUP(MONTH(B3834)/3,0)</f>
        <v>2015-Q4</v>
      </c>
    </row>
    <row r="3835" customFormat="false" ht="15" hidden="false" customHeight="false" outlineLevel="0" collapsed="false">
      <c r="A3835" s="0" t="s">
        <v>1975</v>
      </c>
      <c r="B3835" s="6" t="n">
        <v>41967</v>
      </c>
      <c r="C3835" s="7" t="s">
        <v>55</v>
      </c>
      <c r="D3835" s="7" t="s">
        <v>116</v>
      </c>
      <c r="E3835" s="7" t="s">
        <v>39</v>
      </c>
      <c r="F3835" s="0" t="n">
        <v>1049.97</v>
      </c>
      <c r="G3835" s="0" t="n">
        <v>-209.994</v>
      </c>
      <c r="H3835" s="0" t="n">
        <v>0.4</v>
      </c>
      <c r="I3835" s="7" t="n">
        <f aca="false">YEAR(B3835)</f>
        <v>2014</v>
      </c>
      <c r="J3835" s="0" t="str">
        <f aca="false">I3835&amp;"-Q"&amp;ROUNDUP(MONTH(B3835)/3,0)</f>
        <v>2014-Q4</v>
      </c>
    </row>
    <row r="3836" customFormat="false" ht="15" hidden="false" customHeight="false" outlineLevel="0" collapsed="false">
      <c r="A3836" s="0" t="s">
        <v>1975</v>
      </c>
      <c r="B3836" s="6" t="n">
        <v>41967</v>
      </c>
      <c r="C3836" s="7" t="s">
        <v>55</v>
      </c>
      <c r="D3836" s="7" t="s">
        <v>116</v>
      </c>
      <c r="E3836" s="7" t="s">
        <v>31</v>
      </c>
      <c r="F3836" s="0" t="n">
        <v>611.058</v>
      </c>
      <c r="G3836" s="0" t="n">
        <v>-34.9176</v>
      </c>
      <c r="H3836" s="0" t="n">
        <v>0.3</v>
      </c>
      <c r="I3836" s="7" t="n">
        <f aca="false">YEAR(B3836)</f>
        <v>2014</v>
      </c>
      <c r="J3836" s="0" t="str">
        <f aca="false">I3836&amp;"-Q"&amp;ROUNDUP(MONTH(B3836)/3,0)</f>
        <v>2014-Q4</v>
      </c>
    </row>
    <row r="3837" customFormat="false" ht="15" hidden="false" customHeight="false" outlineLevel="0" collapsed="false">
      <c r="A3837" s="0" t="s">
        <v>1976</v>
      </c>
      <c r="B3837" s="6" t="n">
        <v>41737</v>
      </c>
      <c r="C3837" s="7" t="s">
        <v>33</v>
      </c>
      <c r="D3837" s="7" t="s">
        <v>81</v>
      </c>
      <c r="E3837" s="7" t="s">
        <v>35</v>
      </c>
      <c r="F3837" s="0" t="n">
        <v>2.368</v>
      </c>
      <c r="G3837" s="0" t="n">
        <v>0.8288</v>
      </c>
      <c r="H3837" s="0" t="n">
        <v>0.2</v>
      </c>
      <c r="I3837" s="7" t="n">
        <f aca="false">YEAR(B3837)</f>
        <v>2014</v>
      </c>
      <c r="J3837" s="0" t="str">
        <f aca="false">I3837&amp;"-Q"&amp;ROUNDUP(MONTH(B3837)/3,0)</f>
        <v>2014-Q2</v>
      </c>
    </row>
    <row r="3838" customFormat="false" ht="15" hidden="false" customHeight="false" outlineLevel="0" collapsed="false">
      <c r="A3838" s="0" t="s">
        <v>1976</v>
      </c>
      <c r="B3838" s="6" t="n">
        <v>41737</v>
      </c>
      <c r="C3838" s="7" t="s">
        <v>33</v>
      </c>
      <c r="D3838" s="7" t="s">
        <v>81</v>
      </c>
      <c r="E3838" s="7" t="s">
        <v>35</v>
      </c>
      <c r="F3838" s="0" t="n">
        <v>19.008</v>
      </c>
      <c r="G3838" s="0" t="n">
        <v>6.8904</v>
      </c>
      <c r="H3838" s="0" t="n">
        <v>0.2</v>
      </c>
      <c r="I3838" s="7" t="n">
        <f aca="false">YEAR(B3838)</f>
        <v>2014</v>
      </c>
      <c r="J3838" s="0" t="str">
        <f aca="false">I3838&amp;"-Q"&amp;ROUNDUP(MONTH(B3838)/3,0)</f>
        <v>2014-Q2</v>
      </c>
    </row>
    <row r="3839" customFormat="false" ht="15" hidden="false" customHeight="false" outlineLevel="0" collapsed="false">
      <c r="A3839" s="0" t="s">
        <v>1977</v>
      </c>
      <c r="B3839" s="6" t="n">
        <v>41846</v>
      </c>
      <c r="C3839" s="7" t="s">
        <v>33</v>
      </c>
      <c r="D3839" s="7" t="s">
        <v>248</v>
      </c>
      <c r="E3839" s="7" t="s">
        <v>39</v>
      </c>
      <c r="F3839" s="0" t="n">
        <v>911.984</v>
      </c>
      <c r="G3839" s="0" t="n">
        <v>113.998</v>
      </c>
      <c r="H3839" s="0" t="n">
        <v>0.2</v>
      </c>
      <c r="I3839" s="7" t="n">
        <f aca="false">YEAR(B3839)</f>
        <v>2014</v>
      </c>
      <c r="J3839" s="0" t="str">
        <f aca="false">I3839&amp;"-Q"&amp;ROUNDUP(MONTH(B3839)/3,0)</f>
        <v>2014-Q3</v>
      </c>
    </row>
    <row r="3840" customFormat="false" ht="15" hidden="false" customHeight="false" outlineLevel="0" collapsed="false">
      <c r="A3840" s="0" t="s">
        <v>1977</v>
      </c>
      <c r="B3840" s="6" t="n">
        <v>41846</v>
      </c>
      <c r="C3840" s="7" t="s">
        <v>33</v>
      </c>
      <c r="D3840" s="7" t="s">
        <v>248</v>
      </c>
      <c r="E3840" s="7" t="s">
        <v>31</v>
      </c>
      <c r="F3840" s="0" t="n">
        <v>674.352</v>
      </c>
      <c r="G3840" s="0" t="n">
        <v>-109.5822</v>
      </c>
      <c r="H3840" s="0" t="n">
        <v>0.2</v>
      </c>
      <c r="I3840" s="7" t="n">
        <f aca="false">YEAR(B3840)</f>
        <v>2014</v>
      </c>
      <c r="J3840" s="0" t="str">
        <f aca="false">I3840&amp;"-Q"&amp;ROUNDUP(MONTH(B3840)/3,0)</f>
        <v>2014-Q3</v>
      </c>
    </row>
    <row r="3841" customFormat="false" ht="15" hidden="false" customHeight="false" outlineLevel="0" collapsed="false">
      <c r="A3841" s="0" t="s">
        <v>1977</v>
      </c>
      <c r="B3841" s="6" t="n">
        <v>41846</v>
      </c>
      <c r="C3841" s="7" t="s">
        <v>33</v>
      </c>
      <c r="D3841" s="7" t="s">
        <v>248</v>
      </c>
      <c r="E3841" s="7" t="s">
        <v>31</v>
      </c>
      <c r="F3841" s="0" t="n">
        <v>134.01</v>
      </c>
      <c r="G3841" s="0" t="n">
        <v>36.1827</v>
      </c>
      <c r="H3841" s="0" t="n">
        <v>0</v>
      </c>
      <c r="I3841" s="7" t="n">
        <f aca="false">YEAR(B3841)</f>
        <v>2014</v>
      </c>
      <c r="J3841" s="0" t="str">
        <f aca="false">I3841&amp;"-Q"&amp;ROUNDUP(MONTH(B3841)/3,0)</f>
        <v>2014-Q3</v>
      </c>
    </row>
    <row r="3842" customFormat="false" ht="15" hidden="false" customHeight="false" outlineLevel="0" collapsed="false">
      <c r="A3842" s="0" t="s">
        <v>1977</v>
      </c>
      <c r="B3842" s="6" t="n">
        <v>41846</v>
      </c>
      <c r="C3842" s="7" t="s">
        <v>33</v>
      </c>
      <c r="D3842" s="7" t="s">
        <v>248</v>
      </c>
      <c r="E3842" s="7" t="s">
        <v>39</v>
      </c>
      <c r="F3842" s="0" t="n">
        <v>170.97</v>
      </c>
      <c r="G3842" s="0" t="n">
        <v>70.0977</v>
      </c>
      <c r="H3842" s="0" t="n">
        <v>0</v>
      </c>
      <c r="I3842" s="7" t="n">
        <f aca="false">YEAR(B3842)</f>
        <v>2014</v>
      </c>
      <c r="J3842" s="0" t="str">
        <f aca="false">I3842&amp;"-Q"&amp;ROUNDUP(MONTH(B3842)/3,0)</f>
        <v>2014-Q3</v>
      </c>
    </row>
    <row r="3843" customFormat="false" ht="15" hidden="false" customHeight="false" outlineLevel="0" collapsed="false">
      <c r="A3843" s="0" t="s">
        <v>1978</v>
      </c>
      <c r="B3843" s="6" t="n">
        <v>41798</v>
      </c>
      <c r="C3843" s="7" t="s">
        <v>29</v>
      </c>
      <c r="D3843" s="7" t="s">
        <v>87</v>
      </c>
      <c r="E3843" s="7" t="s">
        <v>31</v>
      </c>
      <c r="F3843" s="0" t="n">
        <v>170.352</v>
      </c>
      <c r="G3843" s="0" t="n">
        <v>10.647</v>
      </c>
      <c r="H3843" s="0" t="n">
        <v>0.2</v>
      </c>
      <c r="I3843" s="7" t="n">
        <f aca="false">YEAR(B3843)</f>
        <v>2014</v>
      </c>
      <c r="J3843" s="0" t="str">
        <f aca="false">I3843&amp;"-Q"&amp;ROUNDUP(MONTH(B3843)/3,0)</f>
        <v>2014-Q2</v>
      </c>
    </row>
    <row r="3844" customFormat="false" ht="15" hidden="false" customHeight="false" outlineLevel="0" collapsed="false">
      <c r="A3844" s="0" t="s">
        <v>1979</v>
      </c>
      <c r="B3844" s="6" t="n">
        <v>41940</v>
      </c>
      <c r="C3844" s="7" t="s">
        <v>33</v>
      </c>
      <c r="D3844" s="7" t="s">
        <v>34</v>
      </c>
      <c r="E3844" s="7" t="s">
        <v>35</v>
      </c>
      <c r="F3844" s="0" t="n">
        <v>7.184</v>
      </c>
      <c r="G3844" s="0" t="n">
        <v>2.245</v>
      </c>
      <c r="H3844" s="0" t="n">
        <v>0.2</v>
      </c>
      <c r="I3844" s="7" t="n">
        <f aca="false">YEAR(B3844)</f>
        <v>2014</v>
      </c>
      <c r="J3844" s="0" t="str">
        <f aca="false">I3844&amp;"-Q"&amp;ROUNDUP(MONTH(B3844)/3,0)</f>
        <v>2014-Q4</v>
      </c>
    </row>
    <row r="3845" customFormat="false" ht="15" hidden="false" customHeight="false" outlineLevel="0" collapsed="false">
      <c r="A3845" s="0" t="s">
        <v>1979</v>
      </c>
      <c r="B3845" s="6" t="n">
        <v>41940</v>
      </c>
      <c r="C3845" s="7" t="s">
        <v>33</v>
      </c>
      <c r="D3845" s="7" t="s">
        <v>34</v>
      </c>
      <c r="E3845" s="7" t="s">
        <v>35</v>
      </c>
      <c r="F3845" s="0" t="n">
        <v>6.28</v>
      </c>
      <c r="G3845" s="0" t="n">
        <v>0.0628</v>
      </c>
      <c r="H3845" s="0" t="n">
        <v>0</v>
      </c>
      <c r="I3845" s="7" t="n">
        <f aca="false">YEAR(B3845)</f>
        <v>2014</v>
      </c>
      <c r="J3845" s="0" t="str">
        <f aca="false">I3845&amp;"-Q"&amp;ROUNDUP(MONTH(B3845)/3,0)</f>
        <v>2014-Q4</v>
      </c>
    </row>
    <row r="3846" customFormat="false" ht="15" hidden="false" customHeight="false" outlineLevel="0" collapsed="false">
      <c r="A3846" s="0" t="s">
        <v>1979</v>
      </c>
      <c r="B3846" s="6" t="n">
        <v>41940</v>
      </c>
      <c r="C3846" s="7" t="s">
        <v>33</v>
      </c>
      <c r="D3846" s="7" t="s">
        <v>34</v>
      </c>
      <c r="E3846" s="7" t="s">
        <v>35</v>
      </c>
      <c r="F3846" s="0" t="n">
        <v>480.74</v>
      </c>
      <c r="G3846" s="0" t="n">
        <v>14.4222</v>
      </c>
      <c r="H3846" s="0" t="n">
        <v>0</v>
      </c>
      <c r="I3846" s="7" t="n">
        <f aca="false">YEAR(B3846)</f>
        <v>2014</v>
      </c>
      <c r="J3846" s="0" t="str">
        <f aca="false">I3846&amp;"-Q"&amp;ROUNDUP(MONTH(B3846)/3,0)</f>
        <v>2014-Q4</v>
      </c>
    </row>
    <row r="3847" customFormat="false" ht="15" hidden="false" customHeight="false" outlineLevel="0" collapsed="false">
      <c r="A3847" s="0" t="s">
        <v>1979</v>
      </c>
      <c r="B3847" s="6" t="n">
        <v>41940</v>
      </c>
      <c r="C3847" s="7" t="s">
        <v>33</v>
      </c>
      <c r="D3847" s="7" t="s">
        <v>34</v>
      </c>
      <c r="E3847" s="7" t="s">
        <v>31</v>
      </c>
      <c r="F3847" s="0" t="n">
        <v>616.998</v>
      </c>
      <c r="G3847" s="0" t="n">
        <v>-36.294</v>
      </c>
      <c r="H3847" s="0" t="n">
        <v>0.15</v>
      </c>
      <c r="I3847" s="7" t="n">
        <f aca="false">YEAR(B3847)</f>
        <v>2014</v>
      </c>
      <c r="J3847" s="0" t="str">
        <f aca="false">I3847&amp;"-Q"&amp;ROUNDUP(MONTH(B3847)/3,0)</f>
        <v>2014-Q4</v>
      </c>
    </row>
    <row r="3848" customFormat="false" ht="15" hidden="false" customHeight="false" outlineLevel="0" collapsed="false">
      <c r="A3848" s="0" t="s">
        <v>1979</v>
      </c>
      <c r="B3848" s="6" t="n">
        <v>41940</v>
      </c>
      <c r="C3848" s="7" t="s">
        <v>33</v>
      </c>
      <c r="D3848" s="7" t="s">
        <v>34</v>
      </c>
      <c r="E3848" s="7" t="s">
        <v>35</v>
      </c>
      <c r="F3848" s="0" t="n">
        <v>141.4</v>
      </c>
      <c r="G3848" s="0" t="n">
        <v>38.178</v>
      </c>
      <c r="H3848" s="0" t="n">
        <v>0</v>
      </c>
      <c r="I3848" s="7" t="n">
        <f aca="false">YEAR(B3848)</f>
        <v>2014</v>
      </c>
      <c r="J3848" s="0" t="str">
        <f aca="false">I3848&amp;"-Q"&amp;ROUNDUP(MONTH(B3848)/3,0)</f>
        <v>2014-Q4</v>
      </c>
    </row>
    <row r="3849" customFormat="false" ht="15" hidden="false" customHeight="false" outlineLevel="0" collapsed="false">
      <c r="A3849" s="0" t="s">
        <v>1980</v>
      </c>
      <c r="B3849" s="6" t="n">
        <v>43064</v>
      </c>
      <c r="C3849" s="7" t="s">
        <v>45</v>
      </c>
      <c r="D3849" s="7" t="s">
        <v>70</v>
      </c>
      <c r="E3849" s="7" t="s">
        <v>35</v>
      </c>
      <c r="F3849" s="0" t="n">
        <v>501.81</v>
      </c>
      <c r="G3849" s="0" t="n">
        <v>0</v>
      </c>
      <c r="H3849" s="0" t="n">
        <v>0</v>
      </c>
      <c r="I3849" s="7" t="n">
        <f aca="false">YEAR(B3849)</f>
        <v>2017</v>
      </c>
      <c r="J3849" s="0" t="str">
        <f aca="false">I3849&amp;"-Q"&amp;ROUNDUP(MONTH(B3849)/3,0)</f>
        <v>2017-Q4</v>
      </c>
    </row>
    <row r="3850" customFormat="false" ht="15" hidden="false" customHeight="false" outlineLevel="0" collapsed="false">
      <c r="A3850" s="0" t="s">
        <v>1981</v>
      </c>
      <c r="B3850" s="6" t="n">
        <v>43000</v>
      </c>
      <c r="C3850" s="7" t="s">
        <v>29</v>
      </c>
      <c r="D3850" s="7" t="s">
        <v>301</v>
      </c>
      <c r="E3850" s="7" t="s">
        <v>35</v>
      </c>
      <c r="F3850" s="0" t="n">
        <v>691.96</v>
      </c>
      <c r="G3850" s="0" t="n">
        <v>318.3016</v>
      </c>
      <c r="H3850" s="0" t="n">
        <v>0</v>
      </c>
      <c r="I3850" s="7" t="n">
        <f aca="false">YEAR(B3850)</f>
        <v>2017</v>
      </c>
      <c r="J3850" s="0" t="str">
        <f aca="false">I3850&amp;"-Q"&amp;ROUNDUP(MONTH(B3850)/3,0)</f>
        <v>2017-Q3</v>
      </c>
    </row>
    <row r="3851" customFormat="false" ht="15" hidden="false" customHeight="false" outlineLevel="0" collapsed="false">
      <c r="A3851" s="0" t="s">
        <v>1981</v>
      </c>
      <c r="B3851" s="6" t="n">
        <v>43000</v>
      </c>
      <c r="C3851" s="7" t="s">
        <v>29</v>
      </c>
      <c r="D3851" s="7" t="s">
        <v>301</v>
      </c>
      <c r="E3851" s="7" t="s">
        <v>39</v>
      </c>
      <c r="F3851" s="0" t="n">
        <v>34.95</v>
      </c>
      <c r="G3851" s="0" t="n">
        <v>15.378</v>
      </c>
      <c r="H3851" s="0" t="n">
        <v>0</v>
      </c>
      <c r="I3851" s="7" t="n">
        <f aca="false">YEAR(B3851)</f>
        <v>2017</v>
      </c>
      <c r="J3851" s="0" t="str">
        <f aca="false">I3851&amp;"-Q"&amp;ROUNDUP(MONTH(B3851)/3,0)</f>
        <v>2017-Q3</v>
      </c>
    </row>
    <row r="3852" customFormat="false" ht="15" hidden="false" customHeight="false" outlineLevel="0" collapsed="false">
      <c r="A3852" s="0" t="s">
        <v>1982</v>
      </c>
      <c r="B3852" s="6" t="n">
        <v>42342</v>
      </c>
      <c r="C3852" s="7" t="s">
        <v>45</v>
      </c>
      <c r="D3852" s="7" t="s">
        <v>129</v>
      </c>
      <c r="E3852" s="7" t="s">
        <v>35</v>
      </c>
      <c r="F3852" s="0" t="n">
        <v>85.96</v>
      </c>
      <c r="G3852" s="0" t="n">
        <v>40.4012</v>
      </c>
      <c r="H3852" s="0" t="n">
        <v>0</v>
      </c>
      <c r="I3852" s="7" t="n">
        <f aca="false">YEAR(B3852)</f>
        <v>2015</v>
      </c>
      <c r="J3852" s="0" t="str">
        <f aca="false">I3852&amp;"-Q"&amp;ROUNDUP(MONTH(B3852)/3,0)</f>
        <v>2015-Q4</v>
      </c>
    </row>
    <row r="3853" customFormat="false" ht="15" hidden="false" customHeight="false" outlineLevel="0" collapsed="false">
      <c r="A3853" s="0" t="s">
        <v>1983</v>
      </c>
      <c r="B3853" s="6" t="n">
        <v>42268</v>
      </c>
      <c r="C3853" s="7" t="s">
        <v>55</v>
      </c>
      <c r="D3853" s="7" t="s">
        <v>225</v>
      </c>
      <c r="E3853" s="7" t="s">
        <v>31</v>
      </c>
      <c r="F3853" s="0" t="n">
        <v>85.3</v>
      </c>
      <c r="G3853" s="0" t="n">
        <v>14.501</v>
      </c>
      <c r="H3853" s="0" t="n">
        <v>0</v>
      </c>
      <c r="I3853" s="7" t="n">
        <f aca="false">YEAR(B3853)</f>
        <v>2015</v>
      </c>
      <c r="J3853" s="0" t="str">
        <f aca="false">I3853&amp;"-Q"&amp;ROUNDUP(MONTH(B3853)/3,0)</f>
        <v>2015-Q3</v>
      </c>
    </row>
    <row r="3854" customFormat="false" ht="15" hidden="false" customHeight="false" outlineLevel="0" collapsed="false">
      <c r="A3854" s="0" t="s">
        <v>1984</v>
      </c>
      <c r="B3854" s="6" t="n">
        <v>43065</v>
      </c>
      <c r="C3854" s="7" t="s">
        <v>45</v>
      </c>
      <c r="D3854" s="7" t="s">
        <v>64</v>
      </c>
      <c r="E3854" s="7" t="s">
        <v>35</v>
      </c>
      <c r="F3854" s="0" t="n">
        <v>33.568</v>
      </c>
      <c r="G3854" s="0" t="n">
        <v>-53.7088</v>
      </c>
      <c r="H3854" s="0" t="n">
        <v>0.8</v>
      </c>
      <c r="I3854" s="7" t="n">
        <f aca="false">YEAR(B3854)</f>
        <v>2017</v>
      </c>
      <c r="J3854" s="0" t="str">
        <f aca="false">I3854&amp;"-Q"&amp;ROUNDUP(MONTH(B3854)/3,0)</f>
        <v>2017-Q4</v>
      </c>
    </row>
    <row r="3855" customFormat="false" ht="15" hidden="false" customHeight="false" outlineLevel="0" collapsed="false">
      <c r="A3855" s="0" t="s">
        <v>1985</v>
      </c>
      <c r="B3855" s="6" t="n">
        <v>42892</v>
      </c>
      <c r="C3855" s="7" t="s">
        <v>33</v>
      </c>
      <c r="D3855" s="7" t="s">
        <v>34</v>
      </c>
      <c r="E3855" s="7" t="s">
        <v>31</v>
      </c>
      <c r="F3855" s="0" t="n">
        <v>4.95</v>
      </c>
      <c r="G3855" s="0" t="n">
        <v>2.178</v>
      </c>
      <c r="H3855" s="0" t="n">
        <v>0</v>
      </c>
      <c r="I3855" s="7" t="n">
        <f aca="false">YEAR(B3855)</f>
        <v>2017</v>
      </c>
      <c r="J3855" s="0" t="str">
        <f aca="false">I3855&amp;"-Q"&amp;ROUNDUP(MONTH(B3855)/3,0)</f>
        <v>2017-Q2</v>
      </c>
    </row>
    <row r="3856" customFormat="false" ht="15" hidden="false" customHeight="false" outlineLevel="0" collapsed="false">
      <c r="A3856" s="0" t="s">
        <v>1985</v>
      </c>
      <c r="B3856" s="6" t="n">
        <v>42892</v>
      </c>
      <c r="C3856" s="7" t="s">
        <v>33</v>
      </c>
      <c r="D3856" s="7" t="s">
        <v>34</v>
      </c>
      <c r="E3856" s="7" t="s">
        <v>35</v>
      </c>
      <c r="F3856" s="0" t="n">
        <v>26.4</v>
      </c>
      <c r="G3856" s="0" t="n">
        <v>0</v>
      </c>
      <c r="H3856" s="0" t="n">
        <v>0</v>
      </c>
      <c r="I3856" s="7" t="n">
        <f aca="false">YEAR(B3856)</f>
        <v>2017</v>
      </c>
      <c r="J3856" s="0" t="str">
        <f aca="false">I3856&amp;"-Q"&amp;ROUNDUP(MONTH(B3856)/3,0)</f>
        <v>2017-Q2</v>
      </c>
    </row>
    <row r="3857" customFormat="false" ht="15" hidden="false" customHeight="false" outlineLevel="0" collapsed="false">
      <c r="A3857" s="0" t="s">
        <v>1986</v>
      </c>
      <c r="B3857" s="6" t="n">
        <v>43031</v>
      </c>
      <c r="C3857" s="7" t="s">
        <v>45</v>
      </c>
      <c r="D3857" s="7" t="s">
        <v>46</v>
      </c>
      <c r="E3857" s="7" t="s">
        <v>35</v>
      </c>
      <c r="F3857" s="0" t="n">
        <v>3.564</v>
      </c>
      <c r="G3857" s="0" t="n">
        <v>-6.237</v>
      </c>
      <c r="H3857" s="0" t="n">
        <v>0.8</v>
      </c>
      <c r="I3857" s="7" t="n">
        <f aca="false">YEAR(B3857)</f>
        <v>2017</v>
      </c>
      <c r="J3857" s="0" t="str">
        <f aca="false">I3857&amp;"-Q"&amp;ROUNDUP(MONTH(B3857)/3,0)</f>
        <v>2017-Q4</v>
      </c>
    </row>
    <row r="3858" customFormat="false" ht="15" hidden="false" customHeight="false" outlineLevel="0" collapsed="false">
      <c r="A3858" s="0" t="s">
        <v>1986</v>
      </c>
      <c r="B3858" s="6" t="n">
        <v>43031</v>
      </c>
      <c r="C3858" s="7" t="s">
        <v>45</v>
      </c>
      <c r="D3858" s="7" t="s">
        <v>46</v>
      </c>
      <c r="E3858" s="7" t="s">
        <v>39</v>
      </c>
      <c r="F3858" s="0" t="n">
        <v>823.96</v>
      </c>
      <c r="G3858" s="0" t="n">
        <v>51.4975</v>
      </c>
      <c r="H3858" s="0" t="n">
        <v>0.2</v>
      </c>
      <c r="I3858" s="7" t="n">
        <f aca="false">YEAR(B3858)</f>
        <v>2017</v>
      </c>
      <c r="J3858" s="0" t="str">
        <f aca="false">I3858&amp;"-Q"&amp;ROUNDUP(MONTH(B3858)/3,0)</f>
        <v>2017-Q4</v>
      </c>
    </row>
    <row r="3859" customFormat="false" ht="15" hidden="false" customHeight="false" outlineLevel="0" collapsed="false">
      <c r="A3859" s="0" t="s">
        <v>1986</v>
      </c>
      <c r="B3859" s="6" t="n">
        <v>43031</v>
      </c>
      <c r="C3859" s="7" t="s">
        <v>45</v>
      </c>
      <c r="D3859" s="7" t="s">
        <v>46</v>
      </c>
      <c r="E3859" s="7" t="s">
        <v>35</v>
      </c>
      <c r="F3859" s="0" t="n">
        <v>10.272</v>
      </c>
      <c r="G3859" s="0" t="n">
        <v>0.8988</v>
      </c>
      <c r="H3859" s="0" t="n">
        <v>0.2</v>
      </c>
      <c r="I3859" s="7" t="n">
        <f aca="false">YEAR(B3859)</f>
        <v>2017</v>
      </c>
      <c r="J3859" s="0" t="str">
        <f aca="false">I3859&amp;"-Q"&amp;ROUNDUP(MONTH(B3859)/3,0)</f>
        <v>2017-Q4</v>
      </c>
    </row>
    <row r="3860" customFormat="false" ht="15" hidden="false" customHeight="false" outlineLevel="0" collapsed="false">
      <c r="A3860" s="0" t="s">
        <v>1987</v>
      </c>
      <c r="B3860" s="6" t="n">
        <v>41993</v>
      </c>
      <c r="C3860" s="7" t="s">
        <v>33</v>
      </c>
      <c r="D3860" s="7" t="s">
        <v>109</v>
      </c>
      <c r="E3860" s="7" t="s">
        <v>39</v>
      </c>
      <c r="F3860" s="0" t="n">
        <v>447.944</v>
      </c>
      <c r="G3860" s="0" t="n">
        <v>89.5888</v>
      </c>
      <c r="H3860" s="0" t="n">
        <v>0.2</v>
      </c>
      <c r="I3860" s="7" t="n">
        <f aca="false">YEAR(B3860)</f>
        <v>2014</v>
      </c>
      <c r="J3860" s="0" t="str">
        <f aca="false">I3860&amp;"-Q"&amp;ROUNDUP(MONTH(B3860)/3,0)</f>
        <v>2014-Q4</v>
      </c>
    </row>
    <row r="3861" customFormat="false" ht="15" hidden="false" customHeight="false" outlineLevel="0" collapsed="false">
      <c r="A3861" s="0" t="s">
        <v>1988</v>
      </c>
      <c r="B3861" s="6" t="n">
        <v>42783</v>
      </c>
      <c r="C3861" s="7" t="s">
        <v>45</v>
      </c>
      <c r="D3861" s="7" t="s">
        <v>64</v>
      </c>
      <c r="E3861" s="7" t="s">
        <v>31</v>
      </c>
      <c r="F3861" s="0" t="n">
        <v>480.96</v>
      </c>
      <c r="G3861" s="0" t="n">
        <v>-269.3376</v>
      </c>
      <c r="H3861" s="0" t="n">
        <v>0.5</v>
      </c>
      <c r="I3861" s="7" t="n">
        <f aca="false">YEAR(B3861)</f>
        <v>2017</v>
      </c>
      <c r="J3861" s="0" t="str">
        <f aca="false">I3861&amp;"-Q"&amp;ROUNDUP(MONTH(B3861)/3,0)</f>
        <v>2017-Q1</v>
      </c>
    </row>
    <row r="3862" customFormat="false" ht="15" hidden="false" customHeight="false" outlineLevel="0" collapsed="false">
      <c r="A3862" s="0" t="s">
        <v>1988</v>
      </c>
      <c r="B3862" s="6" t="n">
        <v>42783</v>
      </c>
      <c r="C3862" s="7" t="s">
        <v>45</v>
      </c>
      <c r="D3862" s="7" t="s">
        <v>64</v>
      </c>
      <c r="E3862" s="7" t="s">
        <v>39</v>
      </c>
      <c r="F3862" s="0" t="n">
        <v>124.792</v>
      </c>
      <c r="G3862" s="0" t="n">
        <v>10.9193</v>
      </c>
      <c r="H3862" s="0" t="n">
        <v>0.2</v>
      </c>
      <c r="I3862" s="7" t="n">
        <f aca="false">YEAR(B3862)</f>
        <v>2017</v>
      </c>
      <c r="J3862" s="0" t="str">
        <f aca="false">I3862&amp;"-Q"&amp;ROUNDUP(MONTH(B3862)/3,0)</f>
        <v>2017-Q1</v>
      </c>
    </row>
    <row r="3863" customFormat="false" ht="15" hidden="false" customHeight="false" outlineLevel="0" collapsed="false">
      <c r="A3863" s="0" t="s">
        <v>1989</v>
      </c>
      <c r="B3863" s="6" t="n">
        <v>41762</v>
      </c>
      <c r="C3863" s="7" t="s">
        <v>55</v>
      </c>
      <c r="D3863" s="7" t="s">
        <v>76</v>
      </c>
      <c r="E3863" s="7" t="s">
        <v>35</v>
      </c>
      <c r="F3863" s="0" t="n">
        <v>40.176</v>
      </c>
      <c r="G3863" s="0" t="n">
        <v>14.5638</v>
      </c>
      <c r="H3863" s="0" t="n">
        <v>0.2</v>
      </c>
      <c r="I3863" s="7" t="n">
        <f aca="false">YEAR(B3863)</f>
        <v>2014</v>
      </c>
      <c r="J3863" s="0" t="str">
        <f aca="false">I3863&amp;"-Q"&amp;ROUNDUP(MONTH(B3863)/3,0)</f>
        <v>2014-Q2</v>
      </c>
    </row>
    <row r="3864" customFormat="false" ht="15" hidden="false" customHeight="false" outlineLevel="0" collapsed="false">
      <c r="A3864" s="0" t="s">
        <v>1989</v>
      </c>
      <c r="B3864" s="6" t="n">
        <v>41762</v>
      </c>
      <c r="C3864" s="7" t="s">
        <v>55</v>
      </c>
      <c r="D3864" s="7" t="s">
        <v>76</v>
      </c>
      <c r="E3864" s="7" t="s">
        <v>35</v>
      </c>
      <c r="F3864" s="0" t="n">
        <v>10.896</v>
      </c>
      <c r="G3864" s="0" t="n">
        <v>3.9498</v>
      </c>
      <c r="H3864" s="0" t="n">
        <v>0.2</v>
      </c>
      <c r="I3864" s="7" t="n">
        <f aca="false">YEAR(B3864)</f>
        <v>2014</v>
      </c>
      <c r="J3864" s="0" t="str">
        <f aca="false">I3864&amp;"-Q"&amp;ROUNDUP(MONTH(B3864)/3,0)</f>
        <v>2014-Q2</v>
      </c>
    </row>
    <row r="3865" customFormat="false" ht="15" hidden="false" customHeight="false" outlineLevel="0" collapsed="false">
      <c r="A3865" s="0" t="s">
        <v>1990</v>
      </c>
      <c r="B3865" s="6" t="n">
        <v>43025</v>
      </c>
      <c r="C3865" s="7" t="s">
        <v>33</v>
      </c>
      <c r="D3865" s="7" t="s">
        <v>34</v>
      </c>
      <c r="E3865" s="7" t="s">
        <v>35</v>
      </c>
      <c r="F3865" s="0" t="n">
        <v>10.64</v>
      </c>
      <c r="G3865" s="0" t="n">
        <v>2.7664</v>
      </c>
      <c r="H3865" s="0" t="n">
        <v>0</v>
      </c>
      <c r="I3865" s="7" t="n">
        <f aca="false">YEAR(B3865)</f>
        <v>2017</v>
      </c>
      <c r="J3865" s="0" t="str">
        <f aca="false">I3865&amp;"-Q"&amp;ROUNDUP(MONTH(B3865)/3,0)</f>
        <v>2017-Q4</v>
      </c>
    </row>
    <row r="3866" customFormat="false" ht="15" hidden="false" customHeight="false" outlineLevel="0" collapsed="false">
      <c r="A3866" s="0" t="s">
        <v>1991</v>
      </c>
      <c r="B3866" s="6" t="n">
        <v>42336</v>
      </c>
      <c r="C3866" s="7" t="s">
        <v>45</v>
      </c>
      <c r="D3866" s="7" t="s">
        <v>64</v>
      </c>
      <c r="E3866" s="7" t="s">
        <v>31</v>
      </c>
      <c r="F3866" s="0" t="n">
        <v>151.96</v>
      </c>
      <c r="G3866" s="0" t="n">
        <v>-182.352</v>
      </c>
      <c r="H3866" s="0" t="n">
        <v>0.6</v>
      </c>
      <c r="I3866" s="7" t="n">
        <f aca="false">YEAR(B3866)</f>
        <v>2015</v>
      </c>
      <c r="J3866" s="0" t="str">
        <f aca="false">I3866&amp;"-Q"&amp;ROUNDUP(MONTH(B3866)/3,0)</f>
        <v>2015-Q4</v>
      </c>
    </row>
    <row r="3867" customFormat="false" ht="15" hidden="false" customHeight="false" outlineLevel="0" collapsed="false">
      <c r="A3867" s="0" t="s">
        <v>1992</v>
      </c>
      <c r="B3867" s="6" t="n">
        <v>41847</v>
      </c>
      <c r="C3867" s="7" t="s">
        <v>33</v>
      </c>
      <c r="D3867" s="7" t="s">
        <v>34</v>
      </c>
      <c r="E3867" s="7" t="s">
        <v>39</v>
      </c>
      <c r="F3867" s="0" t="n">
        <v>238</v>
      </c>
      <c r="G3867" s="0" t="n">
        <v>38.08</v>
      </c>
      <c r="H3867" s="0" t="n">
        <v>0</v>
      </c>
      <c r="I3867" s="7" t="n">
        <f aca="false">YEAR(B3867)</f>
        <v>2014</v>
      </c>
      <c r="J3867" s="0" t="str">
        <f aca="false">I3867&amp;"-Q"&amp;ROUNDUP(MONTH(B3867)/3,0)</f>
        <v>2014-Q3</v>
      </c>
    </row>
    <row r="3868" customFormat="false" ht="15" hidden="false" customHeight="false" outlineLevel="0" collapsed="false">
      <c r="A3868" s="0" t="s">
        <v>1993</v>
      </c>
      <c r="B3868" s="6" t="n">
        <v>42848</v>
      </c>
      <c r="C3868" s="7" t="s">
        <v>45</v>
      </c>
      <c r="D3868" s="7" t="s">
        <v>74</v>
      </c>
      <c r="E3868" s="7" t="s">
        <v>39</v>
      </c>
      <c r="F3868" s="0" t="n">
        <v>155.34</v>
      </c>
      <c r="G3868" s="0" t="n">
        <v>55.9224</v>
      </c>
      <c r="H3868" s="0" t="n">
        <v>0</v>
      </c>
      <c r="I3868" s="7" t="n">
        <f aca="false">YEAR(B3868)</f>
        <v>2017</v>
      </c>
      <c r="J3868" s="0" t="str">
        <f aca="false">I3868&amp;"-Q"&amp;ROUNDUP(MONTH(B3868)/3,0)</f>
        <v>2017-Q2</v>
      </c>
    </row>
    <row r="3869" customFormat="false" ht="15" hidden="false" customHeight="false" outlineLevel="0" collapsed="false">
      <c r="A3869" s="0" t="s">
        <v>1994</v>
      </c>
      <c r="B3869" s="6" t="n">
        <v>42300</v>
      </c>
      <c r="C3869" s="7" t="s">
        <v>33</v>
      </c>
      <c r="D3869" s="7" t="s">
        <v>34</v>
      </c>
      <c r="E3869" s="7" t="s">
        <v>39</v>
      </c>
      <c r="F3869" s="0" t="n">
        <v>148.32</v>
      </c>
      <c r="G3869" s="0" t="n">
        <v>63.7776</v>
      </c>
      <c r="H3869" s="0" t="n">
        <v>0</v>
      </c>
      <c r="I3869" s="7" t="n">
        <f aca="false">YEAR(B3869)</f>
        <v>2015</v>
      </c>
      <c r="J3869" s="0" t="str">
        <f aca="false">I3869&amp;"-Q"&amp;ROUNDUP(MONTH(B3869)/3,0)</f>
        <v>2015-Q4</v>
      </c>
    </row>
    <row r="3870" customFormat="false" ht="15" hidden="false" customHeight="false" outlineLevel="0" collapsed="false">
      <c r="A3870" s="0" t="s">
        <v>1994</v>
      </c>
      <c r="B3870" s="6" t="n">
        <v>42300</v>
      </c>
      <c r="C3870" s="7" t="s">
        <v>33</v>
      </c>
      <c r="D3870" s="7" t="s">
        <v>34</v>
      </c>
      <c r="E3870" s="7" t="s">
        <v>31</v>
      </c>
      <c r="F3870" s="0" t="n">
        <v>240.784</v>
      </c>
      <c r="G3870" s="0" t="n">
        <v>27.0882</v>
      </c>
      <c r="H3870" s="0" t="n">
        <v>0.2</v>
      </c>
      <c r="I3870" s="7" t="n">
        <f aca="false">YEAR(B3870)</f>
        <v>2015</v>
      </c>
      <c r="J3870" s="0" t="str">
        <f aca="false">I3870&amp;"-Q"&amp;ROUNDUP(MONTH(B3870)/3,0)</f>
        <v>2015-Q4</v>
      </c>
    </row>
    <row r="3871" customFormat="false" ht="15" hidden="false" customHeight="false" outlineLevel="0" collapsed="false">
      <c r="A3871" s="0" t="s">
        <v>1994</v>
      </c>
      <c r="B3871" s="6" t="n">
        <v>42300</v>
      </c>
      <c r="C3871" s="7" t="s">
        <v>33</v>
      </c>
      <c r="D3871" s="7" t="s">
        <v>34</v>
      </c>
      <c r="E3871" s="7" t="s">
        <v>31</v>
      </c>
      <c r="F3871" s="0" t="n">
        <v>191.968</v>
      </c>
      <c r="G3871" s="0" t="n">
        <v>16.7972</v>
      </c>
      <c r="H3871" s="0" t="n">
        <v>0.2</v>
      </c>
      <c r="I3871" s="7" t="n">
        <f aca="false">YEAR(B3871)</f>
        <v>2015</v>
      </c>
      <c r="J3871" s="0" t="str">
        <f aca="false">I3871&amp;"-Q"&amp;ROUNDUP(MONTH(B3871)/3,0)</f>
        <v>2015-Q4</v>
      </c>
    </row>
    <row r="3872" customFormat="false" ht="15" hidden="false" customHeight="false" outlineLevel="0" collapsed="false">
      <c r="A3872" s="0" t="s">
        <v>1994</v>
      </c>
      <c r="B3872" s="6" t="n">
        <v>42300</v>
      </c>
      <c r="C3872" s="7" t="s">
        <v>33</v>
      </c>
      <c r="D3872" s="7" t="s">
        <v>34</v>
      </c>
      <c r="E3872" s="7" t="s">
        <v>35</v>
      </c>
      <c r="F3872" s="0" t="n">
        <v>11.56</v>
      </c>
      <c r="G3872" s="0" t="n">
        <v>5.6644</v>
      </c>
      <c r="H3872" s="0" t="n">
        <v>0</v>
      </c>
      <c r="I3872" s="7" t="n">
        <f aca="false">YEAR(B3872)</f>
        <v>2015</v>
      </c>
      <c r="J3872" s="0" t="str">
        <f aca="false">I3872&amp;"-Q"&amp;ROUNDUP(MONTH(B3872)/3,0)</f>
        <v>2015-Q4</v>
      </c>
    </row>
    <row r="3873" customFormat="false" ht="15" hidden="false" customHeight="false" outlineLevel="0" collapsed="false">
      <c r="A3873" s="0" t="s">
        <v>1994</v>
      </c>
      <c r="B3873" s="6" t="n">
        <v>42300</v>
      </c>
      <c r="C3873" s="7" t="s">
        <v>33</v>
      </c>
      <c r="D3873" s="7" t="s">
        <v>34</v>
      </c>
      <c r="E3873" s="7" t="s">
        <v>35</v>
      </c>
      <c r="F3873" s="0" t="n">
        <v>11.8</v>
      </c>
      <c r="G3873" s="0" t="n">
        <v>5.664</v>
      </c>
      <c r="H3873" s="0" t="n">
        <v>0</v>
      </c>
      <c r="I3873" s="7" t="n">
        <f aca="false">YEAR(B3873)</f>
        <v>2015</v>
      </c>
      <c r="J3873" s="0" t="str">
        <f aca="false">I3873&amp;"-Q"&amp;ROUNDUP(MONTH(B3873)/3,0)</f>
        <v>2015-Q4</v>
      </c>
    </row>
    <row r="3874" customFormat="false" ht="15" hidden="false" customHeight="false" outlineLevel="0" collapsed="false">
      <c r="A3874" s="0" t="s">
        <v>1994</v>
      </c>
      <c r="B3874" s="6" t="n">
        <v>42300</v>
      </c>
      <c r="C3874" s="7" t="s">
        <v>33</v>
      </c>
      <c r="D3874" s="7" t="s">
        <v>34</v>
      </c>
      <c r="E3874" s="7" t="s">
        <v>31</v>
      </c>
      <c r="F3874" s="0" t="n">
        <v>842.352</v>
      </c>
      <c r="G3874" s="0" t="n">
        <v>42.1176</v>
      </c>
      <c r="H3874" s="0" t="n">
        <v>0.2</v>
      </c>
      <c r="I3874" s="7" t="n">
        <f aca="false">YEAR(B3874)</f>
        <v>2015</v>
      </c>
      <c r="J3874" s="0" t="str">
        <f aca="false">I3874&amp;"-Q"&amp;ROUNDUP(MONTH(B3874)/3,0)</f>
        <v>2015-Q4</v>
      </c>
    </row>
    <row r="3875" customFormat="false" ht="15" hidden="false" customHeight="false" outlineLevel="0" collapsed="false">
      <c r="A3875" s="0" t="s">
        <v>1995</v>
      </c>
      <c r="B3875" s="6" t="n">
        <v>42618</v>
      </c>
      <c r="C3875" s="7" t="s">
        <v>29</v>
      </c>
      <c r="D3875" s="7" t="s">
        <v>87</v>
      </c>
      <c r="E3875" s="7" t="s">
        <v>35</v>
      </c>
      <c r="F3875" s="0" t="n">
        <v>23.472</v>
      </c>
      <c r="G3875" s="0" t="n">
        <v>7.6284</v>
      </c>
      <c r="H3875" s="0" t="n">
        <v>0.2</v>
      </c>
      <c r="I3875" s="7" t="n">
        <f aca="false">YEAR(B3875)</f>
        <v>2016</v>
      </c>
      <c r="J3875" s="0" t="str">
        <f aca="false">I3875&amp;"-Q"&amp;ROUNDUP(MONTH(B3875)/3,0)</f>
        <v>2016-Q3</v>
      </c>
    </row>
    <row r="3876" customFormat="false" ht="15" hidden="false" customHeight="false" outlineLevel="0" collapsed="false">
      <c r="A3876" s="0" t="s">
        <v>1995</v>
      </c>
      <c r="B3876" s="6" t="n">
        <v>42618</v>
      </c>
      <c r="C3876" s="7" t="s">
        <v>29</v>
      </c>
      <c r="D3876" s="7" t="s">
        <v>87</v>
      </c>
      <c r="E3876" s="7" t="s">
        <v>35</v>
      </c>
      <c r="F3876" s="0" t="n">
        <v>86.058</v>
      </c>
      <c r="G3876" s="0" t="n">
        <v>-63.1092</v>
      </c>
      <c r="H3876" s="0" t="n">
        <v>0.7</v>
      </c>
      <c r="I3876" s="7" t="n">
        <f aca="false">YEAR(B3876)</f>
        <v>2016</v>
      </c>
      <c r="J3876" s="0" t="str">
        <f aca="false">I3876&amp;"-Q"&amp;ROUNDUP(MONTH(B3876)/3,0)</f>
        <v>2016-Q3</v>
      </c>
    </row>
    <row r="3877" customFormat="false" ht="15" hidden="false" customHeight="false" outlineLevel="0" collapsed="false">
      <c r="A3877" s="0" t="s">
        <v>1995</v>
      </c>
      <c r="B3877" s="6" t="n">
        <v>42618</v>
      </c>
      <c r="C3877" s="7" t="s">
        <v>29</v>
      </c>
      <c r="D3877" s="7" t="s">
        <v>87</v>
      </c>
      <c r="E3877" s="7" t="s">
        <v>39</v>
      </c>
      <c r="F3877" s="0" t="n">
        <v>108.784</v>
      </c>
      <c r="G3877" s="0" t="n">
        <v>6.799</v>
      </c>
      <c r="H3877" s="0" t="n">
        <v>0.2</v>
      </c>
      <c r="I3877" s="7" t="n">
        <f aca="false">YEAR(B3877)</f>
        <v>2016</v>
      </c>
      <c r="J3877" s="0" t="str">
        <f aca="false">I3877&amp;"-Q"&amp;ROUNDUP(MONTH(B3877)/3,0)</f>
        <v>2016-Q3</v>
      </c>
    </row>
    <row r="3878" customFormat="false" ht="15" hidden="false" customHeight="false" outlineLevel="0" collapsed="false">
      <c r="A3878" s="0" t="s">
        <v>1995</v>
      </c>
      <c r="B3878" s="6" t="n">
        <v>42618</v>
      </c>
      <c r="C3878" s="7" t="s">
        <v>29</v>
      </c>
      <c r="D3878" s="7" t="s">
        <v>87</v>
      </c>
      <c r="E3878" s="7" t="s">
        <v>35</v>
      </c>
      <c r="F3878" s="0" t="n">
        <v>10.272</v>
      </c>
      <c r="G3878" s="0" t="n">
        <v>3.21</v>
      </c>
      <c r="H3878" s="0" t="n">
        <v>0.2</v>
      </c>
      <c r="I3878" s="7" t="n">
        <f aca="false">YEAR(B3878)</f>
        <v>2016</v>
      </c>
      <c r="J3878" s="0" t="str">
        <f aca="false">I3878&amp;"-Q"&amp;ROUNDUP(MONTH(B3878)/3,0)</f>
        <v>2016-Q3</v>
      </c>
    </row>
    <row r="3879" customFormat="false" ht="15" hidden="false" customHeight="false" outlineLevel="0" collapsed="false">
      <c r="A3879" s="0" t="s">
        <v>1996</v>
      </c>
      <c r="B3879" s="6" t="n">
        <v>42671</v>
      </c>
      <c r="C3879" s="7" t="s">
        <v>29</v>
      </c>
      <c r="D3879" s="7" t="s">
        <v>37</v>
      </c>
      <c r="E3879" s="7" t="s">
        <v>35</v>
      </c>
      <c r="F3879" s="0" t="n">
        <v>38.19</v>
      </c>
      <c r="G3879" s="0" t="n">
        <v>-26.733</v>
      </c>
      <c r="H3879" s="0" t="n">
        <v>0.7</v>
      </c>
      <c r="I3879" s="7" t="n">
        <f aca="false">YEAR(B3879)</f>
        <v>2016</v>
      </c>
      <c r="J3879" s="0" t="str">
        <f aca="false">I3879&amp;"-Q"&amp;ROUNDUP(MONTH(B3879)/3,0)</f>
        <v>2016-Q4</v>
      </c>
    </row>
    <row r="3880" customFormat="false" ht="15" hidden="false" customHeight="false" outlineLevel="0" collapsed="false">
      <c r="A3880" s="0" t="s">
        <v>1997</v>
      </c>
      <c r="B3880" s="6" t="n">
        <v>41734</v>
      </c>
      <c r="C3880" s="7" t="s">
        <v>45</v>
      </c>
      <c r="D3880" s="7" t="s">
        <v>64</v>
      </c>
      <c r="E3880" s="7" t="s">
        <v>35</v>
      </c>
      <c r="F3880" s="0" t="n">
        <v>49.632</v>
      </c>
      <c r="G3880" s="0" t="n">
        <v>3.7224</v>
      </c>
      <c r="H3880" s="0" t="n">
        <v>0.2</v>
      </c>
      <c r="I3880" s="7" t="n">
        <f aca="false">YEAR(B3880)</f>
        <v>2014</v>
      </c>
      <c r="J3880" s="0" t="str">
        <f aca="false">I3880&amp;"-Q"&amp;ROUNDUP(MONTH(B3880)/3,0)</f>
        <v>2014-Q2</v>
      </c>
    </row>
    <row r="3881" customFormat="false" ht="15" hidden="false" customHeight="false" outlineLevel="0" collapsed="false">
      <c r="A3881" s="0" t="s">
        <v>1997</v>
      </c>
      <c r="B3881" s="6" t="n">
        <v>41734</v>
      </c>
      <c r="C3881" s="7" t="s">
        <v>45</v>
      </c>
      <c r="D3881" s="7" t="s">
        <v>64</v>
      </c>
      <c r="E3881" s="7" t="s">
        <v>35</v>
      </c>
      <c r="F3881" s="0" t="n">
        <v>52.096</v>
      </c>
      <c r="G3881" s="0" t="n">
        <v>3.9072</v>
      </c>
      <c r="H3881" s="0" t="n">
        <v>0.2</v>
      </c>
      <c r="I3881" s="7" t="n">
        <f aca="false">YEAR(B3881)</f>
        <v>2014</v>
      </c>
      <c r="J3881" s="0" t="str">
        <f aca="false">I3881&amp;"-Q"&amp;ROUNDUP(MONTH(B3881)/3,0)</f>
        <v>2014-Q2</v>
      </c>
    </row>
    <row r="3882" customFormat="false" ht="15" hidden="false" customHeight="false" outlineLevel="0" collapsed="false">
      <c r="A3882" s="0" t="s">
        <v>1998</v>
      </c>
      <c r="B3882" s="6" t="n">
        <v>42170</v>
      </c>
      <c r="C3882" s="7" t="s">
        <v>33</v>
      </c>
      <c r="D3882" s="7" t="s">
        <v>81</v>
      </c>
      <c r="E3882" s="7" t="s">
        <v>35</v>
      </c>
      <c r="F3882" s="0" t="n">
        <v>9.568</v>
      </c>
      <c r="G3882" s="0" t="n">
        <v>2.99</v>
      </c>
      <c r="H3882" s="0" t="n">
        <v>0.2</v>
      </c>
      <c r="I3882" s="7" t="n">
        <f aca="false">YEAR(B3882)</f>
        <v>2015</v>
      </c>
      <c r="J3882" s="0" t="str">
        <f aca="false">I3882&amp;"-Q"&amp;ROUNDUP(MONTH(B3882)/3,0)</f>
        <v>2015-Q2</v>
      </c>
    </row>
    <row r="3883" customFormat="false" ht="15" hidden="false" customHeight="false" outlineLevel="0" collapsed="false">
      <c r="A3883" s="0" t="s">
        <v>1998</v>
      </c>
      <c r="B3883" s="6" t="n">
        <v>42170</v>
      </c>
      <c r="C3883" s="7" t="s">
        <v>33</v>
      </c>
      <c r="D3883" s="7" t="s">
        <v>81</v>
      </c>
      <c r="E3883" s="7" t="s">
        <v>35</v>
      </c>
      <c r="F3883" s="0" t="n">
        <v>82.368</v>
      </c>
      <c r="G3883" s="0" t="n">
        <v>-19.5624</v>
      </c>
      <c r="H3883" s="0" t="n">
        <v>0.2</v>
      </c>
      <c r="I3883" s="7" t="n">
        <f aca="false">YEAR(B3883)</f>
        <v>2015</v>
      </c>
      <c r="J3883" s="0" t="str">
        <f aca="false">I3883&amp;"-Q"&amp;ROUNDUP(MONTH(B3883)/3,0)</f>
        <v>2015-Q2</v>
      </c>
    </row>
    <row r="3884" customFormat="false" ht="15" hidden="false" customHeight="false" outlineLevel="0" collapsed="false">
      <c r="A3884" s="0" t="s">
        <v>1998</v>
      </c>
      <c r="B3884" s="6" t="n">
        <v>42170</v>
      </c>
      <c r="C3884" s="7" t="s">
        <v>33</v>
      </c>
      <c r="D3884" s="7" t="s">
        <v>81</v>
      </c>
      <c r="E3884" s="7" t="s">
        <v>31</v>
      </c>
      <c r="F3884" s="0" t="n">
        <v>364.704</v>
      </c>
      <c r="G3884" s="0" t="n">
        <v>-36.4704</v>
      </c>
      <c r="H3884" s="0" t="n">
        <v>0.2</v>
      </c>
      <c r="I3884" s="7" t="n">
        <f aca="false">YEAR(B3884)</f>
        <v>2015</v>
      </c>
      <c r="J3884" s="0" t="str">
        <f aca="false">I3884&amp;"-Q"&amp;ROUNDUP(MONTH(B3884)/3,0)</f>
        <v>2015-Q2</v>
      </c>
    </row>
    <row r="3885" customFormat="false" ht="15" hidden="false" customHeight="false" outlineLevel="0" collapsed="false">
      <c r="A3885" s="0" t="s">
        <v>1998</v>
      </c>
      <c r="B3885" s="6" t="n">
        <v>42170</v>
      </c>
      <c r="C3885" s="7" t="s">
        <v>33</v>
      </c>
      <c r="D3885" s="7" t="s">
        <v>81</v>
      </c>
      <c r="E3885" s="7" t="s">
        <v>31</v>
      </c>
      <c r="F3885" s="0" t="n">
        <v>40.256</v>
      </c>
      <c r="G3885" s="0" t="n">
        <v>11.0704</v>
      </c>
      <c r="H3885" s="0" t="n">
        <v>0.2</v>
      </c>
      <c r="I3885" s="7" t="n">
        <f aca="false">YEAR(B3885)</f>
        <v>2015</v>
      </c>
      <c r="J3885" s="0" t="str">
        <f aca="false">I3885&amp;"-Q"&amp;ROUNDUP(MONTH(B3885)/3,0)</f>
        <v>2015-Q2</v>
      </c>
    </row>
    <row r="3886" customFormat="false" ht="15" hidden="false" customHeight="false" outlineLevel="0" collapsed="false">
      <c r="A3886" s="0" t="s">
        <v>1999</v>
      </c>
      <c r="B3886" s="6" t="n">
        <v>41825</v>
      </c>
      <c r="C3886" s="7" t="s">
        <v>29</v>
      </c>
      <c r="D3886" s="7" t="s">
        <v>87</v>
      </c>
      <c r="E3886" s="7" t="s">
        <v>35</v>
      </c>
      <c r="F3886" s="0" t="n">
        <v>4.368</v>
      </c>
      <c r="G3886" s="0" t="n">
        <v>0.3822</v>
      </c>
      <c r="H3886" s="0" t="n">
        <v>0.2</v>
      </c>
      <c r="I3886" s="7" t="n">
        <f aca="false">YEAR(B3886)</f>
        <v>2014</v>
      </c>
      <c r="J3886" s="0" t="str">
        <f aca="false">I3886&amp;"-Q"&amp;ROUNDUP(MONTH(B3886)/3,0)</f>
        <v>2014-Q3</v>
      </c>
    </row>
    <row r="3887" customFormat="false" ht="15" hidden="false" customHeight="false" outlineLevel="0" collapsed="false">
      <c r="A3887" s="0" t="s">
        <v>2000</v>
      </c>
      <c r="B3887" s="6" t="n">
        <v>42764</v>
      </c>
      <c r="C3887" s="7" t="s">
        <v>45</v>
      </c>
      <c r="D3887" s="7" t="s">
        <v>64</v>
      </c>
      <c r="E3887" s="7" t="s">
        <v>35</v>
      </c>
      <c r="F3887" s="0" t="n">
        <v>12.128</v>
      </c>
      <c r="G3887" s="0" t="n">
        <v>-20.6176</v>
      </c>
      <c r="H3887" s="0" t="n">
        <v>0.8</v>
      </c>
      <c r="I3887" s="7" t="n">
        <f aca="false">YEAR(B3887)</f>
        <v>2017</v>
      </c>
      <c r="J3887" s="0" t="str">
        <f aca="false">I3887&amp;"-Q"&amp;ROUNDUP(MONTH(B3887)/3,0)</f>
        <v>2017-Q1</v>
      </c>
    </row>
    <row r="3888" customFormat="false" ht="15" hidden="false" customHeight="false" outlineLevel="0" collapsed="false">
      <c r="A3888" s="0" t="s">
        <v>2001</v>
      </c>
      <c r="B3888" s="6" t="n">
        <v>42432</v>
      </c>
      <c r="C3888" s="7" t="s">
        <v>45</v>
      </c>
      <c r="D3888" s="7" t="s">
        <v>74</v>
      </c>
      <c r="E3888" s="7" t="s">
        <v>39</v>
      </c>
      <c r="F3888" s="0" t="n">
        <v>134.85</v>
      </c>
      <c r="G3888" s="0" t="n">
        <v>37.758</v>
      </c>
      <c r="H3888" s="0" t="n">
        <v>0</v>
      </c>
      <c r="I3888" s="7" t="n">
        <f aca="false">YEAR(B3888)</f>
        <v>2016</v>
      </c>
      <c r="J3888" s="0" t="str">
        <f aca="false">I3888&amp;"-Q"&amp;ROUNDUP(MONTH(B3888)/3,0)</f>
        <v>2016-Q1</v>
      </c>
    </row>
    <row r="3889" customFormat="false" ht="15" hidden="false" customHeight="false" outlineLevel="0" collapsed="false">
      <c r="A3889" s="0" t="s">
        <v>2002</v>
      </c>
      <c r="B3889" s="6" t="n">
        <v>41792</v>
      </c>
      <c r="C3889" s="7" t="s">
        <v>29</v>
      </c>
      <c r="D3889" s="7" t="s">
        <v>230</v>
      </c>
      <c r="E3889" s="7" t="s">
        <v>35</v>
      </c>
      <c r="F3889" s="0" t="n">
        <v>8.56</v>
      </c>
      <c r="G3889" s="0" t="n">
        <v>2.6536</v>
      </c>
      <c r="H3889" s="0" t="n">
        <v>0</v>
      </c>
      <c r="I3889" s="7" t="n">
        <f aca="false">YEAR(B3889)</f>
        <v>2014</v>
      </c>
      <c r="J3889" s="0" t="str">
        <f aca="false">I3889&amp;"-Q"&amp;ROUNDUP(MONTH(B3889)/3,0)</f>
        <v>2014-Q2</v>
      </c>
    </row>
    <row r="3890" customFormat="false" ht="15" hidden="false" customHeight="false" outlineLevel="0" collapsed="false">
      <c r="A3890" s="0" t="s">
        <v>2002</v>
      </c>
      <c r="B3890" s="6" t="n">
        <v>41792</v>
      </c>
      <c r="C3890" s="7" t="s">
        <v>29</v>
      </c>
      <c r="D3890" s="7" t="s">
        <v>230</v>
      </c>
      <c r="E3890" s="7" t="s">
        <v>39</v>
      </c>
      <c r="F3890" s="0" t="n">
        <v>239.97</v>
      </c>
      <c r="G3890" s="0" t="n">
        <v>67.1916</v>
      </c>
      <c r="H3890" s="0" t="n">
        <v>0</v>
      </c>
      <c r="I3890" s="7" t="n">
        <f aca="false">YEAR(B3890)</f>
        <v>2014</v>
      </c>
      <c r="J3890" s="0" t="str">
        <f aca="false">I3890&amp;"-Q"&amp;ROUNDUP(MONTH(B3890)/3,0)</f>
        <v>2014-Q2</v>
      </c>
    </row>
    <row r="3891" customFormat="false" ht="15" hidden="false" customHeight="false" outlineLevel="0" collapsed="false">
      <c r="A3891" s="0" t="s">
        <v>2002</v>
      </c>
      <c r="B3891" s="6" t="n">
        <v>41792</v>
      </c>
      <c r="C3891" s="7" t="s">
        <v>29</v>
      </c>
      <c r="D3891" s="7" t="s">
        <v>230</v>
      </c>
      <c r="E3891" s="7" t="s">
        <v>35</v>
      </c>
      <c r="F3891" s="0" t="n">
        <v>356.94</v>
      </c>
      <c r="G3891" s="0" t="n">
        <v>107.082</v>
      </c>
      <c r="H3891" s="0" t="n">
        <v>0</v>
      </c>
      <c r="I3891" s="7" t="n">
        <f aca="false">YEAR(B3891)</f>
        <v>2014</v>
      </c>
      <c r="J3891" s="0" t="str">
        <f aca="false">I3891&amp;"-Q"&amp;ROUNDUP(MONTH(B3891)/3,0)</f>
        <v>2014-Q2</v>
      </c>
    </row>
    <row r="3892" customFormat="false" ht="15" hidden="false" customHeight="false" outlineLevel="0" collapsed="false">
      <c r="A3892" s="0" t="s">
        <v>2003</v>
      </c>
      <c r="B3892" s="6" t="n">
        <v>42698</v>
      </c>
      <c r="C3892" s="7" t="s">
        <v>33</v>
      </c>
      <c r="D3892" s="7" t="s">
        <v>34</v>
      </c>
      <c r="E3892" s="7" t="s">
        <v>39</v>
      </c>
      <c r="F3892" s="0" t="n">
        <v>659.9</v>
      </c>
      <c r="G3892" s="0" t="n">
        <v>217.767</v>
      </c>
      <c r="H3892" s="0" t="n">
        <v>0</v>
      </c>
      <c r="I3892" s="7" t="n">
        <f aca="false">YEAR(B3892)</f>
        <v>2016</v>
      </c>
      <c r="J3892" s="0" t="str">
        <f aca="false">I3892&amp;"-Q"&amp;ROUNDUP(MONTH(B3892)/3,0)</f>
        <v>2016-Q4</v>
      </c>
    </row>
    <row r="3893" customFormat="false" ht="15" hidden="false" customHeight="false" outlineLevel="0" collapsed="false">
      <c r="A3893" s="0" t="s">
        <v>2003</v>
      </c>
      <c r="B3893" s="6" t="n">
        <v>42698</v>
      </c>
      <c r="C3893" s="7" t="s">
        <v>33</v>
      </c>
      <c r="D3893" s="7" t="s">
        <v>34</v>
      </c>
      <c r="E3893" s="7" t="s">
        <v>31</v>
      </c>
      <c r="F3893" s="0" t="n">
        <v>1684.752</v>
      </c>
      <c r="G3893" s="0" t="n">
        <v>210.594</v>
      </c>
      <c r="H3893" s="0" t="n">
        <v>0.2</v>
      </c>
      <c r="I3893" s="7" t="n">
        <f aca="false">YEAR(B3893)</f>
        <v>2016</v>
      </c>
      <c r="J3893" s="0" t="str">
        <f aca="false">I3893&amp;"-Q"&amp;ROUNDUP(MONTH(B3893)/3,0)</f>
        <v>2016-Q4</v>
      </c>
    </row>
    <row r="3894" customFormat="false" ht="15" hidden="false" customHeight="false" outlineLevel="0" collapsed="false">
      <c r="A3894" s="0" t="s">
        <v>2003</v>
      </c>
      <c r="B3894" s="6" t="n">
        <v>42698</v>
      </c>
      <c r="C3894" s="7" t="s">
        <v>33</v>
      </c>
      <c r="D3894" s="7" t="s">
        <v>34</v>
      </c>
      <c r="E3894" s="7" t="s">
        <v>39</v>
      </c>
      <c r="F3894" s="0" t="n">
        <v>559.92</v>
      </c>
      <c r="G3894" s="0" t="n">
        <v>190.3728</v>
      </c>
      <c r="H3894" s="0" t="n">
        <v>0</v>
      </c>
      <c r="I3894" s="7" t="n">
        <f aca="false">YEAR(B3894)</f>
        <v>2016</v>
      </c>
      <c r="J3894" s="0" t="str">
        <f aca="false">I3894&amp;"-Q"&amp;ROUNDUP(MONTH(B3894)/3,0)</f>
        <v>2016-Q4</v>
      </c>
    </row>
    <row r="3895" customFormat="false" ht="15" hidden="false" customHeight="false" outlineLevel="0" collapsed="false">
      <c r="A3895" s="0" t="s">
        <v>2004</v>
      </c>
      <c r="B3895" s="6" t="n">
        <v>42684</v>
      </c>
      <c r="C3895" s="7" t="s">
        <v>45</v>
      </c>
      <c r="D3895" s="7" t="s">
        <v>46</v>
      </c>
      <c r="E3895" s="7" t="s">
        <v>39</v>
      </c>
      <c r="F3895" s="0" t="n">
        <v>279.944</v>
      </c>
      <c r="G3895" s="0" t="n">
        <v>48.9902</v>
      </c>
      <c r="H3895" s="0" t="n">
        <v>0.2</v>
      </c>
      <c r="I3895" s="7" t="n">
        <f aca="false">YEAR(B3895)</f>
        <v>2016</v>
      </c>
      <c r="J3895" s="0" t="str">
        <f aca="false">I3895&amp;"-Q"&amp;ROUNDUP(MONTH(B3895)/3,0)</f>
        <v>2016-Q4</v>
      </c>
    </row>
    <row r="3896" customFormat="false" ht="15" hidden="false" customHeight="false" outlineLevel="0" collapsed="false">
      <c r="A3896" s="0" t="s">
        <v>2005</v>
      </c>
      <c r="B3896" s="6" t="n">
        <v>41965</v>
      </c>
      <c r="C3896" s="7" t="s">
        <v>45</v>
      </c>
      <c r="D3896" s="7" t="s">
        <v>64</v>
      </c>
      <c r="E3896" s="7" t="s">
        <v>35</v>
      </c>
      <c r="F3896" s="0" t="n">
        <v>9.98</v>
      </c>
      <c r="G3896" s="0" t="n">
        <v>-16.467</v>
      </c>
      <c r="H3896" s="0" t="n">
        <v>0.8</v>
      </c>
      <c r="I3896" s="7" t="n">
        <f aca="false">YEAR(B3896)</f>
        <v>2014</v>
      </c>
      <c r="J3896" s="0" t="str">
        <f aca="false">I3896&amp;"-Q"&amp;ROUNDUP(MONTH(B3896)/3,0)</f>
        <v>2014-Q4</v>
      </c>
    </row>
    <row r="3897" customFormat="false" ht="15" hidden="false" customHeight="false" outlineLevel="0" collapsed="false">
      <c r="A3897" s="0" t="s">
        <v>2006</v>
      </c>
      <c r="B3897" s="6" t="n">
        <v>42856</v>
      </c>
      <c r="C3897" s="7" t="s">
        <v>29</v>
      </c>
      <c r="D3897" s="7" t="s">
        <v>301</v>
      </c>
      <c r="E3897" s="7" t="s">
        <v>39</v>
      </c>
      <c r="F3897" s="0" t="n">
        <v>48.9</v>
      </c>
      <c r="G3897" s="0" t="n">
        <v>18.093</v>
      </c>
      <c r="H3897" s="0" t="n">
        <v>0</v>
      </c>
      <c r="I3897" s="7" t="n">
        <f aca="false">YEAR(B3897)</f>
        <v>2017</v>
      </c>
      <c r="J3897" s="0" t="str">
        <f aca="false">I3897&amp;"-Q"&amp;ROUNDUP(MONTH(B3897)/3,0)</f>
        <v>2017-Q2</v>
      </c>
    </row>
    <row r="3898" customFormat="false" ht="15" hidden="false" customHeight="false" outlineLevel="0" collapsed="false">
      <c r="A3898" s="0" t="s">
        <v>2007</v>
      </c>
      <c r="B3898" s="6" t="n">
        <v>43076</v>
      </c>
      <c r="C3898" s="7" t="s">
        <v>45</v>
      </c>
      <c r="D3898" s="7" t="s">
        <v>46</v>
      </c>
      <c r="E3898" s="7" t="s">
        <v>35</v>
      </c>
      <c r="F3898" s="0" t="n">
        <v>3.552</v>
      </c>
      <c r="G3898" s="0" t="n">
        <v>1.2432</v>
      </c>
      <c r="H3898" s="0" t="n">
        <v>0.2</v>
      </c>
      <c r="I3898" s="7" t="n">
        <f aca="false">YEAR(B3898)</f>
        <v>2017</v>
      </c>
      <c r="J3898" s="0" t="str">
        <f aca="false">I3898&amp;"-Q"&amp;ROUNDUP(MONTH(B3898)/3,0)</f>
        <v>2017-Q4</v>
      </c>
    </row>
    <row r="3899" customFormat="false" ht="15" hidden="false" customHeight="false" outlineLevel="0" collapsed="false">
      <c r="A3899" s="0" t="s">
        <v>2007</v>
      </c>
      <c r="B3899" s="6" t="n">
        <v>43076</v>
      </c>
      <c r="C3899" s="7" t="s">
        <v>45</v>
      </c>
      <c r="D3899" s="7" t="s">
        <v>46</v>
      </c>
      <c r="E3899" s="7" t="s">
        <v>35</v>
      </c>
      <c r="F3899" s="0" t="n">
        <v>15.552</v>
      </c>
      <c r="G3899" s="0" t="n">
        <v>5.4432</v>
      </c>
      <c r="H3899" s="0" t="n">
        <v>0.2</v>
      </c>
      <c r="I3899" s="7" t="n">
        <f aca="false">YEAR(B3899)</f>
        <v>2017</v>
      </c>
      <c r="J3899" s="0" t="str">
        <f aca="false">I3899&amp;"-Q"&amp;ROUNDUP(MONTH(B3899)/3,0)</f>
        <v>2017-Q4</v>
      </c>
    </row>
    <row r="3900" customFormat="false" ht="15" hidden="false" customHeight="false" outlineLevel="0" collapsed="false">
      <c r="A3900" s="0" t="s">
        <v>2008</v>
      </c>
      <c r="B3900" s="6" t="n">
        <v>43069</v>
      </c>
      <c r="C3900" s="7" t="s">
        <v>45</v>
      </c>
      <c r="D3900" s="7" t="s">
        <v>46</v>
      </c>
      <c r="E3900" s="7" t="s">
        <v>35</v>
      </c>
      <c r="F3900" s="0" t="n">
        <v>2.368</v>
      </c>
      <c r="G3900" s="0" t="n">
        <v>0.8288</v>
      </c>
      <c r="H3900" s="0" t="n">
        <v>0.2</v>
      </c>
      <c r="I3900" s="7" t="n">
        <f aca="false">YEAR(B3900)</f>
        <v>2017</v>
      </c>
      <c r="J3900" s="0" t="str">
        <f aca="false">I3900&amp;"-Q"&amp;ROUNDUP(MONTH(B3900)/3,0)</f>
        <v>2017-Q4</v>
      </c>
    </row>
    <row r="3901" customFormat="false" ht="15" hidden="false" customHeight="false" outlineLevel="0" collapsed="false">
      <c r="A3901" s="0" t="s">
        <v>2009</v>
      </c>
      <c r="B3901" s="6" t="n">
        <v>43076</v>
      </c>
      <c r="C3901" s="7" t="s">
        <v>55</v>
      </c>
      <c r="D3901" s="7" t="s">
        <v>116</v>
      </c>
      <c r="E3901" s="7" t="s">
        <v>39</v>
      </c>
      <c r="F3901" s="0" t="n">
        <v>127.984</v>
      </c>
      <c r="G3901" s="0" t="n">
        <v>25.5968</v>
      </c>
      <c r="H3901" s="0" t="n">
        <v>0.2</v>
      </c>
      <c r="I3901" s="7" t="n">
        <f aca="false">YEAR(B3901)</f>
        <v>2017</v>
      </c>
      <c r="J3901" s="0" t="str">
        <f aca="false">I3901&amp;"-Q"&amp;ROUNDUP(MONTH(B3901)/3,0)</f>
        <v>2017-Q4</v>
      </c>
    </row>
    <row r="3902" customFormat="false" ht="15" hidden="false" customHeight="false" outlineLevel="0" collapsed="false">
      <c r="A3902" s="0" t="s">
        <v>2010</v>
      </c>
      <c r="B3902" s="6" t="n">
        <v>42007</v>
      </c>
      <c r="C3902" s="7" t="s">
        <v>45</v>
      </c>
      <c r="D3902" s="7" t="s">
        <v>46</v>
      </c>
      <c r="E3902" s="7" t="s">
        <v>35</v>
      </c>
      <c r="F3902" s="0" t="n">
        <v>10.368</v>
      </c>
      <c r="G3902" s="0" t="n">
        <v>3.6288</v>
      </c>
      <c r="H3902" s="0" t="n">
        <v>0.2</v>
      </c>
      <c r="I3902" s="7" t="n">
        <f aca="false">YEAR(B3902)</f>
        <v>2015</v>
      </c>
      <c r="J3902" s="0" t="str">
        <f aca="false">I3902&amp;"-Q"&amp;ROUNDUP(MONTH(B3902)/3,0)</f>
        <v>2015-Q1</v>
      </c>
    </row>
    <row r="3903" customFormat="false" ht="15" hidden="false" customHeight="false" outlineLevel="0" collapsed="false">
      <c r="A3903" s="0" t="s">
        <v>2011</v>
      </c>
      <c r="B3903" s="6" t="n">
        <v>42322</v>
      </c>
      <c r="C3903" s="7" t="s">
        <v>55</v>
      </c>
      <c r="D3903" s="7" t="s">
        <v>56</v>
      </c>
      <c r="E3903" s="7" t="s">
        <v>39</v>
      </c>
      <c r="F3903" s="0" t="n">
        <v>47.984</v>
      </c>
      <c r="G3903" s="0" t="n">
        <v>-1.1996</v>
      </c>
      <c r="H3903" s="0" t="n">
        <v>0.2</v>
      </c>
      <c r="I3903" s="7" t="n">
        <f aca="false">YEAR(B3903)</f>
        <v>2015</v>
      </c>
      <c r="J3903" s="0" t="str">
        <f aca="false">I3903&amp;"-Q"&amp;ROUNDUP(MONTH(B3903)/3,0)</f>
        <v>2015-Q4</v>
      </c>
    </row>
    <row r="3904" customFormat="false" ht="15" hidden="false" customHeight="false" outlineLevel="0" collapsed="false">
      <c r="A3904" s="0" t="s">
        <v>2012</v>
      </c>
      <c r="B3904" s="6" t="n">
        <v>42279</v>
      </c>
      <c r="C3904" s="7" t="s">
        <v>33</v>
      </c>
      <c r="D3904" s="7" t="s">
        <v>34</v>
      </c>
      <c r="E3904" s="7" t="s">
        <v>35</v>
      </c>
      <c r="F3904" s="0" t="n">
        <v>270.34</v>
      </c>
      <c r="G3904" s="0" t="n">
        <v>75.6952</v>
      </c>
      <c r="H3904" s="0" t="n">
        <v>0</v>
      </c>
      <c r="I3904" s="7" t="n">
        <f aca="false">YEAR(B3904)</f>
        <v>2015</v>
      </c>
      <c r="J3904" s="0" t="str">
        <f aca="false">I3904&amp;"-Q"&amp;ROUNDUP(MONTH(B3904)/3,0)</f>
        <v>2015-Q4</v>
      </c>
    </row>
    <row r="3905" customFormat="false" ht="15" hidden="false" customHeight="false" outlineLevel="0" collapsed="false">
      <c r="A3905" s="0" t="s">
        <v>2013</v>
      </c>
      <c r="B3905" s="6" t="n">
        <v>42099</v>
      </c>
      <c r="C3905" s="7" t="s">
        <v>55</v>
      </c>
      <c r="D3905" s="7" t="s">
        <v>56</v>
      </c>
      <c r="E3905" s="7" t="s">
        <v>35</v>
      </c>
      <c r="F3905" s="0" t="n">
        <v>98.112</v>
      </c>
      <c r="G3905" s="0" t="n">
        <v>18.396</v>
      </c>
      <c r="H3905" s="0" t="n">
        <v>0.2</v>
      </c>
      <c r="I3905" s="7" t="n">
        <f aca="false">YEAR(B3905)</f>
        <v>2015</v>
      </c>
      <c r="J3905" s="0" t="str">
        <f aca="false">I3905&amp;"-Q"&amp;ROUNDUP(MONTH(B3905)/3,0)</f>
        <v>2015-Q2</v>
      </c>
    </row>
    <row r="3906" customFormat="false" ht="15" hidden="false" customHeight="false" outlineLevel="0" collapsed="false">
      <c r="A3906" s="0" t="s">
        <v>2013</v>
      </c>
      <c r="B3906" s="6" t="n">
        <v>42099</v>
      </c>
      <c r="C3906" s="7" t="s">
        <v>55</v>
      </c>
      <c r="D3906" s="7" t="s">
        <v>56</v>
      </c>
      <c r="E3906" s="7" t="s">
        <v>35</v>
      </c>
      <c r="F3906" s="0" t="n">
        <v>563.808</v>
      </c>
      <c r="G3906" s="0" t="n">
        <v>21.1428</v>
      </c>
      <c r="H3906" s="0" t="n">
        <v>0.2</v>
      </c>
      <c r="I3906" s="7" t="n">
        <f aca="false">YEAR(B3906)</f>
        <v>2015</v>
      </c>
      <c r="J3906" s="0" t="str">
        <f aca="false">I3906&amp;"-Q"&amp;ROUNDUP(MONTH(B3906)/3,0)</f>
        <v>2015-Q2</v>
      </c>
    </row>
    <row r="3907" customFormat="false" ht="15" hidden="false" customHeight="false" outlineLevel="0" collapsed="false">
      <c r="A3907" s="0" t="s">
        <v>2013</v>
      </c>
      <c r="B3907" s="6" t="n">
        <v>42099</v>
      </c>
      <c r="C3907" s="7" t="s">
        <v>55</v>
      </c>
      <c r="D3907" s="7" t="s">
        <v>56</v>
      </c>
      <c r="E3907" s="7" t="s">
        <v>35</v>
      </c>
      <c r="F3907" s="0" t="n">
        <v>10.428</v>
      </c>
      <c r="G3907" s="0" t="n">
        <v>-6.952</v>
      </c>
      <c r="H3907" s="0" t="n">
        <v>0.7</v>
      </c>
      <c r="I3907" s="7" t="n">
        <f aca="false">YEAR(B3907)</f>
        <v>2015</v>
      </c>
      <c r="J3907" s="0" t="str">
        <f aca="false">I3907&amp;"-Q"&amp;ROUNDUP(MONTH(B3907)/3,0)</f>
        <v>2015-Q2</v>
      </c>
    </row>
    <row r="3908" customFormat="false" ht="15" hidden="false" customHeight="false" outlineLevel="0" collapsed="false">
      <c r="A3908" s="0" t="s">
        <v>2013</v>
      </c>
      <c r="B3908" s="6" t="n">
        <v>42099</v>
      </c>
      <c r="C3908" s="7" t="s">
        <v>55</v>
      </c>
      <c r="D3908" s="7" t="s">
        <v>56</v>
      </c>
      <c r="E3908" s="7" t="s">
        <v>31</v>
      </c>
      <c r="F3908" s="0" t="n">
        <v>547.136</v>
      </c>
      <c r="G3908" s="0" t="n">
        <v>-68.392</v>
      </c>
      <c r="H3908" s="0" t="n">
        <v>0.2</v>
      </c>
      <c r="I3908" s="7" t="n">
        <f aca="false">YEAR(B3908)</f>
        <v>2015</v>
      </c>
      <c r="J3908" s="0" t="str">
        <f aca="false">I3908&amp;"-Q"&amp;ROUNDUP(MONTH(B3908)/3,0)</f>
        <v>2015-Q2</v>
      </c>
    </row>
    <row r="3909" customFormat="false" ht="15" hidden="false" customHeight="false" outlineLevel="0" collapsed="false">
      <c r="A3909" s="0" t="s">
        <v>2013</v>
      </c>
      <c r="B3909" s="6" t="n">
        <v>42099</v>
      </c>
      <c r="C3909" s="7" t="s">
        <v>55</v>
      </c>
      <c r="D3909" s="7" t="s">
        <v>56</v>
      </c>
      <c r="E3909" s="7" t="s">
        <v>39</v>
      </c>
      <c r="F3909" s="0" t="n">
        <v>14.85</v>
      </c>
      <c r="G3909" s="0" t="n">
        <v>-3.2175</v>
      </c>
      <c r="H3909" s="0" t="n">
        <v>0.4</v>
      </c>
      <c r="I3909" s="7" t="n">
        <f aca="false">YEAR(B3909)</f>
        <v>2015</v>
      </c>
      <c r="J3909" s="0" t="str">
        <f aca="false">I3909&amp;"-Q"&amp;ROUNDUP(MONTH(B3909)/3,0)</f>
        <v>2015-Q2</v>
      </c>
    </row>
    <row r="3910" customFormat="false" ht="15" hidden="false" customHeight="false" outlineLevel="0" collapsed="false">
      <c r="A3910" s="0" t="s">
        <v>2013</v>
      </c>
      <c r="B3910" s="6" t="n">
        <v>42099</v>
      </c>
      <c r="C3910" s="7" t="s">
        <v>55</v>
      </c>
      <c r="D3910" s="7" t="s">
        <v>56</v>
      </c>
      <c r="E3910" s="7" t="s">
        <v>39</v>
      </c>
      <c r="F3910" s="0" t="n">
        <v>41.988</v>
      </c>
      <c r="G3910" s="0" t="n">
        <v>-9.7972</v>
      </c>
      <c r="H3910" s="0" t="n">
        <v>0.4</v>
      </c>
      <c r="I3910" s="7" t="n">
        <f aca="false">YEAR(B3910)</f>
        <v>2015</v>
      </c>
      <c r="J3910" s="0" t="str">
        <f aca="false">I3910&amp;"-Q"&amp;ROUNDUP(MONTH(B3910)/3,0)</f>
        <v>2015-Q2</v>
      </c>
    </row>
    <row r="3911" customFormat="false" ht="15" hidden="false" customHeight="false" outlineLevel="0" collapsed="false">
      <c r="A3911" s="0" t="s">
        <v>2013</v>
      </c>
      <c r="B3911" s="6" t="n">
        <v>42099</v>
      </c>
      <c r="C3911" s="7" t="s">
        <v>55</v>
      </c>
      <c r="D3911" s="7" t="s">
        <v>56</v>
      </c>
      <c r="E3911" s="7" t="s">
        <v>31</v>
      </c>
      <c r="F3911" s="0" t="n">
        <v>7.584</v>
      </c>
      <c r="G3911" s="0" t="n">
        <v>2.37</v>
      </c>
      <c r="H3911" s="0" t="n">
        <v>0.2</v>
      </c>
      <c r="I3911" s="7" t="n">
        <f aca="false">YEAR(B3911)</f>
        <v>2015</v>
      </c>
      <c r="J3911" s="0" t="str">
        <f aca="false">I3911&amp;"-Q"&amp;ROUNDUP(MONTH(B3911)/3,0)</f>
        <v>2015-Q2</v>
      </c>
    </row>
    <row r="3912" customFormat="false" ht="15" hidden="false" customHeight="false" outlineLevel="0" collapsed="false">
      <c r="A3912" s="0" t="s">
        <v>2013</v>
      </c>
      <c r="B3912" s="6" t="n">
        <v>42099</v>
      </c>
      <c r="C3912" s="7" t="s">
        <v>55</v>
      </c>
      <c r="D3912" s="7" t="s">
        <v>56</v>
      </c>
      <c r="E3912" s="7" t="s">
        <v>31</v>
      </c>
      <c r="F3912" s="0" t="n">
        <v>352.45</v>
      </c>
      <c r="G3912" s="0" t="n">
        <v>-211.47</v>
      </c>
      <c r="H3912" s="0" t="n">
        <v>0.5</v>
      </c>
      <c r="I3912" s="7" t="n">
        <f aca="false">YEAR(B3912)</f>
        <v>2015</v>
      </c>
      <c r="J3912" s="0" t="str">
        <f aca="false">I3912&amp;"-Q"&amp;ROUNDUP(MONTH(B3912)/3,0)</f>
        <v>2015-Q2</v>
      </c>
    </row>
    <row r="3913" customFormat="false" ht="15" hidden="false" customHeight="false" outlineLevel="0" collapsed="false">
      <c r="A3913" s="0" t="s">
        <v>2014</v>
      </c>
      <c r="B3913" s="6" t="n">
        <v>42891</v>
      </c>
      <c r="C3913" s="7" t="s">
        <v>45</v>
      </c>
      <c r="D3913" s="7" t="s">
        <v>46</v>
      </c>
      <c r="E3913" s="7" t="s">
        <v>39</v>
      </c>
      <c r="F3913" s="0" t="n">
        <v>470.376</v>
      </c>
      <c r="G3913" s="0" t="n">
        <v>52.9173</v>
      </c>
      <c r="H3913" s="0" t="n">
        <v>0.2</v>
      </c>
      <c r="I3913" s="7" t="n">
        <f aca="false">YEAR(B3913)</f>
        <v>2017</v>
      </c>
      <c r="J3913" s="0" t="str">
        <f aca="false">I3913&amp;"-Q"&amp;ROUNDUP(MONTH(B3913)/3,0)</f>
        <v>2017-Q2</v>
      </c>
    </row>
    <row r="3914" customFormat="false" ht="15" hidden="false" customHeight="false" outlineLevel="0" collapsed="false">
      <c r="A3914" s="0" t="s">
        <v>2015</v>
      </c>
      <c r="B3914" s="6" t="n">
        <v>42996</v>
      </c>
      <c r="C3914" s="7" t="s">
        <v>55</v>
      </c>
      <c r="D3914" s="7" t="s">
        <v>76</v>
      </c>
      <c r="E3914" s="7" t="s">
        <v>35</v>
      </c>
      <c r="F3914" s="0" t="n">
        <v>19.44</v>
      </c>
      <c r="G3914" s="0" t="n">
        <v>9.3312</v>
      </c>
      <c r="H3914" s="0" t="n">
        <v>0</v>
      </c>
      <c r="I3914" s="7" t="n">
        <f aca="false">YEAR(B3914)</f>
        <v>2017</v>
      </c>
      <c r="J3914" s="0" t="str">
        <f aca="false">I3914&amp;"-Q"&amp;ROUNDUP(MONTH(B3914)/3,0)</f>
        <v>2017-Q3</v>
      </c>
    </row>
    <row r="3915" customFormat="false" ht="15" hidden="false" customHeight="false" outlineLevel="0" collapsed="false">
      <c r="A3915" s="0" t="s">
        <v>2015</v>
      </c>
      <c r="B3915" s="6" t="n">
        <v>42996</v>
      </c>
      <c r="C3915" s="7" t="s">
        <v>55</v>
      </c>
      <c r="D3915" s="7" t="s">
        <v>76</v>
      </c>
      <c r="E3915" s="7" t="s">
        <v>31</v>
      </c>
      <c r="F3915" s="0" t="n">
        <v>9.82</v>
      </c>
      <c r="G3915" s="0" t="n">
        <v>3.2406</v>
      </c>
      <c r="H3915" s="0" t="n">
        <v>0</v>
      </c>
      <c r="I3915" s="7" t="n">
        <f aca="false">YEAR(B3915)</f>
        <v>2017</v>
      </c>
      <c r="J3915" s="0" t="str">
        <f aca="false">I3915&amp;"-Q"&amp;ROUNDUP(MONTH(B3915)/3,0)</f>
        <v>2017-Q3</v>
      </c>
    </row>
    <row r="3916" customFormat="false" ht="15" hidden="false" customHeight="false" outlineLevel="0" collapsed="false">
      <c r="A3916" s="0" t="s">
        <v>2016</v>
      </c>
      <c r="B3916" s="6" t="n">
        <v>42934</v>
      </c>
      <c r="C3916" s="7" t="s">
        <v>33</v>
      </c>
      <c r="D3916" s="7" t="s">
        <v>81</v>
      </c>
      <c r="E3916" s="7" t="s">
        <v>31</v>
      </c>
      <c r="F3916" s="0" t="n">
        <v>801.6</v>
      </c>
      <c r="G3916" s="0" t="n">
        <v>-448.896</v>
      </c>
      <c r="H3916" s="0" t="n">
        <v>0.5</v>
      </c>
      <c r="I3916" s="7" t="n">
        <f aca="false">YEAR(B3916)</f>
        <v>2017</v>
      </c>
      <c r="J3916" s="0" t="str">
        <f aca="false">I3916&amp;"-Q"&amp;ROUNDUP(MONTH(B3916)/3,0)</f>
        <v>2017-Q3</v>
      </c>
    </row>
    <row r="3917" customFormat="false" ht="15" hidden="false" customHeight="false" outlineLevel="0" collapsed="false">
      <c r="A3917" s="0" t="s">
        <v>2016</v>
      </c>
      <c r="B3917" s="6" t="n">
        <v>42934</v>
      </c>
      <c r="C3917" s="7" t="s">
        <v>33</v>
      </c>
      <c r="D3917" s="7" t="s">
        <v>81</v>
      </c>
      <c r="E3917" s="7" t="s">
        <v>31</v>
      </c>
      <c r="F3917" s="0" t="n">
        <v>161.568</v>
      </c>
      <c r="G3917" s="0" t="n">
        <v>10.098</v>
      </c>
      <c r="H3917" s="0" t="n">
        <v>0.2</v>
      </c>
      <c r="I3917" s="7" t="n">
        <f aca="false">YEAR(B3917)</f>
        <v>2017</v>
      </c>
      <c r="J3917" s="0" t="str">
        <f aca="false">I3917&amp;"-Q"&amp;ROUNDUP(MONTH(B3917)/3,0)</f>
        <v>2017-Q3</v>
      </c>
    </row>
    <row r="3918" customFormat="false" ht="15" hidden="false" customHeight="false" outlineLevel="0" collapsed="false">
      <c r="A3918" s="0" t="s">
        <v>2016</v>
      </c>
      <c r="B3918" s="6" t="n">
        <v>42934</v>
      </c>
      <c r="C3918" s="7" t="s">
        <v>33</v>
      </c>
      <c r="D3918" s="7" t="s">
        <v>81</v>
      </c>
      <c r="E3918" s="7" t="s">
        <v>35</v>
      </c>
      <c r="F3918" s="0" t="n">
        <v>16.096</v>
      </c>
      <c r="G3918" s="0" t="n">
        <v>5.2312</v>
      </c>
      <c r="H3918" s="0" t="n">
        <v>0.2</v>
      </c>
      <c r="I3918" s="7" t="n">
        <f aca="false">YEAR(B3918)</f>
        <v>2017</v>
      </c>
      <c r="J3918" s="0" t="str">
        <f aca="false">I3918&amp;"-Q"&amp;ROUNDUP(MONTH(B3918)/3,0)</f>
        <v>2017-Q3</v>
      </c>
    </row>
    <row r="3919" customFormat="false" ht="15" hidden="false" customHeight="false" outlineLevel="0" collapsed="false">
      <c r="A3919" s="0" t="s">
        <v>2016</v>
      </c>
      <c r="B3919" s="6" t="n">
        <v>42934</v>
      </c>
      <c r="C3919" s="7" t="s">
        <v>33</v>
      </c>
      <c r="D3919" s="7" t="s">
        <v>81</v>
      </c>
      <c r="E3919" s="7" t="s">
        <v>35</v>
      </c>
      <c r="F3919" s="0" t="n">
        <v>7.656</v>
      </c>
      <c r="G3919" s="0" t="n">
        <v>-6.1248</v>
      </c>
      <c r="H3919" s="0" t="n">
        <v>0.7</v>
      </c>
      <c r="I3919" s="7" t="n">
        <f aca="false">YEAR(B3919)</f>
        <v>2017</v>
      </c>
      <c r="J3919" s="0" t="str">
        <f aca="false">I3919&amp;"-Q"&amp;ROUNDUP(MONTH(B3919)/3,0)</f>
        <v>2017-Q3</v>
      </c>
    </row>
    <row r="3920" customFormat="false" ht="15" hidden="false" customHeight="false" outlineLevel="0" collapsed="false">
      <c r="A3920" s="0" t="s">
        <v>2016</v>
      </c>
      <c r="B3920" s="6" t="n">
        <v>42934</v>
      </c>
      <c r="C3920" s="7" t="s">
        <v>33</v>
      </c>
      <c r="D3920" s="7" t="s">
        <v>81</v>
      </c>
      <c r="E3920" s="7" t="s">
        <v>31</v>
      </c>
      <c r="F3920" s="0" t="n">
        <v>311.976</v>
      </c>
      <c r="G3920" s="0" t="n">
        <v>-42.8967</v>
      </c>
      <c r="H3920" s="0" t="n">
        <v>0.2</v>
      </c>
      <c r="I3920" s="7" t="n">
        <f aca="false">YEAR(B3920)</f>
        <v>2017</v>
      </c>
      <c r="J3920" s="0" t="str">
        <f aca="false">I3920&amp;"-Q"&amp;ROUNDUP(MONTH(B3920)/3,0)</f>
        <v>2017-Q3</v>
      </c>
    </row>
    <row r="3921" customFormat="false" ht="15" hidden="false" customHeight="false" outlineLevel="0" collapsed="false">
      <c r="A3921" s="0" t="s">
        <v>2017</v>
      </c>
      <c r="B3921" s="6" t="n">
        <v>42339</v>
      </c>
      <c r="C3921" s="7" t="s">
        <v>29</v>
      </c>
      <c r="D3921" s="7" t="s">
        <v>83</v>
      </c>
      <c r="E3921" s="7" t="s">
        <v>35</v>
      </c>
      <c r="F3921" s="0" t="n">
        <v>61.68</v>
      </c>
      <c r="G3921" s="0" t="n">
        <v>16.6536</v>
      </c>
      <c r="H3921" s="0" t="n">
        <v>0</v>
      </c>
      <c r="I3921" s="7" t="n">
        <f aca="false">YEAR(B3921)</f>
        <v>2015</v>
      </c>
      <c r="J3921" s="0" t="str">
        <f aca="false">I3921&amp;"-Q"&amp;ROUNDUP(MONTH(B3921)/3,0)</f>
        <v>2015-Q4</v>
      </c>
    </row>
    <row r="3922" customFormat="false" ht="15" hidden="false" customHeight="false" outlineLevel="0" collapsed="false">
      <c r="A3922" s="0" t="s">
        <v>2017</v>
      </c>
      <c r="B3922" s="6" t="n">
        <v>42339</v>
      </c>
      <c r="C3922" s="7" t="s">
        <v>29</v>
      </c>
      <c r="D3922" s="7" t="s">
        <v>83</v>
      </c>
      <c r="E3922" s="7" t="s">
        <v>35</v>
      </c>
      <c r="F3922" s="0" t="n">
        <v>63.96</v>
      </c>
      <c r="G3922" s="0" t="n">
        <v>30.7008</v>
      </c>
      <c r="H3922" s="0" t="n">
        <v>0</v>
      </c>
      <c r="I3922" s="7" t="n">
        <f aca="false">YEAR(B3922)</f>
        <v>2015</v>
      </c>
      <c r="J3922" s="0" t="str">
        <f aca="false">I3922&amp;"-Q"&amp;ROUNDUP(MONTH(B3922)/3,0)</f>
        <v>2015-Q4</v>
      </c>
    </row>
    <row r="3923" customFormat="false" ht="15" hidden="false" customHeight="false" outlineLevel="0" collapsed="false">
      <c r="A3923" s="0" t="s">
        <v>2018</v>
      </c>
      <c r="B3923" s="6" t="n">
        <v>42549</v>
      </c>
      <c r="C3923" s="7" t="s">
        <v>45</v>
      </c>
      <c r="D3923" s="7" t="s">
        <v>64</v>
      </c>
      <c r="E3923" s="7" t="s">
        <v>39</v>
      </c>
      <c r="F3923" s="0" t="n">
        <v>359.976</v>
      </c>
      <c r="G3923" s="0" t="n">
        <v>35.9976</v>
      </c>
      <c r="H3923" s="0" t="n">
        <v>0.2</v>
      </c>
      <c r="I3923" s="7" t="n">
        <f aca="false">YEAR(B3923)</f>
        <v>2016</v>
      </c>
      <c r="J3923" s="0" t="str">
        <f aca="false">I3923&amp;"-Q"&amp;ROUNDUP(MONTH(B3923)/3,0)</f>
        <v>2016-Q2</v>
      </c>
    </row>
    <row r="3924" customFormat="false" ht="15" hidden="false" customHeight="false" outlineLevel="0" collapsed="false">
      <c r="A3924" s="0" t="s">
        <v>2019</v>
      </c>
      <c r="B3924" s="6" t="n">
        <v>42975</v>
      </c>
      <c r="C3924" s="7" t="s">
        <v>45</v>
      </c>
      <c r="D3924" s="7" t="s">
        <v>64</v>
      </c>
      <c r="E3924" s="7" t="s">
        <v>35</v>
      </c>
      <c r="F3924" s="0" t="n">
        <v>25.344</v>
      </c>
      <c r="G3924" s="0" t="n">
        <v>7.92</v>
      </c>
      <c r="H3924" s="0" t="n">
        <v>0.2</v>
      </c>
      <c r="I3924" s="7" t="n">
        <f aca="false">YEAR(B3924)</f>
        <v>2017</v>
      </c>
      <c r="J3924" s="0" t="str">
        <f aca="false">I3924&amp;"-Q"&amp;ROUNDUP(MONTH(B3924)/3,0)</f>
        <v>2017-Q3</v>
      </c>
    </row>
    <row r="3925" customFormat="false" ht="15" hidden="false" customHeight="false" outlineLevel="0" collapsed="false">
      <c r="A3925" s="0" t="s">
        <v>2019</v>
      </c>
      <c r="B3925" s="6" t="n">
        <v>42975</v>
      </c>
      <c r="C3925" s="7" t="s">
        <v>45</v>
      </c>
      <c r="D3925" s="7" t="s">
        <v>64</v>
      </c>
      <c r="E3925" s="7" t="s">
        <v>35</v>
      </c>
      <c r="F3925" s="0" t="n">
        <v>26.72</v>
      </c>
      <c r="G3925" s="0" t="n">
        <v>9.352</v>
      </c>
      <c r="H3925" s="0" t="n">
        <v>0.2</v>
      </c>
      <c r="I3925" s="7" t="n">
        <f aca="false">YEAR(B3925)</f>
        <v>2017</v>
      </c>
      <c r="J3925" s="0" t="str">
        <f aca="false">I3925&amp;"-Q"&amp;ROUNDUP(MONTH(B3925)/3,0)</f>
        <v>2017-Q3</v>
      </c>
    </row>
    <row r="3926" customFormat="false" ht="15" hidden="false" customHeight="false" outlineLevel="0" collapsed="false">
      <c r="A3926" s="0" t="s">
        <v>2020</v>
      </c>
      <c r="B3926" s="6" t="n">
        <v>41899</v>
      </c>
      <c r="C3926" s="7" t="s">
        <v>33</v>
      </c>
      <c r="D3926" s="7" t="s">
        <v>43</v>
      </c>
      <c r="E3926" s="7" t="s">
        <v>35</v>
      </c>
      <c r="F3926" s="0" t="n">
        <v>30.28</v>
      </c>
      <c r="G3926" s="0" t="n">
        <v>1.2112</v>
      </c>
      <c r="H3926" s="0" t="n">
        <v>0</v>
      </c>
      <c r="I3926" s="7" t="n">
        <f aca="false">YEAR(B3926)</f>
        <v>2014</v>
      </c>
      <c r="J3926" s="0" t="str">
        <f aca="false">I3926&amp;"-Q"&amp;ROUNDUP(MONTH(B3926)/3,0)</f>
        <v>2014-Q3</v>
      </c>
    </row>
    <row r="3927" customFormat="false" ht="15" hidden="false" customHeight="false" outlineLevel="0" collapsed="false">
      <c r="A3927" s="0" t="s">
        <v>2020</v>
      </c>
      <c r="B3927" s="6" t="n">
        <v>41899</v>
      </c>
      <c r="C3927" s="7" t="s">
        <v>33</v>
      </c>
      <c r="D3927" s="7" t="s">
        <v>43</v>
      </c>
      <c r="E3927" s="7" t="s">
        <v>35</v>
      </c>
      <c r="F3927" s="0" t="n">
        <v>57.93</v>
      </c>
      <c r="G3927" s="0" t="n">
        <v>16.2204</v>
      </c>
      <c r="H3927" s="0" t="n">
        <v>0</v>
      </c>
      <c r="I3927" s="7" t="n">
        <f aca="false">YEAR(B3927)</f>
        <v>2014</v>
      </c>
      <c r="J3927" s="0" t="str">
        <f aca="false">I3927&amp;"-Q"&amp;ROUNDUP(MONTH(B3927)/3,0)</f>
        <v>2014-Q3</v>
      </c>
    </row>
    <row r="3928" customFormat="false" ht="15" hidden="false" customHeight="false" outlineLevel="0" collapsed="false">
      <c r="A3928" s="0" t="s">
        <v>2020</v>
      </c>
      <c r="B3928" s="6" t="n">
        <v>41899</v>
      </c>
      <c r="C3928" s="7" t="s">
        <v>33</v>
      </c>
      <c r="D3928" s="7" t="s">
        <v>43</v>
      </c>
      <c r="E3928" s="7" t="s">
        <v>31</v>
      </c>
      <c r="F3928" s="0" t="n">
        <v>35.34</v>
      </c>
      <c r="G3928" s="0" t="n">
        <v>13.4292</v>
      </c>
      <c r="H3928" s="0" t="n">
        <v>0</v>
      </c>
      <c r="I3928" s="7" t="n">
        <f aca="false">YEAR(B3928)</f>
        <v>2014</v>
      </c>
      <c r="J3928" s="0" t="str">
        <f aca="false">I3928&amp;"-Q"&amp;ROUNDUP(MONTH(B3928)/3,0)</f>
        <v>2014-Q3</v>
      </c>
    </row>
    <row r="3929" customFormat="false" ht="15" hidden="false" customHeight="false" outlineLevel="0" collapsed="false">
      <c r="A3929" s="0" t="s">
        <v>2020</v>
      </c>
      <c r="B3929" s="6" t="n">
        <v>41899</v>
      </c>
      <c r="C3929" s="7" t="s">
        <v>33</v>
      </c>
      <c r="D3929" s="7" t="s">
        <v>43</v>
      </c>
      <c r="E3929" s="7" t="s">
        <v>35</v>
      </c>
      <c r="F3929" s="0" t="n">
        <v>137.24</v>
      </c>
      <c r="G3929" s="0" t="n">
        <v>46.3185</v>
      </c>
      <c r="H3929" s="0" t="n">
        <v>0.2</v>
      </c>
      <c r="I3929" s="7" t="n">
        <f aca="false">YEAR(B3929)</f>
        <v>2014</v>
      </c>
      <c r="J3929" s="0" t="str">
        <f aca="false">I3929&amp;"-Q"&amp;ROUNDUP(MONTH(B3929)/3,0)</f>
        <v>2014-Q3</v>
      </c>
    </row>
    <row r="3930" customFormat="false" ht="15" hidden="false" customHeight="false" outlineLevel="0" collapsed="false">
      <c r="A3930" s="0" t="s">
        <v>2021</v>
      </c>
      <c r="B3930" s="6" t="n">
        <v>42443</v>
      </c>
      <c r="C3930" s="7" t="s">
        <v>45</v>
      </c>
      <c r="D3930" s="7" t="s">
        <v>46</v>
      </c>
      <c r="E3930" s="7" t="s">
        <v>31</v>
      </c>
      <c r="F3930" s="0" t="n">
        <v>241.332</v>
      </c>
      <c r="G3930" s="0" t="n">
        <v>-14.196</v>
      </c>
      <c r="H3930" s="0" t="n">
        <v>0.32</v>
      </c>
      <c r="I3930" s="7" t="n">
        <f aca="false">YEAR(B3930)</f>
        <v>2016</v>
      </c>
      <c r="J3930" s="0" t="str">
        <f aca="false">I3930&amp;"-Q"&amp;ROUNDUP(MONTH(B3930)/3,0)</f>
        <v>2016-Q1</v>
      </c>
    </row>
    <row r="3931" customFormat="false" ht="15" hidden="false" customHeight="false" outlineLevel="0" collapsed="false">
      <c r="A3931" s="0" t="s">
        <v>2021</v>
      </c>
      <c r="B3931" s="6" t="n">
        <v>42443</v>
      </c>
      <c r="C3931" s="7" t="s">
        <v>45</v>
      </c>
      <c r="D3931" s="7" t="s">
        <v>46</v>
      </c>
      <c r="E3931" s="7" t="s">
        <v>35</v>
      </c>
      <c r="F3931" s="0" t="n">
        <v>5.184</v>
      </c>
      <c r="G3931" s="0" t="n">
        <v>1.8792</v>
      </c>
      <c r="H3931" s="0" t="n">
        <v>0.2</v>
      </c>
      <c r="I3931" s="7" t="n">
        <f aca="false">YEAR(B3931)</f>
        <v>2016</v>
      </c>
      <c r="J3931" s="0" t="str">
        <f aca="false">I3931&amp;"-Q"&amp;ROUNDUP(MONTH(B3931)/3,0)</f>
        <v>2016-Q1</v>
      </c>
    </row>
    <row r="3932" customFormat="false" ht="15" hidden="false" customHeight="false" outlineLevel="0" collapsed="false">
      <c r="A3932" s="0" t="s">
        <v>2021</v>
      </c>
      <c r="B3932" s="6" t="n">
        <v>42443</v>
      </c>
      <c r="C3932" s="7" t="s">
        <v>45</v>
      </c>
      <c r="D3932" s="7" t="s">
        <v>46</v>
      </c>
      <c r="E3932" s="7" t="s">
        <v>35</v>
      </c>
      <c r="F3932" s="0" t="n">
        <v>145.544</v>
      </c>
      <c r="G3932" s="0" t="n">
        <v>16.3737</v>
      </c>
      <c r="H3932" s="0" t="n">
        <v>0.2</v>
      </c>
      <c r="I3932" s="7" t="n">
        <f aca="false">YEAR(B3932)</f>
        <v>2016</v>
      </c>
      <c r="J3932" s="0" t="str">
        <f aca="false">I3932&amp;"-Q"&amp;ROUNDUP(MONTH(B3932)/3,0)</f>
        <v>2016-Q1</v>
      </c>
    </row>
    <row r="3933" customFormat="false" ht="15" hidden="false" customHeight="false" outlineLevel="0" collapsed="false">
      <c r="A3933" s="0" t="s">
        <v>2022</v>
      </c>
      <c r="B3933" s="6" t="n">
        <v>42608</v>
      </c>
      <c r="C3933" s="7" t="s">
        <v>55</v>
      </c>
      <c r="D3933" s="7" t="s">
        <v>56</v>
      </c>
      <c r="E3933" s="7" t="s">
        <v>35</v>
      </c>
      <c r="F3933" s="0" t="n">
        <v>5.472</v>
      </c>
      <c r="G3933" s="0" t="n">
        <v>1.6416</v>
      </c>
      <c r="H3933" s="0" t="n">
        <v>0.2</v>
      </c>
      <c r="I3933" s="7" t="n">
        <f aca="false">YEAR(B3933)</f>
        <v>2016</v>
      </c>
      <c r="J3933" s="0" t="str">
        <f aca="false">I3933&amp;"-Q"&amp;ROUNDUP(MONTH(B3933)/3,0)</f>
        <v>2016-Q3</v>
      </c>
    </row>
    <row r="3934" customFormat="false" ht="15" hidden="false" customHeight="false" outlineLevel="0" collapsed="false">
      <c r="A3934" s="0" t="s">
        <v>2022</v>
      </c>
      <c r="B3934" s="6" t="n">
        <v>42608</v>
      </c>
      <c r="C3934" s="7" t="s">
        <v>55</v>
      </c>
      <c r="D3934" s="7" t="s">
        <v>56</v>
      </c>
      <c r="E3934" s="7" t="s">
        <v>39</v>
      </c>
      <c r="F3934" s="0" t="n">
        <v>47.984</v>
      </c>
      <c r="G3934" s="0" t="n">
        <v>13.1956</v>
      </c>
      <c r="H3934" s="0" t="n">
        <v>0.2</v>
      </c>
      <c r="I3934" s="7" t="n">
        <f aca="false">YEAR(B3934)</f>
        <v>2016</v>
      </c>
      <c r="J3934" s="0" t="str">
        <f aca="false">I3934&amp;"-Q"&amp;ROUNDUP(MONTH(B3934)/3,0)</f>
        <v>2016-Q3</v>
      </c>
    </row>
    <row r="3935" customFormat="false" ht="15" hidden="false" customHeight="false" outlineLevel="0" collapsed="false">
      <c r="A3935" s="0" t="s">
        <v>2023</v>
      </c>
      <c r="B3935" s="6" t="n">
        <v>42980</v>
      </c>
      <c r="C3935" s="7" t="s">
        <v>33</v>
      </c>
      <c r="D3935" s="7" t="s">
        <v>34</v>
      </c>
      <c r="E3935" s="7" t="s">
        <v>35</v>
      </c>
      <c r="F3935" s="0" t="n">
        <v>9.4</v>
      </c>
      <c r="G3935" s="0" t="n">
        <v>2.726</v>
      </c>
      <c r="H3935" s="0" t="n">
        <v>0</v>
      </c>
      <c r="I3935" s="7" t="n">
        <f aca="false">YEAR(B3935)</f>
        <v>2017</v>
      </c>
      <c r="J3935" s="0" t="str">
        <f aca="false">I3935&amp;"-Q"&amp;ROUNDUP(MONTH(B3935)/3,0)</f>
        <v>2017-Q3</v>
      </c>
    </row>
    <row r="3936" customFormat="false" ht="15" hidden="false" customHeight="false" outlineLevel="0" collapsed="false">
      <c r="A3936" s="0" t="s">
        <v>2023</v>
      </c>
      <c r="B3936" s="6" t="n">
        <v>42980</v>
      </c>
      <c r="C3936" s="7" t="s">
        <v>33</v>
      </c>
      <c r="D3936" s="7" t="s">
        <v>34</v>
      </c>
      <c r="E3936" s="7" t="s">
        <v>35</v>
      </c>
      <c r="F3936" s="0" t="n">
        <v>74</v>
      </c>
      <c r="G3936" s="0" t="n">
        <v>37</v>
      </c>
      <c r="H3936" s="0" t="n">
        <v>0</v>
      </c>
      <c r="I3936" s="7" t="n">
        <f aca="false">YEAR(B3936)</f>
        <v>2017</v>
      </c>
      <c r="J3936" s="0" t="str">
        <f aca="false">I3936&amp;"-Q"&amp;ROUNDUP(MONTH(B3936)/3,0)</f>
        <v>2017-Q3</v>
      </c>
    </row>
    <row r="3937" customFormat="false" ht="15" hidden="false" customHeight="false" outlineLevel="0" collapsed="false">
      <c r="A3937" s="0" t="s">
        <v>2023</v>
      </c>
      <c r="B3937" s="6" t="n">
        <v>42980</v>
      </c>
      <c r="C3937" s="7" t="s">
        <v>33</v>
      </c>
      <c r="D3937" s="7" t="s">
        <v>34</v>
      </c>
      <c r="E3937" s="7" t="s">
        <v>39</v>
      </c>
      <c r="F3937" s="0" t="n">
        <v>201.584</v>
      </c>
      <c r="G3937" s="0" t="n">
        <v>12.599</v>
      </c>
      <c r="H3937" s="0" t="n">
        <v>0.2</v>
      </c>
      <c r="I3937" s="7" t="n">
        <f aca="false">YEAR(B3937)</f>
        <v>2017</v>
      </c>
      <c r="J3937" s="0" t="str">
        <f aca="false">I3937&amp;"-Q"&amp;ROUNDUP(MONTH(B3937)/3,0)</f>
        <v>2017-Q3</v>
      </c>
    </row>
    <row r="3938" customFormat="false" ht="15" hidden="false" customHeight="false" outlineLevel="0" collapsed="false">
      <c r="A3938" s="0" t="s">
        <v>2024</v>
      </c>
      <c r="B3938" s="6" t="n">
        <v>42171</v>
      </c>
      <c r="C3938" s="7" t="s">
        <v>45</v>
      </c>
      <c r="D3938" s="7" t="s">
        <v>46</v>
      </c>
      <c r="E3938" s="7" t="s">
        <v>35</v>
      </c>
      <c r="F3938" s="0" t="n">
        <v>28.752</v>
      </c>
      <c r="G3938" s="0" t="n">
        <v>9.3444</v>
      </c>
      <c r="H3938" s="0" t="n">
        <v>0.2</v>
      </c>
      <c r="I3938" s="7" t="n">
        <f aca="false">YEAR(B3938)</f>
        <v>2015</v>
      </c>
      <c r="J3938" s="0" t="str">
        <f aca="false">I3938&amp;"-Q"&amp;ROUNDUP(MONTH(B3938)/3,0)</f>
        <v>2015-Q2</v>
      </c>
    </row>
    <row r="3939" customFormat="false" ht="15" hidden="false" customHeight="false" outlineLevel="0" collapsed="false">
      <c r="A3939" s="0" t="s">
        <v>2024</v>
      </c>
      <c r="B3939" s="6" t="n">
        <v>42171</v>
      </c>
      <c r="C3939" s="7" t="s">
        <v>45</v>
      </c>
      <c r="D3939" s="7" t="s">
        <v>46</v>
      </c>
      <c r="E3939" s="7" t="s">
        <v>35</v>
      </c>
      <c r="F3939" s="0" t="n">
        <v>27.216</v>
      </c>
      <c r="G3939" s="0" t="n">
        <v>9.8658</v>
      </c>
      <c r="H3939" s="0" t="n">
        <v>0.2</v>
      </c>
      <c r="I3939" s="7" t="n">
        <f aca="false">YEAR(B3939)</f>
        <v>2015</v>
      </c>
      <c r="J3939" s="0" t="str">
        <f aca="false">I3939&amp;"-Q"&amp;ROUNDUP(MONTH(B3939)/3,0)</f>
        <v>2015-Q2</v>
      </c>
    </row>
    <row r="3940" customFormat="false" ht="15" hidden="false" customHeight="false" outlineLevel="0" collapsed="false">
      <c r="A3940" s="0" t="s">
        <v>2024</v>
      </c>
      <c r="B3940" s="6" t="n">
        <v>42171</v>
      </c>
      <c r="C3940" s="7" t="s">
        <v>45</v>
      </c>
      <c r="D3940" s="7" t="s">
        <v>46</v>
      </c>
      <c r="E3940" s="7" t="s">
        <v>31</v>
      </c>
      <c r="F3940" s="0" t="n">
        <v>197.372</v>
      </c>
      <c r="G3940" s="0" t="n">
        <v>-25.3764</v>
      </c>
      <c r="H3940" s="0" t="n">
        <v>0.3</v>
      </c>
      <c r="I3940" s="7" t="n">
        <f aca="false">YEAR(B3940)</f>
        <v>2015</v>
      </c>
      <c r="J3940" s="0" t="str">
        <f aca="false">I3940&amp;"-Q"&amp;ROUNDUP(MONTH(B3940)/3,0)</f>
        <v>2015-Q2</v>
      </c>
    </row>
    <row r="3941" customFormat="false" ht="15" hidden="false" customHeight="false" outlineLevel="0" collapsed="false">
      <c r="A3941" s="0" t="s">
        <v>2025</v>
      </c>
      <c r="B3941" s="6" t="n">
        <v>42714</v>
      </c>
      <c r="C3941" s="7" t="s">
        <v>45</v>
      </c>
      <c r="D3941" s="7" t="s">
        <v>74</v>
      </c>
      <c r="E3941" s="7" t="s">
        <v>31</v>
      </c>
      <c r="F3941" s="0" t="n">
        <v>1424.9</v>
      </c>
      <c r="G3941" s="0" t="n">
        <v>356.225</v>
      </c>
      <c r="H3941" s="0" t="n">
        <v>0</v>
      </c>
      <c r="I3941" s="7" t="n">
        <f aca="false">YEAR(B3941)</f>
        <v>2016</v>
      </c>
      <c r="J3941" s="0" t="str">
        <f aca="false">I3941&amp;"-Q"&amp;ROUNDUP(MONTH(B3941)/3,0)</f>
        <v>2016-Q4</v>
      </c>
    </row>
    <row r="3942" customFormat="false" ht="15" hidden="false" customHeight="false" outlineLevel="0" collapsed="false">
      <c r="A3942" s="0" t="s">
        <v>2026</v>
      </c>
      <c r="B3942" s="6" t="n">
        <v>42873</v>
      </c>
      <c r="C3942" s="7" t="s">
        <v>55</v>
      </c>
      <c r="D3942" s="7" t="s">
        <v>76</v>
      </c>
      <c r="E3942" s="7" t="s">
        <v>31</v>
      </c>
      <c r="F3942" s="0" t="n">
        <v>14.56</v>
      </c>
      <c r="G3942" s="0" t="n">
        <v>6.2608</v>
      </c>
      <c r="H3942" s="0" t="n">
        <v>0</v>
      </c>
      <c r="I3942" s="7" t="n">
        <f aca="false">YEAR(B3942)</f>
        <v>2017</v>
      </c>
      <c r="J3942" s="0" t="str">
        <f aca="false">I3942&amp;"-Q"&amp;ROUNDUP(MONTH(B3942)/3,0)</f>
        <v>2017-Q2</v>
      </c>
    </row>
    <row r="3943" customFormat="false" ht="15" hidden="false" customHeight="false" outlineLevel="0" collapsed="false">
      <c r="A3943" s="0" t="s">
        <v>2026</v>
      </c>
      <c r="B3943" s="6" t="n">
        <v>42873</v>
      </c>
      <c r="C3943" s="7" t="s">
        <v>55</v>
      </c>
      <c r="D3943" s="7" t="s">
        <v>76</v>
      </c>
      <c r="E3943" s="7" t="s">
        <v>35</v>
      </c>
      <c r="F3943" s="0" t="n">
        <v>3.048</v>
      </c>
      <c r="G3943" s="0" t="n">
        <v>1.0287</v>
      </c>
      <c r="H3943" s="0" t="n">
        <v>0.2</v>
      </c>
      <c r="I3943" s="7" t="n">
        <f aca="false">YEAR(B3943)</f>
        <v>2017</v>
      </c>
      <c r="J3943" s="0" t="str">
        <f aca="false">I3943&amp;"-Q"&amp;ROUNDUP(MONTH(B3943)/3,0)</f>
        <v>2017-Q2</v>
      </c>
    </row>
    <row r="3944" customFormat="false" ht="15" hidden="false" customHeight="false" outlineLevel="0" collapsed="false">
      <c r="A3944" s="0" t="s">
        <v>2027</v>
      </c>
      <c r="B3944" s="6" t="n">
        <v>42882</v>
      </c>
      <c r="C3944" s="7" t="s">
        <v>29</v>
      </c>
      <c r="D3944" s="7" t="s">
        <v>87</v>
      </c>
      <c r="E3944" s="7" t="s">
        <v>35</v>
      </c>
      <c r="F3944" s="0" t="n">
        <v>25.92</v>
      </c>
      <c r="G3944" s="0" t="n">
        <v>9.072</v>
      </c>
      <c r="H3944" s="0" t="n">
        <v>0.2</v>
      </c>
      <c r="I3944" s="7" t="n">
        <f aca="false">YEAR(B3944)</f>
        <v>2017</v>
      </c>
      <c r="J3944" s="0" t="str">
        <f aca="false">I3944&amp;"-Q"&amp;ROUNDUP(MONTH(B3944)/3,0)</f>
        <v>2017-Q2</v>
      </c>
    </row>
    <row r="3945" customFormat="false" ht="15" hidden="false" customHeight="false" outlineLevel="0" collapsed="false">
      <c r="A3945" s="0" t="s">
        <v>2028</v>
      </c>
      <c r="B3945" s="6" t="n">
        <v>42544</v>
      </c>
      <c r="C3945" s="7" t="s">
        <v>55</v>
      </c>
      <c r="D3945" s="7" t="s">
        <v>76</v>
      </c>
      <c r="E3945" s="7" t="s">
        <v>35</v>
      </c>
      <c r="F3945" s="0" t="n">
        <v>835.17</v>
      </c>
      <c r="G3945" s="0" t="n">
        <v>16.7034</v>
      </c>
      <c r="H3945" s="0" t="n">
        <v>0</v>
      </c>
      <c r="I3945" s="7" t="n">
        <f aca="false">YEAR(B3945)</f>
        <v>2016</v>
      </c>
      <c r="J3945" s="0" t="str">
        <f aca="false">I3945&amp;"-Q"&amp;ROUNDUP(MONTH(B3945)/3,0)</f>
        <v>2016-Q2</v>
      </c>
    </row>
    <row r="3946" customFormat="false" ht="15" hidden="false" customHeight="false" outlineLevel="0" collapsed="false">
      <c r="A3946" s="0" t="s">
        <v>2029</v>
      </c>
      <c r="B3946" s="6" t="n">
        <v>42506</v>
      </c>
      <c r="C3946" s="7" t="s">
        <v>33</v>
      </c>
      <c r="D3946" s="7" t="s">
        <v>34</v>
      </c>
      <c r="E3946" s="7" t="s">
        <v>35</v>
      </c>
      <c r="F3946" s="0" t="n">
        <v>17.34</v>
      </c>
      <c r="G3946" s="0" t="n">
        <v>8.4966</v>
      </c>
      <c r="H3946" s="0" t="n">
        <v>0</v>
      </c>
      <c r="I3946" s="7" t="n">
        <f aca="false">YEAR(B3946)</f>
        <v>2016</v>
      </c>
      <c r="J3946" s="0" t="str">
        <f aca="false">I3946&amp;"-Q"&amp;ROUNDUP(MONTH(B3946)/3,0)</f>
        <v>2016-Q2</v>
      </c>
    </row>
    <row r="3947" customFormat="false" ht="15" hidden="false" customHeight="false" outlineLevel="0" collapsed="false">
      <c r="A3947" s="0" t="s">
        <v>2030</v>
      </c>
      <c r="B3947" s="6" t="n">
        <v>43057</v>
      </c>
      <c r="C3947" s="7" t="s">
        <v>29</v>
      </c>
      <c r="D3947" s="7" t="s">
        <v>37</v>
      </c>
      <c r="E3947" s="7" t="s">
        <v>35</v>
      </c>
      <c r="F3947" s="0" t="n">
        <v>44.384</v>
      </c>
      <c r="G3947" s="0" t="n">
        <v>15.5344</v>
      </c>
      <c r="H3947" s="0" t="n">
        <v>0.2</v>
      </c>
      <c r="I3947" s="7" t="n">
        <f aca="false">YEAR(B3947)</f>
        <v>2017</v>
      </c>
      <c r="J3947" s="0" t="str">
        <f aca="false">I3947&amp;"-Q"&amp;ROUNDUP(MONTH(B3947)/3,0)</f>
        <v>2017-Q4</v>
      </c>
    </row>
    <row r="3948" customFormat="false" ht="15" hidden="false" customHeight="false" outlineLevel="0" collapsed="false">
      <c r="A3948" s="0" t="s">
        <v>2030</v>
      </c>
      <c r="B3948" s="6" t="n">
        <v>43057</v>
      </c>
      <c r="C3948" s="7" t="s">
        <v>29</v>
      </c>
      <c r="D3948" s="7" t="s">
        <v>37</v>
      </c>
      <c r="E3948" s="7" t="s">
        <v>35</v>
      </c>
      <c r="F3948" s="0" t="n">
        <v>2.944</v>
      </c>
      <c r="G3948" s="0" t="n">
        <v>-0.6624</v>
      </c>
      <c r="H3948" s="0" t="n">
        <v>0.2</v>
      </c>
      <c r="I3948" s="7" t="n">
        <f aca="false">YEAR(B3948)</f>
        <v>2017</v>
      </c>
      <c r="J3948" s="0" t="str">
        <f aca="false">I3948&amp;"-Q"&amp;ROUNDUP(MONTH(B3948)/3,0)</f>
        <v>2017-Q4</v>
      </c>
    </row>
    <row r="3949" customFormat="false" ht="15" hidden="false" customHeight="false" outlineLevel="0" collapsed="false">
      <c r="A3949" s="0" t="s">
        <v>2031</v>
      </c>
      <c r="B3949" s="6" t="n">
        <v>42692</v>
      </c>
      <c r="C3949" s="7" t="s">
        <v>45</v>
      </c>
      <c r="D3949" s="7" t="s">
        <v>46</v>
      </c>
      <c r="E3949" s="7" t="s">
        <v>35</v>
      </c>
      <c r="F3949" s="0" t="n">
        <v>6.368</v>
      </c>
      <c r="G3949" s="0" t="n">
        <v>1.0348</v>
      </c>
      <c r="H3949" s="0" t="n">
        <v>0.2</v>
      </c>
      <c r="I3949" s="7" t="n">
        <f aca="false">YEAR(B3949)</f>
        <v>2016</v>
      </c>
      <c r="J3949" s="0" t="str">
        <f aca="false">I3949&amp;"-Q"&amp;ROUNDUP(MONTH(B3949)/3,0)</f>
        <v>2016-Q4</v>
      </c>
    </row>
    <row r="3950" customFormat="false" ht="15" hidden="false" customHeight="false" outlineLevel="0" collapsed="false">
      <c r="A3950" s="0" t="s">
        <v>2031</v>
      </c>
      <c r="B3950" s="6" t="n">
        <v>42692</v>
      </c>
      <c r="C3950" s="7" t="s">
        <v>45</v>
      </c>
      <c r="D3950" s="7" t="s">
        <v>46</v>
      </c>
      <c r="E3950" s="7" t="s">
        <v>35</v>
      </c>
      <c r="F3950" s="0" t="n">
        <v>48.848</v>
      </c>
      <c r="G3950" s="0" t="n">
        <v>15.8756</v>
      </c>
      <c r="H3950" s="0" t="n">
        <v>0.2</v>
      </c>
      <c r="I3950" s="7" t="n">
        <f aca="false">YEAR(B3950)</f>
        <v>2016</v>
      </c>
      <c r="J3950" s="0" t="str">
        <f aca="false">I3950&amp;"-Q"&amp;ROUNDUP(MONTH(B3950)/3,0)</f>
        <v>2016-Q4</v>
      </c>
    </row>
    <row r="3951" customFormat="false" ht="15" hidden="false" customHeight="false" outlineLevel="0" collapsed="false">
      <c r="A3951" s="0" t="s">
        <v>2031</v>
      </c>
      <c r="B3951" s="6" t="n">
        <v>42692</v>
      </c>
      <c r="C3951" s="7" t="s">
        <v>45</v>
      </c>
      <c r="D3951" s="7" t="s">
        <v>46</v>
      </c>
      <c r="E3951" s="7" t="s">
        <v>35</v>
      </c>
      <c r="F3951" s="0" t="n">
        <v>19.648</v>
      </c>
      <c r="G3951" s="0" t="n">
        <v>6.6312</v>
      </c>
      <c r="H3951" s="0" t="n">
        <v>0.2</v>
      </c>
      <c r="I3951" s="7" t="n">
        <f aca="false">YEAR(B3951)</f>
        <v>2016</v>
      </c>
      <c r="J3951" s="0" t="str">
        <f aca="false">I3951&amp;"-Q"&amp;ROUNDUP(MONTH(B3951)/3,0)</f>
        <v>2016-Q4</v>
      </c>
    </row>
    <row r="3952" customFormat="false" ht="15" hidden="false" customHeight="false" outlineLevel="0" collapsed="false">
      <c r="A3952" s="0" t="s">
        <v>2031</v>
      </c>
      <c r="B3952" s="6" t="n">
        <v>42692</v>
      </c>
      <c r="C3952" s="7" t="s">
        <v>45</v>
      </c>
      <c r="D3952" s="7" t="s">
        <v>46</v>
      </c>
      <c r="E3952" s="7" t="s">
        <v>31</v>
      </c>
      <c r="F3952" s="0" t="n">
        <v>255.108</v>
      </c>
      <c r="G3952" s="0" t="n">
        <v>-18.222</v>
      </c>
      <c r="H3952" s="0" t="n">
        <v>0.3</v>
      </c>
      <c r="I3952" s="7" t="n">
        <f aca="false">YEAR(B3952)</f>
        <v>2016</v>
      </c>
      <c r="J3952" s="0" t="str">
        <f aca="false">I3952&amp;"-Q"&amp;ROUNDUP(MONTH(B3952)/3,0)</f>
        <v>2016-Q4</v>
      </c>
    </row>
    <row r="3953" customFormat="false" ht="15" hidden="false" customHeight="false" outlineLevel="0" collapsed="false">
      <c r="A3953" s="0" t="s">
        <v>2032</v>
      </c>
      <c r="B3953" s="6" t="n">
        <v>41971</v>
      </c>
      <c r="C3953" s="7" t="s">
        <v>55</v>
      </c>
      <c r="D3953" s="7" t="s">
        <v>76</v>
      </c>
      <c r="E3953" s="7" t="s">
        <v>35</v>
      </c>
      <c r="F3953" s="0" t="n">
        <v>17.248</v>
      </c>
      <c r="G3953" s="0" t="n">
        <v>6.0368</v>
      </c>
      <c r="H3953" s="0" t="n">
        <v>0.2</v>
      </c>
      <c r="I3953" s="7" t="n">
        <f aca="false">YEAR(B3953)</f>
        <v>2014</v>
      </c>
      <c r="J3953" s="0" t="str">
        <f aca="false">I3953&amp;"-Q"&amp;ROUNDUP(MONTH(B3953)/3,0)</f>
        <v>2014-Q4</v>
      </c>
    </row>
    <row r="3954" customFormat="false" ht="15" hidden="false" customHeight="false" outlineLevel="0" collapsed="false">
      <c r="A3954" s="0" t="s">
        <v>2033</v>
      </c>
      <c r="B3954" s="6" t="n">
        <v>42430</v>
      </c>
      <c r="C3954" s="7" t="s">
        <v>33</v>
      </c>
      <c r="D3954" s="7" t="s">
        <v>109</v>
      </c>
      <c r="E3954" s="7" t="s">
        <v>39</v>
      </c>
      <c r="F3954" s="0" t="n">
        <v>159.984</v>
      </c>
      <c r="G3954" s="0" t="n">
        <v>13.9986</v>
      </c>
      <c r="H3954" s="0" t="n">
        <v>0.2</v>
      </c>
      <c r="I3954" s="7" t="n">
        <f aca="false">YEAR(B3954)</f>
        <v>2016</v>
      </c>
      <c r="J3954" s="0" t="str">
        <f aca="false">I3954&amp;"-Q"&amp;ROUNDUP(MONTH(B3954)/3,0)</f>
        <v>2016-Q1</v>
      </c>
    </row>
    <row r="3955" customFormat="false" ht="15" hidden="false" customHeight="false" outlineLevel="0" collapsed="false">
      <c r="A3955" s="0" t="s">
        <v>2034</v>
      </c>
      <c r="B3955" s="6" t="n">
        <v>42750</v>
      </c>
      <c r="C3955" s="7" t="s">
        <v>55</v>
      </c>
      <c r="D3955" s="7" t="s">
        <v>225</v>
      </c>
      <c r="E3955" s="7" t="s">
        <v>35</v>
      </c>
      <c r="F3955" s="0" t="n">
        <v>12.7</v>
      </c>
      <c r="G3955" s="0" t="n">
        <v>5.842</v>
      </c>
      <c r="H3955" s="0" t="n">
        <v>0</v>
      </c>
      <c r="I3955" s="7" t="n">
        <f aca="false">YEAR(B3955)</f>
        <v>2017</v>
      </c>
      <c r="J3955" s="0" t="str">
        <f aca="false">I3955&amp;"-Q"&amp;ROUNDUP(MONTH(B3955)/3,0)</f>
        <v>2017-Q1</v>
      </c>
    </row>
    <row r="3956" customFormat="false" ht="15" hidden="false" customHeight="false" outlineLevel="0" collapsed="false">
      <c r="A3956" s="0" t="s">
        <v>2035</v>
      </c>
      <c r="B3956" s="6" t="n">
        <v>41733</v>
      </c>
      <c r="C3956" s="7" t="s">
        <v>45</v>
      </c>
      <c r="D3956" s="7" t="s">
        <v>70</v>
      </c>
      <c r="E3956" s="7" t="s">
        <v>31</v>
      </c>
      <c r="F3956" s="0" t="n">
        <v>5.47</v>
      </c>
      <c r="G3956" s="0" t="n">
        <v>2.3521</v>
      </c>
      <c r="H3956" s="0" t="n">
        <v>0</v>
      </c>
      <c r="I3956" s="7" t="n">
        <f aca="false">YEAR(B3956)</f>
        <v>2014</v>
      </c>
      <c r="J3956" s="0" t="str">
        <f aca="false">I3956&amp;"-Q"&amp;ROUNDUP(MONTH(B3956)/3,0)</f>
        <v>2014-Q2</v>
      </c>
    </row>
    <row r="3957" customFormat="false" ht="15" hidden="false" customHeight="false" outlineLevel="0" collapsed="false">
      <c r="A3957" s="0" t="s">
        <v>2035</v>
      </c>
      <c r="B3957" s="6" t="n">
        <v>41733</v>
      </c>
      <c r="C3957" s="7" t="s">
        <v>45</v>
      </c>
      <c r="D3957" s="7" t="s">
        <v>70</v>
      </c>
      <c r="E3957" s="7" t="s">
        <v>35</v>
      </c>
      <c r="F3957" s="0" t="n">
        <v>79.36</v>
      </c>
      <c r="G3957" s="0" t="n">
        <v>23.808</v>
      </c>
      <c r="H3957" s="0" t="n">
        <v>0</v>
      </c>
      <c r="I3957" s="7" t="n">
        <f aca="false">YEAR(B3957)</f>
        <v>2014</v>
      </c>
      <c r="J3957" s="0" t="str">
        <f aca="false">I3957&amp;"-Q"&amp;ROUNDUP(MONTH(B3957)/3,0)</f>
        <v>2014-Q2</v>
      </c>
    </row>
    <row r="3958" customFormat="false" ht="15" hidden="false" customHeight="false" outlineLevel="0" collapsed="false">
      <c r="A3958" s="0" t="s">
        <v>2036</v>
      </c>
      <c r="B3958" s="6" t="n">
        <v>42547</v>
      </c>
      <c r="C3958" s="7" t="s">
        <v>33</v>
      </c>
      <c r="D3958" s="7" t="s">
        <v>34</v>
      </c>
      <c r="E3958" s="7" t="s">
        <v>31</v>
      </c>
      <c r="F3958" s="0" t="n">
        <v>22.14</v>
      </c>
      <c r="G3958" s="0" t="n">
        <v>6.4206</v>
      </c>
      <c r="H3958" s="0" t="n">
        <v>0</v>
      </c>
      <c r="I3958" s="7" t="n">
        <f aca="false">YEAR(B3958)</f>
        <v>2016</v>
      </c>
      <c r="J3958" s="0" t="str">
        <f aca="false">I3958&amp;"-Q"&amp;ROUNDUP(MONTH(B3958)/3,0)</f>
        <v>2016-Q2</v>
      </c>
    </row>
    <row r="3959" customFormat="false" ht="15" hidden="false" customHeight="false" outlineLevel="0" collapsed="false">
      <c r="A3959" s="0" t="s">
        <v>2037</v>
      </c>
      <c r="B3959" s="6" t="n">
        <v>42519</v>
      </c>
      <c r="C3959" s="7" t="s">
        <v>29</v>
      </c>
      <c r="D3959" s="7" t="s">
        <v>87</v>
      </c>
      <c r="E3959" s="7" t="s">
        <v>35</v>
      </c>
      <c r="F3959" s="0" t="n">
        <v>11.277</v>
      </c>
      <c r="G3959" s="0" t="n">
        <v>-8.6457</v>
      </c>
      <c r="H3959" s="0" t="n">
        <v>0.7</v>
      </c>
      <c r="I3959" s="7" t="n">
        <f aca="false">YEAR(B3959)</f>
        <v>2016</v>
      </c>
      <c r="J3959" s="0" t="str">
        <f aca="false">I3959&amp;"-Q"&amp;ROUNDUP(MONTH(B3959)/3,0)</f>
        <v>2016-Q2</v>
      </c>
    </row>
    <row r="3960" customFormat="false" ht="15" hidden="false" customHeight="false" outlineLevel="0" collapsed="false">
      <c r="A3960" s="0" t="s">
        <v>2037</v>
      </c>
      <c r="B3960" s="6" t="n">
        <v>42519</v>
      </c>
      <c r="C3960" s="7" t="s">
        <v>29</v>
      </c>
      <c r="D3960" s="7" t="s">
        <v>87</v>
      </c>
      <c r="E3960" s="7" t="s">
        <v>35</v>
      </c>
      <c r="F3960" s="0" t="n">
        <v>4.448</v>
      </c>
      <c r="G3960" s="0" t="n">
        <v>0.3336</v>
      </c>
      <c r="H3960" s="0" t="n">
        <v>0.2</v>
      </c>
      <c r="I3960" s="7" t="n">
        <f aca="false">YEAR(B3960)</f>
        <v>2016</v>
      </c>
      <c r="J3960" s="0" t="str">
        <f aca="false">I3960&amp;"-Q"&amp;ROUNDUP(MONTH(B3960)/3,0)</f>
        <v>2016-Q2</v>
      </c>
    </row>
    <row r="3961" customFormat="false" ht="15" hidden="false" customHeight="false" outlineLevel="0" collapsed="false">
      <c r="A3961" s="0" t="s">
        <v>2037</v>
      </c>
      <c r="B3961" s="6" t="n">
        <v>42519</v>
      </c>
      <c r="C3961" s="7" t="s">
        <v>29</v>
      </c>
      <c r="D3961" s="7" t="s">
        <v>87</v>
      </c>
      <c r="E3961" s="7" t="s">
        <v>31</v>
      </c>
      <c r="F3961" s="0" t="n">
        <v>44.76</v>
      </c>
      <c r="G3961" s="0" t="n">
        <v>14.547</v>
      </c>
      <c r="H3961" s="0" t="n">
        <v>0.2</v>
      </c>
      <c r="I3961" s="7" t="n">
        <f aca="false">YEAR(B3961)</f>
        <v>2016</v>
      </c>
      <c r="J3961" s="0" t="str">
        <f aca="false">I3961&amp;"-Q"&amp;ROUNDUP(MONTH(B3961)/3,0)</f>
        <v>2016-Q2</v>
      </c>
    </row>
    <row r="3962" customFormat="false" ht="15" hidden="false" customHeight="false" outlineLevel="0" collapsed="false">
      <c r="A3962" s="0" t="s">
        <v>2038</v>
      </c>
      <c r="B3962" s="6" t="n">
        <v>42296</v>
      </c>
      <c r="C3962" s="7" t="s">
        <v>45</v>
      </c>
      <c r="D3962" s="7" t="s">
        <v>70</v>
      </c>
      <c r="E3962" s="7" t="s">
        <v>35</v>
      </c>
      <c r="F3962" s="0" t="n">
        <v>38.28</v>
      </c>
      <c r="G3962" s="0" t="n">
        <v>17.6088</v>
      </c>
      <c r="H3962" s="0" t="n">
        <v>0</v>
      </c>
      <c r="I3962" s="7" t="n">
        <f aca="false">YEAR(B3962)</f>
        <v>2015</v>
      </c>
      <c r="J3962" s="0" t="str">
        <f aca="false">I3962&amp;"-Q"&amp;ROUNDUP(MONTH(B3962)/3,0)</f>
        <v>2015-Q4</v>
      </c>
    </row>
    <row r="3963" customFormat="false" ht="15" hidden="false" customHeight="false" outlineLevel="0" collapsed="false">
      <c r="A3963" s="0" t="s">
        <v>2038</v>
      </c>
      <c r="B3963" s="6" t="n">
        <v>42296</v>
      </c>
      <c r="C3963" s="7" t="s">
        <v>45</v>
      </c>
      <c r="D3963" s="7" t="s">
        <v>70</v>
      </c>
      <c r="E3963" s="7" t="s">
        <v>39</v>
      </c>
      <c r="F3963" s="0" t="n">
        <v>149.95</v>
      </c>
      <c r="G3963" s="0" t="n">
        <v>44.985</v>
      </c>
      <c r="H3963" s="0" t="n">
        <v>0</v>
      </c>
      <c r="I3963" s="7" t="n">
        <f aca="false">YEAR(B3963)</f>
        <v>2015</v>
      </c>
      <c r="J3963" s="0" t="str">
        <f aca="false">I3963&amp;"-Q"&amp;ROUNDUP(MONTH(B3963)/3,0)</f>
        <v>2015-Q4</v>
      </c>
    </row>
    <row r="3964" customFormat="false" ht="15" hidden="false" customHeight="false" outlineLevel="0" collapsed="false">
      <c r="A3964" s="0" t="s">
        <v>2039</v>
      </c>
      <c r="B3964" s="6" t="n">
        <v>42785</v>
      </c>
      <c r="C3964" s="7" t="s">
        <v>33</v>
      </c>
      <c r="D3964" s="7" t="s">
        <v>34</v>
      </c>
      <c r="E3964" s="7" t="s">
        <v>35</v>
      </c>
      <c r="F3964" s="0" t="n">
        <v>12.84</v>
      </c>
      <c r="G3964" s="0" t="n">
        <v>3.4668</v>
      </c>
      <c r="H3964" s="0" t="n">
        <v>0</v>
      </c>
      <c r="I3964" s="7" t="n">
        <f aca="false">YEAR(B3964)</f>
        <v>2017</v>
      </c>
      <c r="J3964" s="0" t="str">
        <f aca="false">I3964&amp;"-Q"&amp;ROUNDUP(MONTH(B3964)/3,0)</f>
        <v>2017-Q1</v>
      </c>
    </row>
    <row r="3965" customFormat="false" ht="15" hidden="false" customHeight="false" outlineLevel="0" collapsed="false">
      <c r="A3965" s="0" t="s">
        <v>2039</v>
      </c>
      <c r="B3965" s="6" t="n">
        <v>42785</v>
      </c>
      <c r="C3965" s="7" t="s">
        <v>33</v>
      </c>
      <c r="D3965" s="7" t="s">
        <v>34</v>
      </c>
      <c r="E3965" s="7" t="s">
        <v>31</v>
      </c>
      <c r="F3965" s="0" t="n">
        <v>44.67</v>
      </c>
      <c r="G3965" s="0" t="n">
        <v>12.0609</v>
      </c>
      <c r="H3965" s="0" t="n">
        <v>0</v>
      </c>
      <c r="I3965" s="7" t="n">
        <f aca="false">YEAR(B3965)</f>
        <v>2017</v>
      </c>
      <c r="J3965" s="0" t="str">
        <f aca="false">I3965&amp;"-Q"&amp;ROUNDUP(MONTH(B3965)/3,0)</f>
        <v>2017-Q1</v>
      </c>
    </row>
    <row r="3966" customFormat="false" ht="15" hidden="false" customHeight="false" outlineLevel="0" collapsed="false">
      <c r="A3966" s="0" t="s">
        <v>2040</v>
      </c>
      <c r="B3966" s="6" t="n">
        <v>42635</v>
      </c>
      <c r="C3966" s="7" t="s">
        <v>55</v>
      </c>
      <c r="D3966" s="7" t="s">
        <v>56</v>
      </c>
      <c r="E3966" s="7" t="s">
        <v>35</v>
      </c>
      <c r="F3966" s="0" t="n">
        <v>7.872</v>
      </c>
      <c r="G3966" s="0" t="n">
        <v>0.8856</v>
      </c>
      <c r="H3966" s="0" t="n">
        <v>0.2</v>
      </c>
      <c r="I3966" s="7" t="n">
        <f aca="false">YEAR(B3966)</f>
        <v>2016</v>
      </c>
      <c r="J3966" s="0" t="str">
        <f aca="false">I3966&amp;"-Q"&amp;ROUNDUP(MONTH(B3966)/3,0)</f>
        <v>2016-Q3</v>
      </c>
    </row>
    <row r="3967" customFormat="false" ht="15" hidden="false" customHeight="false" outlineLevel="0" collapsed="false">
      <c r="A3967" s="0" t="s">
        <v>2041</v>
      </c>
      <c r="B3967" s="6" t="n">
        <v>41955</v>
      </c>
      <c r="C3967" s="7" t="s">
        <v>29</v>
      </c>
      <c r="D3967" s="7" t="s">
        <v>41</v>
      </c>
      <c r="E3967" s="7" t="s">
        <v>35</v>
      </c>
      <c r="F3967" s="0" t="n">
        <v>7.872</v>
      </c>
      <c r="G3967" s="0" t="n">
        <v>0.8856</v>
      </c>
      <c r="H3967" s="0" t="n">
        <v>0.2</v>
      </c>
      <c r="I3967" s="7" t="n">
        <f aca="false">YEAR(B3967)</f>
        <v>2014</v>
      </c>
      <c r="J3967" s="0" t="str">
        <f aca="false">I3967&amp;"-Q"&amp;ROUNDUP(MONTH(B3967)/3,0)</f>
        <v>2014-Q4</v>
      </c>
    </row>
    <row r="3968" customFormat="false" ht="15" hidden="false" customHeight="false" outlineLevel="0" collapsed="false">
      <c r="A3968" s="0" t="s">
        <v>2042</v>
      </c>
      <c r="B3968" s="6" t="n">
        <v>42461</v>
      </c>
      <c r="C3968" s="7" t="s">
        <v>55</v>
      </c>
      <c r="D3968" s="7" t="s">
        <v>76</v>
      </c>
      <c r="E3968" s="7" t="s">
        <v>35</v>
      </c>
      <c r="F3968" s="0" t="n">
        <v>88.04</v>
      </c>
      <c r="G3968" s="0" t="n">
        <v>22.8904</v>
      </c>
      <c r="H3968" s="0" t="n">
        <v>0</v>
      </c>
      <c r="I3968" s="7" t="n">
        <f aca="false">YEAR(B3968)</f>
        <v>2016</v>
      </c>
      <c r="J3968" s="0" t="str">
        <f aca="false">I3968&amp;"-Q"&amp;ROUNDUP(MONTH(B3968)/3,0)</f>
        <v>2016-Q2</v>
      </c>
    </row>
    <row r="3969" customFormat="false" ht="15" hidden="false" customHeight="false" outlineLevel="0" collapsed="false">
      <c r="A3969" s="0" t="s">
        <v>2043</v>
      </c>
      <c r="B3969" s="6" t="n">
        <v>42510</v>
      </c>
      <c r="C3969" s="7" t="s">
        <v>33</v>
      </c>
      <c r="D3969" s="7" t="s">
        <v>109</v>
      </c>
      <c r="E3969" s="7" t="s">
        <v>35</v>
      </c>
      <c r="F3969" s="0" t="n">
        <v>40.635</v>
      </c>
      <c r="G3969" s="0" t="n">
        <v>-32.508</v>
      </c>
      <c r="H3969" s="0" t="n">
        <v>0.7</v>
      </c>
      <c r="I3969" s="7" t="n">
        <f aca="false">YEAR(B3969)</f>
        <v>2016</v>
      </c>
      <c r="J3969" s="0" t="str">
        <f aca="false">I3969&amp;"-Q"&amp;ROUNDUP(MONTH(B3969)/3,0)</f>
        <v>2016-Q2</v>
      </c>
    </row>
    <row r="3970" customFormat="false" ht="15" hidden="false" customHeight="false" outlineLevel="0" collapsed="false">
      <c r="A3970" s="0" t="s">
        <v>2044</v>
      </c>
      <c r="B3970" s="6" t="n">
        <v>42156</v>
      </c>
      <c r="C3970" s="7" t="s">
        <v>45</v>
      </c>
      <c r="D3970" s="7" t="s">
        <v>46</v>
      </c>
      <c r="E3970" s="7" t="s">
        <v>35</v>
      </c>
      <c r="F3970" s="0" t="n">
        <v>5.728</v>
      </c>
      <c r="G3970" s="0" t="n">
        <v>-9.1648</v>
      </c>
      <c r="H3970" s="0" t="n">
        <v>0.8</v>
      </c>
      <c r="I3970" s="7" t="n">
        <f aca="false">YEAR(B3970)</f>
        <v>2015</v>
      </c>
      <c r="J3970" s="0" t="str">
        <f aca="false">I3970&amp;"-Q"&amp;ROUNDUP(MONTH(B3970)/3,0)</f>
        <v>2015-Q2</v>
      </c>
    </row>
    <row r="3971" customFormat="false" ht="15" hidden="false" customHeight="false" outlineLevel="0" collapsed="false">
      <c r="A3971" s="0" t="s">
        <v>2044</v>
      </c>
      <c r="B3971" s="6" t="n">
        <v>42156</v>
      </c>
      <c r="C3971" s="7" t="s">
        <v>45</v>
      </c>
      <c r="D3971" s="7" t="s">
        <v>46</v>
      </c>
      <c r="E3971" s="7" t="s">
        <v>35</v>
      </c>
      <c r="F3971" s="0" t="n">
        <v>42.24</v>
      </c>
      <c r="G3971" s="0" t="n">
        <v>13.2</v>
      </c>
      <c r="H3971" s="0" t="n">
        <v>0.2</v>
      </c>
      <c r="I3971" s="7" t="n">
        <f aca="false">YEAR(B3971)</f>
        <v>2015</v>
      </c>
      <c r="J3971" s="0" t="str">
        <f aca="false">I3971&amp;"-Q"&amp;ROUNDUP(MONTH(B3971)/3,0)</f>
        <v>2015-Q2</v>
      </c>
    </row>
    <row r="3972" customFormat="false" ht="15" hidden="false" customHeight="false" outlineLevel="0" collapsed="false">
      <c r="A3972" s="0" t="s">
        <v>2045</v>
      </c>
      <c r="B3972" s="6" t="n">
        <v>41965</v>
      </c>
      <c r="C3972" s="7" t="s">
        <v>33</v>
      </c>
      <c r="D3972" s="7" t="s">
        <v>34</v>
      </c>
      <c r="E3972" s="7" t="s">
        <v>35</v>
      </c>
      <c r="F3972" s="0" t="n">
        <v>53.82</v>
      </c>
      <c r="G3972" s="0" t="n">
        <v>24.219</v>
      </c>
      <c r="H3972" s="0" t="n">
        <v>0</v>
      </c>
      <c r="I3972" s="7" t="n">
        <f aca="false">YEAR(B3972)</f>
        <v>2014</v>
      </c>
      <c r="J3972" s="0" t="str">
        <f aca="false">I3972&amp;"-Q"&amp;ROUNDUP(MONTH(B3972)/3,0)</f>
        <v>2014-Q4</v>
      </c>
    </row>
    <row r="3973" customFormat="false" ht="15" hidden="false" customHeight="false" outlineLevel="0" collapsed="false">
      <c r="A3973" s="0" t="s">
        <v>2046</v>
      </c>
      <c r="B3973" s="6" t="n">
        <v>42057</v>
      </c>
      <c r="C3973" s="7" t="s">
        <v>45</v>
      </c>
      <c r="D3973" s="7" t="s">
        <v>70</v>
      </c>
      <c r="E3973" s="7" t="s">
        <v>35</v>
      </c>
      <c r="F3973" s="0" t="n">
        <v>79.36</v>
      </c>
      <c r="G3973" s="0" t="n">
        <v>20.6336</v>
      </c>
      <c r="H3973" s="0" t="n">
        <v>0</v>
      </c>
      <c r="I3973" s="7" t="n">
        <f aca="false">YEAR(B3973)</f>
        <v>2015</v>
      </c>
      <c r="J3973" s="0" t="str">
        <f aca="false">I3973&amp;"-Q"&amp;ROUNDUP(MONTH(B3973)/3,0)</f>
        <v>2015-Q1</v>
      </c>
    </row>
    <row r="3974" customFormat="false" ht="15" hidden="false" customHeight="false" outlineLevel="0" collapsed="false">
      <c r="A3974" s="0" t="s">
        <v>2047</v>
      </c>
      <c r="B3974" s="6" t="n">
        <v>42458</v>
      </c>
      <c r="C3974" s="7" t="s">
        <v>55</v>
      </c>
      <c r="D3974" s="7" t="s">
        <v>76</v>
      </c>
      <c r="E3974" s="7" t="s">
        <v>35</v>
      </c>
      <c r="F3974" s="0" t="n">
        <v>13.48</v>
      </c>
      <c r="G3974" s="0" t="n">
        <v>6.74</v>
      </c>
      <c r="H3974" s="0" t="n">
        <v>0</v>
      </c>
      <c r="I3974" s="7" t="n">
        <f aca="false">YEAR(B3974)</f>
        <v>2016</v>
      </c>
      <c r="J3974" s="0" t="str">
        <f aca="false">I3974&amp;"-Q"&amp;ROUNDUP(MONTH(B3974)/3,0)</f>
        <v>2016-Q1</v>
      </c>
    </row>
    <row r="3975" customFormat="false" ht="15" hidden="false" customHeight="false" outlineLevel="0" collapsed="false">
      <c r="A3975" s="0" t="s">
        <v>2047</v>
      </c>
      <c r="B3975" s="6" t="n">
        <v>42458</v>
      </c>
      <c r="C3975" s="7" t="s">
        <v>55</v>
      </c>
      <c r="D3975" s="7" t="s">
        <v>76</v>
      </c>
      <c r="E3975" s="7" t="s">
        <v>35</v>
      </c>
      <c r="F3975" s="0" t="n">
        <v>29.8</v>
      </c>
      <c r="G3975" s="0" t="n">
        <v>9.3125</v>
      </c>
      <c r="H3975" s="0" t="n">
        <v>0.2</v>
      </c>
      <c r="I3975" s="7" t="n">
        <f aca="false">YEAR(B3975)</f>
        <v>2016</v>
      </c>
      <c r="J3975" s="0" t="str">
        <f aca="false">I3975&amp;"-Q"&amp;ROUNDUP(MONTH(B3975)/3,0)</f>
        <v>2016-Q1</v>
      </c>
    </row>
    <row r="3976" customFormat="false" ht="15" hidden="false" customHeight="false" outlineLevel="0" collapsed="false">
      <c r="A3976" s="0" t="s">
        <v>2047</v>
      </c>
      <c r="B3976" s="6" t="n">
        <v>42458</v>
      </c>
      <c r="C3976" s="7" t="s">
        <v>55</v>
      </c>
      <c r="D3976" s="7" t="s">
        <v>76</v>
      </c>
      <c r="E3976" s="7" t="s">
        <v>31</v>
      </c>
      <c r="F3976" s="0" t="n">
        <v>414</v>
      </c>
      <c r="G3976" s="0" t="n">
        <v>124.2</v>
      </c>
      <c r="H3976" s="0" t="n">
        <v>0</v>
      </c>
      <c r="I3976" s="7" t="n">
        <f aca="false">YEAR(B3976)</f>
        <v>2016</v>
      </c>
      <c r="J3976" s="0" t="str">
        <f aca="false">I3976&amp;"-Q"&amp;ROUNDUP(MONTH(B3976)/3,0)</f>
        <v>2016-Q1</v>
      </c>
    </row>
    <row r="3977" customFormat="false" ht="15" hidden="false" customHeight="false" outlineLevel="0" collapsed="false">
      <c r="A3977" s="0" t="s">
        <v>2047</v>
      </c>
      <c r="B3977" s="6" t="n">
        <v>42458</v>
      </c>
      <c r="C3977" s="7" t="s">
        <v>55</v>
      </c>
      <c r="D3977" s="7" t="s">
        <v>76</v>
      </c>
      <c r="E3977" s="7" t="s">
        <v>35</v>
      </c>
      <c r="F3977" s="0" t="n">
        <v>41.328</v>
      </c>
      <c r="G3977" s="0" t="n">
        <v>14.9814</v>
      </c>
      <c r="H3977" s="0" t="n">
        <v>0.2</v>
      </c>
      <c r="I3977" s="7" t="n">
        <f aca="false">YEAR(B3977)</f>
        <v>2016</v>
      </c>
      <c r="J3977" s="0" t="str">
        <f aca="false">I3977&amp;"-Q"&amp;ROUNDUP(MONTH(B3977)/3,0)</f>
        <v>2016-Q1</v>
      </c>
    </row>
    <row r="3978" customFormat="false" ht="15" hidden="false" customHeight="false" outlineLevel="0" collapsed="false">
      <c r="A3978" s="0" t="s">
        <v>2048</v>
      </c>
      <c r="B3978" s="6" t="n">
        <v>42665</v>
      </c>
      <c r="C3978" s="7" t="s">
        <v>29</v>
      </c>
      <c r="D3978" s="7" t="s">
        <v>83</v>
      </c>
      <c r="E3978" s="7" t="s">
        <v>31</v>
      </c>
      <c r="F3978" s="0" t="n">
        <v>39.92</v>
      </c>
      <c r="G3978" s="0" t="n">
        <v>11.1776</v>
      </c>
      <c r="H3978" s="0" t="n">
        <v>0</v>
      </c>
      <c r="I3978" s="7" t="n">
        <f aca="false">YEAR(B3978)</f>
        <v>2016</v>
      </c>
      <c r="J3978" s="0" t="str">
        <f aca="false">I3978&amp;"-Q"&amp;ROUNDUP(MONTH(B3978)/3,0)</f>
        <v>2016-Q4</v>
      </c>
    </row>
    <row r="3979" customFormat="false" ht="15" hidden="false" customHeight="false" outlineLevel="0" collapsed="false">
      <c r="A3979" s="0" t="s">
        <v>2049</v>
      </c>
      <c r="B3979" s="6" t="n">
        <v>43010</v>
      </c>
      <c r="C3979" s="7" t="s">
        <v>33</v>
      </c>
      <c r="D3979" s="7" t="s">
        <v>43</v>
      </c>
      <c r="E3979" s="7" t="s">
        <v>35</v>
      </c>
      <c r="F3979" s="0" t="n">
        <v>8.94</v>
      </c>
      <c r="G3979" s="0" t="n">
        <v>4.1124</v>
      </c>
      <c r="H3979" s="0" t="n">
        <v>0</v>
      </c>
      <c r="I3979" s="7" t="n">
        <f aca="false">YEAR(B3979)</f>
        <v>2017</v>
      </c>
      <c r="J3979" s="0" t="str">
        <f aca="false">I3979&amp;"-Q"&amp;ROUNDUP(MONTH(B3979)/3,0)</f>
        <v>2017-Q4</v>
      </c>
    </row>
    <row r="3980" customFormat="false" ht="15" hidden="false" customHeight="false" outlineLevel="0" collapsed="false">
      <c r="A3980" s="0" t="s">
        <v>2049</v>
      </c>
      <c r="B3980" s="6" t="n">
        <v>43010</v>
      </c>
      <c r="C3980" s="7" t="s">
        <v>33</v>
      </c>
      <c r="D3980" s="7" t="s">
        <v>43</v>
      </c>
      <c r="E3980" s="7" t="s">
        <v>39</v>
      </c>
      <c r="F3980" s="0" t="n">
        <v>84.784</v>
      </c>
      <c r="G3980" s="0" t="n">
        <v>-20.1362</v>
      </c>
      <c r="H3980" s="0" t="n">
        <v>0.2</v>
      </c>
      <c r="I3980" s="7" t="n">
        <f aca="false">YEAR(B3980)</f>
        <v>2017</v>
      </c>
      <c r="J3980" s="0" t="str">
        <f aca="false">I3980&amp;"-Q"&amp;ROUNDUP(MONTH(B3980)/3,0)</f>
        <v>2017-Q4</v>
      </c>
    </row>
    <row r="3981" customFormat="false" ht="15" hidden="false" customHeight="false" outlineLevel="0" collapsed="false">
      <c r="A3981" s="0" t="s">
        <v>2050</v>
      </c>
      <c r="B3981" s="6" t="n">
        <v>41996</v>
      </c>
      <c r="C3981" s="7" t="s">
        <v>55</v>
      </c>
      <c r="D3981" s="7" t="s">
        <v>76</v>
      </c>
      <c r="E3981" s="7" t="s">
        <v>31</v>
      </c>
      <c r="F3981" s="0" t="n">
        <v>53.316</v>
      </c>
      <c r="G3981" s="0" t="n">
        <v>-19.5492</v>
      </c>
      <c r="H3981" s="0" t="n">
        <v>0.4</v>
      </c>
      <c r="I3981" s="7" t="n">
        <f aca="false">YEAR(B3981)</f>
        <v>2014</v>
      </c>
      <c r="J3981" s="0" t="str">
        <f aca="false">I3981&amp;"-Q"&amp;ROUNDUP(MONTH(B3981)/3,0)</f>
        <v>2014-Q4</v>
      </c>
    </row>
    <row r="3982" customFormat="false" ht="15" hidden="false" customHeight="false" outlineLevel="0" collapsed="false">
      <c r="A3982" s="0" t="s">
        <v>2050</v>
      </c>
      <c r="B3982" s="6" t="n">
        <v>41996</v>
      </c>
      <c r="C3982" s="7" t="s">
        <v>55</v>
      </c>
      <c r="D3982" s="7" t="s">
        <v>76</v>
      </c>
      <c r="E3982" s="7" t="s">
        <v>35</v>
      </c>
      <c r="F3982" s="0" t="n">
        <v>56.52</v>
      </c>
      <c r="G3982" s="0" t="n">
        <v>15.8256</v>
      </c>
      <c r="H3982" s="0" t="n">
        <v>0</v>
      </c>
      <c r="I3982" s="7" t="n">
        <f aca="false">YEAR(B3982)</f>
        <v>2014</v>
      </c>
      <c r="J3982" s="0" t="str">
        <f aca="false">I3982&amp;"-Q"&amp;ROUNDUP(MONTH(B3982)/3,0)</f>
        <v>2014-Q4</v>
      </c>
    </row>
    <row r="3983" customFormat="false" ht="15" hidden="false" customHeight="false" outlineLevel="0" collapsed="false">
      <c r="A3983" s="0" t="s">
        <v>2051</v>
      </c>
      <c r="B3983" s="6" t="n">
        <v>43084</v>
      </c>
      <c r="C3983" s="7" t="s">
        <v>33</v>
      </c>
      <c r="D3983" s="7" t="s">
        <v>43</v>
      </c>
      <c r="E3983" s="7" t="s">
        <v>31</v>
      </c>
      <c r="F3983" s="0" t="n">
        <v>22.77</v>
      </c>
      <c r="G3983" s="0" t="n">
        <v>9.7911</v>
      </c>
      <c r="H3983" s="0" t="n">
        <v>0</v>
      </c>
      <c r="I3983" s="7" t="n">
        <f aca="false">YEAR(B3983)</f>
        <v>2017</v>
      </c>
      <c r="J3983" s="0" t="str">
        <f aca="false">I3983&amp;"-Q"&amp;ROUNDUP(MONTH(B3983)/3,0)</f>
        <v>2017-Q4</v>
      </c>
    </row>
    <row r="3984" customFormat="false" ht="15" hidden="false" customHeight="false" outlineLevel="0" collapsed="false">
      <c r="A3984" s="0" t="s">
        <v>2052</v>
      </c>
      <c r="B3984" s="6" t="n">
        <v>42558</v>
      </c>
      <c r="C3984" s="7" t="s">
        <v>33</v>
      </c>
      <c r="D3984" s="7" t="s">
        <v>34</v>
      </c>
      <c r="E3984" s="7" t="s">
        <v>31</v>
      </c>
      <c r="F3984" s="0" t="n">
        <v>287.968</v>
      </c>
      <c r="G3984" s="0" t="n">
        <v>-3.5996</v>
      </c>
      <c r="H3984" s="0" t="n">
        <v>0.2</v>
      </c>
      <c r="I3984" s="7" t="n">
        <f aca="false">YEAR(B3984)</f>
        <v>2016</v>
      </c>
      <c r="J3984" s="0" t="str">
        <f aca="false">I3984&amp;"-Q"&amp;ROUNDUP(MONTH(B3984)/3,0)</f>
        <v>2016-Q3</v>
      </c>
    </row>
    <row r="3985" customFormat="false" ht="15" hidden="false" customHeight="false" outlineLevel="0" collapsed="false">
      <c r="A3985" s="0" t="s">
        <v>2052</v>
      </c>
      <c r="B3985" s="6" t="n">
        <v>42558</v>
      </c>
      <c r="C3985" s="7" t="s">
        <v>33</v>
      </c>
      <c r="D3985" s="7" t="s">
        <v>34</v>
      </c>
      <c r="E3985" s="7" t="s">
        <v>39</v>
      </c>
      <c r="F3985" s="0" t="n">
        <v>2799.96</v>
      </c>
      <c r="G3985" s="0" t="n">
        <v>944.9865</v>
      </c>
      <c r="H3985" s="0" t="n">
        <v>0.2</v>
      </c>
      <c r="I3985" s="7" t="n">
        <f aca="false">YEAR(B3985)</f>
        <v>2016</v>
      </c>
      <c r="J3985" s="0" t="str">
        <f aca="false">I3985&amp;"-Q"&amp;ROUNDUP(MONTH(B3985)/3,0)</f>
        <v>2016-Q3</v>
      </c>
    </row>
    <row r="3986" customFormat="false" ht="15" hidden="false" customHeight="false" outlineLevel="0" collapsed="false">
      <c r="A3986" s="0" t="s">
        <v>2052</v>
      </c>
      <c r="B3986" s="6" t="n">
        <v>42558</v>
      </c>
      <c r="C3986" s="7" t="s">
        <v>33</v>
      </c>
      <c r="D3986" s="7" t="s">
        <v>34</v>
      </c>
      <c r="E3986" s="7" t="s">
        <v>35</v>
      </c>
      <c r="F3986" s="0" t="n">
        <v>48.94</v>
      </c>
      <c r="G3986" s="0" t="n">
        <v>24.47</v>
      </c>
      <c r="H3986" s="0" t="n">
        <v>0</v>
      </c>
      <c r="I3986" s="7" t="n">
        <f aca="false">YEAR(B3986)</f>
        <v>2016</v>
      </c>
      <c r="J3986" s="0" t="str">
        <f aca="false">I3986&amp;"-Q"&amp;ROUNDUP(MONTH(B3986)/3,0)</f>
        <v>2016-Q3</v>
      </c>
    </row>
    <row r="3987" customFormat="false" ht="15" hidden="false" customHeight="false" outlineLevel="0" collapsed="false">
      <c r="A3987" s="0" t="s">
        <v>2053</v>
      </c>
      <c r="B3987" s="6" t="n">
        <v>42477</v>
      </c>
      <c r="C3987" s="7" t="s">
        <v>33</v>
      </c>
      <c r="D3987" s="7" t="s">
        <v>34</v>
      </c>
      <c r="E3987" s="7" t="s">
        <v>31</v>
      </c>
      <c r="F3987" s="0" t="n">
        <v>257.499</v>
      </c>
      <c r="G3987" s="0" t="n">
        <v>24.2352</v>
      </c>
      <c r="H3987" s="0" t="n">
        <v>0.15</v>
      </c>
      <c r="I3987" s="7" t="n">
        <f aca="false">YEAR(B3987)</f>
        <v>2016</v>
      </c>
      <c r="J3987" s="0" t="str">
        <f aca="false">I3987&amp;"-Q"&amp;ROUNDUP(MONTH(B3987)/3,0)</f>
        <v>2016-Q2</v>
      </c>
    </row>
    <row r="3988" customFormat="false" ht="15" hidden="false" customHeight="false" outlineLevel="0" collapsed="false">
      <c r="A3988" s="0" t="s">
        <v>2054</v>
      </c>
      <c r="B3988" s="6" t="n">
        <v>42833</v>
      </c>
      <c r="C3988" s="7" t="s">
        <v>55</v>
      </c>
      <c r="D3988" s="7" t="s">
        <v>161</v>
      </c>
      <c r="E3988" s="7" t="s">
        <v>35</v>
      </c>
      <c r="F3988" s="0" t="n">
        <v>2591.56</v>
      </c>
      <c r="G3988" s="0" t="n">
        <v>621.9744</v>
      </c>
      <c r="H3988" s="0" t="n">
        <v>0</v>
      </c>
      <c r="I3988" s="7" t="n">
        <f aca="false">YEAR(B3988)</f>
        <v>2017</v>
      </c>
      <c r="J3988" s="0" t="str">
        <f aca="false">I3988&amp;"-Q"&amp;ROUNDUP(MONTH(B3988)/3,0)</f>
        <v>2017-Q2</v>
      </c>
    </row>
    <row r="3989" customFormat="false" ht="15" hidden="false" customHeight="false" outlineLevel="0" collapsed="false">
      <c r="A3989" s="0" t="s">
        <v>2054</v>
      </c>
      <c r="B3989" s="6" t="n">
        <v>42833</v>
      </c>
      <c r="C3989" s="7" t="s">
        <v>55</v>
      </c>
      <c r="D3989" s="7" t="s">
        <v>161</v>
      </c>
      <c r="E3989" s="7" t="s">
        <v>35</v>
      </c>
      <c r="F3989" s="0" t="n">
        <v>41.95</v>
      </c>
      <c r="G3989" s="0" t="n">
        <v>10.4875</v>
      </c>
      <c r="H3989" s="0" t="n">
        <v>0</v>
      </c>
      <c r="I3989" s="7" t="n">
        <f aca="false">YEAR(B3989)</f>
        <v>2017</v>
      </c>
      <c r="J3989" s="0" t="str">
        <f aca="false">I3989&amp;"-Q"&amp;ROUNDUP(MONTH(B3989)/3,0)</f>
        <v>2017-Q2</v>
      </c>
    </row>
    <row r="3990" customFormat="false" ht="15" hidden="false" customHeight="false" outlineLevel="0" collapsed="false">
      <c r="A3990" s="0" t="s">
        <v>2055</v>
      </c>
      <c r="B3990" s="6" t="n">
        <v>42477</v>
      </c>
      <c r="C3990" s="7" t="s">
        <v>29</v>
      </c>
      <c r="D3990" s="7" t="s">
        <v>87</v>
      </c>
      <c r="E3990" s="7" t="s">
        <v>31</v>
      </c>
      <c r="F3990" s="0" t="n">
        <v>79.12</v>
      </c>
      <c r="G3990" s="0" t="n">
        <v>13.846</v>
      </c>
      <c r="H3990" s="0" t="n">
        <v>0.2</v>
      </c>
      <c r="I3990" s="7" t="n">
        <f aca="false">YEAR(B3990)</f>
        <v>2016</v>
      </c>
      <c r="J3990" s="0" t="str">
        <f aca="false">I3990&amp;"-Q"&amp;ROUNDUP(MONTH(B3990)/3,0)</f>
        <v>2016-Q2</v>
      </c>
    </row>
    <row r="3991" customFormat="false" ht="15" hidden="false" customHeight="false" outlineLevel="0" collapsed="false">
      <c r="A3991" s="0" t="s">
        <v>2056</v>
      </c>
      <c r="B3991" s="6" t="n">
        <v>41968</v>
      </c>
      <c r="C3991" s="7" t="s">
        <v>55</v>
      </c>
      <c r="D3991" s="7" t="s">
        <v>250</v>
      </c>
      <c r="E3991" s="7" t="s">
        <v>31</v>
      </c>
      <c r="F3991" s="0" t="n">
        <v>52.96</v>
      </c>
      <c r="G3991" s="0" t="n">
        <v>20.1248</v>
      </c>
      <c r="H3991" s="0" t="n">
        <v>0</v>
      </c>
      <c r="I3991" s="7" t="n">
        <f aca="false">YEAR(B3991)</f>
        <v>2014</v>
      </c>
      <c r="J3991" s="0" t="str">
        <f aca="false">I3991&amp;"-Q"&amp;ROUNDUP(MONTH(B3991)/3,0)</f>
        <v>2014-Q4</v>
      </c>
    </row>
    <row r="3992" customFormat="false" ht="15" hidden="false" customHeight="false" outlineLevel="0" collapsed="false">
      <c r="A3992" s="0" t="s">
        <v>2057</v>
      </c>
      <c r="B3992" s="6" t="n">
        <v>41946</v>
      </c>
      <c r="C3992" s="7" t="s">
        <v>55</v>
      </c>
      <c r="D3992" s="7" t="s">
        <v>56</v>
      </c>
      <c r="E3992" s="7" t="s">
        <v>35</v>
      </c>
      <c r="F3992" s="0" t="n">
        <v>286.344</v>
      </c>
      <c r="G3992" s="0" t="n">
        <v>-64.4274</v>
      </c>
      <c r="H3992" s="0" t="n">
        <v>0.2</v>
      </c>
      <c r="I3992" s="7" t="n">
        <f aca="false">YEAR(B3992)</f>
        <v>2014</v>
      </c>
      <c r="J3992" s="0" t="str">
        <f aca="false">I3992&amp;"-Q"&amp;ROUNDUP(MONTH(B3992)/3,0)</f>
        <v>2014-Q4</v>
      </c>
    </row>
    <row r="3993" customFormat="false" ht="15" hidden="false" customHeight="false" outlineLevel="0" collapsed="false">
      <c r="A3993" s="0" t="s">
        <v>2058</v>
      </c>
      <c r="B3993" s="6" t="n">
        <v>42125</v>
      </c>
      <c r="C3993" s="7" t="s">
        <v>29</v>
      </c>
      <c r="D3993" s="7" t="s">
        <v>37</v>
      </c>
      <c r="E3993" s="7" t="s">
        <v>31</v>
      </c>
      <c r="F3993" s="0" t="n">
        <v>63.552</v>
      </c>
      <c r="G3993" s="0" t="n">
        <v>14.2992</v>
      </c>
      <c r="H3993" s="0" t="n">
        <v>0.2</v>
      </c>
      <c r="I3993" s="7" t="n">
        <f aca="false">YEAR(B3993)</f>
        <v>2015</v>
      </c>
      <c r="J3993" s="0" t="str">
        <f aca="false">I3993&amp;"-Q"&amp;ROUNDUP(MONTH(B3993)/3,0)</f>
        <v>2015-Q2</v>
      </c>
    </row>
    <row r="3994" customFormat="false" ht="15" hidden="false" customHeight="false" outlineLevel="0" collapsed="false">
      <c r="A3994" s="0" t="s">
        <v>2058</v>
      </c>
      <c r="B3994" s="6" t="n">
        <v>42125</v>
      </c>
      <c r="C3994" s="7" t="s">
        <v>29</v>
      </c>
      <c r="D3994" s="7" t="s">
        <v>37</v>
      </c>
      <c r="E3994" s="7" t="s">
        <v>35</v>
      </c>
      <c r="F3994" s="0" t="n">
        <v>41.376</v>
      </c>
      <c r="G3994" s="0" t="n">
        <v>4.6548</v>
      </c>
      <c r="H3994" s="0" t="n">
        <v>0.2</v>
      </c>
      <c r="I3994" s="7" t="n">
        <f aca="false">YEAR(B3994)</f>
        <v>2015</v>
      </c>
      <c r="J3994" s="0" t="str">
        <f aca="false">I3994&amp;"-Q"&amp;ROUNDUP(MONTH(B3994)/3,0)</f>
        <v>2015-Q2</v>
      </c>
    </row>
    <row r="3995" customFormat="false" ht="15" hidden="false" customHeight="false" outlineLevel="0" collapsed="false">
      <c r="A3995" s="0" t="s">
        <v>2058</v>
      </c>
      <c r="B3995" s="6" t="n">
        <v>42125</v>
      </c>
      <c r="C3995" s="7" t="s">
        <v>29</v>
      </c>
      <c r="D3995" s="7" t="s">
        <v>37</v>
      </c>
      <c r="E3995" s="7" t="s">
        <v>35</v>
      </c>
      <c r="F3995" s="0" t="n">
        <v>172.704</v>
      </c>
      <c r="G3995" s="0" t="n">
        <v>10.794</v>
      </c>
      <c r="H3995" s="0" t="n">
        <v>0.2</v>
      </c>
      <c r="I3995" s="7" t="n">
        <f aca="false">YEAR(B3995)</f>
        <v>2015</v>
      </c>
      <c r="J3995" s="0" t="str">
        <f aca="false">I3995&amp;"-Q"&amp;ROUNDUP(MONTH(B3995)/3,0)</f>
        <v>2015-Q2</v>
      </c>
    </row>
    <row r="3996" customFormat="false" ht="15" hidden="false" customHeight="false" outlineLevel="0" collapsed="false">
      <c r="A3996" s="0" t="s">
        <v>2059</v>
      </c>
      <c r="B3996" s="6" t="n">
        <v>42071</v>
      </c>
      <c r="C3996" s="7" t="s">
        <v>45</v>
      </c>
      <c r="D3996" s="7" t="s">
        <v>48</v>
      </c>
      <c r="E3996" s="7" t="s">
        <v>31</v>
      </c>
      <c r="F3996" s="0" t="n">
        <v>512.94</v>
      </c>
      <c r="G3996" s="0" t="n">
        <v>97.4586</v>
      </c>
      <c r="H3996" s="0" t="n">
        <v>0</v>
      </c>
      <c r="I3996" s="7" t="n">
        <f aca="false">YEAR(B3996)</f>
        <v>2015</v>
      </c>
      <c r="J3996" s="0" t="str">
        <f aca="false">I3996&amp;"-Q"&amp;ROUNDUP(MONTH(B3996)/3,0)</f>
        <v>2015-Q1</v>
      </c>
    </row>
    <row r="3997" customFormat="false" ht="15" hidden="false" customHeight="false" outlineLevel="0" collapsed="false">
      <c r="A3997" s="0" t="s">
        <v>2059</v>
      </c>
      <c r="B3997" s="6" t="n">
        <v>42071</v>
      </c>
      <c r="C3997" s="7" t="s">
        <v>45</v>
      </c>
      <c r="D3997" s="7" t="s">
        <v>48</v>
      </c>
      <c r="E3997" s="7" t="s">
        <v>31</v>
      </c>
      <c r="F3997" s="0" t="n">
        <v>860.93</v>
      </c>
      <c r="G3997" s="0" t="n">
        <v>189.4046</v>
      </c>
      <c r="H3997" s="0" t="n">
        <v>0</v>
      </c>
      <c r="I3997" s="7" t="n">
        <f aca="false">YEAR(B3997)</f>
        <v>2015</v>
      </c>
      <c r="J3997" s="0" t="str">
        <f aca="false">I3997&amp;"-Q"&amp;ROUNDUP(MONTH(B3997)/3,0)</f>
        <v>2015-Q1</v>
      </c>
    </row>
    <row r="3998" customFormat="false" ht="15" hidden="false" customHeight="false" outlineLevel="0" collapsed="false">
      <c r="A3998" s="0" t="s">
        <v>2059</v>
      </c>
      <c r="B3998" s="6" t="n">
        <v>42071</v>
      </c>
      <c r="C3998" s="7" t="s">
        <v>45</v>
      </c>
      <c r="D3998" s="7" t="s">
        <v>48</v>
      </c>
      <c r="E3998" s="7" t="s">
        <v>39</v>
      </c>
      <c r="F3998" s="0" t="n">
        <v>769.95</v>
      </c>
      <c r="G3998" s="0" t="n">
        <v>223.2855</v>
      </c>
      <c r="H3998" s="0" t="n">
        <v>0</v>
      </c>
      <c r="I3998" s="7" t="n">
        <f aca="false">YEAR(B3998)</f>
        <v>2015</v>
      </c>
      <c r="J3998" s="0" t="str">
        <f aca="false">I3998&amp;"-Q"&amp;ROUNDUP(MONTH(B3998)/3,0)</f>
        <v>2015-Q1</v>
      </c>
    </row>
    <row r="3999" customFormat="false" ht="15" hidden="false" customHeight="false" outlineLevel="0" collapsed="false">
      <c r="A3999" s="0" t="s">
        <v>2059</v>
      </c>
      <c r="B3999" s="6" t="n">
        <v>42071</v>
      </c>
      <c r="C3999" s="7" t="s">
        <v>45</v>
      </c>
      <c r="D3999" s="7" t="s">
        <v>48</v>
      </c>
      <c r="E3999" s="7" t="s">
        <v>35</v>
      </c>
      <c r="F3999" s="0" t="n">
        <v>14.98</v>
      </c>
      <c r="G3999" s="0" t="n">
        <v>4.494</v>
      </c>
      <c r="H3999" s="0" t="n">
        <v>0</v>
      </c>
      <c r="I3999" s="7" t="n">
        <f aca="false">YEAR(B3999)</f>
        <v>2015</v>
      </c>
      <c r="J3999" s="0" t="str">
        <f aca="false">I3999&amp;"-Q"&amp;ROUNDUP(MONTH(B3999)/3,0)</f>
        <v>2015-Q1</v>
      </c>
    </row>
    <row r="4000" customFormat="false" ht="15" hidden="false" customHeight="false" outlineLevel="0" collapsed="false">
      <c r="A4000" s="0" t="s">
        <v>2059</v>
      </c>
      <c r="B4000" s="6" t="n">
        <v>42071</v>
      </c>
      <c r="C4000" s="7" t="s">
        <v>45</v>
      </c>
      <c r="D4000" s="7" t="s">
        <v>48</v>
      </c>
      <c r="E4000" s="7" t="s">
        <v>31</v>
      </c>
      <c r="F4000" s="0" t="n">
        <v>373.08</v>
      </c>
      <c r="G4000" s="0" t="n">
        <v>82.0776</v>
      </c>
      <c r="H4000" s="0" t="n">
        <v>0</v>
      </c>
      <c r="I4000" s="7" t="n">
        <f aca="false">YEAR(B4000)</f>
        <v>2015</v>
      </c>
      <c r="J4000" s="0" t="str">
        <f aca="false">I4000&amp;"-Q"&amp;ROUNDUP(MONTH(B4000)/3,0)</f>
        <v>2015-Q1</v>
      </c>
    </row>
    <row r="4001" customFormat="false" ht="15" hidden="false" customHeight="false" outlineLevel="0" collapsed="false">
      <c r="A4001" s="0" t="s">
        <v>2060</v>
      </c>
      <c r="B4001" s="6" t="n">
        <v>42202</v>
      </c>
      <c r="C4001" s="7" t="s">
        <v>29</v>
      </c>
      <c r="D4001" s="7" t="s">
        <v>37</v>
      </c>
      <c r="E4001" s="7" t="s">
        <v>31</v>
      </c>
      <c r="F4001" s="0" t="n">
        <v>231.92</v>
      </c>
      <c r="G4001" s="0" t="n">
        <v>5.798</v>
      </c>
      <c r="H4001" s="0" t="n">
        <v>0.2</v>
      </c>
      <c r="I4001" s="7" t="n">
        <f aca="false">YEAR(B4001)</f>
        <v>2015</v>
      </c>
      <c r="J4001" s="0" t="str">
        <f aca="false">I4001&amp;"-Q"&amp;ROUNDUP(MONTH(B4001)/3,0)</f>
        <v>2015-Q3</v>
      </c>
    </row>
    <row r="4002" customFormat="false" ht="15" hidden="false" customHeight="false" outlineLevel="0" collapsed="false">
      <c r="A4002" s="0" t="s">
        <v>2061</v>
      </c>
      <c r="B4002" s="6" t="n">
        <v>41923</v>
      </c>
      <c r="C4002" s="7" t="s">
        <v>33</v>
      </c>
      <c r="D4002" s="7" t="s">
        <v>43</v>
      </c>
      <c r="E4002" s="7" t="s">
        <v>31</v>
      </c>
      <c r="F4002" s="0" t="n">
        <v>63.47</v>
      </c>
      <c r="G4002" s="0" t="n">
        <v>19.041</v>
      </c>
      <c r="H4002" s="0" t="n">
        <v>0</v>
      </c>
      <c r="I4002" s="7" t="n">
        <f aca="false">YEAR(B4002)</f>
        <v>2014</v>
      </c>
      <c r="J4002" s="0" t="str">
        <f aca="false">I4002&amp;"-Q"&amp;ROUNDUP(MONTH(B4002)/3,0)</f>
        <v>2014-Q4</v>
      </c>
    </row>
    <row r="4003" customFormat="false" ht="15" hidden="false" customHeight="false" outlineLevel="0" collapsed="false">
      <c r="A4003" s="0" t="s">
        <v>2061</v>
      </c>
      <c r="B4003" s="6" t="n">
        <v>41923</v>
      </c>
      <c r="C4003" s="7" t="s">
        <v>33</v>
      </c>
      <c r="D4003" s="7" t="s">
        <v>43</v>
      </c>
      <c r="E4003" s="7" t="s">
        <v>39</v>
      </c>
      <c r="F4003" s="0" t="n">
        <v>345</v>
      </c>
      <c r="G4003" s="0" t="n">
        <v>58.65</v>
      </c>
      <c r="H4003" s="0" t="n">
        <v>0</v>
      </c>
      <c r="I4003" s="7" t="n">
        <f aca="false">YEAR(B4003)</f>
        <v>2014</v>
      </c>
      <c r="J4003" s="0" t="str">
        <f aca="false">I4003&amp;"-Q"&amp;ROUNDUP(MONTH(B4003)/3,0)</f>
        <v>2014-Q4</v>
      </c>
    </row>
    <row r="4004" customFormat="false" ht="15" hidden="false" customHeight="false" outlineLevel="0" collapsed="false">
      <c r="A4004" s="0" t="s">
        <v>2062</v>
      </c>
      <c r="B4004" s="6" t="n">
        <v>42432</v>
      </c>
      <c r="C4004" s="7" t="s">
        <v>45</v>
      </c>
      <c r="D4004" s="7" t="s">
        <v>46</v>
      </c>
      <c r="E4004" s="7" t="s">
        <v>31</v>
      </c>
      <c r="F4004" s="0" t="n">
        <v>637.896</v>
      </c>
      <c r="G4004" s="0" t="n">
        <v>-127.5792</v>
      </c>
      <c r="H4004" s="0" t="n">
        <v>0.3</v>
      </c>
      <c r="I4004" s="7" t="n">
        <f aca="false">YEAR(B4004)</f>
        <v>2016</v>
      </c>
      <c r="J4004" s="0" t="str">
        <f aca="false">I4004&amp;"-Q"&amp;ROUNDUP(MONTH(B4004)/3,0)</f>
        <v>2016-Q1</v>
      </c>
    </row>
    <row r="4005" customFormat="false" ht="15" hidden="false" customHeight="false" outlineLevel="0" collapsed="false">
      <c r="A4005" s="0" t="s">
        <v>2062</v>
      </c>
      <c r="B4005" s="6" t="n">
        <v>42432</v>
      </c>
      <c r="C4005" s="7" t="s">
        <v>45</v>
      </c>
      <c r="D4005" s="7" t="s">
        <v>46</v>
      </c>
      <c r="E4005" s="7" t="s">
        <v>39</v>
      </c>
      <c r="F4005" s="0" t="n">
        <v>287.91</v>
      </c>
      <c r="G4005" s="0" t="n">
        <v>33.5895</v>
      </c>
      <c r="H4005" s="0" t="n">
        <v>0.4</v>
      </c>
      <c r="I4005" s="7" t="n">
        <f aca="false">YEAR(B4005)</f>
        <v>2016</v>
      </c>
      <c r="J4005" s="0" t="str">
        <f aca="false">I4005&amp;"-Q"&amp;ROUNDUP(MONTH(B4005)/3,0)</f>
        <v>2016-Q1</v>
      </c>
    </row>
    <row r="4006" customFormat="false" ht="15" hidden="false" customHeight="false" outlineLevel="0" collapsed="false">
      <c r="A4006" s="0" t="s">
        <v>2062</v>
      </c>
      <c r="B4006" s="6" t="n">
        <v>42432</v>
      </c>
      <c r="C4006" s="7" t="s">
        <v>45</v>
      </c>
      <c r="D4006" s="7" t="s">
        <v>46</v>
      </c>
      <c r="E4006" s="7" t="s">
        <v>35</v>
      </c>
      <c r="F4006" s="0" t="n">
        <v>36.6</v>
      </c>
      <c r="G4006" s="0" t="n">
        <v>11.895</v>
      </c>
      <c r="H4006" s="0" t="n">
        <v>0.2</v>
      </c>
      <c r="I4006" s="7" t="n">
        <f aca="false">YEAR(B4006)</f>
        <v>2016</v>
      </c>
      <c r="J4006" s="0" t="str">
        <f aca="false">I4006&amp;"-Q"&amp;ROUNDUP(MONTH(B4006)/3,0)</f>
        <v>2016-Q1</v>
      </c>
    </row>
    <row r="4007" customFormat="false" ht="15" hidden="false" customHeight="false" outlineLevel="0" collapsed="false">
      <c r="A4007" s="0" t="s">
        <v>2063</v>
      </c>
      <c r="B4007" s="6" t="n">
        <v>42348</v>
      </c>
      <c r="C4007" s="7" t="s">
        <v>29</v>
      </c>
      <c r="D4007" s="7" t="s">
        <v>230</v>
      </c>
      <c r="E4007" s="7" t="s">
        <v>35</v>
      </c>
      <c r="F4007" s="0" t="n">
        <v>1.78</v>
      </c>
      <c r="G4007" s="0" t="n">
        <v>0.4984</v>
      </c>
      <c r="H4007" s="0" t="n">
        <v>0</v>
      </c>
      <c r="I4007" s="7" t="n">
        <f aca="false">YEAR(B4007)</f>
        <v>2015</v>
      </c>
      <c r="J4007" s="0" t="str">
        <f aca="false">I4007&amp;"-Q"&amp;ROUNDUP(MONTH(B4007)/3,0)</f>
        <v>2015-Q4</v>
      </c>
    </row>
    <row r="4008" customFormat="false" ht="15" hidden="false" customHeight="false" outlineLevel="0" collapsed="false">
      <c r="A4008" s="0" t="s">
        <v>2063</v>
      </c>
      <c r="B4008" s="6" t="n">
        <v>42348</v>
      </c>
      <c r="C4008" s="7" t="s">
        <v>29</v>
      </c>
      <c r="D4008" s="7" t="s">
        <v>230</v>
      </c>
      <c r="E4008" s="7" t="s">
        <v>35</v>
      </c>
      <c r="F4008" s="0" t="n">
        <v>25.92</v>
      </c>
      <c r="G4008" s="0" t="n">
        <v>12.4416</v>
      </c>
      <c r="H4008" s="0" t="n">
        <v>0</v>
      </c>
      <c r="I4008" s="7" t="n">
        <f aca="false">YEAR(B4008)</f>
        <v>2015</v>
      </c>
      <c r="J4008" s="0" t="str">
        <f aca="false">I4008&amp;"-Q"&amp;ROUNDUP(MONTH(B4008)/3,0)</f>
        <v>2015-Q4</v>
      </c>
    </row>
    <row r="4009" customFormat="false" ht="15" hidden="false" customHeight="false" outlineLevel="0" collapsed="false">
      <c r="A4009" s="0" t="s">
        <v>2063</v>
      </c>
      <c r="B4009" s="6" t="n">
        <v>42348</v>
      </c>
      <c r="C4009" s="7" t="s">
        <v>29</v>
      </c>
      <c r="D4009" s="7" t="s">
        <v>230</v>
      </c>
      <c r="E4009" s="7" t="s">
        <v>39</v>
      </c>
      <c r="F4009" s="0" t="n">
        <v>101.94</v>
      </c>
      <c r="G4009" s="0" t="n">
        <v>21.4074</v>
      </c>
      <c r="H4009" s="0" t="n">
        <v>0</v>
      </c>
      <c r="I4009" s="7" t="n">
        <f aca="false">YEAR(B4009)</f>
        <v>2015</v>
      </c>
      <c r="J4009" s="0" t="str">
        <f aca="false">I4009&amp;"-Q"&amp;ROUNDUP(MONTH(B4009)/3,0)</f>
        <v>2015-Q4</v>
      </c>
    </row>
    <row r="4010" customFormat="false" ht="15" hidden="false" customHeight="false" outlineLevel="0" collapsed="false">
      <c r="A4010" s="0" t="s">
        <v>2064</v>
      </c>
      <c r="B4010" s="6" t="n">
        <v>42356</v>
      </c>
      <c r="C4010" s="7" t="s">
        <v>33</v>
      </c>
      <c r="D4010" s="7" t="s">
        <v>109</v>
      </c>
      <c r="E4010" s="7" t="s">
        <v>35</v>
      </c>
      <c r="F4010" s="0" t="n">
        <v>6.848</v>
      </c>
      <c r="G4010" s="0" t="n">
        <v>0.5992</v>
      </c>
      <c r="H4010" s="0" t="n">
        <v>0.2</v>
      </c>
      <c r="I4010" s="7" t="n">
        <f aca="false">YEAR(B4010)</f>
        <v>2015</v>
      </c>
      <c r="J4010" s="0" t="str">
        <f aca="false">I4010&amp;"-Q"&amp;ROUNDUP(MONTH(B4010)/3,0)</f>
        <v>2015-Q4</v>
      </c>
    </row>
    <row r="4011" customFormat="false" ht="15" hidden="false" customHeight="false" outlineLevel="0" collapsed="false">
      <c r="A4011" s="0" t="s">
        <v>2065</v>
      </c>
      <c r="B4011" s="6" t="n">
        <v>42736</v>
      </c>
      <c r="C4011" s="7" t="s">
        <v>33</v>
      </c>
      <c r="D4011" s="7" t="s">
        <v>34</v>
      </c>
      <c r="E4011" s="7" t="s">
        <v>31</v>
      </c>
      <c r="F4011" s="0" t="n">
        <v>474.43</v>
      </c>
      <c r="G4011" s="0" t="n">
        <v>199.2606</v>
      </c>
      <c r="H4011" s="0" t="n">
        <v>0</v>
      </c>
      <c r="I4011" s="7" t="n">
        <f aca="false">YEAR(B4011)</f>
        <v>2017</v>
      </c>
      <c r="J4011" s="0" t="str">
        <f aca="false">I4011&amp;"-Q"&amp;ROUNDUP(MONTH(B4011)/3,0)</f>
        <v>2017-Q1</v>
      </c>
    </row>
    <row r="4012" customFormat="false" ht="15" hidden="false" customHeight="false" outlineLevel="0" collapsed="false">
      <c r="A4012" s="0" t="s">
        <v>2066</v>
      </c>
      <c r="B4012" s="6" t="n">
        <v>43060</v>
      </c>
      <c r="C4012" s="7" t="s">
        <v>55</v>
      </c>
      <c r="D4012" s="7" t="s">
        <v>56</v>
      </c>
      <c r="E4012" s="7" t="s">
        <v>35</v>
      </c>
      <c r="F4012" s="0" t="n">
        <v>8.448</v>
      </c>
      <c r="G4012" s="0" t="n">
        <v>2.64</v>
      </c>
      <c r="H4012" s="0" t="n">
        <v>0.2</v>
      </c>
      <c r="I4012" s="7" t="n">
        <f aca="false">YEAR(B4012)</f>
        <v>2017</v>
      </c>
      <c r="J4012" s="0" t="str">
        <f aca="false">I4012&amp;"-Q"&amp;ROUNDUP(MONTH(B4012)/3,0)</f>
        <v>2017-Q4</v>
      </c>
    </row>
    <row r="4013" customFormat="false" ht="15" hidden="false" customHeight="false" outlineLevel="0" collapsed="false">
      <c r="A4013" s="0" t="s">
        <v>2066</v>
      </c>
      <c r="B4013" s="6" t="n">
        <v>43060</v>
      </c>
      <c r="C4013" s="7" t="s">
        <v>55</v>
      </c>
      <c r="D4013" s="7" t="s">
        <v>56</v>
      </c>
      <c r="E4013" s="7" t="s">
        <v>35</v>
      </c>
      <c r="F4013" s="0" t="n">
        <v>39.296</v>
      </c>
      <c r="G4013" s="0" t="n">
        <v>3.9296</v>
      </c>
      <c r="H4013" s="0" t="n">
        <v>0.2</v>
      </c>
      <c r="I4013" s="7" t="n">
        <f aca="false">YEAR(B4013)</f>
        <v>2017</v>
      </c>
      <c r="J4013" s="0" t="str">
        <f aca="false">I4013&amp;"-Q"&amp;ROUNDUP(MONTH(B4013)/3,0)</f>
        <v>2017-Q4</v>
      </c>
    </row>
    <row r="4014" customFormat="false" ht="15" hidden="false" customHeight="false" outlineLevel="0" collapsed="false">
      <c r="A4014" s="0" t="s">
        <v>2067</v>
      </c>
      <c r="B4014" s="6" t="n">
        <v>42360</v>
      </c>
      <c r="C4014" s="7" t="s">
        <v>45</v>
      </c>
      <c r="D4014" s="7" t="s">
        <v>48</v>
      </c>
      <c r="E4014" s="7" t="s">
        <v>35</v>
      </c>
      <c r="F4014" s="0" t="n">
        <v>17.12</v>
      </c>
      <c r="G4014" s="0" t="n">
        <v>4.9648</v>
      </c>
      <c r="H4014" s="0" t="n">
        <v>0</v>
      </c>
      <c r="I4014" s="7" t="n">
        <f aca="false">YEAR(B4014)</f>
        <v>2015</v>
      </c>
      <c r="J4014" s="0" t="str">
        <f aca="false">I4014&amp;"-Q"&amp;ROUNDUP(MONTH(B4014)/3,0)</f>
        <v>2015-Q4</v>
      </c>
    </row>
    <row r="4015" customFormat="false" ht="15" hidden="false" customHeight="false" outlineLevel="0" collapsed="false">
      <c r="A4015" s="0" t="s">
        <v>2068</v>
      </c>
      <c r="B4015" s="6" t="n">
        <v>42239</v>
      </c>
      <c r="C4015" s="7" t="s">
        <v>29</v>
      </c>
      <c r="D4015" s="7" t="s">
        <v>230</v>
      </c>
      <c r="E4015" s="7" t="s">
        <v>35</v>
      </c>
      <c r="F4015" s="0" t="n">
        <v>542.94</v>
      </c>
      <c r="G4015" s="0" t="n">
        <v>152.0232</v>
      </c>
      <c r="H4015" s="0" t="n">
        <v>0</v>
      </c>
      <c r="I4015" s="7" t="n">
        <f aca="false">YEAR(B4015)</f>
        <v>2015</v>
      </c>
      <c r="J4015" s="0" t="str">
        <f aca="false">I4015&amp;"-Q"&amp;ROUNDUP(MONTH(B4015)/3,0)</f>
        <v>2015-Q3</v>
      </c>
    </row>
    <row r="4016" customFormat="false" ht="15" hidden="false" customHeight="false" outlineLevel="0" collapsed="false">
      <c r="A4016" s="0" t="s">
        <v>2068</v>
      </c>
      <c r="B4016" s="6" t="n">
        <v>42239</v>
      </c>
      <c r="C4016" s="7" t="s">
        <v>29</v>
      </c>
      <c r="D4016" s="7" t="s">
        <v>230</v>
      </c>
      <c r="E4016" s="7" t="s">
        <v>35</v>
      </c>
      <c r="F4016" s="0" t="n">
        <v>8.64</v>
      </c>
      <c r="G4016" s="0" t="n">
        <v>4.2336</v>
      </c>
      <c r="H4016" s="0" t="n">
        <v>0</v>
      </c>
      <c r="I4016" s="7" t="n">
        <f aca="false">YEAR(B4016)</f>
        <v>2015</v>
      </c>
      <c r="J4016" s="0" t="str">
        <f aca="false">I4016&amp;"-Q"&amp;ROUNDUP(MONTH(B4016)/3,0)</f>
        <v>2015-Q3</v>
      </c>
    </row>
    <row r="4017" customFormat="false" ht="15" hidden="false" customHeight="false" outlineLevel="0" collapsed="false">
      <c r="A4017" s="0" t="s">
        <v>2068</v>
      </c>
      <c r="B4017" s="6" t="n">
        <v>42239</v>
      </c>
      <c r="C4017" s="7" t="s">
        <v>29</v>
      </c>
      <c r="D4017" s="7" t="s">
        <v>230</v>
      </c>
      <c r="E4017" s="7" t="s">
        <v>35</v>
      </c>
      <c r="F4017" s="0" t="n">
        <v>193.8</v>
      </c>
      <c r="G4017" s="0" t="n">
        <v>94.962</v>
      </c>
      <c r="H4017" s="0" t="n">
        <v>0</v>
      </c>
      <c r="I4017" s="7" t="n">
        <f aca="false">YEAR(B4017)</f>
        <v>2015</v>
      </c>
      <c r="J4017" s="0" t="str">
        <f aca="false">I4017&amp;"-Q"&amp;ROUNDUP(MONTH(B4017)/3,0)</f>
        <v>2015-Q3</v>
      </c>
    </row>
    <row r="4018" customFormat="false" ht="15" hidden="false" customHeight="false" outlineLevel="0" collapsed="false">
      <c r="A4018" s="0" t="s">
        <v>2068</v>
      </c>
      <c r="B4018" s="6" t="n">
        <v>42239</v>
      </c>
      <c r="C4018" s="7" t="s">
        <v>29</v>
      </c>
      <c r="D4018" s="7" t="s">
        <v>230</v>
      </c>
      <c r="E4018" s="7" t="s">
        <v>35</v>
      </c>
      <c r="F4018" s="0" t="n">
        <v>21.4</v>
      </c>
      <c r="G4018" s="0" t="n">
        <v>9.63</v>
      </c>
      <c r="H4018" s="0" t="n">
        <v>0</v>
      </c>
      <c r="I4018" s="7" t="n">
        <f aca="false">YEAR(B4018)</f>
        <v>2015</v>
      </c>
      <c r="J4018" s="0" t="str">
        <f aca="false">I4018&amp;"-Q"&amp;ROUNDUP(MONTH(B4018)/3,0)</f>
        <v>2015-Q3</v>
      </c>
    </row>
    <row r="4019" customFormat="false" ht="15" hidden="false" customHeight="false" outlineLevel="0" collapsed="false">
      <c r="A4019" s="0" t="s">
        <v>2068</v>
      </c>
      <c r="B4019" s="6" t="n">
        <v>42239</v>
      </c>
      <c r="C4019" s="7" t="s">
        <v>29</v>
      </c>
      <c r="D4019" s="7" t="s">
        <v>230</v>
      </c>
      <c r="E4019" s="7" t="s">
        <v>35</v>
      </c>
      <c r="F4019" s="0" t="n">
        <v>97.88</v>
      </c>
      <c r="G4019" s="0" t="n">
        <v>48.94</v>
      </c>
      <c r="H4019" s="0" t="n">
        <v>0</v>
      </c>
      <c r="I4019" s="7" t="n">
        <f aca="false">YEAR(B4019)</f>
        <v>2015</v>
      </c>
      <c r="J4019" s="0" t="str">
        <f aca="false">I4019&amp;"-Q"&amp;ROUNDUP(MONTH(B4019)/3,0)</f>
        <v>2015-Q3</v>
      </c>
    </row>
    <row r="4020" customFormat="false" ht="15" hidden="false" customHeight="false" outlineLevel="0" collapsed="false">
      <c r="A4020" s="0" t="s">
        <v>2068</v>
      </c>
      <c r="B4020" s="6" t="n">
        <v>42239</v>
      </c>
      <c r="C4020" s="7" t="s">
        <v>29</v>
      </c>
      <c r="D4020" s="7" t="s">
        <v>230</v>
      </c>
      <c r="E4020" s="7" t="s">
        <v>39</v>
      </c>
      <c r="F4020" s="0" t="n">
        <v>251.91</v>
      </c>
      <c r="G4020" s="0" t="n">
        <v>47.8629</v>
      </c>
      <c r="H4020" s="0" t="n">
        <v>0</v>
      </c>
      <c r="I4020" s="7" t="n">
        <f aca="false">YEAR(B4020)</f>
        <v>2015</v>
      </c>
      <c r="J4020" s="0" t="str">
        <f aca="false">I4020&amp;"-Q"&amp;ROUNDUP(MONTH(B4020)/3,0)</f>
        <v>2015-Q3</v>
      </c>
    </row>
    <row r="4021" customFormat="false" ht="15" hidden="false" customHeight="false" outlineLevel="0" collapsed="false">
      <c r="A4021" s="0" t="s">
        <v>2068</v>
      </c>
      <c r="B4021" s="6" t="n">
        <v>42239</v>
      </c>
      <c r="C4021" s="7" t="s">
        <v>29</v>
      </c>
      <c r="D4021" s="7" t="s">
        <v>230</v>
      </c>
      <c r="E4021" s="7" t="s">
        <v>35</v>
      </c>
      <c r="F4021" s="0" t="n">
        <v>25.86</v>
      </c>
      <c r="G4021" s="0" t="n">
        <v>6.7236</v>
      </c>
      <c r="H4021" s="0" t="n">
        <v>0</v>
      </c>
      <c r="I4021" s="7" t="n">
        <f aca="false">YEAR(B4021)</f>
        <v>2015</v>
      </c>
      <c r="J4021" s="0" t="str">
        <f aca="false">I4021&amp;"-Q"&amp;ROUNDUP(MONTH(B4021)/3,0)</f>
        <v>2015-Q3</v>
      </c>
    </row>
    <row r="4022" customFormat="false" ht="15" hidden="false" customHeight="false" outlineLevel="0" collapsed="false">
      <c r="A4022" s="0" t="s">
        <v>2069</v>
      </c>
      <c r="B4022" s="6" t="n">
        <v>41812</v>
      </c>
      <c r="C4022" s="7" t="s">
        <v>55</v>
      </c>
      <c r="D4022" s="7" t="s">
        <v>56</v>
      </c>
      <c r="E4022" s="7" t="s">
        <v>31</v>
      </c>
      <c r="F4022" s="0" t="n">
        <v>170.058</v>
      </c>
      <c r="G4022" s="0" t="n">
        <v>-4.8588</v>
      </c>
      <c r="H4022" s="0" t="n">
        <v>0.3</v>
      </c>
      <c r="I4022" s="7" t="n">
        <f aca="false">YEAR(B4022)</f>
        <v>2014</v>
      </c>
      <c r="J4022" s="0" t="str">
        <f aca="false">I4022&amp;"-Q"&amp;ROUNDUP(MONTH(B4022)/3,0)</f>
        <v>2014-Q2</v>
      </c>
    </row>
    <row r="4023" customFormat="false" ht="15" hidden="false" customHeight="false" outlineLevel="0" collapsed="false">
      <c r="A4023" s="0" t="s">
        <v>2069</v>
      </c>
      <c r="B4023" s="6" t="n">
        <v>41812</v>
      </c>
      <c r="C4023" s="7" t="s">
        <v>55</v>
      </c>
      <c r="D4023" s="7" t="s">
        <v>56</v>
      </c>
      <c r="E4023" s="7" t="s">
        <v>39</v>
      </c>
      <c r="F4023" s="0" t="n">
        <v>82.782</v>
      </c>
      <c r="G4023" s="0" t="n">
        <v>-15.1767</v>
      </c>
      <c r="H4023" s="0" t="n">
        <v>0.4</v>
      </c>
      <c r="I4023" s="7" t="n">
        <f aca="false">YEAR(B4023)</f>
        <v>2014</v>
      </c>
      <c r="J4023" s="0" t="str">
        <f aca="false">I4023&amp;"-Q"&amp;ROUNDUP(MONTH(B4023)/3,0)</f>
        <v>2014-Q2</v>
      </c>
    </row>
    <row r="4024" customFormat="false" ht="15" hidden="false" customHeight="false" outlineLevel="0" collapsed="false">
      <c r="A4024" s="0" t="s">
        <v>2069</v>
      </c>
      <c r="B4024" s="6" t="n">
        <v>41812</v>
      </c>
      <c r="C4024" s="7" t="s">
        <v>55</v>
      </c>
      <c r="D4024" s="7" t="s">
        <v>56</v>
      </c>
      <c r="E4024" s="7" t="s">
        <v>31</v>
      </c>
      <c r="F4024" s="0" t="n">
        <v>853.93</v>
      </c>
      <c r="G4024" s="0" t="n">
        <v>0</v>
      </c>
      <c r="H4024" s="0" t="n">
        <v>0.3</v>
      </c>
      <c r="I4024" s="7" t="n">
        <f aca="false">YEAR(B4024)</f>
        <v>2014</v>
      </c>
      <c r="J4024" s="0" t="str">
        <f aca="false">I4024&amp;"-Q"&amp;ROUNDUP(MONTH(B4024)/3,0)</f>
        <v>2014-Q2</v>
      </c>
    </row>
    <row r="4025" customFormat="false" ht="15" hidden="false" customHeight="false" outlineLevel="0" collapsed="false">
      <c r="A4025" s="0" t="s">
        <v>2070</v>
      </c>
      <c r="B4025" s="6" t="n">
        <v>43035</v>
      </c>
      <c r="C4025" s="7" t="s">
        <v>33</v>
      </c>
      <c r="D4025" s="7" t="s">
        <v>34</v>
      </c>
      <c r="E4025" s="7" t="s">
        <v>31</v>
      </c>
      <c r="F4025" s="0" t="n">
        <v>556.665</v>
      </c>
      <c r="G4025" s="0" t="n">
        <v>6.549</v>
      </c>
      <c r="H4025" s="0" t="n">
        <v>0.15</v>
      </c>
      <c r="I4025" s="7" t="n">
        <f aca="false">YEAR(B4025)</f>
        <v>2017</v>
      </c>
      <c r="J4025" s="0" t="str">
        <f aca="false">I4025&amp;"-Q"&amp;ROUNDUP(MONTH(B4025)/3,0)</f>
        <v>2017-Q4</v>
      </c>
    </row>
    <row r="4026" customFormat="false" ht="15" hidden="false" customHeight="false" outlineLevel="0" collapsed="false">
      <c r="A4026" s="0" t="s">
        <v>2070</v>
      </c>
      <c r="B4026" s="6" t="n">
        <v>43035</v>
      </c>
      <c r="C4026" s="7" t="s">
        <v>33</v>
      </c>
      <c r="D4026" s="7" t="s">
        <v>34</v>
      </c>
      <c r="E4026" s="7" t="s">
        <v>39</v>
      </c>
      <c r="F4026" s="0" t="n">
        <v>95.84</v>
      </c>
      <c r="G4026" s="0" t="n">
        <v>34.742</v>
      </c>
      <c r="H4026" s="0" t="n">
        <v>0.2</v>
      </c>
      <c r="I4026" s="7" t="n">
        <f aca="false">YEAR(B4026)</f>
        <v>2017</v>
      </c>
      <c r="J4026" s="0" t="str">
        <f aca="false">I4026&amp;"-Q"&amp;ROUNDUP(MONTH(B4026)/3,0)</f>
        <v>2017-Q4</v>
      </c>
    </row>
    <row r="4027" customFormat="false" ht="15" hidden="false" customHeight="false" outlineLevel="0" collapsed="false">
      <c r="A4027" s="0" t="s">
        <v>2071</v>
      </c>
      <c r="B4027" s="6" t="n">
        <v>42958</v>
      </c>
      <c r="C4027" s="7" t="s">
        <v>45</v>
      </c>
      <c r="D4027" s="7" t="s">
        <v>46</v>
      </c>
      <c r="E4027" s="7" t="s">
        <v>35</v>
      </c>
      <c r="F4027" s="0" t="n">
        <v>29.664</v>
      </c>
      <c r="G4027" s="0" t="n">
        <v>10.0116</v>
      </c>
      <c r="H4027" s="0" t="n">
        <v>0.2</v>
      </c>
      <c r="I4027" s="7" t="n">
        <f aca="false">YEAR(B4027)</f>
        <v>2017</v>
      </c>
      <c r="J4027" s="0" t="str">
        <f aca="false">I4027&amp;"-Q"&amp;ROUNDUP(MONTH(B4027)/3,0)</f>
        <v>2017-Q3</v>
      </c>
    </row>
    <row r="4028" customFormat="false" ht="15" hidden="false" customHeight="false" outlineLevel="0" collapsed="false">
      <c r="A4028" s="0" t="s">
        <v>2071</v>
      </c>
      <c r="B4028" s="6" t="n">
        <v>42958</v>
      </c>
      <c r="C4028" s="7" t="s">
        <v>45</v>
      </c>
      <c r="D4028" s="7" t="s">
        <v>46</v>
      </c>
      <c r="E4028" s="7" t="s">
        <v>35</v>
      </c>
      <c r="F4028" s="0" t="n">
        <v>9.184</v>
      </c>
      <c r="G4028" s="0" t="n">
        <v>2.87</v>
      </c>
      <c r="H4028" s="0" t="n">
        <v>0.2</v>
      </c>
      <c r="I4028" s="7" t="n">
        <f aca="false">YEAR(B4028)</f>
        <v>2017</v>
      </c>
      <c r="J4028" s="0" t="str">
        <f aca="false">I4028&amp;"-Q"&amp;ROUNDUP(MONTH(B4028)/3,0)</f>
        <v>2017-Q3</v>
      </c>
    </row>
    <row r="4029" customFormat="false" ht="15" hidden="false" customHeight="false" outlineLevel="0" collapsed="false">
      <c r="A4029" s="0" t="s">
        <v>2071</v>
      </c>
      <c r="B4029" s="6" t="n">
        <v>42958</v>
      </c>
      <c r="C4029" s="7" t="s">
        <v>45</v>
      </c>
      <c r="D4029" s="7" t="s">
        <v>46</v>
      </c>
      <c r="E4029" s="7" t="s">
        <v>39</v>
      </c>
      <c r="F4029" s="0" t="n">
        <v>153.584</v>
      </c>
      <c r="G4029" s="0" t="n">
        <v>13.4386</v>
      </c>
      <c r="H4029" s="0" t="n">
        <v>0.2</v>
      </c>
      <c r="I4029" s="7" t="n">
        <f aca="false">YEAR(B4029)</f>
        <v>2017</v>
      </c>
      <c r="J4029" s="0" t="str">
        <f aca="false">I4029&amp;"-Q"&amp;ROUNDUP(MONTH(B4029)/3,0)</f>
        <v>2017-Q3</v>
      </c>
    </row>
    <row r="4030" customFormat="false" ht="15" hidden="false" customHeight="false" outlineLevel="0" collapsed="false">
      <c r="A4030" s="0" t="s">
        <v>2071</v>
      </c>
      <c r="B4030" s="6" t="n">
        <v>42958</v>
      </c>
      <c r="C4030" s="7" t="s">
        <v>45</v>
      </c>
      <c r="D4030" s="7" t="s">
        <v>46</v>
      </c>
      <c r="E4030" s="7" t="s">
        <v>35</v>
      </c>
      <c r="F4030" s="0" t="n">
        <v>12.864</v>
      </c>
      <c r="G4030" s="0" t="n">
        <v>-22.512</v>
      </c>
      <c r="H4030" s="0" t="n">
        <v>0.8</v>
      </c>
      <c r="I4030" s="7" t="n">
        <f aca="false">YEAR(B4030)</f>
        <v>2017</v>
      </c>
      <c r="J4030" s="0" t="str">
        <f aca="false">I4030&amp;"-Q"&amp;ROUNDUP(MONTH(B4030)/3,0)</f>
        <v>2017-Q3</v>
      </c>
    </row>
    <row r="4031" customFormat="false" ht="15" hidden="false" customHeight="false" outlineLevel="0" collapsed="false">
      <c r="A4031" s="0" t="s">
        <v>2072</v>
      </c>
      <c r="B4031" s="6" t="n">
        <v>43093</v>
      </c>
      <c r="C4031" s="7" t="s">
        <v>29</v>
      </c>
      <c r="D4031" s="7" t="s">
        <v>152</v>
      </c>
      <c r="E4031" s="7" t="s">
        <v>39</v>
      </c>
      <c r="F4031" s="0" t="n">
        <v>479.97</v>
      </c>
      <c r="G4031" s="0" t="n">
        <v>239.985</v>
      </c>
      <c r="H4031" s="0" t="n">
        <v>0</v>
      </c>
      <c r="I4031" s="7" t="n">
        <f aca="false">YEAR(B4031)</f>
        <v>2017</v>
      </c>
      <c r="J4031" s="0" t="str">
        <f aca="false">I4031&amp;"-Q"&amp;ROUNDUP(MONTH(B4031)/3,0)</f>
        <v>2017-Q4</v>
      </c>
    </row>
    <row r="4032" customFormat="false" ht="15" hidden="false" customHeight="false" outlineLevel="0" collapsed="false">
      <c r="A4032" s="0" t="s">
        <v>2072</v>
      </c>
      <c r="B4032" s="6" t="n">
        <v>43093</v>
      </c>
      <c r="C4032" s="7" t="s">
        <v>29</v>
      </c>
      <c r="D4032" s="7" t="s">
        <v>152</v>
      </c>
      <c r="E4032" s="7" t="s">
        <v>31</v>
      </c>
      <c r="F4032" s="0" t="n">
        <v>232.88</v>
      </c>
      <c r="G4032" s="0" t="n">
        <v>60.5488</v>
      </c>
      <c r="H4032" s="0" t="n">
        <v>0</v>
      </c>
      <c r="I4032" s="7" t="n">
        <f aca="false">YEAR(B4032)</f>
        <v>2017</v>
      </c>
      <c r="J4032" s="0" t="str">
        <f aca="false">I4032&amp;"-Q"&amp;ROUNDUP(MONTH(B4032)/3,0)</f>
        <v>2017-Q4</v>
      </c>
    </row>
    <row r="4033" customFormat="false" ht="15" hidden="false" customHeight="false" outlineLevel="0" collapsed="false">
      <c r="A4033" s="0" t="s">
        <v>2073</v>
      </c>
      <c r="B4033" s="6" t="n">
        <v>42639</v>
      </c>
      <c r="C4033" s="7" t="s">
        <v>33</v>
      </c>
      <c r="D4033" s="7" t="s">
        <v>43</v>
      </c>
      <c r="E4033" s="7" t="s">
        <v>35</v>
      </c>
      <c r="F4033" s="0" t="n">
        <v>236.88</v>
      </c>
      <c r="G4033" s="0" t="n">
        <v>66.3264</v>
      </c>
      <c r="H4033" s="0" t="n">
        <v>0</v>
      </c>
      <c r="I4033" s="7" t="n">
        <f aca="false">YEAR(B4033)</f>
        <v>2016</v>
      </c>
      <c r="J4033" s="0" t="str">
        <f aca="false">I4033&amp;"-Q"&amp;ROUNDUP(MONTH(B4033)/3,0)</f>
        <v>2016-Q3</v>
      </c>
    </row>
    <row r="4034" customFormat="false" ht="15" hidden="false" customHeight="false" outlineLevel="0" collapsed="false">
      <c r="A4034" s="0" t="s">
        <v>2073</v>
      </c>
      <c r="B4034" s="6" t="n">
        <v>42639</v>
      </c>
      <c r="C4034" s="7" t="s">
        <v>33</v>
      </c>
      <c r="D4034" s="7" t="s">
        <v>43</v>
      </c>
      <c r="E4034" s="7" t="s">
        <v>35</v>
      </c>
      <c r="F4034" s="0" t="n">
        <v>29.9</v>
      </c>
      <c r="G4034" s="0" t="n">
        <v>14.651</v>
      </c>
      <c r="H4034" s="0" t="n">
        <v>0</v>
      </c>
      <c r="I4034" s="7" t="n">
        <f aca="false">YEAR(B4034)</f>
        <v>2016</v>
      </c>
      <c r="J4034" s="0" t="str">
        <f aca="false">I4034&amp;"-Q"&amp;ROUNDUP(MONTH(B4034)/3,0)</f>
        <v>2016-Q3</v>
      </c>
    </row>
    <row r="4035" customFormat="false" ht="15" hidden="false" customHeight="false" outlineLevel="0" collapsed="false">
      <c r="A4035" s="0" t="s">
        <v>2073</v>
      </c>
      <c r="B4035" s="6" t="n">
        <v>42639</v>
      </c>
      <c r="C4035" s="7" t="s">
        <v>33</v>
      </c>
      <c r="D4035" s="7" t="s">
        <v>43</v>
      </c>
      <c r="E4035" s="7" t="s">
        <v>39</v>
      </c>
      <c r="F4035" s="0" t="n">
        <v>100</v>
      </c>
      <c r="G4035" s="0" t="n">
        <v>21</v>
      </c>
      <c r="H4035" s="0" t="n">
        <v>0</v>
      </c>
      <c r="I4035" s="7" t="n">
        <f aca="false">YEAR(B4035)</f>
        <v>2016</v>
      </c>
      <c r="J4035" s="0" t="str">
        <f aca="false">I4035&amp;"-Q"&amp;ROUNDUP(MONTH(B4035)/3,0)</f>
        <v>2016-Q3</v>
      </c>
    </row>
    <row r="4036" customFormat="false" ht="15" hidden="false" customHeight="false" outlineLevel="0" collapsed="false">
      <c r="A4036" s="0" t="s">
        <v>2074</v>
      </c>
      <c r="B4036" s="6" t="n">
        <v>42716</v>
      </c>
      <c r="C4036" s="7" t="s">
        <v>55</v>
      </c>
      <c r="D4036" s="7" t="s">
        <v>116</v>
      </c>
      <c r="E4036" s="7" t="s">
        <v>35</v>
      </c>
      <c r="F4036" s="0" t="n">
        <v>18.693</v>
      </c>
      <c r="G4036" s="0" t="n">
        <v>-14.3313</v>
      </c>
      <c r="H4036" s="0" t="n">
        <v>0.7</v>
      </c>
      <c r="I4036" s="7" t="n">
        <f aca="false">YEAR(B4036)</f>
        <v>2016</v>
      </c>
      <c r="J4036" s="0" t="str">
        <f aca="false">I4036&amp;"-Q"&amp;ROUNDUP(MONTH(B4036)/3,0)</f>
        <v>2016-Q4</v>
      </c>
    </row>
    <row r="4037" customFormat="false" ht="15" hidden="false" customHeight="false" outlineLevel="0" collapsed="false">
      <c r="A4037" s="0" t="s">
        <v>2074</v>
      </c>
      <c r="B4037" s="6" t="n">
        <v>42716</v>
      </c>
      <c r="C4037" s="7" t="s">
        <v>55</v>
      </c>
      <c r="D4037" s="7" t="s">
        <v>116</v>
      </c>
      <c r="E4037" s="7" t="s">
        <v>39</v>
      </c>
      <c r="F4037" s="0" t="n">
        <v>383.952</v>
      </c>
      <c r="G4037" s="0" t="n">
        <v>76.7904</v>
      </c>
      <c r="H4037" s="0" t="n">
        <v>0.2</v>
      </c>
      <c r="I4037" s="7" t="n">
        <f aca="false">YEAR(B4037)</f>
        <v>2016</v>
      </c>
      <c r="J4037" s="0" t="str">
        <f aca="false">I4037&amp;"-Q"&amp;ROUNDUP(MONTH(B4037)/3,0)</f>
        <v>2016-Q4</v>
      </c>
    </row>
    <row r="4038" customFormat="false" ht="15" hidden="false" customHeight="false" outlineLevel="0" collapsed="false">
      <c r="A4038" s="0" t="s">
        <v>2075</v>
      </c>
      <c r="B4038" s="6" t="n">
        <v>42366</v>
      </c>
      <c r="C4038" s="7" t="s">
        <v>45</v>
      </c>
      <c r="D4038" s="7" t="s">
        <v>64</v>
      </c>
      <c r="E4038" s="7" t="s">
        <v>35</v>
      </c>
      <c r="F4038" s="0" t="n">
        <v>24.816</v>
      </c>
      <c r="G4038" s="0" t="n">
        <v>1.551</v>
      </c>
      <c r="H4038" s="0" t="n">
        <v>0.2</v>
      </c>
      <c r="I4038" s="7" t="n">
        <f aca="false">YEAR(B4038)</f>
        <v>2015</v>
      </c>
      <c r="J4038" s="0" t="str">
        <f aca="false">I4038&amp;"-Q"&amp;ROUNDUP(MONTH(B4038)/3,0)</f>
        <v>2015-Q4</v>
      </c>
    </row>
    <row r="4039" customFormat="false" ht="15" hidden="false" customHeight="false" outlineLevel="0" collapsed="false">
      <c r="A4039" s="0" t="s">
        <v>2076</v>
      </c>
      <c r="B4039" s="6" t="n">
        <v>42002</v>
      </c>
      <c r="C4039" s="7" t="s">
        <v>33</v>
      </c>
      <c r="D4039" s="7" t="s">
        <v>34</v>
      </c>
      <c r="E4039" s="7" t="s">
        <v>31</v>
      </c>
      <c r="F4039" s="0" t="n">
        <v>24.9</v>
      </c>
      <c r="G4039" s="0" t="n">
        <v>8.217</v>
      </c>
      <c r="H4039" s="0" t="n">
        <v>0</v>
      </c>
      <c r="I4039" s="7" t="n">
        <f aca="false">YEAR(B4039)</f>
        <v>2014</v>
      </c>
      <c r="J4039" s="0" t="str">
        <f aca="false">I4039&amp;"-Q"&amp;ROUNDUP(MONTH(B4039)/3,0)</f>
        <v>2014-Q4</v>
      </c>
    </row>
    <row r="4040" customFormat="false" ht="15" hidden="false" customHeight="false" outlineLevel="0" collapsed="false">
      <c r="A4040" s="0" t="s">
        <v>2076</v>
      </c>
      <c r="B4040" s="6" t="n">
        <v>42002</v>
      </c>
      <c r="C4040" s="7" t="s">
        <v>33</v>
      </c>
      <c r="D4040" s="7" t="s">
        <v>34</v>
      </c>
      <c r="E4040" s="7" t="s">
        <v>35</v>
      </c>
      <c r="F4040" s="0" t="n">
        <v>21.12</v>
      </c>
      <c r="G4040" s="0" t="n">
        <v>9.504</v>
      </c>
      <c r="H4040" s="0" t="n">
        <v>0</v>
      </c>
      <c r="I4040" s="7" t="n">
        <f aca="false">YEAR(B4040)</f>
        <v>2014</v>
      </c>
      <c r="J4040" s="0" t="str">
        <f aca="false">I4040&amp;"-Q"&amp;ROUNDUP(MONTH(B4040)/3,0)</f>
        <v>2014-Q4</v>
      </c>
    </row>
    <row r="4041" customFormat="false" ht="15" hidden="false" customHeight="false" outlineLevel="0" collapsed="false">
      <c r="A4041" s="0" t="s">
        <v>2076</v>
      </c>
      <c r="B4041" s="6" t="n">
        <v>42002</v>
      </c>
      <c r="C4041" s="7" t="s">
        <v>33</v>
      </c>
      <c r="D4041" s="7" t="s">
        <v>34</v>
      </c>
      <c r="E4041" s="7" t="s">
        <v>39</v>
      </c>
      <c r="F4041" s="0" t="n">
        <v>767.952</v>
      </c>
      <c r="G4041" s="0" t="n">
        <v>287.982</v>
      </c>
      <c r="H4041" s="0" t="n">
        <v>0.2</v>
      </c>
      <c r="I4041" s="7" t="n">
        <f aca="false">YEAR(B4041)</f>
        <v>2014</v>
      </c>
      <c r="J4041" s="0" t="str">
        <f aca="false">I4041&amp;"-Q"&amp;ROUNDUP(MONTH(B4041)/3,0)</f>
        <v>2014-Q4</v>
      </c>
    </row>
    <row r="4042" customFormat="false" ht="15" hidden="false" customHeight="false" outlineLevel="0" collapsed="false">
      <c r="A4042" s="0" t="s">
        <v>2076</v>
      </c>
      <c r="B4042" s="6" t="n">
        <v>42002</v>
      </c>
      <c r="C4042" s="7" t="s">
        <v>33</v>
      </c>
      <c r="D4042" s="7" t="s">
        <v>34</v>
      </c>
      <c r="E4042" s="7" t="s">
        <v>35</v>
      </c>
      <c r="F4042" s="0" t="n">
        <v>14.352</v>
      </c>
      <c r="G4042" s="0" t="n">
        <v>4.6644</v>
      </c>
      <c r="H4042" s="0" t="n">
        <v>0.2</v>
      </c>
      <c r="I4042" s="7" t="n">
        <f aca="false">YEAR(B4042)</f>
        <v>2014</v>
      </c>
      <c r="J4042" s="0" t="str">
        <f aca="false">I4042&amp;"-Q"&amp;ROUNDUP(MONTH(B4042)/3,0)</f>
        <v>2014-Q4</v>
      </c>
    </row>
    <row r="4043" customFormat="false" ht="15" hidden="false" customHeight="false" outlineLevel="0" collapsed="false">
      <c r="A4043" s="0" t="s">
        <v>2076</v>
      </c>
      <c r="B4043" s="6" t="n">
        <v>42002</v>
      </c>
      <c r="C4043" s="7" t="s">
        <v>33</v>
      </c>
      <c r="D4043" s="7" t="s">
        <v>34</v>
      </c>
      <c r="E4043" s="7" t="s">
        <v>39</v>
      </c>
      <c r="F4043" s="0" t="n">
        <v>191.976</v>
      </c>
      <c r="G4043" s="0" t="n">
        <v>19.1976</v>
      </c>
      <c r="H4043" s="0" t="n">
        <v>0.2</v>
      </c>
      <c r="I4043" s="7" t="n">
        <f aca="false">YEAR(B4043)</f>
        <v>2014</v>
      </c>
      <c r="J4043" s="0" t="str">
        <f aca="false">I4043&amp;"-Q"&amp;ROUNDUP(MONTH(B4043)/3,0)</f>
        <v>2014-Q4</v>
      </c>
    </row>
    <row r="4044" customFormat="false" ht="15" hidden="false" customHeight="false" outlineLevel="0" collapsed="false">
      <c r="A4044" s="0" t="s">
        <v>2076</v>
      </c>
      <c r="B4044" s="6" t="n">
        <v>42002</v>
      </c>
      <c r="C4044" s="7" t="s">
        <v>33</v>
      </c>
      <c r="D4044" s="7" t="s">
        <v>34</v>
      </c>
      <c r="E4044" s="7" t="s">
        <v>35</v>
      </c>
      <c r="F4044" s="0" t="n">
        <v>274.77</v>
      </c>
      <c r="G4044" s="0" t="n">
        <v>126.3942</v>
      </c>
      <c r="H4044" s="0" t="n">
        <v>0</v>
      </c>
      <c r="I4044" s="7" t="n">
        <f aca="false">YEAR(B4044)</f>
        <v>2014</v>
      </c>
      <c r="J4044" s="0" t="str">
        <f aca="false">I4044&amp;"-Q"&amp;ROUNDUP(MONTH(B4044)/3,0)</f>
        <v>2014-Q4</v>
      </c>
    </row>
    <row r="4045" customFormat="false" ht="15" hidden="false" customHeight="false" outlineLevel="0" collapsed="false">
      <c r="A4045" s="0" t="s">
        <v>2076</v>
      </c>
      <c r="B4045" s="6" t="n">
        <v>42002</v>
      </c>
      <c r="C4045" s="7" t="s">
        <v>33</v>
      </c>
      <c r="D4045" s="7" t="s">
        <v>34</v>
      </c>
      <c r="E4045" s="7" t="s">
        <v>31</v>
      </c>
      <c r="F4045" s="0" t="n">
        <v>70.56</v>
      </c>
      <c r="G4045" s="0" t="n">
        <v>23.9904</v>
      </c>
      <c r="H4045" s="0" t="n">
        <v>0</v>
      </c>
      <c r="I4045" s="7" t="n">
        <f aca="false">YEAR(B4045)</f>
        <v>2014</v>
      </c>
      <c r="J4045" s="0" t="str">
        <f aca="false">I4045&amp;"-Q"&amp;ROUNDUP(MONTH(B4045)/3,0)</f>
        <v>2014-Q4</v>
      </c>
    </row>
    <row r="4046" customFormat="false" ht="15" hidden="false" customHeight="false" outlineLevel="0" collapsed="false">
      <c r="A4046" s="0" t="s">
        <v>2077</v>
      </c>
      <c r="B4046" s="6" t="n">
        <v>42180</v>
      </c>
      <c r="C4046" s="7" t="s">
        <v>33</v>
      </c>
      <c r="D4046" s="7" t="s">
        <v>34</v>
      </c>
      <c r="E4046" s="7" t="s">
        <v>31</v>
      </c>
      <c r="F4046" s="0" t="n">
        <v>204.85</v>
      </c>
      <c r="G4046" s="0" t="n">
        <v>57.358</v>
      </c>
      <c r="H4046" s="0" t="n">
        <v>0</v>
      </c>
      <c r="I4046" s="7" t="n">
        <f aca="false">YEAR(B4046)</f>
        <v>2015</v>
      </c>
      <c r="J4046" s="0" t="str">
        <f aca="false">I4046&amp;"-Q"&amp;ROUNDUP(MONTH(B4046)/3,0)</f>
        <v>2015-Q2</v>
      </c>
    </row>
    <row r="4047" customFormat="false" ht="15" hidden="false" customHeight="false" outlineLevel="0" collapsed="false">
      <c r="A4047" s="0" t="s">
        <v>2078</v>
      </c>
      <c r="B4047" s="6" t="n">
        <v>42096</v>
      </c>
      <c r="C4047" s="7" t="s">
        <v>45</v>
      </c>
      <c r="D4047" s="7" t="s">
        <v>46</v>
      </c>
      <c r="E4047" s="7" t="s">
        <v>35</v>
      </c>
      <c r="F4047" s="0" t="n">
        <v>9.156</v>
      </c>
      <c r="G4047" s="0" t="n">
        <v>-13.734</v>
      </c>
      <c r="H4047" s="0" t="n">
        <v>0.8</v>
      </c>
      <c r="I4047" s="7" t="n">
        <f aca="false">YEAR(B4047)</f>
        <v>2015</v>
      </c>
      <c r="J4047" s="0" t="str">
        <f aca="false">I4047&amp;"-Q"&amp;ROUNDUP(MONTH(B4047)/3,0)</f>
        <v>2015-Q2</v>
      </c>
    </row>
    <row r="4048" customFormat="false" ht="15" hidden="false" customHeight="false" outlineLevel="0" collapsed="false">
      <c r="A4048" s="0" t="s">
        <v>2079</v>
      </c>
      <c r="B4048" s="6" t="n">
        <v>43029</v>
      </c>
      <c r="C4048" s="7" t="s">
        <v>45</v>
      </c>
      <c r="D4048" s="7" t="s">
        <v>64</v>
      </c>
      <c r="E4048" s="7" t="s">
        <v>35</v>
      </c>
      <c r="F4048" s="0" t="n">
        <v>23.992</v>
      </c>
      <c r="G4048" s="0" t="n">
        <v>-62.3792</v>
      </c>
      <c r="H4048" s="0" t="n">
        <v>0.8</v>
      </c>
      <c r="I4048" s="7" t="n">
        <f aca="false">YEAR(B4048)</f>
        <v>2017</v>
      </c>
      <c r="J4048" s="0" t="str">
        <f aca="false">I4048&amp;"-Q"&amp;ROUNDUP(MONTH(B4048)/3,0)</f>
        <v>2017-Q4</v>
      </c>
    </row>
    <row r="4049" customFormat="false" ht="15" hidden="false" customHeight="false" outlineLevel="0" collapsed="false">
      <c r="A4049" s="0" t="s">
        <v>2080</v>
      </c>
      <c r="B4049" s="6" t="n">
        <v>42201</v>
      </c>
      <c r="C4049" s="7" t="s">
        <v>55</v>
      </c>
      <c r="D4049" s="7" t="s">
        <v>76</v>
      </c>
      <c r="E4049" s="7" t="s">
        <v>35</v>
      </c>
      <c r="F4049" s="0" t="n">
        <v>80.88</v>
      </c>
      <c r="G4049" s="0" t="n">
        <v>39.6312</v>
      </c>
      <c r="H4049" s="0" t="n">
        <v>0</v>
      </c>
      <c r="I4049" s="7" t="n">
        <f aca="false">YEAR(B4049)</f>
        <v>2015</v>
      </c>
      <c r="J4049" s="0" t="str">
        <f aca="false">I4049&amp;"-Q"&amp;ROUNDUP(MONTH(B4049)/3,0)</f>
        <v>2015-Q3</v>
      </c>
    </row>
    <row r="4050" customFormat="false" ht="15" hidden="false" customHeight="false" outlineLevel="0" collapsed="false">
      <c r="A4050" s="0" t="s">
        <v>2080</v>
      </c>
      <c r="B4050" s="6" t="n">
        <v>42201</v>
      </c>
      <c r="C4050" s="7" t="s">
        <v>55</v>
      </c>
      <c r="D4050" s="7" t="s">
        <v>76</v>
      </c>
      <c r="E4050" s="7" t="s">
        <v>39</v>
      </c>
      <c r="F4050" s="0" t="n">
        <v>599.9</v>
      </c>
      <c r="G4050" s="0" t="n">
        <v>191.968</v>
      </c>
      <c r="H4050" s="0" t="n">
        <v>0</v>
      </c>
      <c r="I4050" s="7" t="n">
        <f aca="false">YEAR(B4050)</f>
        <v>2015</v>
      </c>
      <c r="J4050" s="0" t="str">
        <f aca="false">I4050&amp;"-Q"&amp;ROUNDUP(MONTH(B4050)/3,0)</f>
        <v>2015-Q3</v>
      </c>
    </row>
    <row r="4051" customFormat="false" ht="15" hidden="false" customHeight="false" outlineLevel="0" collapsed="false">
      <c r="A4051" s="0" t="s">
        <v>2081</v>
      </c>
      <c r="B4051" s="6" t="n">
        <v>42910</v>
      </c>
      <c r="C4051" s="7" t="s">
        <v>55</v>
      </c>
      <c r="D4051" s="7" t="s">
        <v>76</v>
      </c>
      <c r="E4051" s="7" t="s">
        <v>31</v>
      </c>
      <c r="F4051" s="0" t="n">
        <v>276.69</v>
      </c>
      <c r="G4051" s="0" t="n">
        <v>49.8042</v>
      </c>
      <c r="H4051" s="0" t="n">
        <v>0</v>
      </c>
      <c r="I4051" s="7" t="n">
        <f aca="false">YEAR(B4051)</f>
        <v>2017</v>
      </c>
      <c r="J4051" s="0" t="str">
        <f aca="false">I4051&amp;"-Q"&amp;ROUNDUP(MONTH(B4051)/3,0)</f>
        <v>2017-Q2</v>
      </c>
    </row>
    <row r="4052" customFormat="false" ht="15" hidden="false" customHeight="false" outlineLevel="0" collapsed="false">
      <c r="A4052" s="0" t="s">
        <v>2081</v>
      </c>
      <c r="B4052" s="6" t="n">
        <v>42910</v>
      </c>
      <c r="C4052" s="7" t="s">
        <v>55</v>
      </c>
      <c r="D4052" s="7" t="s">
        <v>76</v>
      </c>
      <c r="E4052" s="7" t="s">
        <v>31</v>
      </c>
      <c r="F4052" s="0" t="n">
        <v>172.764</v>
      </c>
      <c r="G4052" s="0" t="n">
        <v>32.6332</v>
      </c>
      <c r="H4052" s="0" t="n">
        <v>0.1</v>
      </c>
      <c r="I4052" s="7" t="n">
        <f aca="false">YEAR(B4052)</f>
        <v>2017</v>
      </c>
      <c r="J4052" s="0" t="str">
        <f aca="false">I4052&amp;"-Q"&amp;ROUNDUP(MONTH(B4052)/3,0)</f>
        <v>2017-Q2</v>
      </c>
    </row>
    <row r="4053" customFormat="false" ht="15" hidden="false" customHeight="false" outlineLevel="0" collapsed="false">
      <c r="A4053" s="0" t="s">
        <v>2082</v>
      </c>
      <c r="B4053" s="6" t="n">
        <v>41911</v>
      </c>
      <c r="C4053" s="7" t="s">
        <v>55</v>
      </c>
      <c r="D4053" s="7" t="s">
        <v>56</v>
      </c>
      <c r="E4053" s="7" t="s">
        <v>35</v>
      </c>
      <c r="F4053" s="0" t="n">
        <v>4.224</v>
      </c>
      <c r="G4053" s="0" t="n">
        <v>1.4784</v>
      </c>
      <c r="H4053" s="0" t="n">
        <v>0.2</v>
      </c>
      <c r="I4053" s="7" t="n">
        <f aca="false">YEAR(B4053)</f>
        <v>2014</v>
      </c>
      <c r="J4053" s="0" t="str">
        <f aca="false">I4053&amp;"-Q"&amp;ROUNDUP(MONTH(B4053)/3,0)</f>
        <v>2014-Q3</v>
      </c>
    </row>
    <row r="4054" customFormat="false" ht="15" hidden="false" customHeight="false" outlineLevel="0" collapsed="false">
      <c r="A4054" s="0" t="s">
        <v>2082</v>
      </c>
      <c r="B4054" s="6" t="n">
        <v>41911</v>
      </c>
      <c r="C4054" s="7" t="s">
        <v>55</v>
      </c>
      <c r="D4054" s="7" t="s">
        <v>56</v>
      </c>
      <c r="E4054" s="7" t="s">
        <v>31</v>
      </c>
      <c r="F4054" s="0" t="n">
        <v>409.272</v>
      </c>
      <c r="G4054" s="0" t="n">
        <v>-81.8544</v>
      </c>
      <c r="H4054" s="0" t="n">
        <v>0.4</v>
      </c>
      <c r="I4054" s="7" t="n">
        <f aca="false">YEAR(B4054)</f>
        <v>2014</v>
      </c>
      <c r="J4054" s="0" t="str">
        <f aca="false">I4054&amp;"-Q"&amp;ROUNDUP(MONTH(B4054)/3,0)</f>
        <v>2014-Q3</v>
      </c>
    </row>
    <row r="4055" customFormat="false" ht="15" hidden="false" customHeight="false" outlineLevel="0" collapsed="false">
      <c r="A4055" s="0" t="s">
        <v>2082</v>
      </c>
      <c r="B4055" s="6" t="n">
        <v>41911</v>
      </c>
      <c r="C4055" s="7" t="s">
        <v>55</v>
      </c>
      <c r="D4055" s="7" t="s">
        <v>56</v>
      </c>
      <c r="E4055" s="7" t="s">
        <v>35</v>
      </c>
      <c r="F4055" s="0" t="n">
        <v>55.44</v>
      </c>
      <c r="G4055" s="0" t="n">
        <v>18.018</v>
      </c>
      <c r="H4055" s="0" t="n">
        <v>0.2</v>
      </c>
      <c r="I4055" s="7" t="n">
        <f aca="false">YEAR(B4055)</f>
        <v>2014</v>
      </c>
      <c r="J4055" s="0" t="str">
        <f aca="false">I4055&amp;"-Q"&amp;ROUNDUP(MONTH(B4055)/3,0)</f>
        <v>2014-Q3</v>
      </c>
    </row>
    <row r="4056" customFormat="false" ht="15" hidden="false" customHeight="false" outlineLevel="0" collapsed="false">
      <c r="A4056" s="0" t="s">
        <v>2082</v>
      </c>
      <c r="B4056" s="6" t="n">
        <v>41911</v>
      </c>
      <c r="C4056" s="7" t="s">
        <v>55</v>
      </c>
      <c r="D4056" s="7" t="s">
        <v>56</v>
      </c>
      <c r="E4056" s="7" t="s">
        <v>35</v>
      </c>
      <c r="F4056" s="0" t="n">
        <v>20.928</v>
      </c>
      <c r="G4056" s="0" t="n">
        <v>6.8016</v>
      </c>
      <c r="H4056" s="0" t="n">
        <v>0.2</v>
      </c>
      <c r="I4056" s="7" t="n">
        <f aca="false">YEAR(B4056)</f>
        <v>2014</v>
      </c>
      <c r="J4056" s="0" t="str">
        <f aca="false">I4056&amp;"-Q"&amp;ROUNDUP(MONTH(B4056)/3,0)</f>
        <v>2014-Q3</v>
      </c>
    </row>
    <row r="4057" customFormat="false" ht="15" hidden="false" customHeight="false" outlineLevel="0" collapsed="false">
      <c r="A4057" s="0" t="s">
        <v>2082</v>
      </c>
      <c r="B4057" s="6" t="n">
        <v>41911</v>
      </c>
      <c r="C4057" s="7" t="s">
        <v>55</v>
      </c>
      <c r="D4057" s="7" t="s">
        <v>56</v>
      </c>
      <c r="E4057" s="7" t="s">
        <v>35</v>
      </c>
      <c r="F4057" s="0" t="n">
        <v>1801.632</v>
      </c>
      <c r="G4057" s="0" t="n">
        <v>-337.806</v>
      </c>
      <c r="H4057" s="0" t="n">
        <v>0.2</v>
      </c>
      <c r="I4057" s="7" t="n">
        <f aca="false">YEAR(B4057)</f>
        <v>2014</v>
      </c>
      <c r="J4057" s="0" t="str">
        <f aca="false">I4057&amp;"-Q"&amp;ROUNDUP(MONTH(B4057)/3,0)</f>
        <v>2014-Q3</v>
      </c>
    </row>
    <row r="4058" customFormat="false" ht="15" hidden="false" customHeight="false" outlineLevel="0" collapsed="false">
      <c r="A4058" s="0" t="s">
        <v>2082</v>
      </c>
      <c r="B4058" s="6" t="n">
        <v>41911</v>
      </c>
      <c r="C4058" s="7" t="s">
        <v>55</v>
      </c>
      <c r="D4058" s="7" t="s">
        <v>56</v>
      </c>
      <c r="E4058" s="7" t="s">
        <v>31</v>
      </c>
      <c r="F4058" s="0" t="n">
        <v>67.176</v>
      </c>
      <c r="G4058" s="0" t="n">
        <v>-20.1528</v>
      </c>
      <c r="H4058" s="0" t="n">
        <v>0.4</v>
      </c>
      <c r="I4058" s="7" t="n">
        <f aca="false">YEAR(B4058)</f>
        <v>2014</v>
      </c>
      <c r="J4058" s="0" t="str">
        <f aca="false">I4058&amp;"-Q"&amp;ROUNDUP(MONTH(B4058)/3,0)</f>
        <v>2014-Q3</v>
      </c>
    </row>
    <row r="4059" customFormat="false" ht="15" hidden="false" customHeight="false" outlineLevel="0" collapsed="false">
      <c r="A4059" s="0" t="s">
        <v>2083</v>
      </c>
      <c r="B4059" s="6" t="n">
        <v>41967</v>
      </c>
      <c r="C4059" s="7" t="s">
        <v>45</v>
      </c>
      <c r="D4059" s="7" t="s">
        <v>64</v>
      </c>
      <c r="E4059" s="7" t="s">
        <v>35</v>
      </c>
      <c r="F4059" s="0" t="n">
        <v>646.2</v>
      </c>
      <c r="G4059" s="0" t="n">
        <v>-8.0775</v>
      </c>
      <c r="H4059" s="0" t="n">
        <v>0.2</v>
      </c>
      <c r="I4059" s="7" t="n">
        <f aca="false">YEAR(B4059)</f>
        <v>2014</v>
      </c>
      <c r="J4059" s="0" t="str">
        <f aca="false">I4059&amp;"-Q"&amp;ROUNDUP(MONTH(B4059)/3,0)</f>
        <v>2014-Q4</v>
      </c>
    </row>
    <row r="4060" customFormat="false" ht="15" hidden="false" customHeight="false" outlineLevel="0" collapsed="false">
      <c r="A4060" s="0" t="s">
        <v>2084</v>
      </c>
      <c r="B4060" s="6" t="n">
        <v>42328</v>
      </c>
      <c r="C4060" s="7" t="s">
        <v>33</v>
      </c>
      <c r="D4060" s="7" t="s">
        <v>34</v>
      </c>
      <c r="E4060" s="7" t="s">
        <v>39</v>
      </c>
      <c r="F4060" s="0" t="n">
        <v>72.744</v>
      </c>
      <c r="G4060" s="0" t="n">
        <v>-15.4581</v>
      </c>
      <c r="H4060" s="0" t="n">
        <v>0.2</v>
      </c>
      <c r="I4060" s="7" t="n">
        <f aca="false">YEAR(B4060)</f>
        <v>2015</v>
      </c>
      <c r="J4060" s="0" t="str">
        <f aca="false">I4060&amp;"-Q"&amp;ROUNDUP(MONTH(B4060)/3,0)</f>
        <v>2015-Q4</v>
      </c>
    </row>
    <row r="4061" customFormat="false" ht="15" hidden="false" customHeight="false" outlineLevel="0" collapsed="false">
      <c r="A4061" s="0" t="s">
        <v>2084</v>
      </c>
      <c r="B4061" s="6" t="n">
        <v>42328</v>
      </c>
      <c r="C4061" s="7" t="s">
        <v>33</v>
      </c>
      <c r="D4061" s="7" t="s">
        <v>34</v>
      </c>
      <c r="E4061" s="7" t="s">
        <v>31</v>
      </c>
      <c r="F4061" s="0" t="n">
        <v>572.16</v>
      </c>
      <c r="G4061" s="0" t="n">
        <v>35.76</v>
      </c>
      <c r="H4061" s="0" t="n">
        <v>0.2</v>
      </c>
      <c r="I4061" s="7" t="n">
        <f aca="false">YEAR(B4061)</f>
        <v>2015</v>
      </c>
      <c r="J4061" s="0" t="str">
        <f aca="false">I4061&amp;"-Q"&amp;ROUNDUP(MONTH(B4061)/3,0)</f>
        <v>2015-Q4</v>
      </c>
    </row>
    <row r="4062" customFormat="false" ht="15" hidden="false" customHeight="false" outlineLevel="0" collapsed="false">
      <c r="A4062" s="0" t="s">
        <v>2085</v>
      </c>
      <c r="B4062" s="6" t="n">
        <v>42675</v>
      </c>
      <c r="C4062" s="7" t="s">
        <v>45</v>
      </c>
      <c r="D4062" s="7" t="s">
        <v>64</v>
      </c>
      <c r="E4062" s="7" t="s">
        <v>39</v>
      </c>
      <c r="F4062" s="0" t="n">
        <v>68.112</v>
      </c>
      <c r="G4062" s="0" t="n">
        <v>17.8794</v>
      </c>
      <c r="H4062" s="0" t="n">
        <v>0.2</v>
      </c>
      <c r="I4062" s="7" t="n">
        <f aca="false">YEAR(B4062)</f>
        <v>2016</v>
      </c>
      <c r="J4062" s="0" t="str">
        <f aca="false">I4062&amp;"-Q"&amp;ROUNDUP(MONTH(B4062)/3,0)</f>
        <v>2016-Q4</v>
      </c>
    </row>
    <row r="4063" customFormat="false" ht="15" hidden="false" customHeight="false" outlineLevel="0" collapsed="false">
      <c r="A4063" s="0" t="s">
        <v>2086</v>
      </c>
      <c r="B4063" s="6" t="n">
        <v>42264</v>
      </c>
      <c r="C4063" s="7" t="s">
        <v>33</v>
      </c>
      <c r="D4063" s="7" t="s">
        <v>43</v>
      </c>
      <c r="E4063" s="7" t="s">
        <v>35</v>
      </c>
      <c r="F4063" s="0" t="n">
        <v>25.032</v>
      </c>
      <c r="G4063" s="0" t="n">
        <v>7.8225</v>
      </c>
      <c r="H4063" s="0" t="n">
        <v>0.2</v>
      </c>
      <c r="I4063" s="7" t="n">
        <f aca="false">YEAR(B4063)</f>
        <v>2015</v>
      </c>
      <c r="J4063" s="0" t="str">
        <f aca="false">I4063&amp;"-Q"&amp;ROUNDUP(MONTH(B4063)/3,0)</f>
        <v>2015-Q3</v>
      </c>
    </row>
    <row r="4064" customFormat="false" ht="15" hidden="false" customHeight="false" outlineLevel="0" collapsed="false">
      <c r="A4064" s="0" t="s">
        <v>2087</v>
      </c>
      <c r="B4064" s="6" t="n">
        <v>42439</v>
      </c>
      <c r="C4064" s="7" t="s">
        <v>55</v>
      </c>
      <c r="D4064" s="7" t="s">
        <v>56</v>
      </c>
      <c r="E4064" s="7" t="s">
        <v>39</v>
      </c>
      <c r="F4064" s="0" t="n">
        <v>39.992</v>
      </c>
      <c r="G4064" s="0" t="n">
        <v>7.4985</v>
      </c>
      <c r="H4064" s="0" t="n">
        <v>0.2</v>
      </c>
      <c r="I4064" s="7" t="n">
        <f aca="false">YEAR(B4064)</f>
        <v>2016</v>
      </c>
      <c r="J4064" s="0" t="str">
        <f aca="false">I4064&amp;"-Q"&amp;ROUNDUP(MONTH(B4064)/3,0)</f>
        <v>2016-Q1</v>
      </c>
    </row>
    <row r="4065" customFormat="false" ht="15" hidden="false" customHeight="false" outlineLevel="0" collapsed="false">
      <c r="A4065" s="0" t="s">
        <v>2088</v>
      </c>
      <c r="B4065" s="6" t="n">
        <v>41813</v>
      </c>
      <c r="C4065" s="7" t="s">
        <v>29</v>
      </c>
      <c r="D4065" s="7" t="s">
        <v>41</v>
      </c>
      <c r="E4065" s="7" t="s">
        <v>35</v>
      </c>
      <c r="F4065" s="0" t="n">
        <v>20.016</v>
      </c>
      <c r="G4065" s="0" t="n">
        <v>1.7514</v>
      </c>
      <c r="H4065" s="0" t="n">
        <v>0.2</v>
      </c>
      <c r="I4065" s="7" t="n">
        <f aca="false">YEAR(B4065)</f>
        <v>2014</v>
      </c>
      <c r="J4065" s="0" t="str">
        <f aca="false">I4065&amp;"-Q"&amp;ROUNDUP(MONTH(B4065)/3,0)</f>
        <v>2014-Q2</v>
      </c>
    </row>
    <row r="4066" customFormat="false" ht="15" hidden="false" customHeight="false" outlineLevel="0" collapsed="false">
      <c r="A4066" s="0" t="s">
        <v>2088</v>
      </c>
      <c r="B4066" s="6" t="n">
        <v>41813</v>
      </c>
      <c r="C4066" s="7" t="s">
        <v>29</v>
      </c>
      <c r="D4066" s="7" t="s">
        <v>41</v>
      </c>
      <c r="E4066" s="7" t="s">
        <v>35</v>
      </c>
      <c r="F4066" s="0" t="n">
        <v>3.104</v>
      </c>
      <c r="G4066" s="0" t="n">
        <v>0.3492</v>
      </c>
      <c r="H4066" s="0" t="n">
        <v>0.2</v>
      </c>
      <c r="I4066" s="7" t="n">
        <f aca="false">YEAR(B4066)</f>
        <v>2014</v>
      </c>
      <c r="J4066" s="0" t="str">
        <f aca="false">I4066&amp;"-Q"&amp;ROUNDUP(MONTH(B4066)/3,0)</f>
        <v>2014-Q2</v>
      </c>
    </row>
    <row r="4067" customFormat="false" ht="15" hidden="false" customHeight="false" outlineLevel="0" collapsed="false">
      <c r="A4067" s="0" t="s">
        <v>2089</v>
      </c>
      <c r="B4067" s="6" t="n">
        <v>41944</v>
      </c>
      <c r="C4067" s="7" t="s">
        <v>29</v>
      </c>
      <c r="D4067" s="7" t="s">
        <v>41</v>
      </c>
      <c r="E4067" s="7" t="s">
        <v>35</v>
      </c>
      <c r="F4067" s="0" t="n">
        <v>7.52</v>
      </c>
      <c r="G4067" s="0" t="n">
        <v>1.41</v>
      </c>
      <c r="H4067" s="0" t="n">
        <v>0.2</v>
      </c>
      <c r="I4067" s="7" t="n">
        <f aca="false">YEAR(B4067)</f>
        <v>2014</v>
      </c>
      <c r="J4067" s="0" t="str">
        <f aca="false">I4067&amp;"-Q"&amp;ROUNDUP(MONTH(B4067)/3,0)</f>
        <v>2014-Q4</v>
      </c>
    </row>
    <row r="4068" customFormat="false" ht="15" hidden="false" customHeight="false" outlineLevel="0" collapsed="false">
      <c r="A4068" s="0" t="s">
        <v>2089</v>
      </c>
      <c r="B4068" s="6" t="n">
        <v>41944</v>
      </c>
      <c r="C4068" s="7" t="s">
        <v>29</v>
      </c>
      <c r="D4068" s="7" t="s">
        <v>41</v>
      </c>
      <c r="E4068" s="7" t="s">
        <v>35</v>
      </c>
      <c r="F4068" s="0" t="n">
        <v>10.272</v>
      </c>
      <c r="G4068" s="0" t="n">
        <v>0.8988</v>
      </c>
      <c r="H4068" s="0" t="n">
        <v>0.2</v>
      </c>
      <c r="I4068" s="7" t="n">
        <f aca="false">YEAR(B4068)</f>
        <v>2014</v>
      </c>
      <c r="J4068" s="0" t="str">
        <f aca="false">I4068&amp;"-Q"&amp;ROUNDUP(MONTH(B4068)/3,0)</f>
        <v>2014-Q4</v>
      </c>
    </row>
    <row r="4069" customFormat="false" ht="15" hidden="false" customHeight="false" outlineLevel="0" collapsed="false">
      <c r="A4069" s="0" t="s">
        <v>2089</v>
      </c>
      <c r="B4069" s="6" t="n">
        <v>41944</v>
      </c>
      <c r="C4069" s="7" t="s">
        <v>29</v>
      </c>
      <c r="D4069" s="7" t="s">
        <v>41</v>
      </c>
      <c r="E4069" s="7" t="s">
        <v>35</v>
      </c>
      <c r="F4069" s="0" t="n">
        <v>47.808</v>
      </c>
      <c r="G4069" s="0" t="n">
        <v>15.5376</v>
      </c>
      <c r="H4069" s="0" t="n">
        <v>0.2</v>
      </c>
      <c r="I4069" s="7" t="n">
        <f aca="false">YEAR(B4069)</f>
        <v>2014</v>
      </c>
      <c r="J4069" s="0" t="str">
        <f aca="false">I4069&amp;"-Q"&amp;ROUNDUP(MONTH(B4069)/3,0)</f>
        <v>2014-Q4</v>
      </c>
    </row>
    <row r="4070" customFormat="false" ht="15" hidden="false" customHeight="false" outlineLevel="0" collapsed="false">
      <c r="A4070" s="0" t="s">
        <v>2089</v>
      </c>
      <c r="B4070" s="6" t="n">
        <v>41944</v>
      </c>
      <c r="C4070" s="7" t="s">
        <v>29</v>
      </c>
      <c r="D4070" s="7" t="s">
        <v>41</v>
      </c>
      <c r="E4070" s="7" t="s">
        <v>39</v>
      </c>
      <c r="F4070" s="0" t="n">
        <v>978.84</v>
      </c>
      <c r="G4070" s="0" t="n">
        <v>110.1195</v>
      </c>
      <c r="H4070" s="0" t="n">
        <v>0.2</v>
      </c>
      <c r="I4070" s="7" t="n">
        <f aca="false">YEAR(B4070)</f>
        <v>2014</v>
      </c>
      <c r="J4070" s="0" t="str">
        <f aca="false">I4070&amp;"-Q"&amp;ROUNDUP(MONTH(B4070)/3,0)</f>
        <v>2014-Q4</v>
      </c>
    </row>
    <row r="4071" customFormat="false" ht="15" hidden="false" customHeight="false" outlineLevel="0" collapsed="false">
      <c r="A4071" s="0" t="s">
        <v>2090</v>
      </c>
      <c r="B4071" s="6" t="n">
        <v>42610</v>
      </c>
      <c r="C4071" s="7" t="s">
        <v>45</v>
      </c>
      <c r="D4071" s="7" t="s">
        <v>46</v>
      </c>
      <c r="E4071" s="7" t="s">
        <v>35</v>
      </c>
      <c r="F4071" s="0" t="n">
        <v>13.14</v>
      </c>
      <c r="G4071" s="0" t="n">
        <v>-21.681</v>
      </c>
      <c r="H4071" s="0" t="n">
        <v>0.8</v>
      </c>
      <c r="I4071" s="7" t="n">
        <f aca="false">YEAR(B4071)</f>
        <v>2016</v>
      </c>
      <c r="J4071" s="0" t="str">
        <f aca="false">I4071&amp;"-Q"&amp;ROUNDUP(MONTH(B4071)/3,0)</f>
        <v>2016-Q3</v>
      </c>
    </row>
    <row r="4072" customFormat="false" ht="15" hidden="false" customHeight="false" outlineLevel="0" collapsed="false">
      <c r="A4072" s="0" t="s">
        <v>2090</v>
      </c>
      <c r="B4072" s="6" t="n">
        <v>42610</v>
      </c>
      <c r="C4072" s="7" t="s">
        <v>45</v>
      </c>
      <c r="D4072" s="7" t="s">
        <v>46</v>
      </c>
      <c r="E4072" s="7" t="s">
        <v>35</v>
      </c>
      <c r="F4072" s="0" t="n">
        <v>10.024</v>
      </c>
      <c r="G4072" s="0" t="n">
        <v>-16.5396</v>
      </c>
      <c r="H4072" s="0" t="n">
        <v>0.8</v>
      </c>
      <c r="I4072" s="7" t="n">
        <f aca="false">YEAR(B4072)</f>
        <v>2016</v>
      </c>
      <c r="J4072" s="0" t="str">
        <f aca="false">I4072&amp;"-Q"&amp;ROUNDUP(MONTH(B4072)/3,0)</f>
        <v>2016-Q3</v>
      </c>
    </row>
    <row r="4073" customFormat="false" ht="15" hidden="false" customHeight="false" outlineLevel="0" collapsed="false">
      <c r="A4073" s="0" t="s">
        <v>2090</v>
      </c>
      <c r="B4073" s="6" t="n">
        <v>42610</v>
      </c>
      <c r="C4073" s="7" t="s">
        <v>45</v>
      </c>
      <c r="D4073" s="7" t="s">
        <v>46</v>
      </c>
      <c r="E4073" s="7" t="s">
        <v>31</v>
      </c>
      <c r="F4073" s="0" t="n">
        <v>156.3728</v>
      </c>
      <c r="G4073" s="0" t="n">
        <v>-52.8908</v>
      </c>
      <c r="H4073" s="0" t="n">
        <v>0.32</v>
      </c>
      <c r="I4073" s="7" t="n">
        <f aca="false">YEAR(B4073)</f>
        <v>2016</v>
      </c>
      <c r="J4073" s="0" t="str">
        <f aca="false">I4073&amp;"-Q"&amp;ROUNDUP(MONTH(B4073)/3,0)</f>
        <v>2016-Q3</v>
      </c>
    </row>
    <row r="4074" customFormat="false" ht="15" hidden="false" customHeight="false" outlineLevel="0" collapsed="false">
      <c r="A4074" s="0" t="s">
        <v>2091</v>
      </c>
      <c r="B4074" s="6" t="n">
        <v>42344</v>
      </c>
      <c r="C4074" s="7" t="s">
        <v>45</v>
      </c>
      <c r="D4074" s="7" t="s">
        <v>74</v>
      </c>
      <c r="E4074" s="7" t="s">
        <v>39</v>
      </c>
      <c r="F4074" s="0" t="n">
        <v>999.98</v>
      </c>
      <c r="G4074" s="0" t="n">
        <v>449.991</v>
      </c>
      <c r="H4074" s="0" t="n">
        <v>0</v>
      </c>
      <c r="I4074" s="7" t="n">
        <f aca="false">YEAR(B4074)</f>
        <v>2015</v>
      </c>
      <c r="J4074" s="0" t="str">
        <f aca="false">I4074&amp;"-Q"&amp;ROUNDUP(MONTH(B4074)/3,0)</f>
        <v>2015-Q4</v>
      </c>
    </row>
    <row r="4075" customFormat="false" ht="15" hidden="false" customHeight="false" outlineLevel="0" collapsed="false">
      <c r="A4075" s="0" t="s">
        <v>2092</v>
      </c>
      <c r="B4075" s="6" t="n">
        <v>42271</v>
      </c>
      <c r="C4075" s="7" t="s">
        <v>45</v>
      </c>
      <c r="D4075" s="7" t="s">
        <v>138</v>
      </c>
      <c r="E4075" s="7" t="s">
        <v>39</v>
      </c>
      <c r="F4075" s="0" t="n">
        <v>821.94</v>
      </c>
      <c r="G4075" s="0" t="n">
        <v>213.7044</v>
      </c>
      <c r="H4075" s="0" t="n">
        <v>0</v>
      </c>
      <c r="I4075" s="7" t="n">
        <f aca="false">YEAR(B4075)</f>
        <v>2015</v>
      </c>
      <c r="J4075" s="0" t="str">
        <f aca="false">I4075&amp;"-Q"&amp;ROUNDUP(MONTH(B4075)/3,0)</f>
        <v>2015-Q3</v>
      </c>
    </row>
    <row r="4076" customFormat="false" ht="15" hidden="false" customHeight="false" outlineLevel="0" collapsed="false">
      <c r="A4076" s="0" t="s">
        <v>2093</v>
      </c>
      <c r="B4076" s="6" t="n">
        <v>43054</v>
      </c>
      <c r="C4076" s="7" t="s">
        <v>29</v>
      </c>
      <c r="D4076" s="7" t="s">
        <v>37</v>
      </c>
      <c r="E4076" s="7" t="s">
        <v>31</v>
      </c>
      <c r="F4076" s="0" t="n">
        <v>220.064</v>
      </c>
      <c r="G4076" s="0" t="n">
        <v>55.016</v>
      </c>
      <c r="H4076" s="0" t="n">
        <v>0.2</v>
      </c>
      <c r="I4076" s="7" t="n">
        <f aca="false">YEAR(B4076)</f>
        <v>2017</v>
      </c>
      <c r="J4076" s="0" t="str">
        <f aca="false">I4076&amp;"-Q"&amp;ROUNDUP(MONTH(B4076)/3,0)</f>
        <v>2017-Q4</v>
      </c>
    </row>
    <row r="4077" customFormat="false" ht="15" hidden="false" customHeight="false" outlineLevel="0" collapsed="false">
      <c r="A4077" s="0" t="s">
        <v>2093</v>
      </c>
      <c r="B4077" s="6" t="n">
        <v>43054</v>
      </c>
      <c r="C4077" s="7" t="s">
        <v>29</v>
      </c>
      <c r="D4077" s="7" t="s">
        <v>37</v>
      </c>
      <c r="E4077" s="7" t="s">
        <v>31</v>
      </c>
      <c r="F4077" s="0" t="n">
        <v>339.136</v>
      </c>
      <c r="G4077" s="0" t="n">
        <v>0</v>
      </c>
      <c r="H4077" s="0" t="n">
        <v>0.2</v>
      </c>
      <c r="I4077" s="7" t="n">
        <f aca="false">YEAR(B4077)</f>
        <v>2017</v>
      </c>
      <c r="J4077" s="0" t="str">
        <f aca="false">I4077&amp;"-Q"&amp;ROUNDUP(MONTH(B4077)/3,0)</f>
        <v>2017-Q4</v>
      </c>
    </row>
    <row r="4078" customFormat="false" ht="15" hidden="false" customHeight="false" outlineLevel="0" collapsed="false">
      <c r="A4078" s="0" t="s">
        <v>2094</v>
      </c>
      <c r="B4078" s="6" t="n">
        <v>42357</v>
      </c>
      <c r="C4078" s="7" t="s">
        <v>45</v>
      </c>
      <c r="D4078" s="7" t="s">
        <v>53</v>
      </c>
      <c r="E4078" s="7" t="s">
        <v>35</v>
      </c>
      <c r="F4078" s="0" t="n">
        <v>7.04</v>
      </c>
      <c r="G4078" s="0" t="n">
        <v>3.3088</v>
      </c>
      <c r="H4078" s="0" t="n">
        <v>0</v>
      </c>
      <c r="I4078" s="7" t="n">
        <f aca="false">YEAR(B4078)</f>
        <v>2015</v>
      </c>
      <c r="J4078" s="0" t="str">
        <f aca="false">I4078&amp;"-Q"&amp;ROUNDUP(MONTH(B4078)/3,0)</f>
        <v>2015-Q4</v>
      </c>
    </row>
    <row r="4079" customFormat="false" ht="15" hidden="false" customHeight="false" outlineLevel="0" collapsed="false">
      <c r="A4079" s="0" t="s">
        <v>2094</v>
      </c>
      <c r="B4079" s="6" t="n">
        <v>42357</v>
      </c>
      <c r="C4079" s="7" t="s">
        <v>45</v>
      </c>
      <c r="D4079" s="7" t="s">
        <v>53</v>
      </c>
      <c r="E4079" s="7" t="s">
        <v>35</v>
      </c>
      <c r="F4079" s="0" t="n">
        <v>5.04</v>
      </c>
      <c r="G4079" s="0" t="n">
        <v>0.2016</v>
      </c>
      <c r="H4079" s="0" t="n">
        <v>0</v>
      </c>
      <c r="I4079" s="7" t="n">
        <f aca="false">YEAR(B4079)</f>
        <v>2015</v>
      </c>
      <c r="J4079" s="0" t="str">
        <f aca="false">I4079&amp;"-Q"&amp;ROUNDUP(MONTH(B4079)/3,0)</f>
        <v>2015-Q4</v>
      </c>
    </row>
    <row r="4080" customFormat="false" ht="15" hidden="false" customHeight="false" outlineLevel="0" collapsed="false">
      <c r="A4080" s="0" t="s">
        <v>2094</v>
      </c>
      <c r="B4080" s="6" t="n">
        <v>42357</v>
      </c>
      <c r="C4080" s="7" t="s">
        <v>45</v>
      </c>
      <c r="D4080" s="7" t="s">
        <v>53</v>
      </c>
      <c r="E4080" s="7" t="s">
        <v>35</v>
      </c>
      <c r="F4080" s="0" t="n">
        <v>116.28</v>
      </c>
      <c r="G4080" s="0" t="n">
        <v>56.9772</v>
      </c>
      <c r="H4080" s="0" t="n">
        <v>0</v>
      </c>
      <c r="I4080" s="7" t="n">
        <f aca="false">YEAR(B4080)</f>
        <v>2015</v>
      </c>
      <c r="J4080" s="0" t="str">
        <f aca="false">I4080&amp;"-Q"&amp;ROUNDUP(MONTH(B4080)/3,0)</f>
        <v>2015-Q4</v>
      </c>
    </row>
    <row r="4081" customFormat="false" ht="15" hidden="false" customHeight="false" outlineLevel="0" collapsed="false">
      <c r="A4081" s="0" t="s">
        <v>2095</v>
      </c>
      <c r="B4081" s="6" t="n">
        <v>42359</v>
      </c>
      <c r="C4081" s="7" t="s">
        <v>29</v>
      </c>
      <c r="D4081" s="7" t="s">
        <v>41</v>
      </c>
      <c r="E4081" s="7" t="s">
        <v>39</v>
      </c>
      <c r="F4081" s="0" t="n">
        <v>47.976</v>
      </c>
      <c r="G4081" s="0" t="n">
        <v>4.7976</v>
      </c>
      <c r="H4081" s="0" t="n">
        <v>0.2</v>
      </c>
      <c r="I4081" s="7" t="n">
        <f aca="false">YEAR(B4081)</f>
        <v>2015</v>
      </c>
      <c r="J4081" s="0" t="str">
        <f aca="false">I4081&amp;"-Q"&amp;ROUNDUP(MONTH(B4081)/3,0)</f>
        <v>2015-Q4</v>
      </c>
    </row>
    <row r="4082" customFormat="false" ht="15" hidden="false" customHeight="false" outlineLevel="0" collapsed="false">
      <c r="A4082" s="0" t="s">
        <v>2096</v>
      </c>
      <c r="B4082" s="6" t="n">
        <v>42638</v>
      </c>
      <c r="C4082" s="7" t="s">
        <v>33</v>
      </c>
      <c r="D4082" s="7" t="s">
        <v>102</v>
      </c>
      <c r="E4082" s="7" t="s">
        <v>35</v>
      </c>
      <c r="F4082" s="0" t="n">
        <v>60.048</v>
      </c>
      <c r="G4082" s="0" t="n">
        <v>22.518</v>
      </c>
      <c r="H4082" s="0" t="n">
        <v>0.2</v>
      </c>
      <c r="I4082" s="7" t="n">
        <f aca="false">YEAR(B4082)</f>
        <v>2016</v>
      </c>
      <c r="J4082" s="0" t="str">
        <f aca="false">I4082&amp;"-Q"&amp;ROUNDUP(MONTH(B4082)/3,0)</f>
        <v>2016-Q3</v>
      </c>
    </row>
    <row r="4083" customFormat="false" ht="15" hidden="false" customHeight="false" outlineLevel="0" collapsed="false">
      <c r="A4083" s="0" t="s">
        <v>2096</v>
      </c>
      <c r="B4083" s="6" t="n">
        <v>42638</v>
      </c>
      <c r="C4083" s="7" t="s">
        <v>33</v>
      </c>
      <c r="D4083" s="7" t="s">
        <v>102</v>
      </c>
      <c r="E4083" s="7" t="s">
        <v>35</v>
      </c>
      <c r="F4083" s="0" t="n">
        <v>5.022</v>
      </c>
      <c r="G4083" s="0" t="n">
        <v>-3.5154</v>
      </c>
      <c r="H4083" s="0" t="n">
        <v>0.7</v>
      </c>
      <c r="I4083" s="7" t="n">
        <f aca="false">YEAR(B4083)</f>
        <v>2016</v>
      </c>
      <c r="J4083" s="0" t="str">
        <f aca="false">I4083&amp;"-Q"&amp;ROUNDUP(MONTH(B4083)/3,0)</f>
        <v>2016-Q3</v>
      </c>
    </row>
    <row r="4084" customFormat="false" ht="15" hidden="false" customHeight="false" outlineLevel="0" collapsed="false">
      <c r="A4084" s="0" t="s">
        <v>2097</v>
      </c>
      <c r="B4084" s="6" t="n">
        <v>42910</v>
      </c>
      <c r="C4084" s="7" t="s">
        <v>45</v>
      </c>
      <c r="D4084" s="7" t="s">
        <v>64</v>
      </c>
      <c r="E4084" s="7" t="s">
        <v>35</v>
      </c>
      <c r="F4084" s="0" t="n">
        <v>182.994</v>
      </c>
      <c r="G4084" s="0" t="n">
        <v>-320.2395</v>
      </c>
      <c r="H4084" s="0" t="n">
        <v>0.8</v>
      </c>
      <c r="I4084" s="7" t="n">
        <f aca="false">YEAR(B4084)</f>
        <v>2017</v>
      </c>
      <c r="J4084" s="0" t="str">
        <f aca="false">I4084&amp;"-Q"&amp;ROUNDUP(MONTH(B4084)/3,0)</f>
        <v>2017-Q2</v>
      </c>
    </row>
    <row r="4085" customFormat="false" ht="15" hidden="false" customHeight="false" outlineLevel="0" collapsed="false">
      <c r="A4085" s="0" t="s">
        <v>2097</v>
      </c>
      <c r="B4085" s="6" t="n">
        <v>42910</v>
      </c>
      <c r="C4085" s="7" t="s">
        <v>45</v>
      </c>
      <c r="D4085" s="7" t="s">
        <v>64</v>
      </c>
      <c r="E4085" s="7" t="s">
        <v>35</v>
      </c>
      <c r="F4085" s="0" t="n">
        <v>10.272</v>
      </c>
      <c r="G4085" s="0" t="n">
        <v>3.21</v>
      </c>
      <c r="H4085" s="0" t="n">
        <v>0.2</v>
      </c>
      <c r="I4085" s="7" t="n">
        <f aca="false">YEAR(B4085)</f>
        <v>2017</v>
      </c>
      <c r="J4085" s="0" t="str">
        <f aca="false">I4085&amp;"-Q"&amp;ROUNDUP(MONTH(B4085)/3,0)</f>
        <v>2017-Q2</v>
      </c>
    </row>
    <row r="4086" customFormat="false" ht="15" hidden="false" customHeight="false" outlineLevel="0" collapsed="false">
      <c r="A4086" s="0" t="s">
        <v>2098</v>
      </c>
      <c r="B4086" s="6" t="n">
        <v>42985</v>
      </c>
      <c r="C4086" s="7" t="s">
        <v>33</v>
      </c>
      <c r="D4086" s="7" t="s">
        <v>81</v>
      </c>
      <c r="E4086" s="7" t="s">
        <v>35</v>
      </c>
      <c r="F4086" s="0" t="n">
        <v>7.857</v>
      </c>
      <c r="G4086" s="0" t="n">
        <v>-6.0237</v>
      </c>
      <c r="H4086" s="0" t="n">
        <v>0.7</v>
      </c>
      <c r="I4086" s="7" t="n">
        <f aca="false">YEAR(B4086)</f>
        <v>2017</v>
      </c>
      <c r="J4086" s="0" t="str">
        <f aca="false">I4086&amp;"-Q"&amp;ROUNDUP(MONTH(B4086)/3,0)</f>
        <v>2017-Q3</v>
      </c>
    </row>
    <row r="4087" customFormat="false" ht="15" hidden="false" customHeight="false" outlineLevel="0" collapsed="false">
      <c r="A4087" s="0" t="s">
        <v>2099</v>
      </c>
      <c r="B4087" s="6" t="n">
        <v>42586</v>
      </c>
      <c r="C4087" s="7" t="s">
        <v>33</v>
      </c>
      <c r="D4087" s="7" t="s">
        <v>34</v>
      </c>
      <c r="E4087" s="7" t="s">
        <v>39</v>
      </c>
      <c r="F4087" s="0" t="n">
        <v>302.384</v>
      </c>
      <c r="G4087" s="0" t="n">
        <v>30.2384</v>
      </c>
      <c r="H4087" s="0" t="n">
        <v>0.2</v>
      </c>
      <c r="I4087" s="7" t="n">
        <f aca="false">YEAR(B4087)</f>
        <v>2016</v>
      </c>
      <c r="J4087" s="0" t="str">
        <f aca="false">I4087&amp;"-Q"&amp;ROUNDUP(MONTH(B4087)/3,0)</f>
        <v>2016-Q3</v>
      </c>
    </row>
    <row r="4088" customFormat="false" ht="15" hidden="false" customHeight="false" outlineLevel="0" collapsed="false">
      <c r="A4088" s="0" t="s">
        <v>2099</v>
      </c>
      <c r="B4088" s="6" t="n">
        <v>42586</v>
      </c>
      <c r="C4088" s="7" t="s">
        <v>33</v>
      </c>
      <c r="D4088" s="7" t="s">
        <v>34</v>
      </c>
      <c r="E4088" s="7" t="s">
        <v>35</v>
      </c>
      <c r="F4088" s="0" t="n">
        <v>20.952</v>
      </c>
      <c r="G4088" s="0" t="n">
        <v>7.0713</v>
      </c>
      <c r="H4088" s="0" t="n">
        <v>0.2</v>
      </c>
      <c r="I4088" s="7" t="n">
        <f aca="false">YEAR(B4088)</f>
        <v>2016</v>
      </c>
      <c r="J4088" s="0" t="str">
        <f aca="false">I4088&amp;"-Q"&amp;ROUNDUP(MONTH(B4088)/3,0)</f>
        <v>2016-Q3</v>
      </c>
    </row>
    <row r="4089" customFormat="false" ht="15" hidden="false" customHeight="false" outlineLevel="0" collapsed="false">
      <c r="A4089" s="0" t="s">
        <v>2099</v>
      </c>
      <c r="B4089" s="6" t="n">
        <v>42586</v>
      </c>
      <c r="C4089" s="7" t="s">
        <v>33</v>
      </c>
      <c r="D4089" s="7" t="s">
        <v>34</v>
      </c>
      <c r="E4089" s="7" t="s">
        <v>35</v>
      </c>
      <c r="F4089" s="0" t="n">
        <v>11.784</v>
      </c>
      <c r="G4089" s="0" t="n">
        <v>3.9771</v>
      </c>
      <c r="H4089" s="0" t="n">
        <v>0.2</v>
      </c>
      <c r="I4089" s="7" t="n">
        <f aca="false">YEAR(B4089)</f>
        <v>2016</v>
      </c>
      <c r="J4089" s="0" t="str">
        <f aca="false">I4089&amp;"-Q"&amp;ROUNDUP(MONTH(B4089)/3,0)</f>
        <v>2016-Q3</v>
      </c>
    </row>
    <row r="4090" customFormat="false" ht="15" hidden="false" customHeight="false" outlineLevel="0" collapsed="false">
      <c r="A4090" s="0" t="s">
        <v>2100</v>
      </c>
      <c r="B4090" s="6" t="n">
        <v>41870</v>
      </c>
      <c r="C4090" s="7" t="s">
        <v>29</v>
      </c>
      <c r="D4090" s="7" t="s">
        <v>301</v>
      </c>
      <c r="E4090" s="7" t="s">
        <v>31</v>
      </c>
      <c r="F4090" s="0" t="n">
        <v>638.82</v>
      </c>
      <c r="G4090" s="0" t="n">
        <v>172.4814</v>
      </c>
      <c r="H4090" s="0" t="n">
        <v>0</v>
      </c>
      <c r="I4090" s="7" t="n">
        <f aca="false">YEAR(B4090)</f>
        <v>2014</v>
      </c>
      <c r="J4090" s="0" t="str">
        <f aca="false">I4090&amp;"-Q"&amp;ROUNDUP(MONTH(B4090)/3,0)</f>
        <v>2014-Q3</v>
      </c>
    </row>
    <row r="4091" customFormat="false" ht="15" hidden="false" customHeight="false" outlineLevel="0" collapsed="false">
      <c r="A4091" s="0" t="s">
        <v>2101</v>
      </c>
      <c r="B4091" s="6" t="n">
        <v>42461</v>
      </c>
      <c r="C4091" s="7" t="s">
        <v>55</v>
      </c>
      <c r="D4091" s="7" t="s">
        <v>76</v>
      </c>
      <c r="E4091" s="7" t="s">
        <v>35</v>
      </c>
      <c r="F4091" s="0" t="n">
        <v>20.7</v>
      </c>
      <c r="G4091" s="0" t="n">
        <v>9.936</v>
      </c>
      <c r="H4091" s="0" t="n">
        <v>0</v>
      </c>
      <c r="I4091" s="7" t="n">
        <f aca="false">YEAR(B4091)</f>
        <v>2016</v>
      </c>
      <c r="J4091" s="0" t="str">
        <f aca="false">I4091&amp;"-Q"&amp;ROUNDUP(MONTH(B4091)/3,0)</f>
        <v>2016-Q2</v>
      </c>
    </row>
    <row r="4092" customFormat="false" ht="15" hidden="false" customHeight="false" outlineLevel="0" collapsed="false">
      <c r="A4092" s="0" t="s">
        <v>2101</v>
      </c>
      <c r="B4092" s="6" t="n">
        <v>42461</v>
      </c>
      <c r="C4092" s="7" t="s">
        <v>55</v>
      </c>
      <c r="D4092" s="7" t="s">
        <v>76</v>
      </c>
      <c r="E4092" s="7" t="s">
        <v>35</v>
      </c>
      <c r="F4092" s="0" t="n">
        <v>10.95</v>
      </c>
      <c r="G4092" s="0" t="n">
        <v>3.285</v>
      </c>
      <c r="H4092" s="0" t="n">
        <v>0</v>
      </c>
      <c r="I4092" s="7" t="n">
        <f aca="false">YEAR(B4092)</f>
        <v>2016</v>
      </c>
      <c r="J4092" s="0" t="str">
        <f aca="false">I4092&amp;"-Q"&amp;ROUNDUP(MONTH(B4092)/3,0)</f>
        <v>2016-Q2</v>
      </c>
    </row>
    <row r="4093" customFormat="false" ht="15" hidden="false" customHeight="false" outlineLevel="0" collapsed="false">
      <c r="A4093" s="0" t="s">
        <v>2101</v>
      </c>
      <c r="B4093" s="6" t="n">
        <v>42461</v>
      </c>
      <c r="C4093" s="7" t="s">
        <v>55</v>
      </c>
      <c r="D4093" s="7" t="s">
        <v>76</v>
      </c>
      <c r="E4093" s="7" t="s">
        <v>35</v>
      </c>
      <c r="F4093" s="0" t="n">
        <v>14.352</v>
      </c>
      <c r="G4093" s="0" t="n">
        <v>4.6644</v>
      </c>
      <c r="H4093" s="0" t="n">
        <v>0.2</v>
      </c>
      <c r="I4093" s="7" t="n">
        <f aca="false">YEAR(B4093)</f>
        <v>2016</v>
      </c>
      <c r="J4093" s="0" t="str">
        <f aca="false">I4093&amp;"-Q"&amp;ROUNDUP(MONTH(B4093)/3,0)</f>
        <v>2016-Q2</v>
      </c>
    </row>
    <row r="4094" customFormat="false" ht="15" hidden="false" customHeight="false" outlineLevel="0" collapsed="false">
      <c r="A4094" s="0" t="s">
        <v>2102</v>
      </c>
      <c r="B4094" s="6" t="n">
        <v>42871</v>
      </c>
      <c r="C4094" s="7" t="s">
        <v>55</v>
      </c>
      <c r="D4094" s="7" t="s">
        <v>116</v>
      </c>
      <c r="E4094" s="7" t="s">
        <v>35</v>
      </c>
      <c r="F4094" s="0" t="n">
        <v>221.024</v>
      </c>
      <c r="G4094" s="0" t="n">
        <v>-55.256</v>
      </c>
      <c r="H4094" s="0" t="n">
        <v>0.2</v>
      </c>
      <c r="I4094" s="7" t="n">
        <f aca="false">YEAR(B4094)</f>
        <v>2017</v>
      </c>
      <c r="J4094" s="0" t="str">
        <f aca="false">I4094&amp;"-Q"&amp;ROUNDUP(MONTH(B4094)/3,0)</f>
        <v>2017-Q2</v>
      </c>
    </row>
    <row r="4095" customFormat="false" ht="15" hidden="false" customHeight="false" outlineLevel="0" collapsed="false">
      <c r="A4095" s="0" t="s">
        <v>2103</v>
      </c>
      <c r="B4095" s="6" t="n">
        <v>42240</v>
      </c>
      <c r="C4095" s="7" t="s">
        <v>29</v>
      </c>
      <c r="D4095" s="7" t="s">
        <v>30</v>
      </c>
      <c r="E4095" s="7" t="s">
        <v>39</v>
      </c>
      <c r="F4095" s="0" t="n">
        <v>3080</v>
      </c>
      <c r="G4095" s="0" t="n">
        <v>1416.8</v>
      </c>
      <c r="H4095" s="0" t="n">
        <v>0</v>
      </c>
      <c r="I4095" s="7" t="n">
        <f aca="false">YEAR(B4095)</f>
        <v>2015</v>
      </c>
      <c r="J4095" s="0" t="str">
        <f aca="false">I4095&amp;"-Q"&amp;ROUNDUP(MONTH(B4095)/3,0)</f>
        <v>2015-Q3</v>
      </c>
    </row>
    <row r="4096" customFormat="false" ht="15" hidden="false" customHeight="false" outlineLevel="0" collapsed="false">
      <c r="A4096" s="0" t="s">
        <v>2103</v>
      </c>
      <c r="B4096" s="6" t="n">
        <v>42240</v>
      </c>
      <c r="C4096" s="7" t="s">
        <v>29</v>
      </c>
      <c r="D4096" s="7" t="s">
        <v>30</v>
      </c>
      <c r="E4096" s="7" t="s">
        <v>39</v>
      </c>
      <c r="F4096" s="0" t="n">
        <v>79.96</v>
      </c>
      <c r="G4096" s="0" t="n">
        <v>18.3908</v>
      </c>
      <c r="H4096" s="0" t="n">
        <v>0</v>
      </c>
      <c r="I4096" s="7" t="n">
        <f aca="false">YEAR(B4096)</f>
        <v>2015</v>
      </c>
      <c r="J4096" s="0" t="str">
        <f aca="false">I4096&amp;"-Q"&amp;ROUNDUP(MONTH(B4096)/3,0)</f>
        <v>2015-Q3</v>
      </c>
    </row>
    <row r="4097" customFormat="false" ht="15" hidden="false" customHeight="false" outlineLevel="0" collapsed="false">
      <c r="A4097" s="0" t="s">
        <v>2103</v>
      </c>
      <c r="B4097" s="6" t="n">
        <v>42240</v>
      </c>
      <c r="C4097" s="7" t="s">
        <v>29</v>
      </c>
      <c r="D4097" s="7" t="s">
        <v>30</v>
      </c>
      <c r="E4097" s="7" t="s">
        <v>39</v>
      </c>
      <c r="F4097" s="0" t="n">
        <v>587.97</v>
      </c>
      <c r="G4097" s="0" t="n">
        <v>170.5113</v>
      </c>
      <c r="H4097" s="0" t="n">
        <v>0</v>
      </c>
      <c r="I4097" s="7" t="n">
        <f aca="false">YEAR(B4097)</f>
        <v>2015</v>
      </c>
      <c r="J4097" s="0" t="str">
        <f aca="false">I4097&amp;"-Q"&amp;ROUNDUP(MONTH(B4097)/3,0)</f>
        <v>2015-Q3</v>
      </c>
    </row>
    <row r="4098" customFormat="false" ht="15" hidden="false" customHeight="false" outlineLevel="0" collapsed="false">
      <c r="A4098" s="0" t="s">
        <v>2104</v>
      </c>
      <c r="B4098" s="6" t="n">
        <v>41905</v>
      </c>
      <c r="C4098" s="7" t="s">
        <v>45</v>
      </c>
      <c r="D4098" s="7" t="s">
        <v>68</v>
      </c>
      <c r="E4098" s="7" t="s">
        <v>35</v>
      </c>
      <c r="F4098" s="0" t="n">
        <v>32.4</v>
      </c>
      <c r="G4098" s="0" t="n">
        <v>15.552</v>
      </c>
      <c r="H4098" s="0" t="n">
        <v>0</v>
      </c>
      <c r="I4098" s="7" t="n">
        <f aca="false">YEAR(B4098)</f>
        <v>2014</v>
      </c>
      <c r="J4098" s="0" t="str">
        <f aca="false">I4098&amp;"-Q"&amp;ROUNDUP(MONTH(B4098)/3,0)</f>
        <v>2014-Q3</v>
      </c>
    </row>
    <row r="4099" customFormat="false" ht="15" hidden="false" customHeight="false" outlineLevel="0" collapsed="false">
      <c r="A4099" s="0" t="s">
        <v>2104</v>
      </c>
      <c r="B4099" s="6" t="n">
        <v>41905</v>
      </c>
      <c r="C4099" s="7" t="s">
        <v>45</v>
      </c>
      <c r="D4099" s="7" t="s">
        <v>68</v>
      </c>
      <c r="E4099" s="7" t="s">
        <v>35</v>
      </c>
      <c r="F4099" s="0" t="n">
        <v>404.9</v>
      </c>
      <c r="G4099" s="0" t="n">
        <v>16.196</v>
      </c>
      <c r="H4099" s="0" t="n">
        <v>0</v>
      </c>
      <c r="I4099" s="7" t="n">
        <f aca="false">YEAR(B4099)</f>
        <v>2014</v>
      </c>
      <c r="J4099" s="0" t="str">
        <f aca="false">I4099&amp;"-Q"&amp;ROUNDUP(MONTH(B4099)/3,0)</f>
        <v>2014-Q3</v>
      </c>
    </row>
    <row r="4100" customFormat="false" ht="15" hidden="false" customHeight="false" outlineLevel="0" collapsed="false">
      <c r="A4100" s="0" t="s">
        <v>2104</v>
      </c>
      <c r="B4100" s="6" t="n">
        <v>41905</v>
      </c>
      <c r="C4100" s="7" t="s">
        <v>45</v>
      </c>
      <c r="D4100" s="7" t="s">
        <v>68</v>
      </c>
      <c r="E4100" s="7" t="s">
        <v>35</v>
      </c>
      <c r="F4100" s="0" t="n">
        <v>9449.95</v>
      </c>
      <c r="G4100" s="0" t="n">
        <v>4630.4755</v>
      </c>
      <c r="H4100" s="0" t="n">
        <v>0</v>
      </c>
      <c r="I4100" s="7" t="n">
        <f aca="false">YEAR(B4100)</f>
        <v>2014</v>
      </c>
      <c r="J4100" s="0" t="str">
        <f aca="false">I4100&amp;"-Q"&amp;ROUNDUP(MONTH(B4100)/3,0)</f>
        <v>2014-Q3</v>
      </c>
    </row>
    <row r="4101" customFormat="false" ht="15" hidden="false" customHeight="false" outlineLevel="0" collapsed="false">
      <c r="A4101" s="0" t="s">
        <v>2104</v>
      </c>
      <c r="B4101" s="6" t="n">
        <v>41905</v>
      </c>
      <c r="C4101" s="7" t="s">
        <v>45</v>
      </c>
      <c r="D4101" s="7" t="s">
        <v>68</v>
      </c>
      <c r="E4101" s="7" t="s">
        <v>35</v>
      </c>
      <c r="F4101" s="0" t="n">
        <v>12.94</v>
      </c>
      <c r="G4101" s="0" t="n">
        <v>6.47</v>
      </c>
      <c r="H4101" s="0" t="n">
        <v>0</v>
      </c>
      <c r="I4101" s="7" t="n">
        <f aca="false">YEAR(B4101)</f>
        <v>2014</v>
      </c>
      <c r="J4101" s="0" t="str">
        <f aca="false">I4101&amp;"-Q"&amp;ROUNDUP(MONTH(B4101)/3,0)</f>
        <v>2014-Q3</v>
      </c>
    </row>
    <row r="4102" customFormat="false" ht="15" hidden="false" customHeight="false" outlineLevel="0" collapsed="false">
      <c r="A4102" s="0" t="s">
        <v>2105</v>
      </c>
      <c r="B4102" s="6" t="n">
        <v>42905</v>
      </c>
      <c r="C4102" s="7" t="s">
        <v>45</v>
      </c>
      <c r="D4102" s="7" t="s">
        <v>46</v>
      </c>
      <c r="E4102" s="7" t="s">
        <v>35</v>
      </c>
      <c r="F4102" s="0" t="n">
        <v>2.264</v>
      </c>
      <c r="G4102" s="0" t="n">
        <v>-5.2072</v>
      </c>
      <c r="H4102" s="0" t="n">
        <v>0.8</v>
      </c>
      <c r="I4102" s="7" t="n">
        <f aca="false">YEAR(B4102)</f>
        <v>2017</v>
      </c>
      <c r="J4102" s="0" t="str">
        <f aca="false">I4102&amp;"-Q"&amp;ROUNDUP(MONTH(B4102)/3,0)</f>
        <v>2017-Q2</v>
      </c>
    </row>
    <row r="4103" customFormat="false" ht="15" hidden="false" customHeight="false" outlineLevel="0" collapsed="false">
      <c r="A4103" s="0" t="s">
        <v>2105</v>
      </c>
      <c r="B4103" s="6" t="n">
        <v>42905</v>
      </c>
      <c r="C4103" s="7" t="s">
        <v>45</v>
      </c>
      <c r="D4103" s="7" t="s">
        <v>46</v>
      </c>
      <c r="E4103" s="7" t="s">
        <v>35</v>
      </c>
      <c r="F4103" s="0" t="n">
        <v>0.444</v>
      </c>
      <c r="G4103" s="0" t="n">
        <v>-1.11</v>
      </c>
      <c r="H4103" s="0" t="n">
        <v>0.8</v>
      </c>
      <c r="I4103" s="7" t="n">
        <f aca="false">YEAR(B4103)</f>
        <v>2017</v>
      </c>
      <c r="J4103" s="0" t="str">
        <f aca="false">I4103&amp;"-Q"&amp;ROUNDUP(MONTH(B4103)/3,0)</f>
        <v>2017-Q2</v>
      </c>
    </row>
    <row r="4104" customFormat="false" ht="15" hidden="false" customHeight="false" outlineLevel="0" collapsed="false">
      <c r="A4104" s="0" t="s">
        <v>2105</v>
      </c>
      <c r="B4104" s="6" t="n">
        <v>42905</v>
      </c>
      <c r="C4104" s="7" t="s">
        <v>45</v>
      </c>
      <c r="D4104" s="7" t="s">
        <v>46</v>
      </c>
      <c r="E4104" s="7" t="s">
        <v>35</v>
      </c>
      <c r="F4104" s="0" t="n">
        <v>146.176</v>
      </c>
      <c r="G4104" s="0" t="n">
        <v>47.5072</v>
      </c>
      <c r="H4104" s="0" t="n">
        <v>0.2</v>
      </c>
      <c r="I4104" s="7" t="n">
        <f aca="false">YEAR(B4104)</f>
        <v>2017</v>
      </c>
      <c r="J4104" s="0" t="str">
        <f aca="false">I4104&amp;"-Q"&amp;ROUNDUP(MONTH(B4104)/3,0)</f>
        <v>2017-Q2</v>
      </c>
    </row>
    <row r="4105" customFormat="false" ht="15" hidden="false" customHeight="false" outlineLevel="0" collapsed="false">
      <c r="A4105" s="0" t="s">
        <v>2106</v>
      </c>
      <c r="B4105" s="6" t="n">
        <v>43090</v>
      </c>
      <c r="C4105" s="7" t="s">
        <v>45</v>
      </c>
      <c r="D4105" s="7" t="s">
        <v>53</v>
      </c>
      <c r="E4105" s="7" t="s">
        <v>31</v>
      </c>
      <c r="F4105" s="0" t="n">
        <v>15.92</v>
      </c>
      <c r="G4105" s="0" t="n">
        <v>7.0048</v>
      </c>
      <c r="H4105" s="0" t="n">
        <v>0</v>
      </c>
      <c r="I4105" s="7" t="n">
        <f aca="false">YEAR(B4105)</f>
        <v>2017</v>
      </c>
      <c r="J4105" s="0" t="str">
        <f aca="false">I4105&amp;"-Q"&amp;ROUNDUP(MONTH(B4105)/3,0)</f>
        <v>2017-Q4</v>
      </c>
    </row>
    <row r="4106" customFormat="false" ht="15" hidden="false" customHeight="false" outlineLevel="0" collapsed="false">
      <c r="A4106" s="0" t="s">
        <v>2107</v>
      </c>
      <c r="B4106" s="6" t="n">
        <v>42954</v>
      </c>
      <c r="C4106" s="7" t="s">
        <v>33</v>
      </c>
      <c r="D4106" s="7" t="s">
        <v>34</v>
      </c>
      <c r="E4106" s="7" t="s">
        <v>39</v>
      </c>
      <c r="F4106" s="0" t="n">
        <v>159.96</v>
      </c>
      <c r="G4106" s="0" t="n">
        <v>17.9955</v>
      </c>
      <c r="H4106" s="0" t="n">
        <v>0.2</v>
      </c>
      <c r="I4106" s="7" t="n">
        <f aca="false">YEAR(B4106)</f>
        <v>2017</v>
      </c>
      <c r="J4106" s="0" t="str">
        <f aca="false">I4106&amp;"-Q"&amp;ROUNDUP(MONTH(B4106)/3,0)</f>
        <v>2017-Q3</v>
      </c>
    </row>
    <row r="4107" customFormat="false" ht="15" hidden="false" customHeight="false" outlineLevel="0" collapsed="false">
      <c r="A4107" s="0" t="s">
        <v>2107</v>
      </c>
      <c r="B4107" s="6" t="n">
        <v>42954</v>
      </c>
      <c r="C4107" s="7" t="s">
        <v>33</v>
      </c>
      <c r="D4107" s="7" t="s">
        <v>34</v>
      </c>
      <c r="E4107" s="7" t="s">
        <v>35</v>
      </c>
      <c r="F4107" s="0" t="n">
        <v>13.76</v>
      </c>
      <c r="G4107" s="0" t="n">
        <v>4.644</v>
      </c>
      <c r="H4107" s="0" t="n">
        <v>0.2</v>
      </c>
      <c r="I4107" s="7" t="n">
        <f aca="false">YEAR(B4107)</f>
        <v>2017</v>
      </c>
      <c r="J4107" s="0" t="str">
        <f aca="false">I4107&amp;"-Q"&amp;ROUNDUP(MONTH(B4107)/3,0)</f>
        <v>2017-Q3</v>
      </c>
    </row>
    <row r="4108" customFormat="false" ht="15" hidden="false" customHeight="false" outlineLevel="0" collapsed="false">
      <c r="A4108" s="0" t="s">
        <v>2108</v>
      </c>
      <c r="B4108" s="6" t="n">
        <v>42604</v>
      </c>
      <c r="C4108" s="7" t="s">
        <v>45</v>
      </c>
      <c r="D4108" s="7" t="s">
        <v>46</v>
      </c>
      <c r="E4108" s="7" t="s">
        <v>35</v>
      </c>
      <c r="F4108" s="0" t="n">
        <v>4.312</v>
      </c>
      <c r="G4108" s="0" t="n">
        <v>-6.8992</v>
      </c>
      <c r="H4108" s="0" t="n">
        <v>0.8</v>
      </c>
      <c r="I4108" s="7" t="n">
        <f aca="false">YEAR(B4108)</f>
        <v>2016</v>
      </c>
      <c r="J4108" s="0" t="str">
        <f aca="false">I4108&amp;"-Q"&amp;ROUNDUP(MONTH(B4108)/3,0)</f>
        <v>2016-Q3</v>
      </c>
    </row>
    <row r="4109" customFormat="false" ht="15" hidden="false" customHeight="false" outlineLevel="0" collapsed="false">
      <c r="A4109" s="0" t="s">
        <v>2109</v>
      </c>
      <c r="B4109" s="6" t="n">
        <v>42254</v>
      </c>
      <c r="C4109" s="7" t="s">
        <v>55</v>
      </c>
      <c r="D4109" s="7" t="s">
        <v>76</v>
      </c>
      <c r="E4109" s="7" t="s">
        <v>35</v>
      </c>
      <c r="F4109" s="0" t="n">
        <v>13.96</v>
      </c>
      <c r="G4109" s="0" t="n">
        <v>0.2792</v>
      </c>
      <c r="H4109" s="0" t="n">
        <v>0</v>
      </c>
      <c r="I4109" s="7" t="n">
        <f aca="false">YEAR(B4109)</f>
        <v>2015</v>
      </c>
      <c r="J4109" s="0" t="str">
        <f aca="false">I4109&amp;"-Q"&amp;ROUNDUP(MONTH(B4109)/3,0)</f>
        <v>2015-Q3</v>
      </c>
    </row>
    <row r="4110" customFormat="false" ht="15" hidden="false" customHeight="false" outlineLevel="0" collapsed="false">
      <c r="A4110" s="0" t="s">
        <v>2109</v>
      </c>
      <c r="B4110" s="6" t="n">
        <v>42254</v>
      </c>
      <c r="C4110" s="7" t="s">
        <v>55</v>
      </c>
      <c r="D4110" s="7" t="s">
        <v>76</v>
      </c>
      <c r="E4110" s="7" t="s">
        <v>31</v>
      </c>
      <c r="F4110" s="0" t="n">
        <v>27.414</v>
      </c>
      <c r="G4110" s="0" t="n">
        <v>-14.1639</v>
      </c>
      <c r="H4110" s="0" t="n">
        <v>0.4</v>
      </c>
      <c r="I4110" s="7" t="n">
        <f aca="false">YEAR(B4110)</f>
        <v>2015</v>
      </c>
      <c r="J4110" s="0" t="str">
        <f aca="false">I4110&amp;"-Q"&amp;ROUNDUP(MONTH(B4110)/3,0)</f>
        <v>2015-Q3</v>
      </c>
    </row>
    <row r="4111" customFormat="false" ht="15" hidden="false" customHeight="false" outlineLevel="0" collapsed="false">
      <c r="A4111" s="0" t="s">
        <v>2110</v>
      </c>
      <c r="B4111" s="6" t="n">
        <v>42363</v>
      </c>
      <c r="C4111" s="7" t="s">
        <v>45</v>
      </c>
      <c r="D4111" s="7" t="s">
        <v>70</v>
      </c>
      <c r="E4111" s="7" t="s">
        <v>39</v>
      </c>
      <c r="F4111" s="0" t="n">
        <v>73.98</v>
      </c>
      <c r="G4111" s="0" t="n">
        <v>19.9746</v>
      </c>
      <c r="H4111" s="0" t="n">
        <v>0</v>
      </c>
      <c r="I4111" s="7" t="n">
        <f aca="false">YEAR(B4111)</f>
        <v>2015</v>
      </c>
      <c r="J4111" s="0" t="str">
        <f aca="false">I4111&amp;"-Q"&amp;ROUNDUP(MONTH(B4111)/3,0)</f>
        <v>2015-Q4</v>
      </c>
    </row>
    <row r="4112" customFormat="false" ht="15" hidden="false" customHeight="false" outlineLevel="0" collapsed="false">
      <c r="A4112" s="0" t="s">
        <v>2110</v>
      </c>
      <c r="B4112" s="6" t="n">
        <v>42363</v>
      </c>
      <c r="C4112" s="7" t="s">
        <v>45</v>
      </c>
      <c r="D4112" s="7" t="s">
        <v>70</v>
      </c>
      <c r="E4112" s="7" t="s">
        <v>31</v>
      </c>
      <c r="F4112" s="0" t="n">
        <v>160.98</v>
      </c>
      <c r="G4112" s="0" t="n">
        <v>20.9274</v>
      </c>
      <c r="H4112" s="0" t="n">
        <v>0</v>
      </c>
      <c r="I4112" s="7" t="n">
        <f aca="false">YEAR(B4112)</f>
        <v>2015</v>
      </c>
      <c r="J4112" s="0" t="str">
        <f aca="false">I4112&amp;"-Q"&amp;ROUNDUP(MONTH(B4112)/3,0)</f>
        <v>2015-Q4</v>
      </c>
    </row>
    <row r="4113" customFormat="false" ht="15" hidden="false" customHeight="false" outlineLevel="0" collapsed="false">
      <c r="A4113" s="0" t="s">
        <v>2110</v>
      </c>
      <c r="B4113" s="6" t="n">
        <v>42363</v>
      </c>
      <c r="C4113" s="7" t="s">
        <v>45</v>
      </c>
      <c r="D4113" s="7" t="s">
        <v>70</v>
      </c>
      <c r="E4113" s="7" t="s">
        <v>35</v>
      </c>
      <c r="F4113" s="0" t="n">
        <v>17.34</v>
      </c>
      <c r="G4113" s="0" t="n">
        <v>8.4966</v>
      </c>
      <c r="H4113" s="0" t="n">
        <v>0</v>
      </c>
      <c r="I4113" s="7" t="n">
        <f aca="false">YEAR(B4113)</f>
        <v>2015</v>
      </c>
      <c r="J4113" s="0" t="str">
        <f aca="false">I4113&amp;"-Q"&amp;ROUNDUP(MONTH(B4113)/3,0)</f>
        <v>2015-Q4</v>
      </c>
    </row>
    <row r="4114" customFormat="false" ht="15" hidden="false" customHeight="false" outlineLevel="0" collapsed="false">
      <c r="A4114" s="0" t="s">
        <v>2110</v>
      </c>
      <c r="B4114" s="6" t="n">
        <v>42363</v>
      </c>
      <c r="C4114" s="7" t="s">
        <v>45</v>
      </c>
      <c r="D4114" s="7" t="s">
        <v>70</v>
      </c>
      <c r="E4114" s="7" t="s">
        <v>35</v>
      </c>
      <c r="F4114" s="0" t="n">
        <v>3.28</v>
      </c>
      <c r="G4114" s="0" t="n">
        <v>0.9512</v>
      </c>
      <c r="H4114" s="0" t="n">
        <v>0</v>
      </c>
      <c r="I4114" s="7" t="n">
        <f aca="false">YEAR(B4114)</f>
        <v>2015</v>
      </c>
      <c r="J4114" s="0" t="str">
        <f aca="false">I4114&amp;"-Q"&amp;ROUNDUP(MONTH(B4114)/3,0)</f>
        <v>2015-Q4</v>
      </c>
    </row>
    <row r="4115" customFormat="false" ht="15" hidden="false" customHeight="false" outlineLevel="0" collapsed="false">
      <c r="A4115" s="0" t="s">
        <v>2111</v>
      </c>
      <c r="B4115" s="6" t="n">
        <v>42126</v>
      </c>
      <c r="C4115" s="7" t="s">
        <v>45</v>
      </c>
      <c r="D4115" s="7" t="s">
        <v>46</v>
      </c>
      <c r="E4115" s="7" t="s">
        <v>35</v>
      </c>
      <c r="F4115" s="0" t="n">
        <v>8.856</v>
      </c>
      <c r="G4115" s="0" t="n">
        <v>2.9889</v>
      </c>
      <c r="H4115" s="0" t="n">
        <v>0.2</v>
      </c>
      <c r="I4115" s="7" t="n">
        <f aca="false">YEAR(B4115)</f>
        <v>2015</v>
      </c>
      <c r="J4115" s="0" t="str">
        <f aca="false">I4115&amp;"-Q"&amp;ROUNDUP(MONTH(B4115)/3,0)</f>
        <v>2015-Q2</v>
      </c>
    </row>
    <row r="4116" customFormat="false" ht="15" hidden="false" customHeight="false" outlineLevel="0" collapsed="false">
      <c r="A4116" s="0" t="s">
        <v>2111</v>
      </c>
      <c r="B4116" s="6" t="n">
        <v>42126</v>
      </c>
      <c r="C4116" s="7" t="s">
        <v>45</v>
      </c>
      <c r="D4116" s="7" t="s">
        <v>46</v>
      </c>
      <c r="E4116" s="7" t="s">
        <v>39</v>
      </c>
      <c r="F4116" s="0" t="n">
        <v>158.376</v>
      </c>
      <c r="G4116" s="0" t="n">
        <v>13.8579</v>
      </c>
      <c r="H4116" s="0" t="n">
        <v>0.2</v>
      </c>
      <c r="I4116" s="7" t="n">
        <f aca="false">YEAR(B4116)</f>
        <v>2015</v>
      </c>
      <c r="J4116" s="0" t="str">
        <f aca="false">I4116&amp;"-Q"&amp;ROUNDUP(MONTH(B4116)/3,0)</f>
        <v>2015-Q2</v>
      </c>
    </row>
    <row r="4117" customFormat="false" ht="15" hidden="false" customHeight="false" outlineLevel="0" collapsed="false">
      <c r="A4117" s="0" t="s">
        <v>2112</v>
      </c>
      <c r="B4117" s="6" t="n">
        <v>42698</v>
      </c>
      <c r="C4117" s="7" t="s">
        <v>33</v>
      </c>
      <c r="D4117" s="7" t="s">
        <v>43</v>
      </c>
      <c r="E4117" s="7" t="s">
        <v>35</v>
      </c>
      <c r="F4117" s="0" t="n">
        <v>1219.96</v>
      </c>
      <c r="G4117" s="0" t="n">
        <v>381.2375</v>
      </c>
      <c r="H4117" s="0" t="n">
        <v>0.2</v>
      </c>
      <c r="I4117" s="7" t="n">
        <f aca="false">YEAR(B4117)</f>
        <v>2016</v>
      </c>
      <c r="J4117" s="0" t="str">
        <f aca="false">I4117&amp;"-Q"&amp;ROUNDUP(MONTH(B4117)/3,0)</f>
        <v>2016-Q4</v>
      </c>
    </row>
    <row r="4118" customFormat="false" ht="15" hidden="false" customHeight="false" outlineLevel="0" collapsed="false">
      <c r="A4118" s="0" t="s">
        <v>2113</v>
      </c>
      <c r="B4118" s="6" t="n">
        <v>42332</v>
      </c>
      <c r="C4118" s="7" t="s">
        <v>33</v>
      </c>
      <c r="D4118" s="7" t="s">
        <v>34</v>
      </c>
      <c r="E4118" s="7" t="s">
        <v>35</v>
      </c>
      <c r="F4118" s="0" t="n">
        <v>3.168</v>
      </c>
      <c r="G4118" s="0" t="n">
        <v>0.99</v>
      </c>
      <c r="H4118" s="0" t="n">
        <v>0.2</v>
      </c>
      <c r="I4118" s="7" t="n">
        <f aca="false">YEAR(B4118)</f>
        <v>2015</v>
      </c>
      <c r="J4118" s="0" t="str">
        <f aca="false">I4118&amp;"-Q"&amp;ROUNDUP(MONTH(B4118)/3,0)</f>
        <v>2015-Q4</v>
      </c>
    </row>
    <row r="4119" customFormat="false" ht="15" hidden="false" customHeight="false" outlineLevel="0" collapsed="false">
      <c r="A4119" s="0" t="s">
        <v>2113</v>
      </c>
      <c r="B4119" s="6" t="n">
        <v>42332</v>
      </c>
      <c r="C4119" s="7" t="s">
        <v>33</v>
      </c>
      <c r="D4119" s="7" t="s">
        <v>34</v>
      </c>
      <c r="E4119" s="7" t="s">
        <v>35</v>
      </c>
      <c r="F4119" s="0" t="n">
        <v>19.44</v>
      </c>
      <c r="G4119" s="0" t="n">
        <v>9.3312</v>
      </c>
      <c r="H4119" s="0" t="n">
        <v>0</v>
      </c>
      <c r="I4119" s="7" t="n">
        <f aca="false">YEAR(B4119)</f>
        <v>2015</v>
      </c>
      <c r="J4119" s="0" t="str">
        <f aca="false">I4119&amp;"-Q"&amp;ROUNDUP(MONTH(B4119)/3,0)</f>
        <v>2015-Q4</v>
      </c>
    </row>
    <row r="4120" customFormat="false" ht="15" hidden="false" customHeight="false" outlineLevel="0" collapsed="false">
      <c r="A4120" s="0" t="s">
        <v>2113</v>
      </c>
      <c r="B4120" s="6" t="n">
        <v>42332</v>
      </c>
      <c r="C4120" s="7" t="s">
        <v>33</v>
      </c>
      <c r="D4120" s="7" t="s">
        <v>34</v>
      </c>
      <c r="E4120" s="7" t="s">
        <v>35</v>
      </c>
      <c r="F4120" s="0" t="n">
        <v>454.86</v>
      </c>
      <c r="G4120" s="0" t="n">
        <v>54.5832</v>
      </c>
      <c r="H4120" s="0" t="n">
        <v>0</v>
      </c>
      <c r="I4120" s="7" t="n">
        <f aca="false">YEAR(B4120)</f>
        <v>2015</v>
      </c>
      <c r="J4120" s="0" t="str">
        <f aca="false">I4120&amp;"-Q"&amp;ROUNDUP(MONTH(B4120)/3,0)</f>
        <v>2015-Q4</v>
      </c>
    </row>
    <row r="4121" customFormat="false" ht="15" hidden="false" customHeight="false" outlineLevel="0" collapsed="false">
      <c r="A4121" s="0" t="s">
        <v>2113</v>
      </c>
      <c r="B4121" s="6" t="n">
        <v>42332</v>
      </c>
      <c r="C4121" s="7" t="s">
        <v>33</v>
      </c>
      <c r="D4121" s="7" t="s">
        <v>34</v>
      </c>
      <c r="E4121" s="7" t="s">
        <v>35</v>
      </c>
      <c r="F4121" s="0" t="n">
        <v>91.392</v>
      </c>
      <c r="G4121" s="0" t="n">
        <v>29.7024</v>
      </c>
      <c r="H4121" s="0" t="n">
        <v>0.2</v>
      </c>
      <c r="I4121" s="7" t="n">
        <f aca="false">YEAR(B4121)</f>
        <v>2015</v>
      </c>
      <c r="J4121" s="0" t="str">
        <f aca="false">I4121&amp;"-Q"&amp;ROUNDUP(MONTH(B4121)/3,0)</f>
        <v>2015-Q4</v>
      </c>
    </row>
    <row r="4122" customFormat="false" ht="15" hidden="false" customHeight="false" outlineLevel="0" collapsed="false">
      <c r="A4122" s="0" t="s">
        <v>2114</v>
      </c>
      <c r="B4122" s="6" t="n">
        <v>42982</v>
      </c>
      <c r="C4122" s="7" t="s">
        <v>55</v>
      </c>
      <c r="D4122" s="7" t="s">
        <v>56</v>
      </c>
      <c r="E4122" s="7" t="s">
        <v>39</v>
      </c>
      <c r="F4122" s="0" t="n">
        <v>19.04</v>
      </c>
      <c r="G4122" s="0" t="n">
        <v>-1.428</v>
      </c>
      <c r="H4122" s="0" t="n">
        <v>0.2</v>
      </c>
      <c r="I4122" s="7" t="n">
        <f aca="false">YEAR(B4122)</f>
        <v>2017</v>
      </c>
      <c r="J4122" s="0" t="str">
        <f aca="false">I4122&amp;"-Q"&amp;ROUNDUP(MONTH(B4122)/3,0)</f>
        <v>2017-Q3</v>
      </c>
    </row>
    <row r="4123" customFormat="false" ht="15" hidden="false" customHeight="false" outlineLevel="0" collapsed="false">
      <c r="A4123" s="0" t="s">
        <v>2115</v>
      </c>
      <c r="B4123" s="6" t="n">
        <v>42866</v>
      </c>
      <c r="C4123" s="7" t="s">
        <v>33</v>
      </c>
      <c r="D4123" s="7" t="s">
        <v>43</v>
      </c>
      <c r="E4123" s="7" t="s">
        <v>35</v>
      </c>
      <c r="F4123" s="0" t="n">
        <v>37.44</v>
      </c>
      <c r="G4123" s="0" t="n">
        <v>16.848</v>
      </c>
      <c r="H4123" s="0" t="n">
        <v>0</v>
      </c>
      <c r="I4123" s="7" t="n">
        <f aca="false">YEAR(B4123)</f>
        <v>2017</v>
      </c>
      <c r="J4123" s="0" t="str">
        <f aca="false">I4123&amp;"-Q"&amp;ROUNDUP(MONTH(B4123)/3,0)</f>
        <v>2017-Q2</v>
      </c>
    </row>
    <row r="4124" customFormat="false" ht="15" hidden="false" customHeight="false" outlineLevel="0" collapsed="false">
      <c r="A4124" s="0" t="s">
        <v>2115</v>
      </c>
      <c r="B4124" s="6" t="n">
        <v>42866</v>
      </c>
      <c r="C4124" s="7" t="s">
        <v>33</v>
      </c>
      <c r="D4124" s="7" t="s">
        <v>43</v>
      </c>
      <c r="E4124" s="7" t="s">
        <v>35</v>
      </c>
      <c r="F4124" s="0" t="n">
        <v>37.59</v>
      </c>
      <c r="G4124" s="0" t="n">
        <v>17.6673</v>
      </c>
      <c r="H4124" s="0" t="n">
        <v>0</v>
      </c>
      <c r="I4124" s="7" t="n">
        <f aca="false">YEAR(B4124)</f>
        <v>2017</v>
      </c>
      <c r="J4124" s="0" t="str">
        <f aca="false">I4124&amp;"-Q"&amp;ROUNDUP(MONTH(B4124)/3,0)</f>
        <v>2017-Q2</v>
      </c>
    </row>
    <row r="4125" customFormat="false" ht="15" hidden="false" customHeight="false" outlineLevel="0" collapsed="false">
      <c r="A4125" s="0" t="s">
        <v>2115</v>
      </c>
      <c r="B4125" s="6" t="n">
        <v>42866</v>
      </c>
      <c r="C4125" s="7" t="s">
        <v>33</v>
      </c>
      <c r="D4125" s="7" t="s">
        <v>43</v>
      </c>
      <c r="E4125" s="7" t="s">
        <v>35</v>
      </c>
      <c r="F4125" s="0" t="n">
        <v>26.032</v>
      </c>
      <c r="G4125" s="0" t="n">
        <v>9.4366</v>
      </c>
      <c r="H4125" s="0" t="n">
        <v>0.2</v>
      </c>
      <c r="I4125" s="7" t="n">
        <f aca="false">YEAR(B4125)</f>
        <v>2017</v>
      </c>
      <c r="J4125" s="0" t="str">
        <f aca="false">I4125&amp;"-Q"&amp;ROUNDUP(MONTH(B4125)/3,0)</f>
        <v>2017-Q2</v>
      </c>
    </row>
    <row r="4126" customFormat="false" ht="15" hidden="false" customHeight="false" outlineLevel="0" collapsed="false">
      <c r="A4126" s="0" t="s">
        <v>2116</v>
      </c>
      <c r="B4126" s="6" t="n">
        <v>41770</v>
      </c>
      <c r="C4126" s="7" t="s">
        <v>55</v>
      </c>
      <c r="D4126" s="7" t="s">
        <v>76</v>
      </c>
      <c r="E4126" s="7" t="s">
        <v>35</v>
      </c>
      <c r="F4126" s="0" t="n">
        <v>35.91</v>
      </c>
      <c r="G4126" s="0" t="n">
        <v>9.6957</v>
      </c>
      <c r="H4126" s="0" t="n">
        <v>0</v>
      </c>
      <c r="I4126" s="7" t="n">
        <f aca="false">YEAR(B4126)</f>
        <v>2014</v>
      </c>
      <c r="J4126" s="0" t="str">
        <f aca="false">I4126&amp;"-Q"&amp;ROUNDUP(MONTH(B4126)/3,0)</f>
        <v>2014-Q2</v>
      </c>
    </row>
    <row r="4127" customFormat="false" ht="15" hidden="false" customHeight="false" outlineLevel="0" collapsed="false">
      <c r="A4127" s="0" t="s">
        <v>2117</v>
      </c>
      <c r="B4127" s="6" t="n">
        <v>42943</v>
      </c>
      <c r="C4127" s="7" t="s">
        <v>29</v>
      </c>
      <c r="D4127" s="7" t="s">
        <v>37</v>
      </c>
      <c r="E4127" s="7" t="s">
        <v>31</v>
      </c>
      <c r="F4127" s="0" t="n">
        <v>91.032</v>
      </c>
      <c r="G4127" s="0" t="n">
        <v>-2.2758</v>
      </c>
      <c r="H4127" s="0" t="n">
        <v>0.2</v>
      </c>
      <c r="I4127" s="7" t="n">
        <f aca="false">YEAR(B4127)</f>
        <v>2017</v>
      </c>
      <c r="J4127" s="0" t="str">
        <f aca="false">I4127&amp;"-Q"&amp;ROUNDUP(MONTH(B4127)/3,0)</f>
        <v>2017-Q3</v>
      </c>
    </row>
    <row r="4128" customFormat="false" ht="15" hidden="false" customHeight="false" outlineLevel="0" collapsed="false">
      <c r="A4128" s="0" t="s">
        <v>2118</v>
      </c>
      <c r="B4128" s="6" t="n">
        <v>42861</v>
      </c>
      <c r="C4128" s="7" t="s">
        <v>29</v>
      </c>
      <c r="D4128" s="7" t="s">
        <v>83</v>
      </c>
      <c r="E4128" s="7" t="s">
        <v>35</v>
      </c>
      <c r="F4128" s="0" t="n">
        <v>54.66</v>
      </c>
      <c r="G4128" s="0" t="n">
        <v>18.0378</v>
      </c>
      <c r="H4128" s="0" t="n">
        <v>0</v>
      </c>
      <c r="I4128" s="7" t="n">
        <f aca="false">YEAR(B4128)</f>
        <v>2017</v>
      </c>
      <c r="J4128" s="0" t="str">
        <f aca="false">I4128&amp;"-Q"&amp;ROUNDUP(MONTH(B4128)/3,0)</f>
        <v>2017-Q2</v>
      </c>
    </row>
    <row r="4129" customFormat="false" ht="15" hidden="false" customHeight="false" outlineLevel="0" collapsed="false">
      <c r="A4129" s="0" t="s">
        <v>2119</v>
      </c>
      <c r="B4129" s="6" t="n">
        <v>41901</v>
      </c>
      <c r="C4129" s="7" t="s">
        <v>29</v>
      </c>
      <c r="D4129" s="7" t="s">
        <v>41</v>
      </c>
      <c r="E4129" s="7" t="s">
        <v>35</v>
      </c>
      <c r="F4129" s="0" t="n">
        <v>67.344</v>
      </c>
      <c r="G4129" s="0" t="n">
        <v>7.5762</v>
      </c>
      <c r="H4129" s="0" t="n">
        <v>0.2</v>
      </c>
      <c r="I4129" s="7" t="n">
        <f aca="false">YEAR(B4129)</f>
        <v>2014</v>
      </c>
      <c r="J4129" s="0" t="str">
        <f aca="false">I4129&amp;"-Q"&amp;ROUNDUP(MONTH(B4129)/3,0)</f>
        <v>2014-Q3</v>
      </c>
    </row>
    <row r="4130" customFormat="false" ht="15" hidden="false" customHeight="false" outlineLevel="0" collapsed="false">
      <c r="A4130" s="0" t="s">
        <v>2119</v>
      </c>
      <c r="B4130" s="6" t="n">
        <v>41901</v>
      </c>
      <c r="C4130" s="7" t="s">
        <v>29</v>
      </c>
      <c r="D4130" s="7" t="s">
        <v>41</v>
      </c>
      <c r="E4130" s="7" t="s">
        <v>39</v>
      </c>
      <c r="F4130" s="0" t="n">
        <v>2624.985</v>
      </c>
      <c r="G4130" s="0" t="n">
        <v>-944.9946</v>
      </c>
      <c r="H4130" s="0" t="n">
        <v>0.5</v>
      </c>
      <c r="I4130" s="7" t="n">
        <f aca="false">YEAR(B4130)</f>
        <v>2014</v>
      </c>
      <c r="J4130" s="0" t="str">
        <f aca="false">I4130&amp;"-Q"&amp;ROUNDUP(MONTH(B4130)/3,0)</f>
        <v>2014-Q3</v>
      </c>
    </row>
    <row r="4131" customFormat="false" ht="15" hidden="false" customHeight="false" outlineLevel="0" collapsed="false">
      <c r="A4131" s="0" t="s">
        <v>2120</v>
      </c>
      <c r="B4131" s="6" t="n">
        <v>42092</v>
      </c>
      <c r="C4131" s="7" t="s">
        <v>33</v>
      </c>
      <c r="D4131" s="7" t="s">
        <v>43</v>
      </c>
      <c r="E4131" s="7" t="s">
        <v>35</v>
      </c>
      <c r="F4131" s="0" t="n">
        <v>73.28</v>
      </c>
      <c r="G4131" s="0" t="n">
        <v>21.2512</v>
      </c>
      <c r="H4131" s="0" t="n">
        <v>0</v>
      </c>
      <c r="I4131" s="7" t="n">
        <f aca="false">YEAR(B4131)</f>
        <v>2015</v>
      </c>
      <c r="J4131" s="0" t="str">
        <f aca="false">I4131&amp;"-Q"&amp;ROUNDUP(MONTH(B4131)/3,0)</f>
        <v>2015-Q1</v>
      </c>
    </row>
    <row r="4132" customFormat="false" ht="15" hidden="false" customHeight="false" outlineLevel="0" collapsed="false">
      <c r="A4132" s="0" t="s">
        <v>2121</v>
      </c>
      <c r="B4132" s="6" t="n">
        <v>41961</v>
      </c>
      <c r="C4132" s="7" t="s">
        <v>45</v>
      </c>
      <c r="D4132" s="7" t="s">
        <v>64</v>
      </c>
      <c r="E4132" s="7" t="s">
        <v>35</v>
      </c>
      <c r="F4132" s="0" t="n">
        <v>14.48</v>
      </c>
      <c r="G4132" s="0" t="n">
        <v>-23.892</v>
      </c>
      <c r="H4132" s="0" t="n">
        <v>0.8</v>
      </c>
      <c r="I4132" s="7" t="n">
        <f aca="false">YEAR(B4132)</f>
        <v>2014</v>
      </c>
      <c r="J4132" s="0" t="str">
        <f aca="false">I4132&amp;"-Q"&amp;ROUNDUP(MONTH(B4132)/3,0)</f>
        <v>2014-Q4</v>
      </c>
    </row>
    <row r="4133" customFormat="false" ht="15" hidden="false" customHeight="false" outlineLevel="0" collapsed="false">
      <c r="A4133" s="0" t="s">
        <v>2122</v>
      </c>
      <c r="B4133" s="6" t="n">
        <v>42187</v>
      </c>
      <c r="C4133" s="7" t="s">
        <v>29</v>
      </c>
      <c r="D4133" s="7" t="s">
        <v>37</v>
      </c>
      <c r="E4133" s="7" t="s">
        <v>35</v>
      </c>
      <c r="F4133" s="0" t="n">
        <v>11.952</v>
      </c>
      <c r="G4133" s="0" t="n">
        <v>4.0338</v>
      </c>
      <c r="H4133" s="0" t="n">
        <v>0.2</v>
      </c>
      <c r="I4133" s="7" t="n">
        <f aca="false">YEAR(B4133)</f>
        <v>2015</v>
      </c>
      <c r="J4133" s="0" t="str">
        <f aca="false">I4133&amp;"-Q"&amp;ROUNDUP(MONTH(B4133)/3,0)</f>
        <v>2015-Q3</v>
      </c>
    </row>
    <row r="4134" customFormat="false" ht="15" hidden="false" customHeight="false" outlineLevel="0" collapsed="false">
      <c r="A4134" s="0" t="s">
        <v>2122</v>
      </c>
      <c r="B4134" s="6" t="n">
        <v>42187</v>
      </c>
      <c r="C4134" s="7" t="s">
        <v>29</v>
      </c>
      <c r="D4134" s="7" t="s">
        <v>37</v>
      </c>
      <c r="E4134" s="7" t="s">
        <v>35</v>
      </c>
      <c r="F4134" s="0" t="n">
        <v>15.552</v>
      </c>
      <c r="G4134" s="0" t="n">
        <v>5.6376</v>
      </c>
      <c r="H4134" s="0" t="n">
        <v>0.2</v>
      </c>
      <c r="I4134" s="7" t="n">
        <f aca="false">YEAR(B4134)</f>
        <v>2015</v>
      </c>
      <c r="J4134" s="0" t="str">
        <f aca="false">I4134&amp;"-Q"&amp;ROUNDUP(MONTH(B4134)/3,0)</f>
        <v>2015-Q3</v>
      </c>
    </row>
    <row r="4135" customFormat="false" ht="15" hidden="false" customHeight="false" outlineLevel="0" collapsed="false">
      <c r="A4135" s="0" t="s">
        <v>2123</v>
      </c>
      <c r="B4135" s="6" t="n">
        <v>41890</v>
      </c>
      <c r="C4135" s="7" t="s">
        <v>29</v>
      </c>
      <c r="D4135" s="7" t="s">
        <v>83</v>
      </c>
      <c r="E4135" s="7" t="s">
        <v>35</v>
      </c>
      <c r="F4135" s="0" t="n">
        <v>45</v>
      </c>
      <c r="G4135" s="0" t="n">
        <v>21.6</v>
      </c>
      <c r="H4135" s="0" t="n">
        <v>0</v>
      </c>
      <c r="I4135" s="7" t="n">
        <f aca="false">YEAR(B4135)</f>
        <v>2014</v>
      </c>
      <c r="J4135" s="0" t="str">
        <f aca="false">I4135&amp;"-Q"&amp;ROUNDUP(MONTH(B4135)/3,0)</f>
        <v>2014-Q3</v>
      </c>
    </row>
    <row r="4136" customFormat="false" ht="15" hidden="false" customHeight="false" outlineLevel="0" collapsed="false">
      <c r="A4136" s="0" t="s">
        <v>2123</v>
      </c>
      <c r="B4136" s="6" t="n">
        <v>41890</v>
      </c>
      <c r="C4136" s="7" t="s">
        <v>29</v>
      </c>
      <c r="D4136" s="7" t="s">
        <v>83</v>
      </c>
      <c r="E4136" s="7" t="s">
        <v>39</v>
      </c>
      <c r="F4136" s="0" t="n">
        <v>209.97</v>
      </c>
      <c r="G4136" s="0" t="n">
        <v>90.2871</v>
      </c>
      <c r="H4136" s="0" t="n">
        <v>0</v>
      </c>
      <c r="I4136" s="7" t="n">
        <f aca="false">YEAR(B4136)</f>
        <v>2014</v>
      </c>
      <c r="J4136" s="0" t="str">
        <f aca="false">I4136&amp;"-Q"&amp;ROUNDUP(MONTH(B4136)/3,0)</f>
        <v>2014-Q3</v>
      </c>
    </row>
    <row r="4137" customFormat="false" ht="15" hidden="false" customHeight="false" outlineLevel="0" collapsed="false">
      <c r="A4137" s="0" t="s">
        <v>2124</v>
      </c>
      <c r="B4137" s="6" t="n">
        <v>43010</v>
      </c>
      <c r="C4137" s="7" t="s">
        <v>33</v>
      </c>
      <c r="D4137" s="7" t="s">
        <v>34</v>
      </c>
      <c r="E4137" s="7" t="s">
        <v>35</v>
      </c>
      <c r="F4137" s="0" t="n">
        <v>112.12</v>
      </c>
      <c r="G4137" s="0" t="n">
        <v>42.045</v>
      </c>
      <c r="H4137" s="0" t="n">
        <v>0.2</v>
      </c>
      <c r="I4137" s="7" t="n">
        <f aca="false">YEAR(B4137)</f>
        <v>2017</v>
      </c>
      <c r="J4137" s="0" t="str">
        <f aca="false">I4137&amp;"-Q"&amp;ROUNDUP(MONTH(B4137)/3,0)</f>
        <v>2017-Q4</v>
      </c>
    </row>
    <row r="4138" customFormat="false" ht="15" hidden="false" customHeight="false" outlineLevel="0" collapsed="false">
      <c r="A4138" s="0" t="s">
        <v>2124</v>
      </c>
      <c r="B4138" s="6" t="n">
        <v>43010</v>
      </c>
      <c r="C4138" s="7" t="s">
        <v>33</v>
      </c>
      <c r="D4138" s="7" t="s">
        <v>34</v>
      </c>
      <c r="E4138" s="7" t="s">
        <v>35</v>
      </c>
      <c r="F4138" s="0" t="n">
        <v>1575.14</v>
      </c>
      <c r="G4138" s="0" t="n">
        <v>204.7682</v>
      </c>
      <c r="H4138" s="0" t="n">
        <v>0</v>
      </c>
      <c r="I4138" s="7" t="n">
        <f aca="false">YEAR(B4138)</f>
        <v>2017</v>
      </c>
      <c r="J4138" s="0" t="str">
        <f aca="false">I4138&amp;"-Q"&amp;ROUNDUP(MONTH(B4138)/3,0)</f>
        <v>2017-Q4</v>
      </c>
    </row>
    <row r="4139" customFormat="false" ht="15" hidden="false" customHeight="false" outlineLevel="0" collapsed="false">
      <c r="A4139" s="0" t="s">
        <v>2125</v>
      </c>
      <c r="B4139" s="6" t="n">
        <v>43058</v>
      </c>
      <c r="C4139" s="7" t="s">
        <v>29</v>
      </c>
      <c r="D4139" s="7" t="s">
        <v>83</v>
      </c>
      <c r="E4139" s="7" t="s">
        <v>35</v>
      </c>
      <c r="F4139" s="0" t="n">
        <v>25.06</v>
      </c>
      <c r="G4139" s="0" t="n">
        <v>12.53</v>
      </c>
      <c r="H4139" s="0" t="n">
        <v>0</v>
      </c>
      <c r="I4139" s="7" t="n">
        <f aca="false">YEAR(B4139)</f>
        <v>2017</v>
      </c>
      <c r="J4139" s="0" t="str">
        <f aca="false">I4139&amp;"-Q"&amp;ROUNDUP(MONTH(B4139)/3,0)</f>
        <v>2017-Q4</v>
      </c>
    </row>
    <row r="4140" customFormat="false" ht="15" hidden="false" customHeight="false" outlineLevel="0" collapsed="false">
      <c r="A4140" s="0" t="s">
        <v>2126</v>
      </c>
      <c r="B4140" s="6" t="n">
        <v>42734</v>
      </c>
      <c r="C4140" s="7" t="s">
        <v>45</v>
      </c>
      <c r="D4140" s="7" t="s">
        <v>46</v>
      </c>
      <c r="E4140" s="7" t="s">
        <v>35</v>
      </c>
      <c r="F4140" s="0" t="n">
        <v>6.924</v>
      </c>
      <c r="G4140" s="0" t="n">
        <v>-10.386</v>
      </c>
      <c r="H4140" s="0" t="n">
        <v>0.8</v>
      </c>
      <c r="I4140" s="7" t="n">
        <f aca="false">YEAR(B4140)</f>
        <v>2016</v>
      </c>
      <c r="J4140" s="0" t="str">
        <f aca="false">I4140&amp;"-Q"&amp;ROUNDUP(MONTH(B4140)/3,0)</f>
        <v>2016-Q4</v>
      </c>
    </row>
    <row r="4141" customFormat="false" ht="15" hidden="false" customHeight="false" outlineLevel="0" collapsed="false">
      <c r="A4141" s="0" t="s">
        <v>2127</v>
      </c>
      <c r="B4141" s="6" t="n">
        <v>43070</v>
      </c>
      <c r="C4141" s="7" t="s">
        <v>55</v>
      </c>
      <c r="D4141" s="7" t="s">
        <v>56</v>
      </c>
      <c r="E4141" s="7" t="s">
        <v>35</v>
      </c>
      <c r="F4141" s="0" t="n">
        <v>37.392</v>
      </c>
      <c r="G4141" s="0" t="n">
        <v>2.337</v>
      </c>
      <c r="H4141" s="0" t="n">
        <v>0.2</v>
      </c>
      <c r="I4141" s="7" t="n">
        <f aca="false">YEAR(B4141)</f>
        <v>2017</v>
      </c>
      <c r="J4141" s="0" t="str">
        <f aca="false">I4141&amp;"-Q"&amp;ROUNDUP(MONTH(B4141)/3,0)</f>
        <v>2017-Q4</v>
      </c>
    </row>
    <row r="4142" customFormat="false" ht="15" hidden="false" customHeight="false" outlineLevel="0" collapsed="false">
      <c r="A4142" s="0" t="s">
        <v>2127</v>
      </c>
      <c r="B4142" s="6" t="n">
        <v>43070</v>
      </c>
      <c r="C4142" s="7" t="s">
        <v>55</v>
      </c>
      <c r="D4142" s="7" t="s">
        <v>56</v>
      </c>
      <c r="E4142" s="7" t="s">
        <v>31</v>
      </c>
      <c r="F4142" s="0" t="n">
        <v>79.12</v>
      </c>
      <c r="G4142" s="0" t="n">
        <v>13.846</v>
      </c>
      <c r="H4142" s="0" t="n">
        <v>0.2</v>
      </c>
      <c r="I4142" s="7" t="n">
        <f aca="false">YEAR(B4142)</f>
        <v>2017</v>
      </c>
      <c r="J4142" s="0" t="str">
        <f aca="false">I4142&amp;"-Q"&amp;ROUNDUP(MONTH(B4142)/3,0)</f>
        <v>2017-Q4</v>
      </c>
    </row>
    <row r="4143" customFormat="false" ht="15" hidden="false" customHeight="false" outlineLevel="0" collapsed="false">
      <c r="A4143" s="0" t="s">
        <v>2128</v>
      </c>
      <c r="B4143" s="6" t="n">
        <v>42534</v>
      </c>
      <c r="C4143" s="7" t="s">
        <v>45</v>
      </c>
      <c r="D4143" s="7" t="s">
        <v>946</v>
      </c>
      <c r="E4143" s="7" t="s">
        <v>35</v>
      </c>
      <c r="F4143" s="0" t="n">
        <v>18.9</v>
      </c>
      <c r="G4143" s="0" t="n">
        <v>8.694</v>
      </c>
      <c r="H4143" s="0" t="n">
        <v>0</v>
      </c>
      <c r="I4143" s="7" t="n">
        <f aca="false">YEAR(B4143)</f>
        <v>2016</v>
      </c>
      <c r="J4143" s="0" t="str">
        <f aca="false">I4143&amp;"-Q"&amp;ROUNDUP(MONTH(B4143)/3,0)</f>
        <v>2016-Q2</v>
      </c>
    </row>
    <row r="4144" customFormat="false" ht="15" hidden="false" customHeight="false" outlineLevel="0" collapsed="false">
      <c r="A4144" s="0" t="s">
        <v>2129</v>
      </c>
      <c r="B4144" s="6" t="n">
        <v>41778</v>
      </c>
      <c r="C4144" s="7" t="s">
        <v>45</v>
      </c>
      <c r="D4144" s="7" t="s">
        <v>70</v>
      </c>
      <c r="E4144" s="7" t="s">
        <v>35</v>
      </c>
      <c r="F4144" s="0" t="n">
        <v>57.42</v>
      </c>
      <c r="G4144" s="0" t="n">
        <v>26.4132</v>
      </c>
      <c r="H4144" s="0" t="n">
        <v>0</v>
      </c>
      <c r="I4144" s="7" t="n">
        <f aca="false">YEAR(B4144)</f>
        <v>2014</v>
      </c>
      <c r="J4144" s="0" t="str">
        <f aca="false">I4144&amp;"-Q"&amp;ROUNDUP(MONTH(B4144)/3,0)</f>
        <v>2014-Q2</v>
      </c>
    </row>
    <row r="4145" customFormat="false" ht="15" hidden="false" customHeight="false" outlineLevel="0" collapsed="false">
      <c r="A4145" s="0" t="s">
        <v>2130</v>
      </c>
      <c r="B4145" s="6" t="n">
        <v>42765</v>
      </c>
      <c r="C4145" s="7" t="s">
        <v>33</v>
      </c>
      <c r="D4145" s="7" t="s">
        <v>34</v>
      </c>
      <c r="E4145" s="7" t="s">
        <v>35</v>
      </c>
      <c r="F4145" s="0" t="n">
        <v>12.74</v>
      </c>
      <c r="G4145" s="0" t="n">
        <v>5.733</v>
      </c>
      <c r="H4145" s="0" t="n">
        <v>0</v>
      </c>
      <c r="I4145" s="7" t="n">
        <f aca="false">YEAR(B4145)</f>
        <v>2017</v>
      </c>
      <c r="J4145" s="0" t="str">
        <f aca="false">I4145&amp;"-Q"&amp;ROUNDUP(MONTH(B4145)/3,0)</f>
        <v>2017-Q1</v>
      </c>
    </row>
    <row r="4146" customFormat="false" ht="15" hidden="false" customHeight="false" outlineLevel="0" collapsed="false">
      <c r="A4146" s="0" t="s">
        <v>2130</v>
      </c>
      <c r="B4146" s="6" t="n">
        <v>42765</v>
      </c>
      <c r="C4146" s="7" t="s">
        <v>33</v>
      </c>
      <c r="D4146" s="7" t="s">
        <v>34</v>
      </c>
      <c r="E4146" s="7" t="s">
        <v>35</v>
      </c>
      <c r="F4146" s="0" t="n">
        <v>8.82</v>
      </c>
      <c r="G4146" s="0" t="n">
        <v>2.3814</v>
      </c>
      <c r="H4146" s="0" t="n">
        <v>0</v>
      </c>
      <c r="I4146" s="7" t="n">
        <f aca="false">YEAR(B4146)</f>
        <v>2017</v>
      </c>
      <c r="J4146" s="0" t="str">
        <f aca="false">I4146&amp;"-Q"&amp;ROUNDUP(MONTH(B4146)/3,0)</f>
        <v>2017-Q1</v>
      </c>
    </row>
    <row r="4147" customFormat="false" ht="15" hidden="false" customHeight="false" outlineLevel="0" collapsed="false">
      <c r="A4147" s="0" t="s">
        <v>2130</v>
      </c>
      <c r="B4147" s="6" t="n">
        <v>42765</v>
      </c>
      <c r="C4147" s="7" t="s">
        <v>33</v>
      </c>
      <c r="D4147" s="7" t="s">
        <v>34</v>
      </c>
      <c r="E4147" s="7" t="s">
        <v>31</v>
      </c>
      <c r="F4147" s="0" t="n">
        <v>120.784</v>
      </c>
      <c r="G4147" s="0" t="n">
        <v>-13.5882</v>
      </c>
      <c r="H4147" s="0" t="n">
        <v>0.2</v>
      </c>
      <c r="I4147" s="7" t="n">
        <f aca="false">YEAR(B4147)</f>
        <v>2017</v>
      </c>
      <c r="J4147" s="0" t="str">
        <f aca="false">I4147&amp;"-Q"&amp;ROUNDUP(MONTH(B4147)/3,0)</f>
        <v>2017-Q1</v>
      </c>
    </row>
    <row r="4148" customFormat="false" ht="15" hidden="false" customHeight="false" outlineLevel="0" collapsed="false">
      <c r="A4148" s="0" t="s">
        <v>2131</v>
      </c>
      <c r="B4148" s="6" t="n">
        <v>42336</v>
      </c>
      <c r="C4148" s="7" t="s">
        <v>55</v>
      </c>
      <c r="D4148" s="7" t="s">
        <v>76</v>
      </c>
      <c r="E4148" s="7" t="s">
        <v>31</v>
      </c>
      <c r="F4148" s="0" t="n">
        <v>322.59</v>
      </c>
      <c r="G4148" s="0" t="n">
        <v>64.518</v>
      </c>
      <c r="H4148" s="0" t="n">
        <v>0</v>
      </c>
      <c r="I4148" s="7" t="n">
        <f aca="false">YEAR(B4148)</f>
        <v>2015</v>
      </c>
      <c r="J4148" s="0" t="str">
        <f aca="false">I4148&amp;"-Q"&amp;ROUNDUP(MONTH(B4148)/3,0)</f>
        <v>2015-Q4</v>
      </c>
    </row>
    <row r="4149" customFormat="false" ht="15" hidden="false" customHeight="false" outlineLevel="0" collapsed="false">
      <c r="A4149" s="0" t="s">
        <v>2132</v>
      </c>
      <c r="B4149" s="6" t="n">
        <v>43031</v>
      </c>
      <c r="C4149" s="7" t="s">
        <v>45</v>
      </c>
      <c r="D4149" s="7" t="s">
        <v>46</v>
      </c>
      <c r="E4149" s="7" t="s">
        <v>35</v>
      </c>
      <c r="F4149" s="0" t="n">
        <v>9.762</v>
      </c>
      <c r="G4149" s="0" t="n">
        <v>-15.1311</v>
      </c>
      <c r="H4149" s="0" t="n">
        <v>0.8</v>
      </c>
      <c r="I4149" s="7" t="n">
        <f aca="false">YEAR(B4149)</f>
        <v>2017</v>
      </c>
      <c r="J4149" s="0" t="str">
        <f aca="false">I4149&amp;"-Q"&amp;ROUNDUP(MONTH(B4149)/3,0)</f>
        <v>2017-Q4</v>
      </c>
    </row>
    <row r="4150" customFormat="false" ht="15" hidden="false" customHeight="false" outlineLevel="0" collapsed="false">
      <c r="A4150" s="0" t="s">
        <v>2132</v>
      </c>
      <c r="B4150" s="6" t="n">
        <v>43031</v>
      </c>
      <c r="C4150" s="7" t="s">
        <v>45</v>
      </c>
      <c r="D4150" s="7" t="s">
        <v>46</v>
      </c>
      <c r="E4150" s="7" t="s">
        <v>35</v>
      </c>
      <c r="F4150" s="0" t="n">
        <v>13.72</v>
      </c>
      <c r="G4150" s="0" t="n">
        <v>1.2005</v>
      </c>
      <c r="H4150" s="0" t="n">
        <v>0.2</v>
      </c>
      <c r="I4150" s="7" t="n">
        <f aca="false">YEAR(B4150)</f>
        <v>2017</v>
      </c>
      <c r="J4150" s="0" t="str">
        <f aca="false">I4150&amp;"-Q"&amp;ROUNDUP(MONTH(B4150)/3,0)</f>
        <v>2017-Q4</v>
      </c>
    </row>
    <row r="4151" customFormat="false" ht="15" hidden="false" customHeight="false" outlineLevel="0" collapsed="false">
      <c r="A4151" s="0" t="s">
        <v>2132</v>
      </c>
      <c r="B4151" s="6" t="n">
        <v>43031</v>
      </c>
      <c r="C4151" s="7" t="s">
        <v>45</v>
      </c>
      <c r="D4151" s="7" t="s">
        <v>46</v>
      </c>
      <c r="E4151" s="7" t="s">
        <v>39</v>
      </c>
      <c r="F4151" s="0" t="n">
        <v>55.2</v>
      </c>
      <c r="G4151" s="0" t="n">
        <v>-2.07</v>
      </c>
      <c r="H4151" s="0" t="n">
        <v>0.2</v>
      </c>
      <c r="I4151" s="7" t="n">
        <f aca="false">YEAR(B4151)</f>
        <v>2017</v>
      </c>
      <c r="J4151" s="0" t="str">
        <f aca="false">I4151&amp;"-Q"&amp;ROUNDUP(MONTH(B4151)/3,0)</f>
        <v>2017-Q4</v>
      </c>
    </row>
    <row r="4152" customFormat="false" ht="15" hidden="false" customHeight="false" outlineLevel="0" collapsed="false">
      <c r="A4152" s="0" t="s">
        <v>2132</v>
      </c>
      <c r="B4152" s="6" t="n">
        <v>43031</v>
      </c>
      <c r="C4152" s="7" t="s">
        <v>45</v>
      </c>
      <c r="D4152" s="7" t="s">
        <v>46</v>
      </c>
      <c r="E4152" s="7" t="s">
        <v>35</v>
      </c>
      <c r="F4152" s="0" t="n">
        <v>259.136</v>
      </c>
      <c r="G4152" s="0" t="n">
        <v>-58.3056</v>
      </c>
      <c r="H4152" s="0" t="n">
        <v>0.2</v>
      </c>
      <c r="I4152" s="7" t="n">
        <f aca="false">YEAR(B4152)</f>
        <v>2017</v>
      </c>
      <c r="J4152" s="0" t="str">
        <f aca="false">I4152&amp;"-Q"&amp;ROUNDUP(MONTH(B4152)/3,0)</f>
        <v>2017-Q4</v>
      </c>
    </row>
    <row r="4153" customFormat="false" ht="15" hidden="false" customHeight="false" outlineLevel="0" collapsed="false">
      <c r="A4153" s="0" t="s">
        <v>2133</v>
      </c>
      <c r="B4153" s="6" t="n">
        <v>42985</v>
      </c>
      <c r="C4153" s="7" t="s">
        <v>55</v>
      </c>
      <c r="D4153" s="7" t="s">
        <v>56</v>
      </c>
      <c r="E4153" s="7" t="s">
        <v>35</v>
      </c>
      <c r="F4153" s="0" t="n">
        <v>29.24</v>
      </c>
      <c r="G4153" s="0" t="n">
        <v>9.8685</v>
      </c>
      <c r="H4153" s="0" t="n">
        <v>0.2</v>
      </c>
      <c r="I4153" s="7" t="n">
        <f aca="false">YEAR(B4153)</f>
        <v>2017</v>
      </c>
      <c r="J4153" s="0" t="str">
        <f aca="false">I4153&amp;"-Q"&amp;ROUNDUP(MONTH(B4153)/3,0)</f>
        <v>2017-Q3</v>
      </c>
    </row>
    <row r="4154" customFormat="false" ht="15" hidden="false" customHeight="false" outlineLevel="0" collapsed="false">
      <c r="A4154" s="0" t="s">
        <v>2133</v>
      </c>
      <c r="B4154" s="6" t="n">
        <v>42985</v>
      </c>
      <c r="C4154" s="7" t="s">
        <v>55</v>
      </c>
      <c r="D4154" s="7" t="s">
        <v>56</v>
      </c>
      <c r="E4154" s="7" t="s">
        <v>35</v>
      </c>
      <c r="F4154" s="0" t="n">
        <v>15.552</v>
      </c>
      <c r="G4154" s="0" t="n">
        <v>5.4432</v>
      </c>
      <c r="H4154" s="0" t="n">
        <v>0.2</v>
      </c>
      <c r="I4154" s="7" t="n">
        <f aca="false">YEAR(B4154)</f>
        <v>2017</v>
      </c>
      <c r="J4154" s="0" t="str">
        <f aca="false">I4154&amp;"-Q"&amp;ROUNDUP(MONTH(B4154)/3,0)</f>
        <v>2017-Q3</v>
      </c>
    </row>
    <row r="4155" customFormat="false" ht="15" hidden="false" customHeight="false" outlineLevel="0" collapsed="false">
      <c r="A4155" s="0" t="s">
        <v>2133</v>
      </c>
      <c r="B4155" s="6" t="n">
        <v>42985</v>
      </c>
      <c r="C4155" s="7" t="s">
        <v>55</v>
      </c>
      <c r="D4155" s="7" t="s">
        <v>56</v>
      </c>
      <c r="E4155" s="7" t="s">
        <v>35</v>
      </c>
      <c r="F4155" s="0" t="n">
        <v>4.896</v>
      </c>
      <c r="G4155" s="0" t="n">
        <v>1.6524</v>
      </c>
      <c r="H4155" s="0" t="n">
        <v>0.2</v>
      </c>
      <c r="I4155" s="7" t="n">
        <f aca="false">YEAR(B4155)</f>
        <v>2017</v>
      </c>
      <c r="J4155" s="0" t="str">
        <f aca="false">I4155&amp;"-Q"&amp;ROUNDUP(MONTH(B4155)/3,0)</f>
        <v>2017-Q3</v>
      </c>
    </row>
    <row r="4156" customFormat="false" ht="15" hidden="false" customHeight="false" outlineLevel="0" collapsed="false">
      <c r="A4156" s="0" t="s">
        <v>2134</v>
      </c>
      <c r="B4156" s="6" t="n">
        <v>42733</v>
      </c>
      <c r="C4156" s="7" t="s">
        <v>29</v>
      </c>
      <c r="D4156" s="7" t="s">
        <v>87</v>
      </c>
      <c r="E4156" s="7" t="s">
        <v>35</v>
      </c>
      <c r="F4156" s="0" t="n">
        <v>38.088</v>
      </c>
      <c r="G4156" s="0" t="n">
        <v>-27.9312</v>
      </c>
      <c r="H4156" s="0" t="n">
        <v>0.7</v>
      </c>
      <c r="I4156" s="7" t="n">
        <f aca="false">YEAR(B4156)</f>
        <v>2016</v>
      </c>
      <c r="J4156" s="0" t="str">
        <f aca="false">I4156&amp;"-Q"&amp;ROUNDUP(MONTH(B4156)/3,0)</f>
        <v>2016-Q4</v>
      </c>
    </row>
    <row r="4157" customFormat="false" ht="15" hidden="false" customHeight="false" outlineLevel="0" collapsed="false">
      <c r="A4157" s="0" t="s">
        <v>2134</v>
      </c>
      <c r="B4157" s="6" t="n">
        <v>42733</v>
      </c>
      <c r="C4157" s="7" t="s">
        <v>29</v>
      </c>
      <c r="D4157" s="7" t="s">
        <v>87</v>
      </c>
      <c r="E4157" s="7" t="s">
        <v>35</v>
      </c>
      <c r="F4157" s="0" t="n">
        <v>2.808</v>
      </c>
      <c r="G4157" s="0" t="n">
        <v>-1.9656</v>
      </c>
      <c r="H4157" s="0" t="n">
        <v>0.7</v>
      </c>
      <c r="I4157" s="7" t="n">
        <f aca="false">YEAR(B4157)</f>
        <v>2016</v>
      </c>
      <c r="J4157" s="0" t="str">
        <f aca="false">I4157&amp;"-Q"&amp;ROUNDUP(MONTH(B4157)/3,0)</f>
        <v>2016-Q4</v>
      </c>
    </row>
    <row r="4158" customFormat="false" ht="15" hidden="false" customHeight="false" outlineLevel="0" collapsed="false">
      <c r="A4158" s="0" t="s">
        <v>2135</v>
      </c>
      <c r="B4158" s="6" t="n">
        <v>42343</v>
      </c>
      <c r="C4158" s="7" t="s">
        <v>55</v>
      </c>
      <c r="D4158" s="7" t="s">
        <v>56</v>
      </c>
      <c r="E4158" s="7" t="s">
        <v>39</v>
      </c>
      <c r="F4158" s="0" t="n">
        <v>47.984</v>
      </c>
      <c r="G4158" s="0" t="n">
        <v>0.5998</v>
      </c>
      <c r="H4158" s="0" t="n">
        <v>0.2</v>
      </c>
      <c r="I4158" s="7" t="n">
        <f aca="false">YEAR(B4158)</f>
        <v>2015</v>
      </c>
      <c r="J4158" s="0" t="str">
        <f aca="false">I4158&amp;"-Q"&amp;ROUNDUP(MONTH(B4158)/3,0)</f>
        <v>2015-Q4</v>
      </c>
    </row>
    <row r="4159" customFormat="false" ht="15" hidden="false" customHeight="false" outlineLevel="0" collapsed="false">
      <c r="A4159" s="0" t="s">
        <v>2135</v>
      </c>
      <c r="B4159" s="6" t="n">
        <v>42343</v>
      </c>
      <c r="C4159" s="7" t="s">
        <v>55</v>
      </c>
      <c r="D4159" s="7" t="s">
        <v>56</v>
      </c>
      <c r="E4159" s="7" t="s">
        <v>35</v>
      </c>
      <c r="F4159" s="0" t="n">
        <v>26.064</v>
      </c>
      <c r="G4159" s="0" t="n">
        <v>-19.9824</v>
      </c>
      <c r="H4159" s="0" t="n">
        <v>0.7</v>
      </c>
      <c r="I4159" s="7" t="n">
        <f aca="false">YEAR(B4159)</f>
        <v>2015</v>
      </c>
      <c r="J4159" s="0" t="str">
        <f aca="false">I4159&amp;"-Q"&amp;ROUNDUP(MONTH(B4159)/3,0)</f>
        <v>2015-Q4</v>
      </c>
    </row>
    <row r="4160" customFormat="false" ht="15" hidden="false" customHeight="false" outlineLevel="0" collapsed="false">
      <c r="A4160" s="0" t="s">
        <v>2136</v>
      </c>
      <c r="B4160" s="6" t="n">
        <v>41944</v>
      </c>
      <c r="C4160" s="7" t="s">
        <v>45</v>
      </c>
      <c r="D4160" s="7" t="s">
        <v>64</v>
      </c>
      <c r="E4160" s="7" t="s">
        <v>35</v>
      </c>
      <c r="F4160" s="0" t="n">
        <v>15.696</v>
      </c>
      <c r="G4160" s="0" t="n">
        <v>5.1012</v>
      </c>
      <c r="H4160" s="0" t="n">
        <v>0.2</v>
      </c>
      <c r="I4160" s="7" t="n">
        <f aca="false">YEAR(B4160)</f>
        <v>2014</v>
      </c>
      <c r="J4160" s="0" t="str">
        <f aca="false">I4160&amp;"-Q"&amp;ROUNDUP(MONTH(B4160)/3,0)</f>
        <v>2014-Q4</v>
      </c>
    </row>
    <row r="4161" customFormat="false" ht="15" hidden="false" customHeight="false" outlineLevel="0" collapsed="false">
      <c r="A4161" s="0" t="s">
        <v>2137</v>
      </c>
      <c r="B4161" s="6" t="n">
        <v>42476</v>
      </c>
      <c r="C4161" s="7" t="s">
        <v>29</v>
      </c>
      <c r="D4161" s="7" t="s">
        <v>230</v>
      </c>
      <c r="E4161" s="7" t="s">
        <v>35</v>
      </c>
      <c r="F4161" s="0" t="n">
        <v>12.84</v>
      </c>
      <c r="G4161" s="0" t="n">
        <v>3.7236</v>
      </c>
      <c r="H4161" s="0" t="n">
        <v>0</v>
      </c>
      <c r="I4161" s="7" t="n">
        <f aca="false">YEAR(B4161)</f>
        <v>2016</v>
      </c>
      <c r="J4161" s="0" t="str">
        <f aca="false">I4161&amp;"-Q"&amp;ROUNDUP(MONTH(B4161)/3,0)</f>
        <v>2016-Q2</v>
      </c>
    </row>
    <row r="4162" customFormat="false" ht="15" hidden="false" customHeight="false" outlineLevel="0" collapsed="false">
      <c r="A4162" s="0" t="s">
        <v>2138</v>
      </c>
      <c r="B4162" s="6" t="n">
        <v>42869</v>
      </c>
      <c r="C4162" s="7" t="s">
        <v>55</v>
      </c>
      <c r="D4162" s="7" t="s">
        <v>76</v>
      </c>
      <c r="E4162" s="7" t="s">
        <v>39</v>
      </c>
      <c r="F4162" s="0" t="n">
        <v>539.97</v>
      </c>
      <c r="G4162" s="0" t="n">
        <v>134.9925</v>
      </c>
      <c r="H4162" s="0" t="n">
        <v>0</v>
      </c>
      <c r="I4162" s="7" t="n">
        <f aca="false">YEAR(B4162)</f>
        <v>2017</v>
      </c>
      <c r="J4162" s="0" t="str">
        <f aca="false">I4162&amp;"-Q"&amp;ROUNDUP(MONTH(B4162)/3,0)</f>
        <v>2017-Q2</v>
      </c>
    </row>
    <row r="4163" customFormat="false" ht="15" hidden="false" customHeight="false" outlineLevel="0" collapsed="false">
      <c r="A4163" s="0" t="s">
        <v>2138</v>
      </c>
      <c r="B4163" s="6" t="n">
        <v>42869</v>
      </c>
      <c r="C4163" s="7" t="s">
        <v>55</v>
      </c>
      <c r="D4163" s="7" t="s">
        <v>76</v>
      </c>
      <c r="E4163" s="7" t="s">
        <v>35</v>
      </c>
      <c r="F4163" s="0" t="n">
        <v>22.58</v>
      </c>
      <c r="G4163" s="0" t="n">
        <v>5.8708</v>
      </c>
      <c r="H4163" s="0" t="n">
        <v>0</v>
      </c>
      <c r="I4163" s="7" t="n">
        <f aca="false">YEAR(B4163)</f>
        <v>2017</v>
      </c>
      <c r="J4163" s="0" t="str">
        <f aca="false">I4163&amp;"-Q"&amp;ROUNDUP(MONTH(B4163)/3,0)</f>
        <v>2017-Q2</v>
      </c>
    </row>
    <row r="4164" customFormat="false" ht="15" hidden="false" customHeight="false" outlineLevel="0" collapsed="false">
      <c r="A4164" s="0" t="s">
        <v>2139</v>
      </c>
      <c r="B4164" s="6" t="n">
        <v>42077</v>
      </c>
      <c r="C4164" s="7" t="s">
        <v>55</v>
      </c>
      <c r="D4164" s="7" t="s">
        <v>482</v>
      </c>
      <c r="E4164" s="7" t="s">
        <v>35</v>
      </c>
      <c r="F4164" s="0" t="n">
        <v>16.52</v>
      </c>
      <c r="G4164" s="0" t="n">
        <v>7.5992</v>
      </c>
      <c r="H4164" s="0" t="n">
        <v>0</v>
      </c>
      <c r="I4164" s="7" t="n">
        <f aca="false">YEAR(B4164)</f>
        <v>2015</v>
      </c>
      <c r="J4164" s="0" t="str">
        <f aca="false">I4164&amp;"-Q"&amp;ROUNDUP(MONTH(B4164)/3,0)</f>
        <v>2015-Q1</v>
      </c>
    </row>
    <row r="4165" customFormat="false" ht="15" hidden="false" customHeight="false" outlineLevel="0" collapsed="false">
      <c r="A4165" s="0" t="s">
        <v>2139</v>
      </c>
      <c r="B4165" s="6" t="n">
        <v>42077</v>
      </c>
      <c r="C4165" s="7" t="s">
        <v>55</v>
      </c>
      <c r="D4165" s="7" t="s">
        <v>482</v>
      </c>
      <c r="E4165" s="7" t="s">
        <v>35</v>
      </c>
      <c r="F4165" s="0" t="n">
        <v>671.94</v>
      </c>
      <c r="G4165" s="0" t="n">
        <v>315.8118</v>
      </c>
      <c r="H4165" s="0" t="n">
        <v>0</v>
      </c>
      <c r="I4165" s="7" t="n">
        <f aca="false">YEAR(B4165)</f>
        <v>2015</v>
      </c>
      <c r="J4165" s="0" t="str">
        <f aca="false">I4165&amp;"-Q"&amp;ROUNDUP(MONTH(B4165)/3,0)</f>
        <v>2015-Q1</v>
      </c>
    </row>
    <row r="4166" customFormat="false" ht="15" hidden="false" customHeight="false" outlineLevel="0" collapsed="false">
      <c r="A4166" s="0" t="s">
        <v>2140</v>
      </c>
      <c r="B4166" s="6" t="n">
        <v>42749</v>
      </c>
      <c r="C4166" s="7" t="s">
        <v>33</v>
      </c>
      <c r="D4166" s="7" t="s">
        <v>109</v>
      </c>
      <c r="E4166" s="7" t="s">
        <v>39</v>
      </c>
      <c r="F4166" s="0" t="n">
        <v>169.064</v>
      </c>
      <c r="G4166" s="0" t="n">
        <v>-14.7931</v>
      </c>
      <c r="H4166" s="0" t="n">
        <v>0.2</v>
      </c>
      <c r="I4166" s="7" t="n">
        <f aca="false">YEAR(B4166)</f>
        <v>2017</v>
      </c>
      <c r="J4166" s="0" t="str">
        <f aca="false">I4166&amp;"-Q"&amp;ROUNDUP(MONTH(B4166)/3,0)</f>
        <v>2017-Q1</v>
      </c>
    </row>
    <row r="4167" customFormat="false" ht="15" hidden="false" customHeight="false" outlineLevel="0" collapsed="false">
      <c r="A4167" s="0" t="s">
        <v>2140</v>
      </c>
      <c r="B4167" s="6" t="n">
        <v>42749</v>
      </c>
      <c r="C4167" s="7" t="s">
        <v>33</v>
      </c>
      <c r="D4167" s="7" t="s">
        <v>109</v>
      </c>
      <c r="E4167" s="7" t="s">
        <v>35</v>
      </c>
      <c r="F4167" s="0" t="n">
        <v>168.624</v>
      </c>
      <c r="G4167" s="0" t="n">
        <v>14.7546</v>
      </c>
      <c r="H4167" s="0" t="n">
        <v>0.2</v>
      </c>
      <c r="I4167" s="7" t="n">
        <f aca="false">YEAR(B4167)</f>
        <v>2017</v>
      </c>
      <c r="J4167" s="0" t="str">
        <f aca="false">I4167&amp;"-Q"&amp;ROUNDUP(MONTH(B4167)/3,0)</f>
        <v>2017-Q1</v>
      </c>
    </row>
    <row r="4168" customFormat="false" ht="15" hidden="false" customHeight="false" outlineLevel="0" collapsed="false">
      <c r="A4168" s="0" t="s">
        <v>2141</v>
      </c>
      <c r="B4168" s="6" t="n">
        <v>42071</v>
      </c>
      <c r="C4168" s="7" t="s">
        <v>55</v>
      </c>
      <c r="D4168" s="7" t="s">
        <v>76</v>
      </c>
      <c r="E4168" s="7" t="s">
        <v>35</v>
      </c>
      <c r="F4168" s="0" t="n">
        <v>19.44</v>
      </c>
      <c r="G4168" s="0" t="n">
        <v>9.3312</v>
      </c>
      <c r="H4168" s="0" t="n">
        <v>0</v>
      </c>
      <c r="I4168" s="7" t="n">
        <f aca="false">YEAR(B4168)</f>
        <v>2015</v>
      </c>
      <c r="J4168" s="0" t="str">
        <f aca="false">I4168&amp;"-Q"&amp;ROUNDUP(MONTH(B4168)/3,0)</f>
        <v>2015-Q1</v>
      </c>
    </row>
    <row r="4169" customFormat="false" ht="15" hidden="false" customHeight="false" outlineLevel="0" collapsed="false">
      <c r="A4169" s="0" t="s">
        <v>2142</v>
      </c>
      <c r="B4169" s="6" t="n">
        <v>41923</v>
      </c>
      <c r="C4169" s="7" t="s">
        <v>33</v>
      </c>
      <c r="D4169" s="7" t="s">
        <v>34</v>
      </c>
      <c r="E4169" s="7" t="s">
        <v>35</v>
      </c>
      <c r="F4169" s="0" t="n">
        <v>31.92</v>
      </c>
      <c r="G4169" s="0" t="n">
        <v>8.2992</v>
      </c>
      <c r="H4169" s="0" t="n">
        <v>0</v>
      </c>
      <c r="I4169" s="7" t="n">
        <f aca="false">YEAR(B4169)</f>
        <v>2014</v>
      </c>
      <c r="J4169" s="0" t="str">
        <f aca="false">I4169&amp;"-Q"&amp;ROUNDUP(MONTH(B4169)/3,0)</f>
        <v>2014-Q4</v>
      </c>
    </row>
    <row r="4170" customFormat="false" ht="15" hidden="false" customHeight="false" outlineLevel="0" collapsed="false">
      <c r="A4170" s="0" t="s">
        <v>2142</v>
      </c>
      <c r="B4170" s="6" t="n">
        <v>41923</v>
      </c>
      <c r="C4170" s="7" t="s">
        <v>33</v>
      </c>
      <c r="D4170" s="7" t="s">
        <v>34</v>
      </c>
      <c r="E4170" s="7" t="s">
        <v>31</v>
      </c>
      <c r="F4170" s="0" t="n">
        <v>433.568</v>
      </c>
      <c r="G4170" s="0" t="n">
        <v>-65.0352</v>
      </c>
      <c r="H4170" s="0" t="n">
        <v>0.2</v>
      </c>
      <c r="I4170" s="7" t="n">
        <f aca="false">YEAR(B4170)</f>
        <v>2014</v>
      </c>
      <c r="J4170" s="0" t="str">
        <f aca="false">I4170&amp;"-Q"&amp;ROUNDUP(MONTH(B4170)/3,0)</f>
        <v>2014-Q4</v>
      </c>
    </row>
    <row r="4171" customFormat="false" ht="15" hidden="false" customHeight="false" outlineLevel="0" collapsed="false">
      <c r="A4171" s="0" t="s">
        <v>2143</v>
      </c>
      <c r="B4171" s="6" t="n">
        <v>42107</v>
      </c>
      <c r="C4171" s="7" t="s">
        <v>33</v>
      </c>
      <c r="D4171" s="7" t="s">
        <v>81</v>
      </c>
      <c r="E4171" s="7" t="s">
        <v>35</v>
      </c>
      <c r="F4171" s="0" t="n">
        <v>31.104</v>
      </c>
      <c r="G4171" s="0" t="n">
        <v>10.8864</v>
      </c>
      <c r="H4171" s="0" t="n">
        <v>0.2</v>
      </c>
      <c r="I4171" s="7" t="n">
        <f aca="false">YEAR(B4171)</f>
        <v>2015</v>
      </c>
      <c r="J4171" s="0" t="str">
        <f aca="false">I4171&amp;"-Q"&amp;ROUNDUP(MONTH(B4171)/3,0)</f>
        <v>2015-Q2</v>
      </c>
    </row>
    <row r="4172" customFormat="false" ht="15" hidden="false" customHeight="false" outlineLevel="0" collapsed="false">
      <c r="A4172" s="0" t="s">
        <v>2143</v>
      </c>
      <c r="B4172" s="6" t="n">
        <v>42107</v>
      </c>
      <c r="C4172" s="7" t="s">
        <v>33</v>
      </c>
      <c r="D4172" s="7" t="s">
        <v>81</v>
      </c>
      <c r="E4172" s="7" t="s">
        <v>35</v>
      </c>
      <c r="F4172" s="0" t="n">
        <v>54.816</v>
      </c>
      <c r="G4172" s="0" t="n">
        <v>17.8152</v>
      </c>
      <c r="H4172" s="0" t="n">
        <v>0.2</v>
      </c>
      <c r="I4172" s="7" t="n">
        <f aca="false">YEAR(B4172)</f>
        <v>2015</v>
      </c>
      <c r="J4172" s="0" t="str">
        <f aca="false">I4172&amp;"-Q"&amp;ROUNDUP(MONTH(B4172)/3,0)</f>
        <v>2015-Q2</v>
      </c>
    </row>
    <row r="4173" customFormat="false" ht="15" hidden="false" customHeight="false" outlineLevel="0" collapsed="false">
      <c r="A4173" s="0" t="s">
        <v>2144</v>
      </c>
      <c r="B4173" s="6" t="n">
        <v>43055</v>
      </c>
      <c r="C4173" s="7" t="s">
        <v>33</v>
      </c>
      <c r="D4173" s="7" t="s">
        <v>34</v>
      </c>
      <c r="E4173" s="7" t="s">
        <v>35</v>
      </c>
      <c r="F4173" s="0" t="n">
        <v>48.86</v>
      </c>
      <c r="G4173" s="0" t="n">
        <v>0.9772</v>
      </c>
      <c r="H4173" s="0" t="n">
        <v>0</v>
      </c>
      <c r="I4173" s="7" t="n">
        <f aca="false">YEAR(B4173)</f>
        <v>2017</v>
      </c>
      <c r="J4173" s="0" t="str">
        <f aca="false">I4173&amp;"-Q"&amp;ROUNDUP(MONTH(B4173)/3,0)</f>
        <v>2017-Q4</v>
      </c>
    </row>
    <row r="4174" customFormat="false" ht="15" hidden="false" customHeight="false" outlineLevel="0" collapsed="false">
      <c r="A4174" s="0" t="s">
        <v>2145</v>
      </c>
      <c r="B4174" s="6" t="n">
        <v>42552</v>
      </c>
      <c r="C4174" s="7" t="s">
        <v>29</v>
      </c>
      <c r="D4174" s="7" t="s">
        <v>96</v>
      </c>
      <c r="E4174" s="7" t="s">
        <v>35</v>
      </c>
      <c r="F4174" s="0" t="n">
        <v>14.2</v>
      </c>
      <c r="G4174" s="0" t="n">
        <v>6.532</v>
      </c>
      <c r="H4174" s="0" t="n">
        <v>0</v>
      </c>
      <c r="I4174" s="7" t="n">
        <f aca="false">YEAR(B4174)</f>
        <v>2016</v>
      </c>
      <c r="J4174" s="0" t="str">
        <f aca="false">I4174&amp;"-Q"&amp;ROUNDUP(MONTH(B4174)/3,0)</f>
        <v>2016-Q3</v>
      </c>
    </row>
    <row r="4175" customFormat="false" ht="15" hidden="false" customHeight="false" outlineLevel="0" collapsed="false">
      <c r="A4175" s="0" t="s">
        <v>2145</v>
      </c>
      <c r="B4175" s="6" t="n">
        <v>42552</v>
      </c>
      <c r="C4175" s="7" t="s">
        <v>29</v>
      </c>
      <c r="D4175" s="7" t="s">
        <v>96</v>
      </c>
      <c r="E4175" s="7" t="s">
        <v>35</v>
      </c>
      <c r="F4175" s="0" t="n">
        <v>12.96</v>
      </c>
      <c r="G4175" s="0" t="n">
        <v>6.2208</v>
      </c>
      <c r="H4175" s="0" t="n">
        <v>0</v>
      </c>
      <c r="I4175" s="7" t="n">
        <f aca="false">YEAR(B4175)</f>
        <v>2016</v>
      </c>
      <c r="J4175" s="0" t="str">
        <f aca="false">I4175&amp;"-Q"&amp;ROUNDUP(MONTH(B4175)/3,0)</f>
        <v>2016-Q3</v>
      </c>
    </row>
    <row r="4176" customFormat="false" ht="15" hidden="false" customHeight="false" outlineLevel="0" collapsed="false">
      <c r="A4176" s="0" t="s">
        <v>2145</v>
      </c>
      <c r="B4176" s="6" t="n">
        <v>42552</v>
      </c>
      <c r="C4176" s="7" t="s">
        <v>29</v>
      </c>
      <c r="D4176" s="7" t="s">
        <v>96</v>
      </c>
      <c r="E4176" s="7" t="s">
        <v>35</v>
      </c>
      <c r="F4176" s="0" t="n">
        <v>58.34</v>
      </c>
      <c r="G4176" s="0" t="n">
        <v>28.0032</v>
      </c>
      <c r="H4176" s="0" t="n">
        <v>0</v>
      </c>
      <c r="I4176" s="7" t="n">
        <f aca="false">YEAR(B4176)</f>
        <v>2016</v>
      </c>
      <c r="J4176" s="0" t="str">
        <f aca="false">I4176&amp;"-Q"&amp;ROUNDUP(MONTH(B4176)/3,0)</f>
        <v>2016-Q3</v>
      </c>
    </row>
    <row r="4177" customFormat="false" ht="15" hidden="false" customHeight="false" outlineLevel="0" collapsed="false">
      <c r="A4177" s="0" t="s">
        <v>2146</v>
      </c>
      <c r="B4177" s="6" t="n">
        <v>42337</v>
      </c>
      <c r="C4177" s="7" t="s">
        <v>33</v>
      </c>
      <c r="D4177" s="7" t="s">
        <v>34</v>
      </c>
      <c r="E4177" s="7" t="s">
        <v>35</v>
      </c>
      <c r="F4177" s="0" t="n">
        <v>56.3</v>
      </c>
      <c r="G4177" s="0" t="n">
        <v>15.764</v>
      </c>
      <c r="H4177" s="0" t="n">
        <v>0</v>
      </c>
      <c r="I4177" s="7" t="n">
        <f aca="false">YEAR(B4177)</f>
        <v>2015</v>
      </c>
      <c r="J4177" s="0" t="str">
        <f aca="false">I4177&amp;"-Q"&amp;ROUNDUP(MONTH(B4177)/3,0)</f>
        <v>2015-Q4</v>
      </c>
    </row>
    <row r="4178" customFormat="false" ht="15" hidden="false" customHeight="false" outlineLevel="0" collapsed="false">
      <c r="A4178" s="0" t="s">
        <v>2147</v>
      </c>
      <c r="B4178" s="6" t="n">
        <v>41736</v>
      </c>
      <c r="C4178" s="7" t="s">
        <v>29</v>
      </c>
      <c r="D4178" s="7" t="s">
        <v>96</v>
      </c>
      <c r="E4178" s="7" t="s">
        <v>39</v>
      </c>
      <c r="F4178" s="0" t="n">
        <v>629.95</v>
      </c>
      <c r="G4178" s="0" t="n">
        <v>163.787</v>
      </c>
      <c r="H4178" s="0" t="n">
        <v>0</v>
      </c>
      <c r="I4178" s="7" t="n">
        <f aca="false">YEAR(B4178)</f>
        <v>2014</v>
      </c>
      <c r="J4178" s="0" t="str">
        <f aca="false">I4178&amp;"-Q"&amp;ROUNDUP(MONTH(B4178)/3,0)</f>
        <v>2014-Q2</v>
      </c>
    </row>
    <row r="4179" customFormat="false" ht="15" hidden="false" customHeight="false" outlineLevel="0" collapsed="false">
      <c r="A4179" s="0" t="s">
        <v>2147</v>
      </c>
      <c r="B4179" s="6" t="n">
        <v>41736</v>
      </c>
      <c r="C4179" s="7" t="s">
        <v>29</v>
      </c>
      <c r="D4179" s="7" t="s">
        <v>96</v>
      </c>
      <c r="E4179" s="7" t="s">
        <v>35</v>
      </c>
      <c r="F4179" s="0" t="n">
        <v>122.97</v>
      </c>
      <c r="G4179" s="0" t="n">
        <v>60.2553</v>
      </c>
      <c r="H4179" s="0" t="n">
        <v>0</v>
      </c>
      <c r="I4179" s="7" t="n">
        <f aca="false">YEAR(B4179)</f>
        <v>2014</v>
      </c>
      <c r="J4179" s="0" t="str">
        <f aca="false">I4179&amp;"-Q"&amp;ROUNDUP(MONTH(B4179)/3,0)</f>
        <v>2014-Q2</v>
      </c>
    </row>
    <row r="4180" customFormat="false" ht="15" hidden="false" customHeight="false" outlineLevel="0" collapsed="false">
      <c r="A4180" s="0" t="s">
        <v>2148</v>
      </c>
      <c r="B4180" s="6" t="n">
        <v>42537</v>
      </c>
      <c r="C4180" s="7" t="s">
        <v>33</v>
      </c>
      <c r="D4180" s="7" t="s">
        <v>34</v>
      </c>
      <c r="E4180" s="7" t="s">
        <v>35</v>
      </c>
      <c r="F4180" s="0" t="n">
        <v>46.35</v>
      </c>
      <c r="G4180" s="0" t="n">
        <v>21.7845</v>
      </c>
      <c r="H4180" s="0" t="n">
        <v>0</v>
      </c>
      <c r="I4180" s="7" t="n">
        <f aca="false">YEAR(B4180)</f>
        <v>2016</v>
      </c>
      <c r="J4180" s="0" t="str">
        <f aca="false">I4180&amp;"-Q"&amp;ROUNDUP(MONTH(B4180)/3,0)</f>
        <v>2016-Q2</v>
      </c>
    </row>
    <row r="4181" customFormat="false" ht="15" hidden="false" customHeight="false" outlineLevel="0" collapsed="false">
      <c r="A4181" s="0" t="s">
        <v>2149</v>
      </c>
      <c r="B4181" s="6" t="n">
        <v>42800</v>
      </c>
      <c r="C4181" s="7" t="s">
        <v>33</v>
      </c>
      <c r="D4181" s="7" t="s">
        <v>34</v>
      </c>
      <c r="E4181" s="7" t="s">
        <v>35</v>
      </c>
      <c r="F4181" s="0" t="n">
        <v>14.976</v>
      </c>
      <c r="G4181" s="0" t="n">
        <v>5.4288</v>
      </c>
      <c r="H4181" s="0" t="n">
        <v>0.2</v>
      </c>
      <c r="I4181" s="7" t="n">
        <f aca="false">YEAR(B4181)</f>
        <v>2017</v>
      </c>
      <c r="J4181" s="0" t="str">
        <f aca="false">I4181&amp;"-Q"&amp;ROUNDUP(MONTH(B4181)/3,0)</f>
        <v>2017-Q1</v>
      </c>
    </row>
    <row r="4182" customFormat="false" ht="15" hidden="false" customHeight="false" outlineLevel="0" collapsed="false">
      <c r="A4182" s="0" t="s">
        <v>2150</v>
      </c>
      <c r="B4182" s="6" t="n">
        <v>43015</v>
      </c>
      <c r="C4182" s="7" t="s">
        <v>45</v>
      </c>
      <c r="D4182" s="7" t="s">
        <v>46</v>
      </c>
      <c r="E4182" s="7" t="s">
        <v>35</v>
      </c>
      <c r="F4182" s="0" t="n">
        <v>4.24</v>
      </c>
      <c r="G4182" s="0" t="n">
        <v>-6.36</v>
      </c>
      <c r="H4182" s="0" t="n">
        <v>0.8</v>
      </c>
      <c r="I4182" s="7" t="n">
        <f aca="false">YEAR(B4182)</f>
        <v>2017</v>
      </c>
      <c r="J4182" s="0" t="str">
        <f aca="false">I4182&amp;"-Q"&amp;ROUNDUP(MONTH(B4182)/3,0)</f>
        <v>2017-Q4</v>
      </c>
    </row>
    <row r="4183" customFormat="false" ht="15" hidden="false" customHeight="false" outlineLevel="0" collapsed="false">
      <c r="A4183" s="0" t="s">
        <v>2151</v>
      </c>
      <c r="B4183" s="6" t="n">
        <v>43014</v>
      </c>
      <c r="C4183" s="7" t="s">
        <v>55</v>
      </c>
      <c r="D4183" s="7" t="s">
        <v>76</v>
      </c>
      <c r="E4183" s="7" t="s">
        <v>39</v>
      </c>
      <c r="F4183" s="0" t="n">
        <v>319.96</v>
      </c>
      <c r="G4183" s="0" t="n">
        <v>115.1856</v>
      </c>
      <c r="H4183" s="0" t="n">
        <v>0</v>
      </c>
      <c r="I4183" s="7" t="n">
        <f aca="false">YEAR(B4183)</f>
        <v>2017</v>
      </c>
      <c r="J4183" s="0" t="str">
        <f aca="false">I4183&amp;"-Q"&amp;ROUNDUP(MONTH(B4183)/3,0)</f>
        <v>2017-Q4</v>
      </c>
    </row>
    <row r="4184" customFormat="false" ht="15" hidden="false" customHeight="false" outlineLevel="0" collapsed="false">
      <c r="A4184" s="0" t="s">
        <v>2151</v>
      </c>
      <c r="B4184" s="6" t="n">
        <v>43014</v>
      </c>
      <c r="C4184" s="7" t="s">
        <v>55</v>
      </c>
      <c r="D4184" s="7" t="s">
        <v>76</v>
      </c>
      <c r="E4184" s="7" t="s">
        <v>35</v>
      </c>
      <c r="F4184" s="0" t="n">
        <v>17.04</v>
      </c>
      <c r="G4184" s="0" t="n">
        <v>7.668</v>
      </c>
      <c r="H4184" s="0" t="n">
        <v>0</v>
      </c>
      <c r="I4184" s="7" t="n">
        <f aca="false">YEAR(B4184)</f>
        <v>2017</v>
      </c>
      <c r="J4184" s="0" t="str">
        <f aca="false">I4184&amp;"-Q"&amp;ROUNDUP(MONTH(B4184)/3,0)</f>
        <v>2017-Q4</v>
      </c>
    </row>
    <row r="4185" customFormat="false" ht="15" hidden="false" customHeight="false" outlineLevel="0" collapsed="false">
      <c r="A4185" s="0" t="s">
        <v>2151</v>
      </c>
      <c r="B4185" s="6" t="n">
        <v>43014</v>
      </c>
      <c r="C4185" s="7" t="s">
        <v>55</v>
      </c>
      <c r="D4185" s="7" t="s">
        <v>76</v>
      </c>
      <c r="E4185" s="7" t="s">
        <v>35</v>
      </c>
      <c r="F4185" s="0" t="n">
        <v>344.91</v>
      </c>
      <c r="G4185" s="0" t="n">
        <v>10.3473</v>
      </c>
      <c r="H4185" s="0" t="n">
        <v>0</v>
      </c>
      <c r="I4185" s="7" t="n">
        <f aca="false">YEAR(B4185)</f>
        <v>2017</v>
      </c>
      <c r="J4185" s="0" t="str">
        <f aca="false">I4185&amp;"-Q"&amp;ROUNDUP(MONTH(B4185)/3,0)</f>
        <v>2017-Q4</v>
      </c>
    </row>
    <row r="4186" customFormat="false" ht="15" hidden="false" customHeight="false" outlineLevel="0" collapsed="false">
      <c r="A4186" s="0" t="s">
        <v>2152</v>
      </c>
      <c r="B4186" s="6" t="n">
        <v>42709</v>
      </c>
      <c r="C4186" s="7" t="s">
        <v>55</v>
      </c>
      <c r="D4186" s="7" t="s">
        <v>225</v>
      </c>
      <c r="E4186" s="7" t="s">
        <v>31</v>
      </c>
      <c r="F4186" s="0" t="n">
        <v>81.94</v>
      </c>
      <c r="G4186" s="0" t="n">
        <v>20.485</v>
      </c>
      <c r="H4186" s="0" t="n">
        <v>0</v>
      </c>
      <c r="I4186" s="7" t="n">
        <f aca="false">YEAR(B4186)</f>
        <v>2016</v>
      </c>
      <c r="J4186" s="0" t="str">
        <f aca="false">I4186&amp;"-Q"&amp;ROUNDUP(MONTH(B4186)/3,0)</f>
        <v>2016-Q4</v>
      </c>
    </row>
    <row r="4187" customFormat="false" ht="15" hidden="false" customHeight="false" outlineLevel="0" collapsed="false">
      <c r="A4187" s="0" t="s">
        <v>2153</v>
      </c>
      <c r="B4187" s="6" t="n">
        <v>42664</v>
      </c>
      <c r="C4187" s="7" t="s">
        <v>55</v>
      </c>
      <c r="D4187" s="7" t="s">
        <v>495</v>
      </c>
      <c r="E4187" s="7" t="s">
        <v>39</v>
      </c>
      <c r="F4187" s="0" t="n">
        <v>98.16</v>
      </c>
      <c r="G4187" s="0" t="n">
        <v>9.816</v>
      </c>
      <c r="H4187" s="0" t="n">
        <v>0</v>
      </c>
      <c r="I4187" s="7" t="n">
        <f aca="false">YEAR(B4187)</f>
        <v>2016</v>
      </c>
      <c r="J4187" s="0" t="str">
        <f aca="false">I4187&amp;"-Q"&amp;ROUNDUP(MONTH(B4187)/3,0)</f>
        <v>2016-Q4</v>
      </c>
    </row>
    <row r="4188" customFormat="false" ht="15" hidden="false" customHeight="false" outlineLevel="0" collapsed="false">
      <c r="A4188" s="0" t="s">
        <v>2154</v>
      </c>
      <c r="B4188" s="6" t="n">
        <v>42873</v>
      </c>
      <c r="C4188" s="7" t="s">
        <v>45</v>
      </c>
      <c r="D4188" s="7" t="s">
        <v>46</v>
      </c>
      <c r="E4188" s="7" t="s">
        <v>35</v>
      </c>
      <c r="F4188" s="0" t="n">
        <v>6.874</v>
      </c>
      <c r="G4188" s="0" t="n">
        <v>-10.6547</v>
      </c>
      <c r="H4188" s="0" t="n">
        <v>0.8</v>
      </c>
      <c r="I4188" s="7" t="n">
        <f aca="false">YEAR(B4188)</f>
        <v>2017</v>
      </c>
      <c r="J4188" s="0" t="str">
        <f aca="false">I4188&amp;"-Q"&amp;ROUNDUP(MONTH(B4188)/3,0)</f>
        <v>2017-Q2</v>
      </c>
    </row>
    <row r="4189" customFormat="false" ht="15" hidden="false" customHeight="false" outlineLevel="0" collapsed="false">
      <c r="A4189" s="0" t="s">
        <v>2154</v>
      </c>
      <c r="B4189" s="6" t="n">
        <v>42873</v>
      </c>
      <c r="C4189" s="7" t="s">
        <v>45</v>
      </c>
      <c r="D4189" s="7" t="s">
        <v>46</v>
      </c>
      <c r="E4189" s="7" t="s">
        <v>35</v>
      </c>
      <c r="F4189" s="0" t="n">
        <v>1.996</v>
      </c>
      <c r="G4189" s="0" t="n">
        <v>-3.2934</v>
      </c>
      <c r="H4189" s="0" t="n">
        <v>0.8</v>
      </c>
      <c r="I4189" s="7" t="n">
        <f aca="false">YEAR(B4189)</f>
        <v>2017</v>
      </c>
      <c r="J4189" s="0" t="str">
        <f aca="false">I4189&amp;"-Q"&amp;ROUNDUP(MONTH(B4189)/3,0)</f>
        <v>2017-Q2</v>
      </c>
    </row>
    <row r="4190" customFormat="false" ht="15" hidden="false" customHeight="false" outlineLevel="0" collapsed="false">
      <c r="A4190" s="0" t="s">
        <v>2154</v>
      </c>
      <c r="B4190" s="6" t="n">
        <v>42873</v>
      </c>
      <c r="C4190" s="7" t="s">
        <v>45</v>
      </c>
      <c r="D4190" s="7" t="s">
        <v>46</v>
      </c>
      <c r="E4190" s="7" t="s">
        <v>35</v>
      </c>
      <c r="F4190" s="0" t="n">
        <v>8.928</v>
      </c>
      <c r="G4190" s="0" t="n">
        <v>0.6696</v>
      </c>
      <c r="H4190" s="0" t="n">
        <v>0.2</v>
      </c>
      <c r="I4190" s="7" t="n">
        <f aca="false">YEAR(B4190)</f>
        <v>2017</v>
      </c>
      <c r="J4190" s="0" t="str">
        <f aca="false">I4190&amp;"-Q"&amp;ROUNDUP(MONTH(B4190)/3,0)</f>
        <v>2017-Q2</v>
      </c>
    </row>
    <row r="4191" customFormat="false" ht="15" hidden="false" customHeight="false" outlineLevel="0" collapsed="false">
      <c r="A4191" s="0" t="s">
        <v>2155</v>
      </c>
      <c r="B4191" s="6" t="n">
        <v>42639</v>
      </c>
      <c r="C4191" s="7" t="s">
        <v>45</v>
      </c>
      <c r="D4191" s="7" t="s">
        <v>114</v>
      </c>
      <c r="E4191" s="7" t="s">
        <v>35</v>
      </c>
      <c r="F4191" s="0" t="n">
        <v>9.99</v>
      </c>
      <c r="G4191" s="0" t="n">
        <v>4.4955</v>
      </c>
      <c r="H4191" s="0" t="n">
        <v>0</v>
      </c>
      <c r="I4191" s="7" t="n">
        <f aca="false">YEAR(B4191)</f>
        <v>2016</v>
      </c>
      <c r="J4191" s="0" t="str">
        <f aca="false">I4191&amp;"-Q"&amp;ROUNDUP(MONTH(B4191)/3,0)</f>
        <v>2016-Q3</v>
      </c>
    </row>
    <row r="4192" customFormat="false" ht="15" hidden="false" customHeight="false" outlineLevel="0" collapsed="false">
      <c r="A4192" s="0" t="s">
        <v>2156</v>
      </c>
      <c r="B4192" s="6" t="n">
        <v>43056</v>
      </c>
      <c r="C4192" s="7" t="s">
        <v>55</v>
      </c>
      <c r="D4192" s="7" t="s">
        <v>72</v>
      </c>
      <c r="E4192" s="7" t="s">
        <v>39</v>
      </c>
      <c r="F4192" s="0" t="n">
        <v>10499.97</v>
      </c>
      <c r="G4192" s="0" t="n">
        <v>5039.9856</v>
      </c>
      <c r="H4192" s="0" t="n">
        <v>0</v>
      </c>
      <c r="I4192" s="7" t="n">
        <f aca="false">YEAR(B4192)</f>
        <v>2017</v>
      </c>
      <c r="J4192" s="0" t="str">
        <f aca="false">I4192&amp;"-Q"&amp;ROUNDUP(MONTH(B4192)/3,0)</f>
        <v>2017-Q4</v>
      </c>
    </row>
    <row r="4193" customFormat="false" ht="15" hidden="false" customHeight="false" outlineLevel="0" collapsed="false">
      <c r="A4193" s="0" t="s">
        <v>2157</v>
      </c>
      <c r="B4193" s="6" t="n">
        <v>42193</v>
      </c>
      <c r="C4193" s="7" t="s">
        <v>45</v>
      </c>
      <c r="D4193" s="7" t="s">
        <v>46</v>
      </c>
      <c r="E4193" s="7" t="s">
        <v>35</v>
      </c>
      <c r="F4193" s="0" t="n">
        <v>21.12</v>
      </c>
      <c r="G4193" s="0" t="n">
        <v>6.6</v>
      </c>
      <c r="H4193" s="0" t="n">
        <v>0.2</v>
      </c>
      <c r="I4193" s="7" t="n">
        <f aca="false">YEAR(B4193)</f>
        <v>2015</v>
      </c>
      <c r="J4193" s="0" t="str">
        <f aca="false">I4193&amp;"-Q"&amp;ROUNDUP(MONTH(B4193)/3,0)</f>
        <v>2015-Q3</v>
      </c>
    </row>
    <row r="4194" customFormat="false" ht="15" hidden="false" customHeight="false" outlineLevel="0" collapsed="false">
      <c r="A4194" s="0" t="s">
        <v>2158</v>
      </c>
      <c r="B4194" s="6" t="n">
        <v>42324</v>
      </c>
      <c r="C4194" s="7" t="s">
        <v>33</v>
      </c>
      <c r="D4194" s="7" t="s">
        <v>1599</v>
      </c>
      <c r="E4194" s="7" t="s">
        <v>31</v>
      </c>
      <c r="F4194" s="0" t="n">
        <v>696.42</v>
      </c>
      <c r="G4194" s="0" t="n">
        <v>160.1766</v>
      </c>
      <c r="H4194" s="0" t="n">
        <v>0</v>
      </c>
      <c r="I4194" s="7" t="n">
        <f aca="false">YEAR(B4194)</f>
        <v>2015</v>
      </c>
      <c r="J4194" s="0" t="str">
        <f aca="false">I4194&amp;"-Q"&amp;ROUNDUP(MONTH(B4194)/3,0)</f>
        <v>2015-Q4</v>
      </c>
    </row>
    <row r="4195" customFormat="false" ht="15" hidden="false" customHeight="false" outlineLevel="0" collapsed="false">
      <c r="A4195" s="0" t="s">
        <v>2158</v>
      </c>
      <c r="B4195" s="6" t="n">
        <v>42324</v>
      </c>
      <c r="C4195" s="7" t="s">
        <v>33</v>
      </c>
      <c r="D4195" s="7" t="s">
        <v>1599</v>
      </c>
      <c r="E4195" s="7" t="s">
        <v>39</v>
      </c>
      <c r="F4195" s="0" t="n">
        <v>304.776</v>
      </c>
      <c r="G4195" s="0" t="n">
        <v>22.8582</v>
      </c>
      <c r="H4195" s="0" t="n">
        <v>0.2</v>
      </c>
      <c r="I4195" s="7" t="n">
        <f aca="false">YEAR(B4195)</f>
        <v>2015</v>
      </c>
      <c r="J4195" s="0" t="str">
        <f aca="false">I4195&amp;"-Q"&amp;ROUNDUP(MONTH(B4195)/3,0)</f>
        <v>2015-Q4</v>
      </c>
    </row>
    <row r="4196" customFormat="false" ht="15" hidden="false" customHeight="false" outlineLevel="0" collapsed="false">
      <c r="A4196" s="0" t="s">
        <v>2159</v>
      </c>
      <c r="B4196" s="6" t="n">
        <v>42173</v>
      </c>
      <c r="C4196" s="7" t="s">
        <v>33</v>
      </c>
      <c r="D4196" s="7" t="s">
        <v>34</v>
      </c>
      <c r="E4196" s="7" t="s">
        <v>35</v>
      </c>
      <c r="F4196" s="0" t="n">
        <v>51.98</v>
      </c>
      <c r="G4196" s="0" t="n">
        <v>15.0742</v>
      </c>
      <c r="H4196" s="0" t="n">
        <v>0</v>
      </c>
      <c r="I4196" s="7" t="n">
        <f aca="false">YEAR(B4196)</f>
        <v>2015</v>
      </c>
      <c r="J4196" s="0" t="str">
        <f aca="false">I4196&amp;"-Q"&amp;ROUNDUP(MONTH(B4196)/3,0)</f>
        <v>2015-Q2</v>
      </c>
    </row>
    <row r="4197" customFormat="false" ht="15" hidden="false" customHeight="false" outlineLevel="0" collapsed="false">
      <c r="A4197" s="0" t="s">
        <v>2160</v>
      </c>
      <c r="B4197" s="6" t="n">
        <v>42468</v>
      </c>
      <c r="C4197" s="7" t="s">
        <v>33</v>
      </c>
      <c r="D4197" s="7" t="s">
        <v>34</v>
      </c>
      <c r="E4197" s="7" t="s">
        <v>31</v>
      </c>
      <c r="F4197" s="0" t="n">
        <v>24.7</v>
      </c>
      <c r="G4197" s="0" t="n">
        <v>10.374</v>
      </c>
      <c r="H4197" s="0" t="n">
        <v>0</v>
      </c>
      <c r="I4197" s="7" t="n">
        <f aca="false">YEAR(B4197)</f>
        <v>2016</v>
      </c>
      <c r="J4197" s="0" t="str">
        <f aca="false">I4197&amp;"-Q"&amp;ROUNDUP(MONTH(B4197)/3,0)</f>
        <v>2016-Q2</v>
      </c>
    </row>
    <row r="4198" customFormat="false" ht="15" hidden="false" customHeight="false" outlineLevel="0" collapsed="false">
      <c r="A4198" s="0" t="s">
        <v>2161</v>
      </c>
      <c r="B4198" s="6" t="n">
        <v>42112</v>
      </c>
      <c r="C4198" s="7" t="s">
        <v>55</v>
      </c>
      <c r="D4198" s="7" t="s">
        <v>76</v>
      </c>
      <c r="E4198" s="7" t="s">
        <v>35</v>
      </c>
      <c r="F4198" s="0" t="n">
        <v>21.93</v>
      </c>
      <c r="G4198" s="0" t="n">
        <v>10.3071</v>
      </c>
      <c r="H4198" s="0" t="n">
        <v>0</v>
      </c>
      <c r="I4198" s="7" t="n">
        <f aca="false">YEAR(B4198)</f>
        <v>2015</v>
      </c>
      <c r="J4198" s="0" t="str">
        <f aca="false">I4198&amp;"-Q"&amp;ROUNDUP(MONTH(B4198)/3,0)</f>
        <v>2015-Q2</v>
      </c>
    </row>
    <row r="4199" customFormat="false" ht="15" hidden="false" customHeight="false" outlineLevel="0" collapsed="false">
      <c r="A4199" s="0" t="s">
        <v>2162</v>
      </c>
      <c r="B4199" s="6" t="n">
        <v>42707</v>
      </c>
      <c r="C4199" s="7" t="s">
        <v>55</v>
      </c>
      <c r="D4199" s="7" t="s">
        <v>56</v>
      </c>
      <c r="E4199" s="7" t="s">
        <v>35</v>
      </c>
      <c r="F4199" s="0" t="n">
        <v>394.816</v>
      </c>
      <c r="G4199" s="0" t="n">
        <v>93.7688</v>
      </c>
      <c r="H4199" s="0" t="n">
        <v>0.2</v>
      </c>
      <c r="I4199" s="7" t="n">
        <f aca="false">YEAR(B4199)</f>
        <v>2016</v>
      </c>
      <c r="J4199" s="0" t="str">
        <f aca="false">I4199&amp;"-Q"&amp;ROUNDUP(MONTH(B4199)/3,0)</f>
        <v>2016-Q4</v>
      </c>
    </row>
    <row r="4200" customFormat="false" ht="15" hidden="false" customHeight="false" outlineLevel="0" collapsed="false">
      <c r="A4200" s="0" t="s">
        <v>2162</v>
      </c>
      <c r="B4200" s="6" t="n">
        <v>42707</v>
      </c>
      <c r="C4200" s="7" t="s">
        <v>55</v>
      </c>
      <c r="D4200" s="7" t="s">
        <v>56</v>
      </c>
      <c r="E4200" s="7" t="s">
        <v>35</v>
      </c>
      <c r="F4200" s="0" t="n">
        <v>18.192</v>
      </c>
      <c r="G4200" s="0" t="n">
        <v>-14.5536</v>
      </c>
      <c r="H4200" s="0" t="n">
        <v>0.7</v>
      </c>
      <c r="I4200" s="7" t="n">
        <f aca="false">YEAR(B4200)</f>
        <v>2016</v>
      </c>
      <c r="J4200" s="0" t="str">
        <f aca="false">I4200&amp;"-Q"&amp;ROUNDUP(MONTH(B4200)/3,0)</f>
        <v>2016-Q4</v>
      </c>
    </row>
    <row r="4201" customFormat="false" ht="15" hidden="false" customHeight="false" outlineLevel="0" collapsed="false">
      <c r="A4201" s="0" t="s">
        <v>2163</v>
      </c>
      <c r="B4201" s="6" t="n">
        <v>42348</v>
      </c>
      <c r="C4201" s="7" t="s">
        <v>55</v>
      </c>
      <c r="D4201" s="7" t="s">
        <v>76</v>
      </c>
      <c r="E4201" s="7" t="s">
        <v>35</v>
      </c>
      <c r="F4201" s="0" t="n">
        <v>7.31</v>
      </c>
      <c r="G4201" s="0" t="n">
        <v>3.4357</v>
      </c>
      <c r="H4201" s="0" t="n">
        <v>0</v>
      </c>
      <c r="I4201" s="7" t="n">
        <f aca="false">YEAR(B4201)</f>
        <v>2015</v>
      </c>
      <c r="J4201" s="0" t="str">
        <f aca="false">I4201&amp;"-Q"&amp;ROUNDUP(MONTH(B4201)/3,0)</f>
        <v>2015-Q4</v>
      </c>
    </row>
    <row r="4202" customFormat="false" ht="15" hidden="false" customHeight="false" outlineLevel="0" collapsed="false">
      <c r="A4202" s="0" t="s">
        <v>2163</v>
      </c>
      <c r="B4202" s="6" t="n">
        <v>42348</v>
      </c>
      <c r="C4202" s="7" t="s">
        <v>55</v>
      </c>
      <c r="D4202" s="7" t="s">
        <v>76</v>
      </c>
      <c r="E4202" s="7" t="s">
        <v>39</v>
      </c>
      <c r="F4202" s="0" t="n">
        <v>799.984</v>
      </c>
      <c r="G4202" s="0" t="n">
        <v>249.995</v>
      </c>
      <c r="H4202" s="0" t="n">
        <v>0.2</v>
      </c>
      <c r="I4202" s="7" t="n">
        <f aca="false">YEAR(B4202)</f>
        <v>2015</v>
      </c>
      <c r="J4202" s="0" t="str">
        <f aca="false">I4202&amp;"-Q"&amp;ROUNDUP(MONTH(B4202)/3,0)</f>
        <v>2015-Q4</v>
      </c>
    </row>
    <row r="4203" customFormat="false" ht="15" hidden="false" customHeight="false" outlineLevel="0" collapsed="false">
      <c r="A4203" s="0" t="s">
        <v>2163</v>
      </c>
      <c r="B4203" s="6" t="n">
        <v>42348</v>
      </c>
      <c r="C4203" s="7" t="s">
        <v>55</v>
      </c>
      <c r="D4203" s="7" t="s">
        <v>76</v>
      </c>
      <c r="E4203" s="7" t="s">
        <v>35</v>
      </c>
      <c r="F4203" s="0" t="n">
        <v>41.28</v>
      </c>
      <c r="G4203" s="0" t="n">
        <v>18.9888</v>
      </c>
      <c r="H4203" s="0" t="n">
        <v>0</v>
      </c>
      <c r="I4203" s="7" t="n">
        <f aca="false">YEAR(B4203)</f>
        <v>2015</v>
      </c>
      <c r="J4203" s="0" t="str">
        <f aca="false">I4203&amp;"-Q"&amp;ROUNDUP(MONTH(B4203)/3,0)</f>
        <v>2015-Q4</v>
      </c>
    </row>
    <row r="4204" customFormat="false" ht="15" hidden="false" customHeight="false" outlineLevel="0" collapsed="false">
      <c r="A4204" s="0" t="s">
        <v>2163</v>
      </c>
      <c r="B4204" s="6" t="n">
        <v>42348</v>
      </c>
      <c r="C4204" s="7" t="s">
        <v>55</v>
      </c>
      <c r="D4204" s="7" t="s">
        <v>76</v>
      </c>
      <c r="E4204" s="7" t="s">
        <v>35</v>
      </c>
      <c r="F4204" s="0" t="n">
        <v>184.66</v>
      </c>
      <c r="G4204" s="0" t="n">
        <v>84.9436</v>
      </c>
      <c r="H4204" s="0" t="n">
        <v>0</v>
      </c>
      <c r="I4204" s="7" t="n">
        <f aca="false">YEAR(B4204)</f>
        <v>2015</v>
      </c>
      <c r="J4204" s="0" t="str">
        <f aca="false">I4204&amp;"-Q"&amp;ROUNDUP(MONTH(B4204)/3,0)</f>
        <v>2015-Q4</v>
      </c>
    </row>
    <row r="4205" customFormat="false" ht="15" hidden="false" customHeight="false" outlineLevel="0" collapsed="false">
      <c r="A4205" s="0" t="s">
        <v>2164</v>
      </c>
      <c r="B4205" s="6" t="n">
        <v>41943</v>
      </c>
      <c r="C4205" s="7" t="s">
        <v>55</v>
      </c>
      <c r="D4205" s="7" t="s">
        <v>250</v>
      </c>
      <c r="E4205" s="7" t="s">
        <v>35</v>
      </c>
      <c r="F4205" s="0" t="n">
        <v>49.25</v>
      </c>
      <c r="G4205" s="0" t="n">
        <v>18.715</v>
      </c>
      <c r="H4205" s="0" t="n">
        <v>0</v>
      </c>
      <c r="I4205" s="7" t="n">
        <f aca="false">YEAR(B4205)</f>
        <v>2014</v>
      </c>
      <c r="J4205" s="0" t="str">
        <f aca="false">I4205&amp;"-Q"&amp;ROUNDUP(MONTH(B4205)/3,0)</f>
        <v>2014-Q4</v>
      </c>
    </row>
    <row r="4206" customFormat="false" ht="15" hidden="false" customHeight="false" outlineLevel="0" collapsed="false">
      <c r="A4206" s="0" t="s">
        <v>2164</v>
      </c>
      <c r="B4206" s="6" t="n">
        <v>41943</v>
      </c>
      <c r="C4206" s="7" t="s">
        <v>55</v>
      </c>
      <c r="D4206" s="7" t="s">
        <v>250</v>
      </c>
      <c r="E4206" s="7" t="s">
        <v>35</v>
      </c>
      <c r="F4206" s="0" t="n">
        <v>10.16</v>
      </c>
      <c r="G4206" s="0" t="n">
        <v>4.7752</v>
      </c>
      <c r="H4206" s="0" t="n">
        <v>0</v>
      </c>
      <c r="I4206" s="7" t="n">
        <f aca="false">YEAR(B4206)</f>
        <v>2014</v>
      </c>
      <c r="J4206" s="0" t="str">
        <f aca="false">I4206&amp;"-Q"&amp;ROUNDUP(MONTH(B4206)/3,0)</f>
        <v>2014-Q4</v>
      </c>
    </row>
    <row r="4207" customFormat="false" ht="15" hidden="false" customHeight="false" outlineLevel="0" collapsed="false">
      <c r="A4207" s="0" t="s">
        <v>2164</v>
      </c>
      <c r="B4207" s="6" t="n">
        <v>41943</v>
      </c>
      <c r="C4207" s="7" t="s">
        <v>55</v>
      </c>
      <c r="D4207" s="7" t="s">
        <v>250</v>
      </c>
      <c r="E4207" s="7" t="s">
        <v>31</v>
      </c>
      <c r="F4207" s="0" t="n">
        <v>14.76</v>
      </c>
      <c r="G4207" s="0" t="n">
        <v>4.2804</v>
      </c>
      <c r="H4207" s="0" t="n">
        <v>0</v>
      </c>
      <c r="I4207" s="7" t="n">
        <f aca="false">YEAR(B4207)</f>
        <v>2014</v>
      </c>
      <c r="J4207" s="0" t="str">
        <f aca="false">I4207&amp;"-Q"&amp;ROUNDUP(MONTH(B4207)/3,0)</f>
        <v>2014-Q4</v>
      </c>
    </row>
    <row r="4208" customFormat="false" ht="15" hidden="false" customHeight="false" outlineLevel="0" collapsed="false">
      <c r="A4208" s="0" t="s">
        <v>2164</v>
      </c>
      <c r="B4208" s="6" t="n">
        <v>41943</v>
      </c>
      <c r="C4208" s="7" t="s">
        <v>55</v>
      </c>
      <c r="D4208" s="7" t="s">
        <v>250</v>
      </c>
      <c r="E4208" s="7" t="s">
        <v>35</v>
      </c>
      <c r="F4208" s="0" t="n">
        <v>34.08</v>
      </c>
      <c r="G4208" s="0" t="n">
        <v>15.6768</v>
      </c>
      <c r="H4208" s="0" t="n">
        <v>0</v>
      </c>
      <c r="I4208" s="7" t="n">
        <f aca="false">YEAR(B4208)</f>
        <v>2014</v>
      </c>
      <c r="J4208" s="0" t="str">
        <f aca="false">I4208&amp;"-Q"&amp;ROUNDUP(MONTH(B4208)/3,0)</f>
        <v>2014-Q4</v>
      </c>
    </row>
    <row r="4209" customFormat="false" ht="15" hidden="false" customHeight="false" outlineLevel="0" collapsed="false">
      <c r="A4209" s="0" t="s">
        <v>2164</v>
      </c>
      <c r="B4209" s="6" t="n">
        <v>41943</v>
      </c>
      <c r="C4209" s="7" t="s">
        <v>55</v>
      </c>
      <c r="D4209" s="7" t="s">
        <v>250</v>
      </c>
      <c r="E4209" s="7" t="s">
        <v>31</v>
      </c>
      <c r="F4209" s="0" t="n">
        <v>17.67</v>
      </c>
      <c r="G4209" s="0" t="n">
        <v>7.7748</v>
      </c>
      <c r="H4209" s="0" t="n">
        <v>0</v>
      </c>
      <c r="I4209" s="7" t="n">
        <f aca="false">YEAR(B4209)</f>
        <v>2014</v>
      </c>
      <c r="J4209" s="0" t="str">
        <f aca="false">I4209&amp;"-Q"&amp;ROUNDUP(MONTH(B4209)/3,0)</f>
        <v>2014-Q4</v>
      </c>
    </row>
    <row r="4210" customFormat="false" ht="15" hidden="false" customHeight="false" outlineLevel="0" collapsed="false">
      <c r="A4210" s="0" t="s">
        <v>2164</v>
      </c>
      <c r="B4210" s="6" t="n">
        <v>41943</v>
      </c>
      <c r="C4210" s="7" t="s">
        <v>55</v>
      </c>
      <c r="D4210" s="7" t="s">
        <v>250</v>
      </c>
      <c r="E4210" s="7" t="s">
        <v>31</v>
      </c>
      <c r="F4210" s="0" t="n">
        <v>1604.9</v>
      </c>
      <c r="G4210" s="0" t="n">
        <v>481.47</v>
      </c>
      <c r="H4210" s="0" t="n">
        <v>0</v>
      </c>
      <c r="I4210" s="7" t="n">
        <f aca="false">YEAR(B4210)</f>
        <v>2014</v>
      </c>
      <c r="J4210" s="0" t="str">
        <f aca="false">I4210&amp;"-Q"&amp;ROUNDUP(MONTH(B4210)/3,0)</f>
        <v>2014-Q4</v>
      </c>
    </row>
    <row r="4211" customFormat="false" ht="15" hidden="false" customHeight="false" outlineLevel="0" collapsed="false">
      <c r="A4211" s="0" t="s">
        <v>2164</v>
      </c>
      <c r="B4211" s="6" t="n">
        <v>41943</v>
      </c>
      <c r="C4211" s="7" t="s">
        <v>55</v>
      </c>
      <c r="D4211" s="7" t="s">
        <v>250</v>
      </c>
      <c r="E4211" s="7" t="s">
        <v>31</v>
      </c>
      <c r="F4211" s="0" t="n">
        <v>385.686</v>
      </c>
      <c r="G4211" s="0" t="n">
        <v>-60.6078</v>
      </c>
      <c r="H4211" s="0" t="n">
        <v>0.3</v>
      </c>
      <c r="I4211" s="7" t="n">
        <f aca="false">YEAR(B4211)</f>
        <v>2014</v>
      </c>
      <c r="J4211" s="0" t="str">
        <f aca="false">I4211&amp;"-Q"&amp;ROUNDUP(MONTH(B4211)/3,0)</f>
        <v>2014-Q4</v>
      </c>
    </row>
    <row r="4212" customFormat="false" ht="15" hidden="false" customHeight="false" outlineLevel="0" collapsed="false">
      <c r="A4212" s="0" t="s">
        <v>2165</v>
      </c>
      <c r="B4212" s="6" t="n">
        <v>43078</v>
      </c>
      <c r="C4212" s="7" t="s">
        <v>45</v>
      </c>
      <c r="D4212" s="7" t="s">
        <v>64</v>
      </c>
      <c r="E4212" s="7" t="s">
        <v>35</v>
      </c>
      <c r="F4212" s="0" t="n">
        <v>15.984</v>
      </c>
      <c r="G4212" s="0" t="n">
        <v>4.995</v>
      </c>
      <c r="H4212" s="0" t="n">
        <v>0.2</v>
      </c>
      <c r="I4212" s="7" t="n">
        <f aca="false">YEAR(B4212)</f>
        <v>2017</v>
      </c>
      <c r="J4212" s="0" t="str">
        <f aca="false">I4212&amp;"-Q"&amp;ROUNDUP(MONTH(B4212)/3,0)</f>
        <v>2017-Q4</v>
      </c>
    </row>
    <row r="4213" customFormat="false" ht="15" hidden="false" customHeight="false" outlineLevel="0" collapsed="false">
      <c r="A4213" s="0" t="s">
        <v>2166</v>
      </c>
      <c r="B4213" s="6" t="n">
        <v>41764</v>
      </c>
      <c r="C4213" s="7" t="s">
        <v>29</v>
      </c>
      <c r="D4213" s="7" t="s">
        <v>30</v>
      </c>
      <c r="E4213" s="7" t="s">
        <v>35</v>
      </c>
      <c r="F4213" s="0" t="n">
        <v>9.42</v>
      </c>
      <c r="G4213" s="0" t="n">
        <v>4.239</v>
      </c>
      <c r="H4213" s="0" t="n">
        <v>0</v>
      </c>
      <c r="I4213" s="7" t="n">
        <f aca="false">YEAR(B4213)</f>
        <v>2014</v>
      </c>
      <c r="J4213" s="0" t="str">
        <f aca="false">I4213&amp;"-Q"&amp;ROUNDUP(MONTH(B4213)/3,0)</f>
        <v>2014-Q2</v>
      </c>
    </row>
    <row r="4214" customFormat="false" ht="15" hidden="false" customHeight="false" outlineLevel="0" collapsed="false">
      <c r="A4214" s="0" t="s">
        <v>2166</v>
      </c>
      <c r="B4214" s="6" t="n">
        <v>41764</v>
      </c>
      <c r="C4214" s="7" t="s">
        <v>29</v>
      </c>
      <c r="D4214" s="7" t="s">
        <v>30</v>
      </c>
      <c r="E4214" s="7" t="s">
        <v>35</v>
      </c>
      <c r="F4214" s="0" t="n">
        <v>6.56</v>
      </c>
      <c r="G4214" s="0" t="n">
        <v>1.9024</v>
      </c>
      <c r="H4214" s="0" t="n">
        <v>0</v>
      </c>
      <c r="I4214" s="7" t="n">
        <f aca="false">YEAR(B4214)</f>
        <v>2014</v>
      </c>
      <c r="J4214" s="0" t="str">
        <f aca="false">I4214&amp;"-Q"&amp;ROUNDUP(MONTH(B4214)/3,0)</f>
        <v>2014-Q2</v>
      </c>
    </row>
    <row r="4215" customFormat="false" ht="15" hidden="false" customHeight="false" outlineLevel="0" collapsed="false">
      <c r="A4215" s="0" t="s">
        <v>2166</v>
      </c>
      <c r="B4215" s="6" t="n">
        <v>41764</v>
      </c>
      <c r="C4215" s="7" t="s">
        <v>29</v>
      </c>
      <c r="D4215" s="7" t="s">
        <v>30</v>
      </c>
      <c r="E4215" s="7" t="s">
        <v>35</v>
      </c>
      <c r="F4215" s="0" t="n">
        <v>24.56</v>
      </c>
      <c r="G4215" s="0" t="n">
        <v>11.5432</v>
      </c>
      <c r="H4215" s="0" t="n">
        <v>0</v>
      </c>
      <c r="I4215" s="7" t="n">
        <f aca="false">YEAR(B4215)</f>
        <v>2014</v>
      </c>
      <c r="J4215" s="0" t="str">
        <f aca="false">I4215&amp;"-Q"&amp;ROUNDUP(MONTH(B4215)/3,0)</f>
        <v>2014-Q2</v>
      </c>
    </row>
    <row r="4216" customFormat="false" ht="15" hidden="false" customHeight="false" outlineLevel="0" collapsed="false">
      <c r="A4216" s="0" t="s">
        <v>2167</v>
      </c>
      <c r="B4216" s="6" t="n">
        <v>42433</v>
      </c>
      <c r="C4216" s="7" t="s">
        <v>45</v>
      </c>
      <c r="D4216" s="7" t="s">
        <v>74</v>
      </c>
      <c r="E4216" s="7" t="s">
        <v>35</v>
      </c>
      <c r="F4216" s="0" t="n">
        <v>128.4</v>
      </c>
      <c r="G4216" s="0" t="n">
        <v>64.2</v>
      </c>
      <c r="H4216" s="0" t="n">
        <v>0</v>
      </c>
      <c r="I4216" s="7" t="n">
        <f aca="false">YEAR(B4216)</f>
        <v>2016</v>
      </c>
      <c r="J4216" s="0" t="str">
        <f aca="false">I4216&amp;"-Q"&amp;ROUNDUP(MONTH(B4216)/3,0)</f>
        <v>2016-Q1</v>
      </c>
    </row>
    <row r="4217" customFormat="false" ht="15" hidden="false" customHeight="false" outlineLevel="0" collapsed="false">
      <c r="A4217" s="0" t="s">
        <v>2168</v>
      </c>
      <c r="B4217" s="6" t="n">
        <v>41973</v>
      </c>
      <c r="C4217" s="7" t="s">
        <v>55</v>
      </c>
      <c r="D4217" s="7" t="s">
        <v>76</v>
      </c>
      <c r="E4217" s="7" t="s">
        <v>35</v>
      </c>
      <c r="F4217" s="0" t="n">
        <v>62.28</v>
      </c>
      <c r="G4217" s="0" t="n">
        <v>29.2716</v>
      </c>
      <c r="H4217" s="0" t="n">
        <v>0</v>
      </c>
      <c r="I4217" s="7" t="n">
        <f aca="false">YEAR(B4217)</f>
        <v>2014</v>
      </c>
      <c r="J4217" s="0" t="str">
        <f aca="false">I4217&amp;"-Q"&amp;ROUNDUP(MONTH(B4217)/3,0)</f>
        <v>2014-Q4</v>
      </c>
    </row>
    <row r="4218" customFormat="false" ht="15" hidden="false" customHeight="false" outlineLevel="0" collapsed="false">
      <c r="A4218" s="0" t="s">
        <v>2169</v>
      </c>
      <c r="B4218" s="6" t="n">
        <v>42053</v>
      </c>
      <c r="C4218" s="7" t="s">
        <v>33</v>
      </c>
      <c r="D4218" s="7" t="s">
        <v>34</v>
      </c>
      <c r="E4218" s="7" t="s">
        <v>35</v>
      </c>
      <c r="F4218" s="0" t="n">
        <v>9.24</v>
      </c>
      <c r="G4218" s="0" t="n">
        <v>4.4352</v>
      </c>
      <c r="H4218" s="0" t="n">
        <v>0</v>
      </c>
      <c r="I4218" s="7" t="n">
        <f aca="false">YEAR(B4218)</f>
        <v>2015</v>
      </c>
      <c r="J4218" s="0" t="str">
        <f aca="false">I4218&amp;"-Q"&amp;ROUNDUP(MONTH(B4218)/3,0)</f>
        <v>2015-Q1</v>
      </c>
    </row>
    <row r="4219" customFormat="false" ht="15" hidden="false" customHeight="false" outlineLevel="0" collapsed="false">
      <c r="A4219" s="0" t="s">
        <v>2170</v>
      </c>
      <c r="B4219" s="6" t="n">
        <v>42826</v>
      </c>
      <c r="C4219" s="7" t="s">
        <v>33</v>
      </c>
      <c r="D4219" s="7" t="s">
        <v>34</v>
      </c>
      <c r="E4219" s="7" t="s">
        <v>31</v>
      </c>
      <c r="F4219" s="0" t="n">
        <v>482.664</v>
      </c>
      <c r="G4219" s="0" t="n">
        <v>85.176</v>
      </c>
      <c r="H4219" s="0" t="n">
        <v>0.15</v>
      </c>
      <c r="I4219" s="7" t="n">
        <f aca="false">YEAR(B4219)</f>
        <v>2017</v>
      </c>
      <c r="J4219" s="0" t="str">
        <f aca="false">I4219&amp;"-Q"&amp;ROUNDUP(MONTH(B4219)/3,0)</f>
        <v>2017-Q2</v>
      </c>
    </row>
    <row r="4220" customFormat="false" ht="15" hidden="false" customHeight="false" outlineLevel="0" collapsed="false">
      <c r="A4220" s="0" t="s">
        <v>2170</v>
      </c>
      <c r="B4220" s="6" t="n">
        <v>42826</v>
      </c>
      <c r="C4220" s="7" t="s">
        <v>33</v>
      </c>
      <c r="D4220" s="7" t="s">
        <v>34</v>
      </c>
      <c r="E4220" s="7" t="s">
        <v>39</v>
      </c>
      <c r="F4220" s="0" t="n">
        <v>4799.984</v>
      </c>
      <c r="G4220" s="0" t="n">
        <v>359.9988</v>
      </c>
      <c r="H4220" s="0" t="n">
        <v>0.2</v>
      </c>
      <c r="I4220" s="7" t="n">
        <f aca="false">YEAR(B4220)</f>
        <v>2017</v>
      </c>
      <c r="J4220" s="0" t="str">
        <f aca="false">I4220&amp;"-Q"&amp;ROUNDUP(MONTH(B4220)/3,0)</f>
        <v>2017-Q2</v>
      </c>
    </row>
    <row r="4221" customFormat="false" ht="15" hidden="false" customHeight="false" outlineLevel="0" collapsed="false">
      <c r="A4221" s="0" t="s">
        <v>2171</v>
      </c>
      <c r="B4221" s="6" t="n">
        <v>42897</v>
      </c>
      <c r="C4221" s="7" t="s">
        <v>33</v>
      </c>
      <c r="D4221" s="7" t="s">
        <v>43</v>
      </c>
      <c r="E4221" s="7" t="s">
        <v>35</v>
      </c>
      <c r="F4221" s="0" t="n">
        <v>37.94</v>
      </c>
      <c r="G4221" s="0" t="n">
        <v>18.2112</v>
      </c>
      <c r="H4221" s="0" t="n">
        <v>0</v>
      </c>
      <c r="I4221" s="7" t="n">
        <f aca="false">YEAR(B4221)</f>
        <v>2017</v>
      </c>
      <c r="J4221" s="0" t="str">
        <f aca="false">I4221&amp;"-Q"&amp;ROUNDUP(MONTH(B4221)/3,0)</f>
        <v>2017-Q2</v>
      </c>
    </row>
    <row r="4222" customFormat="false" ht="15" hidden="false" customHeight="false" outlineLevel="0" collapsed="false">
      <c r="A4222" s="0" t="s">
        <v>2171</v>
      </c>
      <c r="B4222" s="6" t="n">
        <v>42897</v>
      </c>
      <c r="C4222" s="7" t="s">
        <v>33</v>
      </c>
      <c r="D4222" s="7" t="s">
        <v>43</v>
      </c>
      <c r="E4222" s="7" t="s">
        <v>35</v>
      </c>
      <c r="F4222" s="0" t="n">
        <v>18.288</v>
      </c>
      <c r="G4222" s="0" t="n">
        <v>6.6294</v>
      </c>
      <c r="H4222" s="0" t="n">
        <v>0.2</v>
      </c>
      <c r="I4222" s="7" t="n">
        <f aca="false">YEAR(B4222)</f>
        <v>2017</v>
      </c>
      <c r="J4222" s="0" t="str">
        <f aca="false">I4222&amp;"-Q"&amp;ROUNDUP(MONTH(B4222)/3,0)</f>
        <v>2017-Q2</v>
      </c>
    </row>
    <row r="4223" customFormat="false" ht="15" hidden="false" customHeight="false" outlineLevel="0" collapsed="false">
      <c r="A4223" s="0" t="s">
        <v>2171</v>
      </c>
      <c r="B4223" s="6" t="n">
        <v>42897</v>
      </c>
      <c r="C4223" s="7" t="s">
        <v>33</v>
      </c>
      <c r="D4223" s="7" t="s">
        <v>43</v>
      </c>
      <c r="E4223" s="7" t="s">
        <v>39</v>
      </c>
      <c r="F4223" s="0" t="n">
        <v>385.8</v>
      </c>
      <c r="G4223" s="0" t="n">
        <v>130.2075</v>
      </c>
      <c r="H4223" s="0" t="n">
        <v>0.2</v>
      </c>
      <c r="I4223" s="7" t="n">
        <f aca="false">YEAR(B4223)</f>
        <v>2017</v>
      </c>
      <c r="J4223" s="0" t="str">
        <f aca="false">I4223&amp;"-Q"&amp;ROUNDUP(MONTH(B4223)/3,0)</f>
        <v>2017-Q2</v>
      </c>
    </row>
    <row r="4224" customFormat="false" ht="15" hidden="false" customHeight="false" outlineLevel="0" collapsed="false">
      <c r="A4224" s="0" t="s">
        <v>2171</v>
      </c>
      <c r="B4224" s="6" t="n">
        <v>42897</v>
      </c>
      <c r="C4224" s="7" t="s">
        <v>33</v>
      </c>
      <c r="D4224" s="7" t="s">
        <v>43</v>
      </c>
      <c r="E4224" s="7" t="s">
        <v>35</v>
      </c>
      <c r="F4224" s="0" t="n">
        <v>102.96</v>
      </c>
      <c r="G4224" s="0" t="n">
        <v>1.0296</v>
      </c>
      <c r="H4224" s="0" t="n">
        <v>0</v>
      </c>
      <c r="I4224" s="7" t="n">
        <f aca="false">YEAR(B4224)</f>
        <v>2017</v>
      </c>
      <c r="J4224" s="0" t="str">
        <f aca="false">I4224&amp;"-Q"&amp;ROUNDUP(MONTH(B4224)/3,0)</f>
        <v>2017-Q2</v>
      </c>
    </row>
    <row r="4225" customFormat="false" ht="15" hidden="false" customHeight="false" outlineLevel="0" collapsed="false">
      <c r="A4225" s="0" t="s">
        <v>2171</v>
      </c>
      <c r="B4225" s="6" t="n">
        <v>42897</v>
      </c>
      <c r="C4225" s="7" t="s">
        <v>33</v>
      </c>
      <c r="D4225" s="7" t="s">
        <v>43</v>
      </c>
      <c r="E4225" s="7" t="s">
        <v>31</v>
      </c>
      <c r="F4225" s="0" t="n">
        <v>174.42</v>
      </c>
      <c r="G4225" s="0" t="n">
        <v>41.8608</v>
      </c>
      <c r="H4225" s="0" t="n">
        <v>0</v>
      </c>
      <c r="I4225" s="7" t="n">
        <f aca="false">YEAR(B4225)</f>
        <v>2017</v>
      </c>
      <c r="J4225" s="0" t="str">
        <f aca="false">I4225&amp;"-Q"&amp;ROUNDUP(MONTH(B4225)/3,0)</f>
        <v>2017-Q2</v>
      </c>
    </row>
    <row r="4226" customFormat="false" ht="15" hidden="false" customHeight="false" outlineLevel="0" collapsed="false">
      <c r="A4226" s="0" t="s">
        <v>2172</v>
      </c>
      <c r="B4226" s="6" t="n">
        <v>42643</v>
      </c>
      <c r="C4226" s="7" t="s">
        <v>45</v>
      </c>
      <c r="D4226" s="7" t="s">
        <v>64</v>
      </c>
      <c r="E4226" s="7" t="s">
        <v>35</v>
      </c>
      <c r="F4226" s="0" t="n">
        <v>1.964</v>
      </c>
      <c r="G4226" s="0" t="n">
        <v>-3.2406</v>
      </c>
      <c r="H4226" s="0" t="n">
        <v>0.8</v>
      </c>
      <c r="I4226" s="7" t="n">
        <f aca="false">YEAR(B4226)</f>
        <v>2016</v>
      </c>
      <c r="J4226" s="0" t="str">
        <f aca="false">I4226&amp;"-Q"&amp;ROUNDUP(MONTH(B4226)/3,0)</f>
        <v>2016-Q3</v>
      </c>
    </row>
    <row r="4227" customFormat="false" ht="15" hidden="false" customHeight="false" outlineLevel="0" collapsed="false">
      <c r="A4227" s="0" t="s">
        <v>2173</v>
      </c>
      <c r="B4227" s="6" t="n">
        <v>41986</v>
      </c>
      <c r="C4227" s="7" t="s">
        <v>45</v>
      </c>
      <c r="D4227" s="7" t="s">
        <v>64</v>
      </c>
      <c r="E4227" s="7" t="s">
        <v>31</v>
      </c>
      <c r="F4227" s="0" t="n">
        <v>94.428</v>
      </c>
      <c r="G4227" s="0" t="n">
        <v>-42.4926</v>
      </c>
      <c r="H4227" s="0" t="n">
        <v>0.6</v>
      </c>
      <c r="I4227" s="7" t="n">
        <f aca="false">YEAR(B4227)</f>
        <v>2014</v>
      </c>
      <c r="J4227" s="0" t="str">
        <f aca="false">I4227&amp;"-Q"&amp;ROUNDUP(MONTH(B4227)/3,0)</f>
        <v>2014-Q4</v>
      </c>
    </row>
    <row r="4228" customFormat="false" ht="15" hidden="false" customHeight="false" outlineLevel="0" collapsed="false">
      <c r="A4228" s="0" t="s">
        <v>2174</v>
      </c>
      <c r="B4228" s="6" t="n">
        <v>43050</v>
      </c>
      <c r="C4228" s="7" t="s">
        <v>45</v>
      </c>
      <c r="D4228" s="7" t="s">
        <v>114</v>
      </c>
      <c r="E4228" s="7" t="s">
        <v>35</v>
      </c>
      <c r="F4228" s="0" t="n">
        <v>45.92</v>
      </c>
      <c r="G4228" s="0" t="n">
        <v>21.5824</v>
      </c>
      <c r="H4228" s="0" t="n">
        <v>0</v>
      </c>
      <c r="I4228" s="7" t="n">
        <f aca="false">YEAR(B4228)</f>
        <v>2017</v>
      </c>
      <c r="J4228" s="0" t="str">
        <f aca="false">I4228&amp;"-Q"&amp;ROUNDUP(MONTH(B4228)/3,0)</f>
        <v>2017-Q4</v>
      </c>
    </row>
    <row r="4229" customFormat="false" ht="15" hidden="false" customHeight="false" outlineLevel="0" collapsed="false">
      <c r="A4229" s="0" t="s">
        <v>2175</v>
      </c>
      <c r="B4229" s="6" t="n">
        <v>42009</v>
      </c>
      <c r="C4229" s="7" t="s">
        <v>33</v>
      </c>
      <c r="D4229" s="7" t="s">
        <v>43</v>
      </c>
      <c r="E4229" s="7" t="s">
        <v>31</v>
      </c>
      <c r="F4229" s="0" t="n">
        <v>61.584</v>
      </c>
      <c r="G4229" s="0" t="n">
        <v>-6.9282</v>
      </c>
      <c r="H4229" s="0" t="n">
        <v>0.2</v>
      </c>
      <c r="I4229" s="7" t="n">
        <f aca="false">YEAR(B4229)</f>
        <v>2015</v>
      </c>
      <c r="J4229" s="0" t="str">
        <f aca="false">I4229&amp;"-Q"&amp;ROUNDUP(MONTH(B4229)/3,0)</f>
        <v>2015-Q1</v>
      </c>
    </row>
    <row r="4230" customFormat="false" ht="15" hidden="false" customHeight="false" outlineLevel="0" collapsed="false">
      <c r="A4230" s="0" t="s">
        <v>2176</v>
      </c>
      <c r="B4230" s="6" t="n">
        <v>42453</v>
      </c>
      <c r="C4230" s="7" t="s">
        <v>45</v>
      </c>
      <c r="D4230" s="7" t="s">
        <v>74</v>
      </c>
      <c r="E4230" s="7" t="s">
        <v>35</v>
      </c>
      <c r="F4230" s="0" t="n">
        <v>22.48</v>
      </c>
      <c r="G4230" s="0" t="n">
        <v>10.3408</v>
      </c>
      <c r="H4230" s="0" t="n">
        <v>0</v>
      </c>
      <c r="I4230" s="7" t="n">
        <f aca="false">YEAR(B4230)</f>
        <v>2016</v>
      </c>
      <c r="J4230" s="0" t="str">
        <f aca="false">I4230&amp;"-Q"&amp;ROUNDUP(MONTH(B4230)/3,0)</f>
        <v>2016-Q1</v>
      </c>
    </row>
    <row r="4231" customFormat="false" ht="15" hidden="false" customHeight="false" outlineLevel="0" collapsed="false">
      <c r="A4231" s="0" t="s">
        <v>2177</v>
      </c>
      <c r="B4231" s="6" t="n">
        <v>42921</v>
      </c>
      <c r="C4231" s="7" t="s">
        <v>45</v>
      </c>
      <c r="D4231" s="7" t="s">
        <v>46</v>
      </c>
      <c r="E4231" s="7" t="s">
        <v>31</v>
      </c>
      <c r="F4231" s="0" t="n">
        <v>332.028</v>
      </c>
      <c r="G4231" s="0" t="n">
        <v>-348.6294</v>
      </c>
      <c r="H4231" s="0" t="n">
        <v>0.6</v>
      </c>
      <c r="I4231" s="7" t="n">
        <f aca="false">YEAR(B4231)</f>
        <v>2017</v>
      </c>
      <c r="J4231" s="0" t="str">
        <f aca="false">I4231&amp;"-Q"&amp;ROUNDUP(MONTH(B4231)/3,0)</f>
        <v>2017-Q3</v>
      </c>
    </row>
    <row r="4232" customFormat="false" ht="15" hidden="false" customHeight="false" outlineLevel="0" collapsed="false">
      <c r="A4232" s="0" t="s">
        <v>2177</v>
      </c>
      <c r="B4232" s="6" t="n">
        <v>42921</v>
      </c>
      <c r="C4232" s="7" t="s">
        <v>45</v>
      </c>
      <c r="D4232" s="7" t="s">
        <v>46</v>
      </c>
      <c r="E4232" s="7" t="s">
        <v>35</v>
      </c>
      <c r="F4232" s="0" t="n">
        <v>11.394</v>
      </c>
      <c r="G4232" s="0" t="n">
        <v>-17.6607</v>
      </c>
      <c r="H4232" s="0" t="n">
        <v>0.8</v>
      </c>
      <c r="I4232" s="7" t="n">
        <f aca="false">YEAR(B4232)</f>
        <v>2017</v>
      </c>
      <c r="J4232" s="0" t="str">
        <f aca="false">I4232&amp;"-Q"&amp;ROUNDUP(MONTH(B4232)/3,0)</f>
        <v>2017-Q3</v>
      </c>
    </row>
    <row r="4233" customFormat="false" ht="15" hidden="false" customHeight="false" outlineLevel="0" collapsed="false">
      <c r="A4233" s="0" t="s">
        <v>2177</v>
      </c>
      <c r="B4233" s="6" t="n">
        <v>42921</v>
      </c>
      <c r="C4233" s="7" t="s">
        <v>45</v>
      </c>
      <c r="D4233" s="7" t="s">
        <v>46</v>
      </c>
      <c r="E4233" s="7" t="s">
        <v>35</v>
      </c>
      <c r="F4233" s="0" t="n">
        <v>15.552</v>
      </c>
      <c r="G4233" s="0" t="n">
        <v>5.6376</v>
      </c>
      <c r="H4233" s="0" t="n">
        <v>0.2</v>
      </c>
      <c r="I4233" s="7" t="n">
        <f aca="false">YEAR(B4233)</f>
        <v>2017</v>
      </c>
      <c r="J4233" s="0" t="str">
        <f aca="false">I4233&amp;"-Q"&amp;ROUNDUP(MONTH(B4233)/3,0)</f>
        <v>2017-Q3</v>
      </c>
    </row>
    <row r="4234" customFormat="false" ht="15" hidden="false" customHeight="false" outlineLevel="0" collapsed="false">
      <c r="A4234" s="0" t="s">
        <v>2177</v>
      </c>
      <c r="B4234" s="6" t="n">
        <v>42921</v>
      </c>
      <c r="C4234" s="7" t="s">
        <v>45</v>
      </c>
      <c r="D4234" s="7" t="s">
        <v>46</v>
      </c>
      <c r="E4234" s="7" t="s">
        <v>35</v>
      </c>
      <c r="F4234" s="0" t="n">
        <v>31.104</v>
      </c>
      <c r="G4234" s="0" t="n">
        <v>11.2752</v>
      </c>
      <c r="H4234" s="0" t="n">
        <v>0.2</v>
      </c>
      <c r="I4234" s="7" t="n">
        <f aca="false">YEAR(B4234)</f>
        <v>2017</v>
      </c>
      <c r="J4234" s="0" t="str">
        <f aca="false">I4234&amp;"-Q"&amp;ROUNDUP(MONTH(B4234)/3,0)</f>
        <v>2017-Q3</v>
      </c>
    </row>
    <row r="4235" customFormat="false" ht="15" hidden="false" customHeight="false" outlineLevel="0" collapsed="false">
      <c r="A4235" s="0" t="s">
        <v>2177</v>
      </c>
      <c r="B4235" s="6" t="n">
        <v>42921</v>
      </c>
      <c r="C4235" s="7" t="s">
        <v>45</v>
      </c>
      <c r="D4235" s="7" t="s">
        <v>46</v>
      </c>
      <c r="E4235" s="7" t="s">
        <v>35</v>
      </c>
      <c r="F4235" s="0" t="n">
        <v>6.316</v>
      </c>
      <c r="G4235" s="0" t="n">
        <v>-10.4214</v>
      </c>
      <c r="H4235" s="0" t="n">
        <v>0.8</v>
      </c>
      <c r="I4235" s="7" t="n">
        <f aca="false">YEAR(B4235)</f>
        <v>2017</v>
      </c>
      <c r="J4235" s="0" t="str">
        <f aca="false">I4235&amp;"-Q"&amp;ROUNDUP(MONTH(B4235)/3,0)</f>
        <v>2017-Q3</v>
      </c>
    </row>
    <row r="4236" customFormat="false" ht="15" hidden="false" customHeight="false" outlineLevel="0" collapsed="false">
      <c r="A4236" s="0" t="s">
        <v>2178</v>
      </c>
      <c r="B4236" s="6" t="n">
        <v>41903</v>
      </c>
      <c r="C4236" s="7" t="s">
        <v>55</v>
      </c>
      <c r="D4236" s="7" t="s">
        <v>56</v>
      </c>
      <c r="E4236" s="7" t="s">
        <v>35</v>
      </c>
      <c r="F4236" s="0" t="n">
        <v>11.352</v>
      </c>
      <c r="G4236" s="0" t="n">
        <v>4.1151</v>
      </c>
      <c r="H4236" s="0" t="n">
        <v>0.2</v>
      </c>
      <c r="I4236" s="7" t="n">
        <f aca="false">YEAR(B4236)</f>
        <v>2014</v>
      </c>
      <c r="J4236" s="0" t="str">
        <f aca="false">I4236&amp;"-Q"&amp;ROUNDUP(MONTH(B4236)/3,0)</f>
        <v>2014-Q3</v>
      </c>
    </row>
    <row r="4237" customFormat="false" ht="15" hidden="false" customHeight="false" outlineLevel="0" collapsed="false">
      <c r="A4237" s="0" t="s">
        <v>2178</v>
      </c>
      <c r="B4237" s="6" t="n">
        <v>41903</v>
      </c>
      <c r="C4237" s="7" t="s">
        <v>55</v>
      </c>
      <c r="D4237" s="7" t="s">
        <v>56</v>
      </c>
      <c r="E4237" s="7" t="s">
        <v>35</v>
      </c>
      <c r="F4237" s="0" t="n">
        <v>20.808</v>
      </c>
      <c r="G4237" s="0" t="n">
        <v>7.0227</v>
      </c>
      <c r="H4237" s="0" t="n">
        <v>0.2</v>
      </c>
      <c r="I4237" s="7" t="n">
        <f aca="false">YEAR(B4237)</f>
        <v>2014</v>
      </c>
      <c r="J4237" s="0" t="str">
        <f aca="false">I4237&amp;"-Q"&amp;ROUNDUP(MONTH(B4237)/3,0)</f>
        <v>2014-Q3</v>
      </c>
    </row>
    <row r="4238" customFormat="false" ht="15" hidden="false" customHeight="false" outlineLevel="0" collapsed="false">
      <c r="A4238" s="0" t="s">
        <v>2179</v>
      </c>
      <c r="B4238" s="6" t="n">
        <v>42574</v>
      </c>
      <c r="C4238" s="7" t="s">
        <v>45</v>
      </c>
      <c r="D4238" s="7" t="s">
        <v>64</v>
      </c>
      <c r="E4238" s="7" t="s">
        <v>35</v>
      </c>
      <c r="F4238" s="0" t="n">
        <v>11.416</v>
      </c>
      <c r="G4238" s="0" t="n">
        <v>-18.8364</v>
      </c>
      <c r="H4238" s="0" t="n">
        <v>0.8</v>
      </c>
      <c r="I4238" s="7" t="n">
        <f aca="false">YEAR(B4238)</f>
        <v>2016</v>
      </c>
      <c r="J4238" s="0" t="str">
        <f aca="false">I4238&amp;"-Q"&amp;ROUNDUP(MONTH(B4238)/3,0)</f>
        <v>2016-Q3</v>
      </c>
    </row>
    <row r="4239" customFormat="false" ht="15" hidden="false" customHeight="false" outlineLevel="0" collapsed="false">
      <c r="A4239" s="0" t="s">
        <v>2180</v>
      </c>
      <c r="B4239" s="6" t="n">
        <v>42976</v>
      </c>
      <c r="C4239" s="7" t="s">
        <v>55</v>
      </c>
      <c r="D4239" s="7" t="s">
        <v>56</v>
      </c>
      <c r="E4239" s="7" t="s">
        <v>35</v>
      </c>
      <c r="F4239" s="0" t="n">
        <v>9.408</v>
      </c>
      <c r="G4239" s="0" t="n">
        <v>0.7056</v>
      </c>
      <c r="H4239" s="0" t="n">
        <v>0.2</v>
      </c>
      <c r="I4239" s="7" t="n">
        <f aca="false">YEAR(B4239)</f>
        <v>2017</v>
      </c>
      <c r="J4239" s="0" t="str">
        <f aca="false">I4239&amp;"-Q"&amp;ROUNDUP(MONTH(B4239)/3,0)</f>
        <v>2017-Q3</v>
      </c>
    </row>
    <row r="4240" customFormat="false" ht="15" hidden="false" customHeight="false" outlineLevel="0" collapsed="false">
      <c r="A4240" s="0" t="s">
        <v>2181</v>
      </c>
      <c r="B4240" s="6" t="n">
        <v>42820</v>
      </c>
      <c r="C4240" s="7" t="s">
        <v>33</v>
      </c>
      <c r="D4240" s="7" t="s">
        <v>43</v>
      </c>
      <c r="E4240" s="7" t="s">
        <v>35</v>
      </c>
      <c r="F4240" s="0" t="n">
        <v>19.83</v>
      </c>
      <c r="G4240" s="0" t="n">
        <v>5.949</v>
      </c>
      <c r="H4240" s="0" t="n">
        <v>0</v>
      </c>
      <c r="I4240" s="7" t="n">
        <f aca="false">YEAR(B4240)</f>
        <v>2017</v>
      </c>
      <c r="J4240" s="0" t="str">
        <f aca="false">I4240&amp;"-Q"&amp;ROUNDUP(MONTH(B4240)/3,0)</f>
        <v>2017-Q1</v>
      </c>
    </row>
    <row r="4241" customFormat="false" ht="15" hidden="false" customHeight="false" outlineLevel="0" collapsed="false">
      <c r="A4241" s="0" t="s">
        <v>2182</v>
      </c>
      <c r="B4241" s="6" t="n">
        <v>43098</v>
      </c>
      <c r="C4241" s="7" t="s">
        <v>45</v>
      </c>
      <c r="D4241" s="7" t="s">
        <v>70</v>
      </c>
      <c r="E4241" s="7" t="s">
        <v>35</v>
      </c>
      <c r="F4241" s="0" t="n">
        <v>209.7</v>
      </c>
      <c r="G4241" s="0" t="n">
        <v>100.656</v>
      </c>
      <c r="H4241" s="0" t="n">
        <v>0</v>
      </c>
      <c r="I4241" s="7" t="n">
        <f aca="false">YEAR(B4241)</f>
        <v>2017</v>
      </c>
      <c r="J4241" s="0" t="str">
        <f aca="false">I4241&amp;"-Q"&amp;ROUNDUP(MONTH(B4241)/3,0)</f>
        <v>2017-Q4</v>
      </c>
    </row>
    <row r="4242" customFormat="false" ht="15" hidden="false" customHeight="false" outlineLevel="0" collapsed="false">
      <c r="A4242" s="0" t="s">
        <v>2183</v>
      </c>
      <c r="B4242" s="6" t="n">
        <v>41902</v>
      </c>
      <c r="C4242" s="7" t="s">
        <v>33</v>
      </c>
      <c r="D4242" s="7" t="s">
        <v>34</v>
      </c>
      <c r="E4242" s="7" t="s">
        <v>35</v>
      </c>
      <c r="F4242" s="0" t="n">
        <v>43.92</v>
      </c>
      <c r="G4242" s="0" t="n">
        <v>11.8584</v>
      </c>
      <c r="H4242" s="0" t="n">
        <v>0</v>
      </c>
      <c r="I4242" s="7" t="n">
        <f aca="false">YEAR(B4242)</f>
        <v>2014</v>
      </c>
      <c r="J4242" s="0" t="str">
        <f aca="false">I4242&amp;"-Q"&amp;ROUNDUP(MONTH(B4242)/3,0)</f>
        <v>2014-Q3</v>
      </c>
    </row>
    <row r="4243" customFormat="false" ht="15" hidden="false" customHeight="false" outlineLevel="0" collapsed="false">
      <c r="A4243" s="0" t="s">
        <v>2183</v>
      </c>
      <c r="B4243" s="6" t="n">
        <v>41902</v>
      </c>
      <c r="C4243" s="7" t="s">
        <v>33</v>
      </c>
      <c r="D4243" s="7" t="s">
        <v>34</v>
      </c>
      <c r="E4243" s="7" t="s">
        <v>35</v>
      </c>
      <c r="F4243" s="0" t="n">
        <v>20.232</v>
      </c>
      <c r="G4243" s="0" t="n">
        <v>6.5754</v>
      </c>
      <c r="H4243" s="0" t="n">
        <v>0.2</v>
      </c>
      <c r="I4243" s="7" t="n">
        <f aca="false">YEAR(B4243)</f>
        <v>2014</v>
      </c>
      <c r="J4243" s="0" t="str">
        <f aca="false">I4243&amp;"-Q"&amp;ROUNDUP(MONTH(B4243)/3,0)</f>
        <v>2014-Q3</v>
      </c>
    </row>
    <row r="4244" customFormat="false" ht="15" hidden="false" customHeight="false" outlineLevel="0" collapsed="false">
      <c r="A4244" s="0" t="s">
        <v>2184</v>
      </c>
      <c r="B4244" s="6" t="n">
        <v>42464</v>
      </c>
      <c r="C4244" s="7" t="s">
        <v>29</v>
      </c>
      <c r="D4244" s="7" t="s">
        <v>83</v>
      </c>
      <c r="E4244" s="7" t="s">
        <v>39</v>
      </c>
      <c r="F4244" s="0" t="n">
        <v>149.97</v>
      </c>
      <c r="G4244" s="0" t="n">
        <v>5.9988</v>
      </c>
      <c r="H4244" s="0" t="n">
        <v>0</v>
      </c>
      <c r="I4244" s="7" t="n">
        <f aca="false">YEAR(B4244)</f>
        <v>2016</v>
      </c>
      <c r="J4244" s="0" t="str">
        <f aca="false">I4244&amp;"-Q"&amp;ROUNDUP(MONTH(B4244)/3,0)</f>
        <v>2016-Q2</v>
      </c>
    </row>
    <row r="4245" customFormat="false" ht="15" hidden="false" customHeight="false" outlineLevel="0" collapsed="false">
      <c r="A4245" s="0" t="s">
        <v>2184</v>
      </c>
      <c r="B4245" s="6" t="n">
        <v>42464</v>
      </c>
      <c r="C4245" s="7" t="s">
        <v>29</v>
      </c>
      <c r="D4245" s="7" t="s">
        <v>83</v>
      </c>
      <c r="E4245" s="7" t="s">
        <v>35</v>
      </c>
      <c r="F4245" s="0" t="n">
        <v>27.81</v>
      </c>
      <c r="G4245" s="0" t="n">
        <v>13.0707</v>
      </c>
      <c r="H4245" s="0" t="n">
        <v>0</v>
      </c>
      <c r="I4245" s="7" t="n">
        <f aca="false">YEAR(B4245)</f>
        <v>2016</v>
      </c>
      <c r="J4245" s="0" t="str">
        <f aca="false">I4245&amp;"-Q"&amp;ROUNDUP(MONTH(B4245)/3,0)</f>
        <v>2016-Q2</v>
      </c>
    </row>
    <row r="4246" customFormat="false" ht="15" hidden="false" customHeight="false" outlineLevel="0" collapsed="false">
      <c r="A4246" s="0" t="s">
        <v>2185</v>
      </c>
      <c r="B4246" s="6" t="n">
        <v>41724</v>
      </c>
      <c r="C4246" s="7" t="s">
        <v>33</v>
      </c>
      <c r="D4246" s="7" t="s">
        <v>34</v>
      </c>
      <c r="E4246" s="7" t="s">
        <v>39</v>
      </c>
      <c r="F4246" s="0" t="n">
        <v>66.3</v>
      </c>
      <c r="G4246" s="0" t="n">
        <v>8.619</v>
      </c>
      <c r="H4246" s="0" t="n">
        <v>0</v>
      </c>
      <c r="I4246" s="7" t="n">
        <f aca="false">YEAR(B4246)</f>
        <v>2014</v>
      </c>
      <c r="J4246" s="0" t="str">
        <f aca="false">I4246&amp;"-Q"&amp;ROUNDUP(MONTH(B4246)/3,0)</f>
        <v>2014-Q1</v>
      </c>
    </row>
    <row r="4247" customFormat="false" ht="15" hidden="false" customHeight="false" outlineLevel="0" collapsed="false">
      <c r="A4247" s="0" t="s">
        <v>2186</v>
      </c>
      <c r="B4247" s="6" t="n">
        <v>43067</v>
      </c>
      <c r="C4247" s="7" t="s">
        <v>55</v>
      </c>
      <c r="D4247" s="7" t="s">
        <v>495</v>
      </c>
      <c r="E4247" s="7" t="s">
        <v>35</v>
      </c>
      <c r="F4247" s="0" t="n">
        <v>1.64</v>
      </c>
      <c r="G4247" s="0" t="n">
        <v>0.738</v>
      </c>
      <c r="H4247" s="0" t="n">
        <v>0</v>
      </c>
      <c r="I4247" s="7" t="n">
        <f aca="false">YEAR(B4247)</f>
        <v>2017</v>
      </c>
      <c r="J4247" s="0" t="str">
        <f aca="false">I4247&amp;"-Q"&amp;ROUNDUP(MONTH(B4247)/3,0)</f>
        <v>2017-Q4</v>
      </c>
    </row>
    <row r="4248" customFormat="false" ht="15" hidden="false" customHeight="false" outlineLevel="0" collapsed="false">
      <c r="A4248" s="0" t="s">
        <v>2186</v>
      </c>
      <c r="B4248" s="6" t="n">
        <v>43067</v>
      </c>
      <c r="C4248" s="7" t="s">
        <v>55</v>
      </c>
      <c r="D4248" s="7" t="s">
        <v>495</v>
      </c>
      <c r="E4248" s="7" t="s">
        <v>31</v>
      </c>
      <c r="F4248" s="0" t="n">
        <v>1049.2</v>
      </c>
      <c r="G4248" s="0" t="n">
        <v>272.792</v>
      </c>
      <c r="H4248" s="0" t="n">
        <v>0</v>
      </c>
      <c r="I4248" s="7" t="n">
        <f aca="false">YEAR(B4248)</f>
        <v>2017</v>
      </c>
      <c r="J4248" s="0" t="str">
        <f aca="false">I4248&amp;"-Q"&amp;ROUNDUP(MONTH(B4248)/3,0)</f>
        <v>2017-Q4</v>
      </c>
    </row>
    <row r="4249" customFormat="false" ht="15" hidden="false" customHeight="false" outlineLevel="0" collapsed="false">
      <c r="A4249" s="0" t="s">
        <v>2186</v>
      </c>
      <c r="B4249" s="6" t="n">
        <v>43067</v>
      </c>
      <c r="C4249" s="7" t="s">
        <v>55</v>
      </c>
      <c r="D4249" s="7" t="s">
        <v>495</v>
      </c>
      <c r="E4249" s="7" t="s">
        <v>31</v>
      </c>
      <c r="F4249" s="0" t="n">
        <v>20.9</v>
      </c>
      <c r="G4249" s="0" t="n">
        <v>7.524</v>
      </c>
      <c r="H4249" s="0" t="n">
        <v>0</v>
      </c>
      <c r="I4249" s="7" t="n">
        <f aca="false">YEAR(B4249)</f>
        <v>2017</v>
      </c>
      <c r="J4249" s="0" t="str">
        <f aca="false">I4249&amp;"-Q"&amp;ROUNDUP(MONTH(B4249)/3,0)</f>
        <v>2017-Q4</v>
      </c>
    </row>
    <row r="4250" customFormat="false" ht="15" hidden="false" customHeight="false" outlineLevel="0" collapsed="false">
      <c r="A4250" s="0" t="s">
        <v>2187</v>
      </c>
      <c r="B4250" s="6" t="n">
        <v>42705</v>
      </c>
      <c r="C4250" s="7" t="s">
        <v>55</v>
      </c>
      <c r="D4250" s="7" t="s">
        <v>154</v>
      </c>
      <c r="E4250" s="7" t="s">
        <v>35</v>
      </c>
      <c r="F4250" s="0" t="n">
        <v>88.08</v>
      </c>
      <c r="G4250" s="0" t="n">
        <v>40.5168</v>
      </c>
      <c r="H4250" s="0" t="n">
        <v>0</v>
      </c>
      <c r="I4250" s="7" t="n">
        <f aca="false">YEAR(B4250)</f>
        <v>2016</v>
      </c>
      <c r="J4250" s="0" t="str">
        <f aca="false">I4250&amp;"-Q"&amp;ROUNDUP(MONTH(B4250)/3,0)</f>
        <v>2016-Q4</v>
      </c>
    </row>
    <row r="4251" customFormat="false" ht="15" hidden="false" customHeight="false" outlineLevel="0" collapsed="false">
      <c r="A4251" s="0" t="s">
        <v>2187</v>
      </c>
      <c r="B4251" s="6" t="n">
        <v>42705</v>
      </c>
      <c r="C4251" s="7" t="s">
        <v>55</v>
      </c>
      <c r="D4251" s="7" t="s">
        <v>154</v>
      </c>
      <c r="E4251" s="7" t="s">
        <v>31</v>
      </c>
      <c r="F4251" s="0" t="n">
        <v>751.92</v>
      </c>
      <c r="G4251" s="0" t="n">
        <v>150.384</v>
      </c>
      <c r="H4251" s="0" t="n">
        <v>0</v>
      </c>
      <c r="I4251" s="7" t="n">
        <f aca="false">YEAR(B4251)</f>
        <v>2016</v>
      </c>
      <c r="J4251" s="0" t="str">
        <f aca="false">I4251&amp;"-Q"&amp;ROUNDUP(MONTH(B4251)/3,0)</f>
        <v>2016-Q4</v>
      </c>
    </row>
    <row r="4252" customFormat="false" ht="15" hidden="false" customHeight="false" outlineLevel="0" collapsed="false">
      <c r="A4252" s="0" t="s">
        <v>2188</v>
      </c>
      <c r="B4252" s="6" t="n">
        <v>41901</v>
      </c>
      <c r="C4252" s="7" t="s">
        <v>55</v>
      </c>
      <c r="D4252" s="7" t="s">
        <v>76</v>
      </c>
      <c r="E4252" s="7" t="s">
        <v>31</v>
      </c>
      <c r="F4252" s="0" t="n">
        <v>887.103</v>
      </c>
      <c r="G4252" s="0" t="n">
        <v>177.4206</v>
      </c>
      <c r="H4252" s="0" t="n">
        <v>0.1</v>
      </c>
      <c r="I4252" s="7" t="n">
        <f aca="false">YEAR(B4252)</f>
        <v>2014</v>
      </c>
      <c r="J4252" s="0" t="str">
        <f aca="false">I4252&amp;"-Q"&amp;ROUNDUP(MONTH(B4252)/3,0)</f>
        <v>2014-Q3</v>
      </c>
    </row>
    <row r="4253" customFormat="false" ht="15" hidden="false" customHeight="false" outlineLevel="0" collapsed="false">
      <c r="A4253" s="0" t="s">
        <v>2189</v>
      </c>
      <c r="B4253" s="6" t="n">
        <v>42300</v>
      </c>
      <c r="C4253" s="7" t="s">
        <v>29</v>
      </c>
      <c r="D4253" s="7" t="s">
        <v>37</v>
      </c>
      <c r="E4253" s="7" t="s">
        <v>39</v>
      </c>
      <c r="F4253" s="0" t="n">
        <v>55.944</v>
      </c>
      <c r="G4253" s="0" t="n">
        <v>-13.2867</v>
      </c>
      <c r="H4253" s="0" t="n">
        <v>0.2</v>
      </c>
      <c r="I4253" s="7" t="n">
        <f aca="false">YEAR(B4253)</f>
        <v>2015</v>
      </c>
      <c r="J4253" s="0" t="str">
        <f aca="false">I4253&amp;"-Q"&amp;ROUNDUP(MONTH(B4253)/3,0)</f>
        <v>2015-Q4</v>
      </c>
    </row>
    <row r="4254" customFormat="false" ht="15" hidden="false" customHeight="false" outlineLevel="0" collapsed="false">
      <c r="A4254" s="0" t="s">
        <v>2189</v>
      </c>
      <c r="B4254" s="6" t="n">
        <v>42300</v>
      </c>
      <c r="C4254" s="7" t="s">
        <v>29</v>
      </c>
      <c r="D4254" s="7" t="s">
        <v>37</v>
      </c>
      <c r="E4254" s="7" t="s">
        <v>35</v>
      </c>
      <c r="F4254" s="0" t="n">
        <v>10.688</v>
      </c>
      <c r="G4254" s="0" t="n">
        <v>2.2712</v>
      </c>
      <c r="H4254" s="0" t="n">
        <v>0.2</v>
      </c>
      <c r="I4254" s="7" t="n">
        <f aca="false">YEAR(B4254)</f>
        <v>2015</v>
      </c>
      <c r="J4254" s="0" t="str">
        <f aca="false">I4254&amp;"-Q"&amp;ROUNDUP(MONTH(B4254)/3,0)</f>
        <v>2015-Q4</v>
      </c>
    </row>
    <row r="4255" customFormat="false" ht="15" hidden="false" customHeight="false" outlineLevel="0" collapsed="false">
      <c r="A4255" s="0" t="s">
        <v>2189</v>
      </c>
      <c r="B4255" s="6" t="n">
        <v>42300</v>
      </c>
      <c r="C4255" s="7" t="s">
        <v>29</v>
      </c>
      <c r="D4255" s="7" t="s">
        <v>37</v>
      </c>
      <c r="E4255" s="7" t="s">
        <v>39</v>
      </c>
      <c r="F4255" s="0" t="n">
        <v>11.824</v>
      </c>
      <c r="G4255" s="0" t="n">
        <v>1.0346</v>
      </c>
      <c r="H4255" s="0" t="n">
        <v>0.2</v>
      </c>
      <c r="I4255" s="7" t="n">
        <f aca="false">YEAR(B4255)</f>
        <v>2015</v>
      </c>
      <c r="J4255" s="0" t="str">
        <f aca="false">I4255&amp;"-Q"&amp;ROUNDUP(MONTH(B4255)/3,0)</f>
        <v>2015-Q4</v>
      </c>
    </row>
    <row r="4256" customFormat="false" ht="15" hidden="false" customHeight="false" outlineLevel="0" collapsed="false">
      <c r="A4256" s="0" t="s">
        <v>2190</v>
      </c>
      <c r="B4256" s="6" t="n">
        <v>43021</v>
      </c>
      <c r="C4256" s="7" t="s">
        <v>45</v>
      </c>
      <c r="D4256" s="7" t="s">
        <v>64</v>
      </c>
      <c r="E4256" s="7" t="s">
        <v>35</v>
      </c>
      <c r="F4256" s="0" t="n">
        <v>63.312</v>
      </c>
      <c r="G4256" s="0" t="n">
        <v>20.5764</v>
      </c>
      <c r="H4256" s="0" t="n">
        <v>0.2</v>
      </c>
      <c r="I4256" s="7" t="n">
        <f aca="false">YEAR(B4256)</f>
        <v>2017</v>
      </c>
      <c r="J4256" s="0" t="str">
        <f aca="false">I4256&amp;"-Q"&amp;ROUNDUP(MONTH(B4256)/3,0)</f>
        <v>2017-Q4</v>
      </c>
    </row>
    <row r="4257" customFormat="false" ht="15" hidden="false" customHeight="false" outlineLevel="0" collapsed="false">
      <c r="A4257" s="0" t="s">
        <v>2190</v>
      </c>
      <c r="B4257" s="6" t="n">
        <v>43021</v>
      </c>
      <c r="C4257" s="7" t="s">
        <v>45</v>
      </c>
      <c r="D4257" s="7" t="s">
        <v>64</v>
      </c>
      <c r="E4257" s="7" t="s">
        <v>35</v>
      </c>
      <c r="F4257" s="0" t="n">
        <v>96.784</v>
      </c>
      <c r="G4257" s="0" t="n">
        <v>-145.176</v>
      </c>
      <c r="H4257" s="0" t="n">
        <v>0.8</v>
      </c>
      <c r="I4257" s="7" t="n">
        <f aca="false">YEAR(B4257)</f>
        <v>2017</v>
      </c>
      <c r="J4257" s="0" t="str">
        <f aca="false">I4257&amp;"-Q"&amp;ROUNDUP(MONTH(B4257)/3,0)</f>
        <v>2017-Q4</v>
      </c>
    </row>
    <row r="4258" customFormat="false" ht="15" hidden="false" customHeight="false" outlineLevel="0" collapsed="false">
      <c r="A4258" s="0" t="s">
        <v>2190</v>
      </c>
      <c r="B4258" s="6" t="n">
        <v>43021</v>
      </c>
      <c r="C4258" s="7" t="s">
        <v>45</v>
      </c>
      <c r="D4258" s="7" t="s">
        <v>64</v>
      </c>
      <c r="E4258" s="7" t="s">
        <v>31</v>
      </c>
      <c r="F4258" s="0" t="n">
        <v>10.476</v>
      </c>
      <c r="G4258" s="0" t="n">
        <v>-6.8094</v>
      </c>
      <c r="H4258" s="0" t="n">
        <v>0.6</v>
      </c>
      <c r="I4258" s="7" t="n">
        <f aca="false">YEAR(B4258)</f>
        <v>2017</v>
      </c>
      <c r="J4258" s="0" t="str">
        <f aca="false">I4258&amp;"-Q"&amp;ROUNDUP(MONTH(B4258)/3,0)</f>
        <v>2017-Q4</v>
      </c>
    </row>
    <row r="4259" customFormat="false" ht="15" hidden="false" customHeight="false" outlineLevel="0" collapsed="false">
      <c r="A4259" s="0" t="s">
        <v>2191</v>
      </c>
      <c r="B4259" s="6" t="n">
        <v>42251</v>
      </c>
      <c r="C4259" s="7" t="s">
        <v>33</v>
      </c>
      <c r="D4259" s="7" t="s">
        <v>102</v>
      </c>
      <c r="E4259" s="7" t="s">
        <v>35</v>
      </c>
      <c r="F4259" s="0" t="n">
        <v>9.762</v>
      </c>
      <c r="G4259" s="0" t="n">
        <v>-6.8334</v>
      </c>
      <c r="H4259" s="0" t="n">
        <v>0.7</v>
      </c>
      <c r="I4259" s="7" t="n">
        <f aca="false">YEAR(B4259)</f>
        <v>2015</v>
      </c>
      <c r="J4259" s="0" t="str">
        <f aca="false">I4259&amp;"-Q"&amp;ROUNDUP(MONTH(B4259)/3,0)</f>
        <v>2015-Q3</v>
      </c>
    </row>
    <row r="4260" customFormat="false" ht="15" hidden="false" customHeight="false" outlineLevel="0" collapsed="false">
      <c r="A4260" s="0" t="s">
        <v>2192</v>
      </c>
      <c r="B4260" s="6" t="n">
        <v>42443</v>
      </c>
      <c r="C4260" s="7" t="s">
        <v>33</v>
      </c>
      <c r="D4260" s="7" t="s">
        <v>43</v>
      </c>
      <c r="E4260" s="7" t="s">
        <v>31</v>
      </c>
      <c r="F4260" s="0" t="n">
        <v>196.784</v>
      </c>
      <c r="G4260" s="0" t="n">
        <v>-22.1382</v>
      </c>
      <c r="H4260" s="0" t="n">
        <v>0.2</v>
      </c>
      <c r="I4260" s="7" t="n">
        <f aca="false">YEAR(B4260)</f>
        <v>2016</v>
      </c>
      <c r="J4260" s="0" t="str">
        <f aca="false">I4260&amp;"-Q"&amp;ROUNDUP(MONTH(B4260)/3,0)</f>
        <v>2016-Q1</v>
      </c>
    </row>
    <row r="4261" customFormat="false" ht="15" hidden="false" customHeight="false" outlineLevel="0" collapsed="false">
      <c r="A4261" s="0" t="s">
        <v>2193</v>
      </c>
      <c r="B4261" s="6" t="n">
        <v>43036</v>
      </c>
      <c r="C4261" s="7" t="s">
        <v>55</v>
      </c>
      <c r="D4261" s="7" t="s">
        <v>76</v>
      </c>
      <c r="E4261" s="7" t="s">
        <v>35</v>
      </c>
      <c r="F4261" s="0" t="n">
        <v>47.98</v>
      </c>
      <c r="G4261" s="0" t="n">
        <v>23.99</v>
      </c>
      <c r="H4261" s="0" t="n">
        <v>0</v>
      </c>
      <c r="I4261" s="7" t="n">
        <f aca="false">YEAR(B4261)</f>
        <v>2017</v>
      </c>
      <c r="J4261" s="0" t="str">
        <f aca="false">I4261&amp;"-Q"&amp;ROUNDUP(MONTH(B4261)/3,0)</f>
        <v>2017-Q4</v>
      </c>
    </row>
    <row r="4262" customFormat="false" ht="15" hidden="false" customHeight="false" outlineLevel="0" collapsed="false">
      <c r="A4262" s="0" t="s">
        <v>2194</v>
      </c>
      <c r="B4262" s="6" t="n">
        <v>43023</v>
      </c>
      <c r="C4262" s="7" t="s">
        <v>55</v>
      </c>
      <c r="D4262" s="7" t="s">
        <v>154</v>
      </c>
      <c r="E4262" s="7" t="s">
        <v>35</v>
      </c>
      <c r="F4262" s="0" t="n">
        <v>13.05</v>
      </c>
      <c r="G4262" s="0" t="n">
        <v>6.003</v>
      </c>
      <c r="H4262" s="0" t="n">
        <v>0</v>
      </c>
      <c r="I4262" s="7" t="n">
        <f aca="false">YEAR(B4262)</f>
        <v>2017</v>
      </c>
      <c r="J4262" s="0" t="str">
        <f aca="false">I4262&amp;"-Q"&amp;ROUNDUP(MONTH(B4262)/3,0)</f>
        <v>2017-Q4</v>
      </c>
    </row>
    <row r="4263" customFormat="false" ht="15" hidden="false" customHeight="false" outlineLevel="0" collapsed="false">
      <c r="A4263" s="0" t="s">
        <v>2195</v>
      </c>
      <c r="B4263" s="6" t="n">
        <v>42954</v>
      </c>
      <c r="C4263" s="7" t="s">
        <v>45</v>
      </c>
      <c r="D4263" s="7" t="s">
        <v>68</v>
      </c>
      <c r="E4263" s="7" t="s">
        <v>39</v>
      </c>
      <c r="F4263" s="0" t="n">
        <v>63.96</v>
      </c>
      <c r="G4263" s="0" t="n">
        <v>19.8276</v>
      </c>
      <c r="H4263" s="0" t="n">
        <v>0</v>
      </c>
      <c r="I4263" s="7" t="n">
        <f aca="false">YEAR(B4263)</f>
        <v>2017</v>
      </c>
      <c r="J4263" s="0" t="str">
        <f aca="false">I4263&amp;"-Q"&amp;ROUNDUP(MONTH(B4263)/3,0)</f>
        <v>2017-Q3</v>
      </c>
    </row>
    <row r="4264" customFormat="false" ht="15" hidden="false" customHeight="false" outlineLevel="0" collapsed="false">
      <c r="A4264" s="0" t="s">
        <v>2196</v>
      </c>
      <c r="B4264" s="6" t="n">
        <v>42999</v>
      </c>
      <c r="C4264" s="7" t="s">
        <v>29</v>
      </c>
      <c r="D4264" s="7" t="s">
        <v>230</v>
      </c>
      <c r="E4264" s="7" t="s">
        <v>35</v>
      </c>
      <c r="F4264" s="0" t="n">
        <v>80.48</v>
      </c>
      <c r="G4264" s="0" t="n">
        <v>24.144</v>
      </c>
      <c r="H4264" s="0" t="n">
        <v>0</v>
      </c>
      <c r="I4264" s="7" t="n">
        <f aca="false">YEAR(B4264)</f>
        <v>2017</v>
      </c>
      <c r="J4264" s="0" t="str">
        <f aca="false">I4264&amp;"-Q"&amp;ROUNDUP(MONTH(B4264)/3,0)</f>
        <v>2017-Q3</v>
      </c>
    </row>
    <row r="4265" customFormat="false" ht="15" hidden="false" customHeight="false" outlineLevel="0" collapsed="false">
      <c r="A4265" s="0" t="s">
        <v>2197</v>
      </c>
      <c r="B4265" s="6" t="n">
        <v>43042</v>
      </c>
      <c r="C4265" s="7" t="s">
        <v>55</v>
      </c>
      <c r="D4265" s="7" t="s">
        <v>56</v>
      </c>
      <c r="E4265" s="7" t="s">
        <v>35</v>
      </c>
      <c r="F4265" s="0" t="n">
        <v>11.673</v>
      </c>
      <c r="G4265" s="0" t="n">
        <v>-7.782</v>
      </c>
      <c r="H4265" s="0" t="n">
        <v>0.7</v>
      </c>
      <c r="I4265" s="7" t="n">
        <f aca="false">YEAR(B4265)</f>
        <v>2017</v>
      </c>
      <c r="J4265" s="0" t="str">
        <f aca="false">I4265&amp;"-Q"&amp;ROUNDUP(MONTH(B4265)/3,0)</f>
        <v>2017-Q4</v>
      </c>
    </row>
    <row r="4266" customFormat="false" ht="15" hidden="false" customHeight="false" outlineLevel="0" collapsed="false">
      <c r="A4266" s="0" t="s">
        <v>2198</v>
      </c>
      <c r="B4266" s="6" t="n">
        <v>42679</v>
      </c>
      <c r="C4266" s="7" t="s">
        <v>45</v>
      </c>
      <c r="D4266" s="7" t="s">
        <v>46</v>
      </c>
      <c r="E4266" s="7" t="s">
        <v>31</v>
      </c>
      <c r="F4266" s="0" t="n">
        <v>863.128</v>
      </c>
      <c r="G4266" s="0" t="n">
        <v>-160.2952</v>
      </c>
      <c r="H4266" s="0" t="n">
        <v>0.3</v>
      </c>
      <c r="I4266" s="7" t="n">
        <f aca="false">YEAR(B4266)</f>
        <v>2016</v>
      </c>
      <c r="J4266" s="0" t="str">
        <f aca="false">I4266&amp;"-Q"&amp;ROUNDUP(MONTH(B4266)/3,0)</f>
        <v>2016-Q4</v>
      </c>
    </row>
    <row r="4267" customFormat="false" ht="15" hidden="false" customHeight="false" outlineLevel="0" collapsed="false">
      <c r="A4267" s="0" t="s">
        <v>2198</v>
      </c>
      <c r="B4267" s="6" t="n">
        <v>42679</v>
      </c>
      <c r="C4267" s="7" t="s">
        <v>45</v>
      </c>
      <c r="D4267" s="7" t="s">
        <v>46</v>
      </c>
      <c r="E4267" s="7" t="s">
        <v>35</v>
      </c>
      <c r="F4267" s="0" t="n">
        <v>3.564</v>
      </c>
      <c r="G4267" s="0" t="n">
        <v>-6.237</v>
      </c>
      <c r="H4267" s="0" t="n">
        <v>0.8</v>
      </c>
      <c r="I4267" s="7" t="n">
        <f aca="false">YEAR(B4267)</f>
        <v>2016</v>
      </c>
      <c r="J4267" s="0" t="str">
        <f aca="false">I4267&amp;"-Q"&amp;ROUNDUP(MONTH(B4267)/3,0)</f>
        <v>2016-Q4</v>
      </c>
    </row>
    <row r="4268" customFormat="false" ht="15" hidden="false" customHeight="false" outlineLevel="0" collapsed="false">
      <c r="A4268" s="0" t="s">
        <v>2198</v>
      </c>
      <c r="B4268" s="6" t="n">
        <v>42679</v>
      </c>
      <c r="C4268" s="7" t="s">
        <v>45</v>
      </c>
      <c r="D4268" s="7" t="s">
        <v>46</v>
      </c>
      <c r="E4268" s="7" t="s">
        <v>31</v>
      </c>
      <c r="F4268" s="0" t="n">
        <v>956.6648</v>
      </c>
      <c r="G4268" s="0" t="n">
        <v>-225.0976</v>
      </c>
      <c r="H4268" s="0" t="n">
        <v>0.32</v>
      </c>
      <c r="I4268" s="7" t="n">
        <f aca="false">YEAR(B4268)</f>
        <v>2016</v>
      </c>
      <c r="J4268" s="0" t="str">
        <f aca="false">I4268&amp;"-Q"&amp;ROUNDUP(MONTH(B4268)/3,0)</f>
        <v>2016-Q4</v>
      </c>
    </row>
    <row r="4269" customFormat="false" ht="15" hidden="false" customHeight="false" outlineLevel="0" collapsed="false">
      <c r="A4269" s="0" t="s">
        <v>2198</v>
      </c>
      <c r="B4269" s="6" t="n">
        <v>42679</v>
      </c>
      <c r="C4269" s="7" t="s">
        <v>45</v>
      </c>
      <c r="D4269" s="7" t="s">
        <v>46</v>
      </c>
      <c r="E4269" s="7" t="s">
        <v>35</v>
      </c>
      <c r="F4269" s="0" t="n">
        <v>12.588</v>
      </c>
      <c r="G4269" s="0" t="n">
        <v>-20.1408</v>
      </c>
      <c r="H4269" s="0" t="n">
        <v>0.8</v>
      </c>
      <c r="I4269" s="7" t="n">
        <f aca="false">YEAR(B4269)</f>
        <v>2016</v>
      </c>
      <c r="J4269" s="0" t="str">
        <f aca="false">I4269&amp;"-Q"&amp;ROUNDUP(MONTH(B4269)/3,0)</f>
        <v>2016-Q4</v>
      </c>
    </row>
    <row r="4270" customFormat="false" ht="15" hidden="false" customHeight="false" outlineLevel="0" collapsed="false">
      <c r="A4270" s="0" t="s">
        <v>2198</v>
      </c>
      <c r="B4270" s="6" t="n">
        <v>42679</v>
      </c>
      <c r="C4270" s="7" t="s">
        <v>45</v>
      </c>
      <c r="D4270" s="7" t="s">
        <v>46</v>
      </c>
      <c r="E4270" s="7" t="s">
        <v>39</v>
      </c>
      <c r="F4270" s="0" t="n">
        <v>171.96</v>
      </c>
      <c r="G4270" s="0" t="n">
        <v>45.1395</v>
      </c>
      <c r="H4270" s="0" t="n">
        <v>0.2</v>
      </c>
      <c r="I4270" s="7" t="n">
        <f aca="false">YEAR(B4270)</f>
        <v>2016</v>
      </c>
      <c r="J4270" s="0" t="str">
        <f aca="false">I4270&amp;"-Q"&amp;ROUNDUP(MONTH(B4270)/3,0)</f>
        <v>2016-Q4</v>
      </c>
    </row>
    <row r="4271" customFormat="false" ht="15" hidden="false" customHeight="false" outlineLevel="0" collapsed="false">
      <c r="A4271" s="0" t="s">
        <v>2199</v>
      </c>
      <c r="B4271" s="6" t="n">
        <v>42911</v>
      </c>
      <c r="C4271" s="7" t="s">
        <v>33</v>
      </c>
      <c r="D4271" s="7" t="s">
        <v>43</v>
      </c>
      <c r="E4271" s="7" t="s">
        <v>31</v>
      </c>
      <c r="F4271" s="0" t="n">
        <v>871.4</v>
      </c>
      <c r="G4271" s="0" t="n">
        <v>148.138</v>
      </c>
      <c r="H4271" s="0" t="n">
        <v>0</v>
      </c>
      <c r="I4271" s="7" t="n">
        <f aca="false">YEAR(B4271)</f>
        <v>2017</v>
      </c>
      <c r="J4271" s="0" t="str">
        <f aca="false">I4271&amp;"-Q"&amp;ROUNDUP(MONTH(B4271)/3,0)</f>
        <v>2017-Q2</v>
      </c>
    </row>
    <row r="4272" customFormat="false" ht="15" hidden="false" customHeight="false" outlineLevel="0" collapsed="false">
      <c r="A4272" s="0" t="s">
        <v>2200</v>
      </c>
      <c r="B4272" s="6" t="n">
        <v>42334</v>
      </c>
      <c r="C4272" s="7" t="s">
        <v>29</v>
      </c>
      <c r="D4272" s="7" t="s">
        <v>87</v>
      </c>
      <c r="E4272" s="7" t="s">
        <v>31</v>
      </c>
      <c r="F4272" s="0" t="n">
        <v>692.472</v>
      </c>
      <c r="G4272" s="0" t="n">
        <v>190.4298</v>
      </c>
      <c r="H4272" s="0" t="n">
        <v>0.2</v>
      </c>
      <c r="I4272" s="7" t="n">
        <f aca="false">YEAR(B4272)</f>
        <v>2015</v>
      </c>
      <c r="J4272" s="0" t="str">
        <f aca="false">I4272&amp;"-Q"&amp;ROUNDUP(MONTH(B4272)/3,0)</f>
        <v>2015-Q4</v>
      </c>
    </row>
    <row r="4273" customFormat="false" ht="15" hidden="false" customHeight="false" outlineLevel="0" collapsed="false">
      <c r="A4273" s="0" t="s">
        <v>2201</v>
      </c>
      <c r="B4273" s="6" t="n">
        <v>42698</v>
      </c>
      <c r="C4273" s="7" t="s">
        <v>55</v>
      </c>
      <c r="D4273" s="7" t="s">
        <v>495</v>
      </c>
      <c r="E4273" s="7" t="s">
        <v>31</v>
      </c>
      <c r="F4273" s="0" t="n">
        <v>207.76</v>
      </c>
      <c r="G4273" s="0" t="n">
        <v>85.1816</v>
      </c>
      <c r="H4273" s="0" t="n">
        <v>0</v>
      </c>
      <c r="I4273" s="7" t="n">
        <f aca="false">YEAR(B4273)</f>
        <v>2016</v>
      </c>
      <c r="J4273" s="0" t="str">
        <f aca="false">I4273&amp;"-Q"&amp;ROUNDUP(MONTH(B4273)/3,0)</f>
        <v>2016-Q4</v>
      </c>
    </row>
    <row r="4274" customFormat="false" ht="15" hidden="false" customHeight="false" outlineLevel="0" collapsed="false">
      <c r="A4274" s="0" t="s">
        <v>2202</v>
      </c>
      <c r="B4274" s="6" t="n">
        <v>42937</v>
      </c>
      <c r="C4274" s="7" t="s">
        <v>33</v>
      </c>
      <c r="D4274" s="7" t="s">
        <v>50</v>
      </c>
      <c r="E4274" s="7" t="s">
        <v>39</v>
      </c>
      <c r="F4274" s="0" t="n">
        <v>71.928</v>
      </c>
      <c r="G4274" s="0" t="n">
        <v>6.2937</v>
      </c>
      <c r="H4274" s="0" t="n">
        <v>0.2</v>
      </c>
      <c r="I4274" s="7" t="n">
        <f aca="false">YEAR(B4274)</f>
        <v>2017</v>
      </c>
      <c r="J4274" s="0" t="str">
        <f aca="false">I4274&amp;"-Q"&amp;ROUNDUP(MONTH(B4274)/3,0)</f>
        <v>2017-Q3</v>
      </c>
    </row>
    <row r="4275" customFormat="false" ht="15" hidden="false" customHeight="false" outlineLevel="0" collapsed="false">
      <c r="A4275" s="0" t="s">
        <v>2202</v>
      </c>
      <c r="B4275" s="6" t="n">
        <v>42937</v>
      </c>
      <c r="C4275" s="7" t="s">
        <v>33</v>
      </c>
      <c r="D4275" s="7" t="s">
        <v>50</v>
      </c>
      <c r="E4275" s="7" t="s">
        <v>35</v>
      </c>
      <c r="F4275" s="0" t="n">
        <v>25.99</v>
      </c>
      <c r="G4275" s="0" t="n">
        <v>7.5371</v>
      </c>
      <c r="H4275" s="0" t="n">
        <v>0</v>
      </c>
      <c r="I4275" s="7" t="n">
        <f aca="false">YEAR(B4275)</f>
        <v>2017</v>
      </c>
      <c r="J4275" s="0" t="str">
        <f aca="false">I4275&amp;"-Q"&amp;ROUNDUP(MONTH(B4275)/3,0)</f>
        <v>2017-Q3</v>
      </c>
    </row>
    <row r="4276" customFormat="false" ht="15" hidden="false" customHeight="false" outlineLevel="0" collapsed="false">
      <c r="A4276" s="0" t="s">
        <v>2203</v>
      </c>
      <c r="B4276" s="6" t="n">
        <v>42300</v>
      </c>
      <c r="C4276" s="7" t="s">
        <v>33</v>
      </c>
      <c r="D4276" s="7" t="s">
        <v>43</v>
      </c>
      <c r="E4276" s="7" t="s">
        <v>35</v>
      </c>
      <c r="F4276" s="0" t="n">
        <v>3.592</v>
      </c>
      <c r="G4276" s="0" t="n">
        <v>1.1225</v>
      </c>
      <c r="H4276" s="0" t="n">
        <v>0.2</v>
      </c>
      <c r="I4276" s="7" t="n">
        <f aca="false">YEAR(B4276)</f>
        <v>2015</v>
      </c>
      <c r="J4276" s="0" t="str">
        <f aca="false">I4276&amp;"-Q"&amp;ROUNDUP(MONTH(B4276)/3,0)</f>
        <v>2015-Q4</v>
      </c>
    </row>
    <row r="4277" customFormat="false" ht="15" hidden="false" customHeight="false" outlineLevel="0" collapsed="false">
      <c r="A4277" s="0" t="s">
        <v>2204</v>
      </c>
      <c r="B4277" s="6" t="n">
        <v>42194</v>
      </c>
      <c r="C4277" s="7" t="s">
        <v>45</v>
      </c>
      <c r="D4277" s="7" t="s">
        <v>46</v>
      </c>
      <c r="E4277" s="7" t="s">
        <v>35</v>
      </c>
      <c r="F4277" s="0" t="n">
        <v>48.632</v>
      </c>
      <c r="G4277" s="0" t="n">
        <v>-121.58</v>
      </c>
      <c r="H4277" s="0" t="n">
        <v>0.8</v>
      </c>
      <c r="I4277" s="7" t="n">
        <f aca="false">YEAR(B4277)</f>
        <v>2015</v>
      </c>
      <c r="J4277" s="0" t="str">
        <f aca="false">I4277&amp;"-Q"&amp;ROUNDUP(MONTH(B4277)/3,0)</f>
        <v>2015-Q3</v>
      </c>
    </row>
    <row r="4278" customFormat="false" ht="15" hidden="false" customHeight="false" outlineLevel="0" collapsed="false">
      <c r="A4278" s="0" t="s">
        <v>2205</v>
      </c>
      <c r="B4278" s="6" t="n">
        <v>42965</v>
      </c>
      <c r="C4278" s="7" t="s">
        <v>33</v>
      </c>
      <c r="D4278" s="7" t="s">
        <v>43</v>
      </c>
      <c r="E4278" s="7" t="s">
        <v>35</v>
      </c>
      <c r="F4278" s="0" t="n">
        <v>323.1</v>
      </c>
      <c r="G4278" s="0" t="n">
        <v>61.389</v>
      </c>
      <c r="H4278" s="0" t="n">
        <v>0</v>
      </c>
      <c r="I4278" s="7" t="n">
        <f aca="false">YEAR(B4278)</f>
        <v>2017</v>
      </c>
      <c r="J4278" s="0" t="str">
        <f aca="false">I4278&amp;"-Q"&amp;ROUNDUP(MONTH(B4278)/3,0)</f>
        <v>2017-Q3</v>
      </c>
    </row>
    <row r="4279" customFormat="false" ht="15" hidden="false" customHeight="false" outlineLevel="0" collapsed="false">
      <c r="A4279" s="0" t="s">
        <v>2206</v>
      </c>
      <c r="B4279" s="6" t="n">
        <v>42476</v>
      </c>
      <c r="C4279" s="7" t="s">
        <v>55</v>
      </c>
      <c r="D4279" s="7" t="s">
        <v>161</v>
      </c>
      <c r="E4279" s="7" t="s">
        <v>39</v>
      </c>
      <c r="F4279" s="0" t="n">
        <v>9099.93</v>
      </c>
      <c r="G4279" s="0" t="n">
        <v>2365.9818</v>
      </c>
      <c r="H4279" s="0" t="n">
        <v>0</v>
      </c>
      <c r="I4279" s="7" t="n">
        <f aca="false">YEAR(B4279)</f>
        <v>2016</v>
      </c>
      <c r="J4279" s="0" t="str">
        <f aca="false">I4279&amp;"-Q"&amp;ROUNDUP(MONTH(B4279)/3,0)</f>
        <v>2016-Q2</v>
      </c>
    </row>
    <row r="4280" customFormat="false" ht="15" hidden="false" customHeight="false" outlineLevel="0" collapsed="false">
      <c r="A4280" s="0" t="s">
        <v>2206</v>
      </c>
      <c r="B4280" s="6" t="n">
        <v>42476</v>
      </c>
      <c r="C4280" s="7" t="s">
        <v>55</v>
      </c>
      <c r="D4280" s="7" t="s">
        <v>161</v>
      </c>
      <c r="E4280" s="7" t="s">
        <v>31</v>
      </c>
      <c r="F4280" s="0" t="n">
        <v>9.96</v>
      </c>
      <c r="G4280" s="0" t="n">
        <v>3.2868</v>
      </c>
      <c r="H4280" s="0" t="n">
        <v>0</v>
      </c>
      <c r="I4280" s="7" t="n">
        <f aca="false">YEAR(B4280)</f>
        <v>2016</v>
      </c>
      <c r="J4280" s="0" t="str">
        <f aca="false">I4280&amp;"-Q"&amp;ROUNDUP(MONTH(B4280)/3,0)</f>
        <v>2016-Q2</v>
      </c>
    </row>
    <row r="4281" customFormat="false" ht="15" hidden="false" customHeight="false" outlineLevel="0" collapsed="false">
      <c r="A4281" s="0" t="s">
        <v>2206</v>
      </c>
      <c r="B4281" s="6" t="n">
        <v>42476</v>
      </c>
      <c r="C4281" s="7" t="s">
        <v>55</v>
      </c>
      <c r="D4281" s="7" t="s">
        <v>161</v>
      </c>
      <c r="E4281" s="7" t="s">
        <v>35</v>
      </c>
      <c r="F4281" s="0" t="n">
        <v>25.3</v>
      </c>
      <c r="G4281" s="0" t="n">
        <v>11.891</v>
      </c>
      <c r="H4281" s="0" t="n">
        <v>0</v>
      </c>
      <c r="I4281" s="7" t="n">
        <f aca="false">YEAR(B4281)</f>
        <v>2016</v>
      </c>
      <c r="J4281" s="0" t="str">
        <f aca="false">I4281&amp;"-Q"&amp;ROUNDUP(MONTH(B4281)/3,0)</f>
        <v>2016-Q2</v>
      </c>
    </row>
    <row r="4282" customFormat="false" ht="15" hidden="false" customHeight="false" outlineLevel="0" collapsed="false">
      <c r="A4282" s="0" t="s">
        <v>2207</v>
      </c>
      <c r="B4282" s="6" t="n">
        <v>41957</v>
      </c>
      <c r="C4282" s="7" t="s">
        <v>55</v>
      </c>
      <c r="D4282" s="7" t="s">
        <v>76</v>
      </c>
      <c r="E4282" s="7" t="s">
        <v>35</v>
      </c>
      <c r="F4282" s="0" t="n">
        <v>11.36</v>
      </c>
      <c r="G4282" s="0" t="n">
        <v>5.2256</v>
      </c>
      <c r="H4282" s="0" t="n">
        <v>0</v>
      </c>
      <c r="I4282" s="7" t="n">
        <f aca="false">YEAR(B4282)</f>
        <v>2014</v>
      </c>
      <c r="J4282" s="0" t="str">
        <f aca="false">I4282&amp;"-Q"&amp;ROUNDUP(MONTH(B4282)/3,0)</f>
        <v>2014-Q4</v>
      </c>
    </row>
    <row r="4283" customFormat="false" ht="15" hidden="false" customHeight="false" outlineLevel="0" collapsed="false">
      <c r="A4283" s="0" t="s">
        <v>2207</v>
      </c>
      <c r="B4283" s="6" t="n">
        <v>41957</v>
      </c>
      <c r="C4283" s="7" t="s">
        <v>55</v>
      </c>
      <c r="D4283" s="7" t="s">
        <v>76</v>
      </c>
      <c r="E4283" s="7" t="s">
        <v>31</v>
      </c>
      <c r="F4283" s="0" t="n">
        <v>69.264</v>
      </c>
      <c r="G4283" s="0" t="n">
        <v>14.6224</v>
      </c>
      <c r="H4283" s="0" t="n">
        <v>0.1</v>
      </c>
      <c r="I4283" s="7" t="n">
        <f aca="false">YEAR(B4283)</f>
        <v>2014</v>
      </c>
      <c r="J4283" s="0" t="str">
        <f aca="false">I4283&amp;"-Q"&amp;ROUNDUP(MONTH(B4283)/3,0)</f>
        <v>2014-Q4</v>
      </c>
    </row>
    <row r="4284" customFormat="false" ht="15" hidden="false" customHeight="false" outlineLevel="0" collapsed="false">
      <c r="A4284" s="0" t="s">
        <v>2208</v>
      </c>
      <c r="B4284" s="6" t="n">
        <v>41993</v>
      </c>
      <c r="C4284" s="7" t="s">
        <v>45</v>
      </c>
      <c r="D4284" s="7" t="s">
        <v>74</v>
      </c>
      <c r="E4284" s="7" t="s">
        <v>35</v>
      </c>
      <c r="F4284" s="0" t="n">
        <v>3.69</v>
      </c>
      <c r="G4284" s="0" t="n">
        <v>1.7343</v>
      </c>
      <c r="H4284" s="0" t="n">
        <v>0</v>
      </c>
      <c r="I4284" s="7" t="n">
        <f aca="false">YEAR(B4284)</f>
        <v>2014</v>
      </c>
      <c r="J4284" s="0" t="str">
        <f aca="false">I4284&amp;"-Q"&amp;ROUNDUP(MONTH(B4284)/3,0)</f>
        <v>2014-Q4</v>
      </c>
    </row>
    <row r="4285" customFormat="false" ht="15" hidden="false" customHeight="false" outlineLevel="0" collapsed="false">
      <c r="A4285" s="0" t="s">
        <v>2208</v>
      </c>
      <c r="B4285" s="6" t="n">
        <v>41993</v>
      </c>
      <c r="C4285" s="7" t="s">
        <v>45</v>
      </c>
      <c r="D4285" s="7" t="s">
        <v>74</v>
      </c>
      <c r="E4285" s="7" t="s">
        <v>35</v>
      </c>
      <c r="F4285" s="0" t="n">
        <v>1103.97</v>
      </c>
      <c r="G4285" s="0" t="n">
        <v>496.7865</v>
      </c>
      <c r="H4285" s="0" t="n">
        <v>0</v>
      </c>
      <c r="I4285" s="7" t="n">
        <f aca="false">YEAR(B4285)</f>
        <v>2014</v>
      </c>
      <c r="J4285" s="0" t="str">
        <f aca="false">I4285&amp;"-Q"&amp;ROUNDUP(MONTH(B4285)/3,0)</f>
        <v>2014-Q4</v>
      </c>
    </row>
    <row r="4286" customFormat="false" ht="15" hidden="false" customHeight="false" outlineLevel="0" collapsed="false">
      <c r="A4286" s="0" t="s">
        <v>2209</v>
      </c>
      <c r="B4286" s="6" t="n">
        <v>42329</v>
      </c>
      <c r="C4286" s="7" t="s">
        <v>45</v>
      </c>
      <c r="D4286" s="7" t="s">
        <v>46</v>
      </c>
      <c r="E4286" s="7" t="s">
        <v>31</v>
      </c>
      <c r="F4286" s="0" t="n">
        <v>246.1328</v>
      </c>
      <c r="G4286" s="0" t="n">
        <v>-76.0116</v>
      </c>
      <c r="H4286" s="0" t="n">
        <v>0.32</v>
      </c>
      <c r="I4286" s="7" t="n">
        <f aca="false">YEAR(B4286)</f>
        <v>2015</v>
      </c>
      <c r="J4286" s="0" t="str">
        <f aca="false">I4286&amp;"-Q"&amp;ROUNDUP(MONTH(B4286)/3,0)</f>
        <v>2015-Q4</v>
      </c>
    </row>
    <row r="4287" customFormat="false" ht="15" hidden="false" customHeight="false" outlineLevel="0" collapsed="false">
      <c r="A4287" s="0" t="s">
        <v>2209</v>
      </c>
      <c r="B4287" s="6" t="n">
        <v>42329</v>
      </c>
      <c r="C4287" s="7" t="s">
        <v>45</v>
      </c>
      <c r="D4287" s="7" t="s">
        <v>46</v>
      </c>
      <c r="E4287" s="7" t="s">
        <v>35</v>
      </c>
      <c r="F4287" s="0" t="n">
        <v>11.696</v>
      </c>
      <c r="G4287" s="0" t="n">
        <v>3.9474</v>
      </c>
      <c r="H4287" s="0" t="n">
        <v>0.2</v>
      </c>
      <c r="I4287" s="7" t="n">
        <f aca="false">YEAR(B4287)</f>
        <v>2015</v>
      </c>
      <c r="J4287" s="0" t="str">
        <f aca="false">I4287&amp;"-Q"&amp;ROUNDUP(MONTH(B4287)/3,0)</f>
        <v>2015-Q4</v>
      </c>
    </row>
    <row r="4288" customFormat="false" ht="15" hidden="false" customHeight="false" outlineLevel="0" collapsed="false">
      <c r="A4288" s="0" t="s">
        <v>2209</v>
      </c>
      <c r="B4288" s="6" t="n">
        <v>42329</v>
      </c>
      <c r="C4288" s="7" t="s">
        <v>45</v>
      </c>
      <c r="D4288" s="7" t="s">
        <v>46</v>
      </c>
      <c r="E4288" s="7" t="s">
        <v>39</v>
      </c>
      <c r="F4288" s="0" t="n">
        <v>439.992</v>
      </c>
      <c r="G4288" s="0" t="n">
        <v>164.997</v>
      </c>
      <c r="H4288" s="0" t="n">
        <v>0.2</v>
      </c>
      <c r="I4288" s="7" t="n">
        <f aca="false">YEAR(B4288)</f>
        <v>2015</v>
      </c>
      <c r="J4288" s="0" t="str">
        <f aca="false">I4288&amp;"-Q"&amp;ROUNDUP(MONTH(B4288)/3,0)</f>
        <v>2015-Q4</v>
      </c>
    </row>
    <row r="4289" customFormat="false" ht="15" hidden="false" customHeight="false" outlineLevel="0" collapsed="false">
      <c r="A4289" s="0" t="s">
        <v>2210</v>
      </c>
      <c r="B4289" s="6" t="n">
        <v>43097</v>
      </c>
      <c r="C4289" s="7" t="s">
        <v>29</v>
      </c>
      <c r="D4289" s="7" t="s">
        <v>87</v>
      </c>
      <c r="E4289" s="7" t="s">
        <v>35</v>
      </c>
      <c r="F4289" s="0" t="n">
        <v>64.784</v>
      </c>
      <c r="G4289" s="0" t="n">
        <v>-12.9568</v>
      </c>
      <c r="H4289" s="0" t="n">
        <v>0.2</v>
      </c>
      <c r="I4289" s="7" t="n">
        <f aca="false">YEAR(B4289)</f>
        <v>2017</v>
      </c>
      <c r="J4289" s="0" t="str">
        <f aca="false">I4289&amp;"-Q"&amp;ROUNDUP(MONTH(B4289)/3,0)</f>
        <v>2017-Q4</v>
      </c>
    </row>
    <row r="4290" customFormat="false" ht="15" hidden="false" customHeight="false" outlineLevel="0" collapsed="false">
      <c r="A4290" s="0" t="s">
        <v>2211</v>
      </c>
      <c r="B4290" s="6" t="n">
        <v>42141</v>
      </c>
      <c r="C4290" s="7" t="s">
        <v>45</v>
      </c>
      <c r="D4290" s="7" t="s">
        <v>46</v>
      </c>
      <c r="E4290" s="7" t="s">
        <v>35</v>
      </c>
      <c r="F4290" s="0" t="n">
        <v>33.28</v>
      </c>
      <c r="G4290" s="0" t="n">
        <v>-49.92</v>
      </c>
      <c r="H4290" s="0" t="n">
        <v>0.8</v>
      </c>
      <c r="I4290" s="7" t="n">
        <f aca="false">YEAR(B4290)</f>
        <v>2015</v>
      </c>
      <c r="J4290" s="0" t="str">
        <f aca="false">I4290&amp;"-Q"&amp;ROUNDUP(MONTH(B4290)/3,0)</f>
        <v>2015-Q2</v>
      </c>
    </row>
    <row r="4291" customFormat="false" ht="15" hidden="false" customHeight="false" outlineLevel="0" collapsed="false">
      <c r="A4291" s="0" t="s">
        <v>2211</v>
      </c>
      <c r="B4291" s="6" t="n">
        <v>42141</v>
      </c>
      <c r="C4291" s="7" t="s">
        <v>45</v>
      </c>
      <c r="D4291" s="7" t="s">
        <v>46</v>
      </c>
      <c r="E4291" s="7" t="s">
        <v>35</v>
      </c>
      <c r="F4291" s="0" t="n">
        <v>14.088</v>
      </c>
      <c r="G4291" s="0" t="n">
        <v>4.9308</v>
      </c>
      <c r="H4291" s="0" t="n">
        <v>0.2</v>
      </c>
      <c r="I4291" s="7" t="n">
        <f aca="false">YEAR(B4291)</f>
        <v>2015</v>
      </c>
      <c r="J4291" s="0" t="str">
        <f aca="false">I4291&amp;"-Q"&amp;ROUNDUP(MONTH(B4291)/3,0)</f>
        <v>2015-Q2</v>
      </c>
    </row>
    <row r="4292" customFormat="false" ht="15" hidden="false" customHeight="false" outlineLevel="0" collapsed="false">
      <c r="A4292" s="0" t="s">
        <v>2212</v>
      </c>
      <c r="B4292" s="6" t="n">
        <v>43078</v>
      </c>
      <c r="C4292" s="7" t="s">
        <v>33</v>
      </c>
      <c r="D4292" s="7" t="s">
        <v>34</v>
      </c>
      <c r="E4292" s="7" t="s">
        <v>35</v>
      </c>
      <c r="F4292" s="0" t="n">
        <v>11.16</v>
      </c>
      <c r="G4292" s="0" t="n">
        <v>2.79</v>
      </c>
      <c r="H4292" s="0" t="n">
        <v>0</v>
      </c>
      <c r="I4292" s="7" t="n">
        <f aca="false">YEAR(B4292)</f>
        <v>2017</v>
      </c>
      <c r="J4292" s="0" t="str">
        <f aca="false">I4292&amp;"-Q"&amp;ROUNDUP(MONTH(B4292)/3,0)</f>
        <v>2017-Q4</v>
      </c>
    </row>
    <row r="4293" customFormat="false" ht="15" hidden="false" customHeight="false" outlineLevel="0" collapsed="false">
      <c r="A4293" s="0" t="s">
        <v>2212</v>
      </c>
      <c r="B4293" s="6" t="n">
        <v>43078</v>
      </c>
      <c r="C4293" s="7" t="s">
        <v>33</v>
      </c>
      <c r="D4293" s="7" t="s">
        <v>34</v>
      </c>
      <c r="E4293" s="7" t="s">
        <v>31</v>
      </c>
      <c r="F4293" s="0" t="n">
        <v>896.328</v>
      </c>
      <c r="G4293" s="0" t="n">
        <v>22.4082</v>
      </c>
      <c r="H4293" s="0" t="n">
        <v>0.2</v>
      </c>
      <c r="I4293" s="7" t="n">
        <f aca="false">YEAR(B4293)</f>
        <v>2017</v>
      </c>
      <c r="J4293" s="0" t="str">
        <f aca="false">I4293&amp;"-Q"&amp;ROUNDUP(MONTH(B4293)/3,0)</f>
        <v>2017-Q4</v>
      </c>
    </row>
    <row r="4294" customFormat="false" ht="15" hidden="false" customHeight="false" outlineLevel="0" collapsed="false">
      <c r="A4294" s="0" t="s">
        <v>2212</v>
      </c>
      <c r="B4294" s="6" t="n">
        <v>43078</v>
      </c>
      <c r="C4294" s="7" t="s">
        <v>33</v>
      </c>
      <c r="D4294" s="7" t="s">
        <v>34</v>
      </c>
      <c r="E4294" s="7" t="s">
        <v>35</v>
      </c>
      <c r="F4294" s="0" t="n">
        <v>189</v>
      </c>
      <c r="G4294" s="0" t="n">
        <v>68.04</v>
      </c>
      <c r="H4294" s="0" t="n">
        <v>0</v>
      </c>
      <c r="I4294" s="7" t="n">
        <f aca="false">YEAR(B4294)</f>
        <v>2017</v>
      </c>
      <c r="J4294" s="0" t="str">
        <f aca="false">I4294&amp;"-Q"&amp;ROUNDUP(MONTH(B4294)/3,0)</f>
        <v>2017-Q4</v>
      </c>
    </row>
    <row r="4295" customFormat="false" ht="15" hidden="false" customHeight="false" outlineLevel="0" collapsed="false">
      <c r="A4295" s="0" t="s">
        <v>2213</v>
      </c>
      <c r="B4295" s="6" t="n">
        <v>42804</v>
      </c>
      <c r="C4295" s="7" t="s">
        <v>55</v>
      </c>
      <c r="D4295" s="7" t="s">
        <v>56</v>
      </c>
      <c r="E4295" s="7" t="s">
        <v>39</v>
      </c>
      <c r="F4295" s="0" t="n">
        <v>53.982</v>
      </c>
      <c r="G4295" s="0" t="n">
        <v>-10.7964</v>
      </c>
      <c r="H4295" s="0" t="n">
        <v>0.4</v>
      </c>
      <c r="I4295" s="7" t="n">
        <f aca="false">YEAR(B4295)</f>
        <v>2017</v>
      </c>
      <c r="J4295" s="0" t="str">
        <f aca="false">I4295&amp;"-Q"&amp;ROUNDUP(MONTH(B4295)/3,0)</f>
        <v>2017-Q1</v>
      </c>
    </row>
    <row r="4296" customFormat="false" ht="15" hidden="false" customHeight="false" outlineLevel="0" collapsed="false">
      <c r="A4296" s="0" t="s">
        <v>2214</v>
      </c>
      <c r="B4296" s="6" t="n">
        <v>43030</v>
      </c>
      <c r="C4296" s="7" t="s">
        <v>33</v>
      </c>
      <c r="D4296" s="7" t="s">
        <v>102</v>
      </c>
      <c r="E4296" s="7" t="s">
        <v>31</v>
      </c>
      <c r="F4296" s="0" t="n">
        <v>177.225</v>
      </c>
      <c r="G4296" s="0" t="n">
        <v>-120.513</v>
      </c>
      <c r="H4296" s="0" t="n">
        <v>0.5</v>
      </c>
      <c r="I4296" s="7" t="n">
        <f aca="false">YEAR(B4296)</f>
        <v>2017</v>
      </c>
      <c r="J4296" s="0" t="str">
        <f aca="false">I4296&amp;"-Q"&amp;ROUNDUP(MONTH(B4296)/3,0)</f>
        <v>2017-Q4</v>
      </c>
    </row>
    <row r="4297" customFormat="false" ht="15" hidden="false" customHeight="false" outlineLevel="0" collapsed="false">
      <c r="A4297" s="0" t="s">
        <v>2215</v>
      </c>
      <c r="B4297" s="6" t="n">
        <v>42919</v>
      </c>
      <c r="C4297" s="7" t="s">
        <v>33</v>
      </c>
      <c r="D4297" s="7" t="s">
        <v>34</v>
      </c>
      <c r="E4297" s="7" t="s">
        <v>31</v>
      </c>
      <c r="F4297" s="0" t="n">
        <v>129.39</v>
      </c>
      <c r="G4297" s="0" t="n">
        <v>54.3438</v>
      </c>
      <c r="H4297" s="0" t="n">
        <v>0</v>
      </c>
      <c r="I4297" s="7" t="n">
        <f aca="false">YEAR(B4297)</f>
        <v>2017</v>
      </c>
      <c r="J4297" s="0" t="str">
        <f aca="false">I4297&amp;"-Q"&amp;ROUNDUP(MONTH(B4297)/3,0)</f>
        <v>2017-Q3</v>
      </c>
    </row>
    <row r="4298" customFormat="false" ht="15" hidden="false" customHeight="false" outlineLevel="0" collapsed="false">
      <c r="A4298" s="0" t="s">
        <v>2216</v>
      </c>
      <c r="B4298" s="6" t="n">
        <v>42982</v>
      </c>
      <c r="C4298" s="7" t="s">
        <v>33</v>
      </c>
      <c r="D4298" s="7" t="s">
        <v>34</v>
      </c>
      <c r="E4298" s="7" t="s">
        <v>35</v>
      </c>
      <c r="F4298" s="0" t="n">
        <v>54.32</v>
      </c>
      <c r="G4298" s="0" t="n">
        <v>0.5432</v>
      </c>
      <c r="H4298" s="0" t="n">
        <v>0</v>
      </c>
      <c r="I4298" s="7" t="n">
        <f aca="false">YEAR(B4298)</f>
        <v>2017</v>
      </c>
      <c r="J4298" s="0" t="str">
        <f aca="false">I4298&amp;"-Q"&amp;ROUNDUP(MONTH(B4298)/3,0)</f>
        <v>2017-Q3</v>
      </c>
    </row>
    <row r="4299" customFormat="false" ht="15" hidden="false" customHeight="false" outlineLevel="0" collapsed="false">
      <c r="A4299" s="0" t="s">
        <v>2217</v>
      </c>
      <c r="B4299" s="6" t="n">
        <v>42970</v>
      </c>
      <c r="C4299" s="7" t="s">
        <v>29</v>
      </c>
      <c r="D4299" s="7" t="s">
        <v>37</v>
      </c>
      <c r="E4299" s="7" t="s">
        <v>39</v>
      </c>
      <c r="F4299" s="0" t="n">
        <v>4367.896</v>
      </c>
      <c r="G4299" s="0" t="n">
        <v>327.5922</v>
      </c>
      <c r="H4299" s="0" t="n">
        <v>0.2</v>
      </c>
      <c r="I4299" s="7" t="n">
        <f aca="false">YEAR(B4299)</f>
        <v>2017</v>
      </c>
      <c r="J4299" s="0" t="str">
        <f aca="false">I4299&amp;"-Q"&amp;ROUNDUP(MONTH(B4299)/3,0)</f>
        <v>2017-Q3</v>
      </c>
    </row>
    <row r="4300" customFormat="false" ht="15" hidden="false" customHeight="false" outlineLevel="0" collapsed="false">
      <c r="A4300" s="0" t="s">
        <v>2217</v>
      </c>
      <c r="B4300" s="6" t="n">
        <v>42970</v>
      </c>
      <c r="C4300" s="7" t="s">
        <v>29</v>
      </c>
      <c r="D4300" s="7" t="s">
        <v>37</v>
      </c>
      <c r="E4300" s="7" t="s">
        <v>35</v>
      </c>
      <c r="F4300" s="0" t="n">
        <v>49.568</v>
      </c>
      <c r="G4300" s="0" t="n">
        <v>15.49</v>
      </c>
      <c r="H4300" s="0" t="n">
        <v>0.2</v>
      </c>
      <c r="I4300" s="7" t="n">
        <f aca="false">YEAR(B4300)</f>
        <v>2017</v>
      </c>
      <c r="J4300" s="0" t="str">
        <f aca="false">I4300&amp;"-Q"&amp;ROUNDUP(MONTH(B4300)/3,0)</f>
        <v>2017-Q3</v>
      </c>
    </row>
    <row r="4301" customFormat="false" ht="15" hidden="false" customHeight="false" outlineLevel="0" collapsed="false">
      <c r="A4301" s="0" t="s">
        <v>2217</v>
      </c>
      <c r="B4301" s="6" t="n">
        <v>42970</v>
      </c>
      <c r="C4301" s="7" t="s">
        <v>29</v>
      </c>
      <c r="D4301" s="7" t="s">
        <v>37</v>
      </c>
      <c r="E4301" s="7" t="s">
        <v>35</v>
      </c>
      <c r="F4301" s="0" t="n">
        <v>161.376</v>
      </c>
      <c r="G4301" s="0" t="n">
        <v>12.1032</v>
      </c>
      <c r="H4301" s="0" t="n">
        <v>0.2</v>
      </c>
      <c r="I4301" s="7" t="n">
        <f aca="false">YEAR(B4301)</f>
        <v>2017</v>
      </c>
      <c r="J4301" s="0" t="str">
        <f aca="false">I4301&amp;"-Q"&amp;ROUNDUP(MONTH(B4301)/3,0)</f>
        <v>2017-Q3</v>
      </c>
    </row>
    <row r="4302" customFormat="false" ht="15" hidden="false" customHeight="false" outlineLevel="0" collapsed="false">
      <c r="A4302" s="0" t="s">
        <v>2217</v>
      </c>
      <c r="B4302" s="6" t="n">
        <v>42970</v>
      </c>
      <c r="C4302" s="7" t="s">
        <v>29</v>
      </c>
      <c r="D4302" s="7" t="s">
        <v>37</v>
      </c>
      <c r="E4302" s="7" t="s">
        <v>31</v>
      </c>
      <c r="F4302" s="0" t="n">
        <v>2.784</v>
      </c>
      <c r="G4302" s="0" t="n">
        <v>0.4176</v>
      </c>
      <c r="H4302" s="0" t="n">
        <v>0.2</v>
      </c>
      <c r="I4302" s="7" t="n">
        <f aca="false">YEAR(B4302)</f>
        <v>2017</v>
      </c>
      <c r="J4302" s="0" t="str">
        <f aca="false">I4302&amp;"-Q"&amp;ROUNDUP(MONTH(B4302)/3,0)</f>
        <v>2017-Q3</v>
      </c>
    </row>
    <row r="4303" customFormat="false" ht="15" hidden="false" customHeight="false" outlineLevel="0" collapsed="false">
      <c r="A4303" s="0" t="s">
        <v>2217</v>
      </c>
      <c r="B4303" s="6" t="n">
        <v>42970</v>
      </c>
      <c r="C4303" s="7" t="s">
        <v>29</v>
      </c>
      <c r="D4303" s="7" t="s">
        <v>37</v>
      </c>
      <c r="E4303" s="7" t="s">
        <v>35</v>
      </c>
      <c r="F4303" s="0" t="n">
        <v>8.72</v>
      </c>
      <c r="G4303" s="0" t="n">
        <v>2.943</v>
      </c>
      <c r="H4303" s="0" t="n">
        <v>0.2</v>
      </c>
      <c r="I4303" s="7" t="n">
        <f aca="false">YEAR(B4303)</f>
        <v>2017</v>
      </c>
      <c r="J4303" s="0" t="str">
        <f aca="false">I4303&amp;"-Q"&amp;ROUNDUP(MONTH(B4303)/3,0)</f>
        <v>2017-Q3</v>
      </c>
    </row>
    <row r="4304" customFormat="false" ht="15" hidden="false" customHeight="false" outlineLevel="0" collapsed="false">
      <c r="A4304" s="0" t="s">
        <v>2218</v>
      </c>
      <c r="B4304" s="6" t="n">
        <v>41873</v>
      </c>
      <c r="C4304" s="7" t="s">
        <v>55</v>
      </c>
      <c r="D4304" s="7" t="s">
        <v>116</v>
      </c>
      <c r="E4304" s="7" t="s">
        <v>35</v>
      </c>
      <c r="F4304" s="0" t="n">
        <v>3.912</v>
      </c>
      <c r="G4304" s="0" t="n">
        <v>1.0269</v>
      </c>
      <c r="H4304" s="0" t="n">
        <v>0.2</v>
      </c>
      <c r="I4304" s="7" t="n">
        <f aca="false">YEAR(B4304)</f>
        <v>2014</v>
      </c>
      <c r="J4304" s="0" t="str">
        <f aca="false">I4304&amp;"-Q"&amp;ROUNDUP(MONTH(B4304)/3,0)</f>
        <v>2014-Q3</v>
      </c>
    </row>
    <row r="4305" customFormat="false" ht="15" hidden="false" customHeight="false" outlineLevel="0" collapsed="false">
      <c r="A4305" s="0" t="s">
        <v>2219</v>
      </c>
      <c r="B4305" s="6" t="n">
        <v>42647</v>
      </c>
      <c r="C4305" s="7" t="s">
        <v>45</v>
      </c>
      <c r="D4305" s="7" t="s">
        <v>46</v>
      </c>
      <c r="E4305" s="7" t="s">
        <v>35</v>
      </c>
      <c r="F4305" s="0" t="n">
        <v>59.752</v>
      </c>
      <c r="G4305" s="0" t="n">
        <v>19.4194</v>
      </c>
      <c r="H4305" s="0" t="n">
        <v>0.2</v>
      </c>
      <c r="I4305" s="7" t="n">
        <f aca="false">YEAR(B4305)</f>
        <v>2016</v>
      </c>
      <c r="J4305" s="0" t="str">
        <f aca="false">I4305&amp;"-Q"&amp;ROUNDUP(MONTH(B4305)/3,0)</f>
        <v>2016-Q4</v>
      </c>
    </row>
    <row r="4306" customFormat="false" ht="15" hidden="false" customHeight="false" outlineLevel="0" collapsed="false">
      <c r="A4306" s="0" t="s">
        <v>2220</v>
      </c>
      <c r="B4306" s="6" t="n">
        <v>41938</v>
      </c>
      <c r="C4306" s="7" t="s">
        <v>33</v>
      </c>
      <c r="D4306" s="7" t="s">
        <v>43</v>
      </c>
      <c r="E4306" s="7" t="s">
        <v>31</v>
      </c>
      <c r="F4306" s="0" t="n">
        <v>63.92</v>
      </c>
      <c r="G4306" s="0" t="n">
        <v>3.196</v>
      </c>
      <c r="H4306" s="0" t="n">
        <v>0</v>
      </c>
      <c r="I4306" s="7" t="n">
        <f aca="false">YEAR(B4306)</f>
        <v>2014</v>
      </c>
      <c r="J4306" s="0" t="str">
        <f aca="false">I4306&amp;"-Q"&amp;ROUNDUP(MONTH(B4306)/3,0)</f>
        <v>2014-Q4</v>
      </c>
    </row>
    <row r="4307" customFormat="false" ht="15" hidden="false" customHeight="false" outlineLevel="0" collapsed="false">
      <c r="A4307" s="0" t="s">
        <v>2220</v>
      </c>
      <c r="B4307" s="6" t="n">
        <v>41938</v>
      </c>
      <c r="C4307" s="7" t="s">
        <v>33</v>
      </c>
      <c r="D4307" s="7" t="s">
        <v>43</v>
      </c>
      <c r="E4307" s="7" t="s">
        <v>39</v>
      </c>
      <c r="F4307" s="0" t="n">
        <v>383.96</v>
      </c>
      <c r="G4307" s="0" t="n">
        <v>38.396</v>
      </c>
      <c r="H4307" s="0" t="n">
        <v>0.2</v>
      </c>
      <c r="I4307" s="7" t="n">
        <f aca="false">YEAR(B4307)</f>
        <v>2014</v>
      </c>
      <c r="J4307" s="0" t="str">
        <f aca="false">I4307&amp;"-Q"&amp;ROUNDUP(MONTH(B4307)/3,0)</f>
        <v>2014-Q4</v>
      </c>
    </row>
    <row r="4308" customFormat="false" ht="15" hidden="false" customHeight="false" outlineLevel="0" collapsed="false">
      <c r="A4308" s="0" t="s">
        <v>2221</v>
      </c>
      <c r="B4308" s="6" t="n">
        <v>42549</v>
      </c>
      <c r="C4308" s="7" t="s">
        <v>33</v>
      </c>
      <c r="D4308" s="7" t="s">
        <v>34</v>
      </c>
      <c r="E4308" s="7" t="s">
        <v>35</v>
      </c>
      <c r="F4308" s="0" t="n">
        <v>7.752</v>
      </c>
      <c r="G4308" s="0" t="n">
        <v>2.8101</v>
      </c>
      <c r="H4308" s="0" t="n">
        <v>0.2</v>
      </c>
      <c r="I4308" s="7" t="n">
        <f aca="false">YEAR(B4308)</f>
        <v>2016</v>
      </c>
      <c r="J4308" s="0" t="str">
        <f aca="false">I4308&amp;"-Q"&amp;ROUNDUP(MONTH(B4308)/3,0)</f>
        <v>2016-Q2</v>
      </c>
    </row>
    <row r="4309" customFormat="false" ht="15" hidden="false" customHeight="false" outlineLevel="0" collapsed="false">
      <c r="A4309" s="0" t="s">
        <v>2221</v>
      </c>
      <c r="B4309" s="6" t="n">
        <v>42549</v>
      </c>
      <c r="C4309" s="7" t="s">
        <v>33</v>
      </c>
      <c r="D4309" s="7" t="s">
        <v>34</v>
      </c>
      <c r="E4309" s="7" t="s">
        <v>35</v>
      </c>
      <c r="F4309" s="0" t="n">
        <v>33.568</v>
      </c>
      <c r="G4309" s="0" t="n">
        <v>11.7488</v>
      </c>
      <c r="H4309" s="0" t="n">
        <v>0.2</v>
      </c>
      <c r="I4309" s="7" t="n">
        <f aca="false">YEAR(B4309)</f>
        <v>2016</v>
      </c>
      <c r="J4309" s="0" t="str">
        <f aca="false">I4309&amp;"-Q"&amp;ROUNDUP(MONTH(B4309)/3,0)</f>
        <v>2016-Q2</v>
      </c>
    </row>
    <row r="4310" customFormat="false" ht="15" hidden="false" customHeight="false" outlineLevel="0" collapsed="false">
      <c r="A4310" s="0" t="s">
        <v>2222</v>
      </c>
      <c r="B4310" s="6" t="n">
        <v>41947</v>
      </c>
      <c r="C4310" s="7" t="s">
        <v>33</v>
      </c>
      <c r="D4310" s="7" t="s">
        <v>34</v>
      </c>
      <c r="E4310" s="7" t="s">
        <v>39</v>
      </c>
      <c r="F4310" s="0" t="n">
        <v>666.344</v>
      </c>
      <c r="G4310" s="0" t="n">
        <v>66.6344</v>
      </c>
      <c r="H4310" s="0" t="n">
        <v>0.2</v>
      </c>
      <c r="I4310" s="7" t="n">
        <f aca="false">YEAR(B4310)</f>
        <v>2014</v>
      </c>
      <c r="J4310" s="0" t="str">
        <f aca="false">I4310&amp;"-Q"&amp;ROUNDUP(MONTH(B4310)/3,0)</f>
        <v>2014-Q4</v>
      </c>
    </row>
    <row r="4311" customFormat="false" ht="15" hidden="false" customHeight="false" outlineLevel="0" collapsed="false">
      <c r="A4311" s="0" t="s">
        <v>2222</v>
      </c>
      <c r="B4311" s="6" t="n">
        <v>41947</v>
      </c>
      <c r="C4311" s="7" t="s">
        <v>33</v>
      </c>
      <c r="D4311" s="7" t="s">
        <v>34</v>
      </c>
      <c r="E4311" s="7" t="s">
        <v>31</v>
      </c>
      <c r="F4311" s="0" t="n">
        <v>573.728</v>
      </c>
      <c r="G4311" s="0" t="n">
        <v>-64.5444</v>
      </c>
      <c r="H4311" s="0" t="n">
        <v>0.2</v>
      </c>
      <c r="I4311" s="7" t="n">
        <f aca="false">YEAR(B4311)</f>
        <v>2014</v>
      </c>
      <c r="J4311" s="0" t="str">
        <f aca="false">I4311&amp;"-Q"&amp;ROUNDUP(MONTH(B4311)/3,0)</f>
        <v>2014-Q4</v>
      </c>
    </row>
    <row r="4312" customFormat="false" ht="15" hidden="false" customHeight="false" outlineLevel="0" collapsed="false">
      <c r="A4312" s="0" t="s">
        <v>2222</v>
      </c>
      <c r="B4312" s="6" t="n">
        <v>41947</v>
      </c>
      <c r="C4312" s="7" t="s">
        <v>33</v>
      </c>
      <c r="D4312" s="7" t="s">
        <v>34</v>
      </c>
      <c r="E4312" s="7" t="s">
        <v>35</v>
      </c>
      <c r="F4312" s="0" t="n">
        <v>21.936</v>
      </c>
      <c r="G4312" s="0" t="n">
        <v>8.226</v>
      </c>
      <c r="H4312" s="0" t="n">
        <v>0.2</v>
      </c>
      <c r="I4312" s="7" t="n">
        <f aca="false">YEAR(B4312)</f>
        <v>2014</v>
      </c>
      <c r="J4312" s="0" t="str">
        <f aca="false">I4312&amp;"-Q"&amp;ROUNDUP(MONTH(B4312)/3,0)</f>
        <v>2014-Q4</v>
      </c>
    </row>
    <row r="4313" customFormat="false" ht="15" hidden="false" customHeight="false" outlineLevel="0" collapsed="false">
      <c r="A4313" s="0" t="s">
        <v>2222</v>
      </c>
      <c r="B4313" s="6" t="n">
        <v>41947</v>
      </c>
      <c r="C4313" s="7" t="s">
        <v>33</v>
      </c>
      <c r="D4313" s="7" t="s">
        <v>34</v>
      </c>
      <c r="E4313" s="7" t="s">
        <v>35</v>
      </c>
      <c r="F4313" s="0" t="n">
        <v>19.44</v>
      </c>
      <c r="G4313" s="0" t="n">
        <v>9.3312</v>
      </c>
      <c r="H4313" s="0" t="n">
        <v>0</v>
      </c>
      <c r="I4313" s="7" t="n">
        <f aca="false">YEAR(B4313)</f>
        <v>2014</v>
      </c>
      <c r="J4313" s="0" t="str">
        <f aca="false">I4313&amp;"-Q"&amp;ROUNDUP(MONTH(B4313)/3,0)</f>
        <v>2014-Q4</v>
      </c>
    </row>
    <row r="4314" customFormat="false" ht="15" hidden="false" customHeight="false" outlineLevel="0" collapsed="false">
      <c r="A4314" s="0" t="s">
        <v>2222</v>
      </c>
      <c r="B4314" s="6" t="n">
        <v>41947</v>
      </c>
      <c r="C4314" s="7" t="s">
        <v>33</v>
      </c>
      <c r="D4314" s="7" t="s">
        <v>34</v>
      </c>
      <c r="E4314" s="7" t="s">
        <v>39</v>
      </c>
      <c r="F4314" s="0" t="n">
        <v>447.968</v>
      </c>
      <c r="G4314" s="0" t="n">
        <v>139.99</v>
      </c>
      <c r="H4314" s="0" t="n">
        <v>0.2</v>
      </c>
      <c r="I4314" s="7" t="n">
        <f aca="false">YEAR(B4314)</f>
        <v>2014</v>
      </c>
      <c r="J4314" s="0" t="str">
        <f aca="false">I4314&amp;"-Q"&amp;ROUNDUP(MONTH(B4314)/3,0)</f>
        <v>2014-Q4</v>
      </c>
    </row>
    <row r="4315" customFormat="false" ht="15" hidden="false" customHeight="false" outlineLevel="0" collapsed="false">
      <c r="A4315" s="0" t="s">
        <v>2223</v>
      </c>
      <c r="B4315" s="6" t="n">
        <v>41890</v>
      </c>
      <c r="C4315" s="7" t="s">
        <v>55</v>
      </c>
      <c r="D4315" s="7" t="s">
        <v>76</v>
      </c>
      <c r="E4315" s="7" t="s">
        <v>35</v>
      </c>
      <c r="F4315" s="0" t="n">
        <v>16.78</v>
      </c>
      <c r="G4315" s="0" t="n">
        <v>4.195</v>
      </c>
      <c r="H4315" s="0" t="n">
        <v>0</v>
      </c>
      <c r="I4315" s="7" t="n">
        <f aca="false">YEAR(B4315)</f>
        <v>2014</v>
      </c>
      <c r="J4315" s="0" t="str">
        <f aca="false">I4315&amp;"-Q"&amp;ROUNDUP(MONTH(B4315)/3,0)</f>
        <v>2014-Q3</v>
      </c>
    </row>
    <row r="4316" customFormat="false" ht="15" hidden="false" customHeight="false" outlineLevel="0" collapsed="false">
      <c r="A4316" s="0" t="s">
        <v>2224</v>
      </c>
      <c r="B4316" s="6" t="n">
        <v>42180</v>
      </c>
      <c r="C4316" s="7" t="s">
        <v>33</v>
      </c>
      <c r="D4316" s="7" t="s">
        <v>34</v>
      </c>
      <c r="E4316" s="7" t="s">
        <v>35</v>
      </c>
      <c r="F4316" s="0" t="n">
        <v>20.96</v>
      </c>
      <c r="G4316" s="0" t="n">
        <v>5.24</v>
      </c>
      <c r="H4316" s="0" t="n">
        <v>0</v>
      </c>
      <c r="I4316" s="7" t="n">
        <f aca="false">YEAR(B4316)</f>
        <v>2015</v>
      </c>
      <c r="J4316" s="0" t="str">
        <f aca="false">I4316&amp;"-Q"&amp;ROUNDUP(MONTH(B4316)/3,0)</f>
        <v>2015-Q2</v>
      </c>
    </row>
    <row r="4317" customFormat="false" ht="15" hidden="false" customHeight="false" outlineLevel="0" collapsed="false">
      <c r="A4317" s="0" t="s">
        <v>2224</v>
      </c>
      <c r="B4317" s="6" t="n">
        <v>42180</v>
      </c>
      <c r="C4317" s="7" t="s">
        <v>33</v>
      </c>
      <c r="D4317" s="7" t="s">
        <v>34</v>
      </c>
      <c r="E4317" s="7" t="s">
        <v>35</v>
      </c>
      <c r="F4317" s="0" t="n">
        <v>88.752</v>
      </c>
      <c r="G4317" s="0" t="n">
        <v>27.735</v>
      </c>
      <c r="H4317" s="0" t="n">
        <v>0.2</v>
      </c>
      <c r="I4317" s="7" t="n">
        <f aca="false">YEAR(B4317)</f>
        <v>2015</v>
      </c>
      <c r="J4317" s="0" t="str">
        <f aca="false">I4317&amp;"-Q"&amp;ROUNDUP(MONTH(B4317)/3,0)</f>
        <v>2015-Q2</v>
      </c>
    </row>
    <row r="4318" customFormat="false" ht="15" hidden="false" customHeight="false" outlineLevel="0" collapsed="false">
      <c r="A4318" s="0" t="s">
        <v>2224</v>
      </c>
      <c r="B4318" s="6" t="n">
        <v>42180</v>
      </c>
      <c r="C4318" s="7" t="s">
        <v>33</v>
      </c>
      <c r="D4318" s="7" t="s">
        <v>34</v>
      </c>
      <c r="E4318" s="7" t="s">
        <v>35</v>
      </c>
      <c r="F4318" s="0" t="n">
        <v>304.23</v>
      </c>
      <c r="G4318" s="0" t="n">
        <v>9.1269</v>
      </c>
      <c r="H4318" s="0" t="n">
        <v>0</v>
      </c>
      <c r="I4318" s="7" t="n">
        <f aca="false">YEAR(B4318)</f>
        <v>2015</v>
      </c>
      <c r="J4318" s="0" t="str">
        <f aca="false">I4318&amp;"-Q"&amp;ROUNDUP(MONTH(B4318)/3,0)</f>
        <v>2015-Q2</v>
      </c>
    </row>
    <row r="4319" customFormat="false" ht="15" hidden="false" customHeight="false" outlineLevel="0" collapsed="false">
      <c r="A4319" s="0" t="s">
        <v>2225</v>
      </c>
      <c r="B4319" s="6" t="n">
        <v>42211</v>
      </c>
      <c r="C4319" s="7" t="s">
        <v>33</v>
      </c>
      <c r="D4319" s="7" t="s">
        <v>34</v>
      </c>
      <c r="E4319" s="7" t="s">
        <v>35</v>
      </c>
      <c r="F4319" s="0" t="n">
        <v>167.86</v>
      </c>
      <c r="G4319" s="0" t="n">
        <v>78.8942</v>
      </c>
      <c r="H4319" s="0" t="n">
        <v>0</v>
      </c>
      <c r="I4319" s="7" t="n">
        <f aca="false">YEAR(B4319)</f>
        <v>2015</v>
      </c>
      <c r="J4319" s="0" t="str">
        <f aca="false">I4319&amp;"-Q"&amp;ROUNDUP(MONTH(B4319)/3,0)</f>
        <v>2015-Q3</v>
      </c>
    </row>
    <row r="4320" customFormat="false" ht="15" hidden="false" customHeight="false" outlineLevel="0" collapsed="false">
      <c r="A4320" s="0" t="s">
        <v>2226</v>
      </c>
      <c r="B4320" s="6" t="n">
        <v>43076</v>
      </c>
      <c r="C4320" s="7" t="s">
        <v>29</v>
      </c>
      <c r="D4320" s="7" t="s">
        <v>83</v>
      </c>
      <c r="E4320" s="7" t="s">
        <v>31</v>
      </c>
      <c r="F4320" s="0" t="n">
        <v>82.38</v>
      </c>
      <c r="G4320" s="0" t="n">
        <v>25.5378</v>
      </c>
      <c r="H4320" s="0" t="n">
        <v>0</v>
      </c>
      <c r="I4320" s="7" t="n">
        <f aca="false">YEAR(B4320)</f>
        <v>2017</v>
      </c>
      <c r="J4320" s="0" t="str">
        <f aca="false">I4320&amp;"-Q"&amp;ROUNDUP(MONTH(B4320)/3,0)</f>
        <v>2017-Q4</v>
      </c>
    </row>
    <row r="4321" customFormat="false" ht="15" hidden="false" customHeight="false" outlineLevel="0" collapsed="false">
      <c r="A4321" s="0" t="s">
        <v>2227</v>
      </c>
      <c r="B4321" s="6" t="n">
        <v>42002</v>
      </c>
      <c r="C4321" s="7" t="s">
        <v>33</v>
      </c>
      <c r="D4321" s="7" t="s">
        <v>142</v>
      </c>
      <c r="E4321" s="7" t="s">
        <v>39</v>
      </c>
      <c r="F4321" s="0" t="n">
        <v>23.976</v>
      </c>
      <c r="G4321" s="0" t="n">
        <v>-5.6943</v>
      </c>
      <c r="H4321" s="0" t="n">
        <v>0.2</v>
      </c>
      <c r="I4321" s="7" t="n">
        <f aca="false">YEAR(B4321)</f>
        <v>2014</v>
      </c>
      <c r="J4321" s="0" t="str">
        <f aca="false">I4321&amp;"-Q"&amp;ROUNDUP(MONTH(B4321)/3,0)</f>
        <v>2014-Q4</v>
      </c>
    </row>
    <row r="4322" customFormat="false" ht="15" hidden="false" customHeight="false" outlineLevel="0" collapsed="false">
      <c r="A4322" s="0" t="s">
        <v>2227</v>
      </c>
      <c r="B4322" s="6" t="n">
        <v>42002</v>
      </c>
      <c r="C4322" s="7" t="s">
        <v>33</v>
      </c>
      <c r="D4322" s="7" t="s">
        <v>142</v>
      </c>
      <c r="E4322" s="7" t="s">
        <v>35</v>
      </c>
      <c r="F4322" s="0" t="n">
        <v>33.29</v>
      </c>
      <c r="G4322" s="0" t="n">
        <v>7.9896</v>
      </c>
      <c r="H4322" s="0" t="n">
        <v>0</v>
      </c>
      <c r="I4322" s="7" t="n">
        <f aca="false">YEAR(B4322)</f>
        <v>2014</v>
      </c>
      <c r="J4322" s="0" t="str">
        <f aca="false">I4322&amp;"-Q"&amp;ROUNDUP(MONTH(B4322)/3,0)</f>
        <v>2014-Q4</v>
      </c>
    </row>
    <row r="4323" customFormat="false" ht="15" hidden="false" customHeight="false" outlineLevel="0" collapsed="false">
      <c r="A4323" s="0" t="s">
        <v>2228</v>
      </c>
      <c r="B4323" s="6" t="n">
        <v>42049</v>
      </c>
      <c r="C4323" s="7" t="s">
        <v>55</v>
      </c>
      <c r="D4323" s="7" t="s">
        <v>116</v>
      </c>
      <c r="E4323" s="7" t="s">
        <v>35</v>
      </c>
      <c r="F4323" s="0" t="n">
        <v>14.952</v>
      </c>
      <c r="G4323" s="0" t="n">
        <v>-11.9616</v>
      </c>
      <c r="H4323" s="0" t="n">
        <v>0.7</v>
      </c>
      <c r="I4323" s="7" t="n">
        <f aca="false">YEAR(B4323)</f>
        <v>2015</v>
      </c>
      <c r="J4323" s="0" t="str">
        <f aca="false">I4323&amp;"-Q"&amp;ROUNDUP(MONTH(B4323)/3,0)</f>
        <v>2015-Q1</v>
      </c>
    </row>
    <row r="4324" customFormat="false" ht="15" hidden="false" customHeight="false" outlineLevel="0" collapsed="false">
      <c r="A4324" s="0" t="s">
        <v>2228</v>
      </c>
      <c r="B4324" s="6" t="n">
        <v>42049</v>
      </c>
      <c r="C4324" s="7" t="s">
        <v>55</v>
      </c>
      <c r="D4324" s="7" t="s">
        <v>116</v>
      </c>
      <c r="E4324" s="7" t="s">
        <v>39</v>
      </c>
      <c r="F4324" s="0" t="n">
        <v>323.982</v>
      </c>
      <c r="G4324" s="0" t="n">
        <v>-80.9955</v>
      </c>
      <c r="H4324" s="0" t="n">
        <v>0.4</v>
      </c>
      <c r="I4324" s="7" t="n">
        <f aca="false">YEAR(B4324)</f>
        <v>2015</v>
      </c>
      <c r="J4324" s="0" t="str">
        <f aca="false">I4324&amp;"-Q"&amp;ROUNDUP(MONTH(B4324)/3,0)</f>
        <v>2015-Q1</v>
      </c>
    </row>
    <row r="4325" customFormat="false" ht="15" hidden="false" customHeight="false" outlineLevel="0" collapsed="false">
      <c r="A4325" s="0" t="s">
        <v>2228</v>
      </c>
      <c r="B4325" s="6" t="n">
        <v>42049</v>
      </c>
      <c r="C4325" s="7" t="s">
        <v>55</v>
      </c>
      <c r="D4325" s="7" t="s">
        <v>116</v>
      </c>
      <c r="E4325" s="7" t="s">
        <v>35</v>
      </c>
      <c r="F4325" s="0" t="n">
        <v>2.286</v>
      </c>
      <c r="G4325" s="0" t="n">
        <v>-1.6764</v>
      </c>
      <c r="H4325" s="0" t="n">
        <v>0.7</v>
      </c>
      <c r="I4325" s="7" t="n">
        <f aca="false">YEAR(B4325)</f>
        <v>2015</v>
      </c>
      <c r="J4325" s="0" t="str">
        <f aca="false">I4325&amp;"-Q"&amp;ROUNDUP(MONTH(B4325)/3,0)</f>
        <v>2015-Q1</v>
      </c>
    </row>
    <row r="4326" customFormat="false" ht="15" hidden="false" customHeight="false" outlineLevel="0" collapsed="false">
      <c r="A4326" s="0" t="s">
        <v>2228</v>
      </c>
      <c r="B4326" s="6" t="n">
        <v>42049</v>
      </c>
      <c r="C4326" s="7" t="s">
        <v>55</v>
      </c>
      <c r="D4326" s="7" t="s">
        <v>116</v>
      </c>
      <c r="E4326" s="7" t="s">
        <v>35</v>
      </c>
      <c r="F4326" s="0" t="n">
        <v>14.352</v>
      </c>
      <c r="G4326" s="0" t="n">
        <v>0.897</v>
      </c>
      <c r="H4326" s="0" t="n">
        <v>0.2</v>
      </c>
      <c r="I4326" s="7" t="n">
        <f aca="false">YEAR(B4326)</f>
        <v>2015</v>
      </c>
      <c r="J4326" s="0" t="str">
        <f aca="false">I4326&amp;"-Q"&amp;ROUNDUP(MONTH(B4326)/3,0)</f>
        <v>2015-Q1</v>
      </c>
    </row>
    <row r="4327" customFormat="false" ht="15" hidden="false" customHeight="false" outlineLevel="0" collapsed="false">
      <c r="A4327" s="0" t="s">
        <v>2228</v>
      </c>
      <c r="B4327" s="6" t="n">
        <v>42049</v>
      </c>
      <c r="C4327" s="7" t="s">
        <v>55</v>
      </c>
      <c r="D4327" s="7" t="s">
        <v>116</v>
      </c>
      <c r="E4327" s="7" t="s">
        <v>39</v>
      </c>
      <c r="F4327" s="0" t="n">
        <v>71.976</v>
      </c>
      <c r="G4327" s="0" t="n">
        <v>0.8997</v>
      </c>
      <c r="H4327" s="0" t="n">
        <v>0.2</v>
      </c>
      <c r="I4327" s="7" t="n">
        <f aca="false">YEAR(B4327)</f>
        <v>2015</v>
      </c>
      <c r="J4327" s="0" t="str">
        <f aca="false">I4327&amp;"-Q"&amp;ROUNDUP(MONTH(B4327)/3,0)</f>
        <v>2015-Q1</v>
      </c>
    </row>
    <row r="4328" customFormat="false" ht="15" hidden="false" customHeight="false" outlineLevel="0" collapsed="false">
      <c r="A4328" s="0" t="s">
        <v>2229</v>
      </c>
      <c r="B4328" s="6" t="n">
        <v>42394</v>
      </c>
      <c r="C4328" s="7" t="s">
        <v>55</v>
      </c>
      <c r="D4328" s="7" t="s">
        <v>161</v>
      </c>
      <c r="E4328" s="7" t="s">
        <v>35</v>
      </c>
      <c r="F4328" s="0" t="n">
        <v>9.21</v>
      </c>
      <c r="G4328" s="0" t="n">
        <v>2.3025</v>
      </c>
      <c r="H4328" s="0" t="n">
        <v>0</v>
      </c>
      <c r="I4328" s="7" t="n">
        <f aca="false">YEAR(B4328)</f>
        <v>2016</v>
      </c>
      <c r="J4328" s="0" t="str">
        <f aca="false">I4328&amp;"-Q"&amp;ROUNDUP(MONTH(B4328)/3,0)</f>
        <v>2016-Q1</v>
      </c>
    </row>
    <row r="4329" customFormat="false" ht="15" hidden="false" customHeight="false" outlineLevel="0" collapsed="false">
      <c r="A4329" s="0" t="s">
        <v>2229</v>
      </c>
      <c r="B4329" s="6" t="n">
        <v>42394</v>
      </c>
      <c r="C4329" s="7" t="s">
        <v>55</v>
      </c>
      <c r="D4329" s="7" t="s">
        <v>161</v>
      </c>
      <c r="E4329" s="7" t="s">
        <v>35</v>
      </c>
      <c r="F4329" s="0" t="n">
        <v>18</v>
      </c>
      <c r="G4329" s="0" t="n">
        <v>8.28</v>
      </c>
      <c r="H4329" s="0" t="n">
        <v>0</v>
      </c>
      <c r="I4329" s="7" t="n">
        <f aca="false">YEAR(B4329)</f>
        <v>2016</v>
      </c>
      <c r="J4329" s="0" t="str">
        <f aca="false">I4329&amp;"-Q"&amp;ROUNDUP(MONTH(B4329)/3,0)</f>
        <v>2016-Q1</v>
      </c>
    </row>
    <row r="4330" customFormat="false" ht="15" hidden="false" customHeight="false" outlineLevel="0" collapsed="false">
      <c r="A4330" s="0" t="s">
        <v>2230</v>
      </c>
      <c r="B4330" s="6" t="n">
        <v>42826</v>
      </c>
      <c r="C4330" s="7" t="s">
        <v>55</v>
      </c>
      <c r="D4330" s="7" t="s">
        <v>76</v>
      </c>
      <c r="E4330" s="7" t="s">
        <v>35</v>
      </c>
      <c r="F4330" s="0" t="n">
        <v>42.93</v>
      </c>
      <c r="G4330" s="0" t="n">
        <v>19.3185</v>
      </c>
      <c r="H4330" s="0" t="n">
        <v>0</v>
      </c>
      <c r="I4330" s="7" t="n">
        <f aca="false">YEAR(B4330)</f>
        <v>2017</v>
      </c>
      <c r="J4330" s="0" t="str">
        <f aca="false">I4330&amp;"-Q"&amp;ROUNDUP(MONTH(B4330)/3,0)</f>
        <v>2017-Q2</v>
      </c>
    </row>
    <row r="4331" customFormat="false" ht="15" hidden="false" customHeight="false" outlineLevel="0" collapsed="false">
      <c r="A4331" s="0" t="s">
        <v>2231</v>
      </c>
      <c r="B4331" s="6" t="n">
        <v>43011</v>
      </c>
      <c r="C4331" s="7" t="s">
        <v>29</v>
      </c>
      <c r="D4331" s="7" t="s">
        <v>37</v>
      </c>
      <c r="E4331" s="7" t="s">
        <v>35</v>
      </c>
      <c r="F4331" s="0" t="n">
        <v>15.552</v>
      </c>
      <c r="G4331" s="0" t="n">
        <v>5.4432</v>
      </c>
      <c r="H4331" s="0" t="n">
        <v>0.2</v>
      </c>
      <c r="I4331" s="7" t="n">
        <f aca="false">YEAR(B4331)</f>
        <v>2017</v>
      </c>
      <c r="J4331" s="0" t="str">
        <f aca="false">I4331&amp;"-Q"&amp;ROUNDUP(MONTH(B4331)/3,0)</f>
        <v>2017-Q4</v>
      </c>
    </row>
    <row r="4332" customFormat="false" ht="15" hidden="false" customHeight="false" outlineLevel="0" collapsed="false">
      <c r="A4332" s="0" t="s">
        <v>2231</v>
      </c>
      <c r="B4332" s="6" t="n">
        <v>43011</v>
      </c>
      <c r="C4332" s="7" t="s">
        <v>29</v>
      </c>
      <c r="D4332" s="7" t="s">
        <v>37</v>
      </c>
      <c r="E4332" s="7" t="s">
        <v>35</v>
      </c>
      <c r="F4332" s="0" t="n">
        <v>17.92</v>
      </c>
      <c r="G4332" s="0" t="n">
        <v>1.12</v>
      </c>
      <c r="H4332" s="0" t="n">
        <v>0.2</v>
      </c>
      <c r="I4332" s="7" t="n">
        <f aca="false">YEAR(B4332)</f>
        <v>2017</v>
      </c>
      <c r="J4332" s="0" t="str">
        <f aca="false">I4332&amp;"-Q"&amp;ROUNDUP(MONTH(B4332)/3,0)</f>
        <v>2017-Q4</v>
      </c>
    </row>
    <row r="4333" customFormat="false" ht="15" hidden="false" customHeight="false" outlineLevel="0" collapsed="false">
      <c r="A4333" s="0" t="s">
        <v>2232</v>
      </c>
      <c r="B4333" s="6" t="n">
        <v>42979</v>
      </c>
      <c r="C4333" s="7" t="s">
        <v>33</v>
      </c>
      <c r="D4333" s="7" t="s">
        <v>43</v>
      </c>
      <c r="E4333" s="7" t="s">
        <v>39</v>
      </c>
      <c r="F4333" s="0" t="n">
        <v>19.99</v>
      </c>
      <c r="G4333" s="0" t="n">
        <v>6.7966</v>
      </c>
      <c r="H4333" s="0" t="n">
        <v>0</v>
      </c>
      <c r="I4333" s="7" t="n">
        <f aca="false">YEAR(B4333)</f>
        <v>2017</v>
      </c>
      <c r="J4333" s="0" t="str">
        <f aca="false">I4333&amp;"-Q"&amp;ROUNDUP(MONTH(B4333)/3,0)</f>
        <v>2017-Q3</v>
      </c>
    </row>
    <row r="4334" customFormat="false" ht="15" hidden="false" customHeight="false" outlineLevel="0" collapsed="false">
      <c r="A4334" s="0" t="s">
        <v>2232</v>
      </c>
      <c r="B4334" s="6" t="n">
        <v>42979</v>
      </c>
      <c r="C4334" s="7" t="s">
        <v>33</v>
      </c>
      <c r="D4334" s="7" t="s">
        <v>43</v>
      </c>
      <c r="E4334" s="7" t="s">
        <v>35</v>
      </c>
      <c r="F4334" s="0" t="n">
        <v>22.92</v>
      </c>
      <c r="G4334" s="0" t="n">
        <v>8.022</v>
      </c>
      <c r="H4334" s="0" t="n">
        <v>0.2</v>
      </c>
      <c r="I4334" s="7" t="n">
        <f aca="false">YEAR(B4334)</f>
        <v>2017</v>
      </c>
      <c r="J4334" s="0" t="str">
        <f aca="false">I4334&amp;"-Q"&amp;ROUNDUP(MONTH(B4334)/3,0)</f>
        <v>2017-Q3</v>
      </c>
    </row>
    <row r="4335" customFormat="false" ht="15" hidden="false" customHeight="false" outlineLevel="0" collapsed="false">
      <c r="A4335" s="0" t="s">
        <v>2233</v>
      </c>
      <c r="B4335" s="6" t="n">
        <v>42359</v>
      </c>
      <c r="C4335" s="7" t="s">
        <v>29</v>
      </c>
      <c r="D4335" s="7" t="s">
        <v>37</v>
      </c>
      <c r="E4335" s="7" t="s">
        <v>39</v>
      </c>
      <c r="F4335" s="0" t="n">
        <v>50.88</v>
      </c>
      <c r="G4335" s="0" t="n">
        <v>14.628</v>
      </c>
      <c r="H4335" s="0" t="n">
        <v>0.2</v>
      </c>
      <c r="I4335" s="7" t="n">
        <f aca="false">YEAR(B4335)</f>
        <v>2015</v>
      </c>
      <c r="J4335" s="0" t="str">
        <f aca="false">I4335&amp;"-Q"&amp;ROUNDUP(MONTH(B4335)/3,0)</f>
        <v>2015-Q4</v>
      </c>
    </row>
    <row r="4336" customFormat="false" ht="15" hidden="false" customHeight="false" outlineLevel="0" collapsed="false">
      <c r="A4336" s="0" t="s">
        <v>2233</v>
      </c>
      <c r="B4336" s="6" t="n">
        <v>42359</v>
      </c>
      <c r="C4336" s="7" t="s">
        <v>29</v>
      </c>
      <c r="D4336" s="7" t="s">
        <v>37</v>
      </c>
      <c r="E4336" s="7" t="s">
        <v>35</v>
      </c>
      <c r="F4336" s="0" t="n">
        <v>27.312</v>
      </c>
      <c r="G4336" s="0" t="n">
        <v>9.2178</v>
      </c>
      <c r="H4336" s="0" t="n">
        <v>0.2</v>
      </c>
      <c r="I4336" s="7" t="n">
        <f aca="false">YEAR(B4336)</f>
        <v>2015</v>
      </c>
      <c r="J4336" s="0" t="str">
        <f aca="false">I4336&amp;"-Q"&amp;ROUNDUP(MONTH(B4336)/3,0)</f>
        <v>2015-Q4</v>
      </c>
    </row>
    <row r="4337" customFormat="false" ht="15" hidden="false" customHeight="false" outlineLevel="0" collapsed="false">
      <c r="A4337" s="0" t="s">
        <v>2234</v>
      </c>
      <c r="B4337" s="6" t="n">
        <v>42358</v>
      </c>
      <c r="C4337" s="7" t="s">
        <v>33</v>
      </c>
      <c r="D4337" s="7" t="s">
        <v>81</v>
      </c>
      <c r="E4337" s="7" t="s">
        <v>35</v>
      </c>
      <c r="F4337" s="0" t="n">
        <v>7.92</v>
      </c>
      <c r="G4337" s="0" t="n">
        <v>2.772</v>
      </c>
      <c r="H4337" s="0" t="n">
        <v>0.2</v>
      </c>
      <c r="I4337" s="7" t="n">
        <f aca="false">YEAR(B4337)</f>
        <v>2015</v>
      </c>
      <c r="J4337" s="0" t="str">
        <f aca="false">I4337&amp;"-Q"&amp;ROUNDUP(MONTH(B4337)/3,0)</f>
        <v>2015-Q4</v>
      </c>
    </row>
    <row r="4338" customFormat="false" ht="15" hidden="false" customHeight="false" outlineLevel="0" collapsed="false">
      <c r="A4338" s="0" t="s">
        <v>2234</v>
      </c>
      <c r="B4338" s="6" t="n">
        <v>42358</v>
      </c>
      <c r="C4338" s="7" t="s">
        <v>33</v>
      </c>
      <c r="D4338" s="7" t="s">
        <v>81</v>
      </c>
      <c r="E4338" s="7" t="s">
        <v>31</v>
      </c>
      <c r="F4338" s="0" t="n">
        <v>14.368</v>
      </c>
      <c r="G4338" s="0" t="n">
        <v>3.9512</v>
      </c>
      <c r="H4338" s="0" t="n">
        <v>0.2</v>
      </c>
      <c r="I4338" s="7" t="n">
        <f aca="false">YEAR(B4338)</f>
        <v>2015</v>
      </c>
      <c r="J4338" s="0" t="str">
        <f aca="false">I4338&amp;"-Q"&amp;ROUNDUP(MONTH(B4338)/3,0)</f>
        <v>2015-Q4</v>
      </c>
    </row>
    <row r="4339" customFormat="false" ht="15" hidden="false" customHeight="false" outlineLevel="0" collapsed="false">
      <c r="A4339" s="0" t="s">
        <v>2235</v>
      </c>
      <c r="B4339" s="6" t="n">
        <v>42335</v>
      </c>
      <c r="C4339" s="7" t="s">
        <v>33</v>
      </c>
      <c r="D4339" s="7" t="s">
        <v>34</v>
      </c>
      <c r="E4339" s="7" t="s">
        <v>39</v>
      </c>
      <c r="F4339" s="0" t="n">
        <v>107.97</v>
      </c>
      <c r="G4339" s="0" t="n">
        <v>22.6737</v>
      </c>
      <c r="H4339" s="0" t="n">
        <v>0</v>
      </c>
      <c r="I4339" s="7" t="n">
        <f aca="false">YEAR(B4339)</f>
        <v>2015</v>
      </c>
      <c r="J4339" s="0" t="str">
        <f aca="false">I4339&amp;"-Q"&amp;ROUNDUP(MONTH(B4339)/3,0)</f>
        <v>2015-Q4</v>
      </c>
    </row>
    <row r="4340" customFormat="false" ht="15" hidden="false" customHeight="false" outlineLevel="0" collapsed="false">
      <c r="A4340" s="0" t="s">
        <v>2235</v>
      </c>
      <c r="B4340" s="6" t="n">
        <v>42335</v>
      </c>
      <c r="C4340" s="7" t="s">
        <v>33</v>
      </c>
      <c r="D4340" s="7" t="s">
        <v>34</v>
      </c>
      <c r="E4340" s="7" t="s">
        <v>35</v>
      </c>
      <c r="F4340" s="0" t="n">
        <v>113.82</v>
      </c>
      <c r="G4340" s="0" t="n">
        <v>53.4954</v>
      </c>
      <c r="H4340" s="0" t="n">
        <v>0</v>
      </c>
      <c r="I4340" s="7" t="n">
        <f aca="false">YEAR(B4340)</f>
        <v>2015</v>
      </c>
      <c r="J4340" s="0" t="str">
        <f aca="false">I4340&amp;"-Q"&amp;ROUNDUP(MONTH(B4340)/3,0)</f>
        <v>2015-Q4</v>
      </c>
    </row>
    <row r="4341" customFormat="false" ht="15" hidden="false" customHeight="false" outlineLevel="0" collapsed="false">
      <c r="A4341" s="0" t="s">
        <v>2236</v>
      </c>
      <c r="B4341" s="6" t="n">
        <v>42974</v>
      </c>
      <c r="C4341" s="7" t="s">
        <v>29</v>
      </c>
      <c r="D4341" s="7" t="s">
        <v>87</v>
      </c>
      <c r="E4341" s="7" t="s">
        <v>35</v>
      </c>
      <c r="F4341" s="0" t="n">
        <v>5.184</v>
      </c>
      <c r="G4341" s="0" t="n">
        <v>1.8144</v>
      </c>
      <c r="H4341" s="0" t="n">
        <v>0.2</v>
      </c>
      <c r="I4341" s="7" t="n">
        <f aca="false">YEAR(B4341)</f>
        <v>2017</v>
      </c>
      <c r="J4341" s="0" t="str">
        <f aca="false">I4341&amp;"-Q"&amp;ROUNDUP(MONTH(B4341)/3,0)</f>
        <v>2017-Q3</v>
      </c>
    </row>
    <row r="4342" customFormat="false" ht="15" hidden="false" customHeight="false" outlineLevel="0" collapsed="false">
      <c r="A4342" s="0" t="s">
        <v>2237</v>
      </c>
      <c r="B4342" s="6" t="n">
        <v>41720</v>
      </c>
      <c r="C4342" s="7" t="s">
        <v>45</v>
      </c>
      <c r="D4342" s="7" t="s">
        <v>74</v>
      </c>
      <c r="E4342" s="7" t="s">
        <v>35</v>
      </c>
      <c r="F4342" s="0" t="n">
        <v>16.28</v>
      </c>
      <c r="G4342" s="0" t="n">
        <v>6.512</v>
      </c>
      <c r="H4342" s="0" t="n">
        <v>0</v>
      </c>
      <c r="I4342" s="7" t="n">
        <f aca="false">YEAR(B4342)</f>
        <v>2014</v>
      </c>
      <c r="J4342" s="0" t="str">
        <f aca="false">I4342&amp;"-Q"&amp;ROUNDUP(MONTH(B4342)/3,0)</f>
        <v>2014-Q1</v>
      </c>
    </row>
    <row r="4343" customFormat="false" ht="15" hidden="false" customHeight="false" outlineLevel="0" collapsed="false">
      <c r="A4343" s="0" t="s">
        <v>2238</v>
      </c>
      <c r="B4343" s="6" t="n">
        <v>43086</v>
      </c>
      <c r="C4343" s="7" t="s">
        <v>29</v>
      </c>
      <c r="D4343" s="7" t="s">
        <v>83</v>
      </c>
      <c r="E4343" s="7" t="s">
        <v>35</v>
      </c>
      <c r="F4343" s="0" t="n">
        <v>544.38</v>
      </c>
      <c r="G4343" s="0" t="n">
        <v>157.8702</v>
      </c>
      <c r="H4343" s="0" t="n">
        <v>0</v>
      </c>
      <c r="I4343" s="7" t="n">
        <f aca="false">YEAR(B4343)</f>
        <v>2017</v>
      </c>
      <c r="J4343" s="0" t="str">
        <f aca="false">I4343&amp;"-Q"&amp;ROUNDUP(MONTH(B4343)/3,0)</f>
        <v>2017-Q4</v>
      </c>
    </row>
    <row r="4344" customFormat="false" ht="15" hidden="false" customHeight="false" outlineLevel="0" collapsed="false">
      <c r="A4344" s="0" t="s">
        <v>2239</v>
      </c>
      <c r="B4344" s="6" t="n">
        <v>42813</v>
      </c>
      <c r="C4344" s="7" t="s">
        <v>33</v>
      </c>
      <c r="D4344" s="7" t="s">
        <v>34</v>
      </c>
      <c r="E4344" s="7" t="s">
        <v>35</v>
      </c>
      <c r="F4344" s="0" t="n">
        <v>19.824</v>
      </c>
      <c r="G4344" s="0" t="n">
        <v>6.6906</v>
      </c>
      <c r="H4344" s="0" t="n">
        <v>0.2</v>
      </c>
      <c r="I4344" s="7" t="n">
        <f aca="false">YEAR(B4344)</f>
        <v>2017</v>
      </c>
      <c r="J4344" s="0" t="str">
        <f aca="false">I4344&amp;"-Q"&amp;ROUNDUP(MONTH(B4344)/3,0)</f>
        <v>2017-Q1</v>
      </c>
    </row>
    <row r="4345" customFormat="false" ht="15" hidden="false" customHeight="false" outlineLevel="0" collapsed="false">
      <c r="A4345" s="0" t="s">
        <v>2239</v>
      </c>
      <c r="B4345" s="6" t="n">
        <v>42813</v>
      </c>
      <c r="C4345" s="7" t="s">
        <v>33</v>
      </c>
      <c r="D4345" s="7" t="s">
        <v>34</v>
      </c>
      <c r="E4345" s="7" t="s">
        <v>39</v>
      </c>
      <c r="F4345" s="0" t="n">
        <v>657.504</v>
      </c>
      <c r="G4345" s="0" t="n">
        <v>-131.5008</v>
      </c>
      <c r="H4345" s="0" t="n">
        <v>0.2</v>
      </c>
      <c r="I4345" s="7" t="n">
        <f aca="false">YEAR(B4345)</f>
        <v>2017</v>
      </c>
      <c r="J4345" s="0" t="str">
        <f aca="false">I4345&amp;"-Q"&amp;ROUNDUP(MONTH(B4345)/3,0)</f>
        <v>2017-Q1</v>
      </c>
    </row>
    <row r="4346" customFormat="false" ht="15" hidden="false" customHeight="false" outlineLevel="0" collapsed="false">
      <c r="A4346" s="0" t="s">
        <v>2239</v>
      </c>
      <c r="B4346" s="6" t="n">
        <v>42813</v>
      </c>
      <c r="C4346" s="7" t="s">
        <v>33</v>
      </c>
      <c r="D4346" s="7" t="s">
        <v>34</v>
      </c>
      <c r="E4346" s="7" t="s">
        <v>39</v>
      </c>
      <c r="F4346" s="0" t="n">
        <v>99.54</v>
      </c>
      <c r="G4346" s="0" t="n">
        <v>10.9494</v>
      </c>
      <c r="H4346" s="0" t="n">
        <v>0</v>
      </c>
      <c r="I4346" s="7" t="n">
        <f aca="false">YEAR(B4346)</f>
        <v>2017</v>
      </c>
      <c r="J4346" s="0" t="str">
        <f aca="false">I4346&amp;"-Q"&amp;ROUNDUP(MONTH(B4346)/3,0)</f>
        <v>2017-Q1</v>
      </c>
    </row>
    <row r="4347" customFormat="false" ht="15" hidden="false" customHeight="false" outlineLevel="0" collapsed="false">
      <c r="A4347" s="0" t="s">
        <v>2239</v>
      </c>
      <c r="B4347" s="6" t="n">
        <v>42813</v>
      </c>
      <c r="C4347" s="7" t="s">
        <v>33</v>
      </c>
      <c r="D4347" s="7" t="s">
        <v>34</v>
      </c>
      <c r="E4347" s="7" t="s">
        <v>39</v>
      </c>
      <c r="F4347" s="0" t="n">
        <v>199.96</v>
      </c>
      <c r="G4347" s="0" t="n">
        <v>85.9828</v>
      </c>
      <c r="H4347" s="0" t="n">
        <v>0</v>
      </c>
      <c r="I4347" s="7" t="n">
        <f aca="false">YEAR(B4347)</f>
        <v>2017</v>
      </c>
      <c r="J4347" s="0" t="str">
        <f aca="false">I4347&amp;"-Q"&amp;ROUNDUP(MONTH(B4347)/3,0)</f>
        <v>2017-Q1</v>
      </c>
    </row>
    <row r="4348" customFormat="false" ht="15" hidden="false" customHeight="false" outlineLevel="0" collapsed="false">
      <c r="A4348" s="0" t="s">
        <v>2240</v>
      </c>
      <c r="B4348" s="6" t="n">
        <v>42631</v>
      </c>
      <c r="C4348" s="7" t="s">
        <v>55</v>
      </c>
      <c r="D4348" s="7" t="s">
        <v>76</v>
      </c>
      <c r="E4348" s="7" t="s">
        <v>31</v>
      </c>
      <c r="F4348" s="0" t="n">
        <v>631.782</v>
      </c>
      <c r="G4348" s="0" t="n">
        <v>140.396</v>
      </c>
      <c r="H4348" s="0" t="n">
        <v>0.1</v>
      </c>
      <c r="I4348" s="7" t="n">
        <f aca="false">YEAR(B4348)</f>
        <v>2016</v>
      </c>
      <c r="J4348" s="0" t="str">
        <f aca="false">I4348&amp;"-Q"&amp;ROUNDUP(MONTH(B4348)/3,0)</f>
        <v>2016-Q3</v>
      </c>
    </row>
    <row r="4349" customFormat="false" ht="15" hidden="false" customHeight="false" outlineLevel="0" collapsed="false">
      <c r="A4349" s="0" t="s">
        <v>2240</v>
      </c>
      <c r="B4349" s="6" t="n">
        <v>42631</v>
      </c>
      <c r="C4349" s="7" t="s">
        <v>55</v>
      </c>
      <c r="D4349" s="7" t="s">
        <v>76</v>
      </c>
      <c r="E4349" s="7" t="s">
        <v>31</v>
      </c>
      <c r="F4349" s="0" t="n">
        <v>60.72</v>
      </c>
      <c r="G4349" s="0" t="n">
        <v>26.1096</v>
      </c>
      <c r="H4349" s="0" t="n">
        <v>0</v>
      </c>
      <c r="I4349" s="7" t="n">
        <f aca="false">YEAR(B4349)</f>
        <v>2016</v>
      </c>
      <c r="J4349" s="0" t="str">
        <f aca="false">I4349&amp;"-Q"&amp;ROUNDUP(MONTH(B4349)/3,0)</f>
        <v>2016-Q3</v>
      </c>
    </row>
    <row r="4350" customFormat="false" ht="15" hidden="false" customHeight="false" outlineLevel="0" collapsed="false">
      <c r="A4350" s="0" t="s">
        <v>2241</v>
      </c>
      <c r="B4350" s="6" t="n">
        <v>43063</v>
      </c>
      <c r="C4350" s="7" t="s">
        <v>33</v>
      </c>
      <c r="D4350" s="7" t="s">
        <v>81</v>
      </c>
      <c r="E4350" s="7" t="s">
        <v>35</v>
      </c>
      <c r="F4350" s="0" t="n">
        <v>20.724</v>
      </c>
      <c r="G4350" s="0" t="n">
        <v>-15.1976</v>
      </c>
      <c r="H4350" s="0" t="n">
        <v>0.7</v>
      </c>
      <c r="I4350" s="7" t="n">
        <f aca="false">YEAR(B4350)</f>
        <v>2017</v>
      </c>
      <c r="J4350" s="0" t="str">
        <f aca="false">I4350&amp;"-Q"&amp;ROUNDUP(MONTH(B4350)/3,0)</f>
        <v>2017-Q4</v>
      </c>
    </row>
    <row r="4351" customFormat="false" ht="15" hidden="false" customHeight="false" outlineLevel="0" collapsed="false">
      <c r="A4351" s="0" t="s">
        <v>2241</v>
      </c>
      <c r="B4351" s="6" t="n">
        <v>43063</v>
      </c>
      <c r="C4351" s="7" t="s">
        <v>33</v>
      </c>
      <c r="D4351" s="7" t="s">
        <v>81</v>
      </c>
      <c r="E4351" s="7" t="s">
        <v>35</v>
      </c>
      <c r="F4351" s="0" t="n">
        <v>415.872</v>
      </c>
      <c r="G4351" s="0" t="n">
        <v>-41.5872</v>
      </c>
      <c r="H4351" s="0" t="n">
        <v>0.2</v>
      </c>
      <c r="I4351" s="7" t="n">
        <f aca="false">YEAR(B4351)</f>
        <v>2017</v>
      </c>
      <c r="J4351" s="0" t="str">
        <f aca="false">I4351&amp;"-Q"&amp;ROUNDUP(MONTH(B4351)/3,0)</f>
        <v>2017-Q4</v>
      </c>
    </row>
    <row r="4352" customFormat="false" ht="15" hidden="false" customHeight="false" outlineLevel="0" collapsed="false">
      <c r="A4352" s="0" t="s">
        <v>2242</v>
      </c>
      <c r="B4352" s="6" t="n">
        <v>42836</v>
      </c>
      <c r="C4352" s="7" t="s">
        <v>55</v>
      </c>
      <c r="D4352" s="7" t="s">
        <v>116</v>
      </c>
      <c r="E4352" s="7" t="s">
        <v>35</v>
      </c>
      <c r="F4352" s="0" t="n">
        <v>16.768</v>
      </c>
      <c r="G4352" s="0" t="n">
        <v>1.4672</v>
      </c>
      <c r="H4352" s="0" t="n">
        <v>0.2</v>
      </c>
      <c r="I4352" s="7" t="n">
        <f aca="false">YEAR(B4352)</f>
        <v>2017</v>
      </c>
      <c r="J4352" s="0" t="str">
        <f aca="false">I4352&amp;"-Q"&amp;ROUNDUP(MONTH(B4352)/3,0)</f>
        <v>2017-Q2</v>
      </c>
    </row>
    <row r="4353" customFormat="false" ht="15" hidden="false" customHeight="false" outlineLevel="0" collapsed="false">
      <c r="A4353" s="0" t="s">
        <v>2242</v>
      </c>
      <c r="B4353" s="6" t="n">
        <v>42836</v>
      </c>
      <c r="C4353" s="7" t="s">
        <v>55</v>
      </c>
      <c r="D4353" s="7" t="s">
        <v>116</v>
      </c>
      <c r="E4353" s="7" t="s">
        <v>39</v>
      </c>
      <c r="F4353" s="0" t="n">
        <v>27.12</v>
      </c>
      <c r="G4353" s="0" t="n">
        <v>-4.746</v>
      </c>
      <c r="H4353" s="0" t="n">
        <v>0.2</v>
      </c>
      <c r="I4353" s="7" t="n">
        <f aca="false">YEAR(B4353)</f>
        <v>2017</v>
      </c>
      <c r="J4353" s="0" t="str">
        <f aca="false">I4353&amp;"-Q"&amp;ROUNDUP(MONTH(B4353)/3,0)</f>
        <v>2017-Q2</v>
      </c>
    </row>
    <row r="4354" customFormat="false" ht="15" hidden="false" customHeight="false" outlineLevel="0" collapsed="false">
      <c r="A4354" s="0" t="s">
        <v>2243</v>
      </c>
      <c r="B4354" s="6" t="n">
        <v>43079</v>
      </c>
      <c r="C4354" s="7" t="s">
        <v>33</v>
      </c>
      <c r="D4354" s="7" t="s">
        <v>34</v>
      </c>
      <c r="E4354" s="7" t="s">
        <v>39</v>
      </c>
      <c r="F4354" s="0" t="n">
        <v>95.84</v>
      </c>
      <c r="G4354" s="0" t="n">
        <v>34.742</v>
      </c>
      <c r="H4354" s="0" t="n">
        <v>0.2</v>
      </c>
      <c r="I4354" s="7" t="n">
        <f aca="false">YEAR(B4354)</f>
        <v>2017</v>
      </c>
      <c r="J4354" s="0" t="str">
        <f aca="false">I4354&amp;"-Q"&amp;ROUNDUP(MONTH(B4354)/3,0)</f>
        <v>2017-Q4</v>
      </c>
    </row>
    <row r="4355" customFormat="false" ht="15" hidden="false" customHeight="false" outlineLevel="0" collapsed="false">
      <c r="A4355" s="0" t="s">
        <v>2243</v>
      </c>
      <c r="B4355" s="6" t="n">
        <v>43079</v>
      </c>
      <c r="C4355" s="7" t="s">
        <v>33</v>
      </c>
      <c r="D4355" s="7" t="s">
        <v>34</v>
      </c>
      <c r="E4355" s="7" t="s">
        <v>35</v>
      </c>
      <c r="F4355" s="0" t="n">
        <v>12.96</v>
      </c>
      <c r="G4355" s="0" t="n">
        <v>6.2208</v>
      </c>
      <c r="H4355" s="0" t="n">
        <v>0</v>
      </c>
      <c r="I4355" s="7" t="n">
        <f aca="false">YEAR(B4355)</f>
        <v>2017</v>
      </c>
      <c r="J4355" s="0" t="str">
        <f aca="false">I4355&amp;"-Q"&amp;ROUNDUP(MONTH(B4355)/3,0)</f>
        <v>2017-Q4</v>
      </c>
    </row>
    <row r="4356" customFormat="false" ht="15" hidden="false" customHeight="false" outlineLevel="0" collapsed="false">
      <c r="A4356" s="0" t="s">
        <v>2244</v>
      </c>
      <c r="B4356" s="6" t="n">
        <v>43063</v>
      </c>
      <c r="C4356" s="7" t="s">
        <v>29</v>
      </c>
      <c r="D4356" s="7" t="s">
        <v>41</v>
      </c>
      <c r="E4356" s="7" t="s">
        <v>35</v>
      </c>
      <c r="F4356" s="0" t="n">
        <v>19.008</v>
      </c>
      <c r="G4356" s="0" t="n">
        <v>-12.672</v>
      </c>
      <c r="H4356" s="0" t="n">
        <v>0.7</v>
      </c>
      <c r="I4356" s="7" t="n">
        <f aca="false">YEAR(B4356)</f>
        <v>2017</v>
      </c>
      <c r="J4356" s="0" t="str">
        <f aca="false">I4356&amp;"-Q"&amp;ROUNDUP(MONTH(B4356)/3,0)</f>
        <v>2017-Q4</v>
      </c>
    </row>
    <row r="4357" customFormat="false" ht="15" hidden="false" customHeight="false" outlineLevel="0" collapsed="false">
      <c r="A4357" s="0" t="s">
        <v>2245</v>
      </c>
      <c r="B4357" s="6" t="n">
        <v>42342</v>
      </c>
      <c r="C4357" s="7" t="s">
        <v>29</v>
      </c>
      <c r="D4357" s="7" t="s">
        <v>87</v>
      </c>
      <c r="E4357" s="7" t="s">
        <v>35</v>
      </c>
      <c r="F4357" s="0" t="n">
        <v>1598.058</v>
      </c>
      <c r="G4357" s="0" t="n">
        <v>-1065.372</v>
      </c>
      <c r="H4357" s="0" t="n">
        <v>0.7</v>
      </c>
      <c r="I4357" s="7" t="n">
        <f aca="false">YEAR(B4357)</f>
        <v>2015</v>
      </c>
      <c r="J4357" s="0" t="str">
        <f aca="false">I4357&amp;"-Q"&amp;ROUNDUP(MONTH(B4357)/3,0)</f>
        <v>2015-Q4</v>
      </c>
    </row>
    <row r="4358" customFormat="false" ht="15" hidden="false" customHeight="false" outlineLevel="0" collapsed="false">
      <c r="A4358" s="0" t="s">
        <v>2245</v>
      </c>
      <c r="B4358" s="6" t="n">
        <v>42342</v>
      </c>
      <c r="C4358" s="7" t="s">
        <v>29</v>
      </c>
      <c r="D4358" s="7" t="s">
        <v>87</v>
      </c>
      <c r="E4358" s="7" t="s">
        <v>35</v>
      </c>
      <c r="F4358" s="0" t="n">
        <v>36.96</v>
      </c>
      <c r="G4358" s="0" t="n">
        <v>12.012</v>
      </c>
      <c r="H4358" s="0" t="n">
        <v>0.2</v>
      </c>
      <c r="I4358" s="7" t="n">
        <f aca="false">YEAR(B4358)</f>
        <v>2015</v>
      </c>
      <c r="J4358" s="0" t="str">
        <f aca="false">I4358&amp;"-Q"&amp;ROUNDUP(MONTH(B4358)/3,0)</f>
        <v>2015-Q4</v>
      </c>
    </row>
    <row r="4359" customFormat="false" ht="15" hidden="false" customHeight="false" outlineLevel="0" collapsed="false">
      <c r="A4359" s="0" t="s">
        <v>2246</v>
      </c>
      <c r="B4359" s="6" t="n">
        <v>43080</v>
      </c>
      <c r="C4359" s="7" t="s">
        <v>45</v>
      </c>
      <c r="D4359" s="7" t="s">
        <v>64</v>
      </c>
      <c r="E4359" s="7" t="s">
        <v>35</v>
      </c>
      <c r="F4359" s="0" t="n">
        <v>10.368</v>
      </c>
      <c r="G4359" s="0" t="n">
        <v>3.6288</v>
      </c>
      <c r="H4359" s="0" t="n">
        <v>0.2</v>
      </c>
      <c r="I4359" s="7" t="n">
        <f aca="false">YEAR(B4359)</f>
        <v>2017</v>
      </c>
      <c r="J4359" s="0" t="str">
        <f aca="false">I4359&amp;"-Q"&amp;ROUNDUP(MONTH(B4359)/3,0)</f>
        <v>2017-Q4</v>
      </c>
    </row>
    <row r="4360" customFormat="false" ht="15" hidden="false" customHeight="false" outlineLevel="0" collapsed="false">
      <c r="A4360" s="0" t="s">
        <v>2246</v>
      </c>
      <c r="B4360" s="6" t="n">
        <v>43080</v>
      </c>
      <c r="C4360" s="7" t="s">
        <v>45</v>
      </c>
      <c r="D4360" s="7" t="s">
        <v>64</v>
      </c>
      <c r="E4360" s="7" t="s">
        <v>31</v>
      </c>
      <c r="F4360" s="0" t="n">
        <v>77.72</v>
      </c>
      <c r="G4360" s="0" t="n">
        <v>-66.062</v>
      </c>
      <c r="H4360" s="0" t="n">
        <v>0.6</v>
      </c>
      <c r="I4360" s="7" t="n">
        <f aca="false">YEAR(B4360)</f>
        <v>2017</v>
      </c>
      <c r="J4360" s="0" t="str">
        <f aca="false">I4360&amp;"-Q"&amp;ROUNDUP(MONTH(B4360)/3,0)</f>
        <v>2017-Q4</v>
      </c>
    </row>
    <row r="4361" customFormat="false" ht="15" hidden="false" customHeight="false" outlineLevel="0" collapsed="false">
      <c r="A4361" s="0" t="s">
        <v>2246</v>
      </c>
      <c r="B4361" s="6" t="n">
        <v>43080</v>
      </c>
      <c r="C4361" s="7" t="s">
        <v>45</v>
      </c>
      <c r="D4361" s="7" t="s">
        <v>64</v>
      </c>
      <c r="E4361" s="7" t="s">
        <v>31</v>
      </c>
      <c r="F4361" s="0" t="n">
        <v>520.464</v>
      </c>
      <c r="G4361" s="0" t="n">
        <v>-14.8704</v>
      </c>
      <c r="H4361" s="0" t="n">
        <v>0.3</v>
      </c>
      <c r="I4361" s="7" t="n">
        <f aca="false">YEAR(B4361)</f>
        <v>2017</v>
      </c>
      <c r="J4361" s="0" t="str">
        <f aca="false">I4361&amp;"-Q"&amp;ROUNDUP(MONTH(B4361)/3,0)</f>
        <v>2017-Q4</v>
      </c>
    </row>
    <row r="4362" customFormat="false" ht="15" hidden="false" customHeight="false" outlineLevel="0" collapsed="false">
      <c r="A4362" s="0" t="s">
        <v>2247</v>
      </c>
      <c r="B4362" s="6" t="n">
        <v>42511</v>
      </c>
      <c r="C4362" s="7" t="s">
        <v>55</v>
      </c>
      <c r="D4362" s="7" t="s">
        <v>250</v>
      </c>
      <c r="E4362" s="7" t="s">
        <v>35</v>
      </c>
      <c r="F4362" s="0" t="n">
        <v>111.96</v>
      </c>
      <c r="G4362" s="0" t="n">
        <v>54.8604</v>
      </c>
      <c r="H4362" s="0" t="n">
        <v>0</v>
      </c>
      <c r="I4362" s="7" t="n">
        <f aca="false">YEAR(B4362)</f>
        <v>2016</v>
      </c>
      <c r="J4362" s="0" t="str">
        <f aca="false">I4362&amp;"-Q"&amp;ROUNDUP(MONTH(B4362)/3,0)</f>
        <v>2016-Q2</v>
      </c>
    </row>
    <row r="4363" customFormat="false" ht="15" hidden="false" customHeight="false" outlineLevel="0" collapsed="false">
      <c r="A4363" s="0" t="s">
        <v>2248</v>
      </c>
      <c r="B4363" s="6" t="n">
        <v>42783</v>
      </c>
      <c r="C4363" s="7" t="s">
        <v>29</v>
      </c>
      <c r="D4363" s="7" t="s">
        <v>152</v>
      </c>
      <c r="E4363" s="7" t="s">
        <v>39</v>
      </c>
      <c r="F4363" s="0" t="n">
        <v>29.16</v>
      </c>
      <c r="G4363" s="0" t="n">
        <v>8.4564</v>
      </c>
      <c r="H4363" s="0" t="n">
        <v>0</v>
      </c>
      <c r="I4363" s="7" t="n">
        <f aca="false">YEAR(B4363)</f>
        <v>2017</v>
      </c>
      <c r="J4363" s="0" t="str">
        <f aca="false">I4363&amp;"-Q"&amp;ROUNDUP(MONTH(B4363)/3,0)</f>
        <v>2017-Q1</v>
      </c>
    </row>
    <row r="4364" customFormat="false" ht="15" hidden="false" customHeight="false" outlineLevel="0" collapsed="false">
      <c r="A4364" s="0" t="s">
        <v>2249</v>
      </c>
      <c r="B4364" s="6" t="n">
        <v>42875</v>
      </c>
      <c r="C4364" s="7" t="s">
        <v>45</v>
      </c>
      <c r="D4364" s="7" t="s">
        <v>2250</v>
      </c>
      <c r="E4364" s="7" t="s">
        <v>35</v>
      </c>
      <c r="F4364" s="0" t="n">
        <v>131.94</v>
      </c>
      <c r="G4364" s="0" t="n">
        <v>35.6238</v>
      </c>
      <c r="H4364" s="0" t="n">
        <v>0</v>
      </c>
      <c r="I4364" s="7" t="n">
        <f aca="false">YEAR(B4364)</f>
        <v>2017</v>
      </c>
      <c r="J4364" s="0" t="str">
        <f aca="false">I4364&amp;"-Q"&amp;ROUNDUP(MONTH(B4364)/3,0)</f>
        <v>2017-Q2</v>
      </c>
    </row>
    <row r="4365" customFormat="false" ht="15" hidden="false" customHeight="false" outlineLevel="0" collapsed="false">
      <c r="A4365" s="0" t="s">
        <v>2249</v>
      </c>
      <c r="B4365" s="6" t="n">
        <v>42875</v>
      </c>
      <c r="C4365" s="7" t="s">
        <v>45</v>
      </c>
      <c r="D4365" s="7" t="s">
        <v>2250</v>
      </c>
      <c r="E4365" s="7" t="s">
        <v>35</v>
      </c>
      <c r="F4365" s="0" t="n">
        <v>25.92</v>
      </c>
      <c r="G4365" s="0" t="n">
        <v>8.2944</v>
      </c>
      <c r="H4365" s="0" t="n">
        <v>0</v>
      </c>
      <c r="I4365" s="7" t="n">
        <f aca="false">YEAR(B4365)</f>
        <v>2017</v>
      </c>
      <c r="J4365" s="0" t="str">
        <f aca="false">I4365&amp;"-Q"&amp;ROUNDUP(MONTH(B4365)/3,0)</f>
        <v>2017-Q2</v>
      </c>
    </row>
    <row r="4366" customFormat="false" ht="15" hidden="false" customHeight="false" outlineLevel="0" collapsed="false">
      <c r="A4366" s="0" t="s">
        <v>2249</v>
      </c>
      <c r="B4366" s="6" t="n">
        <v>42875</v>
      </c>
      <c r="C4366" s="7" t="s">
        <v>45</v>
      </c>
      <c r="D4366" s="7" t="s">
        <v>2250</v>
      </c>
      <c r="E4366" s="7" t="s">
        <v>35</v>
      </c>
      <c r="F4366" s="0" t="n">
        <v>704.76</v>
      </c>
      <c r="G4366" s="0" t="n">
        <v>162.0948</v>
      </c>
      <c r="H4366" s="0" t="n">
        <v>0</v>
      </c>
      <c r="I4366" s="7" t="n">
        <f aca="false">YEAR(B4366)</f>
        <v>2017</v>
      </c>
      <c r="J4366" s="0" t="str">
        <f aca="false">I4366&amp;"-Q"&amp;ROUNDUP(MONTH(B4366)/3,0)</f>
        <v>2017-Q2</v>
      </c>
    </row>
    <row r="4367" customFormat="false" ht="15" hidden="false" customHeight="false" outlineLevel="0" collapsed="false">
      <c r="A4367" s="0" t="s">
        <v>2249</v>
      </c>
      <c r="B4367" s="6" t="n">
        <v>42875</v>
      </c>
      <c r="C4367" s="7" t="s">
        <v>45</v>
      </c>
      <c r="D4367" s="7" t="s">
        <v>2250</v>
      </c>
      <c r="E4367" s="7" t="s">
        <v>35</v>
      </c>
      <c r="F4367" s="0" t="n">
        <v>7.41</v>
      </c>
      <c r="G4367" s="0" t="n">
        <v>3.4827</v>
      </c>
      <c r="H4367" s="0" t="n">
        <v>0</v>
      </c>
      <c r="I4367" s="7" t="n">
        <f aca="false">YEAR(B4367)</f>
        <v>2017</v>
      </c>
      <c r="J4367" s="0" t="str">
        <f aca="false">I4367&amp;"-Q"&amp;ROUNDUP(MONTH(B4367)/3,0)</f>
        <v>2017-Q2</v>
      </c>
    </row>
    <row r="4368" customFormat="false" ht="15" hidden="false" customHeight="false" outlineLevel="0" collapsed="false">
      <c r="A4368" s="0" t="s">
        <v>2249</v>
      </c>
      <c r="B4368" s="6" t="n">
        <v>42875</v>
      </c>
      <c r="C4368" s="7" t="s">
        <v>45</v>
      </c>
      <c r="D4368" s="7" t="s">
        <v>2250</v>
      </c>
      <c r="E4368" s="7" t="s">
        <v>35</v>
      </c>
      <c r="F4368" s="0" t="n">
        <v>21.5</v>
      </c>
      <c r="G4368" s="0" t="n">
        <v>7.095</v>
      </c>
      <c r="H4368" s="0" t="n">
        <v>0</v>
      </c>
      <c r="I4368" s="7" t="n">
        <f aca="false">YEAR(B4368)</f>
        <v>2017</v>
      </c>
      <c r="J4368" s="0" t="str">
        <f aca="false">I4368&amp;"-Q"&amp;ROUNDUP(MONTH(B4368)/3,0)</f>
        <v>2017-Q2</v>
      </c>
    </row>
    <row r="4369" customFormat="false" ht="15" hidden="false" customHeight="false" outlineLevel="0" collapsed="false">
      <c r="A4369" s="0" t="s">
        <v>2251</v>
      </c>
      <c r="B4369" s="6" t="n">
        <v>42989</v>
      </c>
      <c r="C4369" s="7" t="s">
        <v>45</v>
      </c>
      <c r="D4369" s="7" t="s">
        <v>64</v>
      </c>
      <c r="E4369" s="7" t="s">
        <v>35</v>
      </c>
      <c r="F4369" s="0" t="n">
        <v>10.528</v>
      </c>
      <c r="G4369" s="0" t="n">
        <v>3.29</v>
      </c>
      <c r="H4369" s="0" t="n">
        <v>0.2</v>
      </c>
      <c r="I4369" s="7" t="n">
        <f aca="false">YEAR(B4369)</f>
        <v>2017</v>
      </c>
      <c r="J4369" s="0" t="str">
        <f aca="false">I4369&amp;"-Q"&amp;ROUNDUP(MONTH(B4369)/3,0)</f>
        <v>2017-Q3</v>
      </c>
    </row>
    <row r="4370" customFormat="false" ht="15" hidden="false" customHeight="false" outlineLevel="0" collapsed="false">
      <c r="A4370" s="0" t="s">
        <v>2251</v>
      </c>
      <c r="B4370" s="6" t="n">
        <v>42989</v>
      </c>
      <c r="C4370" s="7" t="s">
        <v>45</v>
      </c>
      <c r="D4370" s="7" t="s">
        <v>64</v>
      </c>
      <c r="E4370" s="7" t="s">
        <v>35</v>
      </c>
      <c r="F4370" s="0" t="n">
        <v>20.544</v>
      </c>
      <c r="G4370" s="0" t="n">
        <v>6.42</v>
      </c>
      <c r="H4370" s="0" t="n">
        <v>0.2</v>
      </c>
      <c r="I4370" s="7" t="n">
        <f aca="false">YEAR(B4370)</f>
        <v>2017</v>
      </c>
      <c r="J4370" s="0" t="str">
        <f aca="false">I4370&amp;"-Q"&amp;ROUNDUP(MONTH(B4370)/3,0)</f>
        <v>2017-Q3</v>
      </c>
    </row>
    <row r="4371" customFormat="false" ht="15" hidden="false" customHeight="false" outlineLevel="0" collapsed="false">
      <c r="A4371" s="0" t="s">
        <v>2252</v>
      </c>
      <c r="B4371" s="6" t="n">
        <v>42679</v>
      </c>
      <c r="C4371" s="7" t="s">
        <v>45</v>
      </c>
      <c r="D4371" s="7" t="s">
        <v>74</v>
      </c>
      <c r="E4371" s="7" t="s">
        <v>35</v>
      </c>
      <c r="F4371" s="0" t="n">
        <v>104.9</v>
      </c>
      <c r="G4371" s="0" t="n">
        <v>50.352</v>
      </c>
      <c r="H4371" s="0" t="n">
        <v>0</v>
      </c>
      <c r="I4371" s="7" t="n">
        <f aca="false">YEAR(B4371)</f>
        <v>2016</v>
      </c>
      <c r="J4371" s="0" t="str">
        <f aca="false">I4371&amp;"-Q"&amp;ROUNDUP(MONTH(B4371)/3,0)</f>
        <v>2016-Q4</v>
      </c>
    </row>
    <row r="4372" customFormat="false" ht="15" hidden="false" customHeight="false" outlineLevel="0" collapsed="false">
      <c r="A4372" s="0" t="s">
        <v>2252</v>
      </c>
      <c r="B4372" s="6" t="n">
        <v>42679</v>
      </c>
      <c r="C4372" s="7" t="s">
        <v>45</v>
      </c>
      <c r="D4372" s="7" t="s">
        <v>74</v>
      </c>
      <c r="E4372" s="7" t="s">
        <v>35</v>
      </c>
      <c r="F4372" s="0" t="n">
        <v>39.68</v>
      </c>
      <c r="G4372" s="0" t="n">
        <v>16.2688</v>
      </c>
      <c r="H4372" s="0" t="n">
        <v>0</v>
      </c>
      <c r="I4372" s="7" t="n">
        <f aca="false">YEAR(B4372)</f>
        <v>2016</v>
      </c>
      <c r="J4372" s="0" t="str">
        <f aca="false">I4372&amp;"-Q"&amp;ROUNDUP(MONTH(B4372)/3,0)</f>
        <v>2016-Q4</v>
      </c>
    </row>
    <row r="4373" customFormat="false" ht="15" hidden="false" customHeight="false" outlineLevel="0" collapsed="false">
      <c r="A4373" s="0" t="s">
        <v>2252</v>
      </c>
      <c r="B4373" s="6" t="n">
        <v>42679</v>
      </c>
      <c r="C4373" s="7" t="s">
        <v>45</v>
      </c>
      <c r="D4373" s="7" t="s">
        <v>74</v>
      </c>
      <c r="E4373" s="7" t="s">
        <v>35</v>
      </c>
      <c r="F4373" s="0" t="n">
        <v>51.75</v>
      </c>
      <c r="G4373" s="0" t="n">
        <v>24.84</v>
      </c>
      <c r="H4373" s="0" t="n">
        <v>0</v>
      </c>
      <c r="I4373" s="7" t="n">
        <f aca="false">YEAR(B4373)</f>
        <v>2016</v>
      </c>
      <c r="J4373" s="0" t="str">
        <f aca="false">I4373&amp;"-Q"&amp;ROUNDUP(MONTH(B4373)/3,0)</f>
        <v>2016-Q4</v>
      </c>
    </row>
    <row r="4374" customFormat="false" ht="15" hidden="false" customHeight="false" outlineLevel="0" collapsed="false">
      <c r="A4374" s="0" t="s">
        <v>2253</v>
      </c>
      <c r="B4374" s="6" t="n">
        <v>42939</v>
      </c>
      <c r="C4374" s="7" t="s">
        <v>45</v>
      </c>
      <c r="D4374" s="7" t="s">
        <v>74</v>
      </c>
      <c r="E4374" s="7" t="s">
        <v>35</v>
      </c>
      <c r="F4374" s="0" t="n">
        <v>11.68</v>
      </c>
      <c r="G4374" s="0" t="n">
        <v>5.4896</v>
      </c>
      <c r="H4374" s="0" t="n">
        <v>0</v>
      </c>
      <c r="I4374" s="7" t="n">
        <f aca="false">YEAR(B4374)</f>
        <v>2017</v>
      </c>
      <c r="J4374" s="0" t="str">
        <f aca="false">I4374&amp;"-Q"&amp;ROUNDUP(MONTH(B4374)/3,0)</f>
        <v>2017-Q3</v>
      </c>
    </row>
    <row r="4375" customFormat="false" ht="15" hidden="false" customHeight="false" outlineLevel="0" collapsed="false">
      <c r="A4375" s="0" t="s">
        <v>2253</v>
      </c>
      <c r="B4375" s="6" t="n">
        <v>42939</v>
      </c>
      <c r="C4375" s="7" t="s">
        <v>45</v>
      </c>
      <c r="D4375" s="7" t="s">
        <v>74</v>
      </c>
      <c r="E4375" s="7" t="s">
        <v>39</v>
      </c>
      <c r="F4375" s="0" t="n">
        <v>159.75</v>
      </c>
      <c r="G4375" s="0" t="n">
        <v>11.1825</v>
      </c>
      <c r="H4375" s="0" t="n">
        <v>0</v>
      </c>
      <c r="I4375" s="7" t="n">
        <f aca="false">YEAR(B4375)</f>
        <v>2017</v>
      </c>
      <c r="J4375" s="0" t="str">
        <f aca="false">I4375&amp;"-Q"&amp;ROUNDUP(MONTH(B4375)/3,0)</f>
        <v>2017-Q3</v>
      </c>
    </row>
    <row r="4376" customFormat="false" ht="15" hidden="false" customHeight="false" outlineLevel="0" collapsed="false">
      <c r="A4376" s="0" t="s">
        <v>2254</v>
      </c>
      <c r="B4376" s="6" t="n">
        <v>42692</v>
      </c>
      <c r="C4376" s="7" t="s">
        <v>55</v>
      </c>
      <c r="D4376" s="7" t="s">
        <v>116</v>
      </c>
      <c r="E4376" s="7" t="s">
        <v>35</v>
      </c>
      <c r="F4376" s="0" t="n">
        <v>103.968</v>
      </c>
      <c r="G4376" s="0" t="n">
        <v>16.8948</v>
      </c>
      <c r="H4376" s="0" t="n">
        <v>0.2</v>
      </c>
      <c r="I4376" s="7" t="n">
        <f aca="false">YEAR(B4376)</f>
        <v>2016</v>
      </c>
      <c r="J4376" s="0" t="str">
        <f aca="false">I4376&amp;"-Q"&amp;ROUNDUP(MONTH(B4376)/3,0)</f>
        <v>2016-Q4</v>
      </c>
    </row>
    <row r="4377" customFormat="false" ht="15" hidden="false" customHeight="false" outlineLevel="0" collapsed="false">
      <c r="A4377" s="0" t="s">
        <v>2255</v>
      </c>
      <c r="B4377" s="6" t="n">
        <v>41754</v>
      </c>
      <c r="C4377" s="7" t="s">
        <v>33</v>
      </c>
      <c r="D4377" s="7" t="s">
        <v>34</v>
      </c>
      <c r="E4377" s="7" t="s">
        <v>31</v>
      </c>
      <c r="F4377" s="0" t="n">
        <v>303.25</v>
      </c>
      <c r="G4377" s="0" t="n">
        <v>63.6825</v>
      </c>
      <c r="H4377" s="0" t="n">
        <v>0</v>
      </c>
      <c r="I4377" s="7" t="n">
        <f aca="false">YEAR(B4377)</f>
        <v>2014</v>
      </c>
      <c r="J4377" s="0" t="str">
        <f aca="false">I4377&amp;"-Q"&amp;ROUNDUP(MONTH(B4377)/3,0)</f>
        <v>2014-Q2</v>
      </c>
    </row>
    <row r="4378" customFormat="false" ht="15" hidden="false" customHeight="false" outlineLevel="0" collapsed="false">
      <c r="A4378" s="0" t="s">
        <v>2255</v>
      </c>
      <c r="B4378" s="6" t="n">
        <v>41754</v>
      </c>
      <c r="C4378" s="7" t="s">
        <v>33</v>
      </c>
      <c r="D4378" s="7" t="s">
        <v>34</v>
      </c>
      <c r="E4378" s="7" t="s">
        <v>35</v>
      </c>
      <c r="F4378" s="0" t="n">
        <v>270.72</v>
      </c>
      <c r="G4378" s="0" t="n">
        <v>78.5088</v>
      </c>
      <c r="H4378" s="0" t="n">
        <v>0</v>
      </c>
      <c r="I4378" s="7" t="n">
        <f aca="false">YEAR(B4378)</f>
        <v>2014</v>
      </c>
      <c r="J4378" s="0" t="str">
        <f aca="false">I4378&amp;"-Q"&amp;ROUNDUP(MONTH(B4378)/3,0)</f>
        <v>2014-Q2</v>
      </c>
    </row>
    <row r="4379" customFormat="false" ht="15" hidden="false" customHeight="false" outlineLevel="0" collapsed="false">
      <c r="A4379" s="0" t="s">
        <v>2255</v>
      </c>
      <c r="B4379" s="6" t="n">
        <v>41754</v>
      </c>
      <c r="C4379" s="7" t="s">
        <v>33</v>
      </c>
      <c r="D4379" s="7" t="s">
        <v>34</v>
      </c>
      <c r="E4379" s="7" t="s">
        <v>31</v>
      </c>
      <c r="F4379" s="0" t="n">
        <v>1487.04</v>
      </c>
      <c r="G4379" s="0" t="n">
        <v>148.704</v>
      </c>
      <c r="H4379" s="0" t="n">
        <v>0.2</v>
      </c>
      <c r="I4379" s="7" t="n">
        <f aca="false">YEAR(B4379)</f>
        <v>2014</v>
      </c>
      <c r="J4379" s="0" t="str">
        <f aca="false">I4379&amp;"-Q"&amp;ROUNDUP(MONTH(B4379)/3,0)</f>
        <v>2014-Q2</v>
      </c>
    </row>
    <row r="4380" customFormat="false" ht="15" hidden="false" customHeight="false" outlineLevel="0" collapsed="false">
      <c r="A4380" s="0" t="s">
        <v>2256</v>
      </c>
      <c r="B4380" s="6" t="n">
        <v>42338</v>
      </c>
      <c r="C4380" s="7" t="s">
        <v>29</v>
      </c>
      <c r="D4380" s="7" t="s">
        <v>30</v>
      </c>
      <c r="E4380" s="7" t="s">
        <v>35</v>
      </c>
      <c r="F4380" s="0" t="n">
        <v>17.48</v>
      </c>
      <c r="G4380" s="0" t="n">
        <v>8.2156</v>
      </c>
      <c r="H4380" s="0" t="n">
        <v>0</v>
      </c>
      <c r="I4380" s="7" t="n">
        <f aca="false">YEAR(B4380)</f>
        <v>2015</v>
      </c>
      <c r="J4380" s="0" t="str">
        <f aca="false">I4380&amp;"-Q"&amp;ROUNDUP(MONTH(B4380)/3,0)</f>
        <v>2015-Q4</v>
      </c>
    </row>
    <row r="4381" customFormat="false" ht="15" hidden="false" customHeight="false" outlineLevel="0" collapsed="false">
      <c r="A4381" s="0" t="s">
        <v>2256</v>
      </c>
      <c r="B4381" s="6" t="n">
        <v>42338</v>
      </c>
      <c r="C4381" s="7" t="s">
        <v>29</v>
      </c>
      <c r="D4381" s="7" t="s">
        <v>30</v>
      </c>
      <c r="E4381" s="7" t="s">
        <v>35</v>
      </c>
      <c r="F4381" s="0" t="n">
        <v>71.88</v>
      </c>
      <c r="G4381" s="0" t="n">
        <v>32.346</v>
      </c>
      <c r="H4381" s="0" t="n">
        <v>0</v>
      </c>
      <c r="I4381" s="7" t="n">
        <f aca="false">YEAR(B4381)</f>
        <v>2015</v>
      </c>
      <c r="J4381" s="0" t="str">
        <f aca="false">I4381&amp;"-Q"&amp;ROUNDUP(MONTH(B4381)/3,0)</f>
        <v>2015-Q4</v>
      </c>
    </row>
    <row r="4382" customFormat="false" ht="15" hidden="false" customHeight="false" outlineLevel="0" collapsed="false">
      <c r="A4382" s="0" t="s">
        <v>2257</v>
      </c>
      <c r="B4382" s="6" t="n">
        <v>42302</v>
      </c>
      <c r="C4382" s="7" t="s">
        <v>33</v>
      </c>
      <c r="D4382" s="7" t="s">
        <v>34</v>
      </c>
      <c r="E4382" s="7" t="s">
        <v>35</v>
      </c>
      <c r="F4382" s="0" t="n">
        <v>60.45</v>
      </c>
      <c r="G4382" s="0" t="n">
        <v>16.3215</v>
      </c>
      <c r="H4382" s="0" t="n">
        <v>0</v>
      </c>
      <c r="I4382" s="7" t="n">
        <f aca="false">YEAR(B4382)</f>
        <v>2015</v>
      </c>
      <c r="J4382" s="0" t="str">
        <f aca="false">I4382&amp;"-Q"&amp;ROUNDUP(MONTH(B4382)/3,0)</f>
        <v>2015-Q4</v>
      </c>
    </row>
    <row r="4383" customFormat="false" ht="15" hidden="false" customHeight="false" outlineLevel="0" collapsed="false">
      <c r="A4383" s="0" t="s">
        <v>2257</v>
      </c>
      <c r="B4383" s="6" t="n">
        <v>42302</v>
      </c>
      <c r="C4383" s="7" t="s">
        <v>33</v>
      </c>
      <c r="D4383" s="7" t="s">
        <v>34</v>
      </c>
      <c r="E4383" s="7" t="s">
        <v>31</v>
      </c>
      <c r="F4383" s="0" t="n">
        <v>253.176</v>
      </c>
      <c r="G4383" s="0" t="n">
        <v>-31.647</v>
      </c>
      <c r="H4383" s="0" t="n">
        <v>0.2</v>
      </c>
      <c r="I4383" s="7" t="n">
        <f aca="false">YEAR(B4383)</f>
        <v>2015</v>
      </c>
      <c r="J4383" s="0" t="str">
        <f aca="false">I4383&amp;"-Q"&amp;ROUNDUP(MONTH(B4383)/3,0)</f>
        <v>2015-Q4</v>
      </c>
    </row>
    <row r="4384" customFormat="false" ht="15" hidden="false" customHeight="false" outlineLevel="0" collapsed="false">
      <c r="A4384" s="0" t="s">
        <v>2258</v>
      </c>
      <c r="B4384" s="6" t="n">
        <v>42205</v>
      </c>
      <c r="C4384" s="7" t="s">
        <v>45</v>
      </c>
      <c r="D4384" s="7" t="s">
        <v>64</v>
      </c>
      <c r="E4384" s="7" t="s">
        <v>35</v>
      </c>
      <c r="F4384" s="0" t="n">
        <v>2.88</v>
      </c>
      <c r="G4384" s="0" t="n">
        <v>-4.464</v>
      </c>
      <c r="H4384" s="0" t="n">
        <v>0.8</v>
      </c>
      <c r="I4384" s="7" t="n">
        <f aca="false">YEAR(B4384)</f>
        <v>2015</v>
      </c>
      <c r="J4384" s="0" t="str">
        <f aca="false">I4384&amp;"-Q"&amp;ROUNDUP(MONTH(B4384)/3,0)</f>
        <v>2015-Q3</v>
      </c>
    </row>
    <row r="4385" customFormat="false" ht="15" hidden="false" customHeight="false" outlineLevel="0" collapsed="false">
      <c r="A4385" s="0" t="s">
        <v>2258</v>
      </c>
      <c r="B4385" s="6" t="n">
        <v>42205</v>
      </c>
      <c r="C4385" s="7" t="s">
        <v>45</v>
      </c>
      <c r="D4385" s="7" t="s">
        <v>64</v>
      </c>
      <c r="E4385" s="7" t="s">
        <v>31</v>
      </c>
      <c r="F4385" s="0" t="n">
        <v>384.944</v>
      </c>
      <c r="G4385" s="0" t="n">
        <v>-126.4816</v>
      </c>
      <c r="H4385" s="0" t="n">
        <v>0.3</v>
      </c>
      <c r="I4385" s="7" t="n">
        <f aca="false">YEAR(B4385)</f>
        <v>2015</v>
      </c>
      <c r="J4385" s="0" t="str">
        <f aca="false">I4385&amp;"-Q"&amp;ROUNDUP(MONTH(B4385)/3,0)</f>
        <v>2015-Q3</v>
      </c>
    </row>
    <row r="4386" customFormat="false" ht="15" hidden="false" customHeight="false" outlineLevel="0" collapsed="false">
      <c r="A4386" s="0" t="s">
        <v>2258</v>
      </c>
      <c r="B4386" s="6" t="n">
        <v>42205</v>
      </c>
      <c r="C4386" s="7" t="s">
        <v>45</v>
      </c>
      <c r="D4386" s="7" t="s">
        <v>64</v>
      </c>
      <c r="E4386" s="7" t="s">
        <v>39</v>
      </c>
      <c r="F4386" s="0" t="n">
        <v>153.584</v>
      </c>
      <c r="G4386" s="0" t="n">
        <v>13.4386</v>
      </c>
      <c r="H4386" s="0" t="n">
        <v>0.2</v>
      </c>
      <c r="I4386" s="7" t="n">
        <f aca="false">YEAR(B4386)</f>
        <v>2015</v>
      </c>
      <c r="J4386" s="0" t="str">
        <f aca="false">I4386&amp;"-Q"&amp;ROUNDUP(MONTH(B4386)/3,0)</f>
        <v>2015-Q3</v>
      </c>
    </row>
    <row r="4387" customFormat="false" ht="15" hidden="false" customHeight="false" outlineLevel="0" collapsed="false">
      <c r="A4387" s="0" t="s">
        <v>2258</v>
      </c>
      <c r="B4387" s="6" t="n">
        <v>42205</v>
      </c>
      <c r="C4387" s="7" t="s">
        <v>45</v>
      </c>
      <c r="D4387" s="7" t="s">
        <v>64</v>
      </c>
      <c r="E4387" s="7" t="s">
        <v>31</v>
      </c>
      <c r="F4387" s="0" t="n">
        <v>913.43</v>
      </c>
      <c r="G4387" s="0" t="n">
        <v>-52.196</v>
      </c>
      <c r="H4387" s="0" t="n">
        <v>0.3</v>
      </c>
      <c r="I4387" s="7" t="n">
        <f aca="false">YEAR(B4387)</f>
        <v>2015</v>
      </c>
      <c r="J4387" s="0" t="str">
        <f aca="false">I4387&amp;"-Q"&amp;ROUNDUP(MONTH(B4387)/3,0)</f>
        <v>2015-Q3</v>
      </c>
    </row>
    <row r="4388" customFormat="false" ht="15" hidden="false" customHeight="false" outlineLevel="0" collapsed="false">
      <c r="A4388" s="0" t="s">
        <v>2259</v>
      </c>
      <c r="B4388" s="6" t="n">
        <v>42670</v>
      </c>
      <c r="C4388" s="7" t="s">
        <v>33</v>
      </c>
      <c r="D4388" s="7" t="s">
        <v>34</v>
      </c>
      <c r="E4388" s="7" t="s">
        <v>35</v>
      </c>
      <c r="F4388" s="0" t="n">
        <v>43.92</v>
      </c>
      <c r="G4388" s="0" t="n">
        <v>11.8584</v>
      </c>
      <c r="H4388" s="0" t="n">
        <v>0</v>
      </c>
      <c r="I4388" s="7" t="n">
        <f aca="false">YEAR(B4388)</f>
        <v>2016</v>
      </c>
      <c r="J4388" s="0" t="str">
        <f aca="false">I4388&amp;"-Q"&amp;ROUNDUP(MONTH(B4388)/3,0)</f>
        <v>2016-Q4</v>
      </c>
    </row>
    <row r="4389" customFormat="false" ht="15" hidden="false" customHeight="false" outlineLevel="0" collapsed="false">
      <c r="A4389" s="0" t="s">
        <v>2259</v>
      </c>
      <c r="B4389" s="6" t="n">
        <v>42670</v>
      </c>
      <c r="C4389" s="7" t="s">
        <v>33</v>
      </c>
      <c r="D4389" s="7" t="s">
        <v>34</v>
      </c>
      <c r="E4389" s="7" t="s">
        <v>35</v>
      </c>
      <c r="F4389" s="0" t="n">
        <v>25.032</v>
      </c>
      <c r="G4389" s="0" t="n">
        <v>7.8225</v>
      </c>
      <c r="H4389" s="0" t="n">
        <v>0.2</v>
      </c>
      <c r="I4389" s="7" t="n">
        <f aca="false">YEAR(B4389)</f>
        <v>2016</v>
      </c>
      <c r="J4389" s="0" t="str">
        <f aca="false">I4389&amp;"-Q"&amp;ROUNDUP(MONTH(B4389)/3,0)</f>
        <v>2016-Q4</v>
      </c>
    </row>
    <row r="4390" customFormat="false" ht="15" hidden="false" customHeight="false" outlineLevel="0" collapsed="false">
      <c r="A4390" s="0" t="s">
        <v>2260</v>
      </c>
      <c r="B4390" s="6" t="n">
        <v>43059</v>
      </c>
      <c r="C4390" s="7" t="s">
        <v>55</v>
      </c>
      <c r="D4390" s="7" t="s">
        <v>76</v>
      </c>
      <c r="E4390" s="7" t="s">
        <v>35</v>
      </c>
      <c r="F4390" s="0" t="n">
        <v>46.76</v>
      </c>
      <c r="G4390" s="0" t="n">
        <v>22.4448</v>
      </c>
      <c r="H4390" s="0" t="n">
        <v>0</v>
      </c>
      <c r="I4390" s="7" t="n">
        <f aca="false">YEAR(B4390)</f>
        <v>2017</v>
      </c>
      <c r="J4390" s="0" t="str">
        <f aca="false">I4390&amp;"-Q"&amp;ROUNDUP(MONTH(B4390)/3,0)</f>
        <v>2017-Q4</v>
      </c>
    </row>
    <row r="4391" customFormat="false" ht="15" hidden="false" customHeight="false" outlineLevel="0" collapsed="false">
      <c r="A4391" s="0" t="s">
        <v>2260</v>
      </c>
      <c r="B4391" s="6" t="n">
        <v>43059</v>
      </c>
      <c r="C4391" s="7" t="s">
        <v>55</v>
      </c>
      <c r="D4391" s="7" t="s">
        <v>76</v>
      </c>
      <c r="E4391" s="7" t="s">
        <v>31</v>
      </c>
      <c r="F4391" s="0" t="n">
        <v>183.968</v>
      </c>
      <c r="G4391" s="0" t="n">
        <v>-25.2956</v>
      </c>
      <c r="H4391" s="0" t="n">
        <v>0.2</v>
      </c>
      <c r="I4391" s="7" t="n">
        <f aca="false">YEAR(B4391)</f>
        <v>2017</v>
      </c>
      <c r="J4391" s="0" t="str">
        <f aca="false">I4391&amp;"-Q"&amp;ROUNDUP(MONTH(B4391)/3,0)</f>
        <v>2017-Q4</v>
      </c>
    </row>
    <row r="4392" customFormat="false" ht="15" hidden="false" customHeight="false" outlineLevel="0" collapsed="false">
      <c r="A4392" s="0" t="s">
        <v>2260</v>
      </c>
      <c r="B4392" s="6" t="n">
        <v>43059</v>
      </c>
      <c r="C4392" s="7" t="s">
        <v>55</v>
      </c>
      <c r="D4392" s="7" t="s">
        <v>76</v>
      </c>
      <c r="E4392" s="7" t="s">
        <v>39</v>
      </c>
      <c r="F4392" s="0" t="n">
        <v>1259.97</v>
      </c>
      <c r="G4392" s="0" t="n">
        <v>327.5922</v>
      </c>
      <c r="H4392" s="0" t="n">
        <v>0</v>
      </c>
      <c r="I4392" s="7" t="n">
        <f aca="false">YEAR(B4392)</f>
        <v>2017</v>
      </c>
      <c r="J4392" s="0" t="str">
        <f aca="false">I4392&amp;"-Q"&amp;ROUNDUP(MONTH(B4392)/3,0)</f>
        <v>2017-Q4</v>
      </c>
    </row>
    <row r="4393" customFormat="false" ht="15" hidden="false" customHeight="false" outlineLevel="0" collapsed="false">
      <c r="A4393" s="0" t="s">
        <v>2260</v>
      </c>
      <c r="B4393" s="6" t="n">
        <v>43059</v>
      </c>
      <c r="C4393" s="7" t="s">
        <v>55</v>
      </c>
      <c r="D4393" s="7" t="s">
        <v>76</v>
      </c>
      <c r="E4393" s="7" t="s">
        <v>35</v>
      </c>
      <c r="F4393" s="0" t="n">
        <v>68.97</v>
      </c>
      <c r="G4393" s="0" t="n">
        <v>19.3116</v>
      </c>
      <c r="H4393" s="0" t="n">
        <v>0</v>
      </c>
      <c r="I4393" s="7" t="n">
        <f aca="false">YEAR(B4393)</f>
        <v>2017</v>
      </c>
      <c r="J4393" s="0" t="str">
        <f aca="false">I4393&amp;"-Q"&amp;ROUNDUP(MONTH(B4393)/3,0)</f>
        <v>2017-Q4</v>
      </c>
    </row>
    <row r="4394" customFormat="false" ht="15" hidden="false" customHeight="false" outlineLevel="0" collapsed="false">
      <c r="A4394" s="0" t="s">
        <v>2261</v>
      </c>
      <c r="B4394" s="6" t="n">
        <v>42621</v>
      </c>
      <c r="C4394" s="7" t="s">
        <v>45</v>
      </c>
      <c r="D4394" s="7" t="s">
        <v>46</v>
      </c>
      <c r="E4394" s="7" t="s">
        <v>35</v>
      </c>
      <c r="F4394" s="0" t="n">
        <v>70.368</v>
      </c>
      <c r="G4394" s="0" t="n">
        <v>6.1572</v>
      </c>
      <c r="H4394" s="0" t="n">
        <v>0.2</v>
      </c>
      <c r="I4394" s="7" t="n">
        <f aca="false">YEAR(B4394)</f>
        <v>2016</v>
      </c>
      <c r="J4394" s="0" t="str">
        <f aca="false">I4394&amp;"-Q"&amp;ROUNDUP(MONTH(B4394)/3,0)</f>
        <v>2016-Q3</v>
      </c>
    </row>
    <row r="4395" customFormat="false" ht="15" hidden="false" customHeight="false" outlineLevel="0" collapsed="false">
      <c r="A4395" s="0" t="s">
        <v>2261</v>
      </c>
      <c r="B4395" s="6" t="n">
        <v>42621</v>
      </c>
      <c r="C4395" s="7" t="s">
        <v>45</v>
      </c>
      <c r="D4395" s="7" t="s">
        <v>46</v>
      </c>
      <c r="E4395" s="7" t="s">
        <v>39</v>
      </c>
      <c r="F4395" s="0" t="n">
        <v>59.96</v>
      </c>
      <c r="G4395" s="0" t="n">
        <v>21.7355</v>
      </c>
      <c r="H4395" s="0" t="n">
        <v>0.2</v>
      </c>
      <c r="I4395" s="7" t="n">
        <f aca="false">YEAR(B4395)</f>
        <v>2016</v>
      </c>
      <c r="J4395" s="0" t="str">
        <f aca="false">I4395&amp;"-Q"&amp;ROUNDUP(MONTH(B4395)/3,0)</f>
        <v>2016-Q3</v>
      </c>
    </row>
    <row r="4396" customFormat="false" ht="15" hidden="false" customHeight="false" outlineLevel="0" collapsed="false">
      <c r="A4396" s="0" t="s">
        <v>2262</v>
      </c>
      <c r="B4396" s="6" t="n">
        <v>41840</v>
      </c>
      <c r="C4396" s="7" t="s">
        <v>55</v>
      </c>
      <c r="D4396" s="7" t="s">
        <v>116</v>
      </c>
      <c r="E4396" s="7" t="s">
        <v>35</v>
      </c>
      <c r="F4396" s="0" t="n">
        <v>25.984</v>
      </c>
      <c r="G4396" s="0" t="n">
        <v>-5.1968</v>
      </c>
      <c r="H4396" s="0" t="n">
        <v>0.2</v>
      </c>
      <c r="I4396" s="7" t="n">
        <f aca="false">YEAR(B4396)</f>
        <v>2014</v>
      </c>
      <c r="J4396" s="0" t="str">
        <f aca="false">I4396&amp;"-Q"&amp;ROUNDUP(MONTH(B4396)/3,0)</f>
        <v>2014-Q3</v>
      </c>
    </row>
    <row r="4397" customFormat="false" ht="15" hidden="false" customHeight="false" outlineLevel="0" collapsed="false">
      <c r="A4397" s="0" t="s">
        <v>2262</v>
      </c>
      <c r="B4397" s="6" t="n">
        <v>41840</v>
      </c>
      <c r="C4397" s="7" t="s">
        <v>55</v>
      </c>
      <c r="D4397" s="7" t="s">
        <v>116</v>
      </c>
      <c r="E4397" s="7" t="s">
        <v>35</v>
      </c>
      <c r="F4397" s="0" t="n">
        <v>27.36</v>
      </c>
      <c r="G4397" s="0" t="n">
        <v>-21.888</v>
      </c>
      <c r="H4397" s="0" t="n">
        <v>0.7</v>
      </c>
      <c r="I4397" s="7" t="n">
        <f aca="false">YEAR(B4397)</f>
        <v>2014</v>
      </c>
      <c r="J4397" s="0" t="str">
        <f aca="false">I4397&amp;"-Q"&amp;ROUNDUP(MONTH(B4397)/3,0)</f>
        <v>2014-Q3</v>
      </c>
    </row>
    <row r="4398" customFormat="false" ht="15" hidden="false" customHeight="false" outlineLevel="0" collapsed="false">
      <c r="A4398" s="0" t="s">
        <v>2263</v>
      </c>
      <c r="B4398" s="6" t="n">
        <v>42689</v>
      </c>
      <c r="C4398" s="7" t="s">
        <v>33</v>
      </c>
      <c r="D4398" s="7" t="s">
        <v>34</v>
      </c>
      <c r="E4398" s="7" t="s">
        <v>39</v>
      </c>
      <c r="F4398" s="0" t="n">
        <v>361.376</v>
      </c>
      <c r="G4398" s="0" t="n">
        <v>27.1032</v>
      </c>
      <c r="H4398" s="0" t="n">
        <v>0.2</v>
      </c>
      <c r="I4398" s="7" t="n">
        <f aca="false">YEAR(B4398)</f>
        <v>2016</v>
      </c>
      <c r="J4398" s="0" t="str">
        <f aca="false">I4398&amp;"-Q"&amp;ROUNDUP(MONTH(B4398)/3,0)</f>
        <v>2016-Q4</v>
      </c>
    </row>
    <row r="4399" customFormat="false" ht="15" hidden="false" customHeight="false" outlineLevel="0" collapsed="false">
      <c r="A4399" s="0" t="s">
        <v>2264</v>
      </c>
      <c r="B4399" s="6" t="n">
        <v>41827</v>
      </c>
      <c r="C4399" s="7" t="s">
        <v>55</v>
      </c>
      <c r="D4399" s="7" t="s">
        <v>56</v>
      </c>
      <c r="E4399" s="7" t="s">
        <v>31</v>
      </c>
      <c r="F4399" s="0" t="n">
        <v>172.186</v>
      </c>
      <c r="G4399" s="0" t="n">
        <v>-46.7362</v>
      </c>
      <c r="H4399" s="0" t="n">
        <v>0.3</v>
      </c>
      <c r="I4399" s="7" t="n">
        <f aca="false">YEAR(B4399)</f>
        <v>2014</v>
      </c>
      <c r="J4399" s="0" t="str">
        <f aca="false">I4399&amp;"-Q"&amp;ROUNDUP(MONTH(B4399)/3,0)</f>
        <v>2014-Q3</v>
      </c>
    </row>
    <row r="4400" customFormat="false" ht="15" hidden="false" customHeight="false" outlineLevel="0" collapsed="false">
      <c r="A4400" s="0" t="s">
        <v>2264</v>
      </c>
      <c r="B4400" s="6" t="n">
        <v>41827</v>
      </c>
      <c r="C4400" s="7" t="s">
        <v>55</v>
      </c>
      <c r="D4400" s="7" t="s">
        <v>56</v>
      </c>
      <c r="E4400" s="7" t="s">
        <v>31</v>
      </c>
      <c r="F4400" s="0" t="n">
        <v>69.008</v>
      </c>
      <c r="G4400" s="0" t="n">
        <v>12.0764</v>
      </c>
      <c r="H4400" s="0" t="n">
        <v>0.2</v>
      </c>
      <c r="I4400" s="7" t="n">
        <f aca="false">YEAR(B4400)</f>
        <v>2014</v>
      </c>
      <c r="J4400" s="0" t="str">
        <f aca="false">I4400&amp;"-Q"&amp;ROUNDUP(MONTH(B4400)/3,0)</f>
        <v>2014-Q3</v>
      </c>
    </row>
    <row r="4401" customFormat="false" ht="15" hidden="false" customHeight="false" outlineLevel="0" collapsed="false">
      <c r="A4401" s="0" t="s">
        <v>2265</v>
      </c>
      <c r="B4401" s="6" t="n">
        <v>42446</v>
      </c>
      <c r="C4401" s="7" t="s">
        <v>55</v>
      </c>
      <c r="D4401" s="7" t="s">
        <v>495</v>
      </c>
      <c r="E4401" s="7" t="s">
        <v>35</v>
      </c>
      <c r="F4401" s="0" t="n">
        <v>199.9</v>
      </c>
      <c r="G4401" s="0" t="n">
        <v>89.955</v>
      </c>
      <c r="H4401" s="0" t="n">
        <v>0</v>
      </c>
      <c r="I4401" s="7" t="n">
        <f aca="false">YEAR(B4401)</f>
        <v>2016</v>
      </c>
      <c r="J4401" s="0" t="str">
        <f aca="false">I4401&amp;"-Q"&amp;ROUNDUP(MONTH(B4401)/3,0)</f>
        <v>2016-Q1</v>
      </c>
    </row>
    <row r="4402" customFormat="false" ht="15" hidden="false" customHeight="false" outlineLevel="0" collapsed="false">
      <c r="A4402" s="0" t="s">
        <v>2265</v>
      </c>
      <c r="B4402" s="6" t="n">
        <v>42446</v>
      </c>
      <c r="C4402" s="7" t="s">
        <v>55</v>
      </c>
      <c r="D4402" s="7" t="s">
        <v>495</v>
      </c>
      <c r="E4402" s="7" t="s">
        <v>35</v>
      </c>
      <c r="F4402" s="0" t="n">
        <v>901.95</v>
      </c>
      <c r="G4402" s="0" t="n">
        <v>297.6435</v>
      </c>
      <c r="H4402" s="0" t="n">
        <v>0</v>
      </c>
      <c r="I4402" s="7" t="n">
        <f aca="false">YEAR(B4402)</f>
        <v>2016</v>
      </c>
      <c r="J4402" s="0" t="str">
        <f aca="false">I4402&amp;"-Q"&amp;ROUNDUP(MONTH(B4402)/3,0)</f>
        <v>2016-Q1</v>
      </c>
    </row>
    <row r="4403" customFormat="false" ht="15" hidden="false" customHeight="false" outlineLevel="0" collapsed="false">
      <c r="A4403" s="0" t="s">
        <v>2265</v>
      </c>
      <c r="B4403" s="6" t="n">
        <v>42446</v>
      </c>
      <c r="C4403" s="7" t="s">
        <v>55</v>
      </c>
      <c r="D4403" s="7" t="s">
        <v>495</v>
      </c>
      <c r="E4403" s="7" t="s">
        <v>31</v>
      </c>
      <c r="F4403" s="0" t="n">
        <v>971.5</v>
      </c>
      <c r="G4403" s="0" t="n">
        <v>252.59</v>
      </c>
      <c r="H4403" s="0" t="n">
        <v>0</v>
      </c>
      <c r="I4403" s="7" t="n">
        <f aca="false">YEAR(B4403)</f>
        <v>2016</v>
      </c>
      <c r="J4403" s="0" t="str">
        <f aca="false">I4403&amp;"-Q"&amp;ROUNDUP(MONTH(B4403)/3,0)</f>
        <v>2016-Q1</v>
      </c>
    </row>
    <row r="4404" customFormat="false" ht="15" hidden="false" customHeight="false" outlineLevel="0" collapsed="false">
      <c r="A4404" s="0" t="s">
        <v>2266</v>
      </c>
      <c r="B4404" s="6" t="n">
        <v>42730</v>
      </c>
      <c r="C4404" s="7" t="s">
        <v>33</v>
      </c>
      <c r="D4404" s="7" t="s">
        <v>109</v>
      </c>
      <c r="E4404" s="7" t="s">
        <v>35</v>
      </c>
      <c r="F4404" s="0" t="n">
        <v>11.328</v>
      </c>
      <c r="G4404" s="0" t="n">
        <v>2.5488</v>
      </c>
      <c r="H4404" s="0" t="n">
        <v>0.2</v>
      </c>
      <c r="I4404" s="7" t="n">
        <f aca="false">YEAR(B4404)</f>
        <v>2016</v>
      </c>
      <c r="J4404" s="0" t="str">
        <f aca="false">I4404&amp;"-Q"&amp;ROUNDUP(MONTH(B4404)/3,0)</f>
        <v>2016-Q4</v>
      </c>
    </row>
    <row r="4405" customFormat="false" ht="15" hidden="false" customHeight="false" outlineLevel="0" collapsed="false">
      <c r="A4405" s="0" t="s">
        <v>2267</v>
      </c>
      <c r="B4405" s="6" t="n">
        <v>41884</v>
      </c>
      <c r="C4405" s="7" t="s">
        <v>55</v>
      </c>
      <c r="D4405" s="7" t="s">
        <v>76</v>
      </c>
      <c r="E4405" s="7" t="s">
        <v>35</v>
      </c>
      <c r="F4405" s="0" t="n">
        <v>21.24</v>
      </c>
      <c r="G4405" s="0" t="n">
        <v>8.0712</v>
      </c>
      <c r="H4405" s="0" t="n">
        <v>0</v>
      </c>
      <c r="I4405" s="7" t="n">
        <f aca="false">YEAR(B4405)</f>
        <v>2014</v>
      </c>
      <c r="J4405" s="0" t="str">
        <f aca="false">I4405&amp;"-Q"&amp;ROUNDUP(MONTH(B4405)/3,0)</f>
        <v>2014-Q3</v>
      </c>
    </row>
    <row r="4406" customFormat="false" ht="15" hidden="false" customHeight="false" outlineLevel="0" collapsed="false">
      <c r="A4406" s="0" t="s">
        <v>2268</v>
      </c>
      <c r="B4406" s="6" t="n">
        <v>42190</v>
      </c>
      <c r="C4406" s="7" t="s">
        <v>55</v>
      </c>
      <c r="D4406" s="7" t="s">
        <v>56</v>
      </c>
      <c r="E4406" s="7" t="s">
        <v>39</v>
      </c>
      <c r="F4406" s="0" t="n">
        <v>34.8</v>
      </c>
      <c r="G4406" s="0" t="n">
        <v>2.175</v>
      </c>
      <c r="H4406" s="0" t="n">
        <v>0.2</v>
      </c>
      <c r="I4406" s="7" t="n">
        <f aca="false">YEAR(B4406)</f>
        <v>2015</v>
      </c>
      <c r="J4406" s="0" t="str">
        <f aca="false">I4406&amp;"-Q"&amp;ROUNDUP(MONTH(B4406)/3,0)</f>
        <v>2015-Q3</v>
      </c>
    </row>
    <row r="4407" customFormat="false" ht="15" hidden="false" customHeight="false" outlineLevel="0" collapsed="false">
      <c r="A4407" s="0" t="s">
        <v>2268</v>
      </c>
      <c r="B4407" s="6" t="n">
        <v>42190</v>
      </c>
      <c r="C4407" s="7" t="s">
        <v>55</v>
      </c>
      <c r="D4407" s="7" t="s">
        <v>56</v>
      </c>
      <c r="E4407" s="7" t="s">
        <v>35</v>
      </c>
      <c r="F4407" s="0" t="n">
        <v>38.976</v>
      </c>
      <c r="G4407" s="0" t="n">
        <v>-2.436</v>
      </c>
      <c r="H4407" s="0" t="n">
        <v>0.2</v>
      </c>
      <c r="I4407" s="7" t="n">
        <f aca="false">YEAR(B4407)</f>
        <v>2015</v>
      </c>
      <c r="J4407" s="0" t="str">
        <f aca="false">I4407&amp;"-Q"&amp;ROUNDUP(MONTH(B4407)/3,0)</f>
        <v>2015-Q3</v>
      </c>
    </row>
    <row r="4408" customFormat="false" ht="15" hidden="false" customHeight="false" outlineLevel="0" collapsed="false">
      <c r="A4408" s="0" t="s">
        <v>2269</v>
      </c>
      <c r="B4408" s="6" t="n">
        <v>42694</v>
      </c>
      <c r="C4408" s="7" t="s">
        <v>45</v>
      </c>
      <c r="D4408" s="7" t="s">
        <v>74</v>
      </c>
      <c r="E4408" s="7" t="s">
        <v>35</v>
      </c>
      <c r="F4408" s="0" t="n">
        <v>9.08</v>
      </c>
      <c r="G4408" s="0" t="n">
        <v>4.086</v>
      </c>
      <c r="H4408" s="0" t="n">
        <v>0</v>
      </c>
      <c r="I4408" s="7" t="n">
        <f aca="false">YEAR(B4408)</f>
        <v>2016</v>
      </c>
      <c r="J4408" s="0" t="str">
        <f aca="false">I4408&amp;"-Q"&amp;ROUNDUP(MONTH(B4408)/3,0)</f>
        <v>2016-Q4</v>
      </c>
    </row>
    <row r="4409" customFormat="false" ht="15" hidden="false" customHeight="false" outlineLevel="0" collapsed="false">
      <c r="A4409" s="0" t="s">
        <v>2269</v>
      </c>
      <c r="B4409" s="6" t="n">
        <v>42694</v>
      </c>
      <c r="C4409" s="7" t="s">
        <v>45</v>
      </c>
      <c r="D4409" s="7" t="s">
        <v>74</v>
      </c>
      <c r="E4409" s="7" t="s">
        <v>35</v>
      </c>
      <c r="F4409" s="0" t="n">
        <v>314.55</v>
      </c>
      <c r="G4409" s="0" t="n">
        <v>150.984</v>
      </c>
      <c r="H4409" s="0" t="n">
        <v>0</v>
      </c>
      <c r="I4409" s="7" t="n">
        <f aca="false">YEAR(B4409)</f>
        <v>2016</v>
      </c>
      <c r="J4409" s="0" t="str">
        <f aca="false">I4409&amp;"-Q"&amp;ROUNDUP(MONTH(B4409)/3,0)</f>
        <v>2016-Q4</v>
      </c>
    </row>
    <row r="4410" customFormat="false" ht="15" hidden="false" customHeight="false" outlineLevel="0" collapsed="false">
      <c r="A4410" s="0" t="s">
        <v>2269</v>
      </c>
      <c r="B4410" s="6" t="n">
        <v>42694</v>
      </c>
      <c r="C4410" s="7" t="s">
        <v>45</v>
      </c>
      <c r="D4410" s="7" t="s">
        <v>74</v>
      </c>
      <c r="E4410" s="7" t="s">
        <v>35</v>
      </c>
      <c r="F4410" s="0" t="n">
        <v>4.91</v>
      </c>
      <c r="G4410" s="0" t="n">
        <v>2.3077</v>
      </c>
      <c r="H4410" s="0" t="n">
        <v>0</v>
      </c>
      <c r="I4410" s="7" t="n">
        <f aca="false">YEAR(B4410)</f>
        <v>2016</v>
      </c>
      <c r="J4410" s="0" t="str">
        <f aca="false">I4410&amp;"-Q"&amp;ROUNDUP(MONTH(B4410)/3,0)</f>
        <v>2016-Q4</v>
      </c>
    </row>
    <row r="4411" customFormat="false" ht="15" hidden="false" customHeight="false" outlineLevel="0" collapsed="false">
      <c r="A4411" s="0" t="s">
        <v>2270</v>
      </c>
      <c r="B4411" s="6" t="n">
        <v>41765</v>
      </c>
      <c r="C4411" s="7" t="s">
        <v>33</v>
      </c>
      <c r="D4411" s="7" t="s">
        <v>34</v>
      </c>
      <c r="E4411" s="7" t="s">
        <v>35</v>
      </c>
      <c r="F4411" s="0" t="n">
        <v>5.78</v>
      </c>
      <c r="G4411" s="0" t="n">
        <v>2.7166</v>
      </c>
      <c r="H4411" s="0" t="n">
        <v>0</v>
      </c>
      <c r="I4411" s="7" t="n">
        <f aca="false">YEAR(B4411)</f>
        <v>2014</v>
      </c>
      <c r="J4411" s="0" t="str">
        <f aca="false">I4411&amp;"-Q"&amp;ROUNDUP(MONTH(B4411)/3,0)</f>
        <v>2014-Q2</v>
      </c>
    </row>
    <row r="4412" customFormat="false" ht="15" hidden="false" customHeight="false" outlineLevel="0" collapsed="false">
      <c r="A4412" s="0" t="s">
        <v>2270</v>
      </c>
      <c r="B4412" s="6" t="n">
        <v>41765</v>
      </c>
      <c r="C4412" s="7" t="s">
        <v>33</v>
      </c>
      <c r="D4412" s="7" t="s">
        <v>34</v>
      </c>
      <c r="E4412" s="7" t="s">
        <v>35</v>
      </c>
      <c r="F4412" s="0" t="n">
        <v>107.94</v>
      </c>
      <c r="G4412" s="0" t="n">
        <v>30.2232</v>
      </c>
      <c r="H4412" s="0" t="n">
        <v>0</v>
      </c>
      <c r="I4412" s="7" t="n">
        <f aca="false">YEAR(B4412)</f>
        <v>2014</v>
      </c>
      <c r="J4412" s="0" t="str">
        <f aca="false">I4412&amp;"-Q"&amp;ROUNDUP(MONTH(B4412)/3,0)</f>
        <v>2014-Q2</v>
      </c>
    </row>
    <row r="4413" customFormat="false" ht="15" hidden="false" customHeight="false" outlineLevel="0" collapsed="false">
      <c r="A4413" s="0" t="s">
        <v>2271</v>
      </c>
      <c r="B4413" s="6" t="n">
        <v>41811</v>
      </c>
      <c r="C4413" s="7" t="s">
        <v>55</v>
      </c>
      <c r="D4413" s="7" t="s">
        <v>76</v>
      </c>
      <c r="E4413" s="7" t="s">
        <v>35</v>
      </c>
      <c r="F4413" s="0" t="n">
        <v>19.65</v>
      </c>
      <c r="G4413" s="0" t="n">
        <v>9.039</v>
      </c>
      <c r="H4413" s="0" t="n">
        <v>0</v>
      </c>
      <c r="I4413" s="7" t="n">
        <f aca="false">YEAR(B4413)</f>
        <v>2014</v>
      </c>
      <c r="J4413" s="0" t="str">
        <f aca="false">I4413&amp;"-Q"&amp;ROUNDUP(MONTH(B4413)/3,0)</f>
        <v>2014-Q2</v>
      </c>
    </row>
    <row r="4414" customFormat="false" ht="15" hidden="false" customHeight="false" outlineLevel="0" collapsed="false">
      <c r="A4414" s="0" t="s">
        <v>2271</v>
      </c>
      <c r="B4414" s="6" t="n">
        <v>41811</v>
      </c>
      <c r="C4414" s="7" t="s">
        <v>55</v>
      </c>
      <c r="D4414" s="7" t="s">
        <v>76</v>
      </c>
      <c r="E4414" s="7" t="s">
        <v>39</v>
      </c>
      <c r="F4414" s="0" t="n">
        <v>617.97</v>
      </c>
      <c r="G4414" s="0" t="n">
        <v>160.6722</v>
      </c>
      <c r="H4414" s="0" t="n">
        <v>0</v>
      </c>
      <c r="I4414" s="7" t="n">
        <f aca="false">YEAR(B4414)</f>
        <v>2014</v>
      </c>
      <c r="J4414" s="0" t="str">
        <f aca="false">I4414&amp;"-Q"&amp;ROUNDUP(MONTH(B4414)/3,0)</f>
        <v>2014-Q2</v>
      </c>
    </row>
    <row r="4415" customFormat="false" ht="15" hidden="false" customHeight="false" outlineLevel="0" collapsed="false">
      <c r="A4415" s="0" t="s">
        <v>2271</v>
      </c>
      <c r="B4415" s="6" t="n">
        <v>41811</v>
      </c>
      <c r="C4415" s="7" t="s">
        <v>55</v>
      </c>
      <c r="D4415" s="7" t="s">
        <v>76</v>
      </c>
      <c r="E4415" s="7" t="s">
        <v>35</v>
      </c>
      <c r="F4415" s="0" t="n">
        <v>59.7</v>
      </c>
      <c r="G4415" s="0" t="n">
        <v>26.865</v>
      </c>
      <c r="H4415" s="0" t="n">
        <v>0</v>
      </c>
      <c r="I4415" s="7" t="n">
        <f aca="false">YEAR(B4415)</f>
        <v>2014</v>
      </c>
      <c r="J4415" s="0" t="str">
        <f aca="false">I4415&amp;"-Q"&amp;ROUNDUP(MONTH(B4415)/3,0)</f>
        <v>2014-Q2</v>
      </c>
    </row>
    <row r="4416" customFormat="false" ht="15" hidden="false" customHeight="false" outlineLevel="0" collapsed="false">
      <c r="A4416" s="0" t="s">
        <v>2272</v>
      </c>
      <c r="B4416" s="6" t="n">
        <v>42966</v>
      </c>
      <c r="C4416" s="7" t="s">
        <v>55</v>
      </c>
      <c r="D4416" s="7" t="s">
        <v>225</v>
      </c>
      <c r="E4416" s="7" t="s">
        <v>35</v>
      </c>
      <c r="F4416" s="0" t="n">
        <v>387.99</v>
      </c>
      <c r="G4416" s="0" t="n">
        <v>182.3553</v>
      </c>
      <c r="H4416" s="0" t="n">
        <v>0</v>
      </c>
      <c r="I4416" s="7" t="n">
        <f aca="false">YEAR(B4416)</f>
        <v>2017</v>
      </c>
      <c r="J4416" s="0" t="str">
        <f aca="false">I4416&amp;"-Q"&amp;ROUNDUP(MONTH(B4416)/3,0)</f>
        <v>2017-Q3</v>
      </c>
    </row>
    <row r="4417" customFormat="false" ht="15" hidden="false" customHeight="false" outlineLevel="0" collapsed="false">
      <c r="A4417" s="0" t="s">
        <v>2273</v>
      </c>
      <c r="B4417" s="6" t="n">
        <v>41972</v>
      </c>
      <c r="C4417" s="7" t="s">
        <v>33</v>
      </c>
      <c r="D4417" s="7" t="s">
        <v>34</v>
      </c>
      <c r="E4417" s="7" t="s">
        <v>39</v>
      </c>
      <c r="F4417" s="0" t="n">
        <v>575.92</v>
      </c>
      <c r="G4417" s="0" t="n">
        <v>71.99</v>
      </c>
      <c r="H4417" s="0" t="n">
        <v>0.2</v>
      </c>
      <c r="I4417" s="7" t="n">
        <f aca="false">YEAR(B4417)</f>
        <v>2014</v>
      </c>
      <c r="J4417" s="0" t="str">
        <f aca="false">I4417&amp;"-Q"&amp;ROUNDUP(MONTH(B4417)/3,0)</f>
        <v>2014-Q4</v>
      </c>
    </row>
    <row r="4418" customFormat="false" ht="15" hidden="false" customHeight="false" outlineLevel="0" collapsed="false">
      <c r="A4418" s="0" t="s">
        <v>2273</v>
      </c>
      <c r="B4418" s="6" t="n">
        <v>41972</v>
      </c>
      <c r="C4418" s="7" t="s">
        <v>33</v>
      </c>
      <c r="D4418" s="7" t="s">
        <v>34</v>
      </c>
      <c r="E4418" s="7" t="s">
        <v>35</v>
      </c>
      <c r="F4418" s="0" t="n">
        <v>30.4</v>
      </c>
      <c r="G4418" s="0" t="n">
        <v>15.2</v>
      </c>
      <c r="H4418" s="0" t="n">
        <v>0</v>
      </c>
      <c r="I4418" s="7" t="n">
        <f aca="false">YEAR(B4418)</f>
        <v>2014</v>
      </c>
      <c r="J4418" s="0" t="str">
        <f aca="false">I4418&amp;"-Q"&amp;ROUNDUP(MONTH(B4418)/3,0)</f>
        <v>2014-Q4</v>
      </c>
    </row>
    <row r="4419" customFormat="false" ht="15" hidden="false" customHeight="false" outlineLevel="0" collapsed="false">
      <c r="A4419" s="0" t="s">
        <v>2274</v>
      </c>
      <c r="B4419" s="6" t="n">
        <v>42834</v>
      </c>
      <c r="C4419" s="7" t="s">
        <v>45</v>
      </c>
      <c r="D4419" s="7" t="s">
        <v>70</v>
      </c>
      <c r="E4419" s="7" t="s">
        <v>35</v>
      </c>
      <c r="F4419" s="0" t="n">
        <v>478.24</v>
      </c>
      <c r="G4419" s="0" t="n">
        <v>219.9904</v>
      </c>
      <c r="H4419" s="0" t="n">
        <v>0</v>
      </c>
      <c r="I4419" s="7" t="n">
        <f aca="false">YEAR(B4419)</f>
        <v>2017</v>
      </c>
      <c r="J4419" s="0" t="str">
        <f aca="false">I4419&amp;"-Q"&amp;ROUNDUP(MONTH(B4419)/3,0)</f>
        <v>2017-Q2</v>
      </c>
    </row>
    <row r="4420" customFormat="false" ht="15" hidden="false" customHeight="false" outlineLevel="0" collapsed="false">
      <c r="A4420" s="0" t="s">
        <v>2275</v>
      </c>
      <c r="B4420" s="6" t="n">
        <v>41993</v>
      </c>
      <c r="C4420" s="7" t="s">
        <v>55</v>
      </c>
      <c r="D4420" s="7" t="s">
        <v>116</v>
      </c>
      <c r="E4420" s="7" t="s">
        <v>31</v>
      </c>
      <c r="F4420" s="0" t="n">
        <v>190.848</v>
      </c>
      <c r="G4420" s="0" t="n">
        <v>-21.4704</v>
      </c>
      <c r="H4420" s="0" t="n">
        <v>0.2</v>
      </c>
      <c r="I4420" s="7" t="n">
        <f aca="false">YEAR(B4420)</f>
        <v>2014</v>
      </c>
      <c r="J4420" s="0" t="str">
        <f aca="false">I4420&amp;"-Q"&amp;ROUNDUP(MONTH(B4420)/3,0)</f>
        <v>2014-Q4</v>
      </c>
    </row>
    <row r="4421" customFormat="false" ht="15" hidden="false" customHeight="false" outlineLevel="0" collapsed="false">
      <c r="A4421" s="0" t="s">
        <v>2276</v>
      </c>
      <c r="B4421" s="6" t="n">
        <v>41990</v>
      </c>
      <c r="C4421" s="7" t="s">
        <v>55</v>
      </c>
      <c r="D4421" s="7" t="s">
        <v>116</v>
      </c>
      <c r="E4421" s="7" t="s">
        <v>35</v>
      </c>
      <c r="F4421" s="0" t="n">
        <v>5.484</v>
      </c>
      <c r="G4421" s="0" t="n">
        <v>-4.0216</v>
      </c>
      <c r="H4421" s="0" t="n">
        <v>0.7</v>
      </c>
      <c r="I4421" s="7" t="n">
        <f aca="false">YEAR(B4421)</f>
        <v>2014</v>
      </c>
      <c r="J4421" s="0" t="str">
        <f aca="false">I4421&amp;"-Q"&amp;ROUNDUP(MONTH(B4421)/3,0)</f>
        <v>2014-Q4</v>
      </c>
    </row>
    <row r="4422" customFormat="false" ht="15" hidden="false" customHeight="false" outlineLevel="0" collapsed="false">
      <c r="A4422" s="0" t="s">
        <v>2277</v>
      </c>
      <c r="B4422" s="6" t="n">
        <v>42325</v>
      </c>
      <c r="C4422" s="7" t="s">
        <v>45</v>
      </c>
      <c r="D4422" s="7" t="s">
        <v>64</v>
      </c>
      <c r="E4422" s="7" t="s">
        <v>35</v>
      </c>
      <c r="F4422" s="0" t="n">
        <v>40.92</v>
      </c>
      <c r="G4422" s="0" t="n">
        <v>3.069</v>
      </c>
      <c r="H4422" s="0" t="n">
        <v>0.2</v>
      </c>
      <c r="I4422" s="7" t="n">
        <f aca="false">YEAR(B4422)</f>
        <v>2015</v>
      </c>
      <c r="J4422" s="0" t="str">
        <f aca="false">I4422&amp;"-Q"&amp;ROUNDUP(MONTH(B4422)/3,0)</f>
        <v>2015-Q4</v>
      </c>
    </row>
    <row r="4423" customFormat="false" ht="15" hidden="false" customHeight="false" outlineLevel="0" collapsed="false">
      <c r="A4423" s="0" t="s">
        <v>2278</v>
      </c>
      <c r="B4423" s="6" t="n">
        <v>41702</v>
      </c>
      <c r="C4423" s="7" t="s">
        <v>29</v>
      </c>
      <c r="D4423" s="7" t="s">
        <v>37</v>
      </c>
      <c r="E4423" s="7" t="s">
        <v>35</v>
      </c>
      <c r="F4423" s="0" t="n">
        <v>15.552</v>
      </c>
      <c r="G4423" s="0" t="n">
        <v>2.3328</v>
      </c>
      <c r="H4423" s="0" t="n">
        <v>0.2</v>
      </c>
      <c r="I4423" s="7" t="n">
        <f aca="false">YEAR(B4423)</f>
        <v>2014</v>
      </c>
      <c r="J4423" s="0" t="str">
        <f aca="false">I4423&amp;"-Q"&amp;ROUNDUP(MONTH(B4423)/3,0)</f>
        <v>2014-Q1</v>
      </c>
    </row>
    <row r="4424" customFormat="false" ht="15" hidden="false" customHeight="false" outlineLevel="0" collapsed="false">
      <c r="A4424" s="0" t="s">
        <v>2279</v>
      </c>
      <c r="B4424" s="6" t="n">
        <v>42873</v>
      </c>
      <c r="C4424" s="7" t="s">
        <v>29</v>
      </c>
      <c r="D4424" s="7" t="s">
        <v>230</v>
      </c>
      <c r="E4424" s="7" t="s">
        <v>35</v>
      </c>
      <c r="F4424" s="0" t="n">
        <v>17.24</v>
      </c>
      <c r="G4424" s="0" t="n">
        <v>4.4824</v>
      </c>
      <c r="H4424" s="0" t="n">
        <v>0</v>
      </c>
      <c r="I4424" s="7" t="n">
        <f aca="false">YEAR(B4424)</f>
        <v>2017</v>
      </c>
      <c r="J4424" s="0" t="str">
        <f aca="false">I4424&amp;"-Q"&amp;ROUNDUP(MONTH(B4424)/3,0)</f>
        <v>2017-Q2</v>
      </c>
    </row>
    <row r="4425" customFormat="false" ht="15" hidden="false" customHeight="false" outlineLevel="0" collapsed="false">
      <c r="A4425" s="0" t="s">
        <v>2279</v>
      </c>
      <c r="B4425" s="6" t="n">
        <v>42873</v>
      </c>
      <c r="C4425" s="7" t="s">
        <v>29</v>
      </c>
      <c r="D4425" s="7" t="s">
        <v>230</v>
      </c>
      <c r="E4425" s="7" t="s">
        <v>31</v>
      </c>
      <c r="F4425" s="0" t="n">
        <v>302.94</v>
      </c>
      <c r="G4425" s="0" t="n">
        <v>75.735</v>
      </c>
      <c r="H4425" s="0" t="n">
        <v>0</v>
      </c>
      <c r="I4425" s="7" t="n">
        <f aca="false">YEAR(B4425)</f>
        <v>2017</v>
      </c>
      <c r="J4425" s="0" t="str">
        <f aca="false">I4425&amp;"-Q"&amp;ROUNDUP(MONTH(B4425)/3,0)</f>
        <v>2017-Q2</v>
      </c>
    </row>
    <row r="4426" customFormat="false" ht="15" hidden="false" customHeight="false" outlineLevel="0" collapsed="false">
      <c r="A4426" s="0" t="s">
        <v>2279</v>
      </c>
      <c r="B4426" s="6" t="n">
        <v>42873</v>
      </c>
      <c r="C4426" s="7" t="s">
        <v>29</v>
      </c>
      <c r="D4426" s="7" t="s">
        <v>230</v>
      </c>
      <c r="E4426" s="7" t="s">
        <v>39</v>
      </c>
      <c r="F4426" s="0" t="n">
        <v>34.75</v>
      </c>
      <c r="G4426" s="0" t="n">
        <v>15.6375</v>
      </c>
      <c r="H4426" s="0" t="n">
        <v>0</v>
      </c>
      <c r="I4426" s="7" t="n">
        <f aca="false">YEAR(B4426)</f>
        <v>2017</v>
      </c>
      <c r="J4426" s="0" t="str">
        <f aca="false">I4426&amp;"-Q"&amp;ROUNDUP(MONTH(B4426)/3,0)</f>
        <v>2017-Q2</v>
      </c>
    </row>
    <row r="4427" customFormat="false" ht="15" hidden="false" customHeight="false" outlineLevel="0" collapsed="false">
      <c r="A4427" s="0" t="s">
        <v>2279</v>
      </c>
      <c r="B4427" s="6" t="n">
        <v>42873</v>
      </c>
      <c r="C4427" s="7" t="s">
        <v>29</v>
      </c>
      <c r="D4427" s="7" t="s">
        <v>230</v>
      </c>
      <c r="E4427" s="7" t="s">
        <v>35</v>
      </c>
      <c r="F4427" s="0" t="n">
        <v>113.94</v>
      </c>
      <c r="G4427" s="0" t="n">
        <v>54.6912</v>
      </c>
      <c r="H4427" s="0" t="n">
        <v>0</v>
      </c>
      <c r="I4427" s="7" t="n">
        <f aca="false">YEAR(B4427)</f>
        <v>2017</v>
      </c>
      <c r="J4427" s="0" t="str">
        <f aca="false">I4427&amp;"-Q"&amp;ROUNDUP(MONTH(B4427)/3,0)</f>
        <v>2017-Q2</v>
      </c>
    </row>
    <row r="4428" customFormat="false" ht="15" hidden="false" customHeight="false" outlineLevel="0" collapsed="false">
      <c r="A4428" s="0" t="s">
        <v>2279</v>
      </c>
      <c r="B4428" s="6" t="n">
        <v>42873</v>
      </c>
      <c r="C4428" s="7" t="s">
        <v>29</v>
      </c>
      <c r="D4428" s="7" t="s">
        <v>230</v>
      </c>
      <c r="E4428" s="7" t="s">
        <v>39</v>
      </c>
      <c r="F4428" s="0" t="n">
        <v>55.98</v>
      </c>
      <c r="G4428" s="0" t="n">
        <v>15.6744</v>
      </c>
      <c r="H4428" s="0" t="n">
        <v>0</v>
      </c>
      <c r="I4428" s="7" t="n">
        <f aca="false">YEAR(B4428)</f>
        <v>2017</v>
      </c>
      <c r="J4428" s="0" t="str">
        <f aca="false">I4428&amp;"-Q"&amp;ROUNDUP(MONTH(B4428)/3,0)</f>
        <v>2017-Q2</v>
      </c>
    </row>
    <row r="4429" customFormat="false" ht="15" hidden="false" customHeight="false" outlineLevel="0" collapsed="false">
      <c r="A4429" s="0" t="s">
        <v>2280</v>
      </c>
      <c r="B4429" s="6" t="n">
        <v>43000</v>
      </c>
      <c r="C4429" s="7" t="s">
        <v>33</v>
      </c>
      <c r="D4429" s="7" t="s">
        <v>142</v>
      </c>
      <c r="E4429" s="7" t="s">
        <v>35</v>
      </c>
      <c r="F4429" s="0" t="n">
        <v>27.18</v>
      </c>
      <c r="G4429" s="0" t="n">
        <v>12.231</v>
      </c>
      <c r="H4429" s="0" t="n">
        <v>0</v>
      </c>
      <c r="I4429" s="7" t="n">
        <f aca="false">YEAR(B4429)</f>
        <v>2017</v>
      </c>
      <c r="J4429" s="0" t="str">
        <f aca="false">I4429&amp;"-Q"&amp;ROUNDUP(MONTH(B4429)/3,0)</f>
        <v>2017-Q3</v>
      </c>
    </row>
    <row r="4430" customFormat="false" ht="15" hidden="false" customHeight="false" outlineLevel="0" collapsed="false">
      <c r="A4430" s="0" t="s">
        <v>2281</v>
      </c>
      <c r="B4430" s="6" t="n">
        <v>42815</v>
      </c>
      <c r="C4430" s="7" t="s">
        <v>45</v>
      </c>
      <c r="D4430" s="7" t="s">
        <v>138</v>
      </c>
      <c r="E4430" s="7" t="s">
        <v>31</v>
      </c>
      <c r="F4430" s="0" t="n">
        <v>1805.88</v>
      </c>
      <c r="G4430" s="0" t="n">
        <v>523.7052</v>
      </c>
      <c r="H4430" s="0" t="n">
        <v>0</v>
      </c>
      <c r="I4430" s="7" t="n">
        <f aca="false">YEAR(B4430)</f>
        <v>2017</v>
      </c>
      <c r="J4430" s="0" t="str">
        <f aca="false">I4430&amp;"-Q"&amp;ROUNDUP(MONTH(B4430)/3,0)</f>
        <v>2017-Q1</v>
      </c>
    </row>
    <row r="4431" customFormat="false" ht="15" hidden="false" customHeight="false" outlineLevel="0" collapsed="false">
      <c r="A4431" s="0" t="s">
        <v>2282</v>
      </c>
      <c r="B4431" s="6" t="n">
        <v>42992</v>
      </c>
      <c r="C4431" s="7" t="s">
        <v>55</v>
      </c>
      <c r="D4431" s="7" t="s">
        <v>161</v>
      </c>
      <c r="E4431" s="7" t="s">
        <v>35</v>
      </c>
      <c r="F4431" s="0" t="n">
        <v>70.95</v>
      </c>
      <c r="G4431" s="0" t="n">
        <v>18.447</v>
      </c>
      <c r="H4431" s="0" t="n">
        <v>0</v>
      </c>
      <c r="I4431" s="7" t="n">
        <f aca="false">YEAR(B4431)</f>
        <v>2017</v>
      </c>
      <c r="J4431" s="0" t="str">
        <f aca="false">I4431&amp;"-Q"&amp;ROUNDUP(MONTH(B4431)/3,0)</f>
        <v>2017-Q3</v>
      </c>
    </row>
    <row r="4432" customFormat="false" ht="15" hidden="false" customHeight="false" outlineLevel="0" collapsed="false">
      <c r="A4432" s="0" t="s">
        <v>2283</v>
      </c>
      <c r="B4432" s="6" t="n">
        <v>42677</v>
      </c>
      <c r="C4432" s="7" t="s">
        <v>29</v>
      </c>
      <c r="D4432" s="7" t="s">
        <v>30</v>
      </c>
      <c r="E4432" s="7" t="s">
        <v>35</v>
      </c>
      <c r="F4432" s="0" t="n">
        <v>20</v>
      </c>
      <c r="G4432" s="0" t="n">
        <v>9.6</v>
      </c>
      <c r="H4432" s="0" t="n">
        <v>0</v>
      </c>
      <c r="I4432" s="7" t="n">
        <f aca="false">YEAR(B4432)</f>
        <v>2016</v>
      </c>
      <c r="J4432" s="0" t="str">
        <f aca="false">I4432&amp;"-Q"&amp;ROUNDUP(MONTH(B4432)/3,0)</f>
        <v>2016-Q4</v>
      </c>
    </row>
    <row r="4433" customFormat="false" ht="15" hidden="false" customHeight="false" outlineLevel="0" collapsed="false">
      <c r="A4433" s="0" t="s">
        <v>2283</v>
      </c>
      <c r="B4433" s="6" t="n">
        <v>42677</v>
      </c>
      <c r="C4433" s="7" t="s">
        <v>29</v>
      </c>
      <c r="D4433" s="7" t="s">
        <v>30</v>
      </c>
      <c r="E4433" s="7" t="s">
        <v>35</v>
      </c>
      <c r="F4433" s="0" t="n">
        <v>7.98</v>
      </c>
      <c r="G4433" s="0" t="n">
        <v>2.0748</v>
      </c>
      <c r="H4433" s="0" t="n">
        <v>0</v>
      </c>
      <c r="I4433" s="7" t="n">
        <f aca="false">YEAR(B4433)</f>
        <v>2016</v>
      </c>
      <c r="J4433" s="0" t="str">
        <f aca="false">I4433&amp;"-Q"&amp;ROUNDUP(MONTH(B4433)/3,0)</f>
        <v>2016-Q4</v>
      </c>
    </row>
    <row r="4434" customFormat="false" ht="15" hidden="false" customHeight="false" outlineLevel="0" collapsed="false">
      <c r="A4434" s="0" t="s">
        <v>2283</v>
      </c>
      <c r="B4434" s="6" t="n">
        <v>42677</v>
      </c>
      <c r="C4434" s="7" t="s">
        <v>29</v>
      </c>
      <c r="D4434" s="7" t="s">
        <v>30</v>
      </c>
      <c r="E4434" s="7" t="s">
        <v>31</v>
      </c>
      <c r="F4434" s="0" t="n">
        <v>24.1</v>
      </c>
      <c r="G4434" s="0" t="n">
        <v>9.158</v>
      </c>
      <c r="H4434" s="0" t="n">
        <v>0</v>
      </c>
      <c r="I4434" s="7" t="n">
        <f aca="false">YEAR(B4434)</f>
        <v>2016</v>
      </c>
      <c r="J4434" s="0" t="str">
        <f aca="false">I4434&amp;"-Q"&amp;ROUNDUP(MONTH(B4434)/3,0)</f>
        <v>2016-Q4</v>
      </c>
    </row>
    <row r="4435" customFormat="false" ht="15" hidden="false" customHeight="false" outlineLevel="0" collapsed="false">
      <c r="A4435" s="0" t="s">
        <v>2283</v>
      </c>
      <c r="B4435" s="6" t="n">
        <v>42677</v>
      </c>
      <c r="C4435" s="7" t="s">
        <v>29</v>
      </c>
      <c r="D4435" s="7" t="s">
        <v>30</v>
      </c>
      <c r="E4435" s="7" t="s">
        <v>35</v>
      </c>
      <c r="F4435" s="0" t="n">
        <v>8.75</v>
      </c>
      <c r="G4435" s="0" t="n">
        <v>2.625</v>
      </c>
      <c r="H4435" s="0" t="n">
        <v>0</v>
      </c>
      <c r="I4435" s="7" t="n">
        <f aca="false">YEAR(B4435)</f>
        <v>2016</v>
      </c>
      <c r="J4435" s="0" t="str">
        <f aca="false">I4435&amp;"-Q"&amp;ROUNDUP(MONTH(B4435)/3,0)</f>
        <v>2016-Q4</v>
      </c>
    </row>
    <row r="4436" customFormat="false" ht="15" hidden="false" customHeight="false" outlineLevel="0" collapsed="false">
      <c r="A4436" s="0" t="s">
        <v>2283</v>
      </c>
      <c r="B4436" s="6" t="n">
        <v>42677</v>
      </c>
      <c r="C4436" s="7" t="s">
        <v>29</v>
      </c>
      <c r="D4436" s="7" t="s">
        <v>30</v>
      </c>
      <c r="E4436" s="7" t="s">
        <v>31</v>
      </c>
      <c r="F4436" s="0" t="n">
        <v>842.94</v>
      </c>
      <c r="G4436" s="0" t="n">
        <v>160.1586</v>
      </c>
      <c r="H4436" s="0" t="n">
        <v>0</v>
      </c>
      <c r="I4436" s="7" t="n">
        <f aca="false">YEAR(B4436)</f>
        <v>2016</v>
      </c>
      <c r="J4436" s="0" t="str">
        <f aca="false">I4436&amp;"-Q"&amp;ROUNDUP(MONTH(B4436)/3,0)</f>
        <v>2016-Q4</v>
      </c>
    </row>
    <row r="4437" customFormat="false" ht="15" hidden="false" customHeight="false" outlineLevel="0" collapsed="false">
      <c r="A4437" s="0" t="s">
        <v>2284</v>
      </c>
      <c r="B4437" s="6" t="n">
        <v>42493</v>
      </c>
      <c r="C4437" s="7" t="s">
        <v>45</v>
      </c>
      <c r="D4437" s="7" t="s">
        <v>64</v>
      </c>
      <c r="E4437" s="7" t="s">
        <v>35</v>
      </c>
      <c r="F4437" s="0" t="n">
        <v>2.182</v>
      </c>
      <c r="G4437" s="0" t="n">
        <v>-3.6003</v>
      </c>
      <c r="H4437" s="0" t="n">
        <v>0.8</v>
      </c>
      <c r="I4437" s="7" t="n">
        <f aca="false">YEAR(B4437)</f>
        <v>2016</v>
      </c>
      <c r="J4437" s="0" t="str">
        <f aca="false">I4437&amp;"-Q"&amp;ROUNDUP(MONTH(B4437)/3,0)</f>
        <v>2016-Q2</v>
      </c>
    </row>
    <row r="4438" customFormat="false" ht="15" hidden="false" customHeight="false" outlineLevel="0" collapsed="false">
      <c r="A4438" s="0" t="s">
        <v>2284</v>
      </c>
      <c r="B4438" s="6" t="n">
        <v>42493</v>
      </c>
      <c r="C4438" s="7" t="s">
        <v>45</v>
      </c>
      <c r="D4438" s="7" t="s">
        <v>64</v>
      </c>
      <c r="E4438" s="7" t="s">
        <v>35</v>
      </c>
      <c r="F4438" s="0" t="n">
        <v>27.384</v>
      </c>
      <c r="G4438" s="0" t="n">
        <v>2.7384</v>
      </c>
      <c r="H4438" s="0" t="n">
        <v>0.2</v>
      </c>
      <c r="I4438" s="7" t="n">
        <f aca="false">YEAR(B4438)</f>
        <v>2016</v>
      </c>
      <c r="J4438" s="0" t="str">
        <f aca="false">I4438&amp;"-Q"&amp;ROUNDUP(MONTH(B4438)/3,0)</f>
        <v>2016-Q2</v>
      </c>
    </row>
    <row r="4439" customFormat="false" ht="15" hidden="false" customHeight="false" outlineLevel="0" collapsed="false">
      <c r="A4439" s="0" t="s">
        <v>2284</v>
      </c>
      <c r="B4439" s="6" t="n">
        <v>42493</v>
      </c>
      <c r="C4439" s="7" t="s">
        <v>45</v>
      </c>
      <c r="D4439" s="7" t="s">
        <v>64</v>
      </c>
      <c r="E4439" s="7" t="s">
        <v>35</v>
      </c>
      <c r="F4439" s="0" t="n">
        <v>26.406</v>
      </c>
      <c r="G4439" s="0" t="n">
        <v>-71.2962</v>
      </c>
      <c r="H4439" s="0" t="n">
        <v>0.8</v>
      </c>
      <c r="I4439" s="7" t="n">
        <f aca="false">YEAR(B4439)</f>
        <v>2016</v>
      </c>
      <c r="J4439" s="0" t="str">
        <f aca="false">I4439&amp;"-Q"&amp;ROUNDUP(MONTH(B4439)/3,0)</f>
        <v>2016-Q2</v>
      </c>
    </row>
    <row r="4440" customFormat="false" ht="15" hidden="false" customHeight="false" outlineLevel="0" collapsed="false">
      <c r="A4440" s="0" t="s">
        <v>2285</v>
      </c>
      <c r="B4440" s="6" t="n">
        <v>42731</v>
      </c>
      <c r="C4440" s="7" t="s">
        <v>45</v>
      </c>
      <c r="D4440" s="7" t="s">
        <v>46</v>
      </c>
      <c r="E4440" s="7" t="s">
        <v>35</v>
      </c>
      <c r="F4440" s="0" t="n">
        <v>10.368</v>
      </c>
      <c r="G4440" s="0" t="n">
        <v>3.6288</v>
      </c>
      <c r="H4440" s="0" t="n">
        <v>0.2</v>
      </c>
      <c r="I4440" s="7" t="n">
        <f aca="false">YEAR(B4440)</f>
        <v>2016</v>
      </c>
      <c r="J4440" s="0" t="str">
        <f aca="false">I4440&amp;"-Q"&amp;ROUNDUP(MONTH(B4440)/3,0)</f>
        <v>2016-Q4</v>
      </c>
    </row>
    <row r="4441" customFormat="false" ht="15" hidden="false" customHeight="false" outlineLevel="0" collapsed="false">
      <c r="A4441" s="0" t="s">
        <v>2285</v>
      </c>
      <c r="B4441" s="6" t="n">
        <v>42731</v>
      </c>
      <c r="C4441" s="7" t="s">
        <v>45</v>
      </c>
      <c r="D4441" s="7" t="s">
        <v>46</v>
      </c>
      <c r="E4441" s="7" t="s">
        <v>35</v>
      </c>
      <c r="F4441" s="0" t="n">
        <v>23.68</v>
      </c>
      <c r="G4441" s="0" t="n">
        <v>7.4</v>
      </c>
      <c r="H4441" s="0" t="n">
        <v>0.2</v>
      </c>
      <c r="I4441" s="7" t="n">
        <f aca="false">YEAR(B4441)</f>
        <v>2016</v>
      </c>
      <c r="J4441" s="0" t="str">
        <f aca="false">I4441&amp;"-Q"&amp;ROUNDUP(MONTH(B4441)/3,0)</f>
        <v>2016-Q4</v>
      </c>
    </row>
    <row r="4442" customFormat="false" ht="15" hidden="false" customHeight="false" outlineLevel="0" collapsed="false">
      <c r="A4442" s="0" t="s">
        <v>2286</v>
      </c>
      <c r="B4442" s="6" t="n">
        <v>42573</v>
      </c>
      <c r="C4442" s="7" t="s">
        <v>45</v>
      </c>
      <c r="D4442" s="7" t="s">
        <v>70</v>
      </c>
      <c r="E4442" s="7" t="s">
        <v>39</v>
      </c>
      <c r="F4442" s="0" t="n">
        <v>109.95</v>
      </c>
      <c r="G4442" s="0" t="n">
        <v>36.2835</v>
      </c>
      <c r="H4442" s="0" t="n">
        <v>0</v>
      </c>
      <c r="I4442" s="7" t="n">
        <f aca="false">YEAR(B4442)</f>
        <v>2016</v>
      </c>
      <c r="J4442" s="0" t="str">
        <f aca="false">I4442&amp;"-Q"&amp;ROUNDUP(MONTH(B4442)/3,0)</f>
        <v>2016-Q3</v>
      </c>
    </row>
    <row r="4443" customFormat="false" ht="15" hidden="false" customHeight="false" outlineLevel="0" collapsed="false">
      <c r="A4443" s="0" t="s">
        <v>2286</v>
      </c>
      <c r="B4443" s="6" t="n">
        <v>42573</v>
      </c>
      <c r="C4443" s="7" t="s">
        <v>45</v>
      </c>
      <c r="D4443" s="7" t="s">
        <v>70</v>
      </c>
      <c r="E4443" s="7" t="s">
        <v>35</v>
      </c>
      <c r="F4443" s="0" t="n">
        <v>965.85</v>
      </c>
      <c r="G4443" s="0" t="n">
        <v>135.219</v>
      </c>
      <c r="H4443" s="0" t="n">
        <v>0</v>
      </c>
      <c r="I4443" s="7" t="n">
        <f aca="false">YEAR(B4443)</f>
        <v>2016</v>
      </c>
      <c r="J4443" s="0" t="str">
        <f aca="false">I4443&amp;"-Q"&amp;ROUNDUP(MONTH(B4443)/3,0)</f>
        <v>2016-Q3</v>
      </c>
    </row>
    <row r="4444" customFormat="false" ht="15" hidden="false" customHeight="false" outlineLevel="0" collapsed="false">
      <c r="A4444" s="0" t="s">
        <v>2286</v>
      </c>
      <c r="B4444" s="6" t="n">
        <v>42573</v>
      </c>
      <c r="C4444" s="7" t="s">
        <v>45</v>
      </c>
      <c r="D4444" s="7" t="s">
        <v>70</v>
      </c>
      <c r="E4444" s="7" t="s">
        <v>35</v>
      </c>
      <c r="F4444" s="0" t="n">
        <v>29.2</v>
      </c>
      <c r="G4444" s="0" t="n">
        <v>10.512</v>
      </c>
      <c r="H4444" s="0" t="n">
        <v>0</v>
      </c>
      <c r="I4444" s="7" t="n">
        <f aca="false">YEAR(B4444)</f>
        <v>2016</v>
      </c>
      <c r="J4444" s="0" t="str">
        <f aca="false">I4444&amp;"-Q"&amp;ROUNDUP(MONTH(B4444)/3,0)</f>
        <v>2016-Q3</v>
      </c>
    </row>
    <row r="4445" customFormat="false" ht="15" hidden="false" customHeight="false" outlineLevel="0" collapsed="false">
      <c r="A4445" s="0" t="s">
        <v>2286</v>
      </c>
      <c r="B4445" s="6" t="n">
        <v>42573</v>
      </c>
      <c r="C4445" s="7" t="s">
        <v>45</v>
      </c>
      <c r="D4445" s="7" t="s">
        <v>70</v>
      </c>
      <c r="E4445" s="7" t="s">
        <v>35</v>
      </c>
      <c r="F4445" s="0" t="n">
        <v>32.4</v>
      </c>
      <c r="G4445" s="0" t="n">
        <v>15.552</v>
      </c>
      <c r="H4445" s="0" t="n">
        <v>0</v>
      </c>
      <c r="I4445" s="7" t="n">
        <f aca="false">YEAR(B4445)</f>
        <v>2016</v>
      </c>
      <c r="J4445" s="0" t="str">
        <f aca="false">I4445&amp;"-Q"&amp;ROUNDUP(MONTH(B4445)/3,0)</f>
        <v>2016-Q3</v>
      </c>
    </row>
    <row r="4446" customFormat="false" ht="15" hidden="false" customHeight="false" outlineLevel="0" collapsed="false">
      <c r="A4446" s="0" t="s">
        <v>2287</v>
      </c>
      <c r="B4446" s="6" t="n">
        <v>41959</v>
      </c>
      <c r="C4446" s="7" t="s">
        <v>45</v>
      </c>
      <c r="D4446" s="7" t="s">
        <v>74</v>
      </c>
      <c r="E4446" s="7" t="s">
        <v>35</v>
      </c>
      <c r="F4446" s="0" t="n">
        <v>78.35</v>
      </c>
      <c r="G4446" s="0" t="n">
        <v>36.8245</v>
      </c>
      <c r="H4446" s="0" t="n">
        <v>0</v>
      </c>
      <c r="I4446" s="7" t="n">
        <f aca="false">YEAR(B4446)</f>
        <v>2014</v>
      </c>
      <c r="J4446" s="0" t="str">
        <f aca="false">I4446&amp;"-Q"&amp;ROUNDUP(MONTH(B4446)/3,0)</f>
        <v>2014-Q4</v>
      </c>
    </row>
    <row r="4447" customFormat="false" ht="15" hidden="false" customHeight="false" outlineLevel="0" collapsed="false">
      <c r="A4447" s="0" t="s">
        <v>2287</v>
      </c>
      <c r="B4447" s="6" t="n">
        <v>41959</v>
      </c>
      <c r="C4447" s="7" t="s">
        <v>45</v>
      </c>
      <c r="D4447" s="7" t="s">
        <v>74</v>
      </c>
      <c r="E4447" s="7" t="s">
        <v>35</v>
      </c>
      <c r="F4447" s="0" t="n">
        <v>31.68</v>
      </c>
      <c r="G4447" s="0" t="n">
        <v>14.256</v>
      </c>
      <c r="H4447" s="0" t="n">
        <v>0</v>
      </c>
      <c r="I4447" s="7" t="n">
        <f aca="false">YEAR(B4447)</f>
        <v>2014</v>
      </c>
      <c r="J4447" s="0" t="str">
        <f aca="false">I4447&amp;"-Q"&amp;ROUNDUP(MONTH(B4447)/3,0)</f>
        <v>2014-Q4</v>
      </c>
    </row>
    <row r="4448" customFormat="false" ht="15" hidden="false" customHeight="false" outlineLevel="0" collapsed="false">
      <c r="A4448" s="0" t="s">
        <v>2287</v>
      </c>
      <c r="B4448" s="6" t="n">
        <v>41959</v>
      </c>
      <c r="C4448" s="7" t="s">
        <v>45</v>
      </c>
      <c r="D4448" s="7" t="s">
        <v>74</v>
      </c>
      <c r="E4448" s="7" t="s">
        <v>35</v>
      </c>
      <c r="F4448" s="0" t="n">
        <v>29.12</v>
      </c>
      <c r="G4448" s="0" t="n">
        <v>14.2688</v>
      </c>
      <c r="H4448" s="0" t="n">
        <v>0</v>
      </c>
      <c r="I4448" s="7" t="n">
        <f aca="false">YEAR(B4448)</f>
        <v>2014</v>
      </c>
      <c r="J4448" s="0" t="str">
        <f aca="false">I4448&amp;"-Q"&amp;ROUNDUP(MONTH(B4448)/3,0)</f>
        <v>2014-Q4</v>
      </c>
    </row>
    <row r="4449" customFormat="false" ht="15" hidden="false" customHeight="false" outlineLevel="0" collapsed="false">
      <c r="A4449" s="0" t="s">
        <v>2287</v>
      </c>
      <c r="B4449" s="6" t="n">
        <v>41959</v>
      </c>
      <c r="C4449" s="7" t="s">
        <v>45</v>
      </c>
      <c r="D4449" s="7" t="s">
        <v>74</v>
      </c>
      <c r="E4449" s="7" t="s">
        <v>35</v>
      </c>
      <c r="F4449" s="0" t="n">
        <v>169.45</v>
      </c>
      <c r="G4449" s="0" t="n">
        <v>42.3625</v>
      </c>
      <c r="H4449" s="0" t="n">
        <v>0</v>
      </c>
      <c r="I4449" s="7" t="n">
        <f aca="false">YEAR(B4449)</f>
        <v>2014</v>
      </c>
      <c r="J4449" s="0" t="str">
        <f aca="false">I4449&amp;"-Q"&amp;ROUNDUP(MONTH(B4449)/3,0)</f>
        <v>2014-Q4</v>
      </c>
    </row>
    <row r="4450" customFormat="false" ht="15" hidden="false" customHeight="false" outlineLevel="0" collapsed="false">
      <c r="A4450" s="0" t="s">
        <v>2288</v>
      </c>
      <c r="B4450" s="6" t="n">
        <v>42174</v>
      </c>
      <c r="C4450" s="7" t="s">
        <v>33</v>
      </c>
      <c r="D4450" s="7" t="s">
        <v>34</v>
      </c>
      <c r="E4450" s="7" t="s">
        <v>31</v>
      </c>
      <c r="F4450" s="0" t="n">
        <v>12.56</v>
      </c>
      <c r="G4450" s="0" t="n">
        <v>4.0192</v>
      </c>
      <c r="H4450" s="0" t="n">
        <v>0</v>
      </c>
      <c r="I4450" s="7" t="n">
        <f aca="false">YEAR(B4450)</f>
        <v>2015</v>
      </c>
      <c r="J4450" s="0" t="str">
        <f aca="false">I4450&amp;"-Q"&amp;ROUNDUP(MONTH(B4450)/3,0)</f>
        <v>2015-Q2</v>
      </c>
    </row>
    <row r="4451" customFormat="false" ht="15" hidden="false" customHeight="false" outlineLevel="0" collapsed="false">
      <c r="A4451" s="0" t="s">
        <v>2288</v>
      </c>
      <c r="B4451" s="6" t="n">
        <v>42174</v>
      </c>
      <c r="C4451" s="7" t="s">
        <v>33</v>
      </c>
      <c r="D4451" s="7" t="s">
        <v>34</v>
      </c>
      <c r="E4451" s="7" t="s">
        <v>35</v>
      </c>
      <c r="F4451" s="0" t="n">
        <v>6.48</v>
      </c>
      <c r="G4451" s="0" t="n">
        <v>3.1104</v>
      </c>
      <c r="H4451" s="0" t="n">
        <v>0</v>
      </c>
      <c r="I4451" s="7" t="n">
        <f aca="false">YEAR(B4451)</f>
        <v>2015</v>
      </c>
      <c r="J4451" s="0" t="str">
        <f aca="false">I4451&amp;"-Q"&amp;ROUNDUP(MONTH(B4451)/3,0)</f>
        <v>2015-Q2</v>
      </c>
    </row>
    <row r="4452" customFormat="false" ht="15" hidden="false" customHeight="false" outlineLevel="0" collapsed="false">
      <c r="A4452" s="0" t="s">
        <v>2288</v>
      </c>
      <c r="B4452" s="6" t="n">
        <v>42174</v>
      </c>
      <c r="C4452" s="7" t="s">
        <v>33</v>
      </c>
      <c r="D4452" s="7" t="s">
        <v>34</v>
      </c>
      <c r="E4452" s="7" t="s">
        <v>35</v>
      </c>
      <c r="F4452" s="0" t="n">
        <v>186.69</v>
      </c>
      <c r="G4452" s="0" t="n">
        <v>87.7443</v>
      </c>
      <c r="H4452" s="0" t="n">
        <v>0</v>
      </c>
      <c r="I4452" s="7" t="n">
        <f aca="false">YEAR(B4452)</f>
        <v>2015</v>
      </c>
      <c r="J4452" s="0" t="str">
        <f aca="false">I4452&amp;"-Q"&amp;ROUNDUP(MONTH(B4452)/3,0)</f>
        <v>2015-Q2</v>
      </c>
    </row>
    <row r="4453" customFormat="false" ht="15" hidden="false" customHeight="false" outlineLevel="0" collapsed="false">
      <c r="A4453" s="0" t="s">
        <v>2289</v>
      </c>
      <c r="B4453" s="6" t="n">
        <v>42555</v>
      </c>
      <c r="C4453" s="7" t="s">
        <v>33</v>
      </c>
      <c r="D4453" s="7" t="s">
        <v>34</v>
      </c>
      <c r="E4453" s="7" t="s">
        <v>31</v>
      </c>
      <c r="F4453" s="0" t="n">
        <v>25.4</v>
      </c>
      <c r="G4453" s="0" t="n">
        <v>8.636</v>
      </c>
      <c r="H4453" s="0" t="n">
        <v>0</v>
      </c>
      <c r="I4453" s="7" t="n">
        <f aca="false">YEAR(B4453)</f>
        <v>2016</v>
      </c>
      <c r="J4453" s="0" t="str">
        <f aca="false">I4453&amp;"-Q"&amp;ROUNDUP(MONTH(B4453)/3,0)</f>
        <v>2016-Q3</v>
      </c>
    </row>
    <row r="4454" customFormat="false" ht="15" hidden="false" customHeight="false" outlineLevel="0" collapsed="false">
      <c r="A4454" s="0" t="s">
        <v>2289</v>
      </c>
      <c r="B4454" s="6" t="n">
        <v>42555</v>
      </c>
      <c r="C4454" s="7" t="s">
        <v>33</v>
      </c>
      <c r="D4454" s="7" t="s">
        <v>34</v>
      </c>
      <c r="E4454" s="7" t="s">
        <v>35</v>
      </c>
      <c r="F4454" s="0" t="n">
        <v>43.96</v>
      </c>
      <c r="G4454" s="0" t="n">
        <v>20.6612</v>
      </c>
      <c r="H4454" s="0" t="n">
        <v>0</v>
      </c>
      <c r="I4454" s="7" t="n">
        <f aca="false">YEAR(B4454)</f>
        <v>2016</v>
      </c>
      <c r="J4454" s="0" t="str">
        <f aca="false">I4454&amp;"-Q"&amp;ROUNDUP(MONTH(B4454)/3,0)</f>
        <v>2016-Q3</v>
      </c>
    </row>
    <row r="4455" customFormat="false" ht="15" hidden="false" customHeight="false" outlineLevel="0" collapsed="false">
      <c r="A4455" s="0" t="s">
        <v>2289</v>
      </c>
      <c r="B4455" s="6" t="n">
        <v>42555</v>
      </c>
      <c r="C4455" s="7" t="s">
        <v>33</v>
      </c>
      <c r="D4455" s="7" t="s">
        <v>34</v>
      </c>
      <c r="E4455" s="7" t="s">
        <v>31</v>
      </c>
      <c r="F4455" s="0" t="n">
        <v>1279.165</v>
      </c>
      <c r="G4455" s="0" t="n">
        <v>225.735</v>
      </c>
      <c r="H4455" s="0" t="n">
        <v>0.15</v>
      </c>
      <c r="I4455" s="7" t="n">
        <f aca="false">YEAR(B4455)</f>
        <v>2016</v>
      </c>
      <c r="J4455" s="0" t="str">
        <f aca="false">I4455&amp;"-Q"&amp;ROUNDUP(MONTH(B4455)/3,0)</f>
        <v>2016-Q3</v>
      </c>
    </row>
    <row r="4456" customFormat="false" ht="15" hidden="false" customHeight="false" outlineLevel="0" collapsed="false">
      <c r="A4456" s="0" t="s">
        <v>2289</v>
      </c>
      <c r="B4456" s="6" t="n">
        <v>42555</v>
      </c>
      <c r="C4456" s="7" t="s">
        <v>33</v>
      </c>
      <c r="D4456" s="7" t="s">
        <v>34</v>
      </c>
      <c r="E4456" s="7" t="s">
        <v>35</v>
      </c>
      <c r="F4456" s="0" t="n">
        <v>27.92</v>
      </c>
      <c r="G4456" s="0" t="n">
        <v>0.5584</v>
      </c>
      <c r="H4456" s="0" t="n">
        <v>0</v>
      </c>
      <c r="I4456" s="7" t="n">
        <f aca="false">YEAR(B4456)</f>
        <v>2016</v>
      </c>
      <c r="J4456" s="0" t="str">
        <f aca="false">I4456&amp;"-Q"&amp;ROUNDUP(MONTH(B4456)/3,0)</f>
        <v>2016-Q3</v>
      </c>
    </row>
    <row r="4457" customFormat="false" ht="15" hidden="false" customHeight="false" outlineLevel="0" collapsed="false">
      <c r="A4457" s="0" t="s">
        <v>2290</v>
      </c>
      <c r="B4457" s="6" t="n">
        <v>42250</v>
      </c>
      <c r="C4457" s="7" t="s">
        <v>33</v>
      </c>
      <c r="D4457" s="7" t="s">
        <v>34</v>
      </c>
      <c r="E4457" s="7" t="s">
        <v>31</v>
      </c>
      <c r="F4457" s="0" t="n">
        <v>129.568</v>
      </c>
      <c r="G4457" s="0" t="n">
        <v>-12.9568</v>
      </c>
      <c r="H4457" s="0" t="n">
        <v>0.2</v>
      </c>
      <c r="I4457" s="7" t="n">
        <f aca="false">YEAR(B4457)</f>
        <v>2015</v>
      </c>
      <c r="J4457" s="0" t="str">
        <f aca="false">I4457&amp;"-Q"&amp;ROUNDUP(MONTH(B4457)/3,0)</f>
        <v>2015-Q3</v>
      </c>
    </row>
    <row r="4458" customFormat="false" ht="15" hidden="false" customHeight="false" outlineLevel="0" collapsed="false">
      <c r="A4458" s="0" t="s">
        <v>2290</v>
      </c>
      <c r="B4458" s="6" t="n">
        <v>42250</v>
      </c>
      <c r="C4458" s="7" t="s">
        <v>33</v>
      </c>
      <c r="D4458" s="7" t="s">
        <v>34</v>
      </c>
      <c r="E4458" s="7" t="s">
        <v>35</v>
      </c>
      <c r="F4458" s="0" t="n">
        <v>6.368</v>
      </c>
      <c r="G4458" s="0" t="n">
        <v>2.1492</v>
      </c>
      <c r="H4458" s="0" t="n">
        <v>0.2</v>
      </c>
      <c r="I4458" s="7" t="n">
        <f aca="false">YEAR(B4458)</f>
        <v>2015</v>
      </c>
      <c r="J4458" s="0" t="str">
        <f aca="false">I4458&amp;"-Q"&amp;ROUNDUP(MONTH(B4458)/3,0)</f>
        <v>2015-Q3</v>
      </c>
    </row>
    <row r="4459" customFormat="false" ht="15" hidden="false" customHeight="false" outlineLevel="0" collapsed="false">
      <c r="A4459" s="0" t="s">
        <v>2291</v>
      </c>
      <c r="B4459" s="6" t="n">
        <v>42954</v>
      </c>
      <c r="C4459" s="7" t="s">
        <v>33</v>
      </c>
      <c r="D4459" s="7" t="s">
        <v>34</v>
      </c>
      <c r="E4459" s="7" t="s">
        <v>35</v>
      </c>
      <c r="F4459" s="0" t="n">
        <v>244.55</v>
      </c>
      <c r="G4459" s="0" t="n">
        <v>114.9385</v>
      </c>
      <c r="H4459" s="0" t="n">
        <v>0</v>
      </c>
      <c r="I4459" s="7" t="n">
        <f aca="false">YEAR(B4459)</f>
        <v>2017</v>
      </c>
      <c r="J4459" s="0" t="str">
        <f aca="false">I4459&amp;"-Q"&amp;ROUNDUP(MONTH(B4459)/3,0)</f>
        <v>2017-Q3</v>
      </c>
    </row>
    <row r="4460" customFormat="false" ht="15" hidden="false" customHeight="false" outlineLevel="0" collapsed="false">
      <c r="A4460" s="0" t="s">
        <v>2292</v>
      </c>
      <c r="B4460" s="6" t="n">
        <v>42807</v>
      </c>
      <c r="C4460" s="7" t="s">
        <v>33</v>
      </c>
      <c r="D4460" s="7" t="s">
        <v>109</v>
      </c>
      <c r="E4460" s="7" t="s">
        <v>35</v>
      </c>
      <c r="F4460" s="0" t="n">
        <v>1332.496</v>
      </c>
      <c r="G4460" s="0" t="n">
        <v>-299.8116</v>
      </c>
      <c r="H4460" s="0" t="n">
        <v>0.2</v>
      </c>
      <c r="I4460" s="7" t="n">
        <f aca="false">YEAR(B4460)</f>
        <v>2017</v>
      </c>
      <c r="J4460" s="0" t="str">
        <f aca="false">I4460&amp;"-Q"&amp;ROUNDUP(MONTH(B4460)/3,0)</f>
        <v>2017-Q1</v>
      </c>
    </row>
    <row r="4461" customFormat="false" ht="15" hidden="false" customHeight="false" outlineLevel="0" collapsed="false">
      <c r="A4461" s="0" t="s">
        <v>2293</v>
      </c>
      <c r="B4461" s="6" t="n">
        <v>43006</v>
      </c>
      <c r="C4461" s="7" t="s">
        <v>33</v>
      </c>
      <c r="D4461" s="7" t="s">
        <v>109</v>
      </c>
      <c r="E4461" s="7" t="s">
        <v>31</v>
      </c>
      <c r="F4461" s="0" t="n">
        <v>32.776</v>
      </c>
      <c r="G4461" s="0" t="n">
        <v>3.2776</v>
      </c>
      <c r="H4461" s="0" t="n">
        <v>0.2</v>
      </c>
      <c r="I4461" s="7" t="n">
        <f aca="false">YEAR(B4461)</f>
        <v>2017</v>
      </c>
      <c r="J4461" s="0" t="str">
        <f aca="false">I4461&amp;"-Q"&amp;ROUNDUP(MONTH(B4461)/3,0)</f>
        <v>2017-Q3</v>
      </c>
    </row>
    <row r="4462" customFormat="false" ht="15" hidden="false" customHeight="false" outlineLevel="0" collapsed="false">
      <c r="A4462" s="0" t="s">
        <v>2293</v>
      </c>
      <c r="B4462" s="6" t="n">
        <v>43006</v>
      </c>
      <c r="C4462" s="7" t="s">
        <v>33</v>
      </c>
      <c r="D4462" s="7" t="s">
        <v>109</v>
      </c>
      <c r="E4462" s="7" t="s">
        <v>35</v>
      </c>
      <c r="F4462" s="0" t="n">
        <v>147.184</v>
      </c>
      <c r="G4462" s="0" t="n">
        <v>-29.4368</v>
      </c>
      <c r="H4462" s="0" t="n">
        <v>0.2</v>
      </c>
      <c r="I4462" s="7" t="n">
        <f aca="false">YEAR(B4462)</f>
        <v>2017</v>
      </c>
      <c r="J4462" s="0" t="str">
        <f aca="false">I4462&amp;"-Q"&amp;ROUNDUP(MONTH(B4462)/3,0)</f>
        <v>2017-Q3</v>
      </c>
    </row>
    <row r="4463" customFormat="false" ht="15" hidden="false" customHeight="false" outlineLevel="0" collapsed="false">
      <c r="A4463" s="0" t="s">
        <v>2293</v>
      </c>
      <c r="B4463" s="6" t="n">
        <v>43006</v>
      </c>
      <c r="C4463" s="7" t="s">
        <v>33</v>
      </c>
      <c r="D4463" s="7" t="s">
        <v>109</v>
      </c>
      <c r="E4463" s="7" t="s">
        <v>39</v>
      </c>
      <c r="F4463" s="0" t="n">
        <v>54.384</v>
      </c>
      <c r="G4463" s="0" t="n">
        <v>1.3596</v>
      </c>
      <c r="H4463" s="0" t="n">
        <v>0.2</v>
      </c>
      <c r="I4463" s="7" t="n">
        <f aca="false">YEAR(B4463)</f>
        <v>2017</v>
      </c>
      <c r="J4463" s="0" t="str">
        <f aca="false">I4463&amp;"-Q"&amp;ROUNDUP(MONTH(B4463)/3,0)</f>
        <v>2017-Q3</v>
      </c>
    </row>
    <row r="4464" customFormat="false" ht="15" hidden="false" customHeight="false" outlineLevel="0" collapsed="false">
      <c r="A4464" s="0" t="s">
        <v>2293</v>
      </c>
      <c r="B4464" s="6" t="n">
        <v>43006</v>
      </c>
      <c r="C4464" s="7" t="s">
        <v>33</v>
      </c>
      <c r="D4464" s="7" t="s">
        <v>109</v>
      </c>
      <c r="E4464" s="7" t="s">
        <v>35</v>
      </c>
      <c r="F4464" s="0" t="n">
        <v>76.776</v>
      </c>
      <c r="G4464" s="0" t="n">
        <v>-58.8616</v>
      </c>
      <c r="H4464" s="0" t="n">
        <v>0.7</v>
      </c>
      <c r="I4464" s="7" t="n">
        <f aca="false">YEAR(B4464)</f>
        <v>2017</v>
      </c>
      <c r="J4464" s="0" t="str">
        <f aca="false">I4464&amp;"-Q"&amp;ROUNDUP(MONTH(B4464)/3,0)</f>
        <v>2017-Q3</v>
      </c>
    </row>
    <row r="4465" customFormat="false" ht="15" hidden="false" customHeight="false" outlineLevel="0" collapsed="false">
      <c r="A4465" s="0" t="s">
        <v>2293</v>
      </c>
      <c r="B4465" s="6" t="n">
        <v>43006</v>
      </c>
      <c r="C4465" s="7" t="s">
        <v>33</v>
      </c>
      <c r="D4465" s="7" t="s">
        <v>109</v>
      </c>
      <c r="E4465" s="7" t="s">
        <v>35</v>
      </c>
      <c r="F4465" s="0" t="n">
        <v>14.352</v>
      </c>
      <c r="G4465" s="0" t="n">
        <v>5.2026</v>
      </c>
      <c r="H4465" s="0" t="n">
        <v>0.2</v>
      </c>
      <c r="I4465" s="7" t="n">
        <f aca="false">YEAR(B4465)</f>
        <v>2017</v>
      </c>
      <c r="J4465" s="0" t="str">
        <f aca="false">I4465&amp;"-Q"&amp;ROUNDUP(MONTH(B4465)/3,0)</f>
        <v>2017-Q3</v>
      </c>
    </row>
    <row r="4466" customFormat="false" ht="15" hidden="false" customHeight="false" outlineLevel="0" collapsed="false">
      <c r="A4466" s="0" t="s">
        <v>2293</v>
      </c>
      <c r="B4466" s="6" t="n">
        <v>43006</v>
      </c>
      <c r="C4466" s="7" t="s">
        <v>33</v>
      </c>
      <c r="D4466" s="7" t="s">
        <v>109</v>
      </c>
      <c r="E4466" s="7" t="s">
        <v>35</v>
      </c>
      <c r="F4466" s="0" t="n">
        <v>209.792</v>
      </c>
      <c r="G4466" s="0" t="n">
        <v>26.224</v>
      </c>
      <c r="H4466" s="0" t="n">
        <v>0.2</v>
      </c>
      <c r="I4466" s="7" t="n">
        <f aca="false">YEAR(B4466)</f>
        <v>2017</v>
      </c>
      <c r="J4466" s="0" t="str">
        <f aca="false">I4466&amp;"-Q"&amp;ROUNDUP(MONTH(B4466)/3,0)</f>
        <v>2017-Q3</v>
      </c>
    </row>
    <row r="4467" customFormat="false" ht="15" hidden="false" customHeight="false" outlineLevel="0" collapsed="false">
      <c r="A4467" s="0" t="s">
        <v>2294</v>
      </c>
      <c r="B4467" s="6" t="n">
        <v>42223</v>
      </c>
      <c r="C4467" s="7" t="s">
        <v>33</v>
      </c>
      <c r="D4467" s="7" t="s">
        <v>1599</v>
      </c>
      <c r="E4467" s="7" t="s">
        <v>35</v>
      </c>
      <c r="F4467" s="0" t="n">
        <v>3.304</v>
      </c>
      <c r="G4467" s="0" t="n">
        <v>1.1151</v>
      </c>
      <c r="H4467" s="0" t="n">
        <v>0.2</v>
      </c>
      <c r="I4467" s="7" t="n">
        <f aca="false">YEAR(B4467)</f>
        <v>2015</v>
      </c>
      <c r="J4467" s="0" t="str">
        <f aca="false">I4467&amp;"-Q"&amp;ROUNDUP(MONTH(B4467)/3,0)</f>
        <v>2015-Q3</v>
      </c>
    </row>
    <row r="4468" customFormat="false" ht="15" hidden="false" customHeight="false" outlineLevel="0" collapsed="false">
      <c r="A4468" s="0" t="s">
        <v>2295</v>
      </c>
      <c r="B4468" s="6" t="n">
        <v>43063</v>
      </c>
      <c r="C4468" s="7" t="s">
        <v>55</v>
      </c>
      <c r="D4468" s="7" t="s">
        <v>76</v>
      </c>
      <c r="E4468" s="7" t="s">
        <v>35</v>
      </c>
      <c r="F4468" s="0" t="n">
        <v>16.38</v>
      </c>
      <c r="G4468" s="0" t="n">
        <v>7.371</v>
      </c>
      <c r="H4468" s="0" t="n">
        <v>0</v>
      </c>
      <c r="I4468" s="7" t="n">
        <f aca="false">YEAR(B4468)</f>
        <v>2017</v>
      </c>
      <c r="J4468" s="0" t="str">
        <f aca="false">I4468&amp;"-Q"&amp;ROUNDUP(MONTH(B4468)/3,0)</f>
        <v>2017-Q4</v>
      </c>
    </row>
    <row r="4469" customFormat="false" ht="15" hidden="false" customHeight="false" outlineLevel="0" collapsed="false">
      <c r="A4469" s="0" t="s">
        <v>2295</v>
      </c>
      <c r="B4469" s="6" t="n">
        <v>43063</v>
      </c>
      <c r="C4469" s="7" t="s">
        <v>55</v>
      </c>
      <c r="D4469" s="7" t="s">
        <v>76</v>
      </c>
      <c r="E4469" s="7" t="s">
        <v>35</v>
      </c>
      <c r="F4469" s="0" t="n">
        <v>167.96</v>
      </c>
      <c r="G4469" s="0" t="n">
        <v>78.9412</v>
      </c>
      <c r="H4469" s="0" t="n">
        <v>0</v>
      </c>
      <c r="I4469" s="7" t="n">
        <f aca="false">YEAR(B4469)</f>
        <v>2017</v>
      </c>
      <c r="J4469" s="0" t="str">
        <f aca="false">I4469&amp;"-Q"&amp;ROUNDUP(MONTH(B4469)/3,0)</f>
        <v>2017-Q4</v>
      </c>
    </row>
    <row r="4470" customFormat="false" ht="15" hidden="false" customHeight="false" outlineLevel="0" collapsed="false">
      <c r="A4470" s="0" t="s">
        <v>2295</v>
      </c>
      <c r="B4470" s="6" t="n">
        <v>43063</v>
      </c>
      <c r="C4470" s="7" t="s">
        <v>55</v>
      </c>
      <c r="D4470" s="7" t="s">
        <v>76</v>
      </c>
      <c r="E4470" s="7" t="s">
        <v>31</v>
      </c>
      <c r="F4470" s="0" t="n">
        <v>321.568</v>
      </c>
      <c r="G4470" s="0" t="n">
        <v>-16.0784</v>
      </c>
      <c r="H4470" s="0" t="n">
        <v>0.2</v>
      </c>
      <c r="I4470" s="7" t="n">
        <f aca="false">YEAR(B4470)</f>
        <v>2017</v>
      </c>
      <c r="J4470" s="0" t="str">
        <f aca="false">I4470&amp;"-Q"&amp;ROUNDUP(MONTH(B4470)/3,0)</f>
        <v>2017-Q4</v>
      </c>
    </row>
    <row r="4471" customFormat="false" ht="15" hidden="false" customHeight="false" outlineLevel="0" collapsed="false">
      <c r="A4471" s="0" t="s">
        <v>2295</v>
      </c>
      <c r="B4471" s="6" t="n">
        <v>43063</v>
      </c>
      <c r="C4471" s="7" t="s">
        <v>55</v>
      </c>
      <c r="D4471" s="7" t="s">
        <v>76</v>
      </c>
      <c r="E4471" s="7" t="s">
        <v>35</v>
      </c>
      <c r="F4471" s="0" t="n">
        <v>12.96</v>
      </c>
      <c r="G4471" s="0" t="n">
        <v>6.2208</v>
      </c>
      <c r="H4471" s="0" t="n">
        <v>0</v>
      </c>
      <c r="I4471" s="7" t="n">
        <f aca="false">YEAR(B4471)</f>
        <v>2017</v>
      </c>
      <c r="J4471" s="0" t="str">
        <f aca="false">I4471&amp;"-Q"&amp;ROUNDUP(MONTH(B4471)/3,0)</f>
        <v>2017-Q4</v>
      </c>
    </row>
    <row r="4472" customFormat="false" ht="15" hidden="false" customHeight="false" outlineLevel="0" collapsed="false">
      <c r="A4472" s="0" t="s">
        <v>2296</v>
      </c>
      <c r="B4472" s="6" t="n">
        <v>42863</v>
      </c>
      <c r="C4472" s="7" t="s">
        <v>55</v>
      </c>
      <c r="D4472" s="7" t="s">
        <v>56</v>
      </c>
      <c r="E4472" s="7" t="s">
        <v>31</v>
      </c>
      <c r="F4472" s="0" t="n">
        <v>128.058</v>
      </c>
      <c r="G4472" s="0" t="n">
        <v>-23.7822</v>
      </c>
      <c r="H4472" s="0" t="n">
        <v>0.3</v>
      </c>
      <c r="I4472" s="7" t="n">
        <f aca="false">YEAR(B4472)</f>
        <v>2017</v>
      </c>
      <c r="J4472" s="0" t="str">
        <f aca="false">I4472&amp;"-Q"&amp;ROUNDUP(MONTH(B4472)/3,0)</f>
        <v>2017-Q2</v>
      </c>
    </row>
    <row r="4473" customFormat="false" ht="15" hidden="false" customHeight="false" outlineLevel="0" collapsed="false">
      <c r="A4473" s="0" t="s">
        <v>2297</v>
      </c>
      <c r="B4473" s="6" t="n">
        <v>43007</v>
      </c>
      <c r="C4473" s="7" t="s">
        <v>55</v>
      </c>
      <c r="D4473" s="7" t="s">
        <v>116</v>
      </c>
      <c r="E4473" s="7" t="s">
        <v>31</v>
      </c>
      <c r="F4473" s="0" t="n">
        <v>63.686</v>
      </c>
      <c r="G4473" s="0" t="n">
        <v>-15.4666</v>
      </c>
      <c r="H4473" s="0" t="n">
        <v>0.3</v>
      </c>
      <c r="I4473" s="7" t="n">
        <f aca="false">YEAR(B4473)</f>
        <v>2017</v>
      </c>
      <c r="J4473" s="0" t="str">
        <f aca="false">I4473&amp;"-Q"&amp;ROUNDUP(MONTH(B4473)/3,0)</f>
        <v>2017-Q3</v>
      </c>
    </row>
    <row r="4474" customFormat="false" ht="15" hidden="false" customHeight="false" outlineLevel="0" collapsed="false">
      <c r="A4474" s="0" t="s">
        <v>2297</v>
      </c>
      <c r="B4474" s="6" t="n">
        <v>43007</v>
      </c>
      <c r="C4474" s="7" t="s">
        <v>55</v>
      </c>
      <c r="D4474" s="7" t="s">
        <v>116</v>
      </c>
      <c r="E4474" s="7" t="s">
        <v>39</v>
      </c>
      <c r="F4474" s="0" t="n">
        <v>239.976</v>
      </c>
      <c r="G4474" s="0" t="n">
        <v>65.9934</v>
      </c>
      <c r="H4474" s="0" t="n">
        <v>0.2</v>
      </c>
      <c r="I4474" s="7" t="n">
        <f aca="false">YEAR(B4474)</f>
        <v>2017</v>
      </c>
      <c r="J4474" s="0" t="str">
        <f aca="false">I4474&amp;"-Q"&amp;ROUNDUP(MONTH(B4474)/3,0)</f>
        <v>2017-Q3</v>
      </c>
    </row>
    <row r="4475" customFormat="false" ht="15" hidden="false" customHeight="false" outlineLevel="0" collapsed="false">
      <c r="A4475" s="0" t="s">
        <v>2297</v>
      </c>
      <c r="B4475" s="6" t="n">
        <v>43007</v>
      </c>
      <c r="C4475" s="7" t="s">
        <v>55</v>
      </c>
      <c r="D4475" s="7" t="s">
        <v>116</v>
      </c>
      <c r="E4475" s="7" t="s">
        <v>31</v>
      </c>
      <c r="F4475" s="0" t="n">
        <v>344.22</v>
      </c>
      <c r="G4475" s="0" t="n">
        <v>-189.321</v>
      </c>
      <c r="H4475" s="0" t="n">
        <v>0.4</v>
      </c>
      <c r="I4475" s="7" t="n">
        <f aca="false">YEAR(B4475)</f>
        <v>2017</v>
      </c>
      <c r="J4475" s="0" t="str">
        <f aca="false">I4475&amp;"-Q"&amp;ROUNDUP(MONTH(B4475)/3,0)</f>
        <v>2017-Q3</v>
      </c>
    </row>
    <row r="4476" customFormat="false" ht="15" hidden="false" customHeight="false" outlineLevel="0" collapsed="false">
      <c r="A4476" s="0" t="s">
        <v>2297</v>
      </c>
      <c r="B4476" s="6" t="n">
        <v>43007</v>
      </c>
      <c r="C4476" s="7" t="s">
        <v>55</v>
      </c>
      <c r="D4476" s="7" t="s">
        <v>116</v>
      </c>
      <c r="E4476" s="7" t="s">
        <v>35</v>
      </c>
      <c r="F4476" s="0" t="n">
        <v>15.552</v>
      </c>
      <c r="G4476" s="0" t="n">
        <v>5.4432</v>
      </c>
      <c r="H4476" s="0" t="n">
        <v>0.2</v>
      </c>
      <c r="I4476" s="7" t="n">
        <f aca="false">YEAR(B4476)</f>
        <v>2017</v>
      </c>
      <c r="J4476" s="0" t="str">
        <f aca="false">I4476&amp;"-Q"&amp;ROUNDUP(MONTH(B4476)/3,0)</f>
        <v>2017-Q3</v>
      </c>
    </row>
    <row r="4477" customFormat="false" ht="15" hidden="false" customHeight="false" outlineLevel="0" collapsed="false">
      <c r="A4477" s="0" t="s">
        <v>2297</v>
      </c>
      <c r="B4477" s="6" t="n">
        <v>43007</v>
      </c>
      <c r="C4477" s="7" t="s">
        <v>55</v>
      </c>
      <c r="D4477" s="7" t="s">
        <v>116</v>
      </c>
      <c r="E4477" s="7" t="s">
        <v>31</v>
      </c>
      <c r="F4477" s="0" t="n">
        <v>21.248</v>
      </c>
      <c r="G4477" s="0" t="n">
        <v>7.4368</v>
      </c>
      <c r="H4477" s="0" t="n">
        <v>0.2</v>
      </c>
      <c r="I4477" s="7" t="n">
        <f aca="false">YEAR(B4477)</f>
        <v>2017</v>
      </c>
      <c r="J4477" s="0" t="str">
        <f aca="false">I4477&amp;"-Q"&amp;ROUNDUP(MONTH(B4477)/3,0)</f>
        <v>2017-Q3</v>
      </c>
    </row>
    <row r="4478" customFormat="false" ht="15" hidden="false" customHeight="false" outlineLevel="0" collapsed="false">
      <c r="A4478" s="0" t="s">
        <v>2297</v>
      </c>
      <c r="B4478" s="6" t="n">
        <v>43007</v>
      </c>
      <c r="C4478" s="7" t="s">
        <v>55</v>
      </c>
      <c r="D4478" s="7" t="s">
        <v>116</v>
      </c>
      <c r="E4478" s="7" t="s">
        <v>35</v>
      </c>
      <c r="F4478" s="0" t="n">
        <v>8.448</v>
      </c>
      <c r="G4478" s="0" t="n">
        <v>2.64</v>
      </c>
      <c r="H4478" s="0" t="n">
        <v>0.2</v>
      </c>
      <c r="I4478" s="7" t="n">
        <f aca="false">YEAR(B4478)</f>
        <v>2017</v>
      </c>
      <c r="J4478" s="0" t="str">
        <f aca="false">I4478&amp;"-Q"&amp;ROUNDUP(MONTH(B4478)/3,0)</f>
        <v>2017-Q3</v>
      </c>
    </row>
    <row r="4479" customFormat="false" ht="15" hidden="false" customHeight="false" outlineLevel="0" collapsed="false">
      <c r="A4479" s="0" t="s">
        <v>2298</v>
      </c>
      <c r="B4479" s="6" t="n">
        <v>43030</v>
      </c>
      <c r="C4479" s="7" t="s">
        <v>45</v>
      </c>
      <c r="D4479" s="7" t="s">
        <v>138</v>
      </c>
      <c r="E4479" s="7" t="s">
        <v>35</v>
      </c>
      <c r="F4479" s="0" t="n">
        <v>333.09</v>
      </c>
      <c r="G4479" s="0" t="n">
        <v>23.3163</v>
      </c>
      <c r="H4479" s="0" t="n">
        <v>0</v>
      </c>
      <c r="I4479" s="7" t="n">
        <f aca="false">YEAR(B4479)</f>
        <v>2017</v>
      </c>
      <c r="J4479" s="0" t="str">
        <f aca="false">I4479&amp;"-Q"&amp;ROUNDUP(MONTH(B4479)/3,0)</f>
        <v>2017-Q4</v>
      </c>
    </row>
    <row r="4480" customFormat="false" ht="15" hidden="false" customHeight="false" outlineLevel="0" collapsed="false">
      <c r="A4480" s="0" t="s">
        <v>2298</v>
      </c>
      <c r="B4480" s="6" t="n">
        <v>43030</v>
      </c>
      <c r="C4480" s="7" t="s">
        <v>45</v>
      </c>
      <c r="D4480" s="7" t="s">
        <v>138</v>
      </c>
      <c r="E4480" s="7" t="s">
        <v>31</v>
      </c>
      <c r="F4480" s="0" t="n">
        <v>248.98</v>
      </c>
      <c r="G4480" s="0" t="n">
        <v>54.7756</v>
      </c>
      <c r="H4480" s="0" t="n">
        <v>0</v>
      </c>
      <c r="I4480" s="7" t="n">
        <f aca="false">YEAR(B4480)</f>
        <v>2017</v>
      </c>
      <c r="J4480" s="0" t="str">
        <f aca="false">I4480&amp;"-Q"&amp;ROUNDUP(MONTH(B4480)/3,0)</f>
        <v>2017-Q4</v>
      </c>
    </row>
    <row r="4481" customFormat="false" ht="15" hidden="false" customHeight="false" outlineLevel="0" collapsed="false">
      <c r="A4481" s="0" t="s">
        <v>2299</v>
      </c>
      <c r="B4481" s="6" t="n">
        <v>41722</v>
      </c>
      <c r="C4481" s="7" t="s">
        <v>55</v>
      </c>
      <c r="D4481" s="7" t="s">
        <v>76</v>
      </c>
      <c r="E4481" s="7" t="s">
        <v>35</v>
      </c>
      <c r="F4481" s="0" t="n">
        <v>24.9</v>
      </c>
      <c r="G4481" s="0" t="n">
        <v>11.703</v>
      </c>
      <c r="H4481" s="0" t="n">
        <v>0</v>
      </c>
      <c r="I4481" s="7" t="n">
        <f aca="false">YEAR(B4481)</f>
        <v>2014</v>
      </c>
      <c r="J4481" s="0" t="str">
        <f aca="false">I4481&amp;"-Q"&amp;ROUNDUP(MONTH(B4481)/3,0)</f>
        <v>2014-Q1</v>
      </c>
    </row>
    <row r="4482" customFormat="false" ht="15" hidden="false" customHeight="false" outlineLevel="0" collapsed="false">
      <c r="A4482" s="0" t="s">
        <v>2300</v>
      </c>
      <c r="B4482" s="6" t="n">
        <v>42677</v>
      </c>
      <c r="C4482" s="7" t="s">
        <v>33</v>
      </c>
      <c r="D4482" s="7" t="s">
        <v>34</v>
      </c>
      <c r="E4482" s="7" t="s">
        <v>35</v>
      </c>
      <c r="F4482" s="0" t="n">
        <v>15.26</v>
      </c>
      <c r="G4482" s="0" t="n">
        <v>5.0358</v>
      </c>
      <c r="H4482" s="0" t="n">
        <v>0</v>
      </c>
      <c r="I4482" s="7" t="n">
        <f aca="false">YEAR(B4482)</f>
        <v>2016</v>
      </c>
      <c r="J4482" s="0" t="str">
        <f aca="false">I4482&amp;"-Q"&amp;ROUNDUP(MONTH(B4482)/3,0)</f>
        <v>2016-Q4</v>
      </c>
    </row>
    <row r="4483" customFormat="false" ht="15" hidden="false" customHeight="false" outlineLevel="0" collapsed="false">
      <c r="A4483" s="0" t="s">
        <v>2300</v>
      </c>
      <c r="B4483" s="6" t="n">
        <v>42677</v>
      </c>
      <c r="C4483" s="7" t="s">
        <v>33</v>
      </c>
      <c r="D4483" s="7" t="s">
        <v>34</v>
      </c>
      <c r="E4483" s="7" t="s">
        <v>35</v>
      </c>
      <c r="F4483" s="0" t="n">
        <v>43.32</v>
      </c>
      <c r="G4483" s="0" t="n">
        <v>14.2956</v>
      </c>
      <c r="H4483" s="0" t="n">
        <v>0</v>
      </c>
      <c r="I4483" s="7" t="n">
        <f aca="false">YEAR(B4483)</f>
        <v>2016</v>
      </c>
      <c r="J4483" s="0" t="str">
        <f aca="false">I4483&amp;"-Q"&amp;ROUNDUP(MONTH(B4483)/3,0)</f>
        <v>2016-Q4</v>
      </c>
    </row>
    <row r="4484" customFormat="false" ht="15" hidden="false" customHeight="false" outlineLevel="0" collapsed="false">
      <c r="A4484" s="0" t="s">
        <v>2300</v>
      </c>
      <c r="B4484" s="6" t="n">
        <v>42677</v>
      </c>
      <c r="C4484" s="7" t="s">
        <v>33</v>
      </c>
      <c r="D4484" s="7" t="s">
        <v>34</v>
      </c>
      <c r="E4484" s="7" t="s">
        <v>35</v>
      </c>
      <c r="F4484" s="0" t="n">
        <v>43.584</v>
      </c>
      <c r="G4484" s="0" t="n">
        <v>15.7992</v>
      </c>
      <c r="H4484" s="0" t="n">
        <v>0.2</v>
      </c>
      <c r="I4484" s="7" t="n">
        <f aca="false">YEAR(B4484)</f>
        <v>2016</v>
      </c>
      <c r="J4484" s="0" t="str">
        <f aca="false">I4484&amp;"-Q"&amp;ROUNDUP(MONTH(B4484)/3,0)</f>
        <v>2016-Q4</v>
      </c>
    </row>
    <row r="4485" customFormat="false" ht="15" hidden="false" customHeight="false" outlineLevel="0" collapsed="false">
      <c r="A4485" s="0" t="s">
        <v>2300</v>
      </c>
      <c r="B4485" s="6" t="n">
        <v>42677</v>
      </c>
      <c r="C4485" s="7" t="s">
        <v>33</v>
      </c>
      <c r="D4485" s="7" t="s">
        <v>34</v>
      </c>
      <c r="E4485" s="7" t="s">
        <v>35</v>
      </c>
      <c r="F4485" s="0" t="n">
        <v>116.28</v>
      </c>
      <c r="G4485" s="0" t="n">
        <v>56.9772</v>
      </c>
      <c r="H4485" s="0" t="n">
        <v>0</v>
      </c>
      <c r="I4485" s="7" t="n">
        <f aca="false">YEAR(B4485)</f>
        <v>2016</v>
      </c>
      <c r="J4485" s="0" t="str">
        <f aca="false">I4485&amp;"-Q"&amp;ROUNDUP(MONTH(B4485)/3,0)</f>
        <v>2016-Q4</v>
      </c>
    </row>
    <row r="4486" customFormat="false" ht="15" hidden="false" customHeight="false" outlineLevel="0" collapsed="false">
      <c r="A4486" s="0" t="s">
        <v>2300</v>
      </c>
      <c r="B4486" s="6" t="n">
        <v>42677</v>
      </c>
      <c r="C4486" s="7" t="s">
        <v>33</v>
      </c>
      <c r="D4486" s="7" t="s">
        <v>34</v>
      </c>
      <c r="E4486" s="7" t="s">
        <v>35</v>
      </c>
      <c r="F4486" s="0" t="n">
        <v>9.296</v>
      </c>
      <c r="G4486" s="0" t="n">
        <v>3.0212</v>
      </c>
      <c r="H4486" s="0" t="n">
        <v>0.2</v>
      </c>
      <c r="I4486" s="7" t="n">
        <f aca="false">YEAR(B4486)</f>
        <v>2016</v>
      </c>
      <c r="J4486" s="0" t="str">
        <f aca="false">I4486&amp;"-Q"&amp;ROUNDUP(MONTH(B4486)/3,0)</f>
        <v>2016-Q4</v>
      </c>
    </row>
    <row r="4487" customFormat="false" ht="15" hidden="false" customHeight="false" outlineLevel="0" collapsed="false">
      <c r="A4487" s="0" t="s">
        <v>2300</v>
      </c>
      <c r="B4487" s="6" t="n">
        <v>42677</v>
      </c>
      <c r="C4487" s="7" t="s">
        <v>33</v>
      </c>
      <c r="D4487" s="7" t="s">
        <v>34</v>
      </c>
      <c r="E4487" s="7" t="s">
        <v>35</v>
      </c>
      <c r="F4487" s="0" t="n">
        <v>19.44</v>
      </c>
      <c r="G4487" s="0" t="n">
        <v>9.3312</v>
      </c>
      <c r="H4487" s="0" t="n">
        <v>0</v>
      </c>
      <c r="I4487" s="7" t="n">
        <f aca="false">YEAR(B4487)</f>
        <v>2016</v>
      </c>
      <c r="J4487" s="0" t="str">
        <f aca="false">I4487&amp;"-Q"&amp;ROUNDUP(MONTH(B4487)/3,0)</f>
        <v>2016-Q4</v>
      </c>
    </row>
    <row r="4488" customFormat="false" ht="15" hidden="false" customHeight="false" outlineLevel="0" collapsed="false">
      <c r="A4488" s="0" t="s">
        <v>2300</v>
      </c>
      <c r="B4488" s="6" t="n">
        <v>42677</v>
      </c>
      <c r="C4488" s="7" t="s">
        <v>33</v>
      </c>
      <c r="D4488" s="7" t="s">
        <v>34</v>
      </c>
      <c r="E4488" s="7" t="s">
        <v>35</v>
      </c>
      <c r="F4488" s="0" t="n">
        <v>314.55</v>
      </c>
      <c r="G4488" s="0" t="n">
        <v>150.984</v>
      </c>
      <c r="H4488" s="0" t="n">
        <v>0</v>
      </c>
      <c r="I4488" s="7" t="n">
        <f aca="false">YEAR(B4488)</f>
        <v>2016</v>
      </c>
      <c r="J4488" s="0" t="str">
        <f aca="false">I4488&amp;"-Q"&amp;ROUNDUP(MONTH(B4488)/3,0)</f>
        <v>2016-Q4</v>
      </c>
    </row>
    <row r="4489" customFormat="false" ht="15" hidden="false" customHeight="false" outlineLevel="0" collapsed="false">
      <c r="A4489" s="0" t="s">
        <v>2301</v>
      </c>
      <c r="B4489" s="6" t="n">
        <v>42252</v>
      </c>
      <c r="C4489" s="7" t="s">
        <v>45</v>
      </c>
      <c r="D4489" s="7" t="s">
        <v>46</v>
      </c>
      <c r="E4489" s="7" t="s">
        <v>35</v>
      </c>
      <c r="F4489" s="0" t="n">
        <v>16.27</v>
      </c>
      <c r="G4489" s="0" t="n">
        <v>-25.2185</v>
      </c>
      <c r="H4489" s="0" t="n">
        <v>0.8</v>
      </c>
      <c r="I4489" s="7" t="n">
        <f aca="false">YEAR(B4489)</f>
        <v>2015</v>
      </c>
      <c r="J4489" s="0" t="str">
        <f aca="false">I4489&amp;"-Q"&amp;ROUNDUP(MONTH(B4489)/3,0)</f>
        <v>2015-Q3</v>
      </c>
    </row>
    <row r="4490" customFormat="false" ht="15" hidden="false" customHeight="false" outlineLevel="0" collapsed="false">
      <c r="A4490" s="0" t="s">
        <v>2301</v>
      </c>
      <c r="B4490" s="6" t="n">
        <v>42252</v>
      </c>
      <c r="C4490" s="7" t="s">
        <v>45</v>
      </c>
      <c r="D4490" s="7" t="s">
        <v>46</v>
      </c>
      <c r="E4490" s="7" t="s">
        <v>35</v>
      </c>
      <c r="F4490" s="0" t="n">
        <v>69.12</v>
      </c>
      <c r="G4490" s="0" t="n">
        <v>-14.688</v>
      </c>
      <c r="H4490" s="0" t="n">
        <v>0.2</v>
      </c>
      <c r="I4490" s="7" t="n">
        <f aca="false">YEAR(B4490)</f>
        <v>2015</v>
      </c>
      <c r="J4490" s="0" t="str">
        <f aca="false">I4490&amp;"-Q"&amp;ROUNDUP(MONTH(B4490)/3,0)</f>
        <v>2015-Q3</v>
      </c>
    </row>
    <row r="4491" customFormat="false" ht="15" hidden="false" customHeight="false" outlineLevel="0" collapsed="false">
      <c r="A4491" s="0" t="s">
        <v>2301</v>
      </c>
      <c r="B4491" s="6" t="n">
        <v>42252</v>
      </c>
      <c r="C4491" s="7" t="s">
        <v>45</v>
      </c>
      <c r="D4491" s="7" t="s">
        <v>46</v>
      </c>
      <c r="E4491" s="7" t="s">
        <v>35</v>
      </c>
      <c r="F4491" s="0" t="n">
        <v>4.47</v>
      </c>
      <c r="G4491" s="0" t="n">
        <v>-7.8225</v>
      </c>
      <c r="H4491" s="0" t="n">
        <v>0.8</v>
      </c>
      <c r="I4491" s="7" t="n">
        <f aca="false">YEAR(B4491)</f>
        <v>2015</v>
      </c>
      <c r="J4491" s="0" t="str">
        <f aca="false">I4491&amp;"-Q"&amp;ROUNDUP(MONTH(B4491)/3,0)</f>
        <v>2015-Q3</v>
      </c>
    </row>
    <row r="4492" customFormat="false" ht="15" hidden="false" customHeight="false" outlineLevel="0" collapsed="false">
      <c r="A4492" s="0" t="s">
        <v>2302</v>
      </c>
      <c r="B4492" s="6" t="n">
        <v>42961</v>
      </c>
      <c r="C4492" s="7" t="s">
        <v>33</v>
      </c>
      <c r="D4492" s="7" t="s">
        <v>34</v>
      </c>
      <c r="E4492" s="7" t="s">
        <v>31</v>
      </c>
      <c r="F4492" s="0" t="n">
        <v>418.296</v>
      </c>
      <c r="G4492" s="0" t="n">
        <v>5.2287</v>
      </c>
      <c r="H4492" s="0" t="n">
        <v>0.2</v>
      </c>
      <c r="I4492" s="7" t="n">
        <f aca="false">YEAR(B4492)</f>
        <v>2017</v>
      </c>
      <c r="J4492" s="0" t="str">
        <f aca="false">I4492&amp;"-Q"&amp;ROUNDUP(MONTH(B4492)/3,0)</f>
        <v>2017-Q3</v>
      </c>
    </row>
    <row r="4493" customFormat="false" ht="15" hidden="false" customHeight="false" outlineLevel="0" collapsed="false">
      <c r="A4493" s="0" t="s">
        <v>2303</v>
      </c>
      <c r="B4493" s="6" t="n">
        <v>41974</v>
      </c>
      <c r="C4493" s="7" t="s">
        <v>55</v>
      </c>
      <c r="D4493" s="7" t="s">
        <v>116</v>
      </c>
      <c r="E4493" s="7" t="s">
        <v>39</v>
      </c>
      <c r="F4493" s="0" t="n">
        <v>659.988</v>
      </c>
      <c r="G4493" s="0" t="n">
        <v>109.998</v>
      </c>
      <c r="H4493" s="0" t="n">
        <v>0.4</v>
      </c>
      <c r="I4493" s="7" t="n">
        <f aca="false">YEAR(B4493)</f>
        <v>2014</v>
      </c>
      <c r="J4493" s="0" t="str">
        <f aca="false">I4493&amp;"-Q"&amp;ROUNDUP(MONTH(B4493)/3,0)</f>
        <v>2014-Q4</v>
      </c>
    </row>
    <row r="4494" customFormat="false" ht="15" hidden="false" customHeight="false" outlineLevel="0" collapsed="false">
      <c r="A4494" s="0" t="s">
        <v>2303</v>
      </c>
      <c r="B4494" s="6" t="n">
        <v>41974</v>
      </c>
      <c r="C4494" s="7" t="s">
        <v>55</v>
      </c>
      <c r="D4494" s="7" t="s">
        <v>116</v>
      </c>
      <c r="E4494" s="7" t="s">
        <v>31</v>
      </c>
      <c r="F4494" s="0" t="n">
        <v>8.128</v>
      </c>
      <c r="G4494" s="0" t="n">
        <v>1.4224</v>
      </c>
      <c r="H4494" s="0" t="n">
        <v>0.2</v>
      </c>
      <c r="I4494" s="7" t="n">
        <f aca="false">YEAR(B4494)</f>
        <v>2014</v>
      </c>
      <c r="J4494" s="0" t="str">
        <f aca="false">I4494&amp;"-Q"&amp;ROUNDUP(MONTH(B4494)/3,0)</f>
        <v>2014-Q4</v>
      </c>
    </row>
    <row r="4495" customFormat="false" ht="15" hidden="false" customHeight="false" outlineLevel="0" collapsed="false">
      <c r="A4495" s="0" t="s">
        <v>2303</v>
      </c>
      <c r="B4495" s="6" t="n">
        <v>41974</v>
      </c>
      <c r="C4495" s="7" t="s">
        <v>55</v>
      </c>
      <c r="D4495" s="7" t="s">
        <v>116</v>
      </c>
      <c r="E4495" s="7" t="s">
        <v>35</v>
      </c>
      <c r="F4495" s="0" t="n">
        <v>36.288</v>
      </c>
      <c r="G4495" s="0" t="n">
        <v>12.7008</v>
      </c>
      <c r="H4495" s="0" t="n">
        <v>0.2</v>
      </c>
      <c r="I4495" s="7" t="n">
        <f aca="false">YEAR(B4495)</f>
        <v>2014</v>
      </c>
      <c r="J4495" s="0" t="str">
        <f aca="false">I4495&amp;"-Q"&amp;ROUNDUP(MONTH(B4495)/3,0)</f>
        <v>2014-Q4</v>
      </c>
    </row>
    <row r="4496" customFormat="false" ht="15" hidden="false" customHeight="false" outlineLevel="0" collapsed="false">
      <c r="A4496" s="0" t="s">
        <v>2303</v>
      </c>
      <c r="B4496" s="6" t="n">
        <v>41974</v>
      </c>
      <c r="C4496" s="7" t="s">
        <v>55</v>
      </c>
      <c r="D4496" s="7" t="s">
        <v>116</v>
      </c>
      <c r="E4496" s="7" t="s">
        <v>31</v>
      </c>
      <c r="F4496" s="0" t="n">
        <v>909.72</v>
      </c>
      <c r="G4496" s="0" t="n">
        <v>-51.984</v>
      </c>
      <c r="H4496" s="0" t="n">
        <v>0.3</v>
      </c>
      <c r="I4496" s="7" t="n">
        <f aca="false">YEAR(B4496)</f>
        <v>2014</v>
      </c>
      <c r="J4496" s="0" t="str">
        <f aca="false">I4496&amp;"-Q"&amp;ROUNDUP(MONTH(B4496)/3,0)</f>
        <v>2014-Q4</v>
      </c>
    </row>
    <row r="4497" customFormat="false" ht="15" hidden="false" customHeight="false" outlineLevel="0" collapsed="false">
      <c r="A4497" s="0" t="s">
        <v>2304</v>
      </c>
      <c r="B4497" s="6" t="n">
        <v>42904</v>
      </c>
      <c r="C4497" s="7" t="s">
        <v>33</v>
      </c>
      <c r="D4497" s="7" t="s">
        <v>34</v>
      </c>
      <c r="E4497" s="7" t="s">
        <v>31</v>
      </c>
      <c r="F4497" s="0" t="n">
        <v>917.9235</v>
      </c>
      <c r="G4497" s="0" t="n">
        <v>75.5937</v>
      </c>
      <c r="H4497" s="0" t="n">
        <v>0.15</v>
      </c>
      <c r="I4497" s="7" t="n">
        <f aca="false">YEAR(B4497)</f>
        <v>2017</v>
      </c>
      <c r="J4497" s="0" t="str">
        <f aca="false">I4497&amp;"-Q"&amp;ROUNDUP(MONTH(B4497)/3,0)</f>
        <v>2017-Q2</v>
      </c>
    </row>
    <row r="4498" customFormat="false" ht="15" hidden="false" customHeight="false" outlineLevel="0" collapsed="false">
      <c r="A4498" s="0" t="s">
        <v>2304</v>
      </c>
      <c r="B4498" s="6" t="n">
        <v>42904</v>
      </c>
      <c r="C4498" s="7" t="s">
        <v>33</v>
      </c>
      <c r="D4498" s="7" t="s">
        <v>34</v>
      </c>
      <c r="E4498" s="7" t="s">
        <v>35</v>
      </c>
      <c r="F4498" s="0" t="n">
        <v>38.88</v>
      </c>
      <c r="G4498" s="0" t="n">
        <v>19.0512</v>
      </c>
      <c r="H4498" s="0" t="n">
        <v>0</v>
      </c>
      <c r="I4498" s="7" t="n">
        <f aca="false">YEAR(B4498)</f>
        <v>2017</v>
      </c>
      <c r="J4498" s="0" t="str">
        <f aca="false">I4498&amp;"-Q"&amp;ROUNDUP(MONTH(B4498)/3,0)</f>
        <v>2017-Q2</v>
      </c>
    </row>
    <row r="4499" customFormat="false" ht="15" hidden="false" customHeight="false" outlineLevel="0" collapsed="false">
      <c r="A4499" s="0" t="s">
        <v>2305</v>
      </c>
      <c r="B4499" s="6" t="n">
        <v>43071</v>
      </c>
      <c r="C4499" s="7" t="s">
        <v>55</v>
      </c>
      <c r="D4499" s="7" t="s">
        <v>56</v>
      </c>
      <c r="E4499" s="7" t="s">
        <v>35</v>
      </c>
      <c r="F4499" s="0" t="n">
        <v>631.176</v>
      </c>
      <c r="G4499" s="0" t="n">
        <v>-462.8624</v>
      </c>
      <c r="H4499" s="0" t="n">
        <v>0.7</v>
      </c>
      <c r="I4499" s="7" t="n">
        <f aca="false">YEAR(B4499)</f>
        <v>2017</v>
      </c>
      <c r="J4499" s="0" t="str">
        <f aca="false">I4499&amp;"-Q"&amp;ROUNDUP(MONTH(B4499)/3,0)</f>
        <v>2017-Q4</v>
      </c>
    </row>
    <row r="4500" customFormat="false" ht="15" hidden="false" customHeight="false" outlineLevel="0" collapsed="false">
      <c r="A4500" s="0" t="s">
        <v>2306</v>
      </c>
      <c r="B4500" s="6" t="n">
        <v>41964</v>
      </c>
      <c r="C4500" s="7" t="s">
        <v>33</v>
      </c>
      <c r="D4500" s="7" t="s">
        <v>34</v>
      </c>
      <c r="E4500" s="7" t="s">
        <v>35</v>
      </c>
      <c r="F4500" s="0" t="n">
        <v>12.96</v>
      </c>
      <c r="G4500" s="0" t="n">
        <v>6.2208</v>
      </c>
      <c r="H4500" s="0" t="n">
        <v>0</v>
      </c>
      <c r="I4500" s="7" t="n">
        <f aca="false">YEAR(B4500)</f>
        <v>2014</v>
      </c>
      <c r="J4500" s="0" t="str">
        <f aca="false">I4500&amp;"-Q"&amp;ROUNDUP(MONTH(B4500)/3,0)</f>
        <v>2014-Q4</v>
      </c>
    </row>
    <row r="4501" customFormat="false" ht="15" hidden="false" customHeight="false" outlineLevel="0" collapsed="false">
      <c r="A4501" s="0" t="s">
        <v>2307</v>
      </c>
      <c r="B4501" s="6" t="n">
        <v>42470</v>
      </c>
      <c r="C4501" s="7" t="s">
        <v>33</v>
      </c>
      <c r="D4501" s="7" t="s">
        <v>34</v>
      </c>
      <c r="E4501" s="7" t="s">
        <v>35</v>
      </c>
      <c r="F4501" s="0" t="n">
        <v>12.96</v>
      </c>
      <c r="G4501" s="0" t="n">
        <v>6.2208</v>
      </c>
      <c r="H4501" s="0" t="n">
        <v>0</v>
      </c>
      <c r="I4501" s="7" t="n">
        <f aca="false">YEAR(B4501)</f>
        <v>2016</v>
      </c>
      <c r="J4501" s="0" t="str">
        <f aca="false">I4501&amp;"-Q"&amp;ROUNDUP(MONTH(B4501)/3,0)</f>
        <v>2016-Q2</v>
      </c>
    </row>
    <row r="4502" customFormat="false" ht="15" hidden="false" customHeight="false" outlineLevel="0" collapsed="false">
      <c r="A4502" s="0" t="s">
        <v>2307</v>
      </c>
      <c r="B4502" s="6" t="n">
        <v>42470</v>
      </c>
      <c r="C4502" s="7" t="s">
        <v>33</v>
      </c>
      <c r="D4502" s="7" t="s">
        <v>34</v>
      </c>
      <c r="E4502" s="7" t="s">
        <v>35</v>
      </c>
      <c r="F4502" s="0" t="n">
        <v>23.2</v>
      </c>
      <c r="G4502" s="0" t="n">
        <v>8.12</v>
      </c>
      <c r="H4502" s="0" t="n">
        <v>0.2</v>
      </c>
      <c r="I4502" s="7" t="n">
        <f aca="false">YEAR(B4502)</f>
        <v>2016</v>
      </c>
      <c r="J4502" s="0" t="str">
        <f aca="false">I4502&amp;"-Q"&amp;ROUNDUP(MONTH(B4502)/3,0)</f>
        <v>2016-Q2</v>
      </c>
    </row>
    <row r="4503" customFormat="false" ht="15" hidden="false" customHeight="false" outlineLevel="0" collapsed="false">
      <c r="A4503" s="0" t="s">
        <v>2308</v>
      </c>
      <c r="B4503" s="6" t="n">
        <v>41820</v>
      </c>
      <c r="C4503" s="7" t="s">
        <v>45</v>
      </c>
      <c r="D4503" s="7" t="s">
        <v>46</v>
      </c>
      <c r="E4503" s="7" t="s">
        <v>35</v>
      </c>
      <c r="F4503" s="0" t="n">
        <v>25.92</v>
      </c>
      <c r="G4503" s="0" t="n">
        <v>9.072</v>
      </c>
      <c r="H4503" s="0" t="n">
        <v>0.2</v>
      </c>
      <c r="I4503" s="7" t="n">
        <f aca="false">YEAR(B4503)</f>
        <v>2014</v>
      </c>
      <c r="J4503" s="0" t="str">
        <f aca="false">I4503&amp;"-Q"&amp;ROUNDUP(MONTH(B4503)/3,0)</f>
        <v>2014-Q2</v>
      </c>
    </row>
    <row r="4504" customFormat="false" ht="15" hidden="false" customHeight="false" outlineLevel="0" collapsed="false">
      <c r="A4504" s="0" t="s">
        <v>2308</v>
      </c>
      <c r="B4504" s="6" t="n">
        <v>41820</v>
      </c>
      <c r="C4504" s="7" t="s">
        <v>45</v>
      </c>
      <c r="D4504" s="7" t="s">
        <v>46</v>
      </c>
      <c r="E4504" s="7" t="s">
        <v>35</v>
      </c>
      <c r="F4504" s="0" t="n">
        <v>21.312</v>
      </c>
      <c r="G4504" s="0" t="n">
        <v>7.1928</v>
      </c>
      <c r="H4504" s="0" t="n">
        <v>0.2</v>
      </c>
      <c r="I4504" s="7" t="n">
        <f aca="false">YEAR(B4504)</f>
        <v>2014</v>
      </c>
      <c r="J4504" s="0" t="str">
        <f aca="false">I4504&amp;"-Q"&amp;ROUNDUP(MONTH(B4504)/3,0)</f>
        <v>2014-Q2</v>
      </c>
    </row>
    <row r="4505" customFormat="false" ht="15" hidden="false" customHeight="false" outlineLevel="0" collapsed="false">
      <c r="A4505" s="0" t="s">
        <v>2309</v>
      </c>
      <c r="B4505" s="6" t="n">
        <v>41997</v>
      </c>
      <c r="C4505" s="7" t="s">
        <v>33</v>
      </c>
      <c r="D4505" s="7" t="s">
        <v>34</v>
      </c>
      <c r="E4505" s="7" t="s">
        <v>39</v>
      </c>
      <c r="F4505" s="0" t="n">
        <v>173.656</v>
      </c>
      <c r="G4505" s="0" t="n">
        <v>17.3656</v>
      </c>
      <c r="H4505" s="0" t="n">
        <v>0.2</v>
      </c>
      <c r="I4505" s="7" t="n">
        <f aca="false">YEAR(B4505)</f>
        <v>2014</v>
      </c>
      <c r="J4505" s="0" t="str">
        <f aca="false">I4505&amp;"-Q"&amp;ROUNDUP(MONTH(B4505)/3,0)</f>
        <v>2014-Q4</v>
      </c>
    </row>
    <row r="4506" customFormat="false" ht="15" hidden="false" customHeight="false" outlineLevel="0" collapsed="false">
      <c r="A4506" s="0" t="s">
        <v>2309</v>
      </c>
      <c r="B4506" s="6" t="n">
        <v>41997</v>
      </c>
      <c r="C4506" s="7" t="s">
        <v>33</v>
      </c>
      <c r="D4506" s="7" t="s">
        <v>34</v>
      </c>
      <c r="E4506" s="7" t="s">
        <v>35</v>
      </c>
      <c r="F4506" s="0" t="n">
        <v>361.96</v>
      </c>
      <c r="G4506" s="0" t="n">
        <v>101.3488</v>
      </c>
      <c r="H4506" s="0" t="n">
        <v>0</v>
      </c>
      <c r="I4506" s="7" t="n">
        <f aca="false">YEAR(B4506)</f>
        <v>2014</v>
      </c>
      <c r="J4506" s="0" t="str">
        <f aca="false">I4506&amp;"-Q"&amp;ROUNDUP(MONTH(B4506)/3,0)</f>
        <v>2014-Q4</v>
      </c>
    </row>
    <row r="4507" customFormat="false" ht="15" hidden="false" customHeight="false" outlineLevel="0" collapsed="false">
      <c r="A4507" s="0" t="s">
        <v>2309</v>
      </c>
      <c r="B4507" s="6" t="n">
        <v>41997</v>
      </c>
      <c r="C4507" s="7" t="s">
        <v>33</v>
      </c>
      <c r="D4507" s="7" t="s">
        <v>34</v>
      </c>
      <c r="E4507" s="7" t="s">
        <v>39</v>
      </c>
      <c r="F4507" s="0" t="n">
        <v>62.85</v>
      </c>
      <c r="G4507" s="0" t="n">
        <v>13.1985</v>
      </c>
      <c r="H4507" s="0" t="n">
        <v>0</v>
      </c>
      <c r="I4507" s="7" t="n">
        <f aca="false">YEAR(B4507)</f>
        <v>2014</v>
      </c>
      <c r="J4507" s="0" t="str">
        <f aca="false">I4507&amp;"-Q"&amp;ROUNDUP(MONTH(B4507)/3,0)</f>
        <v>2014-Q4</v>
      </c>
    </row>
    <row r="4508" customFormat="false" ht="15" hidden="false" customHeight="false" outlineLevel="0" collapsed="false">
      <c r="A4508" s="0" t="s">
        <v>2309</v>
      </c>
      <c r="B4508" s="6" t="n">
        <v>41997</v>
      </c>
      <c r="C4508" s="7" t="s">
        <v>33</v>
      </c>
      <c r="D4508" s="7" t="s">
        <v>34</v>
      </c>
      <c r="E4508" s="7" t="s">
        <v>39</v>
      </c>
      <c r="F4508" s="0" t="n">
        <v>818.376</v>
      </c>
      <c r="G4508" s="0" t="n">
        <v>51.1485</v>
      </c>
      <c r="H4508" s="0" t="n">
        <v>0.2</v>
      </c>
      <c r="I4508" s="7" t="n">
        <f aca="false">YEAR(B4508)</f>
        <v>2014</v>
      </c>
      <c r="J4508" s="0" t="str">
        <f aca="false">I4508&amp;"-Q"&amp;ROUNDUP(MONTH(B4508)/3,0)</f>
        <v>2014-Q4</v>
      </c>
    </row>
    <row r="4509" customFormat="false" ht="15" hidden="false" customHeight="false" outlineLevel="0" collapsed="false">
      <c r="A4509" s="0" t="s">
        <v>2309</v>
      </c>
      <c r="B4509" s="6" t="n">
        <v>41997</v>
      </c>
      <c r="C4509" s="7" t="s">
        <v>33</v>
      </c>
      <c r="D4509" s="7" t="s">
        <v>34</v>
      </c>
      <c r="E4509" s="7" t="s">
        <v>35</v>
      </c>
      <c r="F4509" s="0" t="n">
        <v>20.34</v>
      </c>
      <c r="G4509" s="0" t="n">
        <v>0.2034</v>
      </c>
      <c r="H4509" s="0" t="n">
        <v>0</v>
      </c>
      <c r="I4509" s="7" t="n">
        <f aca="false">YEAR(B4509)</f>
        <v>2014</v>
      </c>
      <c r="J4509" s="0" t="str">
        <f aca="false">I4509&amp;"-Q"&amp;ROUNDUP(MONTH(B4509)/3,0)</f>
        <v>2014-Q4</v>
      </c>
    </row>
    <row r="4510" customFormat="false" ht="15" hidden="false" customHeight="false" outlineLevel="0" collapsed="false">
      <c r="A4510" s="0" t="s">
        <v>2309</v>
      </c>
      <c r="B4510" s="6" t="n">
        <v>41997</v>
      </c>
      <c r="C4510" s="7" t="s">
        <v>33</v>
      </c>
      <c r="D4510" s="7" t="s">
        <v>34</v>
      </c>
      <c r="E4510" s="7" t="s">
        <v>31</v>
      </c>
      <c r="F4510" s="0" t="n">
        <v>23.99</v>
      </c>
      <c r="G4510" s="0" t="n">
        <v>5.5177</v>
      </c>
      <c r="H4510" s="0" t="n">
        <v>0</v>
      </c>
      <c r="I4510" s="7" t="n">
        <f aca="false">YEAR(B4510)</f>
        <v>2014</v>
      </c>
      <c r="J4510" s="0" t="str">
        <f aca="false">I4510&amp;"-Q"&amp;ROUNDUP(MONTH(B4510)/3,0)</f>
        <v>2014-Q4</v>
      </c>
    </row>
    <row r="4511" customFormat="false" ht="15" hidden="false" customHeight="false" outlineLevel="0" collapsed="false">
      <c r="A4511" s="0" t="s">
        <v>2310</v>
      </c>
      <c r="B4511" s="6" t="n">
        <v>42878</v>
      </c>
      <c r="C4511" s="7" t="s">
        <v>33</v>
      </c>
      <c r="D4511" s="7" t="s">
        <v>34</v>
      </c>
      <c r="E4511" s="7" t="s">
        <v>31</v>
      </c>
      <c r="F4511" s="0" t="n">
        <v>171.288</v>
      </c>
      <c r="G4511" s="0" t="n">
        <v>-6.4233</v>
      </c>
      <c r="H4511" s="0" t="n">
        <v>0.2</v>
      </c>
      <c r="I4511" s="7" t="n">
        <f aca="false">YEAR(B4511)</f>
        <v>2017</v>
      </c>
      <c r="J4511" s="0" t="str">
        <f aca="false">I4511&amp;"-Q"&amp;ROUNDUP(MONTH(B4511)/3,0)</f>
        <v>2017-Q2</v>
      </c>
    </row>
    <row r="4512" customFormat="false" ht="15" hidden="false" customHeight="false" outlineLevel="0" collapsed="false">
      <c r="A4512" s="0" t="s">
        <v>2311</v>
      </c>
      <c r="B4512" s="6" t="n">
        <v>42684</v>
      </c>
      <c r="C4512" s="7" t="s">
        <v>45</v>
      </c>
      <c r="D4512" s="7" t="s">
        <v>129</v>
      </c>
      <c r="E4512" s="7" t="s">
        <v>31</v>
      </c>
      <c r="F4512" s="0" t="n">
        <v>37.3</v>
      </c>
      <c r="G4512" s="0" t="n">
        <v>17.158</v>
      </c>
      <c r="H4512" s="0" t="n">
        <v>0</v>
      </c>
      <c r="I4512" s="7" t="n">
        <f aca="false">YEAR(B4512)</f>
        <v>2016</v>
      </c>
      <c r="J4512" s="0" t="str">
        <f aca="false">I4512&amp;"-Q"&amp;ROUNDUP(MONTH(B4512)/3,0)</f>
        <v>2016-Q4</v>
      </c>
    </row>
    <row r="4513" customFormat="false" ht="15" hidden="false" customHeight="false" outlineLevel="0" collapsed="false">
      <c r="A4513" s="0" t="s">
        <v>2311</v>
      </c>
      <c r="B4513" s="6" t="n">
        <v>42684</v>
      </c>
      <c r="C4513" s="7" t="s">
        <v>45</v>
      </c>
      <c r="D4513" s="7" t="s">
        <v>129</v>
      </c>
      <c r="E4513" s="7" t="s">
        <v>35</v>
      </c>
      <c r="F4513" s="0" t="n">
        <v>81.96</v>
      </c>
      <c r="G4513" s="0" t="n">
        <v>39.3408</v>
      </c>
      <c r="H4513" s="0" t="n">
        <v>0</v>
      </c>
      <c r="I4513" s="7" t="n">
        <f aca="false">YEAR(B4513)</f>
        <v>2016</v>
      </c>
      <c r="J4513" s="0" t="str">
        <f aca="false">I4513&amp;"-Q"&amp;ROUNDUP(MONTH(B4513)/3,0)</f>
        <v>2016-Q4</v>
      </c>
    </row>
    <row r="4514" customFormat="false" ht="15" hidden="false" customHeight="false" outlineLevel="0" collapsed="false">
      <c r="A4514" s="0" t="s">
        <v>2312</v>
      </c>
      <c r="B4514" s="6" t="n">
        <v>42645</v>
      </c>
      <c r="C4514" s="7" t="s">
        <v>33</v>
      </c>
      <c r="D4514" s="7" t="s">
        <v>81</v>
      </c>
      <c r="E4514" s="7" t="s">
        <v>35</v>
      </c>
      <c r="F4514" s="0" t="n">
        <v>54.792</v>
      </c>
      <c r="G4514" s="0" t="n">
        <v>-40.1808</v>
      </c>
      <c r="H4514" s="0" t="n">
        <v>0.7</v>
      </c>
      <c r="I4514" s="7" t="n">
        <f aca="false">YEAR(B4514)</f>
        <v>2016</v>
      </c>
      <c r="J4514" s="0" t="str">
        <f aca="false">I4514&amp;"-Q"&amp;ROUNDUP(MONTH(B4514)/3,0)</f>
        <v>2016-Q4</v>
      </c>
    </row>
    <row r="4515" customFormat="false" ht="15" hidden="false" customHeight="false" outlineLevel="0" collapsed="false">
      <c r="A4515" s="0" t="s">
        <v>2313</v>
      </c>
      <c r="B4515" s="6" t="n">
        <v>42619</v>
      </c>
      <c r="C4515" s="7" t="s">
        <v>45</v>
      </c>
      <c r="D4515" s="7" t="s">
        <v>46</v>
      </c>
      <c r="E4515" s="7" t="s">
        <v>35</v>
      </c>
      <c r="F4515" s="0" t="n">
        <v>10.784</v>
      </c>
      <c r="G4515" s="0" t="n">
        <v>0.8088</v>
      </c>
      <c r="H4515" s="0" t="n">
        <v>0.2</v>
      </c>
      <c r="I4515" s="7" t="n">
        <f aca="false">YEAR(B4515)</f>
        <v>2016</v>
      </c>
      <c r="J4515" s="0" t="str">
        <f aca="false">I4515&amp;"-Q"&amp;ROUNDUP(MONTH(B4515)/3,0)</f>
        <v>2016-Q3</v>
      </c>
    </row>
    <row r="4516" customFormat="false" ht="15" hidden="false" customHeight="false" outlineLevel="0" collapsed="false">
      <c r="A4516" s="0" t="s">
        <v>2314</v>
      </c>
      <c r="B4516" s="6" t="n">
        <v>42670</v>
      </c>
      <c r="C4516" s="7" t="s">
        <v>29</v>
      </c>
      <c r="D4516" s="7" t="s">
        <v>83</v>
      </c>
      <c r="E4516" s="7" t="s">
        <v>31</v>
      </c>
      <c r="F4516" s="0" t="n">
        <v>290.98</v>
      </c>
      <c r="G4516" s="0" t="n">
        <v>75.6548</v>
      </c>
      <c r="H4516" s="0" t="n">
        <v>0</v>
      </c>
      <c r="I4516" s="7" t="n">
        <f aca="false">YEAR(B4516)</f>
        <v>2016</v>
      </c>
      <c r="J4516" s="0" t="str">
        <f aca="false">I4516&amp;"-Q"&amp;ROUNDUP(MONTH(B4516)/3,0)</f>
        <v>2016-Q4</v>
      </c>
    </row>
    <row r="4517" customFormat="false" ht="15" hidden="false" customHeight="false" outlineLevel="0" collapsed="false">
      <c r="A4517" s="0" t="s">
        <v>2315</v>
      </c>
      <c r="B4517" s="6" t="n">
        <v>43030</v>
      </c>
      <c r="C4517" s="7" t="s">
        <v>45</v>
      </c>
      <c r="D4517" s="7" t="s">
        <v>138</v>
      </c>
      <c r="E4517" s="7" t="s">
        <v>35</v>
      </c>
      <c r="F4517" s="0" t="n">
        <v>36.44</v>
      </c>
      <c r="G4517" s="0" t="n">
        <v>12.0252</v>
      </c>
      <c r="H4517" s="0" t="n">
        <v>0</v>
      </c>
      <c r="I4517" s="7" t="n">
        <f aca="false">YEAR(B4517)</f>
        <v>2017</v>
      </c>
      <c r="J4517" s="0" t="str">
        <f aca="false">I4517&amp;"-Q"&amp;ROUNDUP(MONTH(B4517)/3,0)</f>
        <v>2017-Q4</v>
      </c>
    </row>
    <row r="4518" customFormat="false" ht="15" hidden="false" customHeight="false" outlineLevel="0" collapsed="false">
      <c r="A4518" s="0" t="s">
        <v>2316</v>
      </c>
      <c r="B4518" s="6" t="n">
        <v>42628</v>
      </c>
      <c r="C4518" s="7" t="s">
        <v>33</v>
      </c>
      <c r="D4518" s="7" t="s">
        <v>43</v>
      </c>
      <c r="E4518" s="7" t="s">
        <v>35</v>
      </c>
      <c r="F4518" s="0" t="n">
        <v>21.4</v>
      </c>
      <c r="G4518" s="0" t="n">
        <v>10.058</v>
      </c>
      <c r="H4518" s="0" t="n">
        <v>0</v>
      </c>
      <c r="I4518" s="7" t="n">
        <f aca="false">YEAR(B4518)</f>
        <v>2016</v>
      </c>
      <c r="J4518" s="0" t="str">
        <f aca="false">I4518&amp;"-Q"&amp;ROUNDUP(MONTH(B4518)/3,0)</f>
        <v>2016-Q3</v>
      </c>
    </row>
    <row r="4519" customFormat="false" ht="15" hidden="false" customHeight="false" outlineLevel="0" collapsed="false">
      <c r="A4519" s="0" t="s">
        <v>2316</v>
      </c>
      <c r="B4519" s="6" t="n">
        <v>42628</v>
      </c>
      <c r="C4519" s="7" t="s">
        <v>33</v>
      </c>
      <c r="D4519" s="7" t="s">
        <v>43</v>
      </c>
      <c r="E4519" s="7" t="s">
        <v>35</v>
      </c>
      <c r="F4519" s="0" t="n">
        <v>48.664</v>
      </c>
      <c r="G4519" s="0" t="n">
        <v>15.8158</v>
      </c>
      <c r="H4519" s="0" t="n">
        <v>0.2</v>
      </c>
      <c r="I4519" s="7" t="n">
        <f aca="false">YEAR(B4519)</f>
        <v>2016</v>
      </c>
      <c r="J4519" s="0" t="str">
        <f aca="false">I4519&amp;"-Q"&amp;ROUNDUP(MONTH(B4519)/3,0)</f>
        <v>2016-Q3</v>
      </c>
    </row>
    <row r="4520" customFormat="false" ht="15" hidden="false" customHeight="false" outlineLevel="0" collapsed="false">
      <c r="A4520" s="0" t="s">
        <v>2317</v>
      </c>
      <c r="B4520" s="6" t="n">
        <v>42638</v>
      </c>
      <c r="C4520" s="7" t="s">
        <v>33</v>
      </c>
      <c r="D4520" s="7" t="s">
        <v>34</v>
      </c>
      <c r="E4520" s="7" t="s">
        <v>35</v>
      </c>
      <c r="F4520" s="0" t="n">
        <v>16.56</v>
      </c>
      <c r="G4520" s="0" t="n">
        <v>6.9552</v>
      </c>
      <c r="H4520" s="0" t="n">
        <v>0</v>
      </c>
      <c r="I4520" s="7" t="n">
        <f aca="false">YEAR(B4520)</f>
        <v>2016</v>
      </c>
      <c r="J4520" s="0" t="str">
        <f aca="false">I4520&amp;"-Q"&amp;ROUNDUP(MONTH(B4520)/3,0)</f>
        <v>2016-Q3</v>
      </c>
    </row>
    <row r="4521" customFormat="false" ht="15" hidden="false" customHeight="false" outlineLevel="0" collapsed="false">
      <c r="A4521" s="0" t="s">
        <v>2318</v>
      </c>
      <c r="B4521" s="6" t="n">
        <v>42896</v>
      </c>
      <c r="C4521" s="7" t="s">
        <v>29</v>
      </c>
      <c r="D4521" s="7" t="s">
        <v>37</v>
      </c>
      <c r="E4521" s="7" t="s">
        <v>35</v>
      </c>
      <c r="F4521" s="0" t="n">
        <v>1347.52</v>
      </c>
      <c r="G4521" s="0" t="n">
        <v>84.22</v>
      </c>
      <c r="H4521" s="0" t="n">
        <v>0.2</v>
      </c>
      <c r="I4521" s="7" t="n">
        <f aca="false">YEAR(B4521)</f>
        <v>2017</v>
      </c>
      <c r="J4521" s="0" t="str">
        <f aca="false">I4521&amp;"-Q"&amp;ROUNDUP(MONTH(B4521)/3,0)</f>
        <v>2017-Q2</v>
      </c>
    </row>
    <row r="4522" customFormat="false" ht="15" hidden="false" customHeight="false" outlineLevel="0" collapsed="false">
      <c r="A4522" s="0" t="s">
        <v>2319</v>
      </c>
      <c r="B4522" s="6" t="n">
        <v>41690</v>
      </c>
      <c r="C4522" s="7" t="s">
        <v>45</v>
      </c>
      <c r="D4522" s="7" t="s">
        <v>74</v>
      </c>
      <c r="E4522" s="7" t="s">
        <v>39</v>
      </c>
      <c r="F4522" s="0" t="n">
        <v>62.31</v>
      </c>
      <c r="G4522" s="0" t="n">
        <v>22.4316</v>
      </c>
      <c r="H4522" s="0" t="n">
        <v>0</v>
      </c>
      <c r="I4522" s="7" t="n">
        <f aca="false">YEAR(B4522)</f>
        <v>2014</v>
      </c>
      <c r="J4522" s="0" t="str">
        <f aca="false">I4522&amp;"-Q"&amp;ROUNDUP(MONTH(B4522)/3,0)</f>
        <v>2014-Q1</v>
      </c>
    </row>
    <row r="4523" customFormat="false" ht="15" hidden="false" customHeight="false" outlineLevel="0" collapsed="false">
      <c r="A4523" s="0" t="s">
        <v>2319</v>
      </c>
      <c r="B4523" s="6" t="n">
        <v>41690</v>
      </c>
      <c r="C4523" s="7" t="s">
        <v>45</v>
      </c>
      <c r="D4523" s="7" t="s">
        <v>74</v>
      </c>
      <c r="E4523" s="7" t="s">
        <v>31</v>
      </c>
      <c r="F4523" s="0" t="n">
        <v>20.32</v>
      </c>
      <c r="G4523" s="0" t="n">
        <v>6.9088</v>
      </c>
      <c r="H4523" s="0" t="n">
        <v>0</v>
      </c>
      <c r="I4523" s="7" t="n">
        <f aca="false">YEAR(B4523)</f>
        <v>2014</v>
      </c>
      <c r="J4523" s="0" t="str">
        <f aca="false">I4523&amp;"-Q"&amp;ROUNDUP(MONTH(B4523)/3,0)</f>
        <v>2014-Q1</v>
      </c>
    </row>
    <row r="4524" customFormat="false" ht="15" hidden="false" customHeight="false" outlineLevel="0" collapsed="false">
      <c r="A4524" s="0" t="s">
        <v>2320</v>
      </c>
      <c r="B4524" s="6" t="n">
        <v>42786</v>
      </c>
      <c r="C4524" s="7" t="s">
        <v>33</v>
      </c>
      <c r="D4524" s="7" t="s">
        <v>109</v>
      </c>
      <c r="E4524" s="7" t="s">
        <v>35</v>
      </c>
      <c r="F4524" s="0" t="n">
        <v>9.432</v>
      </c>
      <c r="G4524" s="0" t="n">
        <v>3.0654</v>
      </c>
      <c r="H4524" s="0" t="n">
        <v>0.2</v>
      </c>
      <c r="I4524" s="7" t="n">
        <f aca="false">YEAR(B4524)</f>
        <v>2017</v>
      </c>
      <c r="J4524" s="0" t="str">
        <f aca="false">I4524&amp;"-Q"&amp;ROUNDUP(MONTH(B4524)/3,0)</f>
        <v>2017-Q1</v>
      </c>
    </row>
    <row r="4525" customFormat="false" ht="15" hidden="false" customHeight="false" outlineLevel="0" collapsed="false">
      <c r="A4525" s="0" t="s">
        <v>2321</v>
      </c>
      <c r="B4525" s="6" t="n">
        <v>41945</v>
      </c>
      <c r="C4525" s="7" t="s">
        <v>55</v>
      </c>
      <c r="D4525" s="7" t="s">
        <v>76</v>
      </c>
      <c r="E4525" s="7" t="s">
        <v>35</v>
      </c>
      <c r="F4525" s="0" t="n">
        <v>34.86</v>
      </c>
      <c r="G4525" s="0" t="n">
        <v>16.0356</v>
      </c>
      <c r="H4525" s="0" t="n">
        <v>0</v>
      </c>
      <c r="I4525" s="7" t="n">
        <f aca="false">YEAR(B4525)</f>
        <v>2014</v>
      </c>
      <c r="J4525" s="0" t="str">
        <f aca="false">I4525&amp;"-Q"&amp;ROUNDUP(MONTH(B4525)/3,0)</f>
        <v>2014-Q4</v>
      </c>
    </row>
    <row r="4526" customFormat="false" ht="15" hidden="false" customHeight="false" outlineLevel="0" collapsed="false">
      <c r="A4526" s="0" t="s">
        <v>2321</v>
      </c>
      <c r="B4526" s="6" t="n">
        <v>41945</v>
      </c>
      <c r="C4526" s="7" t="s">
        <v>55</v>
      </c>
      <c r="D4526" s="7" t="s">
        <v>76</v>
      </c>
      <c r="E4526" s="7" t="s">
        <v>31</v>
      </c>
      <c r="F4526" s="0" t="n">
        <v>89.34</v>
      </c>
      <c r="G4526" s="0" t="n">
        <v>24.1218</v>
      </c>
      <c r="H4526" s="0" t="n">
        <v>0</v>
      </c>
      <c r="I4526" s="7" t="n">
        <f aca="false">YEAR(B4526)</f>
        <v>2014</v>
      </c>
      <c r="J4526" s="0" t="str">
        <f aca="false">I4526&amp;"-Q"&amp;ROUNDUP(MONTH(B4526)/3,0)</f>
        <v>2014-Q4</v>
      </c>
    </row>
    <row r="4527" customFormat="false" ht="15" hidden="false" customHeight="false" outlineLevel="0" collapsed="false">
      <c r="A4527" s="0" t="s">
        <v>2322</v>
      </c>
      <c r="B4527" s="6" t="n">
        <v>42933</v>
      </c>
      <c r="C4527" s="7" t="s">
        <v>55</v>
      </c>
      <c r="D4527" s="7" t="s">
        <v>76</v>
      </c>
      <c r="E4527" s="7" t="s">
        <v>39</v>
      </c>
      <c r="F4527" s="0" t="n">
        <v>269.98</v>
      </c>
      <c r="G4527" s="0" t="n">
        <v>67.495</v>
      </c>
      <c r="H4527" s="0" t="n">
        <v>0</v>
      </c>
      <c r="I4527" s="7" t="n">
        <f aca="false">YEAR(B4527)</f>
        <v>2017</v>
      </c>
      <c r="J4527" s="0" t="str">
        <f aca="false">I4527&amp;"-Q"&amp;ROUNDUP(MONTH(B4527)/3,0)</f>
        <v>2017-Q3</v>
      </c>
    </row>
    <row r="4528" customFormat="false" ht="15" hidden="false" customHeight="false" outlineLevel="0" collapsed="false">
      <c r="A4528" s="0" t="s">
        <v>2322</v>
      </c>
      <c r="B4528" s="6" t="n">
        <v>42933</v>
      </c>
      <c r="C4528" s="7" t="s">
        <v>55</v>
      </c>
      <c r="D4528" s="7" t="s">
        <v>76</v>
      </c>
      <c r="E4528" s="7" t="s">
        <v>35</v>
      </c>
      <c r="F4528" s="0" t="n">
        <v>99.9</v>
      </c>
      <c r="G4528" s="0" t="n">
        <v>47.952</v>
      </c>
      <c r="H4528" s="0" t="n">
        <v>0</v>
      </c>
      <c r="I4528" s="7" t="n">
        <f aca="false">YEAR(B4528)</f>
        <v>2017</v>
      </c>
      <c r="J4528" s="0" t="str">
        <f aca="false">I4528&amp;"-Q"&amp;ROUNDUP(MONTH(B4528)/3,0)</f>
        <v>2017-Q3</v>
      </c>
    </row>
    <row r="4529" customFormat="false" ht="15" hidden="false" customHeight="false" outlineLevel="0" collapsed="false">
      <c r="A4529" s="0" t="s">
        <v>2322</v>
      </c>
      <c r="B4529" s="6" t="n">
        <v>42933</v>
      </c>
      <c r="C4529" s="7" t="s">
        <v>55</v>
      </c>
      <c r="D4529" s="7" t="s">
        <v>76</v>
      </c>
      <c r="E4529" s="7" t="s">
        <v>31</v>
      </c>
      <c r="F4529" s="0" t="n">
        <v>39.08</v>
      </c>
      <c r="G4529" s="0" t="n">
        <v>14.4596</v>
      </c>
      <c r="H4529" s="0" t="n">
        <v>0</v>
      </c>
      <c r="I4529" s="7" t="n">
        <f aca="false">YEAR(B4529)</f>
        <v>2017</v>
      </c>
      <c r="J4529" s="0" t="str">
        <f aca="false">I4529&amp;"-Q"&amp;ROUNDUP(MONTH(B4529)/3,0)</f>
        <v>2017-Q3</v>
      </c>
    </row>
    <row r="4530" customFormat="false" ht="15" hidden="false" customHeight="false" outlineLevel="0" collapsed="false">
      <c r="A4530" s="0" t="s">
        <v>2323</v>
      </c>
      <c r="B4530" s="6" t="n">
        <v>42986</v>
      </c>
      <c r="C4530" s="7" t="s">
        <v>55</v>
      </c>
      <c r="D4530" s="7" t="s">
        <v>116</v>
      </c>
      <c r="E4530" s="7" t="s">
        <v>39</v>
      </c>
      <c r="F4530" s="0" t="n">
        <v>116.832</v>
      </c>
      <c r="G4530" s="0" t="n">
        <v>33.5892</v>
      </c>
      <c r="H4530" s="0" t="n">
        <v>0.2</v>
      </c>
      <c r="I4530" s="7" t="n">
        <f aca="false">YEAR(B4530)</f>
        <v>2017</v>
      </c>
      <c r="J4530" s="0" t="str">
        <f aca="false">I4530&amp;"-Q"&amp;ROUNDUP(MONTH(B4530)/3,0)</f>
        <v>2017-Q3</v>
      </c>
    </row>
    <row r="4531" customFormat="false" ht="15" hidden="false" customHeight="false" outlineLevel="0" collapsed="false">
      <c r="A4531" s="0" t="s">
        <v>2324</v>
      </c>
      <c r="B4531" s="6" t="n">
        <v>42688</v>
      </c>
      <c r="C4531" s="7" t="s">
        <v>45</v>
      </c>
      <c r="D4531" s="7" t="s">
        <v>46</v>
      </c>
      <c r="E4531" s="7" t="s">
        <v>35</v>
      </c>
      <c r="F4531" s="0" t="n">
        <v>2.296</v>
      </c>
      <c r="G4531" s="0" t="n">
        <v>-3.9032</v>
      </c>
      <c r="H4531" s="0" t="n">
        <v>0.8</v>
      </c>
      <c r="I4531" s="7" t="n">
        <f aca="false">YEAR(B4531)</f>
        <v>2016</v>
      </c>
      <c r="J4531" s="0" t="str">
        <f aca="false">I4531&amp;"-Q"&amp;ROUNDUP(MONTH(B4531)/3,0)</f>
        <v>2016-Q4</v>
      </c>
    </row>
    <row r="4532" customFormat="false" ht="15" hidden="false" customHeight="false" outlineLevel="0" collapsed="false">
      <c r="A4532" s="0" t="s">
        <v>2325</v>
      </c>
      <c r="B4532" s="6" t="n">
        <v>42688</v>
      </c>
      <c r="C4532" s="7" t="s">
        <v>55</v>
      </c>
      <c r="D4532" s="7" t="s">
        <v>76</v>
      </c>
      <c r="E4532" s="7" t="s">
        <v>31</v>
      </c>
      <c r="F4532" s="0" t="n">
        <v>408.006</v>
      </c>
      <c r="G4532" s="0" t="n">
        <v>72.5344</v>
      </c>
      <c r="H4532" s="0" t="n">
        <v>0.1</v>
      </c>
      <c r="I4532" s="7" t="n">
        <f aca="false">YEAR(B4532)</f>
        <v>2016</v>
      </c>
      <c r="J4532" s="0" t="str">
        <f aca="false">I4532&amp;"-Q"&amp;ROUNDUP(MONTH(B4532)/3,0)</f>
        <v>2016-Q4</v>
      </c>
    </row>
    <row r="4533" customFormat="false" ht="15" hidden="false" customHeight="false" outlineLevel="0" collapsed="false">
      <c r="A4533" s="0" t="s">
        <v>2325</v>
      </c>
      <c r="B4533" s="6" t="n">
        <v>42688</v>
      </c>
      <c r="C4533" s="7" t="s">
        <v>55</v>
      </c>
      <c r="D4533" s="7" t="s">
        <v>76</v>
      </c>
      <c r="E4533" s="7" t="s">
        <v>35</v>
      </c>
      <c r="F4533" s="0" t="n">
        <v>40.44</v>
      </c>
      <c r="G4533" s="0" t="n">
        <v>10.5144</v>
      </c>
      <c r="H4533" s="0" t="n">
        <v>0</v>
      </c>
      <c r="I4533" s="7" t="n">
        <f aca="false">YEAR(B4533)</f>
        <v>2016</v>
      </c>
      <c r="J4533" s="0" t="str">
        <f aca="false">I4533&amp;"-Q"&amp;ROUNDUP(MONTH(B4533)/3,0)</f>
        <v>2016-Q4</v>
      </c>
    </row>
    <row r="4534" customFormat="false" ht="15" hidden="false" customHeight="false" outlineLevel="0" collapsed="false">
      <c r="A4534" s="0" t="s">
        <v>2326</v>
      </c>
      <c r="B4534" s="6" t="n">
        <v>41922</v>
      </c>
      <c r="C4534" s="7" t="s">
        <v>33</v>
      </c>
      <c r="D4534" s="7" t="s">
        <v>34</v>
      </c>
      <c r="E4534" s="7" t="s">
        <v>31</v>
      </c>
      <c r="F4534" s="0" t="n">
        <v>122.352</v>
      </c>
      <c r="G4534" s="0" t="n">
        <v>13.7646</v>
      </c>
      <c r="H4534" s="0" t="n">
        <v>0.2</v>
      </c>
      <c r="I4534" s="7" t="n">
        <f aca="false">YEAR(B4534)</f>
        <v>2014</v>
      </c>
      <c r="J4534" s="0" t="str">
        <f aca="false">I4534&amp;"-Q"&amp;ROUNDUP(MONTH(B4534)/3,0)</f>
        <v>2014-Q4</v>
      </c>
    </row>
    <row r="4535" customFormat="false" ht="15" hidden="false" customHeight="false" outlineLevel="0" collapsed="false">
      <c r="A4535" s="0" t="s">
        <v>2326</v>
      </c>
      <c r="B4535" s="6" t="n">
        <v>41922</v>
      </c>
      <c r="C4535" s="7" t="s">
        <v>33</v>
      </c>
      <c r="D4535" s="7" t="s">
        <v>34</v>
      </c>
      <c r="E4535" s="7" t="s">
        <v>35</v>
      </c>
      <c r="F4535" s="0" t="n">
        <v>15.28</v>
      </c>
      <c r="G4535" s="0" t="n">
        <v>7.4872</v>
      </c>
      <c r="H4535" s="0" t="n">
        <v>0</v>
      </c>
      <c r="I4535" s="7" t="n">
        <f aca="false">YEAR(B4535)</f>
        <v>2014</v>
      </c>
      <c r="J4535" s="0" t="str">
        <f aca="false">I4535&amp;"-Q"&amp;ROUNDUP(MONTH(B4535)/3,0)</f>
        <v>2014-Q4</v>
      </c>
    </row>
    <row r="4536" customFormat="false" ht="15" hidden="false" customHeight="false" outlineLevel="0" collapsed="false">
      <c r="A4536" s="0" t="s">
        <v>2327</v>
      </c>
      <c r="B4536" s="6" t="n">
        <v>42082</v>
      </c>
      <c r="C4536" s="7" t="s">
        <v>33</v>
      </c>
      <c r="D4536" s="7" t="s">
        <v>34</v>
      </c>
      <c r="E4536" s="7" t="s">
        <v>35</v>
      </c>
      <c r="F4536" s="0" t="n">
        <v>11.96</v>
      </c>
      <c r="G4536" s="0" t="n">
        <v>5.8604</v>
      </c>
      <c r="H4536" s="0" t="n">
        <v>0</v>
      </c>
      <c r="I4536" s="7" t="n">
        <f aca="false">YEAR(B4536)</f>
        <v>2015</v>
      </c>
      <c r="J4536" s="0" t="str">
        <f aca="false">I4536&amp;"-Q"&amp;ROUNDUP(MONTH(B4536)/3,0)</f>
        <v>2015-Q1</v>
      </c>
    </row>
    <row r="4537" customFormat="false" ht="15" hidden="false" customHeight="false" outlineLevel="0" collapsed="false">
      <c r="A4537" s="0" t="s">
        <v>2328</v>
      </c>
      <c r="B4537" s="6" t="n">
        <v>42924</v>
      </c>
      <c r="C4537" s="7" t="s">
        <v>33</v>
      </c>
      <c r="D4537" s="7" t="s">
        <v>43</v>
      </c>
      <c r="E4537" s="7" t="s">
        <v>31</v>
      </c>
      <c r="F4537" s="0" t="n">
        <v>15.84</v>
      </c>
      <c r="G4537" s="0" t="n">
        <v>4.9104</v>
      </c>
      <c r="H4537" s="0" t="n">
        <v>0</v>
      </c>
      <c r="I4537" s="7" t="n">
        <f aca="false">YEAR(B4537)</f>
        <v>2017</v>
      </c>
      <c r="J4537" s="0" t="str">
        <f aca="false">I4537&amp;"-Q"&amp;ROUNDUP(MONTH(B4537)/3,0)</f>
        <v>2017-Q3</v>
      </c>
    </row>
    <row r="4538" customFormat="false" ht="15" hidden="false" customHeight="false" outlineLevel="0" collapsed="false">
      <c r="A4538" s="0" t="s">
        <v>2328</v>
      </c>
      <c r="B4538" s="6" t="n">
        <v>42924</v>
      </c>
      <c r="C4538" s="7" t="s">
        <v>33</v>
      </c>
      <c r="D4538" s="7" t="s">
        <v>43</v>
      </c>
      <c r="E4538" s="7" t="s">
        <v>35</v>
      </c>
      <c r="F4538" s="0" t="n">
        <v>86.376</v>
      </c>
      <c r="G4538" s="0" t="n">
        <v>30.2316</v>
      </c>
      <c r="H4538" s="0" t="n">
        <v>0.2</v>
      </c>
      <c r="I4538" s="7" t="n">
        <f aca="false">YEAR(B4538)</f>
        <v>2017</v>
      </c>
      <c r="J4538" s="0" t="str">
        <f aca="false">I4538&amp;"-Q"&amp;ROUNDUP(MONTH(B4538)/3,0)</f>
        <v>2017-Q3</v>
      </c>
    </row>
    <row r="4539" customFormat="false" ht="15" hidden="false" customHeight="false" outlineLevel="0" collapsed="false">
      <c r="A4539" s="0" t="s">
        <v>2328</v>
      </c>
      <c r="B4539" s="6" t="n">
        <v>42924</v>
      </c>
      <c r="C4539" s="7" t="s">
        <v>33</v>
      </c>
      <c r="D4539" s="7" t="s">
        <v>43</v>
      </c>
      <c r="E4539" s="7" t="s">
        <v>35</v>
      </c>
      <c r="F4539" s="0" t="n">
        <v>18.24</v>
      </c>
      <c r="G4539" s="0" t="n">
        <v>6.2016</v>
      </c>
      <c r="H4539" s="0" t="n">
        <v>0</v>
      </c>
      <c r="I4539" s="7" t="n">
        <f aca="false">YEAR(B4539)</f>
        <v>2017</v>
      </c>
      <c r="J4539" s="0" t="str">
        <f aca="false">I4539&amp;"-Q"&amp;ROUNDUP(MONTH(B4539)/3,0)</f>
        <v>2017-Q3</v>
      </c>
    </row>
    <row r="4540" customFormat="false" ht="15" hidden="false" customHeight="false" outlineLevel="0" collapsed="false">
      <c r="A4540" s="0" t="s">
        <v>2328</v>
      </c>
      <c r="B4540" s="6" t="n">
        <v>42924</v>
      </c>
      <c r="C4540" s="7" t="s">
        <v>33</v>
      </c>
      <c r="D4540" s="7" t="s">
        <v>43</v>
      </c>
      <c r="E4540" s="7" t="s">
        <v>35</v>
      </c>
      <c r="F4540" s="0" t="n">
        <v>13.12</v>
      </c>
      <c r="G4540" s="0" t="n">
        <v>4.3296</v>
      </c>
      <c r="H4540" s="0" t="n">
        <v>0</v>
      </c>
      <c r="I4540" s="7" t="n">
        <f aca="false">YEAR(B4540)</f>
        <v>2017</v>
      </c>
      <c r="J4540" s="0" t="str">
        <f aca="false">I4540&amp;"-Q"&amp;ROUNDUP(MONTH(B4540)/3,0)</f>
        <v>2017-Q3</v>
      </c>
    </row>
    <row r="4541" customFormat="false" ht="15" hidden="false" customHeight="false" outlineLevel="0" collapsed="false">
      <c r="A4541" s="0" t="s">
        <v>2329</v>
      </c>
      <c r="B4541" s="6" t="n">
        <v>42062</v>
      </c>
      <c r="C4541" s="7" t="s">
        <v>55</v>
      </c>
      <c r="D4541" s="7" t="s">
        <v>250</v>
      </c>
      <c r="E4541" s="7" t="s">
        <v>39</v>
      </c>
      <c r="F4541" s="0" t="n">
        <v>105.98</v>
      </c>
      <c r="G4541" s="0" t="n">
        <v>1.0598</v>
      </c>
      <c r="H4541" s="0" t="n">
        <v>0</v>
      </c>
      <c r="I4541" s="7" t="n">
        <f aca="false">YEAR(B4541)</f>
        <v>2015</v>
      </c>
      <c r="J4541" s="0" t="str">
        <f aca="false">I4541&amp;"-Q"&amp;ROUNDUP(MONTH(B4541)/3,0)</f>
        <v>2015-Q1</v>
      </c>
    </row>
    <row r="4542" customFormat="false" ht="15" hidden="false" customHeight="false" outlineLevel="0" collapsed="false">
      <c r="A4542" s="0" t="s">
        <v>2329</v>
      </c>
      <c r="B4542" s="6" t="n">
        <v>42062</v>
      </c>
      <c r="C4542" s="7" t="s">
        <v>55</v>
      </c>
      <c r="D4542" s="7" t="s">
        <v>250</v>
      </c>
      <c r="E4542" s="7" t="s">
        <v>31</v>
      </c>
      <c r="F4542" s="0" t="n">
        <v>493.92</v>
      </c>
      <c r="G4542" s="0" t="n">
        <v>-28.224</v>
      </c>
      <c r="H4542" s="0" t="n">
        <v>0.3</v>
      </c>
      <c r="I4542" s="7" t="n">
        <f aca="false">YEAR(B4542)</f>
        <v>2015</v>
      </c>
      <c r="J4542" s="0" t="str">
        <f aca="false">I4542&amp;"-Q"&amp;ROUNDUP(MONTH(B4542)/3,0)</f>
        <v>2015-Q1</v>
      </c>
    </row>
    <row r="4543" customFormat="false" ht="15" hidden="false" customHeight="false" outlineLevel="0" collapsed="false">
      <c r="A4543" s="0" t="s">
        <v>2330</v>
      </c>
      <c r="B4543" s="6" t="n">
        <v>42902</v>
      </c>
      <c r="C4543" s="7" t="s">
        <v>45</v>
      </c>
      <c r="D4543" s="7" t="s">
        <v>64</v>
      </c>
      <c r="E4543" s="7" t="s">
        <v>35</v>
      </c>
      <c r="F4543" s="0" t="n">
        <v>5.936</v>
      </c>
      <c r="G4543" s="0" t="n">
        <v>-8.904</v>
      </c>
      <c r="H4543" s="0" t="n">
        <v>0.8</v>
      </c>
      <c r="I4543" s="7" t="n">
        <f aca="false">YEAR(B4543)</f>
        <v>2017</v>
      </c>
      <c r="J4543" s="0" t="str">
        <f aca="false">I4543&amp;"-Q"&amp;ROUNDUP(MONTH(B4543)/3,0)</f>
        <v>2017-Q2</v>
      </c>
    </row>
    <row r="4544" customFormat="false" ht="15" hidden="false" customHeight="false" outlineLevel="0" collapsed="false">
      <c r="A4544" s="0" t="s">
        <v>2331</v>
      </c>
      <c r="B4544" s="6" t="n">
        <v>42824</v>
      </c>
      <c r="C4544" s="7" t="s">
        <v>45</v>
      </c>
      <c r="D4544" s="7" t="s">
        <v>138</v>
      </c>
      <c r="E4544" s="7" t="s">
        <v>35</v>
      </c>
      <c r="F4544" s="0" t="n">
        <v>325.86</v>
      </c>
      <c r="G4544" s="0" t="n">
        <v>149.8956</v>
      </c>
      <c r="H4544" s="0" t="n">
        <v>0</v>
      </c>
      <c r="I4544" s="7" t="n">
        <f aca="false">YEAR(B4544)</f>
        <v>2017</v>
      </c>
      <c r="J4544" s="0" t="str">
        <f aca="false">I4544&amp;"-Q"&amp;ROUNDUP(MONTH(B4544)/3,0)</f>
        <v>2017-Q1</v>
      </c>
    </row>
    <row r="4545" customFormat="false" ht="15" hidden="false" customHeight="false" outlineLevel="0" collapsed="false">
      <c r="A4545" s="0" t="s">
        <v>2332</v>
      </c>
      <c r="B4545" s="6" t="n">
        <v>42197</v>
      </c>
      <c r="C4545" s="7" t="s">
        <v>45</v>
      </c>
      <c r="D4545" s="7" t="s">
        <v>64</v>
      </c>
      <c r="E4545" s="7" t="s">
        <v>31</v>
      </c>
      <c r="F4545" s="0" t="n">
        <v>383.607</v>
      </c>
      <c r="G4545" s="0" t="n">
        <v>-5.4801</v>
      </c>
      <c r="H4545" s="0" t="n">
        <v>0.3</v>
      </c>
      <c r="I4545" s="7" t="n">
        <f aca="false">YEAR(B4545)</f>
        <v>2015</v>
      </c>
      <c r="J4545" s="0" t="str">
        <f aca="false">I4545&amp;"-Q"&amp;ROUNDUP(MONTH(B4545)/3,0)</f>
        <v>2015-Q3</v>
      </c>
    </row>
    <row r="4546" customFormat="false" ht="15" hidden="false" customHeight="false" outlineLevel="0" collapsed="false">
      <c r="A4546" s="0" t="s">
        <v>2332</v>
      </c>
      <c r="B4546" s="6" t="n">
        <v>42197</v>
      </c>
      <c r="C4546" s="7" t="s">
        <v>45</v>
      </c>
      <c r="D4546" s="7" t="s">
        <v>64</v>
      </c>
      <c r="E4546" s="7" t="s">
        <v>39</v>
      </c>
      <c r="F4546" s="0" t="n">
        <v>148.48</v>
      </c>
      <c r="G4546" s="0" t="n">
        <v>16.704</v>
      </c>
      <c r="H4546" s="0" t="n">
        <v>0.2</v>
      </c>
      <c r="I4546" s="7" t="n">
        <f aca="false">YEAR(B4546)</f>
        <v>2015</v>
      </c>
      <c r="J4546" s="0" t="str">
        <f aca="false">I4546&amp;"-Q"&amp;ROUNDUP(MONTH(B4546)/3,0)</f>
        <v>2015-Q3</v>
      </c>
    </row>
    <row r="4547" customFormat="false" ht="15" hidden="false" customHeight="false" outlineLevel="0" collapsed="false">
      <c r="A4547" s="0" t="s">
        <v>2332</v>
      </c>
      <c r="B4547" s="6" t="n">
        <v>42197</v>
      </c>
      <c r="C4547" s="7" t="s">
        <v>45</v>
      </c>
      <c r="D4547" s="7" t="s">
        <v>64</v>
      </c>
      <c r="E4547" s="7" t="s">
        <v>39</v>
      </c>
      <c r="F4547" s="0" t="n">
        <v>537.544</v>
      </c>
      <c r="G4547" s="0" t="n">
        <v>53.7544</v>
      </c>
      <c r="H4547" s="0" t="n">
        <v>0.2</v>
      </c>
      <c r="I4547" s="7" t="n">
        <f aca="false">YEAR(B4547)</f>
        <v>2015</v>
      </c>
      <c r="J4547" s="0" t="str">
        <f aca="false">I4547&amp;"-Q"&amp;ROUNDUP(MONTH(B4547)/3,0)</f>
        <v>2015-Q3</v>
      </c>
    </row>
    <row r="4548" customFormat="false" ht="15" hidden="false" customHeight="false" outlineLevel="0" collapsed="false">
      <c r="A4548" s="0" t="s">
        <v>2332</v>
      </c>
      <c r="B4548" s="6" t="n">
        <v>42197</v>
      </c>
      <c r="C4548" s="7" t="s">
        <v>45</v>
      </c>
      <c r="D4548" s="7" t="s">
        <v>64</v>
      </c>
      <c r="E4548" s="7" t="s">
        <v>35</v>
      </c>
      <c r="F4548" s="0" t="n">
        <v>1.928</v>
      </c>
      <c r="G4548" s="0" t="n">
        <v>-2.9884</v>
      </c>
      <c r="H4548" s="0" t="n">
        <v>0.8</v>
      </c>
      <c r="I4548" s="7" t="n">
        <f aca="false">YEAR(B4548)</f>
        <v>2015</v>
      </c>
      <c r="J4548" s="0" t="str">
        <f aca="false">I4548&amp;"-Q"&amp;ROUNDUP(MONTH(B4548)/3,0)</f>
        <v>2015-Q3</v>
      </c>
    </row>
    <row r="4549" customFormat="false" ht="15" hidden="false" customHeight="false" outlineLevel="0" collapsed="false">
      <c r="A4549" s="0" t="s">
        <v>2332</v>
      </c>
      <c r="B4549" s="6" t="n">
        <v>42197</v>
      </c>
      <c r="C4549" s="7" t="s">
        <v>45</v>
      </c>
      <c r="D4549" s="7" t="s">
        <v>64</v>
      </c>
      <c r="E4549" s="7" t="s">
        <v>35</v>
      </c>
      <c r="F4549" s="0" t="n">
        <v>6.912</v>
      </c>
      <c r="G4549" s="0" t="n">
        <v>0.6912</v>
      </c>
      <c r="H4549" s="0" t="n">
        <v>0.2</v>
      </c>
      <c r="I4549" s="7" t="n">
        <f aca="false">YEAR(B4549)</f>
        <v>2015</v>
      </c>
      <c r="J4549" s="0" t="str">
        <f aca="false">I4549&amp;"-Q"&amp;ROUNDUP(MONTH(B4549)/3,0)</f>
        <v>2015-Q3</v>
      </c>
    </row>
    <row r="4550" customFormat="false" ht="15" hidden="false" customHeight="false" outlineLevel="0" collapsed="false">
      <c r="A4550" s="0" t="s">
        <v>2332</v>
      </c>
      <c r="B4550" s="6" t="n">
        <v>42197</v>
      </c>
      <c r="C4550" s="7" t="s">
        <v>45</v>
      </c>
      <c r="D4550" s="7" t="s">
        <v>64</v>
      </c>
      <c r="E4550" s="7" t="s">
        <v>31</v>
      </c>
      <c r="F4550" s="0" t="n">
        <v>7.76</v>
      </c>
      <c r="G4550" s="0" t="n">
        <v>-2.134</v>
      </c>
      <c r="H4550" s="0" t="n">
        <v>0.6</v>
      </c>
      <c r="I4550" s="7" t="n">
        <f aca="false">YEAR(B4550)</f>
        <v>2015</v>
      </c>
      <c r="J4550" s="0" t="str">
        <f aca="false">I4550&amp;"-Q"&amp;ROUNDUP(MONTH(B4550)/3,0)</f>
        <v>2015-Q3</v>
      </c>
    </row>
    <row r="4551" customFormat="false" ht="15" hidden="false" customHeight="false" outlineLevel="0" collapsed="false">
      <c r="A4551" s="0" t="s">
        <v>2332</v>
      </c>
      <c r="B4551" s="6" t="n">
        <v>42197</v>
      </c>
      <c r="C4551" s="7" t="s">
        <v>45</v>
      </c>
      <c r="D4551" s="7" t="s">
        <v>64</v>
      </c>
      <c r="E4551" s="7" t="s">
        <v>39</v>
      </c>
      <c r="F4551" s="0" t="n">
        <v>659.168</v>
      </c>
      <c r="G4551" s="0" t="n">
        <v>49.4376</v>
      </c>
      <c r="H4551" s="0" t="n">
        <v>0.2</v>
      </c>
      <c r="I4551" s="7" t="n">
        <f aca="false">YEAR(B4551)</f>
        <v>2015</v>
      </c>
      <c r="J4551" s="0" t="str">
        <f aca="false">I4551&amp;"-Q"&amp;ROUNDUP(MONTH(B4551)/3,0)</f>
        <v>2015-Q3</v>
      </c>
    </row>
    <row r="4552" customFormat="false" ht="15" hidden="false" customHeight="false" outlineLevel="0" collapsed="false">
      <c r="A4552" s="0" t="s">
        <v>2333</v>
      </c>
      <c r="B4552" s="6" t="n">
        <v>42855</v>
      </c>
      <c r="C4552" s="7" t="s">
        <v>55</v>
      </c>
      <c r="D4552" s="7" t="s">
        <v>154</v>
      </c>
      <c r="E4552" s="7" t="s">
        <v>35</v>
      </c>
      <c r="F4552" s="0" t="n">
        <v>5.76</v>
      </c>
      <c r="G4552" s="0" t="n">
        <v>2.8224</v>
      </c>
      <c r="H4552" s="0" t="n">
        <v>0</v>
      </c>
      <c r="I4552" s="7" t="n">
        <f aca="false">YEAR(B4552)</f>
        <v>2017</v>
      </c>
      <c r="J4552" s="0" t="str">
        <f aca="false">I4552&amp;"-Q"&amp;ROUNDUP(MONTH(B4552)/3,0)</f>
        <v>2017-Q2</v>
      </c>
    </row>
    <row r="4553" customFormat="false" ht="15" hidden="false" customHeight="false" outlineLevel="0" collapsed="false">
      <c r="A4553" s="0" t="s">
        <v>2334</v>
      </c>
      <c r="B4553" s="6" t="n">
        <v>41833</v>
      </c>
      <c r="C4553" s="7" t="s">
        <v>33</v>
      </c>
      <c r="D4553" s="7" t="s">
        <v>34</v>
      </c>
      <c r="E4553" s="7" t="s">
        <v>31</v>
      </c>
      <c r="F4553" s="0" t="n">
        <v>351.216</v>
      </c>
      <c r="G4553" s="0" t="n">
        <v>4.3902</v>
      </c>
      <c r="H4553" s="0" t="n">
        <v>0.2</v>
      </c>
      <c r="I4553" s="7" t="n">
        <f aca="false">YEAR(B4553)</f>
        <v>2014</v>
      </c>
      <c r="J4553" s="0" t="str">
        <f aca="false">I4553&amp;"-Q"&amp;ROUNDUP(MONTH(B4553)/3,0)</f>
        <v>2014-Q3</v>
      </c>
    </row>
    <row r="4554" customFormat="false" ht="15" hidden="false" customHeight="false" outlineLevel="0" collapsed="false">
      <c r="A4554" s="0" t="s">
        <v>2335</v>
      </c>
      <c r="B4554" s="6" t="n">
        <v>42000</v>
      </c>
      <c r="C4554" s="7" t="s">
        <v>33</v>
      </c>
      <c r="D4554" s="7" t="s">
        <v>34</v>
      </c>
      <c r="E4554" s="7" t="s">
        <v>31</v>
      </c>
      <c r="F4554" s="0" t="n">
        <v>230.28</v>
      </c>
      <c r="G4554" s="0" t="n">
        <v>23.028</v>
      </c>
      <c r="H4554" s="0" t="n">
        <v>0.2</v>
      </c>
      <c r="I4554" s="7" t="n">
        <f aca="false">YEAR(B4554)</f>
        <v>2014</v>
      </c>
      <c r="J4554" s="0" t="str">
        <f aca="false">I4554&amp;"-Q"&amp;ROUNDUP(MONTH(B4554)/3,0)</f>
        <v>2014-Q4</v>
      </c>
    </row>
    <row r="4555" customFormat="false" ht="15" hidden="false" customHeight="false" outlineLevel="0" collapsed="false">
      <c r="A4555" s="0" t="s">
        <v>2335</v>
      </c>
      <c r="B4555" s="6" t="n">
        <v>42000</v>
      </c>
      <c r="C4555" s="7" t="s">
        <v>33</v>
      </c>
      <c r="D4555" s="7" t="s">
        <v>34</v>
      </c>
      <c r="E4555" s="7" t="s">
        <v>35</v>
      </c>
      <c r="F4555" s="0" t="n">
        <v>12.84</v>
      </c>
      <c r="G4555" s="0" t="n">
        <v>5.778</v>
      </c>
      <c r="H4555" s="0" t="n">
        <v>0</v>
      </c>
      <c r="I4555" s="7" t="n">
        <f aca="false">YEAR(B4555)</f>
        <v>2014</v>
      </c>
      <c r="J4555" s="0" t="str">
        <f aca="false">I4555&amp;"-Q"&amp;ROUNDUP(MONTH(B4555)/3,0)</f>
        <v>2014-Q4</v>
      </c>
    </row>
    <row r="4556" customFormat="false" ht="15" hidden="false" customHeight="false" outlineLevel="0" collapsed="false">
      <c r="A4556" s="0" t="s">
        <v>2336</v>
      </c>
      <c r="B4556" s="6" t="n">
        <v>42427</v>
      </c>
      <c r="C4556" s="7" t="s">
        <v>45</v>
      </c>
      <c r="D4556" s="7" t="s">
        <v>48</v>
      </c>
      <c r="E4556" s="7" t="s">
        <v>35</v>
      </c>
      <c r="F4556" s="0" t="n">
        <v>56.82</v>
      </c>
      <c r="G4556" s="0" t="n">
        <v>28.41</v>
      </c>
      <c r="H4556" s="0" t="n">
        <v>0</v>
      </c>
      <c r="I4556" s="7" t="n">
        <f aca="false">YEAR(B4556)</f>
        <v>2016</v>
      </c>
      <c r="J4556" s="0" t="str">
        <f aca="false">I4556&amp;"-Q"&amp;ROUNDUP(MONTH(B4556)/3,0)</f>
        <v>2016-Q1</v>
      </c>
    </row>
    <row r="4557" customFormat="false" ht="15" hidden="false" customHeight="false" outlineLevel="0" collapsed="false">
      <c r="A4557" s="0" t="s">
        <v>2337</v>
      </c>
      <c r="B4557" s="6" t="n">
        <v>42086</v>
      </c>
      <c r="C4557" s="7" t="s">
        <v>29</v>
      </c>
      <c r="D4557" s="7" t="s">
        <v>96</v>
      </c>
      <c r="E4557" s="7" t="s">
        <v>35</v>
      </c>
      <c r="F4557" s="0" t="n">
        <v>31.56</v>
      </c>
      <c r="G4557" s="0" t="n">
        <v>14.202</v>
      </c>
      <c r="H4557" s="0" t="n">
        <v>0</v>
      </c>
      <c r="I4557" s="7" t="n">
        <f aca="false">YEAR(B4557)</f>
        <v>2015</v>
      </c>
      <c r="J4557" s="0" t="str">
        <f aca="false">I4557&amp;"-Q"&amp;ROUNDUP(MONTH(B4557)/3,0)</f>
        <v>2015-Q1</v>
      </c>
    </row>
    <row r="4558" customFormat="false" ht="15" hidden="false" customHeight="false" outlineLevel="0" collapsed="false">
      <c r="A4558" s="0" t="s">
        <v>2337</v>
      </c>
      <c r="B4558" s="6" t="n">
        <v>42086</v>
      </c>
      <c r="C4558" s="7" t="s">
        <v>29</v>
      </c>
      <c r="D4558" s="7" t="s">
        <v>96</v>
      </c>
      <c r="E4558" s="7" t="s">
        <v>35</v>
      </c>
      <c r="F4558" s="0" t="n">
        <v>27.92</v>
      </c>
      <c r="G4558" s="0" t="n">
        <v>0.5584</v>
      </c>
      <c r="H4558" s="0" t="n">
        <v>0</v>
      </c>
      <c r="I4558" s="7" t="n">
        <f aca="false">YEAR(B4558)</f>
        <v>2015</v>
      </c>
      <c r="J4558" s="0" t="str">
        <f aca="false">I4558&amp;"-Q"&amp;ROUNDUP(MONTH(B4558)/3,0)</f>
        <v>2015-Q1</v>
      </c>
    </row>
    <row r="4559" customFormat="false" ht="15" hidden="false" customHeight="false" outlineLevel="0" collapsed="false">
      <c r="A4559" s="0" t="s">
        <v>2338</v>
      </c>
      <c r="B4559" s="6" t="n">
        <v>43029</v>
      </c>
      <c r="C4559" s="7" t="s">
        <v>33</v>
      </c>
      <c r="D4559" s="7" t="s">
        <v>81</v>
      </c>
      <c r="E4559" s="7" t="s">
        <v>35</v>
      </c>
      <c r="F4559" s="0" t="n">
        <v>8.559</v>
      </c>
      <c r="G4559" s="0" t="n">
        <v>-6.5619</v>
      </c>
      <c r="H4559" s="0" t="n">
        <v>0.7</v>
      </c>
      <c r="I4559" s="7" t="n">
        <f aca="false">YEAR(B4559)</f>
        <v>2017</v>
      </c>
      <c r="J4559" s="0" t="str">
        <f aca="false">I4559&amp;"-Q"&amp;ROUNDUP(MONTH(B4559)/3,0)</f>
        <v>2017-Q4</v>
      </c>
    </row>
    <row r="4560" customFormat="false" ht="15" hidden="false" customHeight="false" outlineLevel="0" collapsed="false">
      <c r="A4560" s="0" t="s">
        <v>2339</v>
      </c>
      <c r="B4560" s="6" t="n">
        <v>42004</v>
      </c>
      <c r="C4560" s="7" t="s">
        <v>45</v>
      </c>
      <c r="D4560" s="7" t="s">
        <v>46</v>
      </c>
      <c r="E4560" s="7" t="s">
        <v>35</v>
      </c>
      <c r="F4560" s="0" t="n">
        <v>49.568</v>
      </c>
      <c r="G4560" s="0" t="n">
        <v>17.9684</v>
      </c>
      <c r="H4560" s="0" t="n">
        <v>0.2</v>
      </c>
      <c r="I4560" s="7" t="n">
        <f aca="false">YEAR(B4560)</f>
        <v>2014</v>
      </c>
      <c r="J4560" s="0" t="str">
        <f aca="false">I4560&amp;"-Q"&amp;ROUNDUP(MONTH(B4560)/3,0)</f>
        <v>2014-Q4</v>
      </c>
    </row>
    <row r="4561" customFormat="false" ht="15" hidden="false" customHeight="false" outlineLevel="0" collapsed="false">
      <c r="A4561" s="0" t="s">
        <v>2340</v>
      </c>
      <c r="B4561" s="6" t="n">
        <v>41764</v>
      </c>
      <c r="C4561" s="7" t="s">
        <v>45</v>
      </c>
      <c r="D4561" s="7" t="s">
        <v>46</v>
      </c>
      <c r="E4561" s="7" t="s">
        <v>31</v>
      </c>
      <c r="F4561" s="0" t="n">
        <v>127.869</v>
      </c>
      <c r="G4561" s="0" t="n">
        <v>-9.1335</v>
      </c>
      <c r="H4561" s="0" t="n">
        <v>0.3</v>
      </c>
      <c r="I4561" s="7" t="n">
        <f aca="false">YEAR(B4561)</f>
        <v>2014</v>
      </c>
      <c r="J4561" s="0" t="str">
        <f aca="false">I4561&amp;"-Q"&amp;ROUNDUP(MONTH(B4561)/3,0)</f>
        <v>2014-Q2</v>
      </c>
    </row>
    <row r="4562" customFormat="false" ht="15" hidden="false" customHeight="false" outlineLevel="0" collapsed="false">
      <c r="A4562" s="0" t="s">
        <v>2341</v>
      </c>
      <c r="B4562" s="6" t="n">
        <v>42342</v>
      </c>
      <c r="C4562" s="7" t="s">
        <v>33</v>
      </c>
      <c r="D4562" s="7" t="s">
        <v>34</v>
      </c>
      <c r="E4562" s="7" t="s">
        <v>35</v>
      </c>
      <c r="F4562" s="0" t="n">
        <v>271.44</v>
      </c>
      <c r="G4562" s="0" t="n">
        <v>122.148</v>
      </c>
      <c r="H4562" s="0" t="n">
        <v>0</v>
      </c>
      <c r="I4562" s="7" t="n">
        <f aca="false">YEAR(B4562)</f>
        <v>2015</v>
      </c>
      <c r="J4562" s="0" t="str">
        <f aca="false">I4562&amp;"-Q"&amp;ROUNDUP(MONTH(B4562)/3,0)</f>
        <v>2015-Q4</v>
      </c>
    </row>
    <row r="4563" customFormat="false" ht="15" hidden="false" customHeight="false" outlineLevel="0" collapsed="false">
      <c r="A4563" s="0" t="s">
        <v>2341</v>
      </c>
      <c r="B4563" s="6" t="n">
        <v>42342</v>
      </c>
      <c r="C4563" s="7" t="s">
        <v>33</v>
      </c>
      <c r="D4563" s="7" t="s">
        <v>34</v>
      </c>
      <c r="E4563" s="7" t="s">
        <v>39</v>
      </c>
      <c r="F4563" s="0" t="n">
        <v>110.352</v>
      </c>
      <c r="G4563" s="0" t="n">
        <v>8.2764</v>
      </c>
      <c r="H4563" s="0" t="n">
        <v>0.2</v>
      </c>
      <c r="I4563" s="7" t="n">
        <f aca="false">YEAR(B4563)</f>
        <v>2015</v>
      </c>
      <c r="J4563" s="0" t="str">
        <f aca="false">I4563&amp;"-Q"&amp;ROUNDUP(MONTH(B4563)/3,0)</f>
        <v>2015-Q4</v>
      </c>
    </row>
    <row r="4564" customFormat="false" ht="15" hidden="false" customHeight="false" outlineLevel="0" collapsed="false">
      <c r="A4564" s="0" t="s">
        <v>2341</v>
      </c>
      <c r="B4564" s="6" t="n">
        <v>42342</v>
      </c>
      <c r="C4564" s="7" t="s">
        <v>33</v>
      </c>
      <c r="D4564" s="7" t="s">
        <v>34</v>
      </c>
      <c r="E4564" s="7" t="s">
        <v>31</v>
      </c>
      <c r="F4564" s="0" t="n">
        <v>36.4</v>
      </c>
      <c r="G4564" s="0" t="n">
        <v>13.832</v>
      </c>
      <c r="H4564" s="0" t="n">
        <v>0</v>
      </c>
      <c r="I4564" s="7" t="n">
        <f aca="false">YEAR(B4564)</f>
        <v>2015</v>
      </c>
      <c r="J4564" s="0" t="str">
        <f aca="false">I4564&amp;"-Q"&amp;ROUNDUP(MONTH(B4564)/3,0)</f>
        <v>2015-Q4</v>
      </c>
    </row>
    <row r="4565" customFormat="false" ht="15" hidden="false" customHeight="false" outlineLevel="0" collapsed="false">
      <c r="A4565" s="0" t="s">
        <v>2342</v>
      </c>
      <c r="B4565" s="6" t="n">
        <v>43004</v>
      </c>
      <c r="C4565" s="7" t="s">
        <v>29</v>
      </c>
      <c r="D4565" s="7" t="s">
        <v>37</v>
      </c>
      <c r="E4565" s="7" t="s">
        <v>31</v>
      </c>
      <c r="F4565" s="0" t="n">
        <v>419.136</v>
      </c>
      <c r="G4565" s="0" t="n">
        <v>-57.6312</v>
      </c>
      <c r="H4565" s="0" t="n">
        <v>0.2</v>
      </c>
      <c r="I4565" s="7" t="n">
        <f aca="false">YEAR(B4565)</f>
        <v>2017</v>
      </c>
      <c r="J4565" s="0" t="str">
        <f aca="false">I4565&amp;"-Q"&amp;ROUNDUP(MONTH(B4565)/3,0)</f>
        <v>2017-Q3</v>
      </c>
    </row>
    <row r="4566" customFormat="false" ht="15" hidden="false" customHeight="false" outlineLevel="0" collapsed="false">
      <c r="A4566" s="0" t="s">
        <v>2343</v>
      </c>
      <c r="B4566" s="6" t="n">
        <v>41982</v>
      </c>
      <c r="C4566" s="7" t="s">
        <v>33</v>
      </c>
      <c r="D4566" s="7" t="s">
        <v>81</v>
      </c>
      <c r="E4566" s="7" t="s">
        <v>35</v>
      </c>
      <c r="F4566" s="0" t="n">
        <v>100.704</v>
      </c>
      <c r="G4566" s="0" t="n">
        <v>-1.2588</v>
      </c>
      <c r="H4566" s="0" t="n">
        <v>0.2</v>
      </c>
      <c r="I4566" s="7" t="n">
        <f aca="false">YEAR(B4566)</f>
        <v>2014</v>
      </c>
      <c r="J4566" s="0" t="str">
        <f aca="false">I4566&amp;"-Q"&amp;ROUNDUP(MONTH(B4566)/3,0)</f>
        <v>2014-Q4</v>
      </c>
    </row>
    <row r="4567" customFormat="false" ht="15" hidden="false" customHeight="false" outlineLevel="0" collapsed="false">
      <c r="A4567" s="0" t="s">
        <v>2344</v>
      </c>
      <c r="B4567" s="6" t="n">
        <v>43072</v>
      </c>
      <c r="C4567" s="7" t="s">
        <v>29</v>
      </c>
      <c r="D4567" s="7" t="s">
        <v>41</v>
      </c>
      <c r="E4567" s="7" t="s">
        <v>35</v>
      </c>
      <c r="F4567" s="0" t="n">
        <v>45.216</v>
      </c>
      <c r="G4567" s="0" t="n">
        <v>4.5216</v>
      </c>
      <c r="H4567" s="0" t="n">
        <v>0.2</v>
      </c>
      <c r="I4567" s="7" t="n">
        <f aca="false">YEAR(B4567)</f>
        <v>2017</v>
      </c>
      <c r="J4567" s="0" t="str">
        <f aca="false">I4567&amp;"-Q"&amp;ROUNDUP(MONTH(B4567)/3,0)</f>
        <v>2017-Q4</v>
      </c>
    </row>
    <row r="4568" customFormat="false" ht="15" hidden="false" customHeight="false" outlineLevel="0" collapsed="false">
      <c r="A4568" s="0" t="s">
        <v>2344</v>
      </c>
      <c r="B4568" s="6" t="n">
        <v>43072</v>
      </c>
      <c r="C4568" s="7" t="s">
        <v>29</v>
      </c>
      <c r="D4568" s="7" t="s">
        <v>41</v>
      </c>
      <c r="E4568" s="7" t="s">
        <v>35</v>
      </c>
      <c r="F4568" s="0" t="n">
        <v>28.782</v>
      </c>
      <c r="G4568" s="0" t="n">
        <v>-21.1068</v>
      </c>
      <c r="H4568" s="0" t="n">
        <v>0.7</v>
      </c>
      <c r="I4568" s="7" t="n">
        <f aca="false">YEAR(B4568)</f>
        <v>2017</v>
      </c>
      <c r="J4568" s="0" t="str">
        <f aca="false">I4568&amp;"-Q"&amp;ROUNDUP(MONTH(B4568)/3,0)</f>
        <v>2017-Q4</v>
      </c>
    </row>
    <row r="4569" customFormat="false" ht="15" hidden="false" customHeight="false" outlineLevel="0" collapsed="false">
      <c r="A4569" s="0" t="s">
        <v>2344</v>
      </c>
      <c r="B4569" s="6" t="n">
        <v>43072</v>
      </c>
      <c r="C4569" s="7" t="s">
        <v>29</v>
      </c>
      <c r="D4569" s="7" t="s">
        <v>41</v>
      </c>
      <c r="E4569" s="7" t="s">
        <v>35</v>
      </c>
      <c r="F4569" s="0" t="n">
        <v>24.448</v>
      </c>
      <c r="G4569" s="0" t="n">
        <v>8.8624</v>
      </c>
      <c r="H4569" s="0" t="n">
        <v>0.2</v>
      </c>
      <c r="I4569" s="7" t="n">
        <f aca="false">YEAR(B4569)</f>
        <v>2017</v>
      </c>
      <c r="J4569" s="0" t="str">
        <f aca="false">I4569&amp;"-Q"&amp;ROUNDUP(MONTH(B4569)/3,0)</f>
        <v>2017-Q4</v>
      </c>
    </row>
    <row r="4570" customFormat="false" ht="15" hidden="false" customHeight="false" outlineLevel="0" collapsed="false">
      <c r="A4570" s="0" t="s">
        <v>2345</v>
      </c>
      <c r="B4570" s="6" t="n">
        <v>42316</v>
      </c>
      <c r="C4570" s="7" t="s">
        <v>45</v>
      </c>
      <c r="D4570" s="7" t="s">
        <v>46</v>
      </c>
      <c r="E4570" s="7" t="s">
        <v>35</v>
      </c>
      <c r="F4570" s="0" t="n">
        <v>10.476</v>
      </c>
      <c r="G4570" s="0" t="n">
        <v>-17.2854</v>
      </c>
      <c r="H4570" s="0" t="n">
        <v>0.8</v>
      </c>
      <c r="I4570" s="7" t="n">
        <f aca="false">YEAR(B4570)</f>
        <v>2015</v>
      </c>
      <c r="J4570" s="0" t="str">
        <f aca="false">I4570&amp;"-Q"&amp;ROUNDUP(MONTH(B4570)/3,0)</f>
        <v>2015-Q4</v>
      </c>
    </row>
    <row r="4571" customFormat="false" ht="15" hidden="false" customHeight="false" outlineLevel="0" collapsed="false">
      <c r="A4571" s="0" t="s">
        <v>2346</v>
      </c>
      <c r="B4571" s="6" t="n">
        <v>41748</v>
      </c>
      <c r="C4571" s="7" t="s">
        <v>33</v>
      </c>
      <c r="D4571" s="7" t="s">
        <v>34</v>
      </c>
      <c r="E4571" s="7" t="s">
        <v>31</v>
      </c>
      <c r="F4571" s="0" t="n">
        <v>76.14</v>
      </c>
      <c r="G4571" s="0" t="n">
        <v>26.649</v>
      </c>
      <c r="H4571" s="0" t="n">
        <v>0</v>
      </c>
      <c r="I4571" s="7" t="n">
        <f aca="false">YEAR(B4571)</f>
        <v>2014</v>
      </c>
      <c r="J4571" s="0" t="str">
        <f aca="false">I4571&amp;"-Q"&amp;ROUNDUP(MONTH(B4571)/3,0)</f>
        <v>2014-Q2</v>
      </c>
    </row>
    <row r="4572" customFormat="false" ht="15" hidden="false" customHeight="false" outlineLevel="0" collapsed="false">
      <c r="A4572" s="0" t="s">
        <v>2347</v>
      </c>
      <c r="B4572" s="6" t="n">
        <v>42149</v>
      </c>
      <c r="C4572" s="7" t="s">
        <v>45</v>
      </c>
      <c r="D4572" s="7" t="s">
        <v>946</v>
      </c>
      <c r="E4572" s="7" t="s">
        <v>35</v>
      </c>
      <c r="F4572" s="0" t="n">
        <v>21.24</v>
      </c>
      <c r="G4572" s="0" t="n">
        <v>8.0712</v>
      </c>
      <c r="H4572" s="0" t="n">
        <v>0</v>
      </c>
      <c r="I4572" s="7" t="n">
        <f aca="false">YEAR(B4572)</f>
        <v>2015</v>
      </c>
      <c r="J4572" s="0" t="str">
        <f aca="false">I4572&amp;"-Q"&amp;ROUNDUP(MONTH(B4572)/3,0)</f>
        <v>2015-Q2</v>
      </c>
    </row>
    <row r="4573" customFormat="false" ht="15" hidden="false" customHeight="false" outlineLevel="0" collapsed="false">
      <c r="A4573" s="0" t="s">
        <v>2347</v>
      </c>
      <c r="B4573" s="6" t="n">
        <v>42149</v>
      </c>
      <c r="C4573" s="7" t="s">
        <v>45</v>
      </c>
      <c r="D4573" s="7" t="s">
        <v>946</v>
      </c>
      <c r="E4573" s="7" t="s">
        <v>35</v>
      </c>
      <c r="F4573" s="0" t="n">
        <v>127.96</v>
      </c>
      <c r="G4573" s="0" t="n">
        <v>60.1412</v>
      </c>
      <c r="H4573" s="0" t="n">
        <v>0</v>
      </c>
      <c r="I4573" s="7" t="n">
        <f aca="false">YEAR(B4573)</f>
        <v>2015</v>
      </c>
      <c r="J4573" s="0" t="str">
        <f aca="false">I4573&amp;"-Q"&amp;ROUNDUP(MONTH(B4573)/3,0)</f>
        <v>2015-Q2</v>
      </c>
    </row>
    <row r="4574" customFormat="false" ht="15" hidden="false" customHeight="false" outlineLevel="0" collapsed="false">
      <c r="A4574" s="0" t="s">
        <v>2348</v>
      </c>
      <c r="B4574" s="6" t="n">
        <v>42933</v>
      </c>
      <c r="C4574" s="7" t="s">
        <v>33</v>
      </c>
      <c r="D4574" s="7" t="s">
        <v>34</v>
      </c>
      <c r="E4574" s="7" t="s">
        <v>39</v>
      </c>
      <c r="F4574" s="0" t="n">
        <v>479.984</v>
      </c>
      <c r="G4574" s="0" t="n">
        <v>89.997</v>
      </c>
      <c r="H4574" s="0" t="n">
        <v>0.2</v>
      </c>
      <c r="I4574" s="7" t="n">
        <f aca="false">YEAR(B4574)</f>
        <v>2017</v>
      </c>
      <c r="J4574" s="0" t="str">
        <f aca="false">I4574&amp;"-Q"&amp;ROUNDUP(MONTH(B4574)/3,0)</f>
        <v>2017-Q3</v>
      </c>
    </row>
    <row r="4575" customFormat="false" ht="15" hidden="false" customHeight="false" outlineLevel="0" collapsed="false">
      <c r="A4575" s="0" t="s">
        <v>2349</v>
      </c>
      <c r="B4575" s="6" t="n">
        <v>42716</v>
      </c>
      <c r="C4575" s="7" t="s">
        <v>45</v>
      </c>
      <c r="D4575" s="7" t="s">
        <v>70</v>
      </c>
      <c r="E4575" s="7" t="s">
        <v>39</v>
      </c>
      <c r="F4575" s="0" t="n">
        <v>657.93</v>
      </c>
      <c r="G4575" s="0" t="n">
        <v>184.2204</v>
      </c>
      <c r="H4575" s="0" t="n">
        <v>0</v>
      </c>
      <c r="I4575" s="7" t="n">
        <f aca="false">YEAR(B4575)</f>
        <v>2016</v>
      </c>
      <c r="J4575" s="0" t="str">
        <f aca="false">I4575&amp;"-Q"&amp;ROUNDUP(MONTH(B4575)/3,0)</f>
        <v>2016-Q4</v>
      </c>
    </row>
    <row r="4576" customFormat="false" ht="15" hidden="false" customHeight="false" outlineLevel="0" collapsed="false">
      <c r="A4576" s="0" t="s">
        <v>2349</v>
      </c>
      <c r="B4576" s="6" t="n">
        <v>42716</v>
      </c>
      <c r="C4576" s="7" t="s">
        <v>45</v>
      </c>
      <c r="D4576" s="7" t="s">
        <v>70</v>
      </c>
      <c r="E4576" s="7" t="s">
        <v>31</v>
      </c>
      <c r="F4576" s="0" t="n">
        <v>33.48</v>
      </c>
      <c r="G4576" s="0" t="n">
        <v>8.7048</v>
      </c>
      <c r="H4576" s="0" t="n">
        <v>0</v>
      </c>
      <c r="I4576" s="7" t="n">
        <f aca="false">YEAR(B4576)</f>
        <v>2016</v>
      </c>
      <c r="J4576" s="0" t="str">
        <f aca="false">I4576&amp;"-Q"&amp;ROUNDUP(MONTH(B4576)/3,0)</f>
        <v>2016-Q4</v>
      </c>
    </row>
    <row r="4577" customFormat="false" ht="15" hidden="false" customHeight="false" outlineLevel="0" collapsed="false">
      <c r="A4577" s="0" t="s">
        <v>2349</v>
      </c>
      <c r="B4577" s="6" t="n">
        <v>42716</v>
      </c>
      <c r="C4577" s="7" t="s">
        <v>45</v>
      </c>
      <c r="D4577" s="7" t="s">
        <v>70</v>
      </c>
      <c r="E4577" s="7" t="s">
        <v>35</v>
      </c>
      <c r="F4577" s="0" t="n">
        <v>13.9</v>
      </c>
      <c r="G4577" s="0" t="n">
        <v>3.614</v>
      </c>
      <c r="H4577" s="0" t="n">
        <v>0</v>
      </c>
      <c r="I4577" s="7" t="n">
        <f aca="false">YEAR(B4577)</f>
        <v>2016</v>
      </c>
      <c r="J4577" s="0" t="str">
        <f aca="false">I4577&amp;"-Q"&amp;ROUNDUP(MONTH(B4577)/3,0)</f>
        <v>2016-Q4</v>
      </c>
    </row>
    <row r="4578" customFormat="false" ht="15" hidden="false" customHeight="false" outlineLevel="0" collapsed="false">
      <c r="A4578" s="0" t="s">
        <v>2349</v>
      </c>
      <c r="B4578" s="6" t="n">
        <v>42716</v>
      </c>
      <c r="C4578" s="7" t="s">
        <v>45</v>
      </c>
      <c r="D4578" s="7" t="s">
        <v>70</v>
      </c>
      <c r="E4578" s="7" t="s">
        <v>35</v>
      </c>
      <c r="F4578" s="0" t="n">
        <v>26.86</v>
      </c>
      <c r="G4578" s="0" t="n">
        <v>6.715</v>
      </c>
      <c r="H4578" s="0" t="n">
        <v>0</v>
      </c>
      <c r="I4578" s="7" t="n">
        <f aca="false">YEAR(B4578)</f>
        <v>2016</v>
      </c>
      <c r="J4578" s="0" t="str">
        <f aca="false">I4578&amp;"-Q"&amp;ROUNDUP(MONTH(B4578)/3,0)</f>
        <v>2016-Q4</v>
      </c>
    </row>
    <row r="4579" customFormat="false" ht="15" hidden="false" customHeight="false" outlineLevel="0" collapsed="false">
      <c r="A4579" s="0" t="s">
        <v>2350</v>
      </c>
      <c r="B4579" s="6" t="n">
        <v>41740</v>
      </c>
      <c r="C4579" s="7" t="s">
        <v>33</v>
      </c>
      <c r="D4579" s="7" t="s">
        <v>1599</v>
      </c>
      <c r="E4579" s="7" t="s">
        <v>35</v>
      </c>
      <c r="F4579" s="0" t="n">
        <v>9.584</v>
      </c>
      <c r="G4579" s="0" t="n">
        <v>3.3544</v>
      </c>
      <c r="H4579" s="0" t="n">
        <v>0.2</v>
      </c>
      <c r="I4579" s="7" t="n">
        <f aca="false">YEAR(B4579)</f>
        <v>2014</v>
      </c>
      <c r="J4579" s="0" t="str">
        <f aca="false">I4579&amp;"-Q"&amp;ROUNDUP(MONTH(B4579)/3,0)</f>
        <v>2014-Q2</v>
      </c>
    </row>
    <row r="4580" customFormat="false" ht="15" hidden="false" customHeight="false" outlineLevel="0" collapsed="false">
      <c r="A4580" s="0" t="s">
        <v>2351</v>
      </c>
      <c r="B4580" s="6" t="n">
        <v>42164</v>
      </c>
      <c r="C4580" s="7" t="s">
        <v>29</v>
      </c>
      <c r="D4580" s="7" t="s">
        <v>83</v>
      </c>
      <c r="E4580" s="7" t="s">
        <v>35</v>
      </c>
      <c r="F4580" s="0" t="n">
        <v>113.1</v>
      </c>
      <c r="G4580" s="0" t="n">
        <v>56.55</v>
      </c>
      <c r="H4580" s="0" t="n">
        <v>0</v>
      </c>
      <c r="I4580" s="7" t="n">
        <f aca="false">YEAR(B4580)</f>
        <v>2015</v>
      </c>
      <c r="J4580" s="0" t="str">
        <f aca="false">I4580&amp;"-Q"&amp;ROUNDUP(MONTH(B4580)/3,0)</f>
        <v>2015-Q2</v>
      </c>
    </row>
    <row r="4581" customFormat="false" ht="15" hidden="false" customHeight="false" outlineLevel="0" collapsed="false">
      <c r="A4581" s="0" t="s">
        <v>2352</v>
      </c>
      <c r="B4581" s="6" t="n">
        <v>41847</v>
      </c>
      <c r="C4581" s="7" t="s">
        <v>55</v>
      </c>
      <c r="D4581" s="7" t="s">
        <v>76</v>
      </c>
      <c r="E4581" s="7" t="s">
        <v>35</v>
      </c>
      <c r="F4581" s="0" t="n">
        <v>65.78</v>
      </c>
      <c r="G4581" s="0" t="n">
        <v>32.2322</v>
      </c>
      <c r="H4581" s="0" t="n">
        <v>0</v>
      </c>
      <c r="I4581" s="7" t="n">
        <f aca="false">YEAR(B4581)</f>
        <v>2014</v>
      </c>
      <c r="J4581" s="0" t="str">
        <f aca="false">I4581&amp;"-Q"&amp;ROUNDUP(MONTH(B4581)/3,0)</f>
        <v>2014-Q3</v>
      </c>
    </row>
    <row r="4582" customFormat="false" ht="15" hidden="false" customHeight="false" outlineLevel="0" collapsed="false">
      <c r="A4582" s="0" t="s">
        <v>2353</v>
      </c>
      <c r="B4582" s="6" t="n">
        <v>42216</v>
      </c>
      <c r="C4582" s="7" t="s">
        <v>29</v>
      </c>
      <c r="D4582" s="7" t="s">
        <v>265</v>
      </c>
      <c r="E4582" s="7" t="s">
        <v>39</v>
      </c>
      <c r="F4582" s="0" t="n">
        <v>239.7</v>
      </c>
      <c r="G4582" s="0" t="n">
        <v>105.468</v>
      </c>
      <c r="H4582" s="0" t="n">
        <v>0</v>
      </c>
      <c r="I4582" s="7" t="n">
        <f aca="false">YEAR(B4582)</f>
        <v>2015</v>
      </c>
      <c r="J4582" s="0" t="str">
        <f aca="false">I4582&amp;"-Q"&amp;ROUNDUP(MONTH(B4582)/3,0)</f>
        <v>2015-Q3</v>
      </c>
    </row>
    <row r="4583" customFormat="false" ht="15" hidden="false" customHeight="false" outlineLevel="0" collapsed="false">
      <c r="A4583" s="0" t="s">
        <v>2354</v>
      </c>
      <c r="B4583" s="6" t="n">
        <v>42632</v>
      </c>
      <c r="C4583" s="7" t="s">
        <v>55</v>
      </c>
      <c r="D4583" s="7" t="s">
        <v>56</v>
      </c>
      <c r="E4583" s="7" t="s">
        <v>31</v>
      </c>
      <c r="F4583" s="0" t="n">
        <v>25.632</v>
      </c>
      <c r="G4583" s="0" t="n">
        <v>3.8448</v>
      </c>
      <c r="H4583" s="0" t="n">
        <v>0.2</v>
      </c>
      <c r="I4583" s="7" t="n">
        <f aca="false">YEAR(B4583)</f>
        <v>2016</v>
      </c>
      <c r="J4583" s="0" t="str">
        <f aca="false">I4583&amp;"-Q"&amp;ROUNDUP(MONTH(B4583)/3,0)</f>
        <v>2016-Q3</v>
      </c>
    </row>
    <row r="4584" customFormat="false" ht="15" hidden="false" customHeight="false" outlineLevel="0" collapsed="false">
      <c r="A4584" s="0" t="s">
        <v>2355</v>
      </c>
      <c r="B4584" s="6" t="n">
        <v>42531</v>
      </c>
      <c r="C4584" s="7" t="s">
        <v>55</v>
      </c>
      <c r="D4584" s="7" t="s">
        <v>56</v>
      </c>
      <c r="E4584" s="7" t="s">
        <v>35</v>
      </c>
      <c r="F4584" s="0" t="n">
        <v>23.616</v>
      </c>
      <c r="G4584" s="0" t="n">
        <v>7.9704</v>
      </c>
      <c r="H4584" s="0" t="n">
        <v>0.2</v>
      </c>
      <c r="I4584" s="7" t="n">
        <f aca="false">YEAR(B4584)</f>
        <v>2016</v>
      </c>
      <c r="J4584" s="0" t="str">
        <f aca="false">I4584&amp;"-Q"&amp;ROUNDUP(MONTH(B4584)/3,0)</f>
        <v>2016-Q2</v>
      </c>
    </row>
    <row r="4585" customFormat="false" ht="15" hidden="false" customHeight="false" outlineLevel="0" collapsed="false">
      <c r="A4585" s="0" t="s">
        <v>2356</v>
      </c>
      <c r="B4585" s="6" t="n">
        <v>42608</v>
      </c>
      <c r="C4585" s="7" t="s">
        <v>33</v>
      </c>
      <c r="D4585" s="7" t="s">
        <v>34</v>
      </c>
      <c r="E4585" s="7" t="s">
        <v>35</v>
      </c>
      <c r="F4585" s="0" t="n">
        <v>8.26</v>
      </c>
      <c r="G4585" s="0" t="n">
        <v>3.7996</v>
      </c>
      <c r="H4585" s="0" t="n">
        <v>0</v>
      </c>
      <c r="I4585" s="7" t="n">
        <f aca="false">YEAR(B4585)</f>
        <v>2016</v>
      </c>
      <c r="J4585" s="0" t="str">
        <f aca="false">I4585&amp;"-Q"&amp;ROUNDUP(MONTH(B4585)/3,0)</f>
        <v>2016-Q3</v>
      </c>
    </row>
    <row r="4586" customFormat="false" ht="15" hidden="false" customHeight="false" outlineLevel="0" collapsed="false">
      <c r="A4586" s="0" t="s">
        <v>2357</v>
      </c>
      <c r="B4586" s="6" t="n">
        <v>43041</v>
      </c>
      <c r="C4586" s="7" t="s">
        <v>33</v>
      </c>
      <c r="D4586" s="7" t="s">
        <v>34</v>
      </c>
      <c r="E4586" s="7" t="s">
        <v>35</v>
      </c>
      <c r="F4586" s="0" t="n">
        <v>76.58</v>
      </c>
      <c r="G4586" s="0" t="n">
        <v>38.29</v>
      </c>
      <c r="H4586" s="0" t="n">
        <v>0</v>
      </c>
      <c r="I4586" s="7" t="n">
        <f aca="false">YEAR(B4586)</f>
        <v>2017</v>
      </c>
      <c r="J4586" s="0" t="str">
        <f aca="false">I4586&amp;"-Q"&amp;ROUNDUP(MONTH(B4586)/3,0)</f>
        <v>2017-Q4</v>
      </c>
    </row>
    <row r="4587" customFormat="false" ht="15" hidden="false" customHeight="false" outlineLevel="0" collapsed="false">
      <c r="A4587" s="0" t="s">
        <v>2357</v>
      </c>
      <c r="B4587" s="6" t="n">
        <v>43041</v>
      </c>
      <c r="C4587" s="7" t="s">
        <v>33</v>
      </c>
      <c r="D4587" s="7" t="s">
        <v>34</v>
      </c>
      <c r="E4587" s="7" t="s">
        <v>35</v>
      </c>
      <c r="F4587" s="0" t="n">
        <v>8.8</v>
      </c>
      <c r="G4587" s="0" t="n">
        <v>4.224</v>
      </c>
      <c r="H4587" s="0" t="n">
        <v>0</v>
      </c>
      <c r="I4587" s="7" t="n">
        <f aca="false">YEAR(B4587)</f>
        <v>2017</v>
      </c>
      <c r="J4587" s="0" t="str">
        <f aca="false">I4587&amp;"-Q"&amp;ROUNDUP(MONTH(B4587)/3,0)</f>
        <v>2017-Q4</v>
      </c>
    </row>
    <row r="4588" customFormat="false" ht="15" hidden="false" customHeight="false" outlineLevel="0" collapsed="false">
      <c r="A4588" s="0" t="s">
        <v>2357</v>
      </c>
      <c r="B4588" s="6" t="n">
        <v>43041</v>
      </c>
      <c r="C4588" s="7" t="s">
        <v>33</v>
      </c>
      <c r="D4588" s="7" t="s">
        <v>34</v>
      </c>
      <c r="E4588" s="7" t="s">
        <v>35</v>
      </c>
      <c r="F4588" s="0" t="n">
        <v>590.352</v>
      </c>
      <c r="G4588" s="0" t="n">
        <v>206.6232</v>
      </c>
      <c r="H4588" s="0" t="n">
        <v>0.2</v>
      </c>
      <c r="I4588" s="7" t="n">
        <f aca="false">YEAR(B4588)</f>
        <v>2017</v>
      </c>
      <c r="J4588" s="0" t="str">
        <f aca="false">I4588&amp;"-Q"&amp;ROUNDUP(MONTH(B4588)/3,0)</f>
        <v>2017-Q4</v>
      </c>
    </row>
    <row r="4589" customFormat="false" ht="15" hidden="false" customHeight="false" outlineLevel="0" collapsed="false">
      <c r="A4589" s="0" t="s">
        <v>2357</v>
      </c>
      <c r="B4589" s="6" t="n">
        <v>43041</v>
      </c>
      <c r="C4589" s="7" t="s">
        <v>33</v>
      </c>
      <c r="D4589" s="7" t="s">
        <v>34</v>
      </c>
      <c r="E4589" s="7" t="s">
        <v>35</v>
      </c>
      <c r="F4589" s="0" t="n">
        <v>5.58</v>
      </c>
      <c r="G4589" s="0" t="n">
        <v>0.1674</v>
      </c>
      <c r="H4589" s="0" t="n">
        <v>0</v>
      </c>
      <c r="I4589" s="7" t="n">
        <f aca="false">YEAR(B4589)</f>
        <v>2017</v>
      </c>
      <c r="J4589" s="0" t="str">
        <f aca="false">I4589&amp;"-Q"&amp;ROUNDUP(MONTH(B4589)/3,0)</f>
        <v>2017-Q4</v>
      </c>
    </row>
    <row r="4590" customFormat="false" ht="15" hidden="false" customHeight="false" outlineLevel="0" collapsed="false">
      <c r="A4590" s="0" t="s">
        <v>2357</v>
      </c>
      <c r="B4590" s="6" t="n">
        <v>43041</v>
      </c>
      <c r="C4590" s="7" t="s">
        <v>33</v>
      </c>
      <c r="D4590" s="7" t="s">
        <v>34</v>
      </c>
      <c r="E4590" s="7" t="s">
        <v>31</v>
      </c>
      <c r="F4590" s="0" t="n">
        <v>25.02</v>
      </c>
      <c r="G4590" s="0" t="n">
        <v>10.5084</v>
      </c>
      <c r="H4590" s="0" t="n">
        <v>0</v>
      </c>
      <c r="I4590" s="7" t="n">
        <f aca="false">YEAR(B4590)</f>
        <v>2017</v>
      </c>
      <c r="J4590" s="0" t="str">
        <f aca="false">I4590&amp;"-Q"&amp;ROUNDUP(MONTH(B4590)/3,0)</f>
        <v>2017-Q4</v>
      </c>
    </row>
    <row r="4591" customFormat="false" ht="15" hidden="false" customHeight="false" outlineLevel="0" collapsed="false">
      <c r="A4591" s="0" t="s">
        <v>2357</v>
      </c>
      <c r="B4591" s="6" t="n">
        <v>43041</v>
      </c>
      <c r="C4591" s="7" t="s">
        <v>33</v>
      </c>
      <c r="D4591" s="7" t="s">
        <v>34</v>
      </c>
      <c r="E4591" s="7" t="s">
        <v>35</v>
      </c>
      <c r="F4591" s="0" t="n">
        <v>452.55</v>
      </c>
      <c r="G4591" s="0" t="n">
        <v>22.6275</v>
      </c>
      <c r="H4591" s="0" t="n">
        <v>0</v>
      </c>
      <c r="I4591" s="7" t="n">
        <f aca="false">YEAR(B4591)</f>
        <v>2017</v>
      </c>
      <c r="J4591" s="0" t="str">
        <f aca="false">I4591&amp;"-Q"&amp;ROUNDUP(MONTH(B4591)/3,0)</f>
        <v>2017-Q4</v>
      </c>
    </row>
    <row r="4592" customFormat="false" ht="15" hidden="false" customHeight="false" outlineLevel="0" collapsed="false">
      <c r="A4592" s="0" t="s">
        <v>2358</v>
      </c>
      <c r="B4592" s="6" t="n">
        <v>42730</v>
      </c>
      <c r="C4592" s="7" t="s">
        <v>33</v>
      </c>
      <c r="D4592" s="7" t="s">
        <v>34</v>
      </c>
      <c r="E4592" s="7" t="s">
        <v>35</v>
      </c>
      <c r="F4592" s="0" t="n">
        <v>17.76</v>
      </c>
      <c r="G4592" s="0" t="n">
        <v>4.9728</v>
      </c>
      <c r="H4592" s="0" t="n">
        <v>0</v>
      </c>
      <c r="I4592" s="7" t="n">
        <f aca="false">YEAR(B4592)</f>
        <v>2016</v>
      </c>
      <c r="J4592" s="0" t="str">
        <f aca="false">I4592&amp;"-Q"&amp;ROUNDUP(MONTH(B4592)/3,0)</f>
        <v>2016-Q4</v>
      </c>
    </row>
    <row r="4593" customFormat="false" ht="15" hidden="false" customHeight="false" outlineLevel="0" collapsed="false">
      <c r="A4593" s="0" t="s">
        <v>2358</v>
      </c>
      <c r="B4593" s="6" t="n">
        <v>42730</v>
      </c>
      <c r="C4593" s="7" t="s">
        <v>33</v>
      </c>
      <c r="D4593" s="7" t="s">
        <v>34</v>
      </c>
      <c r="E4593" s="7" t="s">
        <v>39</v>
      </c>
      <c r="F4593" s="0" t="n">
        <v>302.384</v>
      </c>
      <c r="G4593" s="0" t="n">
        <v>30.2384</v>
      </c>
      <c r="H4593" s="0" t="n">
        <v>0.2</v>
      </c>
      <c r="I4593" s="7" t="n">
        <f aca="false">YEAR(B4593)</f>
        <v>2016</v>
      </c>
      <c r="J4593" s="0" t="str">
        <f aca="false">I4593&amp;"-Q"&amp;ROUNDUP(MONTH(B4593)/3,0)</f>
        <v>2016-Q4</v>
      </c>
    </row>
    <row r="4594" customFormat="false" ht="15" hidden="false" customHeight="false" outlineLevel="0" collapsed="false">
      <c r="A4594" s="0" t="s">
        <v>2358</v>
      </c>
      <c r="B4594" s="6" t="n">
        <v>42730</v>
      </c>
      <c r="C4594" s="7" t="s">
        <v>33</v>
      </c>
      <c r="D4594" s="7" t="s">
        <v>34</v>
      </c>
      <c r="E4594" s="7" t="s">
        <v>31</v>
      </c>
      <c r="F4594" s="0" t="n">
        <v>146.352</v>
      </c>
      <c r="G4594" s="0" t="n">
        <v>-5.4882</v>
      </c>
      <c r="H4594" s="0" t="n">
        <v>0.2</v>
      </c>
      <c r="I4594" s="7" t="n">
        <f aca="false">YEAR(B4594)</f>
        <v>2016</v>
      </c>
      <c r="J4594" s="0" t="str">
        <f aca="false">I4594&amp;"-Q"&amp;ROUNDUP(MONTH(B4594)/3,0)</f>
        <v>2016-Q4</v>
      </c>
    </row>
    <row r="4595" customFormat="false" ht="15" hidden="false" customHeight="false" outlineLevel="0" collapsed="false">
      <c r="A4595" s="0" t="s">
        <v>2358</v>
      </c>
      <c r="B4595" s="6" t="n">
        <v>42730</v>
      </c>
      <c r="C4595" s="7" t="s">
        <v>33</v>
      </c>
      <c r="D4595" s="7" t="s">
        <v>34</v>
      </c>
      <c r="E4595" s="7" t="s">
        <v>35</v>
      </c>
      <c r="F4595" s="0" t="n">
        <v>7.9</v>
      </c>
      <c r="G4595" s="0" t="n">
        <v>2.054</v>
      </c>
      <c r="H4595" s="0" t="n">
        <v>0</v>
      </c>
      <c r="I4595" s="7" t="n">
        <f aca="false">YEAR(B4595)</f>
        <v>2016</v>
      </c>
      <c r="J4595" s="0" t="str">
        <f aca="false">I4595&amp;"-Q"&amp;ROUNDUP(MONTH(B4595)/3,0)</f>
        <v>2016-Q4</v>
      </c>
    </row>
    <row r="4596" customFormat="false" ht="15" hidden="false" customHeight="false" outlineLevel="0" collapsed="false">
      <c r="A4596" s="0" t="s">
        <v>2358</v>
      </c>
      <c r="B4596" s="6" t="n">
        <v>42730</v>
      </c>
      <c r="C4596" s="7" t="s">
        <v>33</v>
      </c>
      <c r="D4596" s="7" t="s">
        <v>34</v>
      </c>
      <c r="E4596" s="7" t="s">
        <v>31</v>
      </c>
      <c r="F4596" s="0" t="n">
        <v>902.712</v>
      </c>
      <c r="G4596" s="0" t="n">
        <v>33.8517</v>
      </c>
      <c r="H4596" s="0" t="n">
        <v>0.2</v>
      </c>
      <c r="I4596" s="7" t="n">
        <f aca="false">YEAR(B4596)</f>
        <v>2016</v>
      </c>
      <c r="J4596" s="0" t="str">
        <f aca="false">I4596&amp;"-Q"&amp;ROUNDUP(MONTH(B4596)/3,0)</f>
        <v>2016-Q4</v>
      </c>
    </row>
    <row r="4597" customFormat="false" ht="15" hidden="false" customHeight="false" outlineLevel="0" collapsed="false">
      <c r="A4597" s="0" t="s">
        <v>2358</v>
      </c>
      <c r="B4597" s="6" t="n">
        <v>42730</v>
      </c>
      <c r="C4597" s="7" t="s">
        <v>33</v>
      </c>
      <c r="D4597" s="7" t="s">
        <v>34</v>
      </c>
      <c r="E4597" s="7" t="s">
        <v>35</v>
      </c>
      <c r="F4597" s="0" t="n">
        <v>53.97</v>
      </c>
      <c r="G4597" s="0" t="n">
        <v>15.1116</v>
      </c>
      <c r="H4597" s="0" t="n">
        <v>0</v>
      </c>
      <c r="I4597" s="7" t="n">
        <f aca="false">YEAR(B4597)</f>
        <v>2016</v>
      </c>
      <c r="J4597" s="0" t="str">
        <f aca="false">I4597&amp;"-Q"&amp;ROUNDUP(MONTH(B4597)/3,0)</f>
        <v>2016-Q4</v>
      </c>
    </row>
    <row r="4598" customFormat="false" ht="15" hidden="false" customHeight="false" outlineLevel="0" collapsed="false">
      <c r="A4598" s="0" t="s">
        <v>2359</v>
      </c>
      <c r="B4598" s="6" t="n">
        <v>42709</v>
      </c>
      <c r="C4598" s="7" t="s">
        <v>55</v>
      </c>
      <c r="D4598" s="7" t="s">
        <v>567</v>
      </c>
      <c r="E4598" s="7" t="s">
        <v>35</v>
      </c>
      <c r="F4598" s="0" t="n">
        <v>33.92</v>
      </c>
      <c r="G4598" s="0" t="n">
        <v>13.2288</v>
      </c>
      <c r="H4598" s="0" t="n">
        <v>0</v>
      </c>
      <c r="I4598" s="7" t="n">
        <f aca="false">YEAR(B4598)</f>
        <v>2016</v>
      </c>
      <c r="J4598" s="0" t="str">
        <f aca="false">I4598&amp;"-Q"&amp;ROUNDUP(MONTH(B4598)/3,0)</f>
        <v>2016-Q4</v>
      </c>
    </row>
    <row r="4599" customFormat="false" ht="15" hidden="false" customHeight="false" outlineLevel="0" collapsed="false">
      <c r="A4599" s="0" t="s">
        <v>2360</v>
      </c>
      <c r="B4599" s="6" t="n">
        <v>42975</v>
      </c>
      <c r="C4599" s="7" t="s">
        <v>45</v>
      </c>
      <c r="D4599" s="7" t="s">
        <v>48</v>
      </c>
      <c r="E4599" s="7" t="s">
        <v>35</v>
      </c>
      <c r="F4599" s="0" t="n">
        <v>21.81</v>
      </c>
      <c r="G4599" s="0" t="n">
        <v>5.8887</v>
      </c>
      <c r="H4599" s="0" t="n">
        <v>0</v>
      </c>
      <c r="I4599" s="7" t="n">
        <f aca="false">YEAR(B4599)</f>
        <v>2017</v>
      </c>
      <c r="J4599" s="0" t="str">
        <f aca="false">I4599&amp;"-Q"&amp;ROUNDUP(MONTH(B4599)/3,0)</f>
        <v>2017-Q3</v>
      </c>
    </row>
    <row r="4600" customFormat="false" ht="15" hidden="false" customHeight="false" outlineLevel="0" collapsed="false">
      <c r="A4600" s="0" t="s">
        <v>2360</v>
      </c>
      <c r="B4600" s="6" t="n">
        <v>42975</v>
      </c>
      <c r="C4600" s="7" t="s">
        <v>45</v>
      </c>
      <c r="D4600" s="7" t="s">
        <v>48</v>
      </c>
      <c r="E4600" s="7" t="s">
        <v>35</v>
      </c>
      <c r="F4600" s="0" t="n">
        <v>91.6</v>
      </c>
      <c r="G4600" s="0" t="n">
        <v>26.564</v>
      </c>
      <c r="H4600" s="0" t="n">
        <v>0</v>
      </c>
      <c r="I4600" s="7" t="n">
        <f aca="false">YEAR(B4600)</f>
        <v>2017</v>
      </c>
      <c r="J4600" s="0" t="str">
        <f aca="false">I4600&amp;"-Q"&amp;ROUNDUP(MONTH(B4600)/3,0)</f>
        <v>2017-Q3</v>
      </c>
    </row>
    <row r="4601" customFormat="false" ht="15" hidden="false" customHeight="false" outlineLevel="0" collapsed="false">
      <c r="A4601" s="0" t="s">
        <v>2361</v>
      </c>
      <c r="B4601" s="6" t="n">
        <v>42201</v>
      </c>
      <c r="C4601" s="7" t="s">
        <v>55</v>
      </c>
      <c r="D4601" s="7" t="s">
        <v>495</v>
      </c>
      <c r="E4601" s="7" t="s">
        <v>31</v>
      </c>
      <c r="F4601" s="0" t="n">
        <v>150.98</v>
      </c>
      <c r="G4601" s="0" t="n">
        <v>43.7842</v>
      </c>
      <c r="H4601" s="0" t="n">
        <v>0</v>
      </c>
      <c r="I4601" s="7" t="n">
        <f aca="false">YEAR(B4601)</f>
        <v>2015</v>
      </c>
      <c r="J4601" s="0" t="str">
        <f aca="false">I4601&amp;"-Q"&amp;ROUNDUP(MONTH(B4601)/3,0)</f>
        <v>2015-Q3</v>
      </c>
    </row>
    <row r="4602" customFormat="false" ht="15" hidden="false" customHeight="false" outlineLevel="0" collapsed="false">
      <c r="A4602" s="0" t="s">
        <v>2361</v>
      </c>
      <c r="B4602" s="6" t="n">
        <v>42201</v>
      </c>
      <c r="C4602" s="7" t="s">
        <v>55</v>
      </c>
      <c r="D4602" s="7" t="s">
        <v>495</v>
      </c>
      <c r="E4602" s="7" t="s">
        <v>35</v>
      </c>
      <c r="F4602" s="0" t="n">
        <v>137.25</v>
      </c>
      <c r="G4602" s="0" t="n">
        <v>63.135</v>
      </c>
      <c r="H4602" s="0" t="n">
        <v>0</v>
      </c>
      <c r="I4602" s="7" t="n">
        <f aca="false">YEAR(B4602)</f>
        <v>2015</v>
      </c>
      <c r="J4602" s="0" t="str">
        <f aca="false">I4602&amp;"-Q"&amp;ROUNDUP(MONTH(B4602)/3,0)</f>
        <v>2015-Q3</v>
      </c>
    </row>
    <row r="4603" customFormat="false" ht="15" hidden="false" customHeight="false" outlineLevel="0" collapsed="false">
      <c r="A4603" s="0" t="s">
        <v>2361</v>
      </c>
      <c r="B4603" s="6" t="n">
        <v>42201</v>
      </c>
      <c r="C4603" s="7" t="s">
        <v>55</v>
      </c>
      <c r="D4603" s="7" t="s">
        <v>495</v>
      </c>
      <c r="E4603" s="7" t="s">
        <v>35</v>
      </c>
      <c r="F4603" s="0" t="n">
        <v>11.52</v>
      </c>
      <c r="G4603" s="0" t="n">
        <v>5.4144</v>
      </c>
      <c r="H4603" s="0" t="n">
        <v>0</v>
      </c>
      <c r="I4603" s="7" t="n">
        <f aca="false">YEAR(B4603)</f>
        <v>2015</v>
      </c>
      <c r="J4603" s="0" t="str">
        <f aca="false">I4603&amp;"-Q"&amp;ROUNDUP(MONTH(B4603)/3,0)</f>
        <v>2015-Q3</v>
      </c>
    </row>
    <row r="4604" customFormat="false" ht="15" hidden="false" customHeight="false" outlineLevel="0" collapsed="false">
      <c r="A4604" s="0" t="s">
        <v>2362</v>
      </c>
      <c r="B4604" s="6" t="n">
        <v>42150</v>
      </c>
      <c r="C4604" s="7" t="s">
        <v>29</v>
      </c>
      <c r="D4604" s="7" t="s">
        <v>41</v>
      </c>
      <c r="E4604" s="7" t="s">
        <v>35</v>
      </c>
      <c r="F4604" s="0" t="n">
        <v>18.272</v>
      </c>
      <c r="G4604" s="0" t="n">
        <v>5.9384</v>
      </c>
      <c r="H4604" s="0" t="n">
        <v>0.2</v>
      </c>
      <c r="I4604" s="7" t="n">
        <f aca="false">YEAR(B4604)</f>
        <v>2015</v>
      </c>
      <c r="J4604" s="0" t="str">
        <f aca="false">I4604&amp;"-Q"&amp;ROUNDUP(MONTH(B4604)/3,0)</f>
        <v>2015-Q2</v>
      </c>
    </row>
    <row r="4605" customFormat="false" ht="15" hidden="false" customHeight="false" outlineLevel="0" collapsed="false">
      <c r="A4605" s="0" t="s">
        <v>2362</v>
      </c>
      <c r="B4605" s="6" t="n">
        <v>42150</v>
      </c>
      <c r="C4605" s="7" t="s">
        <v>29</v>
      </c>
      <c r="D4605" s="7" t="s">
        <v>41</v>
      </c>
      <c r="E4605" s="7" t="s">
        <v>35</v>
      </c>
      <c r="F4605" s="0" t="n">
        <v>153.728</v>
      </c>
      <c r="G4605" s="0" t="n">
        <v>53.8048</v>
      </c>
      <c r="H4605" s="0" t="n">
        <v>0.2</v>
      </c>
      <c r="I4605" s="7" t="n">
        <f aca="false">YEAR(B4605)</f>
        <v>2015</v>
      </c>
      <c r="J4605" s="0" t="str">
        <f aca="false">I4605&amp;"-Q"&amp;ROUNDUP(MONTH(B4605)/3,0)</f>
        <v>2015-Q2</v>
      </c>
    </row>
    <row r="4606" customFormat="false" ht="15" hidden="false" customHeight="false" outlineLevel="0" collapsed="false">
      <c r="A4606" s="0" t="s">
        <v>2362</v>
      </c>
      <c r="B4606" s="6" t="n">
        <v>42150</v>
      </c>
      <c r="C4606" s="7" t="s">
        <v>29</v>
      </c>
      <c r="D4606" s="7" t="s">
        <v>41</v>
      </c>
      <c r="E4606" s="7" t="s">
        <v>35</v>
      </c>
      <c r="F4606" s="0" t="n">
        <v>12.224</v>
      </c>
      <c r="G4606" s="0" t="n">
        <v>4.4312</v>
      </c>
      <c r="H4606" s="0" t="n">
        <v>0.2</v>
      </c>
      <c r="I4606" s="7" t="n">
        <f aca="false">YEAR(B4606)</f>
        <v>2015</v>
      </c>
      <c r="J4606" s="0" t="str">
        <f aca="false">I4606&amp;"-Q"&amp;ROUNDUP(MONTH(B4606)/3,0)</f>
        <v>2015-Q2</v>
      </c>
    </row>
    <row r="4607" customFormat="false" ht="15" hidden="false" customHeight="false" outlineLevel="0" collapsed="false">
      <c r="A4607" s="0" t="s">
        <v>2362</v>
      </c>
      <c r="B4607" s="6" t="n">
        <v>42150</v>
      </c>
      <c r="C4607" s="7" t="s">
        <v>29</v>
      </c>
      <c r="D4607" s="7" t="s">
        <v>41</v>
      </c>
      <c r="E4607" s="7" t="s">
        <v>39</v>
      </c>
      <c r="F4607" s="0" t="n">
        <v>167.944</v>
      </c>
      <c r="G4607" s="0" t="n">
        <v>50.3832</v>
      </c>
      <c r="H4607" s="0" t="n">
        <v>0.2</v>
      </c>
      <c r="I4607" s="7" t="n">
        <f aca="false">YEAR(B4607)</f>
        <v>2015</v>
      </c>
      <c r="J4607" s="0" t="str">
        <f aca="false">I4607&amp;"-Q"&amp;ROUNDUP(MONTH(B4607)/3,0)</f>
        <v>2015-Q2</v>
      </c>
    </row>
    <row r="4608" customFormat="false" ht="15" hidden="false" customHeight="false" outlineLevel="0" collapsed="false">
      <c r="A4608" s="0" t="s">
        <v>2363</v>
      </c>
      <c r="B4608" s="6" t="n">
        <v>42152</v>
      </c>
      <c r="C4608" s="7" t="s">
        <v>55</v>
      </c>
      <c r="D4608" s="7" t="s">
        <v>76</v>
      </c>
      <c r="E4608" s="7" t="s">
        <v>39</v>
      </c>
      <c r="F4608" s="0" t="n">
        <v>45.99</v>
      </c>
      <c r="G4608" s="0" t="n">
        <v>13.3371</v>
      </c>
      <c r="H4608" s="0" t="n">
        <v>0</v>
      </c>
      <c r="I4608" s="7" t="n">
        <f aca="false">YEAR(B4608)</f>
        <v>2015</v>
      </c>
      <c r="J4608" s="0" t="str">
        <f aca="false">I4608&amp;"-Q"&amp;ROUNDUP(MONTH(B4608)/3,0)</f>
        <v>2015-Q2</v>
      </c>
    </row>
    <row r="4609" customFormat="false" ht="15" hidden="false" customHeight="false" outlineLevel="0" collapsed="false">
      <c r="A4609" s="0" t="s">
        <v>2363</v>
      </c>
      <c r="B4609" s="6" t="n">
        <v>42152</v>
      </c>
      <c r="C4609" s="7" t="s">
        <v>55</v>
      </c>
      <c r="D4609" s="7" t="s">
        <v>76</v>
      </c>
      <c r="E4609" s="7" t="s">
        <v>35</v>
      </c>
      <c r="F4609" s="0" t="n">
        <v>535.41</v>
      </c>
      <c r="G4609" s="0" t="n">
        <v>160.623</v>
      </c>
      <c r="H4609" s="0" t="n">
        <v>0</v>
      </c>
      <c r="I4609" s="7" t="n">
        <f aca="false">YEAR(B4609)</f>
        <v>2015</v>
      </c>
      <c r="J4609" s="0" t="str">
        <f aca="false">I4609&amp;"-Q"&amp;ROUNDUP(MONTH(B4609)/3,0)</f>
        <v>2015-Q2</v>
      </c>
    </row>
    <row r="4610" customFormat="false" ht="15" hidden="false" customHeight="false" outlineLevel="0" collapsed="false">
      <c r="A4610" s="0" t="s">
        <v>2363</v>
      </c>
      <c r="B4610" s="6" t="n">
        <v>42152</v>
      </c>
      <c r="C4610" s="7" t="s">
        <v>55</v>
      </c>
      <c r="D4610" s="7" t="s">
        <v>76</v>
      </c>
      <c r="E4610" s="7" t="s">
        <v>35</v>
      </c>
      <c r="F4610" s="0" t="n">
        <v>6.096</v>
      </c>
      <c r="G4610" s="0" t="n">
        <v>2.0574</v>
      </c>
      <c r="H4610" s="0" t="n">
        <v>0.2</v>
      </c>
      <c r="I4610" s="7" t="n">
        <f aca="false">YEAR(B4610)</f>
        <v>2015</v>
      </c>
      <c r="J4610" s="0" t="str">
        <f aca="false">I4610&amp;"-Q"&amp;ROUNDUP(MONTH(B4610)/3,0)</f>
        <v>2015-Q2</v>
      </c>
    </row>
    <row r="4611" customFormat="false" ht="15" hidden="false" customHeight="false" outlineLevel="0" collapsed="false">
      <c r="A4611" s="0" t="s">
        <v>2363</v>
      </c>
      <c r="B4611" s="6" t="n">
        <v>42152</v>
      </c>
      <c r="C4611" s="7" t="s">
        <v>55</v>
      </c>
      <c r="D4611" s="7" t="s">
        <v>76</v>
      </c>
      <c r="E4611" s="7" t="s">
        <v>35</v>
      </c>
      <c r="F4611" s="0" t="n">
        <v>45.36</v>
      </c>
      <c r="G4611" s="0" t="n">
        <v>21.7728</v>
      </c>
      <c r="H4611" s="0" t="n">
        <v>0</v>
      </c>
      <c r="I4611" s="7" t="n">
        <f aca="false">YEAR(B4611)</f>
        <v>2015</v>
      </c>
      <c r="J4611" s="0" t="str">
        <f aca="false">I4611&amp;"-Q"&amp;ROUNDUP(MONTH(B4611)/3,0)</f>
        <v>2015-Q2</v>
      </c>
    </row>
    <row r="4612" customFormat="false" ht="15" hidden="false" customHeight="false" outlineLevel="0" collapsed="false">
      <c r="A4612" s="0" t="s">
        <v>2364</v>
      </c>
      <c r="B4612" s="6" t="n">
        <v>43048</v>
      </c>
      <c r="C4612" s="7" t="s">
        <v>33</v>
      </c>
      <c r="D4612" s="7" t="s">
        <v>34</v>
      </c>
      <c r="E4612" s="7" t="s">
        <v>31</v>
      </c>
      <c r="F4612" s="0" t="n">
        <v>47.12</v>
      </c>
      <c r="G4612" s="0" t="n">
        <v>20.7328</v>
      </c>
      <c r="H4612" s="0" t="n">
        <v>0</v>
      </c>
      <c r="I4612" s="7" t="n">
        <f aca="false">YEAR(B4612)</f>
        <v>2017</v>
      </c>
      <c r="J4612" s="0" t="str">
        <f aca="false">I4612&amp;"-Q"&amp;ROUNDUP(MONTH(B4612)/3,0)</f>
        <v>2017-Q4</v>
      </c>
    </row>
    <row r="4613" customFormat="false" ht="15" hidden="false" customHeight="false" outlineLevel="0" collapsed="false">
      <c r="A4613" s="0" t="s">
        <v>2365</v>
      </c>
      <c r="B4613" s="6" t="n">
        <v>42393</v>
      </c>
      <c r="C4613" s="7" t="s">
        <v>29</v>
      </c>
      <c r="D4613" s="7" t="s">
        <v>265</v>
      </c>
      <c r="E4613" s="7" t="s">
        <v>35</v>
      </c>
      <c r="F4613" s="0" t="n">
        <v>31.36</v>
      </c>
      <c r="G4613" s="0" t="n">
        <v>15.68</v>
      </c>
      <c r="H4613" s="0" t="n">
        <v>0</v>
      </c>
      <c r="I4613" s="7" t="n">
        <f aca="false">YEAR(B4613)</f>
        <v>2016</v>
      </c>
      <c r="J4613" s="0" t="str">
        <f aca="false">I4613&amp;"-Q"&amp;ROUNDUP(MONTH(B4613)/3,0)</f>
        <v>2016-Q1</v>
      </c>
    </row>
    <row r="4614" customFormat="false" ht="15" hidden="false" customHeight="false" outlineLevel="0" collapsed="false">
      <c r="A4614" s="0" t="s">
        <v>2366</v>
      </c>
      <c r="B4614" s="6" t="n">
        <v>42735</v>
      </c>
      <c r="C4614" s="7" t="s">
        <v>29</v>
      </c>
      <c r="D4614" s="7" t="s">
        <v>37</v>
      </c>
      <c r="E4614" s="7" t="s">
        <v>35</v>
      </c>
      <c r="F4614" s="0" t="n">
        <v>47.616</v>
      </c>
      <c r="G4614" s="0" t="n">
        <v>3.5712</v>
      </c>
      <c r="H4614" s="0" t="n">
        <v>0.2</v>
      </c>
      <c r="I4614" s="7" t="n">
        <f aca="false">YEAR(B4614)</f>
        <v>2016</v>
      </c>
      <c r="J4614" s="0" t="str">
        <f aca="false">I4614&amp;"-Q"&amp;ROUNDUP(MONTH(B4614)/3,0)</f>
        <v>2016-Q4</v>
      </c>
    </row>
    <row r="4615" customFormat="false" ht="15" hidden="false" customHeight="false" outlineLevel="0" collapsed="false">
      <c r="A4615" s="0" t="s">
        <v>2366</v>
      </c>
      <c r="B4615" s="6" t="n">
        <v>42735</v>
      </c>
      <c r="C4615" s="7" t="s">
        <v>29</v>
      </c>
      <c r="D4615" s="7" t="s">
        <v>37</v>
      </c>
      <c r="E4615" s="7" t="s">
        <v>35</v>
      </c>
      <c r="F4615" s="0" t="n">
        <v>23.48</v>
      </c>
      <c r="G4615" s="0" t="n">
        <v>8.218</v>
      </c>
      <c r="H4615" s="0" t="n">
        <v>0.2</v>
      </c>
      <c r="I4615" s="7" t="n">
        <f aca="false">YEAR(B4615)</f>
        <v>2016</v>
      </c>
      <c r="J4615" s="0" t="str">
        <f aca="false">I4615&amp;"-Q"&amp;ROUNDUP(MONTH(B4615)/3,0)</f>
        <v>2016-Q4</v>
      </c>
    </row>
    <row r="4616" customFormat="false" ht="15" hidden="false" customHeight="false" outlineLevel="0" collapsed="false">
      <c r="A4616" s="0" t="s">
        <v>2367</v>
      </c>
      <c r="B4616" s="6" t="n">
        <v>42618</v>
      </c>
      <c r="C4616" s="7" t="s">
        <v>45</v>
      </c>
      <c r="D4616" s="7" t="s">
        <v>46</v>
      </c>
      <c r="E4616" s="7" t="s">
        <v>35</v>
      </c>
      <c r="F4616" s="0" t="n">
        <v>62.79</v>
      </c>
      <c r="G4616" s="0" t="n">
        <v>-166.3935</v>
      </c>
      <c r="H4616" s="0" t="n">
        <v>0.8</v>
      </c>
      <c r="I4616" s="7" t="n">
        <f aca="false">YEAR(B4616)</f>
        <v>2016</v>
      </c>
      <c r="J4616" s="0" t="str">
        <f aca="false">I4616&amp;"-Q"&amp;ROUNDUP(MONTH(B4616)/3,0)</f>
        <v>2016-Q3</v>
      </c>
    </row>
    <row r="4617" customFormat="false" ht="15" hidden="false" customHeight="false" outlineLevel="0" collapsed="false">
      <c r="A4617" s="0" t="s">
        <v>2367</v>
      </c>
      <c r="B4617" s="6" t="n">
        <v>42618</v>
      </c>
      <c r="C4617" s="7" t="s">
        <v>45</v>
      </c>
      <c r="D4617" s="7" t="s">
        <v>46</v>
      </c>
      <c r="E4617" s="7" t="s">
        <v>35</v>
      </c>
      <c r="F4617" s="0" t="n">
        <v>28.44</v>
      </c>
      <c r="G4617" s="0" t="n">
        <v>4.266</v>
      </c>
      <c r="H4617" s="0" t="n">
        <v>0.2</v>
      </c>
      <c r="I4617" s="7" t="n">
        <f aca="false">YEAR(B4617)</f>
        <v>2016</v>
      </c>
      <c r="J4617" s="0" t="str">
        <f aca="false">I4617&amp;"-Q"&amp;ROUNDUP(MONTH(B4617)/3,0)</f>
        <v>2016-Q3</v>
      </c>
    </row>
    <row r="4618" customFormat="false" ht="15" hidden="false" customHeight="false" outlineLevel="0" collapsed="false">
      <c r="A4618" s="0" t="s">
        <v>2368</v>
      </c>
      <c r="B4618" s="6" t="n">
        <v>42251</v>
      </c>
      <c r="C4618" s="7" t="s">
        <v>45</v>
      </c>
      <c r="D4618" s="7" t="s">
        <v>46</v>
      </c>
      <c r="E4618" s="7" t="s">
        <v>39</v>
      </c>
      <c r="F4618" s="0" t="n">
        <v>134.376</v>
      </c>
      <c r="G4618" s="0" t="n">
        <v>6.7188</v>
      </c>
      <c r="H4618" s="0" t="n">
        <v>0.2</v>
      </c>
      <c r="I4618" s="7" t="n">
        <f aca="false">YEAR(B4618)</f>
        <v>2015</v>
      </c>
      <c r="J4618" s="0" t="str">
        <f aca="false">I4618&amp;"-Q"&amp;ROUNDUP(MONTH(B4618)/3,0)</f>
        <v>2015-Q3</v>
      </c>
    </row>
    <row r="4619" customFormat="false" ht="15" hidden="false" customHeight="false" outlineLevel="0" collapsed="false">
      <c r="A4619" s="0" t="s">
        <v>2369</v>
      </c>
      <c r="B4619" s="6" t="n">
        <v>42268</v>
      </c>
      <c r="C4619" s="7" t="s">
        <v>55</v>
      </c>
      <c r="D4619" s="7" t="s">
        <v>225</v>
      </c>
      <c r="E4619" s="7" t="s">
        <v>39</v>
      </c>
      <c r="F4619" s="0" t="n">
        <v>589.9</v>
      </c>
      <c r="G4619" s="0" t="n">
        <v>147.475</v>
      </c>
      <c r="H4619" s="0" t="n">
        <v>0</v>
      </c>
      <c r="I4619" s="7" t="n">
        <f aca="false">YEAR(B4619)</f>
        <v>2015</v>
      </c>
      <c r="J4619" s="0" t="str">
        <f aca="false">I4619&amp;"-Q"&amp;ROUNDUP(MONTH(B4619)/3,0)</f>
        <v>2015-Q3</v>
      </c>
    </row>
    <row r="4620" customFormat="false" ht="15" hidden="false" customHeight="false" outlineLevel="0" collapsed="false">
      <c r="A4620" s="0" t="s">
        <v>2369</v>
      </c>
      <c r="B4620" s="6" t="n">
        <v>42268</v>
      </c>
      <c r="C4620" s="7" t="s">
        <v>55</v>
      </c>
      <c r="D4620" s="7" t="s">
        <v>225</v>
      </c>
      <c r="E4620" s="7" t="s">
        <v>31</v>
      </c>
      <c r="F4620" s="0" t="n">
        <v>542.94</v>
      </c>
      <c r="G4620" s="0" t="n">
        <v>141.1644</v>
      </c>
      <c r="H4620" s="0" t="n">
        <v>0</v>
      </c>
      <c r="I4620" s="7" t="n">
        <f aca="false">YEAR(B4620)</f>
        <v>2015</v>
      </c>
      <c r="J4620" s="0" t="str">
        <f aca="false">I4620&amp;"-Q"&amp;ROUNDUP(MONTH(B4620)/3,0)</f>
        <v>2015-Q3</v>
      </c>
    </row>
    <row r="4621" customFormat="false" ht="15" hidden="false" customHeight="false" outlineLevel="0" collapsed="false">
      <c r="A4621" s="0" t="s">
        <v>2370</v>
      </c>
      <c r="B4621" s="6" t="n">
        <v>43093</v>
      </c>
      <c r="C4621" s="7" t="s">
        <v>33</v>
      </c>
      <c r="D4621" s="7" t="s">
        <v>34</v>
      </c>
      <c r="E4621" s="7" t="s">
        <v>39</v>
      </c>
      <c r="F4621" s="0" t="n">
        <v>2879.952</v>
      </c>
      <c r="G4621" s="0" t="n">
        <v>1007.9832</v>
      </c>
      <c r="H4621" s="0" t="n">
        <v>0.2</v>
      </c>
      <c r="I4621" s="7" t="n">
        <f aca="false">YEAR(B4621)</f>
        <v>2017</v>
      </c>
      <c r="J4621" s="0" t="str">
        <f aca="false">I4621&amp;"-Q"&amp;ROUNDUP(MONTH(B4621)/3,0)</f>
        <v>2017-Q4</v>
      </c>
    </row>
    <row r="4622" customFormat="false" ht="15" hidden="false" customHeight="false" outlineLevel="0" collapsed="false">
      <c r="A4622" s="0" t="s">
        <v>2370</v>
      </c>
      <c r="B4622" s="6" t="n">
        <v>43093</v>
      </c>
      <c r="C4622" s="7" t="s">
        <v>33</v>
      </c>
      <c r="D4622" s="7" t="s">
        <v>34</v>
      </c>
      <c r="E4622" s="7" t="s">
        <v>35</v>
      </c>
      <c r="F4622" s="0" t="n">
        <v>90.48</v>
      </c>
      <c r="G4622" s="0" t="n">
        <v>33.93</v>
      </c>
      <c r="H4622" s="0" t="n">
        <v>0.2</v>
      </c>
      <c r="I4622" s="7" t="n">
        <f aca="false">YEAR(B4622)</f>
        <v>2017</v>
      </c>
      <c r="J4622" s="0" t="str">
        <f aca="false">I4622&amp;"-Q"&amp;ROUNDUP(MONTH(B4622)/3,0)</f>
        <v>2017-Q4</v>
      </c>
    </row>
    <row r="4623" customFormat="false" ht="15" hidden="false" customHeight="false" outlineLevel="0" collapsed="false">
      <c r="A4623" s="0" t="s">
        <v>2371</v>
      </c>
      <c r="B4623" s="6" t="n">
        <v>42282</v>
      </c>
      <c r="C4623" s="7" t="s">
        <v>55</v>
      </c>
      <c r="D4623" s="7" t="s">
        <v>72</v>
      </c>
      <c r="E4623" s="7" t="s">
        <v>35</v>
      </c>
      <c r="F4623" s="0" t="n">
        <v>77.55</v>
      </c>
      <c r="G4623" s="0" t="n">
        <v>21.714</v>
      </c>
      <c r="H4623" s="0" t="n">
        <v>0</v>
      </c>
      <c r="I4623" s="7" t="n">
        <f aca="false">YEAR(B4623)</f>
        <v>2015</v>
      </c>
      <c r="J4623" s="0" t="str">
        <f aca="false">I4623&amp;"-Q"&amp;ROUNDUP(MONTH(B4623)/3,0)</f>
        <v>2015-Q4</v>
      </c>
    </row>
    <row r="4624" customFormat="false" ht="15" hidden="false" customHeight="false" outlineLevel="0" collapsed="false">
      <c r="A4624" s="0" t="s">
        <v>2372</v>
      </c>
      <c r="B4624" s="6" t="n">
        <v>42987</v>
      </c>
      <c r="C4624" s="7" t="s">
        <v>29</v>
      </c>
      <c r="D4624" s="7" t="s">
        <v>87</v>
      </c>
      <c r="E4624" s="7" t="s">
        <v>35</v>
      </c>
      <c r="F4624" s="0" t="n">
        <v>8.832</v>
      </c>
      <c r="G4624" s="0" t="n">
        <v>-1.9872</v>
      </c>
      <c r="H4624" s="0" t="n">
        <v>0.2</v>
      </c>
      <c r="I4624" s="7" t="n">
        <f aca="false">YEAR(B4624)</f>
        <v>2017</v>
      </c>
      <c r="J4624" s="0" t="str">
        <f aca="false">I4624&amp;"-Q"&amp;ROUNDUP(MONTH(B4624)/3,0)</f>
        <v>2017-Q3</v>
      </c>
    </row>
    <row r="4625" customFormat="false" ht="15" hidden="false" customHeight="false" outlineLevel="0" collapsed="false">
      <c r="A4625" s="0" t="s">
        <v>2372</v>
      </c>
      <c r="B4625" s="6" t="n">
        <v>42987</v>
      </c>
      <c r="C4625" s="7" t="s">
        <v>29</v>
      </c>
      <c r="D4625" s="7" t="s">
        <v>87</v>
      </c>
      <c r="E4625" s="7" t="s">
        <v>35</v>
      </c>
      <c r="F4625" s="0" t="n">
        <v>177.536</v>
      </c>
      <c r="G4625" s="0" t="n">
        <v>62.1376</v>
      </c>
      <c r="H4625" s="0" t="n">
        <v>0.2</v>
      </c>
      <c r="I4625" s="7" t="n">
        <f aca="false">YEAR(B4625)</f>
        <v>2017</v>
      </c>
      <c r="J4625" s="0" t="str">
        <f aca="false">I4625&amp;"-Q"&amp;ROUNDUP(MONTH(B4625)/3,0)</f>
        <v>2017-Q3</v>
      </c>
    </row>
    <row r="4626" customFormat="false" ht="15" hidden="false" customHeight="false" outlineLevel="0" collapsed="false">
      <c r="A4626" s="0" t="s">
        <v>2372</v>
      </c>
      <c r="B4626" s="6" t="n">
        <v>42987</v>
      </c>
      <c r="C4626" s="7" t="s">
        <v>29</v>
      </c>
      <c r="D4626" s="7" t="s">
        <v>87</v>
      </c>
      <c r="E4626" s="7" t="s">
        <v>35</v>
      </c>
      <c r="F4626" s="0" t="n">
        <v>258.48</v>
      </c>
      <c r="G4626" s="0" t="n">
        <v>-3.231</v>
      </c>
      <c r="H4626" s="0" t="n">
        <v>0.2</v>
      </c>
      <c r="I4626" s="7" t="n">
        <f aca="false">YEAR(B4626)</f>
        <v>2017</v>
      </c>
      <c r="J4626" s="0" t="str">
        <f aca="false">I4626&amp;"-Q"&amp;ROUNDUP(MONTH(B4626)/3,0)</f>
        <v>2017-Q3</v>
      </c>
    </row>
    <row r="4627" customFormat="false" ht="15" hidden="false" customHeight="false" outlineLevel="0" collapsed="false">
      <c r="A4627" s="0" t="s">
        <v>2372</v>
      </c>
      <c r="B4627" s="6" t="n">
        <v>42987</v>
      </c>
      <c r="C4627" s="7" t="s">
        <v>29</v>
      </c>
      <c r="D4627" s="7" t="s">
        <v>87</v>
      </c>
      <c r="E4627" s="7" t="s">
        <v>31</v>
      </c>
      <c r="F4627" s="0" t="n">
        <v>14.136</v>
      </c>
      <c r="G4627" s="0" t="n">
        <v>4.2408</v>
      </c>
      <c r="H4627" s="0" t="n">
        <v>0.2</v>
      </c>
      <c r="I4627" s="7" t="n">
        <f aca="false">YEAR(B4627)</f>
        <v>2017</v>
      </c>
      <c r="J4627" s="0" t="str">
        <f aca="false">I4627&amp;"-Q"&amp;ROUNDUP(MONTH(B4627)/3,0)</f>
        <v>2017-Q3</v>
      </c>
    </row>
    <row r="4628" customFormat="false" ht="15" hidden="false" customHeight="false" outlineLevel="0" collapsed="false">
      <c r="A4628" s="0" t="s">
        <v>2373</v>
      </c>
      <c r="B4628" s="6" t="n">
        <v>42687</v>
      </c>
      <c r="C4628" s="7" t="s">
        <v>55</v>
      </c>
      <c r="D4628" s="7" t="s">
        <v>76</v>
      </c>
      <c r="E4628" s="7" t="s">
        <v>35</v>
      </c>
      <c r="F4628" s="0" t="n">
        <v>77.55</v>
      </c>
      <c r="G4628" s="0" t="n">
        <v>20.163</v>
      </c>
      <c r="H4628" s="0" t="n">
        <v>0</v>
      </c>
      <c r="I4628" s="7" t="n">
        <f aca="false">YEAR(B4628)</f>
        <v>2016</v>
      </c>
      <c r="J4628" s="0" t="str">
        <f aca="false">I4628&amp;"-Q"&amp;ROUNDUP(MONTH(B4628)/3,0)</f>
        <v>2016-Q4</v>
      </c>
    </row>
    <row r="4629" customFormat="false" ht="15" hidden="false" customHeight="false" outlineLevel="0" collapsed="false">
      <c r="A4629" s="0" t="s">
        <v>2373</v>
      </c>
      <c r="B4629" s="6" t="n">
        <v>42687</v>
      </c>
      <c r="C4629" s="7" t="s">
        <v>55</v>
      </c>
      <c r="D4629" s="7" t="s">
        <v>76</v>
      </c>
      <c r="E4629" s="7" t="s">
        <v>35</v>
      </c>
      <c r="F4629" s="0" t="n">
        <v>24.88</v>
      </c>
      <c r="G4629" s="0" t="n">
        <v>6.9664</v>
      </c>
      <c r="H4629" s="0" t="n">
        <v>0</v>
      </c>
      <c r="I4629" s="7" t="n">
        <f aca="false">YEAR(B4629)</f>
        <v>2016</v>
      </c>
      <c r="J4629" s="0" t="str">
        <f aca="false">I4629&amp;"-Q"&amp;ROUNDUP(MONTH(B4629)/3,0)</f>
        <v>2016-Q4</v>
      </c>
    </row>
    <row r="4630" customFormat="false" ht="15" hidden="false" customHeight="false" outlineLevel="0" collapsed="false">
      <c r="A4630" s="0" t="s">
        <v>2373</v>
      </c>
      <c r="B4630" s="6" t="n">
        <v>42687</v>
      </c>
      <c r="C4630" s="7" t="s">
        <v>55</v>
      </c>
      <c r="D4630" s="7" t="s">
        <v>76</v>
      </c>
      <c r="E4630" s="7" t="s">
        <v>35</v>
      </c>
      <c r="F4630" s="0" t="n">
        <v>140.75</v>
      </c>
      <c r="G4630" s="0" t="n">
        <v>39.41</v>
      </c>
      <c r="H4630" s="0" t="n">
        <v>0</v>
      </c>
      <c r="I4630" s="7" t="n">
        <f aca="false">YEAR(B4630)</f>
        <v>2016</v>
      </c>
      <c r="J4630" s="0" t="str">
        <f aca="false">I4630&amp;"-Q"&amp;ROUNDUP(MONTH(B4630)/3,0)</f>
        <v>2016-Q4</v>
      </c>
    </row>
    <row r="4631" customFormat="false" ht="15" hidden="false" customHeight="false" outlineLevel="0" collapsed="false">
      <c r="A4631" s="0" t="s">
        <v>2373</v>
      </c>
      <c r="B4631" s="6" t="n">
        <v>42687</v>
      </c>
      <c r="C4631" s="7" t="s">
        <v>55</v>
      </c>
      <c r="D4631" s="7" t="s">
        <v>76</v>
      </c>
      <c r="E4631" s="7" t="s">
        <v>35</v>
      </c>
      <c r="F4631" s="0" t="n">
        <v>36.63</v>
      </c>
      <c r="G4631" s="0" t="n">
        <v>9.8901</v>
      </c>
      <c r="H4631" s="0" t="n">
        <v>0</v>
      </c>
      <c r="I4631" s="7" t="n">
        <f aca="false">YEAR(B4631)</f>
        <v>2016</v>
      </c>
      <c r="J4631" s="0" t="str">
        <f aca="false">I4631&amp;"-Q"&amp;ROUNDUP(MONTH(B4631)/3,0)</f>
        <v>2016-Q4</v>
      </c>
    </row>
    <row r="4632" customFormat="false" ht="15" hidden="false" customHeight="false" outlineLevel="0" collapsed="false">
      <c r="A4632" s="0" t="s">
        <v>2374</v>
      </c>
      <c r="B4632" s="6" t="n">
        <v>42292</v>
      </c>
      <c r="C4632" s="7" t="s">
        <v>45</v>
      </c>
      <c r="D4632" s="7" t="s">
        <v>70</v>
      </c>
      <c r="E4632" s="7" t="s">
        <v>31</v>
      </c>
      <c r="F4632" s="0" t="n">
        <v>17.14</v>
      </c>
      <c r="G4632" s="0" t="n">
        <v>6.1704</v>
      </c>
      <c r="H4632" s="0" t="n">
        <v>0</v>
      </c>
      <c r="I4632" s="7" t="n">
        <f aca="false">YEAR(B4632)</f>
        <v>2015</v>
      </c>
      <c r="J4632" s="0" t="str">
        <f aca="false">I4632&amp;"-Q"&amp;ROUNDUP(MONTH(B4632)/3,0)</f>
        <v>2015-Q4</v>
      </c>
    </row>
    <row r="4633" customFormat="false" ht="15" hidden="false" customHeight="false" outlineLevel="0" collapsed="false">
      <c r="A4633" s="0" t="s">
        <v>2375</v>
      </c>
      <c r="B4633" s="6" t="n">
        <v>42950</v>
      </c>
      <c r="C4633" s="7" t="s">
        <v>33</v>
      </c>
      <c r="D4633" s="7" t="s">
        <v>34</v>
      </c>
      <c r="E4633" s="7" t="s">
        <v>35</v>
      </c>
      <c r="F4633" s="0" t="n">
        <v>51.75</v>
      </c>
      <c r="G4633" s="0" t="n">
        <v>24.84</v>
      </c>
      <c r="H4633" s="0" t="n">
        <v>0</v>
      </c>
      <c r="I4633" s="7" t="n">
        <f aca="false">YEAR(B4633)</f>
        <v>2017</v>
      </c>
      <c r="J4633" s="0" t="str">
        <f aca="false">I4633&amp;"-Q"&amp;ROUNDUP(MONTH(B4633)/3,0)</f>
        <v>2017-Q3</v>
      </c>
    </row>
    <row r="4634" customFormat="false" ht="15" hidden="false" customHeight="false" outlineLevel="0" collapsed="false">
      <c r="A4634" s="0" t="s">
        <v>2375</v>
      </c>
      <c r="B4634" s="6" t="n">
        <v>42950</v>
      </c>
      <c r="C4634" s="7" t="s">
        <v>33</v>
      </c>
      <c r="D4634" s="7" t="s">
        <v>34</v>
      </c>
      <c r="E4634" s="7" t="s">
        <v>31</v>
      </c>
      <c r="F4634" s="0" t="n">
        <v>123.96</v>
      </c>
      <c r="G4634" s="0" t="n">
        <v>11.1564</v>
      </c>
      <c r="H4634" s="0" t="n">
        <v>0</v>
      </c>
      <c r="I4634" s="7" t="n">
        <f aca="false">YEAR(B4634)</f>
        <v>2017</v>
      </c>
      <c r="J4634" s="0" t="str">
        <f aca="false">I4634&amp;"-Q"&amp;ROUNDUP(MONTH(B4634)/3,0)</f>
        <v>2017-Q3</v>
      </c>
    </row>
    <row r="4635" customFormat="false" ht="15" hidden="false" customHeight="false" outlineLevel="0" collapsed="false">
      <c r="A4635" s="0" t="s">
        <v>2376</v>
      </c>
      <c r="B4635" s="6" t="n">
        <v>42237</v>
      </c>
      <c r="C4635" s="7" t="s">
        <v>33</v>
      </c>
      <c r="D4635" s="7" t="s">
        <v>34</v>
      </c>
      <c r="E4635" s="7" t="s">
        <v>31</v>
      </c>
      <c r="F4635" s="0" t="n">
        <v>586.398</v>
      </c>
      <c r="G4635" s="0" t="n">
        <v>34.494</v>
      </c>
      <c r="H4635" s="0" t="n">
        <v>0.15</v>
      </c>
      <c r="I4635" s="7" t="n">
        <f aca="false">YEAR(B4635)</f>
        <v>2015</v>
      </c>
      <c r="J4635" s="0" t="str">
        <f aca="false">I4635&amp;"-Q"&amp;ROUNDUP(MONTH(B4635)/3,0)</f>
        <v>2015-Q3</v>
      </c>
    </row>
    <row r="4636" customFormat="false" ht="15" hidden="false" customHeight="false" outlineLevel="0" collapsed="false">
      <c r="A4636" s="0" t="s">
        <v>2376</v>
      </c>
      <c r="B4636" s="6" t="n">
        <v>42237</v>
      </c>
      <c r="C4636" s="7" t="s">
        <v>33</v>
      </c>
      <c r="D4636" s="7" t="s">
        <v>34</v>
      </c>
      <c r="E4636" s="7" t="s">
        <v>35</v>
      </c>
      <c r="F4636" s="0" t="n">
        <v>80.98</v>
      </c>
      <c r="G4636" s="0" t="n">
        <v>3.2392</v>
      </c>
      <c r="H4636" s="0" t="n">
        <v>0</v>
      </c>
      <c r="I4636" s="7" t="n">
        <f aca="false">YEAR(B4636)</f>
        <v>2015</v>
      </c>
      <c r="J4636" s="0" t="str">
        <f aca="false">I4636&amp;"-Q"&amp;ROUNDUP(MONTH(B4636)/3,0)</f>
        <v>2015-Q3</v>
      </c>
    </row>
    <row r="4637" customFormat="false" ht="15" hidden="false" customHeight="false" outlineLevel="0" collapsed="false">
      <c r="A4637" s="0" t="s">
        <v>2377</v>
      </c>
      <c r="B4637" s="6" t="n">
        <v>42806</v>
      </c>
      <c r="C4637" s="7" t="s">
        <v>33</v>
      </c>
      <c r="D4637" s="7" t="s">
        <v>34</v>
      </c>
      <c r="E4637" s="7" t="s">
        <v>35</v>
      </c>
      <c r="F4637" s="0" t="n">
        <v>242.94</v>
      </c>
      <c r="G4637" s="0" t="n">
        <v>9.7176</v>
      </c>
      <c r="H4637" s="0" t="n">
        <v>0</v>
      </c>
      <c r="I4637" s="7" t="n">
        <f aca="false">YEAR(B4637)</f>
        <v>2017</v>
      </c>
      <c r="J4637" s="0" t="str">
        <f aca="false">I4637&amp;"-Q"&amp;ROUNDUP(MONTH(B4637)/3,0)</f>
        <v>2017-Q1</v>
      </c>
    </row>
    <row r="4638" customFormat="false" ht="15" hidden="false" customHeight="false" outlineLevel="0" collapsed="false">
      <c r="A4638" s="0" t="s">
        <v>2378</v>
      </c>
      <c r="B4638" s="6" t="n">
        <v>42852</v>
      </c>
      <c r="C4638" s="7" t="s">
        <v>33</v>
      </c>
      <c r="D4638" s="7" t="s">
        <v>34</v>
      </c>
      <c r="E4638" s="7" t="s">
        <v>35</v>
      </c>
      <c r="F4638" s="0" t="n">
        <v>123.92</v>
      </c>
      <c r="G4638" s="0" t="n">
        <v>33.4584</v>
      </c>
      <c r="H4638" s="0" t="n">
        <v>0</v>
      </c>
      <c r="I4638" s="7" t="n">
        <f aca="false">YEAR(B4638)</f>
        <v>2017</v>
      </c>
      <c r="J4638" s="0" t="str">
        <f aca="false">I4638&amp;"-Q"&amp;ROUNDUP(MONTH(B4638)/3,0)</f>
        <v>2017-Q2</v>
      </c>
    </row>
    <row r="4639" customFormat="false" ht="15" hidden="false" customHeight="false" outlineLevel="0" collapsed="false">
      <c r="A4639" s="0" t="s">
        <v>2378</v>
      </c>
      <c r="B4639" s="6" t="n">
        <v>42852</v>
      </c>
      <c r="C4639" s="7" t="s">
        <v>33</v>
      </c>
      <c r="D4639" s="7" t="s">
        <v>34</v>
      </c>
      <c r="E4639" s="7" t="s">
        <v>35</v>
      </c>
      <c r="F4639" s="0" t="n">
        <v>12.39</v>
      </c>
      <c r="G4639" s="0" t="n">
        <v>5.6994</v>
      </c>
      <c r="H4639" s="0" t="n">
        <v>0</v>
      </c>
      <c r="I4639" s="7" t="n">
        <f aca="false">YEAR(B4639)</f>
        <v>2017</v>
      </c>
      <c r="J4639" s="0" t="str">
        <f aca="false">I4639&amp;"-Q"&amp;ROUNDUP(MONTH(B4639)/3,0)</f>
        <v>2017-Q2</v>
      </c>
    </row>
    <row r="4640" customFormat="false" ht="15" hidden="false" customHeight="false" outlineLevel="0" collapsed="false">
      <c r="A4640" s="0" t="s">
        <v>2378</v>
      </c>
      <c r="B4640" s="6" t="n">
        <v>42852</v>
      </c>
      <c r="C4640" s="7" t="s">
        <v>33</v>
      </c>
      <c r="D4640" s="7" t="s">
        <v>34</v>
      </c>
      <c r="E4640" s="7" t="s">
        <v>35</v>
      </c>
      <c r="F4640" s="0" t="n">
        <v>47.3</v>
      </c>
      <c r="G4640" s="0" t="n">
        <v>12.298</v>
      </c>
      <c r="H4640" s="0" t="n">
        <v>0</v>
      </c>
      <c r="I4640" s="7" t="n">
        <f aca="false">YEAR(B4640)</f>
        <v>2017</v>
      </c>
      <c r="J4640" s="0" t="str">
        <f aca="false">I4640&amp;"-Q"&amp;ROUNDUP(MONTH(B4640)/3,0)</f>
        <v>2017-Q2</v>
      </c>
    </row>
    <row r="4641" customFormat="false" ht="15" hidden="false" customHeight="false" outlineLevel="0" collapsed="false">
      <c r="A4641" s="0" t="s">
        <v>2379</v>
      </c>
      <c r="B4641" s="6" t="n">
        <v>42624</v>
      </c>
      <c r="C4641" s="7" t="s">
        <v>29</v>
      </c>
      <c r="D4641" s="7" t="s">
        <v>83</v>
      </c>
      <c r="E4641" s="7" t="s">
        <v>39</v>
      </c>
      <c r="F4641" s="0" t="n">
        <v>1599.92</v>
      </c>
      <c r="G4641" s="0" t="n">
        <v>751.9624</v>
      </c>
      <c r="H4641" s="0" t="n">
        <v>0</v>
      </c>
      <c r="I4641" s="7" t="n">
        <f aca="false">YEAR(B4641)</f>
        <v>2016</v>
      </c>
      <c r="J4641" s="0" t="str">
        <f aca="false">I4641&amp;"-Q"&amp;ROUNDUP(MONTH(B4641)/3,0)</f>
        <v>2016-Q3</v>
      </c>
    </row>
    <row r="4642" customFormat="false" ht="15" hidden="false" customHeight="false" outlineLevel="0" collapsed="false">
      <c r="A4642" s="0" t="s">
        <v>2379</v>
      </c>
      <c r="B4642" s="6" t="n">
        <v>42624</v>
      </c>
      <c r="C4642" s="7" t="s">
        <v>29</v>
      </c>
      <c r="D4642" s="7" t="s">
        <v>83</v>
      </c>
      <c r="E4642" s="7" t="s">
        <v>35</v>
      </c>
      <c r="F4642" s="0" t="n">
        <v>11.09</v>
      </c>
      <c r="G4642" s="0" t="n">
        <v>5.4341</v>
      </c>
      <c r="H4642" s="0" t="n">
        <v>0</v>
      </c>
      <c r="I4642" s="7" t="n">
        <f aca="false">YEAR(B4642)</f>
        <v>2016</v>
      </c>
      <c r="J4642" s="0" t="str">
        <f aca="false">I4642&amp;"-Q"&amp;ROUNDUP(MONTH(B4642)/3,0)</f>
        <v>2016-Q3</v>
      </c>
    </row>
    <row r="4643" customFormat="false" ht="15" hidden="false" customHeight="false" outlineLevel="0" collapsed="false">
      <c r="A4643" s="0" t="s">
        <v>2380</v>
      </c>
      <c r="B4643" s="6" t="n">
        <v>43030</v>
      </c>
      <c r="C4643" s="7" t="s">
        <v>33</v>
      </c>
      <c r="D4643" s="7" t="s">
        <v>109</v>
      </c>
      <c r="E4643" s="7" t="s">
        <v>35</v>
      </c>
      <c r="F4643" s="0" t="n">
        <v>3.168</v>
      </c>
      <c r="G4643" s="0" t="n">
        <v>-2.5344</v>
      </c>
      <c r="H4643" s="0" t="n">
        <v>0.7</v>
      </c>
      <c r="I4643" s="7" t="n">
        <f aca="false">YEAR(B4643)</f>
        <v>2017</v>
      </c>
      <c r="J4643" s="0" t="str">
        <f aca="false">I4643&amp;"-Q"&amp;ROUNDUP(MONTH(B4643)/3,0)</f>
        <v>2017-Q4</v>
      </c>
    </row>
    <row r="4644" customFormat="false" ht="15" hidden="false" customHeight="false" outlineLevel="0" collapsed="false">
      <c r="A4644" s="0" t="s">
        <v>2380</v>
      </c>
      <c r="B4644" s="6" t="n">
        <v>43030</v>
      </c>
      <c r="C4644" s="7" t="s">
        <v>33</v>
      </c>
      <c r="D4644" s="7" t="s">
        <v>109</v>
      </c>
      <c r="E4644" s="7" t="s">
        <v>31</v>
      </c>
      <c r="F4644" s="0" t="n">
        <v>579.136</v>
      </c>
      <c r="G4644" s="0" t="n">
        <v>-28.9568</v>
      </c>
      <c r="H4644" s="0" t="n">
        <v>0.2</v>
      </c>
      <c r="I4644" s="7" t="n">
        <f aca="false">YEAR(B4644)</f>
        <v>2017</v>
      </c>
      <c r="J4644" s="0" t="str">
        <f aca="false">I4644&amp;"-Q"&amp;ROUNDUP(MONTH(B4644)/3,0)</f>
        <v>2017-Q4</v>
      </c>
    </row>
    <row r="4645" customFormat="false" ht="15" hidden="false" customHeight="false" outlineLevel="0" collapsed="false">
      <c r="A4645" s="0" t="s">
        <v>2381</v>
      </c>
      <c r="B4645" s="6" t="n">
        <v>42218</v>
      </c>
      <c r="C4645" s="7" t="s">
        <v>33</v>
      </c>
      <c r="D4645" s="7" t="s">
        <v>43</v>
      </c>
      <c r="E4645" s="7" t="s">
        <v>35</v>
      </c>
      <c r="F4645" s="0" t="n">
        <v>6.368</v>
      </c>
      <c r="G4645" s="0" t="n">
        <v>2.1492</v>
      </c>
      <c r="H4645" s="0" t="n">
        <v>0.2</v>
      </c>
      <c r="I4645" s="7" t="n">
        <f aca="false">YEAR(B4645)</f>
        <v>2015</v>
      </c>
      <c r="J4645" s="0" t="str">
        <f aca="false">I4645&amp;"-Q"&amp;ROUNDUP(MONTH(B4645)/3,0)</f>
        <v>2015-Q3</v>
      </c>
    </row>
    <row r="4646" customFormat="false" ht="15" hidden="false" customHeight="false" outlineLevel="0" collapsed="false">
      <c r="A4646" s="0" t="s">
        <v>2381</v>
      </c>
      <c r="B4646" s="6" t="n">
        <v>42218</v>
      </c>
      <c r="C4646" s="7" t="s">
        <v>33</v>
      </c>
      <c r="D4646" s="7" t="s">
        <v>43</v>
      </c>
      <c r="E4646" s="7" t="s">
        <v>39</v>
      </c>
      <c r="F4646" s="0" t="n">
        <v>558.4</v>
      </c>
      <c r="G4646" s="0" t="n">
        <v>41.88</v>
      </c>
      <c r="H4646" s="0" t="n">
        <v>0.2</v>
      </c>
      <c r="I4646" s="7" t="n">
        <f aca="false">YEAR(B4646)</f>
        <v>2015</v>
      </c>
      <c r="J4646" s="0" t="str">
        <f aca="false">I4646&amp;"-Q"&amp;ROUNDUP(MONTH(B4646)/3,0)</f>
        <v>2015-Q3</v>
      </c>
    </row>
    <row r="4647" customFormat="false" ht="15" hidden="false" customHeight="false" outlineLevel="0" collapsed="false">
      <c r="A4647" s="0" t="s">
        <v>2382</v>
      </c>
      <c r="B4647" s="6" t="n">
        <v>42594</v>
      </c>
      <c r="C4647" s="7" t="s">
        <v>55</v>
      </c>
      <c r="D4647" s="7" t="s">
        <v>76</v>
      </c>
      <c r="E4647" s="7" t="s">
        <v>31</v>
      </c>
      <c r="F4647" s="0" t="n">
        <v>145.764</v>
      </c>
      <c r="G4647" s="0" t="n">
        <v>-8.098</v>
      </c>
      <c r="H4647" s="0" t="n">
        <v>0.1</v>
      </c>
      <c r="I4647" s="7" t="n">
        <f aca="false">YEAR(B4647)</f>
        <v>2016</v>
      </c>
      <c r="J4647" s="0" t="str">
        <f aca="false">I4647&amp;"-Q"&amp;ROUNDUP(MONTH(B4647)/3,0)</f>
        <v>2016-Q3</v>
      </c>
    </row>
    <row r="4648" customFormat="false" ht="15" hidden="false" customHeight="false" outlineLevel="0" collapsed="false">
      <c r="A4648" s="0" t="s">
        <v>2383</v>
      </c>
      <c r="B4648" s="6" t="n">
        <v>41789</v>
      </c>
      <c r="C4648" s="7" t="s">
        <v>29</v>
      </c>
      <c r="D4648" s="7" t="s">
        <v>83</v>
      </c>
      <c r="E4648" s="7" t="s">
        <v>35</v>
      </c>
      <c r="F4648" s="0" t="n">
        <v>13.62</v>
      </c>
      <c r="G4648" s="0" t="n">
        <v>6.129</v>
      </c>
      <c r="H4648" s="0" t="n">
        <v>0</v>
      </c>
      <c r="I4648" s="7" t="n">
        <f aca="false">YEAR(B4648)</f>
        <v>2014</v>
      </c>
      <c r="J4648" s="0" t="str">
        <f aca="false">I4648&amp;"-Q"&amp;ROUNDUP(MONTH(B4648)/3,0)</f>
        <v>2014-Q2</v>
      </c>
    </row>
    <row r="4649" customFormat="false" ht="15" hidden="false" customHeight="false" outlineLevel="0" collapsed="false">
      <c r="A4649" s="0" t="s">
        <v>2384</v>
      </c>
      <c r="B4649" s="6" t="n">
        <v>42486</v>
      </c>
      <c r="C4649" s="7" t="s">
        <v>55</v>
      </c>
      <c r="D4649" s="7" t="s">
        <v>76</v>
      </c>
      <c r="E4649" s="7" t="s">
        <v>31</v>
      </c>
      <c r="F4649" s="0" t="n">
        <v>434.646</v>
      </c>
      <c r="G4649" s="0" t="n">
        <v>62.7822</v>
      </c>
      <c r="H4649" s="0" t="n">
        <v>0.1</v>
      </c>
      <c r="I4649" s="7" t="n">
        <f aca="false">YEAR(B4649)</f>
        <v>2016</v>
      </c>
      <c r="J4649" s="0" t="str">
        <f aca="false">I4649&amp;"-Q"&amp;ROUNDUP(MONTH(B4649)/3,0)</f>
        <v>2016-Q2</v>
      </c>
    </row>
    <row r="4650" customFormat="false" ht="15" hidden="false" customHeight="false" outlineLevel="0" collapsed="false">
      <c r="A4650" s="0" t="s">
        <v>2385</v>
      </c>
      <c r="B4650" s="6" t="n">
        <v>42869</v>
      </c>
      <c r="C4650" s="7" t="s">
        <v>33</v>
      </c>
      <c r="D4650" s="7" t="s">
        <v>43</v>
      </c>
      <c r="E4650" s="7" t="s">
        <v>35</v>
      </c>
      <c r="F4650" s="0" t="n">
        <v>440.19</v>
      </c>
      <c r="G4650" s="0" t="n">
        <v>206.8893</v>
      </c>
      <c r="H4650" s="0" t="n">
        <v>0</v>
      </c>
      <c r="I4650" s="7" t="n">
        <f aca="false">YEAR(B4650)</f>
        <v>2017</v>
      </c>
      <c r="J4650" s="0" t="str">
        <f aca="false">I4650&amp;"-Q"&amp;ROUNDUP(MONTH(B4650)/3,0)</f>
        <v>2017-Q2</v>
      </c>
    </row>
    <row r="4651" customFormat="false" ht="15" hidden="false" customHeight="false" outlineLevel="0" collapsed="false">
      <c r="A4651" s="0" t="s">
        <v>2385</v>
      </c>
      <c r="B4651" s="6" t="n">
        <v>42869</v>
      </c>
      <c r="C4651" s="7" t="s">
        <v>33</v>
      </c>
      <c r="D4651" s="7" t="s">
        <v>43</v>
      </c>
      <c r="E4651" s="7" t="s">
        <v>35</v>
      </c>
      <c r="F4651" s="0" t="n">
        <v>64.4</v>
      </c>
      <c r="G4651" s="0" t="n">
        <v>1.932</v>
      </c>
      <c r="H4651" s="0" t="n">
        <v>0</v>
      </c>
      <c r="I4651" s="7" t="n">
        <f aca="false">YEAR(B4651)</f>
        <v>2017</v>
      </c>
      <c r="J4651" s="0" t="str">
        <f aca="false">I4651&amp;"-Q"&amp;ROUNDUP(MONTH(B4651)/3,0)</f>
        <v>2017-Q2</v>
      </c>
    </row>
    <row r="4652" customFormat="false" ht="15" hidden="false" customHeight="false" outlineLevel="0" collapsed="false">
      <c r="A4652" s="0" t="s">
        <v>2386</v>
      </c>
      <c r="B4652" s="6" t="n">
        <v>42833</v>
      </c>
      <c r="C4652" s="7" t="s">
        <v>33</v>
      </c>
      <c r="D4652" s="7" t="s">
        <v>34</v>
      </c>
      <c r="E4652" s="7" t="s">
        <v>35</v>
      </c>
      <c r="F4652" s="0" t="n">
        <v>244.55</v>
      </c>
      <c r="G4652" s="0" t="n">
        <v>114.9385</v>
      </c>
      <c r="H4652" s="0" t="n">
        <v>0</v>
      </c>
      <c r="I4652" s="7" t="n">
        <f aca="false">YEAR(B4652)</f>
        <v>2017</v>
      </c>
      <c r="J4652" s="0" t="str">
        <f aca="false">I4652&amp;"-Q"&amp;ROUNDUP(MONTH(B4652)/3,0)</f>
        <v>2017-Q2</v>
      </c>
    </row>
    <row r="4653" customFormat="false" ht="15" hidden="false" customHeight="false" outlineLevel="0" collapsed="false">
      <c r="A4653" s="0" t="s">
        <v>2386</v>
      </c>
      <c r="B4653" s="6" t="n">
        <v>42833</v>
      </c>
      <c r="C4653" s="7" t="s">
        <v>33</v>
      </c>
      <c r="D4653" s="7" t="s">
        <v>34</v>
      </c>
      <c r="E4653" s="7" t="s">
        <v>35</v>
      </c>
      <c r="F4653" s="0" t="n">
        <v>195.76</v>
      </c>
      <c r="G4653" s="0" t="n">
        <v>97.88</v>
      </c>
      <c r="H4653" s="0" t="n">
        <v>0</v>
      </c>
      <c r="I4653" s="7" t="n">
        <f aca="false">YEAR(B4653)</f>
        <v>2017</v>
      </c>
      <c r="J4653" s="0" t="str">
        <f aca="false">I4653&amp;"-Q"&amp;ROUNDUP(MONTH(B4653)/3,0)</f>
        <v>2017-Q2</v>
      </c>
    </row>
    <row r="4654" customFormat="false" ht="15" hidden="false" customHeight="false" outlineLevel="0" collapsed="false">
      <c r="A4654" s="0" t="s">
        <v>2387</v>
      </c>
      <c r="B4654" s="6" t="n">
        <v>42783</v>
      </c>
      <c r="C4654" s="7" t="s">
        <v>55</v>
      </c>
      <c r="D4654" s="7" t="s">
        <v>161</v>
      </c>
      <c r="E4654" s="7" t="s">
        <v>35</v>
      </c>
      <c r="F4654" s="0" t="n">
        <v>11.76</v>
      </c>
      <c r="G4654" s="0" t="n">
        <v>5.7624</v>
      </c>
      <c r="H4654" s="0" t="n">
        <v>0</v>
      </c>
      <c r="I4654" s="7" t="n">
        <f aca="false">YEAR(B4654)</f>
        <v>2017</v>
      </c>
      <c r="J4654" s="0" t="str">
        <f aca="false">I4654&amp;"-Q"&amp;ROUNDUP(MONTH(B4654)/3,0)</f>
        <v>2017-Q1</v>
      </c>
    </row>
    <row r="4655" customFormat="false" ht="15" hidden="false" customHeight="false" outlineLevel="0" collapsed="false">
      <c r="A4655" s="0" t="s">
        <v>2387</v>
      </c>
      <c r="B4655" s="6" t="n">
        <v>42783</v>
      </c>
      <c r="C4655" s="7" t="s">
        <v>55</v>
      </c>
      <c r="D4655" s="7" t="s">
        <v>161</v>
      </c>
      <c r="E4655" s="7" t="s">
        <v>35</v>
      </c>
      <c r="F4655" s="0" t="n">
        <v>166.45</v>
      </c>
      <c r="G4655" s="0" t="n">
        <v>39.948</v>
      </c>
      <c r="H4655" s="0" t="n">
        <v>0</v>
      </c>
      <c r="I4655" s="7" t="n">
        <f aca="false">YEAR(B4655)</f>
        <v>2017</v>
      </c>
      <c r="J4655" s="0" t="str">
        <f aca="false">I4655&amp;"-Q"&amp;ROUNDUP(MONTH(B4655)/3,0)</f>
        <v>2017-Q1</v>
      </c>
    </row>
    <row r="4656" customFormat="false" ht="15" hidden="false" customHeight="false" outlineLevel="0" collapsed="false">
      <c r="A4656" s="0" t="s">
        <v>2388</v>
      </c>
      <c r="B4656" s="6" t="n">
        <v>42910</v>
      </c>
      <c r="C4656" s="7" t="s">
        <v>33</v>
      </c>
      <c r="D4656" s="7" t="s">
        <v>34</v>
      </c>
      <c r="E4656" s="7" t="s">
        <v>35</v>
      </c>
      <c r="F4656" s="0" t="n">
        <v>2.88</v>
      </c>
      <c r="G4656" s="0" t="n">
        <v>1.3536</v>
      </c>
      <c r="H4656" s="0" t="n">
        <v>0</v>
      </c>
      <c r="I4656" s="7" t="n">
        <f aca="false">YEAR(B4656)</f>
        <v>2017</v>
      </c>
      <c r="J4656" s="0" t="str">
        <f aca="false">I4656&amp;"-Q"&amp;ROUNDUP(MONTH(B4656)/3,0)</f>
        <v>2017-Q2</v>
      </c>
    </row>
    <row r="4657" customFormat="false" ht="15" hidden="false" customHeight="false" outlineLevel="0" collapsed="false">
      <c r="A4657" s="0" t="s">
        <v>2389</v>
      </c>
      <c r="B4657" s="6" t="n">
        <v>41764</v>
      </c>
      <c r="C4657" s="7" t="s">
        <v>45</v>
      </c>
      <c r="D4657" s="7" t="s">
        <v>64</v>
      </c>
      <c r="E4657" s="7" t="s">
        <v>35</v>
      </c>
      <c r="F4657" s="0" t="n">
        <v>45.248</v>
      </c>
      <c r="G4657" s="0" t="n">
        <v>3.9592</v>
      </c>
      <c r="H4657" s="0" t="n">
        <v>0.2</v>
      </c>
      <c r="I4657" s="7" t="n">
        <f aca="false">YEAR(B4657)</f>
        <v>2014</v>
      </c>
      <c r="J4657" s="0" t="str">
        <f aca="false">I4657&amp;"-Q"&amp;ROUNDUP(MONTH(B4657)/3,0)</f>
        <v>2014-Q2</v>
      </c>
    </row>
    <row r="4658" customFormat="false" ht="15" hidden="false" customHeight="false" outlineLevel="0" collapsed="false">
      <c r="A4658" s="0" t="s">
        <v>2390</v>
      </c>
      <c r="B4658" s="6" t="n">
        <v>42127</v>
      </c>
      <c r="C4658" s="7" t="s">
        <v>55</v>
      </c>
      <c r="D4658" s="7" t="s">
        <v>56</v>
      </c>
      <c r="E4658" s="7" t="s">
        <v>35</v>
      </c>
      <c r="F4658" s="0" t="n">
        <v>59.904</v>
      </c>
      <c r="G4658" s="0" t="n">
        <v>14.2272</v>
      </c>
      <c r="H4658" s="0" t="n">
        <v>0.2</v>
      </c>
      <c r="I4658" s="7" t="n">
        <f aca="false">YEAR(B4658)</f>
        <v>2015</v>
      </c>
      <c r="J4658" s="0" t="str">
        <f aca="false">I4658&amp;"-Q"&amp;ROUNDUP(MONTH(B4658)/3,0)</f>
        <v>2015-Q2</v>
      </c>
    </row>
    <row r="4659" customFormat="false" ht="15" hidden="false" customHeight="false" outlineLevel="0" collapsed="false">
      <c r="A4659" s="0" t="s">
        <v>2390</v>
      </c>
      <c r="B4659" s="6" t="n">
        <v>42127</v>
      </c>
      <c r="C4659" s="7" t="s">
        <v>55</v>
      </c>
      <c r="D4659" s="7" t="s">
        <v>56</v>
      </c>
      <c r="E4659" s="7" t="s">
        <v>35</v>
      </c>
      <c r="F4659" s="0" t="n">
        <v>23.696</v>
      </c>
      <c r="G4659" s="0" t="n">
        <v>6.5164</v>
      </c>
      <c r="H4659" s="0" t="n">
        <v>0.2</v>
      </c>
      <c r="I4659" s="7" t="n">
        <f aca="false">YEAR(B4659)</f>
        <v>2015</v>
      </c>
      <c r="J4659" s="0" t="str">
        <f aca="false">I4659&amp;"-Q"&amp;ROUNDUP(MONTH(B4659)/3,0)</f>
        <v>2015-Q2</v>
      </c>
    </row>
    <row r="4660" customFormat="false" ht="15" hidden="false" customHeight="false" outlineLevel="0" collapsed="false">
      <c r="A4660" s="0" t="s">
        <v>2390</v>
      </c>
      <c r="B4660" s="6" t="n">
        <v>42127</v>
      </c>
      <c r="C4660" s="7" t="s">
        <v>55</v>
      </c>
      <c r="D4660" s="7" t="s">
        <v>56</v>
      </c>
      <c r="E4660" s="7" t="s">
        <v>35</v>
      </c>
      <c r="F4660" s="0" t="n">
        <v>7.968</v>
      </c>
      <c r="G4660" s="0" t="n">
        <v>2.8884</v>
      </c>
      <c r="H4660" s="0" t="n">
        <v>0.2</v>
      </c>
      <c r="I4660" s="7" t="n">
        <f aca="false">YEAR(B4660)</f>
        <v>2015</v>
      </c>
      <c r="J4660" s="0" t="str">
        <f aca="false">I4660&amp;"-Q"&amp;ROUNDUP(MONTH(B4660)/3,0)</f>
        <v>2015-Q2</v>
      </c>
    </row>
    <row r="4661" customFormat="false" ht="15" hidden="false" customHeight="false" outlineLevel="0" collapsed="false">
      <c r="A4661" s="0" t="s">
        <v>2390</v>
      </c>
      <c r="B4661" s="6" t="n">
        <v>42127</v>
      </c>
      <c r="C4661" s="7" t="s">
        <v>55</v>
      </c>
      <c r="D4661" s="7" t="s">
        <v>56</v>
      </c>
      <c r="E4661" s="7" t="s">
        <v>35</v>
      </c>
      <c r="F4661" s="0" t="n">
        <v>18.2</v>
      </c>
      <c r="G4661" s="0" t="n">
        <v>2.0475</v>
      </c>
      <c r="H4661" s="0" t="n">
        <v>0.2</v>
      </c>
      <c r="I4661" s="7" t="n">
        <f aca="false">YEAR(B4661)</f>
        <v>2015</v>
      </c>
      <c r="J4661" s="0" t="str">
        <f aca="false">I4661&amp;"-Q"&amp;ROUNDUP(MONTH(B4661)/3,0)</f>
        <v>2015-Q2</v>
      </c>
    </row>
    <row r="4662" customFormat="false" ht="15" hidden="false" customHeight="false" outlineLevel="0" collapsed="false">
      <c r="A4662" s="0" t="s">
        <v>2390</v>
      </c>
      <c r="B4662" s="6" t="n">
        <v>42127</v>
      </c>
      <c r="C4662" s="7" t="s">
        <v>55</v>
      </c>
      <c r="D4662" s="7" t="s">
        <v>56</v>
      </c>
      <c r="E4662" s="7" t="s">
        <v>39</v>
      </c>
      <c r="F4662" s="0" t="n">
        <v>27.552</v>
      </c>
      <c r="G4662" s="0" t="n">
        <v>-0.3444</v>
      </c>
      <c r="H4662" s="0" t="n">
        <v>0.2</v>
      </c>
      <c r="I4662" s="7" t="n">
        <f aca="false">YEAR(B4662)</f>
        <v>2015</v>
      </c>
      <c r="J4662" s="0" t="str">
        <f aca="false">I4662&amp;"-Q"&amp;ROUNDUP(MONTH(B4662)/3,0)</f>
        <v>2015-Q2</v>
      </c>
    </row>
    <row r="4663" customFormat="false" ht="15" hidden="false" customHeight="false" outlineLevel="0" collapsed="false">
      <c r="A4663" s="0" t="s">
        <v>2390</v>
      </c>
      <c r="B4663" s="6" t="n">
        <v>42127</v>
      </c>
      <c r="C4663" s="7" t="s">
        <v>55</v>
      </c>
      <c r="D4663" s="7" t="s">
        <v>56</v>
      </c>
      <c r="E4663" s="7" t="s">
        <v>31</v>
      </c>
      <c r="F4663" s="0" t="n">
        <v>844.116</v>
      </c>
      <c r="G4663" s="0" t="n">
        <v>-36.1764</v>
      </c>
      <c r="H4663" s="0" t="n">
        <v>0.3</v>
      </c>
      <c r="I4663" s="7" t="n">
        <f aca="false">YEAR(B4663)</f>
        <v>2015</v>
      </c>
      <c r="J4663" s="0" t="str">
        <f aca="false">I4663&amp;"-Q"&amp;ROUNDUP(MONTH(B4663)/3,0)</f>
        <v>2015-Q2</v>
      </c>
    </row>
    <row r="4664" customFormat="false" ht="15" hidden="false" customHeight="false" outlineLevel="0" collapsed="false">
      <c r="A4664" s="0" t="s">
        <v>2390</v>
      </c>
      <c r="B4664" s="6" t="n">
        <v>42127</v>
      </c>
      <c r="C4664" s="7" t="s">
        <v>55</v>
      </c>
      <c r="D4664" s="7" t="s">
        <v>56</v>
      </c>
      <c r="E4664" s="7" t="s">
        <v>35</v>
      </c>
      <c r="F4664" s="0" t="n">
        <v>76.752</v>
      </c>
      <c r="G4664" s="0" t="n">
        <v>-9.594</v>
      </c>
      <c r="H4664" s="0" t="n">
        <v>0.2</v>
      </c>
      <c r="I4664" s="7" t="n">
        <f aca="false">YEAR(B4664)</f>
        <v>2015</v>
      </c>
      <c r="J4664" s="0" t="str">
        <f aca="false">I4664&amp;"-Q"&amp;ROUNDUP(MONTH(B4664)/3,0)</f>
        <v>2015-Q2</v>
      </c>
    </row>
    <row r="4665" customFormat="false" ht="15" hidden="false" customHeight="false" outlineLevel="0" collapsed="false">
      <c r="A4665" s="0" t="s">
        <v>2391</v>
      </c>
      <c r="B4665" s="6" t="n">
        <v>42631</v>
      </c>
      <c r="C4665" s="7" t="s">
        <v>29</v>
      </c>
      <c r="D4665" s="7" t="s">
        <v>37</v>
      </c>
      <c r="E4665" s="7" t="s">
        <v>35</v>
      </c>
      <c r="F4665" s="0" t="n">
        <v>3</v>
      </c>
      <c r="G4665" s="0" t="n">
        <v>1.05</v>
      </c>
      <c r="H4665" s="0" t="n">
        <v>0.2</v>
      </c>
      <c r="I4665" s="7" t="n">
        <f aca="false">YEAR(B4665)</f>
        <v>2016</v>
      </c>
      <c r="J4665" s="0" t="str">
        <f aca="false">I4665&amp;"-Q"&amp;ROUNDUP(MONTH(B4665)/3,0)</f>
        <v>2016-Q3</v>
      </c>
    </row>
    <row r="4666" customFormat="false" ht="15" hidden="false" customHeight="false" outlineLevel="0" collapsed="false">
      <c r="A4666" s="0" t="s">
        <v>2392</v>
      </c>
      <c r="B4666" s="6" t="n">
        <v>42635</v>
      </c>
      <c r="C4666" s="7" t="s">
        <v>29</v>
      </c>
      <c r="D4666" s="7" t="s">
        <v>37</v>
      </c>
      <c r="E4666" s="7" t="s">
        <v>35</v>
      </c>
      <c r="F4666" s="0" t="n">
        <v>7.506</v>
      </c>
      <c r="G4666" s="0" t="n">
        <v>-6.0048</v>
      </c>
      <c r="H4666" s="0" t="n">
        <v>0.7</v>
      </c>
      <c r="I4666" s="7" t="n">
        <f aca="false">YEAR(B4666)</f>
        <v>2016</v>
      </c>
      <c r="J4666" s="0" t="str">
        <f aca="false">I4666&amp;"-Q"&amp;ROUNDUP(MONTH(B4666)/3,0)</f>
        <v>2016-Q3</v>
      </c>
    </row>
    <row r="4667" customFormat="false" ht="15" hidden="false" customHeight="false" outlineLevel="0" collapsed="false">
      <c r="A4667" s="0" t="s">
        <v>2392</v>
      </c>
      <c r="B4667" s="6" t="n">
        <v>42635</v>
      </c>
      <c r="C4667" s="7" t="s">
        <v>29</v>
      </c>
      <c r="D4667" s="7" t="s">
        <v>37</v>
      </c>
      <c r="E4667" s="7" t="s">
        <v>35</v>
      </c>
      <c r="F4667" s="0" t="n">
        <v>16.56</v>
      </c>
      <c r="G4667" s="0" t="n">
        <v>5.796</v>
      </c>
      <c r="H4667" s="0" t="n">
        <v>0.2</v>
      </c>
      <c r="I4667" s="7" t="n">
        <f aca="false">YEAR(B4667)</f>
        <v>2016</v>
      </c>
      <c r="J4667" s="0" t="str">
        <f aca="false">I4667&amp;"-Q"&amp;ROUNDUP(MONTH(B4667)/3,0)</f>
        <v>2016-Q3</v>
      </c>
    </row>
    <row r="4668" customFormat="false" ht="15" hidden="false" customHeight="false" outlineLevel="0" collapsed="false">
      <c r="A4668" s="0" t="s">
        <v>2393</v>
      </c>
      <c r="B4668" s="6" t="n">
        <v>42379</v>
      </c>
      <c r="C4668" s="7" t="s">
        <v>33</v>
      </c>
      <c r="D4668" s="7" t="s">
        <v>43</v>
      </c>
      <c r="E4668" s="7" t="s">
        <v>31</v>
      </c>
      <c r="F4668" s="0" t="n">
        <v>79.92</v>
      </c>
      <c r="G4668" s="0" t="n">
        <v>34.3656</v>
      </c>
      <c r="H4668" s="0" t="n">
        <v>0</v>
      </c>
      <c r="I4668" s="7" t="n">
        <f aca="false">YEAR(B4668)</f>
        <v>2016</v>
      </c>
      <c r="J4668" s="0" t="str">
        <f aca="false">I4668&amp;"-Q"&amp;ROUNDUP(MONTH(B4668)/3,0)</f>
        <v>2016-Q1</v>
      </c>
    </row>
    <row r="4669" customFormat="false" ht="15" hidden="false" customHeight="false" outlineLevel="0" collapsed="false">
      <c r="A4669" s="0" t="s">
        <v>2393</v>
      </c>
      <c r="B4669" s="6" t="n">
        <v>42379</v>
      </c>
      <c r="C4669" s="7" t="s">
        <v>33</v>
      </c>
      <c r="D4669" s="7" t="s">
        <v>43</v>
      </c>
      <c r="E4669" s="7" t="s">
        <v>39</v>
      </c>
      <c r="F4669" s="0" t="n">
        <v>69.98</v>
      </c>
      <c r="G4669" s="0" t="n">
        <v>13.2962</v>
      </c>
      <c r="H4669" s="0" t="n">
        <v>0</v>
      </c>
      <c r="I4669" s="7" t="n">
        <f aca="false">YEAR(B4669)</f>
        <v>2016</v>
      </c>
      <c r="J4669" s="0" t="str">
        <f aca="false">I4669&amp;"-Q"&amp;ROUNDUP(MONTH(B4669)/3,0)</f>
        <v>2016-Q1</v>
      </c>
    </row>
    <row r="4670" customFormat="false" ht="15" hidden="false" customHeight="false" outlineLevel="0" collapsed="false">
      <c r="A4670" s="0" t="s">
        <v>2394</v>
      </c>
      <c r="B4670" s="6" t="n">
        <v>42861</v>
      </c>
      <c r="C4670" s="7" t="s">
        <v>45</v>
      </c>
      <c r="D4670" s="7" t="s">
        <v>46</v>
      </c>
      <c r="E4670" s="7" t="s">
        <v>35</v>
      </c>
      <c r="F4670" s="0" t="n">
        <v>11.06</v>
      </c>
      <c r="G4670" s="0" t="n">
        <v>-18.802</v>
      </c>
      <c r="H4670" s="0" t="n">
        <v>0.8</v>
      </c>
      <c r="I4670" s="7" t="n">
        <f aca="false">YEAR(B4670)</f>
        <v>2017</v>
      </c>
      <c r="J4670" s="0" t="str">
        <f aca="false">I4670&amp;"-Q"&amp;ROUNDUP(MONTH(B4670)/3,0)</f>
        <v>2017-Q2</v>
      </c>
    </row>
    <row r="4671" customFormat="false" ht="15" hidden="false" customHeight="false" outlineLevel="0" collapsed="false">
      <c r="A4671" s="0" t="s">
        <v>2394</v>
      </c>
      <c r="B4671" s="6" t="n">
        <v>42861</v>
      </c>
      <c r="C4671" s="7" t="s">
        <v>45</v>
      </c>
      <c r="D4671" s="7" t="s">
        <v>46</v>
      </c>
      <c r="E4671" s="7" t="s">
        <v>31</v>
      </c>
      <c r="F4671" s="0" t="n">
        <v>623.4648</v>
      </c>
      <c r="G4671" s="0" t="n">
        <v>-119.1918</v>
      </c>
      <c r="H4671" s="0" t="n">
        <v>0.32</v>
      </c>
      <c r="I4671" s="7" t="n">
        <f aca="false">YEAR(B4671)</f>
        <v>2017</v>
      </c>
      <c r="J4671" s="0" t="str">
        <f aca="false">I4671&amp;"-Q"&amp;ROUNDUP(MONTH(B4671)/3,0)</f>
        <v>2017-Q2</v>
      </c>
    </row>
    <row r="4672" customFormat="false" ht="15" hidden="false" customHeight="false" outlineLevel="0" collapsed="false">
      <c r="A4672" s="0" t="s">
        <v>2394</v>
      </c>
      <c r="B4672" s="6" t="n">
        <v>42861</v>
      </c>
      <c r="C4672" s="7" t="s">
        <v>45</v>
      </c>
      <c r="D4672" s="7" t="s">
        <v>46</v>
      </c>
      <c r="E4672" s="7" t="s">
        <v>35</v>
      </c>
      <c r="F4672" s="0" t="n">
        <v>772.68</v>
      </c>
      <c r="G4672" s="0" t="n">
        <v>-57.951</v>
      </c>
      <c r="H4672" s="0" t="n">
        <v>0.2</v>
      </c>
      <c r="I4672" s="7" t="n">
        <f aca="false">YEAR(B4672)</f>
        <v>2017</v>
      </c>
      <c r="J4672" s="0" t="str">
        <f aca="false">I4672&amp;"-Q"&amp;ROUNDUP(MONTH(B4672)/3,0)</f>
        <v>2017-Q2</v>
      </c>
    </row>
    <row r="4673" customFormat="false" ht="15" hidden="false" customHeight="false" outlineLevel="0" collapsed="false">
      <c r="A4673" s="0" t="s">
        <v>2395</v>
      </c>
      <c r="B4673" s="6" t="n">
        <v>42582</v>
      </c>
      <c r="C4673" s="7" t="s">
        <v>45</v>
      </c>
      <c r="D4673" s="7" t="s">
        <v>70</v>
      </c>
      <c r="E4673" s="7" t="s">
        <v>35</v>
      </c>
      <c r="F4673" s="0" t="n">
        <v>283.14</v>
      </c>
      <c r="G4673" s="0" t="n">
        <v>72.358</v>
      </c>
      <c r="H4673" s="0" t="n">
        <v>0.1</v>
      </c>
      <c r="I4673" s="7" t="n">
        <f aca="false">YEAR(B4673)</f>
        <v>2016</v>
      </c>
      <c r="J4673" s="0" t="str">
        <f aca="false">I4673&amp;"-Q"&amp;ROUNDUP(MONTH(B4673)/3,0)</f>
        <v>2016-Q3</v>
      </c>
    </row>
    <row r="4674" customFormat="false" ht="15" hidden="false" customHeight="false" outlineLevel="0" collapsed="false">
      <c r="A4674" s="0" t="s">
        <v>2395</v>
      </c>
      <c r="B4674" s="6" t="n">
        <v>42582</v>
      </c>
      <c r="C4674" s="7" t="s">
        <v>45</v>
      </c>
      <c r="D4674" s="7" t="s">
        <v>70</v>
      </c>
      <c r="E4674" s="7" t="s">
        <v>39</v>
      </c>
      <c r="F4674" s="0" t="n">
        <v>635.96</v>
      </c>
      <c r="G4674" s="0" t="n">
        <v>165.3496</v>
      </c>
      <c r="H4674" s="0" t="n">
        <v>0</v>
      </c>
      <c r="I4674" s="7" t="n">
        <f aca="false">YEAR(B4674)</f>
        <v>2016</v>
      </c>
      <c r="J4674" s="0" t="str">
        <f aca="false">I4674&amp;"-Q"&amp;ROUNDUP(MONTH(B4674)/3,0)</f>
        <v>2016-Q3</v>
      </c>
    </row>
    <row r="4675" customFormat="false" ht="15" hidden="false" customHeight="false" outlineLevel="0" collapsed="false">
      <c r="A4675" s="0" t="s">
        <v>2395</v>
      </c>
      <c r="B4675" s="6" t="n">
        <v>42582</v>
      </c>
      <c r="C4675" s="7" t="s">
        <v>45</v>
      </c>
      <c r="D4675" s="7" t="s">
        <v>70</v>
      </c>
      <c r="E4675" s="7" t="s">
        <v>39</v>
      </c>
      <c r="F4675" s="0" t="n">
        <v>118.99</v>
      </c>
      <c r="G4675" s="0" t="n">
        <v>33.3172</v>
      </c>
      <c r="H4675" s="0" t="n">
        <v>0</v>
      </c>
      <c r="I4675" s="7" t="n">
        <f aca="false">YEAR(B4675)</f>
        <v>2016</v>
      </c>
      <c r="J4675" s="0" t="str">
        <f aca="false">I4675&amp;"-Q"&amp;ROUNDUP(MONTH(B4675)/3,0)</f>
        <v>2016-Q3</v>
      </c>
    </row>
    <row r="4676" customFormat="false" ht="15" hidden="false" customHeight="false" outlineLevel="0" collapsed="false">
      <c r="A4676" s="0" t="s">
        <v>2395</v>
      </c>
      <c r="B4676" s="6" t="n">
        <v>42582</v>
      </c>
      <c r="C4676" s="7" t="s">
        <v>45</v>
      </c>
      <c r="D4676" s="7" t="s">
        <v>70</v>
      </c>
      <c r="E4676" s="7" t="s">
        <v>31</v>
      </c>
      <c r="F4676" s="0" t="n">
        <v>272.94</v>
      </c>
      <c r="G4676" s="0" t="n">
        <v>30.0234</v>
      </c>
      <c r="H4676" s="0" t="n">
        <v>0</v>
      </c>
      <c r="I4676" s="7" t="n">
        <f aca="false">YEAR(B4676)</f>
        <v>2016</v>
      </c>
      <c r="J4676" s="0" t="str">
        <f aca="false">I4676&amp;"-Q"&amp;ROUNDUP(MONTH(B4676)/3,0)</f>
        <v>2016-Q3</v>
      </c>
    </row>
    <row r="4677" customFormat="false" ht="15" hidden="false" customHeight="false" outlineLevel="0" collapsed="false">
      <c r="A4677" s="0" t="s">
        <v>2396</v>
      </c>
      <c r="B4677" s="6" t="n">
        <v>42821</v>
      </c>
      <c r="C4677" s="7" t="s">
        <v>55</v>
      </c>
      <c r="D4677" s="7" t="s">
        <v>56</v>
      </c>
      <c r="E4677" s="7" t="s">
        <v>31</v>
      </c>
      <c r="F4677" s="0" t="n">
        <v>15.008</v>
      </c>
      <c r="G4677" s="0" t="n">
        <v>1.5008</v>
      </c>
      <c r="H4677" s="0" t="n">
        <v>0.2</v>
      </c>
      <c r="I4677" s="7" t="n">
        <f aca="false">YEAR(B4677)</f>
        <v>2017</v>
      </c>
      <c r="J4677" s="0" t="str">
        <f aca="false">I4677&amp;"-Q"&amp;ROUNDUP(MONTH(B4677)/3,0)</f>
        <v>2017-Q1</v>
      </c>
    </row>
    <row r="4678" customFormat="false" ht="15" hidden="false" customHeight="false" outlineLevel="0" collapsed="false">
      <c r="A4678" s="0" t="s">
        <v>2397</v>
      </c>
      <c r="B4678" s="6" t="n">
        <v>41712</v>
      </c>
      <c r="C4678" s="7" t="s">
        <v>33</v>
      </c>
      <c r="D4678" s="7" t="s">
        <v>50</v>
      </c>
      <c r="E4678" s="7" t="s">
        <v>35</v>
      </c>
      <c r="F4678" s="0" t="n">
        <v>33.088</v>
      </c>
      <c r="G4678" s="0" t="n">
        <v>11.1672</v>
      </c>
      <c r="H4678" s="0" t="n">
        <v>0.2</v>
      </c>
      <c r="I4678" s="7" t="n">
        <f aca="false">YEAR(B4678)</f>
        <v>2014</v>
      </c>
      <c r="J4678" s="0" t="str">
        <f aca="false">I4678&amp;"-Q"&amp;ROUNDUP(MONTH(B4678)/3,0)</f>
        <v>2014-Q1</v>
      </c>
    </row>
    <row r="4679" customFormat="false" ht="15" hidden="false" customHeight="false" outlineLevel="0" collapsed="false">
      <c r="A4679" s="0" t="s">
        <v>2397</v>
      </c>
      <c r="B4679" s="6" t="n">
        <v>41712</v>
      </c>
      <c r="C4679" s="7" t="s">
        <v>33</v>
      </c>
      <c r="D4679" s="7" t="s">
        <v>50</v>
      </c>
      <c r="E4679" s="7" t="s">
        <v>35</v>
      </c>
      <c r="F4679" s="0" t="n">
        <v>80.98</v>
      </c>
      <c r="G4679" s="0" t="n">
        <v>3.2392</v>
      </c>
      <c r="H4679" s="0" t="n">
        <v>0</v>
      </c>
      <c r="I4679" s="7" t="n">
        <f aca="false">YEAR(B4679)</f>
        <v>2014</v>
      </c>
      <c r="J4679" s="0" t="str">
        <f aca="false">I4679&amp;"-Q"&amp;ROUNDUP(MONTH(B4679)/3,0)</f>
        <v>2014-Q1</v>
      </c>
    </row>
    <row r="4680" customFormat="false" ht="15" hidden="false" customHeight="false" outlineLevel="0" collapsed="false">
      <c r="A4680" s="0" t="s">
        <v>2397</v>
      </c>
      <c r="B4680" s="6" t="n">
        <v>41712</v>
      </c>
      <c r="C4680" s="7" t="s">
        <v>33</v>
      </c>
      <c r="D4680" s="7" t="s">
        <v>50</v>
      </c>
      <c r="E4680" s="7" t="s">
        <v>39</v>
      </c>
      <c r="F4680" s="0" t="n">
        <v>82.8</v>
      </c>
      <c r="G4680" s="0" t="n">
        <v>6.624</v>
      </c>
      <c r="H4680" s="0" t="n">
        <v>0</v>
      </c>
      <c r="I4680" s="7" t="n">
        <f aca="false">YEAR(B4680)</f>
        <v>2014</v>
      </c>
      <c r="J4680" s="0" t="str">
        <f aca="false">I4680&amp;"-Q"&amp;ROUNDUP(MONTH(B4680)/3,0)</f>
        <v>2014-Q1</v>
      </c>
    </row>
    <row r="4681" customFormat="false" ht="15" hidden="false" customHeight="false" outlineLevel="0" collapsed="false">
      <c r="A4681" s="0" t="s">
        <v>2397</v>
      </c>
      <c r="B4681" s="6" t="n">
        <v>41712</v>
      </c>
      <c r="C4681" s="7" t="s">
        <v>33</v>
      </c>
      <c r="D4681" s="7" t="s">
        <v>50</v>
      </c>
      <c r="E4681" s="7" t="s">
        <v>35</v>
      </c>
      <c r="F4681" s="0" t="n">
        <v>21.36</v>
      </c>
      <c r="G4681" s="0" t="n">
        <v>5.7672</v>
      </c>
      <c r="H4681" s="0" t="n">
        <v>0</v>
      </c>
      <c r="I4681" s="7" t="n">
        <f aca="false">YEAR(B4681)</f>
        <v>2014</v>
      </c>
      <c r="J4681" s="0" t="str">
        <f aca="false">I4681&amp;"-Q"&amp;ROUNDUP(MONTH(B4681)/3,0)</f>
        <v>2014-Q1</v>
      </c>
    </row>
    <row r="4682" customFormat="false" ht="15" hidden="false" customHeight="false" outlineLevel="0" collapsed="false">
      <c r="A4682" s="0" t="s">
        <v>2397</v>
      </c>
      <c r="B4682" s="6" t="n">
        <v>41712</v>
      </c>
      <c r="C4682" s="7" t="s">
        <v>33</v>
      </c>
      <c r="D4682" s="7" t="s">
        <v>50</v>
      </c>
      <c r="E4682" s="7" t="s">
        <v>35</v>
      </c>
      <c r="F4682" s="0" t="n">
        <v>62.048</v>
      </c>
      <c r="G4682" s="0" t="n">
        <v>20.1656</v>
      </c>
      <c r="H4682" s="0" t="n">
        <v>0.2</v>
      </c>
      <c r="I4682" s="7" t="n">
        <f aca="false">YEAR(B4682)</f>
        <v>2014</v>
      </c>
      <c r="J4682" s="0" t="str">
        <f aca="false">I4682&amp;"-Q"&amp;ROUNDUP(MONTH(B4682)/3,0)</f>
        <v>2014-Q1</v>
      </c>
    </row>
    <row r="4683" customFormat="false" ht="15" hidden="false" customHeight="false" outlineLevel="0" collapsed="false">
      <c r="A4683" s="0" t="s">
        <v>2398</v>
      </c>
      <c r="B4683" s="6" t="n">
        <v>42565</v>
      </c>
      <c r="C4683" s="7" t="s">
        <v>55</v>
      </c>
      <c r="D4683" s="7" t="s">
        <v>76</v>
      </c>
      <c r="E4683" s="7" t="s">
        <v>35</v>
      </c>
      <c r="F4683" s="0" t="n">
        <v>29.61</v>
      </c>
      <c r="G4683" s="0" t="n">
        <v>13.3245</v>
      </c>
      <c r="H4683" s="0" t="n">
        <v>0</v>
      </c>
      <c r="I4683" s="7" t="n">
        <f aca="false">YEAR(B4683)</f>
        <v>2016</v>
      </c>
      <c r="J4683" s="0" t="str">
        <f aca="false">I4683&amp;"-Q"&amp;ROUNDUP(MONTH(B4683)/3,0)</f>
        <v>2016-Q3</v>
      </c>
    </row>
    <row r="4684" customFormat="false" ht="15" hidden="false" customHeight="false" outlineLevel="0" collapsed="false">
      <c r="A4684" s="0" t="s">
        <v>2399</v>
      </c>
      <c r="B4684" s="6" t="n">
        <v>42705</v>
      </c>
      <c r="C4684" s="7" t="s">
        <v>29</v>
      </c>
      <c r="D4684" s="7" t="s">
        <v>41</v>
      </c>
      <c r="E4684" s="7" t="s">
        <v>39</v>
      </c>
      <c r="F4684" s="0" t="n">
        <v>863.928</v>
      </c>
      <c r="G4684" s="0" t="n">
        <v>86.3928</v>
      </c>
      <c r="H4684" s="0" t="n">
        <v>0.2</v>
      </c>
      <c r="I4684" s="7" t="n">
        <f aca="false">YEAR(B4684)</f>
        <v>2016</v>
      </c>
      <c r="J4684" s="0" t="str">
        <f aca="false">I4684&amp;"-Q"&amp;ROUNDUP(MONTH(B4684)/3,0)</f>
        <v>2016-Q4</v>
      </c>
    </row>
    <row r="4685" customFormat="false" ht="15" hidden="false" customHeight="false" outlineLevel="0" collapsed="false">
      <c r="A4685" s="0" t="s">
        <v>2400</v>
      </c>
      <c r="B4685" s="6" t="n">
        <v>42611</v>
      </c>
      <c r="C4685" s="7" t="s">
        <v>55</v>
      </c>
      <c r="D4685" s="7" t="s">
        <v>56</v>
      </c>
      <c r="E4685" s="7" t="s">
        <v>31</v>
      </c>
      <c r="F4685" s="0" t="n">
        <v>241.92</v>
      </c>
      <c r="G4685" s="0" t="n">
        <v>-56.448</v>
      </c>
      <c r="H4685" s="0" t="n">
        <v>0.4</v>
      </c>
      <c r="I4685" s="7" t="n">
        <f aca="false">YEAR(B4685)</f>
        <v>2016</v>
      </c>
      <c r="J4685" s="0" t="str">
        <f aca="false">I4685&amp;"-Q"&amp;ROUNDUP(MONTH(B4685)/3,0)</f>
        <v>2016-Q3</v>
      </c>
    </row>
    <row r="4686" customFormat="false" ht="15" hidden="false" customHeight="false" outlineLevel="0" collapsed="false">
      <c r="A4686" s="0" t="s">
        <v>2400</v>
      </c>
      <c r="B4686" s="6" t="n">
        <v>42611</v>
      </c>
      <c r="C4686" s="7" t="s">
        <v>55</v>
      </c>
      <c r="D4686" s="7" t="s">
        <v>56</v>
      </c>
      <c r="E4686" s="7" t="s">
        <v>31</v>
      </c>
      <c r="F4686" s="0" t="n">
        <v>163.88</v>
      </c>
      <c r="G4686" s="0" t="n">
        <v>-81.94</v>
      </c>
      <c r="H4686" s="0" t="n">
        <v>0.5</v>
      </c>
      <c r="I4686" s="7" t="n">
        <f aca="false">YEAR(B4686)</f>
        <v>2016</v>
      </c>
      <c r="J4686" s="0" t="str">
        <f aca="false">I4686&amp;"-Q"&amp;ROUNDUP(MONTH(B4686)/3,0)</f>
        <v>2016-Q3</v>
      </c>
    </row>
    <row r="4687" customFormat="false" ht="15" hidden="false" customHeight="false" outlineLevel="0" collapsed="false">
      <c r="A4687" s="0" t="s">
        <v>2400</v>
      </c>
      <c r="B4687" s="6" t="n">
        <v>42611</v>
      </c>
      <c r="C4687" s="7" t="s">
        <v>55</v>
      </c>
      <c r="D4687" s="7" t="s">
        <v>56</v>
      </c>
      <c r="E4687" s="7" t="s">
        <v>35</v>
      </c>
      <c r="F4687" s="0" t="n">
        <v>3.486</v>
      </c>
      <c r="G4687" s="0" t="n">
        <v>-2.7888</v>
      </c>
      <c r="H4687" s="0" t="n">
        <v>0.7</v>
      </c>
      <c r="I4687" s="7" t="n">
        <f aca="false">YEAR(B4687)</f>
        <v>2016</v>
      </c>
      <c r="J4687" s="0" t="str">
        <f aca="false">I4687&amp;"-Q"&amp;ROUNDUP(MONTH(B4687)/3,0)</f>
        <v>2016-Q3</v>
      </c>
    </row>
    <row r="4688" customFormat="false" ht="15" hidden="false" customHeight="false" outlineLevel="0" collapsed="false">
      <c r="A4688" s="0" t="s">
        <v>2400</v>
      </c>
      <c r="B4688" s="6" t="n">
        <v>42611</v>
      </c>
      <c r="C4688" s="7" t="s">
        <v>55</v>
      </c>
      <c r="D4688" s="7" t="s">
        <v>56</v>
      </c>
      <c r="E4688" s="7" t="s">
        <v>35</v>
      </c>
      <c r="F4688" s="0" t="n">
        <v>10.584</v>
      </c>
      <c r="G4688" s="0" t="n">
        <v>-2.3814</v>
      </c>
      <c r="H4688" s="0" t="n">
        <v>0.2</v>
      </c>
      <c r="I4688" s="7" t="n">
        <f aca="false">YEAR(B4688)</f>
        <v>2016</v>
      </c>
      <c r="J4688" s="0" t="str">
        <f aca="false">I4688&amp;"-Q"&amp;ROUNDUP(MONTH(B4688)/3,0)</f>
        <v>2016-Q3</v>
      </c>
    </row>
    <row r="4689" customFormat="false" ht="15" hidden="false" customHeight="false" outlineLevel="0" collapsed="false">
      <c r="A4689" s="0" t="s">
        <v>2401</v>
      </c>
      <c r="B4689" s="6" t="n">
        <v>42545</v>
      </c>
      <c r="C4689" s="7" t="s">
        <v>45</v>
      </c>
      <c r="D4689" s="7" t="s">
        <v>74</v>
      </c>
      <c r="E4689" s="7" t="s">
        <v>39</v>
      </c>
      <c r="F4689" s="0" t="n">
        <v>440.91</v>
      </c>
      <c r="G4689" s="0" t="n">
        <v>123.4548</v>
      </c>
      <c r="H4689" s="0" t="n">
        <v>0</v>
      </c>
      <c r="I4689" s="7" t="n">
        <f aca="false">YEAR(B4689)</f>
        <v>2016</v>
      </c>
      <c r="J4689" s="0" t="str">
        <f aca="false">I4689&amp;"-Q"&amp;ROUNDUP(MONTH(B4689)/3,0)</f>
        <v>2016-Q2</v>
      </c>
    </row>
    <row r="4690" customFormat="false" ht="15" hidden="false" customHeight="false" outlineLevel="0" collapsed="false">
      <c r="A4690" s="0" t="s">
        <v>2402</v>
      </c>
      <c r="B4690" s="6" t="n">
        <v>42824</v>
      </c>
      <c r="C4690" s="7" t="s">
        <v>55</v>
      </c>
      <c r="D4690" s="7" t="s">
        <v>56</v>
      </c>
      <c r="E4690" s="7" t="s">
        <v>35</v>
      </c>
      <c r="F4690" s="0" t="n">
        <v>5.715</v>
      </c>
      <c r="G4690" s="0" t="n">
        <v>-4.7625</v>
      </c>
      <c r="H4690" s="0" t="n">
        <v>0.7</v>
      </c>
      <c r="I4690" s="7" t="n">
        <f aca="false">YEAR(B4690)</f>
        <v>2017</v>
      </c>
      <c r="J4690" s="0" t="str">
        <f aca="false">I4690&amp;"-Q"&amp;ROUNDUP(MONTH(B4690)/3,0)</f>
        <v>2017-Q1</v>
      </c>
    </row>
    <row r="4691" customFormat="false" ht="15" hidden="false" customHeight="false" outlineLevel="0" collapsed="false">
      <c r="A4691" s="0" t="s">
        <v>2403</v>
      </c>
      <c r="B4691" s="6" t="n">
        <v>41993</v>
      </c>
      <c r="C4691" s="7" t="s">
        <v>33</v>
      </c>
      <c r="D4691" s="7" t="s">
        <v>81</v>
      </c>
      <c r="E4691" s="7" t="s">
        <v>31</v>
      </c>
      <c r="F4691" s="0" t="n">
        <v>51.968</v>
      </c>
      <c r="G4691" s="0" t="n">
        <v>10.3936</v>
      </c>
      <c r="H4691" s="0" t="n">
        <v>0.2</v>
      </c>
      <c r="I4691" s="7" t="n">
        <f aca="false">YEAR(B4691)</f>
        <v>2014</v>
      </c>
      <c r="J4691" s="0" t="str">
        <f aca="false">I4691&amp;"-Q"&amp;ROUNDUP(MONTH(B4691)/3,0)</f>
        <v>2014-Q4</v>
      </c>
    </row>
    <row r="4692" customFormat="false" ht="15" hidden="false" customHeight="false" outlineLevel="0" collapsed="false">
      <c r="A4692" s="0" t="s">
        <v>2403</v>
      </c>
      <c r="B4692" s="6" t="n">
        <v>41993</v>
      </c>
      <c r="C4692" s="7" t="s">
        <v>33</v>
      </c>
      <c r="D4692" s="7" t="s">
        <v>81</v>
      </c>
      <c r="E4692" s="7" t="s">
        <v>39</v>
      </c>
      <c r="F4692" s="0" t="n">
        <v>71.976</v>
      </c>
      <c r="G4692" s="0" t="n">
        <v>21.5928</v>
      </c>
      <c r="H4692" s="0" t="n">
        <v>0.2</v>
      </c>
      <c r="I4692" s="7" t="n">
        <f aca="false">YEAR(B4692)</f>
        <v>2014</v>
      </c>
      <c r="J4692" s="0" t="str">
        <f aca="false">I4692&amp;"-Q"&amp;ROUNDUP(MONTH(B4692)/3,0)</f>
        <v>2014-Q4</v>
      </c>
    </row>
    <row r="4693" customFormat="false" ht="15" hidden="false" customHeight="false" outlineLevel="0" collapsed="false">
      <c r="A4693" s="0" t="s">
        <v>2403</v>
      </c>
      <c r="B4693" s="6" t="n">
        <v>41993</v>
      </c>
      <c r="C4693" s="7" t="s">
        <v>33</v>
      </c>
      <c r="D4693" s="7" t="s">
        <v>81</v>
      </c>
      <c r="E4693" s="7" t="s">
        <v>31</v>
      </c>
      <c r="F4693" s="0" t="n">
        <v>242.352</v>
      </c>
      <c r="G4693" s="0" t="n">
        <v>-42.4116</v>
      </c>
      <c r="H4693" s="0" t="n">
        <v>0.2</v>
      </c>
      <c r="I4693" s="7" t="n">
        <f aca="false">YEAR(B4693)</f>
        <v>2014</v>
      </c>
      <c r="J4693" s="0" t="str">
        <f aca="false">I4693&amp;"-Q"&amp;ROUNDUP(MONTH(B4693)/3,0)</f>
        <v>2014-Q4</v>
      </c>
    </row>
    <row r="4694" customFormat="false" ht="15" hidden="false" customHeight="false" outlineLevel="0" collapsed="false">
      <c r="A4694" s="0" t="s">
        <v>2403</v>
      </c>
      <c r="B4694" s="6" t="n">
        <v>41993</v>
      </c>
      <c r="C4694" s="7" t="s">
        <v>33</v>
      </c>
      <c r="D4694" s="7" t="s">
        <v>81</v>
      </c>
      <c r="E4694" s="7" t="s">
        <v>35</v>
      </c>
      <c r="F4694" s="0" t="n">
        <v>221.92</v>
      </c>
      <c r="G4694" s="0" t="n">
        <v>77.672</v>
      </c>
      <c r="H4694" s="0" t="n">
        <v>0.2</v>
      </c>
      <c r="I4694" s="7" t="n">
        <f aca="false">YEAR(B4694)</f>
        <v>2014</v>
      </c>
      <c r="J4694" s="0" t="str">
        <f aca="false">I4694&amp;"-Q"&amp;ROUNDUP(MONTH(B4694)/3,0)</f>
        <v>2014-Q4</v>
      </c>
    </row>
    <row r="4695" customFormat="false" ht="15" hidden="false" customHeight="false" outlineLevel="0" collapsed="false">
      <c r="A4695" s="0" t="s">
        <v>2403</v>
      </c>
      <c r="B4695" s="6" t="n">
        <v>41993</v>
      </c>
      <c r="C4695" s="7" t="s">
        <v>33</v>
      </c>
      <c r="D4695" s="7" t="s">
        <v>81</v>
      </c>
      <c r="E4695" s="7" t="s">
        <v>35</v>
      </c>
      <c r="F4695" s="0" t="n">
        <v>8.448</v>
      </c>
      <c r="G4695" s="0" t="n">
        <v>2.64</v>
      </c>
      <c r="H4695" s="0" t="n">
        <v>0.2</v>
      </c>
      <c r="I4695" s="7" t="n">
        <f aca="false">YEAR(B4695)</f>
        <v>2014</v>
      </c>
      <c r="J4695" s="0" t="str">
        <f aca="false">I4695&amp;"-Q"&amp;ROUNDUP(MONTH(B4695)/3,0)</f>
        <v>2014-Q4</v>
      </c>
    </row>
    <row r="4696" customFormat="false" ht="15" hidden="false" customHeight="false" outlineLevel="0" collapsed="false">
      <c r="A4696" s="0" t="s">
        <v>2404</v>
      </c>
      <c r="B4696" s="6" t="n">
        <v>42355</v>
      </c>
      <c r="C4696" s="7" t="s">
        <v>45</v>
      </c>
      <c r="D4696" s="7" t="s">
        <v>70</v>
      </c>
      <c r="E4696" s="7" t="s">
        <v>35</v>
      </c>
      <c r="F4696" s="0" t="n">
        <v>29.52</v>
      </c>
      <c r="G4696" s="0" t="n">
        <v>14.4648</v>
      </c>
      <c r="H4696" s="0" t="n">
        <v>0</v>
      </c>
      <c r="I4696" s="7" t="n">
        <f aca="false">YEAR(B4696)</f>
        <v>2015</v>
      </c>
      <c r="J4696" s="0" t="str">
        <f aca="false">I4696&amp;"-Q"&amp;ROUNDUP(MONTH(B4696)/3,0)</f>
        <v>2015-Q4</v>
      </c>
    </row>
    <row r="4697" customFormat="false" ht="15" hidden="false" customHeight="false" outlineLevel="0" collapsed="false">
      <c r="A4697" s="0" t="s">
        <v>2404</v>
      </c>
      <c r="B4697" s="6" t="n">
        <v>42355</v>
      </c>
      <c r="C4697" s="7" t="s">
        <v>45</v>
      </c>
      <c r="D4697" s="7" t="s">
        <v>70</v>
      </c>
      <c r="E4697" s="7" t="s">
        <v>31</v>
      </c>
      <c r="F4697" s="0" t="n">
        <v>302.94</v>
      </c>
      <c r="G4697" s="0" t="n">
        <v>48.4704</v>
      </c>
      <c r="H4697" s="0" t="n">
        <v>0</v>
      </c>
      <c r="I4697" s="7" t="n">
        <f aca="false">YEAR(B4697)</f>
        <v>2015</v>
      </c>
      <c r="J4697" s="0" t="str">
        <f aca="false">I4697&amp;"-Q"&amp;ROUNDUP(MONTH(B4697)/3,0)</f>
        <v>2015-Q4</v>
      </c>
    </row>
    <row r="4698" customFormat="false" ht="15" hidden="false" customHeight="false" outlineLevel="0" collapsed="false">
      <c r="A4698" s="0" t="s">
        <v>2404</v>
      </c>
      <c r="B4698" s="6" t="n">
        <v>42355</v>
      </c>
      <c r="C4698" s="7" t="s">
        <v>45</v>
      </c>
      <c r="D4698" s="7" t="s">
        <v>70</v>
      </c>
      <c r="E4698" s="7" t="s">
        <v>31</v>
      </c>
      <c r="F4698" s="0" t="n">
        <v>142.36</v>
      </c>
      <c r="G4698" s="0" t="n">
        <v>38.4372</v>
      </c>
      <c r="H4698" s="0" t="n">
        <v>0</v>
      </c>
      <c r="I4698" s="7" t="n">
        <f aca="false">YEAR(B4698)</f>
        <v>2015</v>
      </c>
      <c r="J4698" s="0" t="str">
        <f aca="false">I4698&amp;"-Q"&amp;ROUNDUP(MONTH(B4698)/3,0)</f>
        <v>2015-Q4</v>
      </c>
    </row>
    <row r="4699" customFormat="false" ht="15" hidden="false" customHeight="false" outlineLevel="0" collapsed="false">
      <c r="A4699" s="0" t="s">
        <v>2404</v>
      </c>
      <c r="B4699" s="6" t="n">
        <v>42355</v>
      </c>
      <c r="C4699" s="7" t="s">
        <v>45</v>
      </c>
      <c r="D4699" s="7" t="s">
        <v>70</v>
      </c>
      <c r="E4699" s="7" t="s">
        <v>31</v>
      </c>
      <c r="F4699" s="0" t="n">
        <v>546.66</v>
      </c>
      <c r="G4699" s="0" t="n">
        <v>136.665</v>
      </c>
      <c r="H4699" s="0" t="n">
        <v>0</v>
      </c>
      <c r="I4699" s="7" t="n">
        <f aca="false">YEAR(B4699)</f>
        <v>2015</v>
      </c>
      <c r="J4699" s="0" t="str">
        <f aca="false">I4699&amp;"-Q"&amp;ROUNDUP(MONTH(B4699)/3,0)</f>
        <v>2015-Q4</v>
      </c>
    </row>
    <row r="4700" customFormat="false" ht="15" hidden="false" customHeight="false" outlineLevel="0" collapsed="false">
      <c r="A4700" s="0" t="s">
        <v>2404</v>
      </c>
      <c r="B4700" s="6" t="n">
        <v>42355</v>
      </c>
      <c r="C4700" s="7" t="s">
        <v>45</v>
      </c>
      <c r="D4700" s="7" t="s">
        <v>70</v>
      </c>
      <c r="E4700" s="7" t="s">
        <v>31</v>
      </c>
      <c r="F4700" s="0" t="n">
        <v>212.13</v>
      </c>
      <c r="G4700" s="0" t="n">
        <v>14.8491</v>
      </c>
      <c r="H4700" s="0" t="n">
        <v>0</v>
      </c>
      <c r="I4700" s="7" t="n">
        <f aca="false">YEAR(B4700)</f>
        <v>2015</v>
      </c>
      <c r="J4700" s="0" t="str">
        <f aca="false">I4700&amp;"-Q"&amp;ROUNDUP(MONTH(B4700)/3,0)</f>
        <v>2015-Q4</v>
      </c>
    </row>
    <row r="4701" customFormat="false" ht="15" hidden="false" customHeight="false" outlineLevel="0" collapsed="false">
      <c r="A4701" s="0" t="s">
        <v>2405</v>
      </c>
      <c r="B4701" s="6" t="n">
        <v>42866</v>
      </c>
      <c r="C4701" s="7" t="s">
        <v>45</v>
      </c>
      <c r="D4701" s="7" t="s">
        <v>46</v>
      </c>
      <c r="E4701" s="7" t="s">
        <v>35</v>
      </c>
      <c r="F4701" s="0" t="n">
        <v>5.248</v>
      </c>
      <c r="G4701" s="0" t="n">
        <v>0.5904</v>
      </c>
      <c r="H4701" s="0" t="n">
        <v>0.2</v>
      </c>
      <c r="I4701" s="7" t="n">
        <f aca="false">YEAR(B4701)</f>
        <v>2017</v>
      </c>
      <c r="J4701" s="0" t="str">
        <f aca="false">I4701&amp;"-Q"&amp;ROUNDUP(MONTH(B4701)/3,0)</f>
        <v>2017-Q2</v>
      </c>
    </row>
    <row r="4702" customFormat="false" ht="15" hidden="false" customHeight="false" outlineLevel="0" collapsed="false">
      <c r="A4702" s="0" t="s">
        <v>2405</v>
      </c>
      <c r="B4702" s="6" t="n">
        <v>42866</v>
      </c>
      <c r="C4702" s="7" t="s">
        <v>45</v>
      </c>
      <c r="D4702" s="7" t="s">
        <v>46</v>
      </c>
      <c r="E4702" s="7" t="s">
        <v>35</v>
      </c>
      <c r="F4702" s="0" t="n">
        <v>74.416</v>
      </c>
      <c r="G4702" s="0" t="n">
        <v>-14.8832</v>
      </c>
      <c r="H4702" s="0" t="n">
        <v>0.2</v>
      </c>
      <c r="I4702" s="7" t="n">
        <f aca="false">YEAR(B4702)</f>
        <v>2017</v>
      </c>
      <c r="J4702" s="0" t="str">
        <f aca="false">I4702&amp;"-Q"&amp;ROUNDUP(MONTH(B4702)/3,0)</f>
        <v>2017-Q2</v>
      </c>
    </row>
    <row r="4703" customFormat="false" ht="15" hidden="false" customHeight="false" outlineLevel="0" collapsed="false">
      <c r="A4703" s="0" t="s">
        <v>2405</v>
      </c>
      <c r="B4703" s="6" t="n">
        <v>42866</v>
      </c>
      <c r="C4703" s="7" t="s">
        <v>45</v>
      </c>
      <c r="D4703" s="7" t="s">
        <v>46</v>
      </c>
      <c r="E4703" s="7" t="s">
        <v>35</v>
      </c>
      <c r="F4703" s="0" t="n">
        <v>6.848</v>
      </c>
      <c r="G4703" s="0" t="n">
        <v>2.14</v>
      </c>
      <c r="H4703" s="0" t="n">
        <v>0.2</v>
      </c>
      <c r="I4703" s="7" t="n">
        <f aca="false">YEAR(B4703)</f>
        <v>2017</v>
      </c>
      <c r="J4703" s="0" t="str">
        <f aca="false">I4703&amp;"-Q"&amp;ROUNDUP(MONTH(B4703)/3,0)</f>
        <v>2017-Q2</v>
      </c>
    </row>
    <row r="4704" customFormat="false" ht="15" hidden="false" customHeight="false" outlineLevel="0" collapsed="false">
      <c r="A4704" s="0" t="s">
        <v>2405</v>
      </c>
      <c r="B4704" s="6" t="n">
        <v>42866</v>
      </c>
      <c r="C4704" s="7" t="s">
        <v>45</v>
      </c>
      <c r="D4704" s="7" t="s">
        <v>46</v>
      </c>
      <c r="E4704" s="7" t="s">
        <v>31</v>
      </c>
      <c r="F4704" s="0" t="n">
        <v>7.996</v>
      </c>
      <c r="G4704" s="0" t="n">
        <v>-6.9965</v>
      </c>
      <c r="H4704" s="0" t="n">
        <v>0.6</v>
      </c>
      <c r="I4704" s="7" t="n">
        <f aca="false">YEAR(B4704)</f>
        <v>2017</v>
      </c>
      <c r="J4704" s="0" t="str">
        <f aca="false">I4704&amp;"-Q"&amp;ROUNDUP(MONTH(B4704)/3,0)</f>
        <v>2017-Q2</v>
      </c>
    </row>
    <row r="4705" customFormat="false" ht="15" hidden="false" customHeight="false" outlineLevel="0" collapsed="false">
      <c r="A4705" s="0" t="s">
        <v>2406</v>
      </c>
      <c r="B4705" s="6" t="n">
        <v>42545</v>
      </c>
      <c r="C4705" s="7" t="s">
        <v>45</v>
      </c>
      <c r="D4705" s="7" t="s">
        <v>46</v>
      </c>
      <c r="E4705" s="7" t="s">
        <v>35</v>
      </c>
      <c r="F4705" s="0" t="n">
        <v>8.712</v>
      </c>
      <c r="G4705" s="0" t="n">
        <v>-19.602</v>
      </c>
      <c r="H4705" s="0" t="n">
        <v>0.8</v>
      </c>
      <c r="I4705" s="7" t="n">
        <f aca="false">YEAR(B4705)</f>
        <v>2016</v>
      </c>
      <c r="J4705" s="0" t="str">
        <f aca="false">I4705&amp;"-Q"&amp;ROUNDUP(MONTH(B4705)/3,0)</f>
        <v>2016-Q2</v>
      </c>
    </row>
    <row r="4706" customFormat="false" ht="15" hidden="false" customHeight="false" outlineLevel="0" collapsed="false">
      <c r="A4706" s="0" t="s">
        <v>2407</v>
      </c>
      <c r="B4706" s="6" t="n">
        <v>42507</v>
      </c>
      <c r="C4706" s="7" t="s">
        <v>55</v>
      </c>
      <c r="D4706" s="7" t="s">
        <v>154</v>
      </c>
      <c r="E4706" s="7" t="s">
        <v>35</v>
      </c>
      <c r="F4706" s="0" t="n">
        <v>65.17</v>
      </c>
      <c r="G4706" s="0" t="n">
        <v>18.8993</v>
      </c>
      <c r="H4706" s="0" t="n">
        <v>0</v>
      </c>
      <c r="I4706" s="7" t="n">
        <f aca="false">YEAR(B4706)</f>
        <v>2016</v>
      </c>
      <c r="J4706" s="0" t="str">
        <f aca="false">I4706&amp;"-Q"&amp;ROUNDUP(MONTH(B4706)/3,0)</f>
        <v>2016-Q2</v>
      </c>
    </row>
    <row r="4707" customFormat="false" ht="15" hidden="false" customHeight="false" outlineLevel="0" collapsed="false">
      <c r="A4707" s="0" t="s">
        <v>2407</v>
      </c>
      <c r="B4707" s="6" t="n">
        <v>42507</v>
      </c>
      <c r="C4707" s="7" t="s">
        <v>55</v>
      </c>
      <c r="D4707" s="7" t="s">
        <v>154</v>
      </c>
      <c r="E4707" s="7" t="s">
        <v>35</v>
      </c>
      <c r="F4707" s="0" t="n">
        <v>14.62</v>
      </c>
      <c r="G4707" s="0" t="n">
        <v>6.8714</v>
      </c>
      <c r="H4707" s="0" t="n">
        <v>0</v>
      </c>
      <c r="I4707" s="7" t="n">
        <f aca="false">YEAR(B4707)</f>
        <v>2016</v>
      </c>
      <c r="J4707" s="0" t="str">
        <f aca="false">I4707&amp;"-Q"&amp;ROUNDUP(MONTH(B4707)/3,0)</f>
        <v>2016-Q2</v>
      </c>
    </row>
    <row r="4708" customFormat="false" ht="15" hidden="false" customHeight="false" outlineLevel="0" collapsed="false">
      <c r="A4708" s="0" t="s">
        <v>2407</v>
      </c>
      <c r="B4708" s="6" t="n">
        <v>42507</v>
      </c>
      <c r="C4708" s="7" t="s">
        <v>55</v>
      </c>
      <c r="D4708" s="7" t="s">
        <v>154</v>
      </c>
      <c r="E4708" s="7" t="s">
        <v>31</v>
      </c>
      <c r="F4708" s="0" t="n">
        <v>173.24</v>
      </c>
      <c r="G4708" s="0" t="n">
        <v>17.324</v>
      </c>
      <c r="H4708" s="0" t="n">
        <v>0</v>
      </c>
      <c r="I4708" s="7" t="n">
        <f aca="false">YEAR(B4708)</f>
        <v>2016</v>
      </c>
      <c r="J4708" s="0" t="str">
        <f aca="false">I4708&amp;"-Q"&amp;ROUNDUP(MONTH(B4708)/3,0)</f>
        <v>2016-Q2</v>
      </c>
    </row>
    <row r="4709" customFormat="false" ht="15" hidden="false" customHeight="false" outlineLevel="0" collapsed="false">
      <c r="A4709" s="0" t="s">
        <v>2408</v>
      </c>
      <c r="B4709" s="6" t="n">
        <v>42915</v>
      </c>
      <c r="C4709" s="7" t="s">
        <v>33</v>
      </c>
      <c r="D4709" s="7" t="s">
        <v>34</v>
      </c>
      <c r="E4709" s="7" t="s">
        <v>35</v>
      </c>
      <c r="F4709" s="0" t="n">
        <v>895.92</v>
      </c>
      <c r="G4709" s="0" t="n">
        <v>302.373</v>
      </c>
      <c r="H4709" s="0" t="n">
        <v>0.2</v>
      </c>
      <c r="I4709" s="7" t="n">
        <f aca="false">YEAR(B4709)</f>
        <v>2017</v>
      </c>
      <c r="J4709" s="0" t="str">
        <f aca="false">I4709&amp;"-Q"&amp;ROUNDUP(MONTH(B4709)/3,0)</f>
        <v>2017-Q2</v>
      </c>
    </row>
    <row r="4710" customFormat="false" ht="15" hidden="false" customHeight="false" outlineLevel="0" collapsed="false">
      <c r="A4710" s="0" t="s">
        <v>2408</v>
      </c>
      <c r="B4710" s="6" t="n">
        <v>42915</v>
      </c>
      <c r="C4710" s="7" t="s">
        <v>33</v>
      </c>
      <c r="D4710" s="7" t="s">
        <v>34</v>
      </c>
      <c r="E4710" s="7" t="s">
        <v>35</v>
      </c>
      <c r="F4710" s="0" t="n">
        <v>130.71</v>
      </c>
      <c r="G4710" s="0" t="n">
        <v>39.213</v>
      </c>
      <c r="H4710" s="0" t="n">
        <v>0</v>
      </c>
      <c r="I4710" s="7" t="n">
        <f aca="false">YEAR(B4710)</f>
        <v>2017</v>
      </c>
      <c r="J4710" s="0" t="str">
        <f aca="false">I4710&amp;"-Q"&amp;ROUNDUP(MONTH(B4710)/3,0)</f>
        <v>2017-Q2</v>
      </c>
    </row>
    <row r="4711" customFormat="false" ht="15" hidden="false" customHeight="false" outlineLevel="0" collapsed="false">
      <c r="A4711" s="0" t="s">
        <v>2408</v>
      </c>
      <c r="B4711" s="6" t="n">
        <v>42915</v>
      </c>
      <c r="C4711" s="7" t="s">
        <v>33</v>
      </c>
      <c r="D4711" s="7" t="s">
        <v>34</v>
      </c>
      <c r="E4711" s="7" t="s">
        <v>35</v>
      </c>
      <c r="F4711" s="0" t="n">
        <v>11.68</v>
      </c>
      <c r="G4711" s="0" t="n">
        <v>3.0368</v>
      </c>
      <c r="H4711" s="0" t="n">
        <v>0</v>
      </c>
      <c r="I4711" s="7" t="n">
        <f aca="false">YEAR(B4711)</f>
        <v>2017</v>
      </c>
      <c r="J4711" s="0" t="str">
        <f aca="false">I4711&amp;"-Q"&amp;ROUNDUP(MONTH(B4711)/3,0)</f>
        <v>2017-Q2</v>
      </c>
    </row>
    <row r="4712" customFormat="false" ht="15" hidden="false" customHeight="false" outlineLevel="0" collapsed="false">
      <c r="A4712" s="0" t="s">
        <v>2408</v>
      </c>
      <c r="B4712" s="6" t="n">
        <v>42915</v>
      </c>
      <c r="C4712" s="7" t="s">
        <v>33</v>
      </c>
      <c r="D4712" s="7" t="s">
        <v>34</v>
      </c>
      <c r="E4712" s="7" t="s">
        <v>39</v>
      </c>
      <c r="F4712" s="0" t="n">
        <v>62.31</v>
      </c>
      <c r="G4712" s="0" t="n">
        <v>22.4316</v>
      </c>
      <c r="H4712" s="0" t="n">
        <v>0</v>
      </c>
      <c r="I4712" s="7" t="n">
        <f aca="false">YEAR(B4712)</f>
        <v>2017</v>
      </c>
      <c r="J4712" s="0" t="str">
        <f aca="false">I4712&amp;"-Q"&amp;ROUNDUP(MONTH(B4712)/3,0)</f>
        <v>2017-Q2</v>
      </c>
    </row>
    <row r="4713" customFormat="false" ht="15" hidden="false" customHeight="false" outlineLevel="0" collapsed="false">
      <c r="A4713" s="0" t="s">
        <v>2409</v>
      </c>
      <c r="B4713" s="6" t="n">
        <v>41729</v>
      </c>
      <c r="C4713" s="7" t="s">
        <v>55</v>
      </c>
      <c r="D4713" s="7" t="s">
        <v>56</v>
      </c>
      <c r="E4713" s="7" t="s">
        <v>35</v>
      </c>
      <c r="F4713" s="0" t="n">
        <v>0.852</v>
      </c>
      <c r="G4713" s="0" t="n">
        <v>-0.5964</v>
      </c>
      <c r="H4713" s="0" t="n">
        <v>0.7</v>
      </c>
      <c r="I4713" s="7" t="n">
        <f aca="false">YEAR(B4713)</f>
        <v>2014</v>
      </c>
      <c r="J4713" s="0" t="str">
        <f aca="false">I4713&amp;"-Q"&amp;ROUNDUP(MONTH(B4713)/3,0)</f>
        <v>2014-Q1</v>
      </c>
    </row>
    <row r="4714" customFormat="false" ht="15" hidden="false" customHeight="false" outlineLevel="0" collapsed="false">
      <c r="A4714" s="0" t="s">
        <v>2410</v>
      </c>
      <c r="B4714" s="6" t="n">
        <v>41989</v>
      </c>
      <c r="C4714" s="7" t="s">
        <v>45</v>
      </c>
      <c r="D4714" s="7" t="s">
        <v>46</v>
      </c>
      <c r="E4714" s="7" t="s">
        <v>35</v>
      </c>
      <c r="F4714" s="0" t="n">
        <v>36.288</v>
      </c>
      <c r="G4714" s="0" t="n">
        <v>12.7008</v>
      </c>
      <c r="H4714" s="0" t="n">
        <v>0.2</v>
      </c>
      <c r="I4714" s="7" t="n">
        <f aca="false">YEAR(B4714)</f>
        <v>2014</v>
      </c>
      <c r="J4714" s="0" t="str">
        <f aca="false">I4714&amp;"-Q"&amp;ROUNDUP(MONTH(B4714)/3,0)</f>
        <v>2014-Q4</v>
      </c>
    </row>
    <row r="4715" customFormat="false" ht="15" hidden="false" customHeight="false" outlineLevel="0" collapsed="false">
      <c r="A4715" s="0" t="s">
        <v>2410</v>
      </c>
      <c r="B4715" s="6" t="n">
        <v>41989</v>
      </c>
      <c r="C4715" s="7" t="s">
        <v>45</v>
      </c>
      <c r="D4715" s="7" t="s">
        <v>46</v>
      </c>
      <c r="E4715" s="7" t="s">
        <v>31</v>
      </c>
      <c r="F4715" s="0" t="n">
        <v>56.568</v>
      </c>
      <c r="G4715" s="0" t="n">
        <v>-74.9526</v>
      </c>
      <c r="H4715" s="0" t="n">
        <v>0.6</v>
      </c>
      <c r="I4715" s="7" t="n">
        <f aca="false">YEAR(B4715)</f>
        <v>2014</v>
      </c>
      <c r="J4715" s="0" t="str">
        <f aca="false">I4715&amp;"-Q"&amp;ROUNDUP(MONTH(B4715)/3,0)</f>
        <v>2014-Q4</v>
      </c>
    </row>
    <row r="4716" customFormat="false" ht="15" hidden="false" customHeight="false" outlineLevel="0" collapsed="false">
      <c r="A4716" s="0" t="s">
        <v>2411</v>
      </c>
      <c r="B4716" s="6" t="n">
        <v>42873</v>
      </c>
      <c r="C4716" s="7" t="s">
        <v>33</v>
      </c>
      <c r="D4716" s="7" t="s">
        <v>102</v>
      </c>
      <c r="E4716" s="7" t="s">
        <v>39</v>
      </c>
      <c r="F4716" s="0" t="n">
        <v>344.704</v>
      </c>
      <c r="G4716" s="0" t="n">
        <v>38.7792</v>
      </c>
      <c r="H4716" s="0" t="n">
        <v>0.2</v>
      </c>
      <c r="I4716" s="7" t="n">
        <f aca="false">YEAR(B4716)</f>
        <v>2017</v>
      </c>
      <c r="J4716" s="0" t="str">
        <f aca="false">I4716&amp;"-Q"&amp;ROUNDUP(MONTH(B4716)/3,0)</f>
        <v>2017-Q2</v>
      </c>
    </row>
    <row r="4717" customFormat="false" ht="15" hidden="false" customHeight="false" outlineLevel="0" collapsed="false">
      <c r="A4717" s="0" t="s">
        <v>2412</v>
      </c>
      <c r="B4717" s="6" t="n">
        <v>42136</v>
      </c>
      <c r="C4717" s="7" t="s">
        <v>33</v>
      </c>
      <c r="D4717" s="7" t="s">
        <v>109</v>
      </c>
      <c r="E4717" s="7" t="s">
        <v>39</v>
      </c>
      <c r="F4717" s="0" t="n">
        <v>201.584</v>
      </c>
      <c r="G4717" s="0" t="n">
        <v>20.1584</v>
      </c>
      <c r="H4717" s="0" t="n">
        <v>0.2</v>
      </c>
      <c r="I4717" s="7" t="n">
        <f aca="false">YEAR(B4717)</f>
        <v>2015</v>
      </c>
      <c r="J4717" s="0" t="str">
        <f aca="false">I4717&amp;"-Q"&amp;ROUNDUP(MONTH(B4717)/3,0)</f>
        <v>2015-Q2</v>
      </c>
    </row>
    <row r="4718" customFormat="false" ht="15" hidden="false" customHeight="false" outlineLevel="0" collapsed="false">
      <c r="A4718" s="0" t="s">
        <v>2413</v>
      </c>
      <c r="B4718" s="6" t="n">
        <v>43072</v>
      </c>
      <c r="C4718" s="7" t="s">
        <v>33</v>
      </c>
      <c r="D4718" s="7" t="s">
        <v>43</v>
      </c>
      <c r="E4718" s="7" t="s">
        <v>31</v>
      </c>
      <c r="F4718" s="0" t="n">
        <v>521.96</v>
      </c>
      <c r="G4718" s="0" t="n">
        <v>88.7332</v>
      </c>
      <c r="H4718" s="0" t="n">
        <v>0</v>
      </c>
      <c r="I4718" s="7" t="n">
        <f aca="false">YEAR(B4718)</f>
        <v>2017</v>
      </c>
      <c r="J4718" s="0" t="str">
        <f aca="false">I4718&amp;"-Q"&amp;ROUNDUP(MONTH(B4718)/3,0)</f>
        <v>2017-Q4</v>
      </c>
    </row>
    <row r="4719" customFormat="false" ht="15" hidden="false" customHeight="false" outlineLevel="0" collapsed="false">
      <c r="A4719" s="0" t="s">
        <v>2414</v>
      </c>
      <c r="B4719" s="6" t="n">
        <v>42350</v>
      </c>
      <c r="C4719" s="7" t="s">
        <v>55</v>
      </c>
      <c r="D4719" s="7" t="s">
        <v>495</v>
      </c>
      <c r="E4719" s="7" t="s">
        <v>35</v>
      </c>
      <c r="F4719" s="0" t="n">
        <v>8.22</v>
      </c>
      <c r="G4719" s="0" t="n">
        <v>2.2194</v>
      </c>
      <c r="H4719" s="0" t="n">
        <v>0</v>
      </c>
      <c r="I4719" s="7" t="n">
        <f aca="false">YEAR(B4719)</f>
        <v>2015</v>
      </c>
      <c r="J4719" s="0" t="str">
        <f aca="false">I4719&amp;"-Q"&amp;ROUNDUP(MONTH(B4719)/3,0)</f>
        <v>2015-Q4</v>
      </c>
    </row>
    <row r="4720" customFormat="false" ht="15" hidden="false" customHeight="false" outlineLevel="0" collapsed="false">
      <c r="A4720" s="0" t="s">
        <v>2415</v>
      </c>
      <c r="B4720" s="6" t="n">
        <v>42287</v>
      </c>
      <c r="C4720" s="7" t="s">
        <v>33</v>
      </c>
      <c r="D4720" s="7" t="s">
        <v>34</v>
      </c>
      <c r="E4720" s="7" t="s">
        <v>35</v>
      </c>
      <c r="F4720" s="0" t="n">
        <v>45.36</v>
      </c>
      <c r="G4720" s="0" t="n">
        <v>21.7728</v>
      </c>
      <c r="H4720" s="0" t="n">
        <v>0</v>
      </c>
      <c r="I4720" s="7" t="n">
        <f aca="false">YEAR(B4720)</f>
        <v>2015</v>
      </c>
      <c r="J4720" s="0" t="str">
        <f aca="false">I4720&amp;"-Q"&amp;ROUNDUP(MONTH(B4720)/3,0)</f>
        <v>2015-Q4</v>
      </c>
    </row>
    <row r="4721" customFormat="false" ht="15" hidden="false" customHeight="false" outlineLevel="0" collapsed="false">
      <c r="A4721" s="0" t="s">
        <v>2416</v>
      </c>
      <c r="B4721" s="6" t="n">
        <v>42112</v>
      </c>
      <c r="C4721" s="7" t="s">
        <v>33</v>
      </c>
      <c r="D4721" s="7" t="s">
        <v>34</v>
      </c>
      <c r="E4721" s="7" t="s">
        <v>35</v>
      </c>
      <c r="F4721" s="0" t="n">
        <v>947.17</v>
      </c>
      <c r="G4721" s="0" t="n">
        <v>9.4717</v>
      </c>
      <c r="H4721" s="0" t="n">
        <v>0</v>
      </c>
      <c r="I4721" s="7" t="n">
        <f aca="false">YEAR(B4721)</f>
        <v>2015</v>
      </c>
      <c r="J4721" s="0" t="str">
        <f aca="false">I4721&amp;"-Q"&amp;ROUNDUP(MONTH(B4721)/3,0)</f>
        <v>2015-Q2</v>
      </c>
    </row>
    <row r="4722" customFormat="false" ht="15" hidden="false" customHeight="false" outlineLevel="0" collapsed="false">
      <c r="A4722" s="0" t="s">
        <v>2416</v>
      </c>
      <c r="B4722" s="6" t="n">
        <v>42112</v>
      </c>
      <c r="C4722" s="7" t="s">
        <v>33</v>
      </c>
      <c r="D4722" s="7" t="s">
        <v>34</v>
      </c>
      <c r="E4722" s="7" t="s">
        <v>35</v>
      </c>
      <c r="F4722" s="0" t="n">
        <v>61.96</v>
      </c>
      <c r="G4722" s="0" t="n">
        <v>27.882</v>
      </c>
      <c r="H4722" s="0" t="n">
        <v>0</v>
      </c>
      <c r="I4722" s="7" t="n">
        <f aca="false">YEAR(B4722)</f>
        <v>2015</v>
      </c>
      <c r="J4722" s="0" t="str">
        <f aca="false">I4722&amp;"-Q"&amp;ROUNDUP(MONTH(B4722)/3,0)</f>
        <v>2015-Q2</v>
      </c>
    </row>
    <row r="4723" customFormat="false" ht="15" hidden="false" customHeight="false" outlineLevel="0" collapsed="false">
      <c r="A4723" s="0" t="s">
        <v>2417</v>
      </c>
      <c r="B4723" s="6" t="n">
        <v>41797</v>
      </c>
      <c r="C4723" s="7" t="s">
        <v>45</v>
      </c>
      <c r="D4723" s="7" t="s">
        <v>64</v>
      </c>
      <c r="E4723" s="7" t="s">
        <v>31</v>
      </c>
      <c r="F4723" s="0" t="n">
        <v>268.935</v>
      </c>
      <c r="G4723" s="0" t="n">
        <v>-209.7693</v>
      </c>
      <c r="H4723" s="0" t="n">
        <v>0.5</v>
      </c>
      <c r="I4723" s="7" t="n">
        <f aca="false">YEAR(B4723)</f>
        <v>2014</v>
      </c>
      <c r="J4723" s="0" t="str">
        <f aca="false">I4723&amp;"-Q"&amp;ROUNDUP(MONTH(B4723)/3,0)</f>
        <v>2014-Q2</v>
      </c>
    </row>
    <row r="4724" customFormat="false" ht="15" hidden="false" customHeight="false" outlineLevel="0" collapsed="false">
      <c r="A4724" s="0" t="s">
        <v>2418</v>
      </c>
      <c r="B4724" s="6" t="n">
        <v>42979</v>
      </c>
      <c r="C4724" s="7" t="s">
        <v>33</v>
      </c>
      <c r="D4724" s="7" t="s">
        <v>43</v>
      </c>
      <c r="E4724" s="7" t="s">
        <v>35</v>
      </c>
      <c r="F4724" s="0" t="n">
        <v>7.58</v>
      </c>
      <c r="G4724" s="0" t="n">
        <v>2.9562</v>
      </c>
      <c r="H4724" s="0" t="n">
        <v>0</v>
      </c>
      <c r="I4724" s="7" t="n">
        <f aca="false">YEAR(B4724)</f>
        <v>2017</v>
      </c>
      <c r="J4724" s="0" t="str">
        <f aca="false">I4724&amp;"-Q"&amp;ROUNDUP(MONTH(B4724)/3,0)</f>
        <v>2017-Q3</v>
      </c>
    </row>
    <row r="4725" customFormat="false" ht="15" hidden="false" customHeight="false" outlineLevel="0" collapsed="false">
      <c r="A4725" s="0" t="s">
        <v>2419</v>
      </c>
      <c r="B4725" s="6" t="n">
        <v>42512</v>
      </c>
      <c r="C4725" s="7" t="s">
        <v>29</v>
      </c>
      <c r="D4725" s="7" t="s">
        <v>230</v>
      </c>
      <c r="E4725" s="7" t="s">
        <v>35</v>
      </c>
      <c r="F4725" s="0" t="n">
        <v>14.73</v>
      </c>
      <c r="G4725" s="0" t="n">
        <v>7.2177</v>
      </c>
      <c r="H4725" s="0" t="n">
        <v>0</v>
      </c>
      <c r="I4725" s="7" t="n">
        <f aca="false">YEAR(B4725)</f>
        <v>2016</v>
      </c>
      <c r="J4725" s="0" t="str">
        <f aca="false">I4725&amp;"-Q"&amp;ROUNDUP(MONTH(B4725)/3,0)</f>
        <v>2016-Q2</v>
      </c>
    </row>
    <row r="4726" customFormat="false" ht="15" hidden="false" customHeight="false" outlineLevel="0" collapsed="false">
      <c r="A4726" s="0" t="s">
        <v>2420</v>
      </c>
      <c r="B4726" s="6" t="n">
        <v>42685</v>
      </c>
      <c r="C4726" s="7" t="s">
        <v>29</v>
      </c>
      <c r="D4726" s="7" t="s">
        <v>37</v>
      </c>
      <c r="E4726" s="7" t="s">
        <v>35</v>
      </c>
      <c r="F4726" s="0" t="n">
        <v>9.888</v>
      </c>
      <c r="G4726" s="0" t="n">
        <v>-6.9216</v>
      </c>
      <c r="H4726" s="0" t="n">
        <v>0.7</v>
      </c>
      <c r="I4726" s="7" t="n">
        <f aca="false">YEAR(B4726)</f>
        <v>2016</v>
      </c>
      <c r="J4726" s="0" t="str">
        <f aca="false">I4726&amp;"-Q"&amp;ROUNDUP(MONTH(B4726)/3,0)</f>
        <v>2016-Q4</v>
      </c>
    </row>
    <row r="4727" customFormat="false" ht="15" hidden="false" customHeight="false" outlineLevel="0" collapsed="false">
      <c r="A4727" s="0" t="s">
        <v>2420</v>
      </c>
      <c r="B4727" s="6" t="n">
        <v>42685</v>
      </c>
      <c r="C4727" s="7" t="s">
        <v>29</v>
      </c>
      <c r="D4727" s="7" t="s">
        <v>37</v>
      </c>
      <c r="E4727" s="7" t="s">
        <v>35</v>
      </c>
      <c r="F4727" s="0" t="n">
        <v>671.544</v>
      </c>
      <c r="G4727" s="0" t="n">
        <v>50.3658</v>
      </c>
      <c r="H4727" s="0" t="n">
        <v>0.2</v>
      </c>
      <c r="I4727" s="7" t="n">
        <f aca="false">YEAR(B4727)</f>
        <v>2016</v>
      </c>
      <c r="J4727" s="0" t="str">
        <f aca="false">I4727&amp;"-Q"&amp;ROUNDUP(MONTH(B4727)/3,0)</f>
        <v>2016-Q4</v>
      </c>
    </row>
    <row r="4728" customFormat="false" ht="15" hidden="false" customHeight="false" outlineLevel="0" collapsed="false">
      <c r="A4728" s="0" t="s">
        <v>2421</v>
      </c>
      <c r="B4728" s="6" t="n">
        <v>41968</v>
      </c>
      <c r="C4728" s="7" t="s">
        <v>55</v>
      </c>
      <c r="D4728" s="7" t="s">
        <v>76</v>
      </c>
      <c r="E4728" s="7" t="s">
        <v>35</v>
      </c>
      <c r="F4728" s="0" t="n">
        <v>1117.92</v>
      </c>
      <c r="G4728" s="0" t="n">
        <v>55.896</v>
      </c>
      <c r="H4728" s="0" t="n">
        <v>0</v>
      </c>
      <c r="I4728" s="7" t="n">
        <f aca="false">YEAR(B4728)</f>
        <v>2014</v>
      </c>
      <c r="J4728" s="0" t="str">
        <f aca="false">I4728&amp;"-Q"&amp;ROUNDUP(MONTH(B4728)/3,0)</f>
        <v>2014-Q4</v>
      </c>
    </row>
    <row r="4729" customFormat="false" ht="15" hidden="false" customHeight="false" outlineLevel="0" collapsed="false">
      <c r="A4729" s="0" t="s">
        <v>2421</v>
      </c>
      <c r="B4729" s="6" t="n">
        <v>41968</v>
      </c>
      <c r="C4729" s="7" t="s">
        <v>55</v>
      </c>
      <c r="D4729" s="7" t="s">
        <v>76</v>
      </c>
      <c r="E4729" s="7" t="s">
        <v>31</v>
      </c>
      <c r="F4729" s="0" t="n">
        <v>275.952</v>
      </c>
      <c r="G4729" s="0" t="n">
        <v>-37.9434</v>
      </c>
      <c r="H4729" s="0" t="n">
        <v>0.2</v>
      </c>
      <c r="I4729" s="7" t="n">
        <f aca="false">YEAR(B4729)</f>
        <v>2014</v>
      </c>
      <c r="J4729" s="0" t="str">
        <f aca="false">I4729&amp;"-Q"&amp;ROUNDUP(MONTH(B4729)/3,0)</f>
        <v>2014-Q4</v>
      </c>
    </row>
    <row r="4730" customFormat="false" ht="15" hidden="false" customHeight="false" outlineLevel="0" collapsed="false">
      <c r="A4730" s="0" t="s">
        <v>2422</v>
      </c>
      <c r="B4730" s="6" t="n">
        <v>41950</v>
      </c>
      <c r="C4730" s="7" t="s">
        <v>33</v>
      </c>
      <c r="D4730" s="7" t="s">
        <v>34</v>
      </c>
      <c r="E4730" s="7" t="s">
        <v>35</v>
      </c>
      <c r="F4730" s="0" t="n">
        <v>123.144</v>
      </c>
      <c r="G4730" s="0" t="n">
        <v>46.179</v>
      </c>
      <c r="H4730" s="0" t="n">
        <v>0.2</v>
      </c>
      <c r="I4730" s="7" t="n">
        <f aca="false">YEAR(B4730)</f>
        <v>2014</v>
      </c>
      <c r="J4730" s="0" t="str">
        <f aca="false">I4730&amp;"-Q"&amp;ROUNDUP(MONTH(B4730)/3,0)</f>
        <v>2014-Q4</v>
      </c>
    </row>
    <row r="4731" customFormat="false" ht="15" hidden="false" customHeight="false" outlineLevel="0" collapsed="false">
      <c r="A4731" s="0" t="s">
        <v>2423</v>
      </c>
      <c r="B4731" s="6" t="n">
        <v>42569</v>
      </c>
      <c r="C4731" s="7" t="s">
        <v>45</v>
      </c>
      <c r="D4731" s="7" t="s">
        <v>46</v>
      </c>
      <c r="E4731" s="7" t="s">
        <v>39</v>
      </c>
      <c r="F4731" s="0" t="n">
        <v>15.576</v>
      </c>
      <c r="G4731" s="0" t="n">
        <v>3.3099</v>
      </c>
      <c r="H4731" s="0" t="n">
        <v>0.2</v>
      </c>
      <c r="I4731" s="7" t="n">
        <f aca="false">YEAR(B4731)</f>
        <v>2016</v>
      </c>
      <c r="J4731" s="0" t="str">
        <f aca="false">I4731&amp;"-Q"&amp;ROUNDUP(MONTH(B4731)/3,0)</f>
        <v>2016-Q3</v>
      </c>
    </row>
    <row r="4732" customFormat="false" ht="15" hidden="false" customHeight="false" outlineLevel="0" collapsed="false">
      <c r="A4732" s="0" t="s">
        <v>2424</v>
      </c>
      <c r="B4732" s="6" t="n">
        <v>42092</v>
      </c>
      <c r="C4732" s="7" t="s">
        <v>33</v>
      </c>
      <c r="D4732" s="7" t="s">
        <v>34</v>
      </c>
      <c r="E4732" s="7" t="s">
        <v>35</v>
      </c>
      <c r="F4732" s="0" t="n">
        <v>212.64</v>
      </c>
      <c r="G4732" s="0" t="n">
        <v>99.9408</v>
      </c>
      <c r="H4732" s="0" t="n">
        <v>0</v>
      </c>
      <c r="I4732" s="7" t="n">
        <f aca="false">YEAR(B4732)</f>
        <v>2015</v>
      </c>
      <c r="J4732" s="0" t="str">
        <f aca="false">I4732&amp;"-Q"&amp;ROUNDUP(MONTH(B4732)/3,0)</f>
        <v>2015-Q1</v>
      </c>
    </row>
    <row r="4733" customFormat="false" ht="15" hidden="false" customHeight="false" outlineLevel="0" collapsed="false">
      <c r="A4733" s="0" t="s">
        <v>2424</v>
      </c>
      <c r="B4733" s="6" t="n">
        <v>42092</v>
      </c>
      <c r="C4733" s="7" t="s">
        <v>33</v>
      </c>
      <c r="D4733" s="7" t="s">
        <v>34</v>
      </c>
      <c r="E4733" s="7" t="s">
        <v>35</v>
      </c>
      <c r="F4733" s="0" t="n">
        <v>9.87</v>
      </c>
      <c r="G4733" s="0" t="n">
        <v>4.5402</v>
      </c>
      <c r="H4733" s="0" t="n">
        <v>0</v>
      </c>
      <c r="I4733" s="7" t="n">
        <f aca="false">YEAR(B4733)</f>
        <v>2015</v>
      </c>
      <c r="J4733" s="0" t="str">
        <f aca="false">I4733&amp;"-Q"&amp;ROUNDUP(MONTH(B4733)/3,0)</f>
        <v>2015-Q1</v>
      </c>
    </row>
    <row r="4734" customFormat="false" ht="15" hidden="false" customHeight="false" outlineLevel="0" collapsed="false">
      <c r="A4734" s="0" t="s">
        <v>2424</v>
      </c>
      <c r="B4734" s="6" t="n">
        <v>42092</v>
      </c>
      <c r="C4734" s="7" t="s">
        <v>33</v>
      </c>
      <c r="D4734" s="7" t="s">
        <v>34</v>
      </c>
      <c r="E4734" s="7" t="s">
        <v>39</v>
      </c>
      <c r="F4734" s="0" t="n">
        <v>53.25</v>
      </c>
      <c r="G4734" s="0" t="n">
        <v>20.7675</v>
      </c>
      <c r="H4734" s="0" t="n">
        <v>0</v>
      </c>
      <c r="I4734" s="7" t="n">
        <f aca="false">YEAR(B4734)</f>
        <v>2015</v>
      </c>
      <c r="J4734" s="0" t="str">
        <f aca="false">I4734&amp;"-Q"&amp;ROUNDUP(MONTH(B4734)/3,0)</f>
        <v>2015-Q1</v>
      </c>
    </row>
    <row r="4735" customFormat="false" ht="15" hidden="false" customHeight="false" outlineLevel="0" collapsed="false">
      <c r="A4735" s="0" t="s">
        <v>2424</v>
      </c>
      <c r="B4735" s="6" t="n">
        <v>42092</v>
      </c>
      <c r="C4735" s="7" t="s">
        <v>33</v>
      </c>
      <c r="D4735" s="7" t="s">
        <v>34</v>
      </c>
      <c r="E4735" s="7" t="s">
        <v>31</v>
      </c>
      <c r="F4735" s="0" t="n">
        <v>19.92</v>
      </c>
      <c r="G4735" s="0" t="n">
        <v>9.5616</v>
      </c>
      <c r="H4735" s="0" t="n">
        <v>0</v>
      </c>
      <c r="I4735" s="7" t="n">
        <f aca="false">YEAR(B4735)</f>
        <v>2015</v>
      </c>
      <c r="J4735" s="0" t="str">
        <f aca="false">I4735&amp;"-Q"&amp;ROUNDUP(MONTH(B4735)/3,0)</f>
        <v>2015-Q1</v>
      </c>
    </row>
    <row r="4736" customFormat="false" ht="15" hidden="false" customHeight="false" outlineLevel="0" collapsed="false">
      <c r="A4736" s="0" t="s">
        <v>2425</v>
      </c>
      <c r="B4736" s="6" t="n">
        <v>42467</v>
      </c>
      <c r="C4736" s="7" t="s">
        <v>55</v>
      </c>
      <c r="D4736" s="7" t="s">
        <v>76</v>
      </c>
      <c r="E4736" s="7" t="s">
        <v>31</v>
      </c>
      <c r="F4736" s="0" t="n">
        <v>658.746</v>
      </c>
      <c r="G4736" s="0" t="n">
        <v>146.388</v>
      </c>
      <c r="H4736" s="0" t="n">
        <v>0.1</v>
      </c>
      <c r="I4736" s="7" t="n">
        <f aca="false">YEAR(B4736)</f>
        <v>2016</v>
      </c>
      <c r="J4736" s="0" t="str">
        <f aca="false">I4736&amp;"-Q"&amp;ROUNDUP(MONTH(B4736)/3,0)</f>
        <v>2016-Q2</v>
      </c>
    </row>
    <row r="4737" customFormat="false" ht="15" hidden="false" customHeight="false" outlineLevel="0" collapsed="false">
      <c r="A4737" s="0" t="s">
        <v>2426</v>
      </c>
      <c r="B4737" s="6" t="n">
        <v>42168</v>
      </c>
      <c r="C4737" s="7" t="s">
        <v>55</v>
      </c>
      <c r="D4737" s="7" t="s">
        <v>1184</v>
      </c>
      <c r="E4737" s="7" t="s">
        <v>35</v>
      </c>
      <c r="F4737" s="0" t="n">
        <v>8.26</v>
      </c>
      <c r="G4737" s="0" t="n">
        <v>3.8822</v>
      </c>
      <c r="H4737" s="0" t="n">
        <v>0</v>
      </c>
      <c r="I4737" s="7" t="n">
        <f aca="false">YEAR(B4737)</f>
        <v>2015</v>
      </c>
      <c r="J4737" s="0" t="str">
        <f aca="false">I4737&amp;"-Q"&amp;ROUNDUP(MONTH(B4737)/3,0)</f>
        <v>2015-Q2</v>
      </c>
    </row>
    <row r="4738" customFormat="false" ht="15" hidden="false" customHeight="false" outlineLevel="0" collapsed="false">
      <c r="A4738" s="0" t="s">
        <v>2426</v>
      </c>
      <c r="B4738" s="6" t="n">
        <v>42168</v>
      </c>
      <c r="C4738" s="7" t="s">
        <v>55</v>
      </c>
      <c r="D4738" s="7" t="s">
        <v>1184</v>
      </c>
      <c r="E4738" s="7" t="s">
        <v>35</v>
      </c>
      <c r="F4738" s="0" t="n">
        <v>29.84</v>
      </c>
      <c r="G4738" s="0" t="n">
        <v>13.428</v>
      </c>
      <c r="H4738" s="0" t="n">
        <v>0</v>
      </c>
      <c r="I4738" s="7" t="n">
        <f aca="false">YEAR(B4738)</f>
        <v>2015</v>
      </c>
      <c r="J4738" s="0" t="str">
        <f aca="false">I4738&amp;"-Q"&amp;ROUNDUP(MONTH(B4738)/3,0)</f>
        <v>2015-Q2</v>
      </c>
    </row>
    <row r="4739" customFormat="false" ht="15" hidden="false" customHeight="false" outlineLevel="0" collapsed="false">
      <c r="A4739" s="0" t="s">
        <v>2426</v>
      </c>
      <c r="B4739" s="6" t="n">
        <v>42168</v>
      </c>
      <c r="C4739" s="7" t="s">
        <v>55</v>
      </c>
      <c r="D4739" s="7" t="s">
        <v>1184</v>
      </c>
      <c r="E4739" s="7" t="s">
        <v>39</v>
      </c>
      <c r="F4739" s="0" t="n">
        <v>67.98</v>
      </c>
      <c r="G4739" s="0" t="n">
        <v>14.9556</v>
      </c>
      <c r="H4739" s="0" t="n">
        <v>0</v>
      </c>
      <c r="I4739" s="7" t="n">
        <f aca="false">YEAR(B4739)</f>
        <v>2015</v>
      </c>
      <c r="J4739" s="0" t="str">
        <f aca="false">I4739&amp;"-Q"&amp;ROUNDUP(MONTH(B4739)/3,0)</f>
        <v>2015-Q2</v>
      </c>
    </row>
    <row r="4740" customFormat="false" ht="15" hidden="false" customHeight="false" outlineLevel="0" collapsed="false">
      <c r="A4740" s="0" t="s">
        <v>2427</v>
      </c>
      <c r="B4740" s="6" t="n">
        <v>42053</v>
      </c>
      <c r="C4740" s="7" t="s">
        <v>33</v>
      </c>
      <c r="D4740" s="7" t="s">
        <v>34</v>
      </c>
      <c r="E4740" s="7" t="s">
        <v>35</v>
      </c>
      <c r="F4740" s="0" t="n">
        <v>61.06</v>
      </c>
      <c r="G4740" s="0" t="n">
        <v>28.0876</v>
      </c>
      <c r="H4740" s="0" t="n">
        <v>0</v>
      </c>
      <c r="I4740" s="7" t="n">
        <f aca="false">YEAR(B4740)</f>
        <v>2015</v>
      </c>
      <c r="J4740" s="0" t="str">
        <f aca="false">I4740&amp;"-Q"&amp;ROUNDUP(MONTH(B4740)/3,0)</f>
        <v>2015-Q1</v>
      </c>
    </row>
    <row r="4741" customFormat="false" ht="15" hidden="false" customHeight="false" outlineLevel="0" collapsed="false">
      <c r="A4741" s="0" t="s">
        <v>2427</v>
      </c>
      <c r="B4741" s="6" t="n">
        <v>42053</v>
      </c>
      <c r="C4741" s="7" t="s">
        <v>33</v>
      </c>
      <c r="D4741" s="7" t="s">
        <v>34</v>
      </c>
      <c r="E4741" s="7" t="s">
        <v>31</v>
      </c>
      <c r="F4741" s="0" t="n">
        <v>35.544</v>
      </c>
      <c r="G4741" s="0" t="n">
        <v>-0.8886</v>
      </c>
      <c r="H4741" s="0" t="n">
        <v>0.2</v>
      </c>
      <c r="I4741" s="7" t="n">
        <f aca="false">YEAR(B4741)</f>
        <v>2015</v>
      </c>
      <c r="J4741" s="0" t="str">
        <f aca="false">I4741&amp;"-Q"&amp;ROUNDUP(MONTH(B4741)/3,0)</f>
        <v>2015-Q1</v>
      </c>
    </row>
    <row r="4742" customFormat="false" ht="15" hidden="false" customHeight="false" outlineLevel="0" collapsed="false">
      <c r="A4742" s="0" t="s">
        <v>2428</v>
      </c>
      <c r="B4742" s="6" t="n">
        <v>43051</v>
      </c>
      <c r="C4742" s="7" t="s">
        <v>33</v>
      </c>
      <c r="D4742" s="7" t="s">
        <v>43</v>
      </c>
      <c r="E4742" s="7" t="s">
        <v>35</v>
      </c>
      <c r="F4742" s="0" t="n">
        <v>9.96</v>
      </c>
      <c r="G4742" s="0" t="n">
        <v>4.5816</v>
      </c>
      <c r="H4742" s="0" t="n">
        <v>0</v>
      </c>
      <c r="I4742" s="7" t="n">
        <f aca="false">YEAR(B4742)</f>
        <v>2017</v>
      </c>
      <c r="J4742" s="0" t="str">
        <f aca="false">I4742&amp;"-Q"&amp;ROUNDUP(MONTH(B4742)/3,0)</f>
        <v>2017-Q4</v>
      </c>
    </row>
    <row r="4743" customFormat="false" ht="15" hidden="false" customHeight="false" outlineLevel="0" collapsed="false">
      <c r="A4743" s="0" t="s">
        <v>2428</v>
      </c>
      <c r="B4743" s="6" t="n">
        <v>43051</v>
      </c>
      <c r="C4743" s="7" t="s">
        <v>33</v>
      </c>
      <c r="D4743" s="7" t="s">
        <v>43</v>
      </c>
      <c r="E4743" s="7" t="s">
        <v>35</v>
      </c>
      <c r="F4743" s="0" t="n">
        <v>9.21</v>
      </c>
      <c r="G4743" s="0" t="n">
        <v>2.3025</v>
      </c>
      <c r="H4743" s="0" t="n">
        <v>0</v>
      </c>
      <c r="I4743" s="7" t="n">
        <f aca="false">YEAR(B4743)</f>
        <v>2017</v>
      </c>
      <c r="J4743" s="0" t="str">
        <f aca="false">I4743&amp;"-Q"&amp;ROUNDUP(MONTH(B4743)/3,0)</f>
        <v>2017-Q4</v>
      </c>
    </row>
    <row r="4744" customFormat="false" ht="15" hidden="false" customHeight="false" outlineLevel="0" collapsed="false">
      <c r="A4744" s="0" t="s">
        <v>2428</v>
      </c>
      <c r="B4744" s="6" t="n">
        <v>43051</v>
      </c>
      <c r="C4744" s="7" t="s">
        <v>33</v>
      </c>
      <c r="D4744" s="7" t="s">
        <v>43</v>
      </c>
      <c r="E4744" s="7" t="s">
        <v>35</v>
      </c>
      <c r="F4744" s="0" t="n">
        <v>27.93</v>
      </c>
      <c r="G4744" s="0" t="n">
        <v>8.0997</v>
      </c>
      <c r="H4744" s="0" t="n">
        <v>0</v>
      </c>
      <c r="I4744" s="7" t="n">
        <f aca="false">YEAR(B4744)</f>
        <v>2017</v>
      </c>
      <c r="J4744" s="0" t="str">
        <f aca="false">I4744&amp;"-Q"&amp;ROUNDUP(MONTH(B4744)/3,0)</f>
        <v>2017-Q4</v>
      </c>
    </row>
    <row r="4745" customFormat="false" ht="15" hidden="false" customHeight="false" outlineLevel="0" collapsed="false">
      <c r="A4745" s="0" t="s">
        <v>2429</v>
      </c>
      <c r="B4745" s="6" t="n">
        <v>42799</v>
      </c>
      <c r="C4745" s="7" t="s">
        <v>45</v>
      </c>
      <c r="D4745" s="7" t="s">
        <v>68</v>
      </c>
      <c r="E4745" s="7" t="s">
        <v>35</v>
      </c>
      <c r="F4745" s="0" t="n">
        <v>7.9</v>
      </c>
      <c r="G4745" s="0" t="n">
        <v>2.528</v>
      </c>
      <c r="H4745" s="0" t="n">
        <v>0</v>
      </c>
      <c r="I4745" s="7" t="n">
        <f aca="false">YEAR(B4745)</f>
        <v>2017</v>
      </c>
      <c r="J4745" s="0" t="str">
        <f aca="false">I4745&amp;"-Q"&amp;ROUNDUP(MONTH(B4745)/3,0)</f>
        <v>2017-Q1</v>
      </c>
    </row>
    <row r="4746" customFormat="false" ht="15" hidden="false" customHeight="false" outlineLevel="0" collapsed="false">
      <c r="A4746" s="0" t="s">
        <v>2429</v>
      </c>
      <c r="B4746" s="6" t="n">
        <v>42799</v>
      </c>
      <c r="C4746" s="7" t="s">
        <v>45</v>
      </c>
      <c r="D4746" s="7" t="s">
        <v>68</v>
      </c>
      <c r="E4746" s="7" t="s">
        <v>35</v>
      </c>
      <c r="F4746" s="0" t="n">
        <v>221.16</v>
      </c>
      <c r="G4746" s="0" t="n">
        <v>57.5016</v>
      </c>
      <c r="H4746" s="0" t="n">
        <v>0</v>
      </c>
      <c r="I4746" s="7" t="n">
        <f aca="false">YEAR(B4746)</f>
        <v>2017</v>
      </c>
      <c r="J4746" s="0" t="str">
        <f aca="false">I4746&amp;"-Q"&amp;ROUNDUP(MONTH(B4746)/3,0)</f>
        <v>2017-Q1</v>
      </c>
    </row>
    <row r="4747" customFormat="false" ht="15" hidden="false" customHeight="false" outlineLevel="0" collapsed="false">
      <c r="A4747" s="0" t="s">
        <v>2429</v>
      </c>
      <c r="B4747" s="6" t="n">
        <v>42799</v>
      </c>
      <c r="C4747" s="7" t="s">
        <v>45</v>
      </c>
      <c r="D4747" s="7" t="s">
        <v>68</v>
      </c>
      <c r="E4747" s="7" t="s">
        <v>35</v>
      </c>
      <c r="F4747" s="0" t="n">
        <v>127.96</v>
      </c>
      <c r="G4747" s="0" t="n">
        <v>62.7004</v>
      </c>
      <c r="H4747" s="0" t="n">
        <v>0</v>
      </c>
      <c r="I4747" s="7" t="n">
        <f aca="false">YEAR(B4747)</f>
        <v>2017</v>
      </c>
      <c r="J4747" s="0" t="str">
        <f aca="false">I4747&amp;"-Q"&amp;ROUNDUP(MONTH(B4747)/3,0)</f>
        <v>2017-Q1</v>
      </c>
    </row>
    <row r="4748" customFormat="false" ht="15" hidden="false" customHeight="false" outlineLevel="0" collapsed="false">
      <c r="A4748" s="0" t="s">
        <v>2429</v>
      </c>
      <c r="B4748" s="6" t="n">
        <v>42799</v>
      </c>
      <c r="C4748" s="7" t="s">
        <v>45</v>
      </c>
      <c r="D4748" s="7" t="s">
        <v>68</v>
      </c>
      <c r="E4748" s="7" t="s">
        <v>35</v>
      </c>
      <c r="F4748" s="0" t="n">
        <v>18.69</v>
      </c>
      <c r="G4748" s="0" t="n">
        <v>9.1581</v>
      </c>
      <c r="H4748" s="0" t="n">
        <v>0</v>
      </c>
      <c r="I4748" s="7" t="n">
        <f aca="false">YEAR(B4748)</f>
        <v>2017</v>
      </c>
      <c r="J4748" s="0" t="str">
        <f aca="false">I4748&amp;"-Q"&amp;ROUNDUP(MONTH(B4748)/3,0)</f>
        <v>2017-Q1</v>
      </c>
    </row>
    <row r="4749" customFormat="false" ht="15" hidden="false" customHeight="false" outlineLevel="0" collapsed="false">
      <c r="A4749" s="0" t="s">
        <v>2430</v>
      </c>
      <c r="B4749" s="6" t="n">
        <v>42432</v>
      </c>
      <c r="C4749" s="7" t="s">
        <v>33</v>
      </c>
      <c r="D4749" s="7" t="s">
        <v>34</v>
      </c>
      <c r="E4749" s="7" t="s">
        <v>35</v>
      </c>
      <c r="F4749" s="0" t="n">
        <v>25.35</v>
      </c>
      <c r="G4749" s="0" t="n">
        <v>7.605</v>
      </c>
      <c r="H4749" s="0" t="n">
        <v>0</v>
      </c>
      <c r="I4749" s="7" t="n">
        <f aca="false">YEAR(B4749)</f>
        <v>2016</v>
      </c>
      <c r="J4749" s="0" t="str">
        <f aca="false">I4749&amp;"-Q"&amp;ROUNDUP(MONTH(B4749)/3,0)</f>
        <v>2016-Q1</v>
      </c>
    </row>
    <row r="4750" customFormat="false" ht="15" hidden="false" customHeight="false" outlineLevel="0" collapsed="false">
      <c r="A4750" s="0" t="s">
        <v>2430</v>
      </c>
      <c r="B4750" s="6" t="n">
        <v>42432</v>
      </c>
      <c r="C4750" s="7" t="s">
        <v>33</v>
      </c>
      <c r="D4750" s="7" t="s">
        <v>34</v>
      </c>
      <c r="E4750" s="7" t="s">
        <v>31</v>
      </c>
      <c r="F4750" s="0" t="n">
        <v>35.28</v>
      </c>
      <c r="G4750" s="0" t="n">
        <v>11.9952</v>
      </c>
      <c r="H4750" s="0" t="n">
        <v>0</v>
      </c>
      <c r="I4750" s="7" t="n">
        <f aca="false">YEAR(B4750)</f>
        <v>2016</v>
      </c>
      <c r="J4750" s="0" t="str">
        <f aca="false">I4750&amp;"-Q"&amp;ROUNDUP(MONTH(B4750)/3,0)</f>
        <v>2016-Q1</v>
      </c>
    </row>
    <row r="4751" customFormat="false" ht="15" hidden="false" customHeight="false" outlineLevel="0" collapsed="false">
      <c r="A4751" s="0" t="s">
        <v>2431</v>
      </c>
      <c r="B4751" s="6" t="n">
        <v>42728</v>
      </c>
      <c r="C4751" s="7" t="s">
        <v>33</v>
      </c>
      <c r="D4751" s="7" t="s">
        <v>43</v>
      </c>
      <c r="E4751" s="7" t="s">
        <v>35</v>
      </c>
      <c r="F4751" s="0" t="n">
        <v>33.4</v>
      </c>
      <c r="G4751" s="0" t="n">
        <v>16.032</v>
      </c>
      <c r="H4751" s="0" t="n">
        <v>0</v>
      </c>
      <c r="I4751" s="7" t="n">
        <f aca="false">YEAR(B4751)</f>
        <v>2016</v>
      </c>
      <c r="J4751" s="0" t="str">
        <f aca="false">I4751&amp;"-Q"&amp;ROUNDUP(MONTH(B4751)/3,0)</f>
        <v>2016-Q4</v>
      </c>
    </row>
    <row r="4752" customFormat="false" ht="15" hidden="false" customHeight="false" outlineLevel="0" collapsed="false">
      <c r="A4752" s="0" t="s">
        <v>2432</v>
      </c>
      <c r="B4752" s="6" t="n">
        <v>42650</v>
      </c>
      <c r="C4752" s="7" t="s">
        <v>33</v>
      </c>
      <c r="D4752" s="7" t="s">
        <v>43</v>
      </c>
      <c r="E4752" s="7" t="s">
        <v>39</v>
      </c>
      <c r="F4752" s="0" t="n">
        <v>837.6</v>
      </c>
      <c r="G4752" s="0" t="n">
        <v>62.82</v>
      </c>
      <c r="H4752" s="0" t="n">
        <v>0.2</v>
      </c>
      <c r="I4752" s="7" t="n">
        <f aca="false">YEAR(B4752)</f>
        <v>2016</v>
      </c>
      <c r="J4752" s="0" t="str">
        <f aca="false">I4752&amp;"-Q"&amp;ROUNDUP(MONTH(B4752)/3,0)</f>
        <v>2016-Q4</v>
      </c>
    </row>
    <row r="4753" customFormat="false" ht="15" hidden="false" customHeight="false" outlineLevel="0" collapsed="false">
      <c r="A4753" s="0" t="s">
        <v>2433</v>
      </c>
      <c r="B4753" s="6" t="n">
        <v>42713</v>
      </c>
      <c r="C4753" s="7" t="s">
        <v>29</v>
      </c>
      <c r="D4753" s="7" t="s">
        <v>87</v>
      </c>
      <c r="E4753" s="7" t="s">
        <v>39</v>
      </c>
      <c r="F4753" s="0" t="n">
        <v>40.68</v>
      </c>
      <c r="G4753" s="0" t="n">
        <v>-9.153</v>
      </c>
      <c r="H4753" s="0" t="n">
        <v>0.2</v>
      </c>
      <c r="I4753" s="7" t="n">
        <f aca="false">YEAR(B4753)</f>
        <v>2016</v>
      </c>
      <c r="J4753" s="0" t="str">
        <f aca="false">I4753&amp;"-Q"&amp;ROUNDUP(MONTH(B4753)/3,0)</f>
        <v>2016-Q4</v>
      </c>
    </row>
    <row r="4754" customFormat="false" ht="15" hidden="false" customHeight="false" outlineLevel="0" collapsed="false">
      <c r="A4754" s="0" t="s">
        <v>2434</v>
      </c>
      <c r="B4754" s="6" t="n">
        <v>43059</v>
      </c>
      <c r="C4754" s="7" t="s">
        <v>29</v>
      </c>
      <c r="D4754" s="7" t="s">
        <v>87</v>
      </c>
      <c r="E4754" s="7" t="s">
        <v>31</v>
      </c>
      <c r="F4754" s="0" t="n">
        <v>209.568</v>
      </c>
      <c r="G4754" s="0" t="n">
        <v>-23.5764</v>
      </c>
      <c r="H4754" s="0" t="n">
        <v>0.2</v>
      </c>
      <c r="I4754" s="7" t="n">
        <f aca="false">YEAR(B4754)</f>
        <v>2017</v>
      </c>
      <c r="J4754" s="0" t="str">
        <f aca="false">I4754&amp;"-Q"&amp;ROUNDUP(MONTH(B4754)/3,0)</f>
        <v>2017-Q4</v>
      </c>
    </row>
    <row r="4755" customFormat="false" ht="15" hidden="false" customHeight="false" outlineLevel="0" collapsed="false">
      <c r="A4755" s="0" t="s">
        <v>2435</v>
      </c>
      <c r="B4755" s="6" t="n">
        <v>42350</v>
      </c>
      <c r="C4755" s="7" t="s">
        <v>45</v>
      </c>
      <c r="D4755" s="7" t="s">
        <v>46</v>
      </c>
      <c r="E4755" s="7" t="s">
        <v>39</v>
      </c>
      <c r="F4755" s="0" t="n">
        <v>22.368</v>
      </c>
      <c r="G4755" s="0" t="n">
        <v>6.4308</v>
      </c>
      <c r="H4755" s="0" t="n">
        <v>0.2</v>
      </c>
      <c r="I4755" s="7" t="n">
        <f aca="false">YEAR(B4755)</f>
        <v>2015</v>
      </c>
      <c r="J4755" s="0" t="str">
        <f aca="false">I4755&amp;"-Q"&amp;ROUNDUP(MONTH(B4755)/3,0)</f>
        <v>2015-Q4</v>
      </c>
    </row>
    <row r="4756" customFormat="false" ht="15" hidden="false" customHeight="false" outlineLevel="0" collapsed="false">
      <c r="A4756" s="0" t="s">
        <v>2436</v>
      </c>
      <c r="B4756" s="6" t="n">
        <v>42769</v>
      </c>
      <c r="C4756" s="7" t="s">
        <v>29</v>
      </c>
      <c r="D4756" s="7" t="s">
        <v>37</v>
      </c>
      <c r="E4756" s="7" t="s">
        <v>35</v>
      </c>
      <c r="F4756" s="0" t="n">
        <v>3.882</v>
      </c>
      <c r="G4756" s="0" t="n">
        <v>-2.588</v>
      </c>
      <c r="H4756" s="0" t="n">
        <v>0.7</v>
      </c>
      <c r="I4756" s="7" t="n">
        <f aca="false">YEAR(B4756)</f>
        <v>2017</v>
      </c>
      <c r="J4756" s="0" t="str">
        <f aca="false">I4756&amp;"-Q"&amp;ROUNDUP(MONTH(B4756)/3,0)</f>
        <v>2017-Q1</v>
      </c>
    </row>
    <row r="4757" customFormat="false" ht="15" hidden="false" customHeight="false" outlineLevel="0" collapsed="false">
      <c r="A4757" s="0" t="s">
        <v>2436</v>
      </c>
      <c r="B4757" s="6" t="n">
        <v>42769</v>
      </c>
      <c r="C4757" s="7" t="s">
        <v>29</v>
      </c>
      <c r="D4757" s="7" t="s">
        <v>37</v>
      </c>
      <c r="E4757" s="7" t="s">
        <v>35</v>
      </c>
      <c r="F4757" s="0" t="n">
        <v>115.296</v>
      </c>
      <c r="G4757" s="0" t="n">
        <v>40.3536</v>
      </c>
      <c r="H4757" s="0" t="n">
        <v>0.2</v>
      </c>
      <c r="I4757" s="7" t="n">
        <f aca="false">YEAR(B4757)</f>
        <v>2017</v>
      </c>
      <c r="J4757" s="0" t="str">
        <f aca="false">I4757&amp;"-Q"&amp;ROUNDUP(MONTH(B4757)/3,0)</f>
        <v>2017-Q1</v>
      </c>
    </row>
    <row r="4758" customFormat="false" ht="15" hidden="false" customHeight="false" outlineLevel="0" collapsed="false">
      <c r="A4758" s="0" t="s">
        <v>2437</v>
      </c>
      <c r="B4758" s="6" t="n">
        <v>42999</v>
      </c>
      <c r="C4758" s="7" t="s">
        <v>55</v>
      </c>
      <c r="D4758" s="7" t="s">
        <v>56</v>
      </c>
      <c r="E4758" s="7" t="s">
        <v>35</v>
      </c>
      <c r="F4758" s="0" t="n">
        <v>1.908</v>
      </c>
      <c r="G4758" s="0" t="n">
        <v>-1.5264</v>
      </c>
      <c r="H4758" s="0" t="n">
        <v>0.7</v>
      </c>
      <c r="I4758" s="7" t="n">
        <f aca="false">YEAR(B4758)</f>
        <v>2017</v>
      </c>
      <c r="J4758" s="0" t="str">
        <f aca="false">I4758&amp;"-Q"&amp;ROUNDUP(MONTH(B4758)/3,0)</f>
        <v>2017-Q3</v>
      </c>
    </row>
    <row r="4759" customFormat="false" ht="15" hidden="false" customHeight="false" outlineLevel="0" collapsed="false">
      <c r="A4759" s="0" t="s">
        <v>2438</v>
      </c>
      <c r="B4759" s="6" t="n">
        <v>42855</v>
      </c>
      <c r="C4759" s="7" t="s">
        <v>45</v>
      </c>
      <c r="D4759" s="7" t="s">
        <v>64</v>
      </c>
      <c r="E4759" s="7" t="s">
        <v>35</v>
      </c>
      <c r="F4759" s="0" t="n">
        <v>43.372</v>
      </c>
      <c r="G4759" s="0" t="n">
        <v>-69.3952</v>
      </c>
      <c r="H4759" s="0" t="n">
        <v>0.8</v>
      </c>
      <c r="I4759" s="7" t="n">
        <f aca="false">YEAR(B4759)</f>
        <v>2017</v>
      </c>
      <c r="J4759" s="0" t="str">
        <f aca="false">I4759&amp;"-Q"&amp;ROUNDUP(MONTH(B4759)/3,0)</f>
        <v>2017-Q2</v>
      </c>
    </row>
    <row r="4760" customFormat="false" ht="15" hidden="false" customHeight="false" outlineLevel="0" collapsed="false">
      <c r="A4760" s="0" t="s">
        <v>2439</v>
      </c>
      <c r="B4760" s="6" t="n">
        <v>41946</v>
      </c>
      <c r="C4760" s="7" t="s">
        <v>55</v>
      </c>
      <c r="D4760" s="7" t="s">
        <v>76</v>
      </c>
      <c r="E4760" s="7" t="s">
        <v>39</v>
      </c>
      <c r="F4760" s="0" t="n">
        <v>783.96</v>
      </c>
      <c r="G4760" s="0" t="n">
        <v>219.5088</v>
      </c>
      <c r="H4760" s="0" t="n">
        <v>0</v>
      </c>
      <c r="I4760" s="7" t="n">
        <f aca="false">YEAR(B4760)</f>
        <v>2014</v>
      </c>
      <c r="J4760" s="0" t="str">
        <f aca="false">I4760&amp;"-Q"&amp;ROUNDUP(MONTH(B4760)/3,0)</f>
        <v>2014-Q4</v>
      </c>
    </row>
    <row r="4761" customFormat="false" ht="15" hidden="false" customHeight="false" outlineLevel="0" collapsed="false">
      <c r="A4761" s="0" t="s">
        <v>2439</v>
      </c>
      <c r="B4761" s="6" t="n">
        <v>41946</v>
      </c>
      <c r="C4761" s="7" t="s">
        <v>55</v>
      </c>
      <c r="D4761" s="7" t="s">
        <v>76</v>
      </c>
      <c r="E4761" s="7" t="s">
        <v>35</v>
      </c>
      <c r="F4761" s="0" t="n">
        <v>48.896</v>
      </c>
      <c r="G4761" s="0" t="n">
        <v>18.336</v>
      </c>
      <c r="H4761" s="0" t="n">
        <v>0.2</v>
      </c>
      <c r="I4761" s="7" t="n">
        <f aca="false">YEAR(B4761)</f>
        <v>2014</v>
      </c>
      <c r="J4761" s="0" t="str">
        <f aca="false">I4761&amp;"-Q"&amp;ROUNDUP(MONTH(B4761)/3,0)</f>
        <v>2014-Q4</v>
      </c>
    </row>
    <row r="4762" customFormat="false" ht="15" hidden="false" customHeight="false" outlineLevel="0" collapsed="false">
      <c r="A4762" s="0" t="s">
        <v>2439</v>
      </c>
      <c r="B4762" s="6" t="n">
        <v>41946</v>
      </c>
      <c r="C4762" s="7" t="s">
        <v>55</v>
      </c>
      <c r="D4762" s="7" t="s">
        <v>76</v>
      </c>
      <c r="E4762" s="7" t="s">
        <v>35</v>
      </c>
      <c r="F4762" s="0" t="n">
        <v>7.856</v>
      </c>
      <c r="G4762" s="0" t="n">
        <v>2.8478</v>
      </c>
      <c r="H4762" s="0" t="n">
        <v>0.2</v>
      </c>
      <c r="I4762" s="7" t="n">
        <f aca="false">YEAR(B4762)</f>
        <v>2014</v>
      </c>
      <c r="J4762" s="0" t="str">
        <f aca="false">I4762&amp;"-Q"&amp;ROUNDUP(MONTH(B4762)/3,0)</f>
        <v>2014-Q4</v>
      </c>
    </row>
    <row r="4763" customFormat="false" ht="15" hidden="false" customHeight="false" outlineLevel="0" collapsed="false">
      <c r="A4763" s="0" t="s">
        <v>2440</v>
      </c>
      <c r="B4763" s="6" t="n">
        <v>42734</v>
      </c>
      <c r="C4763" s="7" t="s">
        <v>55</v>
      </c>
      <c r="D4763" s="7" t="s">
        <v>116</v>
      </c>
      <c r="E4763" s="7" t="s">
        <v>35</v>
      </c>
      <c r="F4763" s="0" t="n">
        <v>5.904</v>
      </c>
      <c r="G4763" s="0" t="n">
        <v>1.9926</v>
      </c>
      <c r="H4763" s="0" t="n">
        <v>0.2</v>
      </c>
      <c r="I4763" s="7" t="n">
        <f aca="false">YEAR(B4763)</f>
        <v>2016</v>
      </c>
      <c r="J4763" s="0" t="str">
        <f aca="false">I4763&amp;"-Q"&amp;ROUNDUP(MONTH(B4763)/3,0)</f>
        <v>2016-Q4</v>
      </c>
    </row>
    <row r="4764" customFormat="false" ht="15" hidden="false" customHeight="false" outlineLevel="0" collapsed="false">
      <c r="A4764" s="0" t="s">
        <v>2440</v>
      </c>
      <c r="B4764" s="6" t="n">
        <v>42734</v>
      </c>
      <c r="C4764" s="7" t="s">
        <v>55</v>
      </c>
      <c r="D4764" s="7" t="s">
        <v>116</v>
      </c>
      <c r="E4764" s="7" t="s">
        <v>35</v>
      </c>
      <c r="F4764" s="0" t="n">
        <v>13.712</v>
      </c>
      <c r="G4764" s="0" t="n">
        <v>1.0284</v>
      </c>
      <c r="H4764" s="0" t="n">
        <v>0.2</v>
      </c>
      <c r="I4764" s="7" t="n">
        <f aca="false">YEAR(B4764)</f>
        <v>2016</v>
      </c>
      <c r="J4764" s="0" t="str">
        <f aca="false">I4764&amp;"-Q"&amp;ROUNDUP(MONTH(B4764)/3,0)</f>
        <v>2016-Q4</v>
      </c>
    </row>
    <row r="4765" customFormat="false" ht="15" hidden="false" customHeight="false" outlineLevel="0" collapsed="false">
      <c r="A4765" s="0" t="s">
        <v>2441</v>
      </c>
      <c r="B4765" s="6" t="n">
        <v>41899</v>
      </c>
      <c r="C4765" s="7" t="s">
        <v>33</v>
      </c>
      <c r="D4765" s="7" t="s">
        <v>34</v>
      </c>
      <c r="E4765" s="7" t="s">
        <v>35</v>
      </c>
      <c r="F4765" s="0" t="n">
        <v>182.94</v>
      </c>
      <c r="G4765" s="0" t="n">
        <v>85.9818</v>
      </c>
      <c r="H4765" s="0" t="n">
        <v>0</v>
      </c>
      <c r="I4765" s="7" t="n">
        <f aca="false">YEAR(B4765)</f>
        <v>2014</v>
      </c>
      <c r="J4765" s="0" t="str">
        <f aca="false">I4765&amp;"-Q"&amp;ROUNDUP(MONTH(B4765)/3,0)</f>
        <v>2014-Q3</v>
      </c>
    </row>
    <row r="4766" customFormat="false" ht="15" hidden="false" customHeight="false" outlineLevel="0" collapsed="false">
      <c r="A4766" s="0" t="s">
        <v>2442</v>
      </c>
      <c r="B4766" s="6" t="n">
        <v>43063</v>
      </c>
      <c r="C4766" s="7" t="s">
        <v>33</v>
      </c>
      <c r="D4766" s="7" t="s">
        <v>34</v>
      </c>
      <c r="E4766" s="7" t="s">
        <v>35</v>
      </c>
      <c r="F4766" s="0" t="n">
        <v>27.76</v>
      </c>
      <c r="G4766" s="0" t="n">
        <v>9.9936</v>
      </c>
      <c r="H4766" s="0" t="n">
        <v>0</v>
      </c>
      <c r="I4766" s="7" t="n">
        <f aca="false">YEAR(B4766)</f>
        <v>2017</v>
      </c>
      <c r="J4766" s="0" t="str">
        <f aca="false">I4766&amp;"-Q"&amp;ROUNDUP(MONTH(B4766)/3,0)</f>
        <v>2017-Q4</v>
      </c>
    </row>
    <row r="4767" customFormat="false" ht="15" hidden="false" customHeight="false" outlineLevel="0" collapsed="false">
      <c r="A4767" s="0" t="s">
        <v>2443</v>
      </c>
      <c r="B4767" s="6" t="n">
        <v>42118</v>
      </c>
      <c r="C4767" s="7" t="s">
        <v>55</v>
      </c>
      <c r="D4767" s="7" t="s">
        <v>76</v>
      </c>
      <c r="E4767" s="7" t="s">
        <v>35</v>
      </c>
      <c r="F4767" s="0" t="n">
        <v>25.99</v>
      </c>
      <c r="G4767" s="0" t="n">
        <v>7.5371</v>
      </c>
      <c r="H4767" s="0" t="n">
        <v>0</v>
      </c>
      <c r="I4767" s="7" t="n">
        <f aca="false">YEAR(B4767)</f>
        <v>2015</v>
      </c>
      <c r="J4767" s="0" t="str">
        <f aca="false">I4767&amp;"-Q"&amp;ROUNDUP(MONTH(B4767)/3,0)</f>
        <v>2015-Q2</v>
      </c>
    </row>
    <row r="4768" customFormat="false" ht="15" hidden="false" customHeight="false" outlineLevel="0" collapsed="false">
      <c r="A4768" s="0" t="s">
        <v>2444</v>
      </c>
      <c r="B4768" s="6" t="n">
        <v>42072</v>
      </c>
      <c r="C4768" s="7" t="s">
        <v>45</v>
      </c>
      <c r="D4768" s="7" t="s">
        <v>46</v>
      </c>
      <c r="E4768" s="7" t="s">
        <v>39</v>
      </c>
      <c r="F4768" s="0" t="n">
        <v>113.52</v>
      </c>
      <c r="G4768" s="0" t="n">
        <v>29.799</v>
      </c>
      <c r="H4768" s="0" t="n">
        <v>0.2</v>
      </c>
      <c r="I4768" s="7" t="n">
        <f aca="false">YEAR(B4768)</f>
        <v>2015</v>
      </c>
      <c r="J4768" s="0" t="str">
        <f aca="false">I4768&amp;"-Q"&amp;ROUNDUP(MONTH(B4768)/3,0)</f>
        <v>2015-Q1</v>
      </c>
    </row>
    <row r="4769" customFormat="false" ht="15" hidden="false" customHeight="false" outlineLevel="0" collapsed="false">
      <c r="A4769" s="0" t="s">
        <v>2444</v>
      </c>
      <c r="B4769" s="6" t="n">
        <v>42072</v>
      </c>
      <c r="C4769" s="7" t="s">
        <v>45</v>
      </c>
      <c r="D4769" s="7" t="s">
        <v>46</v>
      </c>
      <c r="E4769" s="7" t="s">
        <v>39</v>
      </c>
      <c r="F4769" s="0" t="n">
        <v>359.88</v>
      </c>
      <c r="G4769" s="0" t="n">
        <v>22.4925</v>
      </c>
      <c r="H4769" s="0" t="n">
        <v>0.2</v>
      </c>
      <c r="I4769" s="7" t="n">
        <f aca="false">YEAR(B4769)</f>
        <v>2015</v>
      </c>
      <c r="J4769" s="0" t="str">
        <f aca="false">I4769&amp;"-Q"&amp;ROUNDUP(MONTH(B4769)/3,0)</f>
        <v>2015-Q1</v>
      </c>
    </row>
    <row r="4770" customFormat="false" ht="15" hidden="false" customHeight="false" outlineLevel="0" collapsed="false">
      <c r="A4770" s="0" t="s">
        <v>2445</v>
      </c>
      <c r="B4770" s="6" t="n">
        <v>42888</v>
      </c>
      <c r="C4770" s="7" t="s">
        <v>29</v>
      </c>
      <c r="D4770" s="7" t="s">
        <v>41</v>
      </c>
      <c r="E4770" s="7" t="s">
        <v>35</v>
      </c>
      <c r="F4770" s="0" t="n">
        <v>25.344</v>
      </c>
      <c r="G4770" s="0" t="n">
        <v>9.1872</v>
      </c>
      <c r="H4770" s="0" t="n">
        <v>0.2</v>
      </c>
      <c r="I4770" s="7" t="n">
        <f aca="false">YEAR(B4770)</f>
        <v>2017</v>
      </c>
      <c r="J4770" s="0" t="str">
        <f aca="false">I4770&amp;"-Q"&amp;ROUNDUP(MONTH(B4770)/3,0)</f>
        <v>2017-Q2</v>
      </c>
    </row>
    <row r="4771" customFormat="false" ht="15" hidden="false" customHeight="false" outlineLevel="0" collapsed="false">
      <c r="A4771" s="0" t="s">
        <v>2446</v>
      </c>
      <c r="B4771" s="6" t="n">
        <v>42632</v>
      </c>
      <c r="C4771" s="7" t="s">
        <v>33</v>
      </c>
      <c r="D4771" s="7" t="s">
        <v>34</v>
      </c>
      <c r="E4771" s="7" t="s">
        <v>35</v>
      </c>
      <c r="F4771" s="0" t="n">
        <v>11.952</v>
      </c>
      <c r="G4771" s="0" t="n">
        <v>4.1832</v>
      </c>
      <c r="H4771" s="0" t="n">
        <v>0.2</v>
      </c>
      <c r="I4771" s="7" t="n">
        <f aca="false">YEAR(B4771)</f>
        <v>2016</v>
      </c>
      <c r="J4771" s="0" t="str">
        <f aca="false">I4771&amp;"-Q"&amp;ROUNDUP(MONTH(B4771)/3,0)</f>
        <v>2016-Q3</v>
      </c>
    </row>
    <row r="4772" customFormat="false" ht="15" hidden="false" customHeight="false" outlineLevel="0" collapsed="false">
      <c r="A4772" s="0" t="s">
        <v>2446</v>
      </c>
      <c r="B4772" s="6" t="n">
        <v>42632</v>
      </c>
      <c r="C4772" s="7" t="s">
        <v>33</v>
      </c>
      <c r="D4772" s="7" t="s">
        <v>34</v>
      </c>
      <c r="E4772" s="7" t="s">
        <v>35</v>
      </c>
      <c r="F4772" s="0" t="n">
        <v>6.24</v>
      </c>
      <c r="G4772" s="0" t="n">
        <v>1.872</v>
      </c>
      <c r="H4772" s="0" t="n">
        <v>0</v>
      </c>
      <c r="I4772" s="7" t="n">
        <f aca="false">YEAR(B4772)</f>
        <v>2016</v>
      </c>
      <c r="J4772" s="0" t="str">
        <f aca="false">I4772&amp;"-Q"&amp;ROUNDUP(MONTH(B4772)/3,0)</f>
        <v>2016-Q3</v>
      </c>
    </row>
    <row r="4773" customFormat="false" ht="15" hidden="false" customHeight="false" outlineLevel="0" collapsed="false">
      <c r="A4773" s="0" t="s">
        <v>2447</v>
      </c>
      <c r="B4773" s="6" t="n">
        <v>41943</v>
      </c>
      <c r="C4773" s="7" t="s">
        <v>33</v>
      </c>
      <c r="D4773" s="7" t="s">
        <v>81</v>
      </c>
      <c r="E4773" s="7" t="s">
        <v>39</v>
      </c>
      <c r="F4773" s="0" t="n">
        <v>742.336</v>
      </c>
      <c r="G4773" s="0" t="n">
        <v>83.5128</v>
      </c>
      <c r="H4773" s="0" t="n">
        <v>0.2</v>
      </c>
      <c r="I4773" s="7" t="n">
        <f aca="false">YEAR(B4773)</f>
        <v>2014</v>
      </c>
      <c r="J4773" s="0" t="str">
        <f aca="false">I4773&amp;"-Q"&amp;ROUNDUP(MONTH(B4773)/3,0)</f>
        <v>2014-Q4</v>
      </c>
    </row>
    <row r="4774" customFormat="false" ht="15" hidden="false" customHeight="false" outlineLevel="0" collapsed="false">
      <c r="A4774" s="0" t="s">
        <v>2448</v>
      </c>
      <c r="B4774" s="6" t="n">
        <v>43062</v>
      </c>
      <c r="C4774" s="7" t="s">
        <v>45</v>
      </c>
      <c r="D4774" s="7" t="s">
        <v>64</v>
      </c>
      <c r="E4774" s="7" t="s">
        <v>31</v>
      </c>
      <c r="F4774" s="0" t="n">
        <v>6.464</v>
      </c>
      <c r="G4774" s="0" t="n">
        <v>-4.04</v>
      </c>
      <c r="H4774" s="0" t="n">
        <v>0.6</v>
      </c>
      <c r="I4774" s="7" t="n">
        <f aca="false">YEAR(B4774)</f>
        <v>2017</v>
      </c>
      <c r="J4774" s="0" t="str">
        <f aca="false">I4774&amp;"-Q"&amp;ROUNDUP(MONTH(B4774)/3,0)</f>
        <v>2017-Q4</v>
      </c>
    </row>
    <row r="4775" customFormat="false" ht="15" hidden="false" customHeight="false" outlineLevel="0" collapsed="false">
      <c r="A4775" s="0" t="s">
        <v>2448</v>
      </c>
      <c r="B4775" s="6" t="n">
        <v>43062</v>
      </c>
      <c r="C4775" s="7" t="s">
        <v>45</v>
      </c>
      <c r="D4775" s="7" t="s">
        <v>64</v>
      </c>
      <c r="E4775" s="7" t="s">
        <v>35</v>
      </c>
      <c r="F4775" s="0" t="n">
        <v>11.52</v>
      </c>
      <c r="G4775" s="0" t="n">
        <v>4.176</v>
      </c>
      <c r="H4775" s="0" t="n">
        <v>0.2</v>
      </c>
      <c r="I4775" s="7" t="n">
        <f aca="false">YEAR(B4775)</f>
        <v>2017</v>
      </c>
      <c r="J4775" s="0" t="str">
        <f aca="false">I4775&amp;"-Q"&amp;ROUNDUP(MONTH(B4775)/3,0)</f>
        <v>2017-Q4</v>
      </c>
    </row>
    <row r="4776" customFormat="false" ht="15" hidden="false" customHeight="false" outlineLevel="0" collapsed="false">
      <c r="A4776" s="0" t="s">
        <v>2448</v>
      </c>
      <c r="B4776" s="6" t="n">
        <v>43062</v>
      </c>
      <c r="C4776" s="7" t="s">
        <v>45</v>
      </c>
      <c r="D4776" s="7" t="s">
        <v>64</v>
      </c>
      <c r="E4776" s="7" t="s">
        <v>39</v>
      </c>
      <c r="F4776" s="0" t="n">
        <v>222.384</v>
      </c>
      <c r="G4776" s="0" t="n">
        <v>16.6788</v>
      </c>
      <c r="H4776" s="0" t="n">
        <v>0.2</v>
      </c>
      <c r="I4776" s="7" t="n">
        <f aca="false">YEAR(B4776)</f>
        <v>2017</v>
      </c>
      <c r="J4776" s="0" t="str">
        <f aca="false">I4776&amp;"-Q"&amp;ROUNDUP(MONTH(B4776)/3,0)</f>
        <v>2017-Q4</v>
      </c>
    </row>
    <row r="4777" customFormat="false" ht="15" hidden="false" customHeight="false" outlineLevel="0" collapsed="false">
      <c r="A4777" s="0" t="s">
        <v>2449</v>
      </c>
      <c r="B4777" s="6" t="n">
        <v>43055</v>
      </c>
      <c r="C4777" s="7" t="s">
        <v>33</v>
      </c>
      <c r="D4777" s="7" t="s">
        <v>34</v>
      </c>
      <c r="E4777" s="7" t="s">
        <v>35</v>
      </c>
      <c r="F4777" s="0" t="n">
        <v>23.36</v>
      </c>
      <c r="G4777" s="0" t="n">
        <v>6.0736</v>
      </c>
      <c r="H4777" s="0" t="n">
        <v>0</v>
      </c>
      <c r="I4777" s="7" t="n">
        <f aca="false">YEAR(B4777)</f>
        <v>2017</v>
      </c>
      <c r="J4777" s="0" t="str">
        <f aca="false">I4777&amp;"-Q"&amp;ROUNDUP(MONTH(B4777)/3,0)</f>
        <v>2017-Q4</v>
      </c>
    </row>
    <row r="4778" customFormat="false" ht="15" hidden="false" customHeight="false" outlineLevel="0" collapsed="false">
      <c r="A4778" s="0" t="s">
        <v>2450</v>
      </c>
      <c r="B4778" s="6" t="n">
        <v>42419</v>
      </c>
      <c r="C4778" s="7" t="s">
        <v>55</v>
      </c>
      <c r="D4778" s="7" t="s">
        <v>76</v>
      </c>
      <c r="E4778" s="7" t="s">
        <v>35</v>
      </c>
      <c r="F4778" s="0" t="n">
        <v>8.67</v>
      </c>
      <c r="G4778" s="0" t="n">
        <v>4.0749</v>
      </c>
      <c r="H4778" s="0" t="n">
        <v>0</v>
      </c>
      <c r="I4778" s="7" t="n">
        <f aca="false">YEAR(B4778)</f>
        <v>2016</v>
      </c>
      <c r="J4778" s="0" t="str">
        <f aca="false">I4778&amp;"-Q"&amp;ROUNDUP(MONTH(B4778)/3,0)</f>
        <v>2016-Q1</v>
      </c>
    </row>
    <row r="4779" customFormat="false" ht="15" hidden="false" customHeight="false" outlineLevel="0" collapsed="false">
      <c r="A4779" s="0" t="s">
        <v>2450</v>
      </c>
      <c r="B4779" s="6" t="n">
        <v>42419</v>
      </c>
      <c r="C4779" s="7" t="s">
        <v>55</v>
      </c>
      <c r="D4779" s="7" t="s">
        <v>76</v>
      </c>
      <c r="E4779" s="7" t="s">
        <v>35</v>
      </c>
      <c r="F4779" s="0" t="n">
        <v>25.71</v>
      </c>
      <c r="G4779" s="0" t="n">
        <v>6.6846</v>
      </c>
      <c r="H4779" s="0" t="n">
        <v>0</v>
      </c>
      <c r="I4779" s="7" t="n">
        <f aca="false">YEAR(B4779)</f>
        <v>2016</v>
      </c>
      <c r="J4779" s="0" t="str">
        <f aca="false">I4779&amp;"-Q"&amp;ROUNDUP(MONTH(B4779)/3,0)</f>
        <v>2016-Q1</v>
      </c>
    </row>
    <row r="4780" customFormat="false" ht="15" hidden="false" customHeight="false" outlineLevel="0" collapsed="false">
      <c r="A4780" s="0" t="s">
        <v>2451</v>
      </c>
      <c r="B4780" s="6" t="n">
        <v>43046</v>
      </c>
      <c r="C4780" s="7" t="s">
        <v>55</v>
      </c>
      <c r="D4780" s="7" t="s">
        <v>72</v>
      </c>
      <c r="E4780" s="7" t="s">
        <v>35</v>
      </c>
      <c r="F4780" s="0" t="n">
        <v>100.94</v>
      </c>
      <c r="G4780" s="0" t="n">
        <v>33.3102</v>
      </c>
      <c r="H4780" s="0" t="n">
        <v>0</v>
      </c>
      <c r="I4780" s="7" t="n">
        <f aca="false">YEAR(B4780)</f>
        <v>2017</v>
      </c>
      <c r="J4780" s="0" t="str">
        <f aca="false">I4780&amp;"-Q"&amp;ROUNDUP(MONTH(B4780)/3,0)</f>
        <v>2017-Q4</v>
      </c>
    </row>
    <row r="4781" customFormat="false" ht="15" hidden="false" customHeight="false" outlineLevel="0" collapsed="false">
      <c r="A4781" s="0" t="s">
        <v>2452</v>
      </c>
      <c r="B4781" s="6" t="n">
        <v>41828</v>
      </c>
      <c r="C4781" s="7" t="s">
        <v>55</v>
      </c>
      <c r="D4781" s="7" t="s">
        <v>76</v>
      </c>
      <c r="E4781" s="7" t="s">
        <v>31</v>
      </c>
      <c r="F4781" s="0" t="n">
        <v>63.882</v>
      </c>
      <c r="G4781" s="0" t="n">
        <v>10.647</v>
      </c>
      <c r="H4781" s="0" t="n">
        <v>0.1</v>
      </c>
      <c r="I4781" s="7" t="n">
        <f aca="false">YEAR(B4781)</f>
        <v>2014</v>
      </c>
      <c r="J4781" s="0" t="str">
        <f aca="false">I4781&amp;"-Q"&amp;ROUNDUP(MONTH(B4781)/3,0)</f>
        <v>2014-Q3</v>
      </c>
    </row>
    <row r="4782" customFormat="false" ht="15" hidden="false" customHeight="false" outlineLevel="0" collapsed="false">
      <c r="A4782" s="0" t="s">
        <v>2453</v>
      </c>
      <c r="B4782" s="6" t="n">
        <v>41950</v>
      </c>
      <c r="C4782" s="7" t="s">
        <v>45</v>
      </c>
      <c r="D4782" s="7" t="s">
        <v>46</v>
      </c>
      <c r="E4782" s="7" t="s">
        <v>31</v>
      </c>
      <c r="F4782" s="0" t="n">
        <v>683.144</v>
      </c>
      <c r="G4782" s="0" t="n">
        <v>0</v>
      </c>
      <c r="H4782" s="0" t="n">
        <v>0.3</v>
      </c>
      <c r="I4782" s="7" t="n">
        <f aca="false">YEAR(B4782)</f>
        <v>2014</v>
      </c>
      <c r="J4782" s="0" t="str">
        <f aca="false">I4782&amp;"-Q"&amp;ROUNDUP(MONTH(B4782)/3,0)</f>
        <v>2014-Q4</v>
      </c>
    </row>
    <row r="4783" customFormat="false" ht="15" hidden="false" customHeight="false" outlineLevel="0" collapsed="false">
      <c r="A4783" s="0" t="s">
        <v>2453</v>
      </c>
      <c r="B4783" s="6" t="n">
        <v>41950</v>
      </c>
      <c r="C4783" s="7" t="s">
        <v>45</v>
      </c>
      <c r="D4783" s="7" t="s">
        <v>46</v>
      </c>
      <c r="E4783" s="7" t="s">
        <v>35</v>
      </c>
      <c r="F4783" s="0" t="n">
        <v>1.476</v>
      </c>
      <c r="G4783" s="0" t="n">
        <v>-2.214</v>
      </c>
      <c r="H4783" s="0" t="n">
        <v>0.8</v>
      </c>
      <c r="I4783" s="7" t="n">
        <f aca="false">YEAR(B4783)</f>
        <v>2014</v>
      </c>
      <c r="J4783" s="0" t="str">
        <f aca="false">I4783&amp;"-Q"&amp;ROUNDUP(MONTH(B4783)/3,0)</f>
        <v>2014-Q4</v>
      </c>
    </row>
    <row r="4784" customFormat="false" ht="15" hidden="false" customHeight="false" outlineLevel="0" collapsed="false">
      <c r="A4784" s="0" t="s">
        <v>2453</v>
      </c>
      <c r="B4784" s="6" t="n">
        <v>41950</v>
      </c>
      <c r="C4784" s="7" t="s">
        <v>45</v>
      </c>
      <c r="D4784" s="7" t="s">
        <v>46</v>
      </c>
      <c r="E4784" s="7" t="s">
        <v>35</v>
      </c>
      <c r="F4784" s="0" t="n">
        <v>40.712</v>
      </c>
      <c r="G4784" s="0" t="n">
        <v>3.5623</v>
      </c>
      <c r="H4784" s="0" t="n">
        <v>0.2</v>
      </c>
      <c r="I4784" s="7" t="n">
        <f aca="false">YEAR(B4784)</f>
        <v>2014</v>
      </c>
      <c r="J4784" s="0" t="str">
        <f aca="false">I4784&amp;"-Q"&amp;ROUNDUP(MONTH(B4784)/3,0)</f>
        <v>2014-Q4</v>
      </c>
    </row>
    <row r="4785" customFormat="false" ht="15" hidden="false" customHeight="false" outlineLevel="0" collapsed="false">
      <c r="A4785" s="0" t="s">
        <v>2454</v>
      </c>
      <c r="B4785" s="6" t="n">
        <v>42763</v>
      </c>
      <c r="C4785" s="7" t="s">
        <v>45</v>
      </c>
      <c r="D4785" s="7" t="s">
        <v>946</v>
      </c>
      <c r="E4785" s="7" t="s">
        <v>35</v>
      </c>
      <c r="F4785" s="0" t="n">
        <v>279.9</v>
      </c>
      <c r="G4785" s="0" t="n">
        <v>137.151</v>
      </c>
      <c r="H4785" s="0" t="n">
        <v>0</v>
      </c>
      <c r="I4785" s="7" t="n">
        <f aca="false">YEAR(B4785)</f>
        <v>2017</v>
      </c>
      <c r="J4785" s="0" t="str">
        <f aca="false">I4785&amp;"-Q"&amp;ROUNDUP(MONTH(B4785)/3,0)</f>
        <v>2017-Q1</v>
      </c>
    </row>
    <row r="4786" customFormat="false" ht="15" hidden="false" customHeight="false" outlineLevel="0" collapsed="false">
      <c r="A4786" s="0" t="s">
        <v>2455</v>
      </c>
      <c r="B4786" s="6" t="n">
        <v>42349</v>
      </c>
      <c r="C4786" s="7" t="s">
        <v>33</v>
      </c>
      <c r="D4786" s="7" t="s">
        <v>109</v>
      </c>
      <c r="E4786" s="7" t="s">
        <v>35</v>
      </c>
      <c r="F4786" s="0" t="n">
        <v>13.12</v>
      </c>
      <c r="G4786" s="0" t="n">
        <v>1.148</v>
      </c>
      <c r="H4786" s="0" t="n">
        <v>0.2</v>
      </c>
      <c r="I4786" s="7" t="n">
        <f aca="false">YEAR(B4786)</f>
        <v>2015</v>
      </c>
      <c r="J4786" s="0" t="str">
        <f aca="false">I4786&amp;"-Q"&amp;ROUNDUP(MONTH(B4786)/3,0)</f>
        <v>2015-Q4</v>
      </c>
    </row>
    <row r="4787" customFormat="false" ht="15" hidden="false" customHeight="false" outlineLevel="0" collapsed="false">
      <c r="A4787" s="0" t="s">
        <v>2455</v>
      </c>
      <c r="B4787" s="6" t="n">
        <v>42349</v>
      </c>
      <c r="C4787" s="7" t="s">
        <v>33</v>
      </c>
      <c r="D4787" s="7" t="s">
        <v>109</v>
      </c>
      <c r="E4787" s="7" t="s">
        <v>31</v>
      </c>
      <c r="F4787" s="0" t="n">
        <v>69.576</v>
      </c>
      <c r="G4787" s="0" t="n">
        <v>-143.7904</v>
      </c>
      <c r="H4787" s="0" t="n">
        <v>0.7</v>
      </c>
      <c r="I4787" s="7" t="n">
        <f aca="false">YEAR(B4787)</f>
        <v>2015</v>
      </c>
      <c r="J4787" s="0" t="str">
        <f aca="false">I4787&amp;"-Q"&amp;ROUNDUP(MONTH(B4787)/3,0)</f>
        <v>2015-Q4</v>
      </c>
    </row>
    <row r="4788" customFormat="false" ht="15" hidden="false" customHeight="false" outlineLevel="0" collapsed="false">
      <c r="A4788" s="0" t="s">
        <v>2455</v>
      </c>
      <c r="B4788" s="6" t="n">
        <v>42349</v>
      </c>
      <c r="C4788" s="7" t="s">
        <v>33</v>
      </c>
      <c r="D4788" s="7" t="s">
        <v>109</v>
      </c>
      <c r="E4788" s="7" t="s">
        <v>35</v>
      </c>
      <c r="F4788" s="0" t="n">
        <v>4.224</v>
      </c>
      <c r="G4788" s="0" t="n">
        <v>0.4752</v>
      </c>
      <c r="H4788" s="0" t="n">
        <v>0.2</v>
      </c>
      <c r="I4788" s="7" t="n">
        <f aca="false">YEAR(B4788)</f>
        <v>2015</v>
      </c>
      <c r="J4788" s="0" t="str">
        <f aca="false">I4788&amp;"-Q"&amp;ROUNDUP(MONTH(B4788)/3,0)</f>
        <v>2015-Q4</v>
      </c>
    </row>
    <row r="4789" customFormat="false" ht="15" hidden="false" customHeight="false" outlineLevel="0" collapsed="false">
      <c r="A4789" s="0" t="s">
        <v>2455</v>
      </c>
      <c r="B4789" s="6" t="n">
        <v>42349</v>
      </c>
      <c r="C4789" s="7" t="s">
        <v>33</v>
      </c>
      <c r="D4789" s="7" t="s">
        <v>109</v>
      </c>
      <c r="E4789" s="7" t="s">
        <v>39</v>
      </c>
      <c r="F4789" s="0" t="n">
        <v>58.08</v>
      </c>
      <c r="G4789" s="0" t="n">
        <v>-6.534</v>
      </c>
      <c r="H4789" s="0" t="n">
        <v>0.2</v>
      </c>
      <c r="I4789" s="7" t="n">
        <f aca="false">YEAR(B4789)</f>
        <v>2015</v>
      </c>
      <c r="J4789" s="0" t="str">
        <f aca="false">I4789&amp;"-Q"&amp;ROUNDUP(MONTH(B4789)/3,0)</f>
        <v>2015-Q4</v>
      </c>
    </row>
    <row r="4790" customFormat="false" ht="15" hidden="false" customHeight="false" outlineLevel="0" collapsed="false">
      <c r="A4790" s="0" t="s">
        <v>2455</v>
      </c>
      <c r="B4790" s="6" t="n">
        <v>42349</v>
      </c>
      <c r="C4790" s="7" t="s">
        <v>33</v>
      </c>
      <c r="D4790" s="7" t="s">
        <v>109</v>
      </c>
      <c r="E4790" s="7" t="s">
        <v>31</v>
      </c>
      <c r="F4790" s="0" t="n">
        <v>52.416</v>
      </c>
      <c r="G4790" s="0" t="n">
        <v>15.0696</v>
      </c>
      <c r="H4790" s="0" t="n">
        <v>0.2</v>
      </c>
      <c r="I4790" s="7" t="n">
        <f aca="false">YEAR(B4790)</f>
        <v>2015</v>
      </c>
      <c r="J4790" s="0" t="str">
        <f aca="false">I4790&amp;"-Q"&amp;ROUNDUP(MONTH(B4790)/3,0)</f>
        <v>2015-Q4</v>
      </c>
    </row>
    <row r="4791" customFormat="false" ht="15" hidden="false" customHeight="false" outlineLevel="0" collapsed="false">
      <c r="A4791" s="0" t="s">
        <v>2455</v>
      </c>
      <c r="B4791" s="6" t="n">
        <v>42349</v>
      </c>
      <c r="C4791" s="7" t="s">
        <v>33</v>
      </c>
      <c r="D4791" s="7" t="s">
        <v>109</v>
      </c>
      <c r="E4791" s="7" t="s">
        <v>31</v>
      </c>
      <c r="F4791" s="0" t="n">
        <v>54.92</v>
      </c>
      <c r="G4791" s="0" t="n">
        <v>10.984</v>
      </c>
      <c r="H4791" s="0" t="n">
        <v>0.2</v>
      </c>
      <c r="I4791" s="7" t="n">
        <f aca="false">YEAR(B4791)</f>
        <v>2015</v>
      </c>
      <c r="J4791" s="0" t="str">
        <f aca="false">I4791&amp;"-Q"&amp;ROUNDUP(MONTH(B4791)/3,0)</f>
        <v>2015-Q4</v>
      </c>
    </row>
    <row r="4792" customFormat="false" ht="15" hidden="false" customHeight="false" outlineLevel="0" collapsed="false">
      <c r="A4792" s="0" t="s">
        <v>2455</v>
      </c>
      <c r="B4792" s="6" t="n">
        <v>42349</v>
      </c>
      <c r="C4792" s="7" t="s">
        <v>33</v>
      </c>
      <c r="D4792" s="7" t="s">
        <v>109</v>
      </c>
      <c r="E4792" s="7" t="s">
        <v>31</v>
      </c>
      <c r="F4792" s="0" t="n">
        <v>364.95</v>
      </c>
      <c r="G4792" s="0" t="n">
        <v>-248.166</v>
      </c>
      <c r="H4792" s="0" t="n">
        <v>0.5</v>
      </c>
      <c r="I4792" s="7" t="n">
        <f aca="false">YEAR(B4792)</f>
        <v>2015</v>
      </c>
      <c r="J4792" s="0" t="str">
        <f aca="false">I4792&amp;"-Q"&amp;ROUNDUP(MONTH(B4792)/3,0)</f>
        <v>2015-Q4</v>
      </c>
    </row>
    <row r="4793" customFormat="false" ht="15" hidden="false" customHeight="false" outlineLevel="0" collapsed="false">
      <c r="A4793" s="0" t="s">
        <v>2455</v>
      </c>
      <c r="B4793" s="6" t="n">
        <v>42349</v>
      </c>
      <c r="C4793" s="7" t="s">
        <v>33</v>
      </c>
      <c r="D4793" s="7" t="s">
        <v>109</v>
      </c>
      <c r="E4793" s="7" t="s">
        <v>35</v>
      </c>
      <c r="F4793" s="0" t="n">
        <v>85.056</v>
      </c>
      <c r="G4793" s="0" t="n">
        <v>28.7064</v>
      </c>
      <c r="H4793" s="0" t="n">
        <v>0.2</v>
      </c>
      <c r="I4793" s="7" t="n">
        <f aca="false">YEAR(B4793)</f>
        <v>2015</v>
      </c>
      <c r="J4793" s="0" t="str">
        <f aca="false">I4793&amp;"-Q"&amp;ROUNDUP(MONTH(B4793)/3,0)</f>
        <v>2015-Q4</v>
      </c>
    </row>
    <row r="4794" customFormat="false" ht="15" hidden="false" customHeight="false" outlineLevel="0" collapsed="false">
      <c r="A4794" s="0" t="s">
        <v>2455</v>
      </c>
      <c r="B4794" s="6" t="n">
        <v>42349</v>
      </c>
      <c r="C4794" s="7" t="s">
        <v>33</v>
      </c>
      <c r="D4794" s="7" t="s">
        <v>109</v>
      </c>
      <c r="E4794" s="7" t="s">
        <v>35</v>
      </c>
      <c r="F4794" s="0" t="n">
        <v>27.696</v>
      </c>
      <c r="G4794" s="0" t="n">
        <v>9.6936</v>
      </c>
      <c r="H4794" s="0" t="n">
        <v>0.2</v>
      </c>
      <c r="I4794" s="7" t="n">
        <f aca="false">YEAR(B4794)</f>
        <v>2015</v>
      </c>
      <c r="J4794" s="0" t="str">
        <f aca="false">I4794&amp;"-Q"&amp;ROUNDUP(MONTH(B4794)/3,0)</f>
        <v>2015-Q4</v>
      </c>
    </row>
    <row r="4795" customFormat="false" ht="15" hidden="false" customHeight="false" outlineLevel="0" collapsed="false">
      <c r="A4795" s="0" t="s">
        <v>2456</v>
      </c>
      <c r="B4795" s="6" t="n">
        <v>42184</v>
      </c>
      <c r="C4795" s="7" t="s">
        <v>55</v>
      </c>
      <c r="D4795" s="7" t="s">
        <v>76</v>
      </c>
      <c r="E4795" s="7" t="s">
        <v>35</v>
      </c>
      <c r="F4795" s="0" t="n">
        <v>24.96</v>
      </c>
      <c r="G4795" s="0" t="n">
        <v>11.232</v>
      </c>
      <c r="H4795" s="0" t="n">
        <v>0</v>
      </c>
      <c r="I4795" s="7" t="n">
        <f aca="false">YEAR(B4795)</f>
        <v>2015</v>
      </c>
      <c r="J4795" s="0" t="str">
        <f aca="false">I4795&amp;"-Q"&amp;ROUNDUP(MONTH(B4795)/3,0)</f>
        <v>2015-Q2</v>
      </c>
    </row>
    <row r="4796" customFormat="false" ht="15" hidden="false" customHeight="false" outlineLevel="0" collapsed="false">
      <c r="A4796" s="0" t="s">
        <v>2457</v>
      </c>
      <c r="B4796" s="6" t="n">
        <v>42079</v>
      </c>
      <c r="C4796" s="7" t="s">
        <v>33</v>
      </c>
      <c r="D4796" s="7" t="s">
        <v>34</v>
      </c>
      <c r="E4796" s="7" t="s">
        <v>31</v>
      </c>
      <c r="F4796" s="0" t="n">
        <v>43.13</v>
      </c>
      <c r="G4796" s="0" t="n">
        <v>18.1146</v>
      </c>
      <c r="H4796" s="0" t="n">
        <v>0</v>
      </c>
      <c r="I4796" s="7" t="n">
        <f aca="false">YEAR(B4796)</f>
        <v>2015</v>
      </c>
      <c r="J4796" s="0" t="str">
        <f aca="false">I4796&amp;"-Q"&amp;ROUNDUP(MONTH(B4796)/3,0)</f>
        <v>2015-Q1</v>
      </c>
    </row>
    <row r="4797" customFormat="false" ht="15" hidden="false" customHeight="false" outlineLevel="0" collapsed="false">
      <c r="A4797" s="0" t="s">
        <v>2458</v>
      </c>
      <c r="B4797" s="6" t="n">
        <v>42229</v>
      </c>
      <c r="C4797" s="7" t="s">
        <v>29</v>
      </c>
      <c r="D4797" s="7" t="s">
        <v>230</v>
      </c>
      <c r="E4797" s="7" t="s">
        <v>35</v>
      </c>
      <c r="F4797" s="0" t="n">
        <v>5.64</v>
      </c>
      <c r="G4797" s="0" t="n">
        <v>2.7072</v>
      </c>
      <c r="H4797" s="0" t="n">
        <v>0</v>
      </c>
      <c r="I4797" s="7" t="n">
        <f aca="false">YEAR(B4797)</f>
        <v>2015</v>
      </c>
      <c r="J4797" s="0" t="str">
        <f aca="false">I4797&amp;"-Q"&amp;ROUNDUP(MONTH(B4797)/3,0)</f>
        <v>2015-Q3</v>
      </c>
    </row>
    <row r="4798" customFormat="false" ht="15" hidden="false" customHeight="false" outlineLevel="0" collapsed="false">
      <c r="A4798" s="0" t="s">
        <v>2459</v>
      </c>
      <c r="B4798" s="6" t="n">
        <v>42504</v>
      </c>
      <c r="C4798" s="7" t="s">
        <v>29</v>
      </c>
      <c r="D4798" s="7" t="s">
        <v>37</v>
      </c>
      <c r="E4798" s="7" t="s">
        <v>35</v>
      </c>
      <c r="F4798" s="0" t="n">
        <v>57.582</v>
      </c>
      <c r="G4798" s="0" t="n">
        <v>-44.1462</v>
      </c>
      <c r="H4798" s="0" t="n">
        <v>0.7</v>
      </c>
      <c r="I4798" s="7" t="n">
        <f aca="false">YEAR(B4798)</f>
        <v>2016</v>
      </c>
      <c r="J4798" s="0" t="str">
        <f aca="false">I4798&amp;"-Q"&amp;ROUNDUP(MONTH(B4798)/3,0)</f>
        <v>2016-Q2</v>
      </c>
    </row>
    <row r="4799" customFormat="false" ht="15" hidden="false" customHeight="false" outlineLevel="0" collapsed="false">
      <c r="A4799" s="0" t="s">
        <v>2459</v>
      </c>
      <c r="B4799" s="6" t="n">
        <v>42504</v>
      </c>
      <c r="C4799" s="7" t="s">
        <v>29</v>
      </c>
      <c r="D4799" s="7" t="s">
        <v>37</v>
      </c>
      <c r="E4799" s="7" t="s">
        <v>35</v>
      </c>
      <c r="F4799" s="0" t="n">
        <v>31.104</v>
      </c>
      <c r="G4799" s="0" t="n">
        <v>10.8864</v>
      </c>
      <c r="H4799" s="0" t="n">
        <v>0.2</v>
      </c>
      <c r="I4799" s="7" t="n">
        <f aca="false">YEAR(B4799)</f>
        <v>2016</v>
      </c>
      <c r="J4799" s="0" t="str">
        <f aca="false">I4799&amp;"-Q"&amp;ROUNDUP(MONTH(B4799)/3,0)</f>
        <v>2016-Q2</v>
      </c>
    </row>
    <row r="4800" customFormat="false" ht="15" hidden="false" customHeight="false" outlineLevel="0" collapsed="false">
      <c r="A4800" s="0" t="s">
        <v>2459</v>
      </c>
      <c r="B4800" s="6" t="n">
        <v>42504</v>
      </c>
      <c r="C4800" s="7" t="s">
        <v>29</v>
      </c>
      <c r="D4800" s="7" t="s">
        <v>37</v>
      </c>
      <c r="E4800" s="7" t="s">
        <v>31</v>
      </c>
      <c r="F4800" s="0" t="n">
        <v>30.192</v>
      </c>
      <c r="G4800" s="0" t="n">
        <v>8.3028</v>
      </c>
      <c r="H4800" s="0" t="n">
        <v>0.2</v>
      </c>
      <c r="I4800" s="7" t="n">
        <f aca="false">YEAR(B4800)</f>
        <v>2016</v>
      </c>
      <c r="J4800" s="0" t="str">
        <f aca="false">I4800&amp;"-Q"&amp;ROUNDUP(MONTH(B4800)/3,0)</f>
        <v>2016-Q2</v>
      </c>
    </row>
    <row r="4801" customFormat="false" ht="15" hidden="false" customHeight="false" outlineLevel="0" collapsed="false">
      <c r="A4801" s="0" t="s">
        <v>2459</v>
      </c>
      <c r="B4801" s="6" t="n">
        <v>42504</v>
      </c>
      <c r="C4801" s="7" t="s">
        <v>29</v>
      </c>
      <c r="D4801" s="7" t="s">
        <v>37</v>
      </c>
      <c r="E4801" s="7" t="s">
        <v>39</v>
      </c>
      <c r="F4801" s="0" t="n">
        <v>43.6</v>
      </c>
      <c r="G4801" s="0" t="n">
        <v>4.36</v>
      </c>
      <c r="H4801" s="0" t="n">
        <v>0.2</v>
      </c>
      <c r="I4801" s="7" t="n">
        <f aca="false">YEAR(B4801)</f>
        <v>2016</v>
      </c>
      <c r="J4801" s="0" t="str">
        <f aca="false">I4801&amp;"-Q"&amp;ROUNDUP(MONTH(B4801)/3,0)</f>
        <v>2016-Q2</v>
      </c>
    </row>
    <row r="4802" customFormat="false" ht="15" hidden="false" customHeight="false" outlineLevel="0" collapsed="false">
      <c r="A4802" s="0" t="s">
        <v>2459</v>
      </c>
      <c r="B4802" s="6" t="n">
        <v>42504</v>
      </c>
      <c r="C4802" s="7" t="s">
        <v>29</v>
      </c>
      <c r="D4802" s="7" t="s">
        <v>37</v>
      </c>
      <c r="E4802" s="7" t="s">
        <v>35</v>
      </c>
      <c r="F4802" s="0" t="n">
        <v>4.768</v>
      </c>
      <c r="G4802" s="0" t="n">
        <v>0.4172</v>
      </c>
      <c r="H4802" s="0" t="n">
        <v>0.2</v>
      </c>
      <c r="I4802" s="7" t="n">
        <f aca="false">YEAR(B4802)</f>
        <v>2016</v>
      </c>
      <c r="J4802" s="0" t="str">
        <f aca="false">I4802&amp;"-Q"&amp;ROUNDUP(MONTH(B4802)/3,0)</f>
        <v>2016-Q2</v>
      </c>
    </row>
    <row r="4803" customFormat="false" ht="15" hidden="false" customHeight="false" outlineLevel="0" collapsed="false">
      <c r="A4803" s="0" t="s">
        <v>2459</v>
      </c>
      <c r="B4803" s="6" t="n">
        <v>42504</v>
      </c>
      <c r="C4803" s="7" t="s">
        <v>29</v>
      </c>
      <c r="D4803" s="7" t="s">
        <v>37</v>
      </c>
      <c r="E4803" s="7" t="s">
        <v>35</v>
      </c>
      <c r="F4803" s="0" t="n">
        <v>10.38</v>
      </c>
      <c r="G4803" s="0" t="n">
        <v>-7.612</v>
      </c>
      <c r="H4803" s="0" t="n">
        <v>0.7</v>
      </c>
      <c r="I4803" s="7" t="n">
        <f aca="false">YEAR(B4803)</f>
        <v>2016</v>
      </c>
      <c r="J4803" s="0" t="str">
        <f aca="false">I4803&amp;"-Q"&amp;ROUNDUP(MONTH(B4803)/3,0)</f>
        <v>2016-Q2</v>
      </c>
    </row>
    <row r="4804" customFormat="false" ht="15" hidden="false" customHeight="false" outlineLevel="0" collapsed="false">
      <c r="A4804" s="0" t="s">
        <v>2459</v>
      </c>
      <c r="B4804" s="6" t="n">
        <v>42504</v>
      </c>
      <c r="C4804" s="7" t="s">
        <v>29</v>
      </c>
      <c r="D4804" s="7" t="s">
        <v>37</v>
      </c>
      <c r="E4804" s="7" t="s">
        <v>35</v>
      </c>
      <c r="F4804" s="0" t="n">
        <v>13.392</v>
      </c>
      <c r="G4804" s="0" t="n">
        <v>-9.8208</v>
      </c>
      <c r="H4804" s="0" t="n">
        <v>0.7</v>
      </c>
      <c r="I4804" s="7" t="n">
        <f aca="false">YEAR(B4804)</f>
        <v>2016</v>
      </c>
      <c r="J4804" s="0" t="str">
        <f aca="false">I4804&amp;"-Q"&amp;ROUNDUP(MONTH(B4804)/3,0)</f>
        <v>2016-Q2</v>
      </c>
    </row>
    <row r="4805" customFormat="false" ht="15" hidden="false" customHeight="false" outlineLevel="0" collapsed="false">
      <c r="A4805" s="0" t="s">
        <v>2460</v>
      </c>
      <c r="B4805" s="6" t="n">
        <v>42929</v>
      </c>
      <c r="C4805" s="7" t="s">
        <v>55</v>
      </c>
      <c r="D4805" s="7" t="s">
        <v>56</v>
      </c>
      <c r="E4805" s="7" t="s">
        <v>39</v>
      </c>
      <c r="F4805" s="0" t="n">
        <v>39.594</v>
      </c>
      <c r="G4805" s="0" t="n">
        <v>-7.2589</v>
      </c>
      <c r="H4805" s="0" t="n">
        <v>0.4</v>
      </c>
      <c r="I4805" s="7" t="n">
        <f aca="false">YEAR(B4805)</f>
        <v>2017</v>
      </c>
      <c r="J4805" s="0" t="str">
        <f aca="false">I4805&amp;"-Q"&amp;ROUNDUP(MONTH(B4805)/3,0)</f>
        <v>2017-Q3</v>
      </c>
    </row>
    <row r="4806" customFormat="false" ht="15" hidden="false" customHeight="false" outlineLevel="0" collapsed="false">
      <c r="A4806" s="0" t="s">
        <v>2460</v>
      </c>
      <c r="B4806" s="6" t="n">
        <v>42929</v>
      </c>
      <c r="C4806" s="7" t="s">
        <v>55</v>
      </c>
      <c r="D4806" s="7" t="s">
        <v>56</v>
      </c>
      <c r="E4806" s="7" t="s">
        <v>31</v>
      </c>
      <c r="F4806" s="0" t="n">
        <v>91.008</v>
      </c>
      <c r="G4806" s="0" t="n">
        <v>19.3392</v>
      </c>
      <c r="H4806" s="0" t="n">
        <v>0.2</v>
      </c>
      <c r="I4806" s="7" t="n">
        <f aca="false">YEAR(B4806)</f>
        <v>2017</v>
      </c>
      <c r="J4806" s="0" t="str">
        <f aca="false">I4806&amp;"-Q"&amp;ROUNDUP(MONTH(B4806)/3,0)</f>
        <v>2017-Q3</v>
      </c>
    </row>
    <row r="4807" customFormat="false" ht="15" hidden="false" customHeight="false" outlineLevel="0" collapsed="false">
      <c r="A4807" s="0" t="s">
        <v>2461</v>
      </c>
      <c r="B4807" s="6" t="n">
        <v>42330</v>
      </c>
      <c r="C4807" s="7" t="s">
        <v>33</v>
      </c>
      <c r="D4807" s="7" t="s">
        <v>34</v>
      </c>
      <c r="E4807" s="7" t="s">
        <v>35</v>
      </c>
      <c r="F4807" s="0" t="n">
        <v>37.94</v>
      </c>
      <c r="G4807" s="0" t="n">
        <v>18.2112</v>
      </c>
      <c r="H4807" s="0" t="n">
        <v>0</v>
      </c>
      <c r="I4807" s="7" t="n">
        <f aca="false">YEAR(B4807)</f>
        <v>2015</v>
      </c>
      <c r="J4807" s="0" t="str">
        <f aca="false">I4807&amp;"-Q"&amp;ROUNDUP(MONTH(B4807)/3,0)</f>
        <v>2015-Q4</v>
      </c>
    </row>
    <row r="4808" customFormat="false" ht="15" hidden="false" customHeight="false" outlineLevel="0" collapsed="false">
      <c r="A4808" s="0" t="s">
        <v>2461</v>
      </c>
      <c r="B4808" s="6" t="n">
        <v>42330</v>
      </c>
      <c r="C4808" s="7" t="s">
        <v>33</v>
      </c>
      <c r="D4808" s="7" t="s">
        <v>34</v>
      </c>
      <c r="E4808" s="7" t="s">
        <v>35</v>
      </c>
      <c r="F4808" s="0" t="n">
        <v>42.8</v>
      </c>
      <c r="G4808" s="0" t="n">
        <v>19.26</v>
      </c>
      <c r="H4808" s="0" t="n">
        <v>0</v>
      </c>
      <c r="I4808" s="7" t="n">
        <f aca="false">YEAR(B4808)</f>
        <v>2015</v>
      </c>
      <c r="J4808" s="0" t="str">
        <f aca="false">I4808&amp;"-Q"&amp;ROUNDUP(MONTH(B4808)/3,0)</f>
        <v>2015-Q4</v>
      </c>
    </row>
    <row r="4809" customFormat="false" ht="15" hidden="false" customHeight="false" outlineLevel="0" collapsed="false">
      <c r="A4809" s="0" t="s">
        <v>2461</v>
      </c>
      <c r="B4809" s="6" t="n">
        <v>42330</v>
      </c>
      <c r="C4809" s="7" t="s">
        <v>33</v>
      </c>
      <c r="D4809" s="7" t="s">
        <v>34</v>
      </c>
      <c r="E4809" s="7" t="s">
        <v>35</v>
      </c>
      <c r="F4809" s="0" t="n">
        <v>33.63</v>
      </c>
      <c r="G4809" s="0" t="n">
        <v>10.089</v>
      </c>
      <c r="H4809" s="0" t="n">
        <v>0</v>
      </c>
      <c r="I4809" s="7" t="n">
        <f aca="false">YEAR(B4809)</f>
        <v>2015</v>
      </c>
      <c r="J4809" s="0" t="str">
        <f aca="false">I4809&amp;"-Q"&amp;ROUNDUP(MONTH(B4809)/3,0)</f>
        <v>2015-Q4</v>
      </c>
    </row>
    <row r="4810" customFormat="false" ht="15" hidden="false" customHeight="false" outlineLevel="0" collapsed="false">
      <c r="A4810" s="0" t="s">
        <v>2462</v>
      </c>
      <c r="B4810" s="6" t="n">
        <v>41966</v>
      </c>
      <c r="C4810" s="7" t="s">
        <v>55</v>
      </c>
      <c r="D4810" s="7" t="s">
        <v>56</v>
      </c>
      <c r="E4810" s="7" t="s">
        <v>35</v>
      </c>
      <c r="F4810" s="0" t="n">
        <v>62.808</v>
      </c>
      <c r="G4810" s="0" t="n">
        <v>21.1977</v>
      </c>
      <c r="H4810" s="0" t="n">
        <v>0.2</v>
      </c>
      <c r="I4810" s="7" t="n">
        <f aca="false">YEAR(B4810)</f>
        <v>2014</v>
      </c>
      <c r="J4810" s="0" t="str">
        <f aca="false">I4810&amp;"-Q"&amp;ROUNDUP(MONTH(B4810)/3,0)</f>
        <v>2014-Q4</v>
      </c>
    </row>
    <row r="4811" customFormat="false" ht="15" hidden="false" customHeight="false" outlineLevel="0" collapsed="false">
      <c r="A4811" s="0" t="s">
        <v>2463</v>
      </c>
      <c r="B4811" s="6" t="n">
        <v>42365</v>
      </c>
      <c r="C4811" s="7" t="s">
        <v>45</v>
      </c>
      <c r="D4811" s="7" t="s">
        <v>48</v>
      </c>
      <c r="E4811" s="7" t="s">
        <v>35</v>
      </c>
      <c r="F4811" s="0" t="n">
        <v>195.64</v>
      </c>
      <c r="G4811" s="0" t="n">
        <v>91.9508</v>
      </c>
      <c r="H4811" s="0" t="n">
        <v>0</v>
      </c>
      <c r="I4811" s="7" t="n">
        <f aca="false">YEAR(B4811)</f>
        <v>2015</v>
      </c>
      <c r="J4811" s="0" t="str">
        <f aca="false">I4811&amp;"-Q"&amp;ROUNDUP(MONTH(B4811)/3,0)</f>
        <v>2015-Q4</v>
      </c>
    </row>
    <row r="4812" customFormat="false" ht="15" hidden="false" customHeight="false" outlineLevel="0" collapsed="false">
      <c r="A4812" s="0" t="s">
        <v>2463</v>
      </c>
      <c r="B4812" s="6" t="n">
        <v>42365</v>
      </c>
      <c r="C4812" s="7" t="s">
        <v>45</v>
      </c>
      <c r="D4812" s="7" t="s">
        <v>48</v>
      </c>
      <c r="E4812" s="7" t="s">
        <v>39</v>
      </c>
      <c r="F4812" s="0" t="n">
        <v>239.9</v>
      </c>
      <c r="G4812" s="0" t="n">
        <v>71.97</v>
      </c>
      <c r="H4812" s="0" t="n">
        <v>0</v>
      </c>
      <c r="I4812" s="7" t="n">
        <f aca="false">YEAR(B4812)</f>
        <v>2015</v>
      </c>
      <c r="J4812" s="0" t="str">
        <f aca="false">I4812&amp;"-Q"&amp;ROUNDUP(MONTH(B4812)/3,0)</f>
        <v>2015-Q4</v>
      </c>
    </row>
    <row r="4813" customFormat="false" ht="15" hidden="false" customHeight="false" outlineLevel="0" collapsed="false">
      <c r="A4813" s="0" t="s">
        <v>2464</v>
      </c>
      <c r="B4813" s="6" t="n">
        <v>42688</v>
      </c>
      <c r="C4813" s="7" t="s">
        <v>55</v>
      </c>
      <c r="D4813" s="7" t="s">
        <v>56</v>
      </c>
      <c r="E4813" s="7" t="s">
        <v>31</v>
      </c>
      <c r="F4813" s="0" t="n">
        <v>380.058</v>
      </c>
      <c r="G4813" s="0" t="n">
        <v>-21.7176</v>
      </c>
      <c r="H4813" s="0" t="n">
        <v>0.3</v>
      </c>
      <c r="I4813" s="7" t="n">
        <f aca="false">YEAR(B4813)</f>
        <v>2016</v>
      </c>
      <c r="J4813" s="0" t="str">
        <f aca="false">I4813&amp;"-Q"&amp;ROUNDUP(MONTH(B4813)/3,0)</f>
        <v>2016-Q4</v>
      </c>
    </row>
    <row r="4814" customFormat="false" ht="15" hidden="false" customHeight="false" outlineLevel="0" collapsed="false">
      <c r="A4814" s="0" t="s">
        <v>2464</v>
      </c>
      <c r="B4814" s="6" t="n">
        <v>42688</v>
      </c>
      <c r="C4814" s="7" t="s">
        <v>55</v>
      </c>
      <c r="D4814" s="7" t="s">
        <v>56</v>
      </c>
      <c r="E4814" s="7" t="s">
        <v>39</v>
      </c>
      <c r="F4814" s="0" t="n">
        <v>1199.976</v>
      </c>
      <c r="G4814" s="0" t="n">
        <v>179.9964</v>
      </c>
      <c r="H4814" s="0" t="n">
        <v>0.4</v>
      </c>
      <c r="I4814" s="7" t="n">
        <f aca="false">YEAR(B4814)</f>
        <v>2016</v>
      </c>
      <c r="J4814" s="0" t="str">
        <f aca="false">I4814&amp;"-Q"&amp;ROUNDUP(MONTH(B4814)/3,0)</f>
        <v>2016-Q4</v>
      </c>
    </row>
    <row r="4815" customFormat="false" ht="15" hidden="false" customHeight="false" outlineLevel="0" collapsed="false">
      <c r="A4815" s="0" t="s">
        <v>2464</v>
      </c>
      <c r="B4815" s="6" t="n">
        <v>42688</v>
      </c>
      <c r="C4815" s="7" t="s">
        <v>55</v>
      </c>
      <c r="D4815" s="7" t="s">
        <v>56</v>
      </c>
      <c r="E4815" s="7" t="s">
        <v>31</v>
      </c>
      <c r="F4815" s="0" t="n">
        <v>48.576</v>
      </c>
      <c r="G4815" s="0" t="n">
        <v>9.7152</v>
      </c>
      <c r="H4815" s="0" t="n">
        <v>0.2</v>
      </c>
      <c r="I4815" s="7" t="n">
        <f aca="false">YEAR(B4815)</f>
        <v>2016</v>
      </c>
      <c r="J4815" s="0" t="str">
        <f aca="false">I4815&amp;"-Q"&amp;ROUNDUP(MONTH(B4815)/3,0)</f>
        <v>2016-Q4</v>
      </c>
    </row>
    <row r="4816" customFormat="false" ht="15" hidden="false" customHeight="false" outlineLevel="0" collapsed="false">
      <c r="A4816" s="0" t="s">
        <v>2465</v>
      </c>
      <c r="B4816" s="6" t="n">
        <v>42498</v>
      </c>
      <c r="C4816" s="7" t="s">
        <v>33</v>
      </c>
      <c r="D4816" s="7" t="s">
        <v>34</v>
      </c>
      <c r="E4816" s="7" t="s">
        <v>35</v>
      </c>
      <c r="F4816" s="0" t="n">
        <v>17.94</v>
      </c>
      <c r="G4816" s="0" t="n">
        <v>8.073</v>
      </c>
      <c r="H4816" s="0" t="n">
        <v>0</v>
      </c>
      <c r="I4816" s="7" t="n">
        <f aca="false">YEAR(B4816)</f>
        <v>2016</v>
      </c>
      <c r="J4816" s="0" t="str">
        <f aca="false">I4816&amp;"-Q"&amp;ROUNDUP(MONTH(B4816)/3,0)</f>
        <v>2016-Q2</v>
      </c>
    </row>
    <row r="4817" customFormat="false" ht="15" hidden="false" customHeight="false" outlineLevel="0" collapsed="false">
      <c r="A4817" s="0" t="s">
        <v>2466</v>
      </c>
      <c r="B4817" s="6" t="n">
        <v>41999</v>
      </c>
      <c r="C4817" s="7" t="s">
        <v>55</v>
      </c>
      <c r="D4817" s="7" t="s">
        <v>56</v>
      </c>
      <c r="E4817" s="7" t="s">
        <v>35</v>
      </c>
      <c r="F4817" s="0" t="n">
        <v>18.264</v>
      </c>
      <c r="G4817" s="0" t="n">
        <v>6.1641</v>
      </c>
      <c r="H4817" s="0" t="n">
        <v>0.2</v>
      </c>
      <c r="I4817" s="7" t="n">
        <f aca="false">YEAR(B4817)</f>
        <v>2014</v>
      </c>
      <c r="J4817" s="0" t="str">
        <f aca="false">I4817&amp;"-Q"&amp;ROUNDUP(MONTH(B4817)/3,0)</f>
        <v>2014-Q4</v>
      </c>
    </row>
    <row r="4818" customFormat="false" ht="15" hidden="false" customHeight="false" outlineLevel="0" collapsed="false">
      <c r="A4818" s="0" t="s">
        <v>2466</v>
      </c>
      <c r="B4818" s="6" t="n">
        <v>41999</v>
      </c>
      <c r="C4818" s="7" t="s">
        <v>55</v>
      </c>
      <c r="D4818" s="7" t="s">
        <v>56</v>
      </c>
      <c r="E4818" s="7" t="s">
        <v>35</v>
      </c>
      <c r="F4818" s="0" t="n">
        <v>34.656</v>
      </c>
      <c r="G4818" s="0" t="n">
        <v>5.6316</v>
      </c>
      <c r="H4818" s="0" t="n">
        <v>0.2</v>
      </c>
      <c r="I4818" s="7" t="n">
        <f aca="false">YEAR(B4818)</f>
        <v>2014</v>
      </c>
      <c r="J4818" s="0" t="str">
        <f aca="false">I4818&amp;"-Q"&amp;ROUNDUP(MONTH(B4818)/3,0)</f>
        <v>2014-Q4</v>
      </c>
    </row>
    <row r="4819" customFormat="false" ht="15" hidden="false" customHeight="false" outlineLevel="0" collapsed="false">
      <c r="A4819" s="0" t="s">
        <v>2466</v>
      </c>
      <c r="B4819" s="6" t="n">
        <v>41999</v>
      </c>
      <c r="C4819" s="7" t="s">
        <v>55</v>
      </c>
      <c r="D4819" s="7" t="s">
        <v>56</v>
      </c>
      <c r="E4819" s="7" t="s">
        <v>35</v>
      </c>
      <c r="F4819" s="0" t="n">
        <v>81.552</v>
      </c>
      <c r="G4819" s="0" t="n">
        <v>8.1552</v>
      </c>
      <c r="H4819" s="0" t="n">
        <v>0.2</v>
      </c>
      <c r="I4819" s="7" t="n">
        <f aca="false">YEAR(B4819)</f>
        <v>2014</v>
      </c>
      <c r="J4819" s="0" t="str">
        <f aca="false">I4819&amp;"-Q"&amp;ROUNDUP(MONTH(B4819)/3,0)</f>
        <v>2014-Q4</v>
      </c>
    </row>
    <row r="4820" customFormat="false" ht="15" hidden="false" customHeight="false" outlineLevel="0" collapsed="false">
      <c r="A4820" s="0" t="s">
        <v>2466</v>
      </c>
      <c r="B4820" s="6" t="n">
        <v>41999</v>
      </c>
      <c r="C4820" s="7" t="s">
        <v>55</v>
      </c>
      <c r="D4820" s="7" t="s">
        <v>56</v>
      </c>
      <c r="E4820" s="7" t="s">
        <v>35</v>
      </c>
      <c r="F4820" s="0" t="n">
        <v>227.136</v>
      </c>
      <c r="G4820" s="0" t="n">
        <v>-42.588</v>
      </c>
      <c r="H4820" s="0" t="n">
        <v>0.2</v>
      </c>
      <c r="I4820" s="7" t="n">
        <f aca="false">YEAR(B4820)</f>
        <v>2014</v>
      </c>
      <c r="J4820" s="0" t="str">
        <f aca="false">I4820&amp;"-Q"&amp;ROUNDUP(MONTH(B4820)/3,0)</f>
        <v>2014-Q4</v>
      </c>
    </row>
    <row r="4821" customFormat="false" ht="15" hidden="false" customHeight="false" outlineLevel="0" collapsed="false">
      <c r="A4821" s="0" t="s">
        <v>2467</v>
      </c>
      <c r="B4821" s="6" t="n">
        <v>42894</v>
      </c>
      <c r="C4821" s="7" t="s">
        <v>55</v>
      </c>
      <c r="D4821" s="7" t="s">
        <v>154</v>
      </c>
      <c r="E4821" s="7" t="s">
        <v>35</v>
      </c>
      <c r="F4821" s="0" t="n">
        <v>10.36</v>
      </c>
      <c r="G4821" s="0" t="n">
        <v>5.0764</v>
      </c>
      <c r="H4821" s="0" t="n">
        <v>0</v>
      </c>
      <c r="I4821" s="7" t="n">
        <f aca="false">YEAR(B4821)</f>
        <v>2017</v>
      </c>
      <c r="J4821" s="0" t="str">
        <f aca="false">I4821&amp;"-Q"&amp;ROUNDUP(MONTH(B4821)/3,0)</f>
        <v>2017-Q2</v>
      </c>
    </row>
    <row r="4822" customFormat="false" ht="15" hidden="false" customHeight="false" outlineLevel="0" collapsed="false">
      <c r="A4822" s="0" t="s">
        <v>2468</v>
      </c>
      <c r="B4822" s="6" t="n">
        <v>42101</v>
      </c>
      <c r="C4822" s="7" t="s">
        <v>45</v>
      </c>
      <c r="D4822" s="7" t="s">
        <v>46</v>
      </c>
      <c r="E4822" s="7" t="s">
        <v>35</v>
      </c>
      <c r="F4822" s="0" t="n">
        <v>463.248</v>
      </c>
      <c r="G4822" s="0" t="n">
        <v>-1181.2824</v>
      </c>
      <c r="H4822" s="0" t="n">
        <v>0.8</v>
      </c>
      <c r="I4822" s="7" t="n">
        <f aca="false">YEAR(B4822)</f>
        <v>2015</v>
      </c>
      <c r="J4822" s="0" t="str">
        <f aca="false">I4822&amp;"-Q"&amp;ROUNDUP(MONTH(B4822)/3,0)</f>
        <v>2015-Q2</v>
      </c>
    </row>
    <row r="4823" customFormat="false" ht="15" hidden="false" customHeight="false" outlineLevel="0" collapsed="false">
      <c r="A4823" s="0" t="s">
        <v>2468</v>
      </c>
      <c r="B4823" s="6" t="n">
        <v>42101</v>
      </c>
      <c r="C4823" s="7" t="s">
        <v>45</v>
      </c>
      <c r="D4823" s="7" t="s">
        <v>46</v>
      </c>
      <c r="E4823" s="7" t="s">
        <v>39</v>
      </c>
      <c r="F4823" s="0" t="n">
        <v>383.952</v>
      </c>
      <c r="G4823" s="0" t="n">
        <v>47.994</v>
      </c>
      <c r="H4823" s="0" t="n">
        <v>0.2</v>
      </c>
      <c r="I4823" s="7" t="n">
        <f aca="false">YEAR(B4823)</f>
        <v>2015</v>
      </c>
      <c r="J4823" s="0" t="str">
        <f aca="false">I4823&amp;"-Q"&amp;ROUNDUP(MONTH(B4823)/3,0)</f>
        <v>2015-Q2</v>
      </c>
    </row>
    <row r="4824" customFormat="false" ht="15" hidden="false" customHeight="false" outlineLevel="0" collapsed="false">
      <c r="A4824" s="0" t="s">
        <v>2469</v>
      </c>
      <c r="B4824" s="6" t="n">
        <v>42561</v>
      </c>
      <c r="C4824" s="7" t="s">
        <v>33</v>
      </c>
      <c r="D4824" s="7" t="s">
        <v>81</v>
      </c>
      <c r="E4824" s="7" t="s">
        <v>35</v>
      </c>
      <c r="F4824" s="0" t="n">
        <v>44.856</v>
      </c>
      <c r="G4824" s="0" t="n">
        <v>-35.8848</v>
      </c>
      <c r="H4824" s="0" t="n">
        <v>0.7</v>
      </c>
      <c r="I4824" s="7" t="n">
        <f aca="false">YEAR(B4824)</f>
        <v>2016</v>
      </c>
      <c r="J4824" s="0" t="str">
        <f aca="false">I4824&amp;"-Q"&amp;ROUNDUP(MONTH(B4824)/3,0)</f>
        <v>2016-Q3</v>
      </c>
    </row>
    <row r="4825" customFormat="false" ht="15" hidden="false" customHeight="false" outlineLevel="0" collapsed="false">
      <c r="A4825" s="0" t="s">
        <v>2470</v>
      </c>
      <c r="B4825" s="6" t="n">
        <v>42695</v>
      </c>
      <c r="C4825" s="7" t="s">
        <v>55</v>
      </c>
      <c r="D4825" s="7" t="s">
        <v>116</v>
      </c>
      <c r="E4825" s="7" t="s">
        <v>39</v>
      </c>
      <c r="F4825" s="0" t="n">
        <v>30.345</v>
      </c>
      <c r="G4825" s="0" t="n">
        <v>-24.276</v>
      </c>
      <c r="H4825" s="0" t="n">
        <v>0.7</v>
      </c>
      <c r="I4825" s="7" t="n">
        <f aca="false">YEAR(B4825)</f>
        <v>2016</v>
      </c>
      <c r="J4825" s="0" t="str">
        <f aca="false">I4825&amp;"-Q"&amp;ROUNDUP(MONTH(B4825)/3,0)</f>
        <v>2016-Q4</v>
      </c>
    </row>
    <row r="4826" customFormat="false" ht="15" hidden="false" customHeight="false" outlineLevel="0" collapsed="false">
      <c r="A4826" s="0" t="s">
        <v>2470</v>
      </c>
      <c r="B4826" s="6" t="n">
        <v>42695</v>
      </c>
      <c r="C4826" s="7" t="s">
        <v>55</v>
      </c>
      <c r="D4826" s="7" t="s">
        <v>116</v>
      </c>
      <c r="E4826" s="7" t="s">
        <v>31</v>
      </c>
      <c r="F4826" s="0" t="n">
        <v>127.554</v>
      </c>
      <c r="G4826" s="0" t="n">
        <v>-9.111</v>
      </c>
      <c r="H4826" s="0" t="n">
        <v>0.3</v>
      </c>
      <c r="I4826" s="7" t="n">
        <f aca="false">YEAR(B4826)</f>
        <v>2016</v>
      </c>
      <c r="J4826" s="0" t="str">
        <f aca="false">I4826&amp;"-Q"&amp;ROUNDUP(MONTH(B4826)/3,0)</f>
        <v>2016-Q4</v>
      </c>
    </row>
    <row r="4827" customFormat="false" ht="15" hidden="false" customHeight="false" outlineLevel="0" collapsed="false">
      <c r="A4827" s="0" t="s">
        <v>2470</v>
      </c>
      <c r="B4827" s="6" t="n">
        <v>42695</v>
      </c>
      <c r="C4827" s="7" t="s">
        <v>55</v>
      </c>
      <c r="D4827" s="7" t="s">
        <v>116</v>
      </c>
      <c r="E4827" s="7" t="s">
        <v>31</v>
      </c>
      <c r="F4827" s="0" t="n">
        <v>77.952</v>
      </c>
      <c r="G4827" s="0" t="n">
        <v>15.5904</v>
      </c>
      <c r="H4827" s="0" t="n">
        <v>0.2</v>
      </c>
      <c r="I4827" s="7" t="n">
        <f aca="false">YEAR(B4827)</f>
        <v>2016</v>
      </c>
      <c r="J4827" s="0" t="str">
        <f aca="false">I4827&amp;"-Q"&amp;ROUNDUP(MONTH(B4827)/3,0)</f>
        <v>2016-Q4</v>
      </c>
    </row>
    <row r="4828" customFormat="false" ht="15" hidden="false" customHeight="false" outlineLevel="0" collapsed="false">
      <c r="A4828" s="0" t="s">
        <v>2471</v>
      </c>
      <c r="B4828" s="6" t="n">
        <v>43051</v>
      </c>
      <c r="C4828" s="7" t="s">
        <v>33</v>
      </c>
      <c r="D4828" s="7" t="s">
        <v>34</v>
      </c>
      <c r="E4828" s="7" t="s">
        <v>35</v>
      </c>
      <c r="F4828" s="0" t="n">
        <v>14.016</v>
      </c>
      <c r="G4828" s="0" t="n">
        <v>4.9056</v>
      </c>
      <c r="H4828" s="0" t="n">
        <v>0.2</v>
      </c>
      <c r="I4828" s="7" t="n">
        <f aca="false">YEAR(B4828)</f>
        <v>2017</v>
      </c>
      <c r="J4828" s="0" t="str">
        <f aca="false">I4828&amp;"-Q"&amp;ROUNDUP(MONTH(B4828)/3,0)</f>
        <v>2017-Q4</v>
      </c>
    </row>
    <row r="4829" customFormat="false" ht="15" hidden="false" customHeight="false" outlineLevel="0" collapsed="false">
      <c r="A4829" s="0" t="s">
        <v>2472</v>
      </c>
      <c r="B4829" s="6" t="n">
        <v>41944</v>
      </c>
      <c r="C4829" s="7" t="s">
        <v>29</v>
      </c>
      <c r="D4829" s="7" t="s">
        <v>30</v>
      </c>
      <c r="E4829" s="7" t="s">
        <v>35</v>
      </c>
      <c r="F4829" s="0" t="n">
        <v>69.52</v>
      </c>
      <c r="G4829" s="0" t="n">
        <v>19.4656</v>
      </c>
      <c r="H4829" s="0" t="n">
        <v>0</v>
      </c>
      <c r="I4829" s="7" t="n">
        <f aca="false">YEAR(B4829)</f>
        <v>2014</v>
      </c>
      <c r="J4829" s="0" t="str">
        <f aca="false">I4829&amp;"-Q"&amp;ROUNDUP(MONTH(B4829)/3,0)</f>
        <v>2014-Q4</v>
      </c>
    </row>
    <row r="4830" customFormat="false" ht="15" hidden="false" customHeight="false" outlineLevel="0" collapsed="false">
      <c r="A4830" s="0" t="s">
        <v>2472</v>
      </c>
      <c r="B4830" s="6" t="n">
        <v>41944</v>
      </c>
      <c r="C4830" s="7" t="s">
        <v>29</v>
      </c>
      <c r="D4830" s="7" t="s">
        <v>30</v>
      </c>
      <c r="E4830" s="7" t="s">
        <v>35</v>
      </c>
      <c r="F4830" s="0" t="n">
        <v>5.64</v>
      </c>
      <c r="G4830" s="0" t="n">
        <v>1.6356</v>
      </c>
      <c r="H4830" s="0" t="n">
        <v>0</v>
      </c>
      <c r="I4830" s="7" t="n">
        <f aca="false">YEAR(B4830)</f>
        <v>2014</v>
      </c>
      <c r="J4830" s="0" t="str">
        <f aca="false">I4830&amp;"-Q"&amp;ROUNDUP(MONTH(B4830)/3,0)</f>
        <v>2014-Q4</v>
      </c>
    </row>
    <row r="4831" customFormat="false" ht="15" hidden="false" customHeight="false" outlineLevel="0" collapsed="false">
      <c r="A4831" s="0" t="s">
        <v>2473</v>
      </c>
      <c r="B4831" s="6" t="n">
        <v>42505</v>
      </c>
      <c r="C4831" s="7" t="s">
        <v>55</v>
      </c>
      <c r="D4831" s="7" t="s">
        <v>76</v>
      </c>
      <c r="E4831" s="7" t="s">
        <v>35</v>
      </c>
      <c r="F4831" s="0" t="n">
        <v>13.776</v>
      </c>
      <c r="G4831" s="0" t="n">
        <v>4.4772</v>
      </c>
      <c r="H4831" s="0" t="n">
        <v>0.2</v>
      </c>
      <c r="I4831" s="7" t="n">
        <f aca="false">YEAR(B4831)</f>
        <v>2016</v>
      </c>
      <c r="J4831" s="0" t="str">
        <f aca="false">I4831&amp;"-Q"&amp;ROUNDUP(MONTH(B4831)/3,0)</f>
        <v>2016-Q2</v>
      </c>
    </row>
    <row r="4832" customFormat="false" ht="15" hidden="false" customHeight="false" outlineLevel="0" collapsed="false">
      <c r="A4832" s="0" t="s">
        <v>2474</v>
      </c>
      <c r="B4832" s="6" t="n">
        <v>41950</v>
      </c>
      <c r="C4832" s="7" t="s">
        <v>45</v>
      </c>
      <c r="D4832" s="7" t="s">
        <v>48</v>
      </c>
      <c r="E4832" s="7" t="s">
        <v>35</v>
      </c>
      <c r="F4832" s="0" t="n">
        <v>245.88</v>
      </c>
      <c r="G4832" s="0" t="n">
        <v>68.8464</v>
      </c>
      <c r="H4832" s="0" t="n">
        <v>0</v>
      </c>
      <c r="I4832" s="7" t="n">
        <f aca="false">YEAR(B4832)</f>
        <v>2014</v>
      </c>
      <c r="J4832" s="0" t="str">
        <f aca="false">I4832&amp;"-Q"&amp;ROUNDUP(MONTH(B4832)/3,0)</f>
        <v>2014-Q4</v>
      </c>
    </row>
    <row r="4833" customFormat="false" ht="15" hidden="false" customHeight="false" outlineLevel="0" collapsed="false">
      <c r="A4833" s="0" t="s">
        <v>2474</v>
      </c>
      <c r="B4833" s="6" t="n">
        <v>41950</v>
      </c>
      <c r="C4833" s="7" t="s">
        <v>45</v>
      </c>
      <c r="D4833" s="7" t="s">
        <v>48</v>
      </c>
      <c r="E4833" s="7" t="s">
        <v>35</v>
      </c>
      <c r="F4833" s="0" t="n">
        <v>36.63</v>
      </c>
      <c r="G4833" s="0" t="n">
        <v>9.8901</v>
      </c>
      <c r="H4833" s="0" t="n">
        <v>0</v>
      </c>
      <c r="I4833" s="7" t="n">
        <f aca="false">YEAR(B4833)</f>
        <v>2014</v>
      </c>
      <c r="J4833" s="0" t="str">
        <f aca="false">I4833&amp;"-Q"&amp;ROUNDUP(MONTH(B4833)/3,0)</f>
        <v>2014-Q4</v>
      </c>
    </row>
    <row r="4834" customFormat="false" ht="15" hidden="false" customHeight="false" outlineLevel="0" collapsed="false">
      <c r="A4834" s="0" t="s">
        <v>2474</v>
      </c>
      <c r="B4834" s="6" t="n">
        <v>41950</v>
      </c>
      <c r="C4834" s="7" t="s">
        <v>45</v>
      </c>
      <c r="D4834" s="7" t="s">
        <v>48</v>
      </c>
      <c r="E4834" s="7" t="s">
        <v>35</v>
      </c>
      <c r="F4834" s="0" t="n">
        <v>22.58</v>
      </c>
      <c r="G4834" s="0" t="n">
        <v>5.8708</v>
      </c>
      <c r="H4834" s="0" t="n">
        <v>0</v>
      </c>
      <c r="I4834" s="7" t="n">
        <f aca="false">YEAR(B4834)</f>
        <v>2014</v>
      </c>
      <c r="J4834" s="0" t="str">
        <f aca="false">I4834&amp;"-Q"&amp;ROUNDUP(MONTH(B4834)/3,0)</f>
        <v>2014-Q4</v>
      </c>
    </row>
    <row r="4835" customFormat="false" ht="15" hidden="false" customHeight="false" outlineLevel="0" collapsed="false">
      <c r="A4835" s="0" t="s">
        <v>2474</v>
      </c>
      <c r="B4835" s="6" t="n">
        <v>41950</v>
      </c>
      <c r="C4835" s="7" t="s">
        <v>45</v>
      </c>
      <c r="D4835" s="7" t="s">
        <v>48</v>
      </c>
      <c r="E4835" s="7" t="s">
        <v>35</v>
      </c>
      <c r="F4835" s="0" t="n">
        <v>12.39</v>
      </c>
      <c r="G4835" s="0" t="n">
        <v>5.8233</v>
      </c>
      <c r="H4835" s="0" t="n">
        <v>0</v>
      </c>
      <c r="I4835" s="7" t="n">
        <f aca="false">YEAR(B4835)</f>
        <v>2014</v>
      </c>
      <c r="J4835" s="0" t="str">
        <f aca="false">I4835&amp;"-Q"&amp;ROUNDUP(MONTH(B4835)/3,0)</f>
        <v>2014-Q4</v>
      </c>
    </row>
    <row r="4836" customFormat="false" ht="15" hidden="false" customHeight="false" outlineLevel="0" collapsed="false">
      <c r="A4836" s="0" t="s">
        <v>2475</v>
      </c>
      <c r="B4836" s="6" t="n">
        <v>43013</v>
      </c>
      <c r="C4836" s="7" t="s">
        <v>33</v>
      </c>
      <c r="D4836" s="7" t="s">
        <v>34</v>
      </c>
      <c r="E4836" s="7" t="s">
        <v>35</v>
      </c>
      <c r="F4836" s="0" t="n">
        <v>39.92</v>
      </c>
      <c r="G4836" s="0" t="n">
        <v>13.473</v>
      </c>
      <c r="H4836" s="0" t="n">
        <v>0.2</v>
      </c>
      <c r="I4836" s="7" t="n">
        <f aca="false">YEAR(B4836)</f>
        <v>2017</v>
      </c>
      <c r="J4836" s="0" t="str">
        <f aca="false">I4836&amp;"-Q"&amp;ROUNDUP(MONTH(B4836)/3,0)</f>
        <v>2017-Q4</v>
      </c>
    </row>
    <row r="4837" customFormat="false" ht="15" hidden="false" customHeight="false" outlineLevel="0" collapsed="false">
      <c r="A4837" s="0" t="s">
        <v>2475</v>
      </c>
      <c r="B4837" s="6" t="n">
        <v>43013</v>
      </c>
      <c r="C4837" s="7" t="s">
        <v>33</v>
      </c>
      <c r="D4837" s="7" t="s">
        <v>34</v>
      </c>
      <c r="E4837" s="7" t="s">
        <v>35</v>
      </c>
      <c r="F4837" s="0" t="n">
        <v>61.96</v>
      </c>
      <c r="G4837" s="0" t="n">
        <v>27.882</v>
      </c>
      <c r="H4837" s="0" t="n">
        <v>0</v>
      </c>
      <c r="I4837" s="7" t="n">
        <f aca="false">YEAR(B4837)</f>
        <v>2017</v>
      </c>
      <c r="J4837" s="0" t="str">
        <f aca="false">I4837&amp;"-Q"&amp;ROUNDUP(MONTH(B4837)/3,0)</f>
        <v>2017-Q4</v>
      </c>
    </row>
    <row r="4838" customFormat="false" ht="15" hidden="false" customHeight="false" outlineLevel="0" collapsed="false">
      <c r="A4838" s="0" t="s">
        <v>2475</v>
      </c>
      <c r="B4838" s="6" t="n">
        <v>43013</v>
      </c>
      <c r="C4838" s="7" t="s">
        <v>33</v>
      </c>
      <c r="D4838" s="7" t="s">
        <v>34</v>
      </c>
      <c r="E4838" s="7" t="s">
        <v>35</v>
      </c>
      <c r="F4838" s="0" t="n">
        <v>19.936</v>
      </c>
      <c r="G4838" s="0" t="n">
        <v>7.2268</v>
      </c>
      <c r="H4838" s="0" t="n">
        <v>0.2</v>
      </c>
      <c r="I4838" s="7" t="n">
        <f aca="false">YEAR(B4838)</f>
        <v>2017</v>
      </c>
      <c r="J4838" s="0" t="str">
        <f aca="false">I4838&amp;"-Q"&amp;ROUNDUP(MONTH(B4838)/3,0)</f>
        <v>2017-Q4</v>
      </c>
    </row>
    <row r="4839" customFormat="false" ht="15" hidden="false" customHeight="false" outlineLevel="0" collapsed="false">
      <c r="A4839" s="0" t="s">
        <v>2476</v>
      </c>
      <c r="B4839" s="6" t="n">
        <v>42887</v>
      </c>
      <c r="C4839" s="7" t="s">
        <v>55</v>
      </c>
      <c r="D4839" s="7" t="s">
        <v>116</v>
      </c>
      <c r="E4839" s="7" t="s">
        <v>35</v>
      </c>
      <c r="F4839" s="0" t="n">
        <v>3.798</v>
      </c>
      <c r="G4839" s="0" t="n">
        <v>-2.6586</v>
      </c>
      <c r="H4839" s="0" t="n">
        <v>0.7</v>
      </c>
      <c r="I4839" s="7" t="n">
        <f aca="false">YEAR(B4839)</f>
        <v>2017</v>
      </c>
      <c r="J4839" s="0" t="str">
        <f aca="false">I4839&amp;"-Q"&amp;ROUNDUP(MONTH(B4839)/3,0)</f>
        <v>2017-Q2</v>
      </c>
    </row>
    <row r="4840" customFormat="false" ht="15" hidden="false" customHeight="false" outlineLevel="0" collapsed="false">
      <c r="A4840" s="0" t="s">
        <v>2476</v>
      </c>
      <c r="B4840" s="6" t="n">
        <v>42887</v>
      </c>
      <c r="C4840" s="7" t="s">
        <v>55</v>
      </c>
      <c r="D4840" s="7" t="s">
        <v>116</v>
      </c>
      <c r="E4840" s="7" t="s">
        <v>35</v>
      </c>
      <c r="F4840" s="0" t="n">
        <v>27.744</v>
      </c>
      <c r="G4840" s="0" t="n">
        <v>10.0572</v>
      </c>
      <c r="H4840" s="0" t="n">
        <v>0.2</v>
      </c>
      <c r="I4840" s="7" t="n">
        <f aca="false">YEAR(B4840)</f>
        <v>2017</v>
      </c>
      <c r="J4840" s="0" t="str">
        <f aca="false">I4840&amp;"-Q"&amp;ROUNDUP(MONTH(B4840)/3,0)</f>
        <v>2017-Q2</v>
      </c>
    </row>
    <row r="4841" customFormat="false" ht="15" hidden="false" customHeight="false" outlineLevel="0" collapsed="false">
      <c r="A4841" s="0" t="s">
        <v>2476</v>
      </c>
      <c r="B4841" s="6" t="n">
        <v>42887</v>
      </c>
      <c r="C4841" s="7" t="s">
        <v>55</v>
      </c>
      <c r="D4841" s="7" t="s">
        <v>116</v>
      </c>
      <c r="E4841" s="7" t="s">
        <v>39</v>
      </c>
      <c r="F4841" s="0" t="n">
        <v>158.376</v>
      </c>
      <c r="G4841" s="0" t="n">
        <v>-34.3148</v>
      </c>
      <c r="H4841" s="0" t="n">
        <v>0.4</v>
      </c>
      <c r="I4841" s="7" t="n">
        <f aca="false">YEAR(B4841)</f>
        <v>2017</v>
      </c>
      <c r="J4841" s="0" t="str">
        <f aca="false">I4841&amp;"-Q"&amp;ROUNDUP(MONTH(B4841)/3,0)</f>
        <v>2017-Q2</v>
      </c>
    </row>
    <row r="4842" customFormat="false" ht="15" hidden="false" customHeight="false" outlineLevel="0" collapsed="false">
      <c r="A4842" s="0" t="s">
        <v>2477</v>
      </c>
      <c r="B4842" s="6" t="n">
        <v>43059</v>
      </c>
      <c r="C4842" s="7" t="s">
        <v>29</v>
      </c>
      <c r="D4842" s="7" t="s">
        <v>30</v>
      </c>
      <c r="E4842" s="7" t="s">
        <v>31</v>
      </c>
      <c r="F4842" s="0" t="n">
        <v>27.58</v>
      </c>
      <c r="G4842" s="0" t="n">
        <v>11.5836</v>
      </c>
      <c r="H4842" s="0" t="n">
        <v>0</v>
      </c>
      <c r="I4842" s="7" t="n">
        <f aca="false">YEAR(B4842)</f>
        <v>2017</v>
      </c>
      <c r="J4842" s="0" t="str">
        <f aca="false">I4842&amp;"-Q"&amp;ROUNDUP(MONTH(B4842)/3,0)</f>
        <v>2017-Q4</v>
      </c>
    </row>
    <row r="4843" customFormat="false" ht="15" hidden="false" customHeight="false" outlineLevel="0" collapsed="false">
      <c r="A4843" s="0" t="s">
        <v>2478</v>
      </c>
      <c r="B4843" s="6" t="n">
        <v>42727</v>
      </c>
      <c r="C4843" s="7" t="s">
        <v>55</v>
      </c>
      <c r="D4843" s="7" t="s">
        <v>116</v>
      </c>
      <c r="E4843" s="7" t="s">
        <v>35</v>
      </c>
      <c r="F4843" s="0" t="n">
        <v>5.553</v>
      </c>
      <c r="G4843" s="0" t="n">
        <v>-4.0722</v>
      </c>
      <c r="H4843" s="0" t="n">
        <v>0.7</v>
      </c>
      <c r="I4843" s="7" t="n">
        <f aca="false">YEAR(B4843)</f>
        <v>2016</v>
      </c>
      <c r="J4843" s="0" t="str">
        <f aca="false">I4843&amp;"-Q"&amp;ROUNDUP(MONTH(B4843)/3,0)</f>
        <v>2016-Q4</v>
      </c>
    </row>
    <row r="4844" customFormat="false" ht="15" hidden="false" customHeight="false" outlineLevel="0" collapsed="false">
      <c r="A4844" s="0" t="s">
        <v>2479</v>
      </c>
      <c r="B4844" s="6" t="n">
        <v>43007</v>
      </c>
      <c r="C4844" s="7" t="s">
        <v>29</v>
      </c>
      <c r="D4844" s="7" t="s">
        <v>87</v>
      </c>
      <c r="E4844" s="7" t="s">
        <v>35</v>
      </c>
      <c r="F4844" s="0" t="n">
        <v>243.92</v>
      </c>
      <c r="G4844" s="0" t="n">
        <v>-54.882</v>
      </c>
      <c r="H4844" s="0" t="n">
        <v>0.2</v>
      </c>
      <c r="I4844" s="7" t="n">
        <f aca="false">YEAR(B4844)</f>
        <v>2017</v>
      </c>
      <c r="J4844" s="0" t="str">
        <f aca="false">I4844&amp;"-Q"&amp;ROUNDUP(MONTH(B4844)/3,0)</f>
        <v>2017-Q3</v>
      </c>
    </row>
    <row r="4845" customFormat="false" ht="15" hidden="false" customHeight="false" outlineLevel="0" collapsed="false">
      <c r="A4845" s="0" t="s">
        <v>2480</v>
      </c>
      <c r="B4845" s="6" t="n">
        <v>42681</v>
      </c>
      <c r="C4845" s="7" t="s">
        <v>55</v>
      </c>
      <c r="D4845" s="7" t="s">
        <v>161</v>
      </c>
      <c r="E4845" s="7" t="s">
        <v>35</v>
      </c>
      <c r="F4845" s="0" t="n">
        <v>14.96</v>
      </c>
      <c r="G4845" s="0" t="n">
        <v>0.2992</v>
      </c>
      <c r="H4845" s="0" t="n">
        <v>0</v>
      </c>
      <c r="I4845" s="7" t="n">
        <f aca="false">YEAR(B4845)</f>
        <v>2016</v>
      </c>
      <c r="J4845" s="0" t="str">
        <f aca="false">I4845&amp;"-Q"&amp;ROUNDUP(MONTH(B4845)/3,0)</f>
        <v>2016-Q4</v>
      </c>
    </row>
    <row r="4846" customFormat="false" ht="15" hidden="false" customHeight="false" outlineLevel="0" collapsed="false">
      <c r="A4846" s="0" t="s">
        <v>2481</v>
      </c>
      <c r="B4846" s="6" t="n">
        <v>41733</v>
      </c>
      <c r="C4846" s="7" t="s">
        <v>33</v>
      </c>
      <c r="D4846" s="7" t="s">
        <v>34</v>
      </c>
      <c r="E4846" s="7" t="s">
        <v>35</v>
      </c>
      <c r="F4846" s="0" t="n">
        <v>7.184</v>
      </c>
      <c r="G4846" s="0" t="n">
        <v>2.245</v>
      </c>
      <c r="H4846" s="0" t="n">
        <v>0.2</v>
      </c>
      <c r="I4846" s="7" t="n">
        <f aca="false">YEAR(B4846)</f>
        <v>2014</v>
      </c>
      <c r="J4846" s="0" t="str">
        <f aca="false">I4846&amp;"-Q"&amp;ROUNDUP(MONTH(B4846)/3,0)</f>
        <v>2014-Q2</v>
      </c>
    </row>
    <row r="4847" customFormat="false" ht="15" hidden="false" customHeight="false" outlineLevel="0" collapsed="false">
      <c r="A4847" s="0" t="s">
        <v>2482</v>
      </c>
      <c r="B4847" s="6" t="n">
        <v>42208</v>
      </c>
      <c r="C4847" s="7" t="s">
        <v>55</v>
      </c>
      <c r="D4847" s="7" t="s">
        <v>76</v>
      </c>
      <c r="E4847" s="7" t="s">
        <v>35</v>
      </c>
      <c r="F4847" s="0" t="n">
        <v>10.512</v>
      </c>
      <c r="G4847" s="0" t="n">
        <v>3.6792</v>
      </c>
      <c r="H4847" s="0" t="n">
        <v>0.2</v>
      </c>
      <c r="I4847" s="7" t="n">
        <f aca="false">YEAR(B4847)</f>
        <v>2015</v>
      </c>
      <c r="J4847" s="0" t="str">
        <f aca="false">I4847&amp;"-Q"&amp;ROUNDUP(MONTH(B4847)/3,0)</f>
        <v>2015-Q3</v>
      </c>
    </row>
    <row r="4848" customFormat="false" ht="15" hidden="false" customHeight="false" outlineLevel="0" collapsed="false">
      <c r="A4848" s="0" t="s">
        <v>2483</v>
      </c>
      <c r="B4848" s="6" t="n">
        <v>41815</v>
      </c>
      <c r="C4848" s="7" t="s">
        <v>33</v>
      </c>
      <c r="D4848" s="7" t="s">
        <v>102</v>
      </c>
      <c r="E4848" s="7" t="s">
        <v>39</v>
      </c>
      <c r="F4848" s="0" t="n">
        <v>263.96</v>
      </c>
      <c r="G4848" s="0" t="n">
        <v>19.797</v>
      </c>
      <c r="H4848" s="0" t="n">
        <v>0.2</v>
      </c>
      <c r="I4848" s="7" t="n">
        <f aca="false">YEAR(B4848)</f>
        <v>2014</v>
      </c>
      <c r="J4848" s="0" t="str">
        <f aca="false">I4848&amp;"-Q"&amp;ROUNDUP(MONTH(B4848)/3,0)</f>
        <v>2014-Q2</v>
      </c>
    </row>
    <row r="4849" customFormat="false" ht="15" hidden="false" customHeight="false" outlineLevel="0" collapsed="false">
      <c r="A4849" s="0" t="s">
        <v>2483</v>
      </c>
      <c r="B4849" s="6" t="n">
        <v>41815</v>
      </c>
      <c r="C4849" s="7" t="s">
        <v>33</v>
      </c>
      <c r="D4849" s="7" t="s">
        <v>102</v>
      </c>
      <c r="E4849" s="7" t="s">
        <v>35</v>
      </c>
      <c r="F4849" s="0" t="n">
        <v>71.632</v>
      </c>
      <c r="G4849" s="0" t="n">
        <v>17.908</v>
      </c>
      <c r="H4849" s="0" t="n">
        <v>0.2</v>
      </c>
      <c r="I4849" s="7" t="n">
        <f aca="false">YEAR(B4849)</f>
        <v>2014</v>
      </c>
      <c r="J4849" s="0" t="str">
        <f aca="false">I4849&amp;"-Q"&amp;ROUNDUP(MONTH(B4849)/3,0)</f>
        <v>2014-Q2</v>
      </c>
    </row>
    <row r="4850" customFormat="false" ht="15" hidden="false" customHeight="false" outlineLevel="0" collapsed="false">
      <c r="A4850" s="0" t="s">
        <v>2483</v>
      </c>
      <c r="B4850" s="6" t="n">
        <v>41815</v>
      </c>
      <c r="C4850" s="7" t="s">
        <v>33</v>
      </c>
      <c r="D4850" s="7" t="s">
        <v>102</v>
      </c>
      <c r="E4850" s="7" t="s">
        <v>35</v>
      </c>
      <c r="F4850" s="0" t="n">
        <v>9.328</v>
      </c>
      <c r="G4850" s="0" t="n">
        <v>0.8162</v>
      </c>
      <c r="H4850" s="0" t="n">
        <v>0.2</v>
      </c>
      <c r="I4850" s="7" t="n">
        <f aca="false">YEAR(B4850)</f>
        <v>2014</v>
      </c>
      <c r="J4850" s="0" t="str">
        <f aca="false">I4850&amp;"-Q"&amp;ROUNDUP(MONTH(B4850)/3,0)</f>
        <v>2014-Q2</v>
      </c>
    </row>
    <row r="4851" customFormat="false" ht="15" hidden="false" customHeight="false" outlineLevel="0" collapsed="false">
      <c r="A4851" s="0" t="s">
        <v>2484</v>
      </c>
      <c r="B4851" s="6" t="n">
        <v>41890</v>
      </c>
      <c r="C4851" s="7" t="s">
        <v>33</v>
      </c>
      <c r="D4851" s="7" t="s">
        <v>43</v>
      </c>
      <c r="E4851" s="7" t="s">
        <v>35</v>
      </c>
      <c r="F4851" s="0" t="n">
        <v>5.88</v>
      </c>
      <c r="G4851" s="0" t="n">
        <v>2.646</v>
      </c>
      <c r="H4851" s="0" t="n">
        <v>0</v>
      </c>
      <c r="I4851" s="7" t="n">
        <f aca="false">YEAR(B4851)</f>
        <v>2014</v>
      </c>
      <c r="J4851" s="0" t="str">
        <f aca="false">I4851&amp;"-Q"&amp;ROUNDUP(MONTH(B4851)/3,0)</f>
        <v>2014-Q3</v>
      </c>
    </row>
    <row r="4852" customFormat="false" ht="15" hidden="false" customHeight="false" outlineLevel="0" collapsed="false">
      <c r="A4852" s="0" t="s">
        <v>2484</v>
      </c>
      <c r="B4852" s="6" t="n">
        <v>41890</v>
      </c>
      <c r="C4852" s="7" t="s">
        <v>33</v>
      </c>
      <c r="D4852" s="7" t="s">
        <v>43</v>
      </c>
      <c r="E4852" s="7" t="s">
        <v>31</v>
      </c>
      <c r="F4852" s="0" t="n">
        <v>975.92</v>
      </c>
      <c r="G4852" s="0" t="n">
        <v>121.99</v>
      </c>
      <c r="H4852" s="0" t="n">
        <v>0.2</v>
      </c>
      <c r="I4852" s="7" t="n">
        <f aca="false">YEAR(B4852)</f>
        <v>2014</v>
      </c>
      <c r="J4852" s="0" t="str">
        <f aca="false">I4852&amp;"-Q"&amp;ROUNDUP(MONTH(B4852)/3,0)</f>
        <v>2014-Q3</v>
      </c>
    </row>
    <row r="4853" customFormat="false" ht="15" hidden="false" customHeight="false" outlineLevel="0" collapsed="false">
      <c r="A4853" s="0" t="s">
        <v>2484</v>
      </c>
      <c r="B4853" s="6" t="n">
        <v>41890</v>
      </c>
      <c r="C4853" s="7" t="s">
        <v>33</v>
      </c>
      <c r="D4853" s="7" t="s">
        <v>43</v>
      </c>
      <c r="E4853" s="7" t="s">
        <v>35</v>
      </c>
      <c r="F4853" s="0" t="n">
        <v>303.84</v>
      </c>
      <c r="G4853" s="0" t="n">
        <v>91.152</v>
      </c>
      <c r="H4853" s="0" t="n">
        <v>0</v>
      </c>
      <c r="I4853" s="7" t="n">
        <f aca="false">YEAR(B4853)</f>
        <v>2014</v>
      </c>
      <c r="J4853" s="0" t="str">
        <f aca="false">I4853&amp;"-Q"&amp;ROUNDUP(MONTH(B4853)/3,0)</f>
        <v>2014-Q3</v>
      </c>
    </row>
    <row r="4854" customFormat="false" ht="15" hidden="false" customHeight="false" outlineLevel="0" collapsed="false">
      <c r="A4854" s="0" t="s">
        <v>2484</v>
      </c>
      <c r="B4854" s="6" t="n">
        <v>41890</v>
      </c>
      <c r="C4854" s="7" t="s">
        <v>33</v>
      </c>
      <c r="D4854" s="7" t="s">
        <v>43</v>
      </c>
      <c r="E4854" s="7" t="s">
        <v>35</v>
      </c>
      <c r="F4854" s="0" t="n">
        <v>485.88</v>
      </c>
      <c r="G4854" s="0" t="n">
        <v>19.4352</v>
      </c>
      <c r="H4854" s="0" t="n">
        <v>0</v>
      </c>
      <c r="I4854" s="7" t="n">
        <f aca="false">YEAR(B4854)</f>
        <v>2014</v>
      </c>
      <c r="J4854" s="0" t="str">
        <f aca="false">I4854&amp;"-Q"&amp;ROUNDUP(MONTH(B4854)/3,0)</f>
        <v>2014-Q3</v>
      </c>
    </row>
    <row r="4855" customFormat="false" ht="15" hidden="false" customHeight="false" outlineLevel="0" collapsed="false">
      <c r="A4855" s="0" t="s">
        <v>2485</v>
      </c>
      <c r="B4855" s="6" t="n">
        <v>41985</v>
      </c>
      <c r="C4855" s="7" t="s">
        <v>33</v>
      </c>
      <c r="D4855" s="7" t="s">
        <v>34</v>
      </c>
      <c r="E4855" s="7" t="s">
        <v>31</v>
      </c>
      <c r="F4855" s="0" t="n">
        <v>12.54</v>
      </c>
      <c r="G4855" s="0" t="n">
        <v>4.5144</v>
      </c>
      <c r="H4855" s="0" t="n">
        <v>0</v>
      </c>
      <c r="I4855" s="7" t="n">
        <f aca="false">YEAR(B4855)</f>
        <v>2014</v>
      </c>
      <c r="J4855" s="0" t="str">
        <f aca="false">I4855&amp;"-Q"&amp;ROUNDUP(MONTH(B4855)/3,0)</f>
        <v>2014-Q4</v>
      </c>
    </row>
    <row r="4856" customFormat="false" ht="15" hidden="false" customHeight="false" outlineLevel="0" collapsed="false">
      <c r="A4856" s="0" t="s">
        <v>2485</v>
      </c>
      <c r="B4856" s="6" t="n">
        <v>41985</v>
      </c>
      <c r="C4856" s="7" t="s">
        <v>33</v>
      </c>
      <c r="D4856" s="7" t="s">
        <v>34</v>
      </c>
      <c r="E4856" s="7" t="s">
        <v>35</v>
      </c>
      <c r="F4856" s="0" t="n">
        <v>8.94</v>
      </c>
      <c r="G4856" s="0" t="n">
        <v>0.6258</v>
      </c>
      <c r="H4856" s="0" t="n">
        <v>0</v>
      </c>
      <c r="I4856" s="7" t="n">
        <f aca="false">YEAR(B4856)</f>
        <v>2014</v>
      </c>
      <c r="J4856" s="0" t="str">
        <f aca="false">I4856&amp;"-Q"&amp;ROUNDUP(MONTH(B4856)/3,0)</f>
        <v>2014-Q4</v>
      </c>
    </row>
    <row r="4857" customFormat="false" ht="15" hidden="false" customHeight="false" outlineLevel="0" collapsed="false">
      <c r="A4857" s="0" t="s">
        <v>2485</v>
      </c>
      <c r="B4857" s="6" t="n">
        <v>41985</v>
      </c>
      <c r="C4857" s="7" t="s">
        <v>33</v>
      </c>
      <c r="D4857" s="7" t="s">
        <v>34</v>
      </c>
      <c r="E4857" s="7" t="s">
        <v>31</v>
      </c>
      <c r="F4857" s="0" t="n">
        <v>9.24</v>
      </c>
      <c r="G4857" s="0" t="n">
        <v>4.4352</v>
      </c>
      <c r="H4857" s="0" t="n">
        <v>0</v>
      </c>
      <c r="I4857" s="7" t="n">
        <f aca="false">YEAR(B4857)</f>
        <v>2014</v>
      </c>
      <c r="J4857" s="0" t="str">
        <f aca="false">I4857&amp;"-Q"&amp;ROUNDUP(MONTH(B4857)/3,0)</f>
        <v>2014-Q4</v>
      </c>
    </row>
    <row r="4858" customFormat="false" ht="15" hidden="false" customHeight="false" outlineLevel="0" collapsed="false">
      <c r="A4858" s="0" t="s">
        <v>2486</v>
      </c>
      <c r="B4858" s="6" t="n">
        <v>42017</v>
      </c>
      <c r="C4858" s="7" t="s">
        <v>33</v>
      </c>
      <c r="D4858" s="7" t="s">
        <v>34</v>
      </c>
      <c r="E4858" s="7" t="s">
        <v>35</v>
      </c>
      <c r="F4858" s="0" t="n">
        <v>70.008</v>
      </c>
      <c r="G4858" s="0" t="n">
        <v>24.5028</v>
      </c>
      <c r="H4858" s="0" t="n">
        <v>0.2</v>
      </c>
      <c r="I4858" s="7" t="n">
        <f aca="false">YEAR(B4858)</f>
        <v>2015</v>
      </c>
      <c r="J4858" s="0" t="str">
        <f aca="false">I4858&amp;"-Q"&amp;ROUNDUP(MONTH(B4858)/3,0)</f>
        <v>2015-Q1</v>
      </c>
    </row>
    <row r="4859" customFormat="false" ht="15" hidden="false" customHeight="false" outlineLevel="0" collapsed="false">
      <c r="A4859" s="0" t="s">
        <v>2486</v>
      </c>
      <c r="B4859" s="6" t="n">
        <v>42017</v>
      </c>
      <c r="C4859" s="7" t="s">
        <v>33</v>
      </c>
      <c r="D4859" s="7" t="s">
        <v>34</v>
      </c>
      <c r="E4859" s="7" t="s">
        <v>31</v>
      </c>
      <c r="F4859" s="0" t="n">
        <v>77.6</v>
      </c>
      <c r="G4859" s="0" t="n">
        <v>38.024</v>
      </c>
      <c r="H4859" s="0" t="n">
        <v>0</v>
      </c>
      <c r="I4859" s="7" t="n">
        <f aca="false">YEAR(B4859)</f>
        <v>2015</v>
      </c>
      <c r="J4859" s="0" t="str">
        <f aca="false">I4859&amp;"-Q"&amp;ROUNDUP(MONTH(B4859)/3,0)</f>
        <v>2015-Q1</v>
      </c>
    </row>
    <row r="4860" customFormat="false" ht="15" hidden="false" customHeight="false" outlineLevel="0" collapsed="false">
      <c r="A4860" s="0" t="s">
        <v>2486</v>
      </c>
      <c r="B4860" s="6" t="n">
        <v>42017</v>
      </c>
      <c r="C4860" s="7" t="s">
        <v>33</v>
      </c>
      <c r="D4860" s="7" t="s">
        <v>34</v>
      </c>
      <c r="E4860" s="7" t="s">
        <v>31</v>
      </c>
      <c r="F4860" s="0" t="n">
        <v>464.85</v>
      </c>
      <c r="G4860" s="0" t="n">
        <v>92.97</v>
      </c>
      <c r="H4860" s="0" t="n">
        <v>0</v>
      </c>
      <c r="I4860" s="7" t="n">
        <f aca="false">YEAR(B4860)</f>
        <v>2015</v>
      </c>
      <c r="J4860" s="0" t="str">
        <f aca="false">I4860&amp;"-Q"&amp;ROUNDUP(MONTH(B4860)/3,0)</f>
        <v>2015-Q1</v>
      </c>
    </row>
    <row r="4861" customFormat="false" ht="15" hidden="false" customHeight="false" outlineLevel="0" collapsed="false">
      <c r="A4861" s="0" t="s">
        <v>2487</v>
      </c>
      <c r="B4861" s="6" t="n">
        <v>43084</v>
      </c>
      <c r="C4861" s="7" t="s">
        <v>45</v>
      </c>
      <c r="D4861" s="7" t="s">
        <v>64</v>
      </c>
      <c r="E4861" s="7" t="s">
        <v>35</v>
      </c>
      <c r="F4861" s="0" t="n">
        <v>10.192</v>
      </c>
      <c r="G4861" s="0" t="n">
        <v>1.0192</v>
      </c>
      <c r="H4861" s="0" t="n">
        <v>0.2</v>
      </c>
      <c r="I4861" s="7" t="n">
        <f aca="false">YEAR(B4861)</f>
        <v>2017</v>
      </c>
      <c r="J4861" s="0" t="str">
        <f aca="false">I4861&amp;"-Q"&amp;ROUNDUP(MONTH(B4861)/3,0)</f>
        <v>2017-Q4</v>
      </c>
    </row>
    <row r="4862" customFormat="false" ht="15" hidden="false" customHeight="false" outlineLevel="0" collapsed="false">
      <c r="A4862" s="0" t="s">
        <v>2488</v>
      </c>
      <c r="B4862" s="6" t="n">
        <v>42722</v>
      </c>
      <c r="C4862" s="7" t="s">
        <v>55</v>
      </c>
      <c r="D4862" s="7" t="s">
        <v>161</v>
      </c>
      <c r="E4862" s="7" t="s">
        <v>35</v>
      </c>
      <c r="F4862" s="0" t="n">
        <v>1793.98</v>
      </c>
      <c r="G4862" s="0" t="n">
        <v>843.1706</v>
      </c>
      <c r="H4862" s="0" t="n">
        <v>0</v>
      </c>
      <c r="I4862" s="7" t="n">
        <f aca="false">YEAR(B4862)</f>
        <v>2016</v>
      </c>
      <c r="J4862" s="0" t="str">
        <f aca="false">I4862&amp;"-Q"&amp;ROUNDUP(MONTH(B4862)/3,0)</f>
        <v>2016-Q4</v>
      </c>
    </row>
    <row r="4863" customFormat="false" ht="15" hidden="false" customHeight="false" outlineLevel="0" collapsed="false">
      <c r="A4863" s="0" t="s">
        <v>2489</v>
      </c>
      <c r="B4863" s="6" t="n">
        <v>41740</v>
      </c>
      <c r="C4863" s="7" t="s">
        <v>45</v>
      </c>
      <c r="D4863" s="7" t="s">
        <v>46</v>
      </c>
      <c r="E4863" s="7" t="s">
        <v>39</v>
      </c>
      <c r="F4863" s="0" t="n">
        <v>758.352</v>
      </c>
      <c r="G4863" s="0" t="n">
        <v>265.4232</v>
      </c>
      <c r="H4863" s="0" t="n">
        <v>0.2</v>
      </c>
      <c r="I4863" s="7" t="n">
        <f aca="false">YEAR(B4863)</f>
        <v>2014</v>
      </c>
      <c r="J4863" s="0" t="str">
        <f aca="false">I4863&amp;"-Q"&amp;ROUNDUP(MONTH(B4863)/3,0)</f>
        <v>2014-Q2</v>
      </c>
    </row>
    <row r="4864" customFormat="false" ht="15" hidden="false" customHeight="false" outlineLevel="0" collapsed="false">
      <c r="A4864" s="0" t="s">
        <v>2490</v>
      </c>
      <c r="B4864" s="6" t="n">
        <v>42684</v>
      </c>
      <c r="C4864" s="7" t="s">
        <v>55</v>
      </c>
      <c r="D4864" s="7" t="s">
        <v>76</v>
      </c>
      <c r="E4864" s="7" t="s">
        <v>35</v>
      </c>
      <c r="F4864" s="0" t="n">
        <v>20.368</v>
      </c>
      <c r="G4864" s="0" t="n">
        <v>7.3834</v>
      </c>
      <c r="H4864" s="0" t="n">
        <v>0.2</v>
      </c>
      <c r="I4864" s="7" t="n">
        <f aca="false">YEAR(B4864)</f>
        <v>2016</v>
      </c>
      <c r="J4864" s="0" t="str">
        <f aca="false">I4864&amp;"-Q"&amp;ROUNDUP(MONTH(B4864)/3,0)</f>
        <v>2016-Q4</v>
      </c>
    </row>
    <row r="4865" customFormat="false" ht="15" hidden="false" customHeight="false" outlineLevel="0" collapsed="false">
      <c r="A4865" s="0" t="s">
        <v>2490</v>
      </c>
      <c r="B4865" s="6" t="n">
        <v>42684</v>
      </c>
      <c r="C4865" s="7" t="s">
        <v>55</v>
      </c>
      <c r="D4865" s="7" t="s">
        <v>76</v>
      </c>
      <c r="E4865" s="7" t="s">
        <v>35</v>
      </c>
      <c r="F4865" s="0" t="n">
        <v>49.848</v>
      </c>
      <c r="G4865" s="0" t="n">
        <v>16.8237</v>
      </c>
      <c r="H4865" s="0" t="n">
        <v>0.2</v>
      </c>
      <c r="I4865" s="7" t="n">
        <f aca="false">YEAR(B4865)</f>
        <v>2016</v>
      </c>
      <c r="J4865" s="0" t="str">
        <f aca="false">I4865&amp;"-Q"&amp;ROUNDUP(MONTH(B4865)/3,0)</f>
        <v>2016-Q4</v>
      </c>
    </row>
    <row r="4866" customFormat="false" ht="15" hidden="false" customHeight="false" outlineLevel="0" collapsed="false">
      <c r="A4866" s="0" t="s">
        <v>2491</v>
      </c>
      <c r="B4866" s="6" t="n">
        <v>42912</v>
      </c>
      <c r="C4866" s="7" t="s">
        <v>55</v>
      </c>
      <c r="D4866" s="7" t="s">
        <v>76</v>
      </c>
      <c r="E4866" s="7" t="s">
        <v>39</v>
      </c>
      <c r="F4866" s="0" t="n">
        <v>239.97</v>
      </c>
      <c r="G4866" s="0" t="n">
        <v>67.1916</v>
      </c>
      <c r="H4866" s="0" t="n">
        <v>0</v>
      </c>
      <c r="I4866" s="7" t="n">
        <f aca="false">YEAR(B4866)</f>
        <v>2017</v>
      </c>
      <c r="J4866" s="0" t="str">
        <f aca="false">I4866&amp;"-Q"&amp;ROUNDUP(MONTH(B4866)/3,0)</f>
        <v>2017-Q2</v>
      </c>
    </row>
    <row r="4867" customFormat="false" ht="15" hidden="false" customHeight="false" outlineLevel="0" collapsed="false">
      <c r="A4867" s="0" t="s">
        <v>2492</v>
      </c>
      <c r="B4867" s="6" t="n">
        <v>43052</v>
      </c>
      <c r="C4867" s="7" t="s">
        <v>33</v>
      </c>
      <c r="D4867" s="7" t="s">
        <v>43</v>
      </c>
      <c r="E4867" s="7" t="s">
        <v>31</v>
      </c>
      <c r="F4867" s="0" t="n">
        <v>2404.704</v>
      </c>
      <c r="G4867" s="0" t="n">
        <v>150.294</v>
      </c>
      <c r="H4867" s="0" t="n">
        <v>0.2</v>
      </c>
      <c r="I4867" s="7" t="n">
        <f aca="false">YEAR(B4867)</f>
        <v>2017</v>
      </c>
      <c r="J4867" s="0" t="str">
        <f aca="false">I4867&amp;"-Q"&amp;ROUNDUP(MONTH(B4867)/3,0)</f>
        <v>2017-Q4</v>
      </c>
    </row>
    <row r="4868" customFormat="false" ht="15" hidden="false" customHeight="false" outlineLevel="0" collapsed="false">
      <c r="A4868" s="0" t="s">
        <v>2492</v>
      </c>
      <c r="B4868" s="6" t="n">
        <v>43052</v>
      </c>
      <c r="C4868" s="7" t="s">
        <v>33</v>
      </c>
      <c r="D4868" s="7" t="s">
        <v>43</v>
      </c>
      <c r="E4868" s="7" t="s">
        <v>35</v>
      </c>
      <c r="F4868" s="0" t="n">
        <v>563.024</v>
      </c>
      <c r="G4868" s="0" t="n">
        <v>190.0206</v>
      </c>
      <c r="H4868" s="0" t="n">
        <v>0.2</v>
      </c>
      <c r="I4868" s="7" t="n">
        <f aca="false">YEAR(B4868)</f>
        <v>2017</v>
      </c>
      <c r="J4868" s="0" t="str">
        <f aca="false">I4868&amp;"-Q"&amp;ROUNDUP(MONTH(B4868)/3,0)</f>
        <v>2017-Q4</v>
      </c>
    </row>
    <row r="4869" customFormat="false" ht="15" hidden="false" customHeight="false" outlineLevel="0" collapsed="false">
      <c r="A4869" s="0" t="s">
        <v>2492</v>
      </c>
      <c r="B4869" s="6" t="n">
        <v>43052</v>
      </c>
      <c r="C4869" s="7" t="s">
        <v>33</v>
      </c>
      <c r="D4869" s="7" t="s">
        <v>43</v>
      </c>
      <c r="E4869" s="7" t="s">
        <v>35</v>
      </c>
      <c r="F4869" s="0" t="n">
        <v>344.91</v>
      </c>
      <c r="G4869" s="0" t="n">
        <v>10.3473</v>
      </c>
      <c r="H4869" s="0" t="n">
        <v>0</v>
      </c>
      <c r="I4869" s="7" t="n">
        <f aca="false">YEAR(B4869)</f>
        <v>2017</v>
      </c>
      <c r="J4869" s="0" t="str">
        <f aca="false">I4869&amp;"-Q"&amp;ROUNDUP(MONTH(B4869)/3,0)</f>
        <v>2017-Q4</v>
      </c>
    </row>
    <row r="4870" customFormat="false" ht="15" hidden="false" customHeight="false" outlineLevel="0" collapsed="false">
      <c r="A4870" s="0" t="s">
        <v>2492</v>
      </c>
      <c r="B4870" s="6" t="n">
        <v>43052</v>
      </c>
      <c r="C4870" s="7" t="s">
        <v>33</v>
      </c>
      <c r="D4870" s="7" t="s">
        <v>43</v>
      </c>
      <c r="E4870" s="7" t="s">
        <v>35</v>
      </c>
      <c r="F4870" s="0" t="n">
        <v>8.64</v>
      </c>
      <c r="G4870" s="0" t="n">
        <v>4.2336</v>
      </c>
      <c r="H4870" s="0" t="n">
        <v>0</v>
      </c>
      <c r="I4870" s="7" t="n">
        <f aca="false">YEAR(B4870)</f>
        <v>2017</v>
      </c>
      <c r="J4870" s="0" t="str">
        <f aca="false">I4870&amp;"-Q"&amp;ROUNDUP(MONTH(B4870)/3,0)</f>
        <v>2017-Q4</v>
      </c>
    </row>
    <row r="4871" customFormat="false" ht="15" hidden="false" customHeight="false" outlineLevel="0" collapsed="false">
      <c r="A4871" s="0" t="s">
        <v>2493</v>
      </c>
      <c r="B4871" s="6" t="n">
        <v>43063</v>
      </c>
      <c r="C4871" s="7" t="s">
        <v>55</v>
      </c>
      <c r="D4871" s="7" t="s">
        <v>56</v>
      </c>
      <c r="E4871" s="7" t="s">
        <v>39</v>
      </c>
      <c r="F4871" s="0" t="n">
        <v>89.988</v>
      </c>
      <c r="G4871" s="0" t="n">
        <v>-14.998</v>
      </c>
      <c r="H4871" s="0" t="n">
        <v>0.4</v>
      </c>
      <c r="I4871" s="7" t="n">
        <f aca="false">YEAR(B4871)</f>
        <v>2017</v>
      </c>
      <c r="J4871" s="0" t="str">
        <f aca="false">I4871&amp;"-Q"&amp;ROUNDUP(MONTH(B4871)/3,0)</f>
        <v>2017-Q4</v>
      </c>
    </row>
    <row r="4872" customFormat="false" ht="15" hidden="false" customHeight="false" outlineLevel="0" collapsed="false">
      <c r="A4872" s="0" t="s">
        <v>2493</v>
      </c>
      <c r="B4872" s="6" t="n">
        <v>43063</v>
      </c>
      <c r="C4872" s="7" t="s">
        <v>55</v>
      </c>
      <c r="D4872" s="7" t="s">
        <v>56</v>
      </c>
      <c r="E4872" s="7" t="s">
        <v>35</v>
      </c>
      <c r="F4872" s="0" t="n">
        <v>229.544</v>
      </c>
      <c r="G4872" s="0" t="n">
        <v>83.2097</v>
      </c>
      <c r="H4872" s="0" t="n">
        <v>0.2</v>
      </c>
      <c r="I4872" s="7" t="n">
        <f aca="false">YEAR(B4872)</f>
        <v>2017</v>
      </c>
      <c r="J4872" s="0" t="str">
        <f aca="false">I4872&amp;"-Q"&amp;ROUNDUP(MONTH(B4872)/3,0)</f>
        <v>2017-Q4</v>
      </c>
    </row>
    <row r="4873" customFormat="false" ht="15" hidden="false" customHeight="false" outlineLevel="0" collapsed="false">
      <c r="A4873" s="0" t="s">
        <v>2494</v>
      </c>
      <c r="B4873" s="6" t="n">
        <v>42878</v>
      </c>
      <c r="C4873" s="7" t="s">
        <v>45</v>
      </c>
      <c r="D4873" s="7" t="s">
        <v>46</v>
      </c>
      <c r="E4873" s="7" t="s">
        <v>35</v>
      </c>
      <c r="F4873" s="0" t="n">
        <v>1.824</v>
      </c>
      <c r="G4873" s="0" t="n">
        <v>0.6156</v>
      </c>
      <c r="H4873" s="0" t="n">
        <v>0.2</v>
      </c>
      <c r="I4873" s="7" t="n">
        <f aca="false">YEAR(B4873)</f>
        <v>2017</v>
      </c>
      <c r="J4873" s="0" t="str">
        <f aca="false">I4873&amp;"-Q"&amp;ROUNDUP(MONTH(B4873)/3,0)</f>
        <v>2017-Q2</v>
      </c>
    </row>
    <row r="4874" customFormat="false" ht="15" hidden="false" customHeight="false" outlineLevel="0" collapsed="false">
      <c r="A4874" s="0" t="s">
        <v>2494</v>
      </c>
      <c r="B4874" s="6" t="n">
        <v>42878</v>
      </c>
      <c r="C4874" s="7" t="s">
        <v>45</v>
      </c>
      <c r="D4874" s="7" t="s">
        <v>46</v>
      </c>
      <c r="E4874" s="7" t="s">
        <v>35</v>
      </c>
      <c r="F4874" s="0" t="n">
        <v>18.32</v>
      </c>
      <c r="G4874" s="0" t="n">
        <v>-46.716</v>
      </c>
      <c r="H4874" s="0" t="n">
        <v>0.8</v>
      </c>
      <c r="I4874" s="7" t="n">
        <f aca="false">YEAR(B4874)</f>
        <v>2017</v>
      </c>
      <c r="J4874" s="0" t="str">
        <f aca="false">I4874&amp;"-Q"&amp;ROUNDUP(MONTH(B4874)/3,0)</f>
        <v>2017-Q2</v>
      </c>
    </row>
    <row r="4875" customFormat="false" ht="15" hidden="false" customHeight="false" outlineLevel="0" collapsed="false">
      <c r="A4875" s="0" t="s">
        <v>2494</v>
      </c>
      <c r="B4875" s="6" t="n">
        <v>42878</v>
      </c>
      <c r="C4875" s="7" t="s">
        <v>45</v>
      </c>
      <c r="D4875" s="7" t="s">
        <v>46</v>
      </c>
      <c r="E4875" s="7" t="s">
        <v>35</v>
      </c>
      <c r="F4875" s="0" t="n">
        <v>48.816</v>
      </c>
      <c r="G4875" s="0" t="n">
        <v>-11.5938</v>
      </c>
      <c r="H4875" s="0" t="n">
        <v>0.2</v>
      </c>
      <c r="I4875" s="7" t="n">
        <f aca="false">YEAR(B4875)</f>
        <v>2017</v>
      </c>
      <c r="J4875" s="0" t="str">
        <f aca="false">I4875&amp;"-Q"&amp;ROUNDUP(MONTH(B4875)/3,0)</f>
        <v>2017-Q2</v>
      </c>
    </row>
    <row r="4876" customFormat="false" ht="15" hidden="false" customHeight="false" outlineLevel="0" collapsed="false">
      <c r="A4876" s="0" t="s">
        <v>2494</v>
      </c>
      <c r="B4876" s="6" t="n">
        <v>42878</v>
      </c>
      <c r="C4876" s="7" t="s">
        <v>45</v>
      </c>
      <c r="D4876" s="7" t="s">
        <v>46</v>
      </c>
      <c r="E4876" s="7" t="s">
        <v>35</v>
      </c>
      <c r="F4876" s="0" t="n">
        <v>1.188</v>
      </c>
      <c r="G4876" s="0" t="n">
        <v>-1.9602</v>
      </c>
      <c r="H4876" s="0" t="n">
        <v>0.8</v>
      </c>
      <c r="I4876" s="7" t="n">
        <f aca="false">YEAR(B4876)</f>
        <v>2017</v>
      </c>
      <c r="J4876" s="0" t="str">
        <f aca="false">I4876&amp;"-Q"&amp;ROUNDUP(MONTH(B4876)/3,0)</f>
        <v>2017-Q2</v>
      </c>
    </row>
    <row r="4877" customFormat="false" ht="15" hidden="false" customHeight="false" outlineLevel="0" collapsed="false">
      <c r="A4877" s="0" t="s">
        <v>2495</v>
      </c>
      <c r="B4877" s="6" t="n">
        <v>41975</v>
      </c>
      <c r="C4877" s="7" t="s">
        <v>55</v>
      </c>
      <c r="D4877" s="7" t="s">
        <v>116</v>
      </c>
      <c r="E4877" s="7" t="s">
        <v>39</v>
      </c>
      <c r="F4877" s="0" t="n">
        <v>119.8</v>
      </c>
      <c r="G4877" s="0" t="n">
        <v>29.95</v>
      </c>
      <c r="H4877" s="0" t="n">
        <v>0.2</v>
      </c>
      <c r="I4877" s="7" t="n">
        <f aca="false">YEAR(B4877)</f>
        <v>2014</v>
      </c>
      <c r="J4877" s="0" t="str">
        <f aca="false">I4877&amp;"-Q"&amp;ROUNDUP(MONTH(B4877)/3,0)</f>
        <v>2014-Q4</v>
      </c>
    </row>
    <row r="4878" customFormat="false" ht="15" hidden="false" customHeight="false" outlineLevel="0" collapsed="false">
      <c r="A4878" s="0" t="s">
        <v>2496</v>
      </c>
      <c r="B4878" s="6" t="n">
        <v>41915</v>
      </c>
      <c r="C4878" s="7" t="s">
        <v>29</v>
      </c>
      <c r="D4878" s="7" t="s">
        <v>41</v>
      </c>
      <c r="E4878" s="7" t="s">
        <v>35</v>
      </c>
      <c r="F4878" s="0" t="n">
        <v>61.568</v>
      </c>
      <c r="G4878" s="0" t="n">
        <v>4.6176</v>
      </c>
      <c r="H4878" s="0" t="n">
        <v>0.2</v>
      </c>
      <c r="I4878" s="7" t="n">
        <f aca="false">YEAR(B4878)</f>
        <v>2014</v>
      </c>
      <c r="J4878" s="0" t="str">
        <f aca="false">I4878&amp;"-Q"&amp;ROUNDUP(MONTH(B4878)/3,0)</f>
        <v>2014-Q4</v>
      </c>
    </row>
    <row r="4879" customFormat="false" ht="15" hidden="false" customHeight="false" outlineLevel="0" collapsed="false">
      <c r="A4879" s="0" t="s">
        <v>2496</v>
      </c>
      <c r="B4879" s="6" t="n">
        <v>41915</v>
      </c>
      <c r="C4879" s="7" t="s">
        <v>29</v>
      </c>
      <c r="D4879" s="7" t="s">
        <v>41</v>
      </c>
      <c r="E4879" s="7" t="s">
        <v>35</v>
      </c>
      <c r="F4879" s="0" t="n">
        <v>6.192</v>
      </c>
      <c r="G4879" s="0" t="n">
        <v>0.4644</v>
      </c>
      <c r="H4879" s="0" t="n">
        <v>0.2</v>
      </c>
      <c r="I4879" s="7" t="n">
        <f aca="false">YEAR(B4879)</f>
        <v>2014</v>
      </c>
      <c r="J4879" s="0" t="str">
        <f aca="false">I4879&amp;"-Q"&amp;ROUNDUP(MONTH(B4879)/3,0)</f>
        <v>2014-Q4</v>
      </c>
    </row>
    <row r="4880" customFormat="false" ht="15" hidden="false" customHeight="false" outlineLevel="0" collapsed="false">
      <c r="A4880" s="0" t="s">
        <v>2497</v>
      </c>
      <c r="B4880" s="6" t="n">
        <v>42580</v>
      </c>
      <c r="C4880" s="7" t="s">
        <v>29</v>
      </c>
      <c r="D4880" s="7" t="s">
        <v>37</v>
      </c>
      <c r="E4880" s="7" t="s">
        <v>35</v>
      </c>
      <c r="F4880" s="0" t="n">
        <v>2.214</v>
      </c>
      <c r="G4880" s="0" t="n">
        <v>-1.476</v>
      </c>
      <c r="H4880" s="0" t="n">
        <v>0.7</v>
      </c>
      <c r="I4880" s="7" t="n">
        <f aca="false">YEAR(B4880)</f>
        <v>2016</v>
      </c>
      <c r="J4880" s="0" t="str">
        <f aca="false">I4880&amp;"-Q"&amp;ROUNDUP(MONTH(B4880)/3,0)</f>
        <v>2016-Q3</v>
      </c>
    </row>
    <row r="4881" customFormat="false" ht="15" hidden="false" customHeight="false" outlineLevel="0" collapsed="false">
      <c r="A4881" s="0" t="s">
        <v>2498</v>
      </c>
      <c r="B4881" s="6" t="n">
        <v>43041</v>
      </c>
      <c r="C4881" s="7" t="s">
        <v>29</v>
      </c>
      <c r="D4881" s="7" t="s">
        <v>30</v>
      </c>
      <c r="E4881" s="7" t="s">
        <v>35</v>
      </c>
      <c r="F4881" s="0" t="n">
        <v>5.32</v>
      </c>
      <c r="G4881" s="0" t="n">
        <v>2.6068</v>
      </c>
      <c r="H4881" s="0" t="n">
        <v>0</v>
      </c>
      <c r="I4881" s="7" t="n">
        <f aca="false">YEAR(B4881)</f>
        <v>2017</v>
      </c>
      <c r="J4881" s="0" t="str">
        <f aca="false">I4881&amp;"-Q"&amp;ROUNDUP(MONTH(B4881)/3,0)</f>
        <v>2017-Q4</v>
      </c>
    </row>
    <row r="4882" customFormat="false" ht="15" hidden="false" customHeight="false" outlineLevel="0" collapsed="false">
      <c r="A4882" s="0" t="s">
        <v>2498</v>
      </c>
      <c r="B4882" s="6" t="n">
        <v>43041</v>
      </c>
      <c r="C4882" s="7" t="s">
        <v>29</v>
      </c>
      <c r="D4882" s="7" t="s">
        <v>30</v>
      </c>
      <c r="E4882" s="7" t="s">
        <v>31</v>
      </c>
      <c r="F4882" s="0" t="n">
        <v>975.92</v>
      </c>
      <c r="G4882" s="0" t="n">
        <v>292.776</v>
      </c>
      <c r="H4882" s="0" t="n">
        <v>0</v>
      </c>
      <c r="I4882" s="7" t="n">
        <f aca="false">YEAR(B4882)</f>
        <v>2017</v>
      </c>
      <c r="J4882" s="0" t="str">
        <f aca="false">I4882&amp;"-Q"&amp;ROUNDUP(MONTH(B4882)/3,0)</f>
        <v>2017-Q4</v>
      </c>
    </row>
    <row r="4883" customFormat="false" ht="15" hidden="false" customHeight="false" outlineLevel="0" collapsed="false">
      <c r="A4883" s="0" t="s">
        <v>2498</v>
      </c>
      <c r="B4883" s="6" t="n">
        <v>43041</v>
      </c>
      <c r="C4883" s="7" t="s">
        <v>29</v>
      </c>
      <c r="D4883" s="7" t="s">
        <v>30</v>
      </c>
      <c r="E4883" s="7" t="s">
        <v>39</v>
      </c>
      <c r="F4883" s="0" t="n">
        <v>2249.91</v>
      </c>
      <c r="G4883" s="0" t="n">
        <v>517.4793</v>
      </c>
      <c r="H4883" s="0" t="n">
        <v>0</v>
      </c>
      <c r="I4883" s="7" t="n">
        <f aca="false">YEAR(B4883)</f>
        <v>2017</v>
      </c>
      <c r="J4883" s="0" t="str">
        <f aca="false">I4883&amp;"-Q"&amp;ROUNDUP(MONTH(B4883)/3,0)</f>
        <v>2017-Q4</v>
      </c>
    </row>
    <row r="4884" customFormat="false" ht="15" hidden="false" customHeight="false" outlineLevel="0" collapsed="false">
      <c r="A4884" s="0" t="s">
        <v>2498</v>
      </c>
      <c r="B4884" s="6" t="n">
        <v>43041</v>
      </c>
      <c r="C4884" s="7" t="s">
        <v>29</v>
      </c>
      <c r="D4884" s="7" t="s">
        <v>30</v>
      </c>
      <c r="E4884" s="7" t="s">
        <v>35</v>
      </c>
      <c r="F4884" s="0" t="n">
        <v>59.92</v>
      </c>
      <c r="G4884" s="0" t="n">
        <v>16.7776</v>
      </c>
      <c r="H4884" s="0" t="n">
        <v>0</v>
      </c>
      <c r="I4884" s="7" t="n">
        <f aca="false">YEAR(B4884)</f>
        <v>2017</v>
      </c>
      <c r="J4884" s="0" t="str">
        <f aca="false">I4884&amp;"-Q"&amp;ROUNDUP(MONTH(B4884)/3,0)</f>
        <v>2017-Q4</v>
      </c>
    </row>
    <row r="4885" customFormat="false" ht="15" hidden="false" customHeight="false" outlineLevel="0" collapsed="false">
      <c r="A4885" s="0" t="s">
        <v>2499</v>
      </c>
      <c r="B4885" s="6" t="n">
        <v>42802</v>
      </c>
      <c r="C4885" s="7" t="s">
        <v>33</v>
      </c>
      <c r="D4885" s="7" t="s">
        <v>34</v>
      </c>
      <c r="E4885" s="7" t="s">
        <v>35</v>
      </c>
      <c r="F4885" s="0" t="n">
        <v>171.2</v>
      </c>
      <c r="G4885" s="0" t="n">
        <v>64.2</v>
      </c>
      <c r="H4885" s="0" t="n">
        <v>0.2</v>
      </c>
      <c r="I4885" s="7" t="n">
        <f aca="false">YEAR(B4885)</f>
        <v>2017</v>
      </c>
      <c r="J4885" s="0" t="str">
        <f aca="false">I4885&amp;"-Q"&amp;ROUNDUP(MONTH(B4885)/3,0)</f>
        <v>2017-Q1</v>
      </c>
    </row>
    <row r="4886" customFormat="false" ht="15" hidden="false" customHeight="false" outlineLevel="0" collapsed="false">
      <c r="A4886" s="0" t="s">
        <v>2499</v>
      </c>
      <c r="B4886" s="6" t="n">
        <v>42802</v>
      </c>
      <c r="C4886" s="7" t="s">
        <v>33</v>
      </c>
      <c r="D4886" s="7" t="s">
        <v>34</v>
      </c>
      <c r="E4886" s="7" t="s">
        <v>35</v>
      </c>
      <c r="F4886" s="0" t="n">
        <v>3.36</v>
      </c>
      <c r="G4886" s="0" t="n">
        <v>0.8736</v>
      </c>
      <c r="H4886" s="0" t="n">
        <v>0</v>
      </c>
      <c r="I4886" s="7" t="n">
        <f aca="false">YEAR(B4886)</f>
        <v>2017</v>
      </c>
      <c r="J4886" s="0" t="str">
        <f aca="false">I4886&amp;"-Q"&amp;ROUNDUP(MONTH(B4886)/3,0)</f>
        <v>2017-Q1</v>
      </c>
    </row>
    <row r="4887" customFormat="false" ht="15" hidden="false" customHeight="false" outlineLevel="0" collapsed="false">
      <c r="A4887" s="0" t="s">
        <v>2500</v>
      </c>
      <c r="B4887" s="6" t="n">
        <v>41989</v>
      </c>
      <c r="C4887" s="7" t="s">
        <v>45</v>
      </c>
      <c r="D4887" s="7" t="s">
        <v>70</v>
      </c>
      <c r="E4887" s="7" t="s">
        <v>35</v>
      </c>
      <c r="F4887" s="0" t="n">
        <v>114.2</v>
      </c>
      <c r="G4887" s="0" t="n">
        <v>52.532</v>
      </c>
      <c r="H4887" s="0" t="n">
        <v>0</v>
      </c>
      <c r="I4887" s="7" t="n">
        <f aca="false">YEAR(B4887)</f>
        <v>2014</v>
      </c>
      <c r="J4887" s="0" t="str">
        <f aca="false">I4887&amp;"-Q"&amp;ROUNDUP(MONTH(B4887)/3,0)</f>
        <v>2014-Q4</v>
      </c>
    </row>
    <row r="4888" customFormat="false" ht="15" hidden="false" customHeight="false" outlineLevel="0" collapsed="false">
      <c r="A4888" s="0" t="s">
        <v>2501</v>
      </c>
      <c r="B4888" s="6" t="n">
        <v>42702</v>
      </c>
      <c r="C4888" s="7" t="s">
        <v>29</v>
      </c>
      <c r="D4888" s="7" t="s">
        <v>230</v>
      </c>
      <c r="E4888" s="7" t="s">
        <v>31</v>
      </c>
      <c r="F4888" s="0" t="n">
        <v>182.67</v>
      </c>
      <c r="G4888" s="0" t="n">
        <v>52.9743</v>
      </c>
      <c r="H4888" s="0" t="n">
        <v>0</v>
      </c>
      <c r="I4888" s="7" t="n">
        <f aca="false">YEAR(B4888)</f>
        <v>2016</v>
      </c>
      <c r="J4888" s="0" t="str">
        <f aca="false">I4888&amp;"-Q"&amp;ROUNDUP(MONTH(B4888)/3,0)</f>
        <v>2016-Q4</v>
      </c>
    </row>
    <row r="4889" customFormat="false" ht="15" hidden="false" customHeight="false" outlineLevel="0" collapsed="false">
      <c r="A4889" s="0" t="s">
        <v>2501</v>
      </c>
      <c r="B4889" s="6" t="n">
        <v>42702</v>
      </c>
      <c r="C4889" s="7" t="s">
        <v>29</v>
      </c>
      <c r="D4889" s="7" t="s">
        <v>230</v>
      </c>
      <c r="E4889" s="7" t="s">
        <v>39</v>
      </c>
      <c r="F4889" s="0" t="n">
        <v>101.7</v>
      </c>
      <c r="G4889" s="0" t="n">
        <v>6.102</v>
      </c>
      <c r="H4889" s="0" t="n">
        <v>0</v>
      </c>
      <c r="I4889" s="7" t="n">
        <f aca="false">YEAR(B4889)</f>
        <v>2016</v>
      </c>
      <c r="J4889" s="0" t="str">
        <f aca="false">I4889&amp;"-Q"&amp;ROUNDUP(MONTH(B4889)/3,0)</f>
        <v>2016-Q4</v>
      </c>
    </row>
    <row r="4890" customFormat="false" ht="15" hidden="false" customHeight="false" outlineLevel="0" collapsed="false">
      <c r="A4890" s="0" t="s">
        <v>2501</v>
      </c>
      <c r="B4890" s="6" t="n">
        <v>42702</v>
      </c>
      <c r="C4890" s="7" t="s">
        <v>29</v>
      </c>
      <c r="D4890" s="7" t="s">
        <v>230</v>
      </c>
      <c r="E4890" s="7" t="s">
        <v>35</v>
      </c>
      <c r="F4890" s="0" t="n">
        <v>1126.02</v>
      </c>
      <c r="G4890" s="0" t="n">
        <v>56.301</v>
      </c>
      <c r="H4890" s="0" t="n">
        <v>0</v>
      </c>
      <c r="I4890" s="7" t="n">
        <f aca="false">YEAR(B4890)</f>
        <v>2016</v>
      </c>
      <c r="J4890" s="0" t="str">
        <f aca="false">I4890&amp;"-Q"&amp;ROUNDUP(MONTH(B4890)/3,0)</f>
        <v>2016-Q4</v>
      </c>
    </row>
    <row r="4891" customFormat="false" ht="15" hidden="false" customHeight="false" outlineLevel="0" collapsed="false">
      <c r="A4891" s="0" t="s">
        <v>2501</v>
      </c>
      <c r="B4891" s="6" t="n">
        <v>42702</v>
      </c>
      <c r="C4891" s="7" t="s">
        <v>29</v>
      </c>
      <c r="D4891" s="7" t="s">
        <v>230</v>
      </c>
      <c r="E4891" s="7" t="s">
        <v>35</v>
      </c>
      <c r="F4891" s="0" t="n">
        <v>1263.3</v>
      </c>
      <c r="G4891" s="0" t="n">
        <v>315.825</v>
      </c>
      <c r="H4891" s="0" t="n">
        <v>0</v>
      </c>
      <c r="I4891" s="7" t="n">
        <f aca="false">YEAR(B4891)</f>
        <v>2016</v>
      </c>
      <c r="J4891" s="0" t="str">
        <f aca="false">I4891&amp;"-Q"&amp;ROUNDUP(MONTH(B4891)/3,0)</f>
        <v>2016-Q4</v>
      </c>
    </row>
    <row r="4892" customFormat="false" ht="15" hidden="false" customHeight="false" outlineLevel="0" collapsed="false">
      <c r="A4892" s="0" t="s">
        <v>2502</v>
      </c>
      <c r="B4892" s="6" t="n">
        <v>42727</v>
      </c>
      <c r="C4892" s="7" t="s">
        <v>33</v>
      </c>
      <c r="D4892" s="7" t="s">
        <v>43</v>
      </c>
      <c r="E4892" s="7" t="s">
        <v>35</v>
      </c>
      <c r="F4892" s="0" t="n">
        <v>8.82</v>
      </c>
      <c r="G4892" s="0" t="n">
        <v>2.5578</v>
      </c>
      <c r="H4892" s="0" t="n">
        <v>0</v>
      </c>
      <c r="I4892" s="7" t="n">
        <f aca="false">YEAR(B4892)</f>
        <v>2016</v>
      </c>
      <c r="J4892" s="0" t="str">
        <f aca="false">I4892&amp;"-Q"&amp;ROUNDUP(MONTH(B4892)/3,0)</f>
        <v>2016-Q4</v>
      </c>
    </row>
    <row r="4893" customFormat="false" ht="15" hidden="false" customHeight="false" outlineLevel="0" collapsed="false">
      <c r="A4893" s="0" t="s">
        <v>2502</v>
      </c>
      <c r="B4893" s="6" t="n">
        <v>42727</v>
      </c>
      <c r="C4893" s="7" t="s">
        <v>33</v>
      </c>
      <c r="D4893" s="7" t="s">
        <v>43</v>
      </c>
      <c r="E4893" s="7" t="s">
        <v>35</v>
      </c>
      <c r="F4893" s="0" t="n">
        <v>37.94</v>
      </c>
      <c r="G4893" s="0" t="n">
        <v>18.2112</v>
      </c>
      <c r="H4893" s="0" t="n">
        <v>0</v>
      </c>
      <c r="I4893" s="7" t="n">
        <f aca="false">YEAR(B4893)</f>
        <v>2016</v>
      </c>
      <c r="J4893" s="0" t="str">
        <f aca="false">I4893&amp;"-Q"&amp;ROUNDUP(MONTH(B4893)/3,0)</f>
        <v>2016-Q4</v>
      </c>
    </row>
    <row r="4894" customFormat="false" ht="15" hidden="false" customHeight="false" outlineLevel="0" collapsed="false">
      <c r="A4894" s="0" t="s">
        <v>2502</v>
      </c>
      <c r="B4894" s="6" t="n">
        <v>42727</v>
      </c>
      <c r="C4894" s="7" t="s">
        <v>33</v>
      </c>
      <c r="D4894" s="7" t="s">
        <v>43</v>
      </c>
      <c r="E4894" s="7" t="s">
        <v>35</v>
      </c>
      <c r="F4894" s="0" t="n">
        <v>4.2</v>
      </c>
      <c r="G4894" s="0" t="n">
        <v>1.176</v>
      </c>
      <c r="H4894" s="0" t="n">
        <v>0</v>
      </c>
      <c r="I4894" s="7" t="n">
        <f aca="false">YEAR(B4894)</f>
        <v>2016</v>
      </c>
      <c r="J4894" s="0" t="str">
        <f aca="false">I4894&amp;"-Q"&amp;ROUNDUP(MONTH(B4894)/3,0)</f>
        <v>2016-Q4</v>
      </c>
    </row>
    <row r="4895" customFormat="false" ht="15" hidden="false" customHeight="false" outlineLevel="0" collapsed="false">
      <c r="A4895" s="0" t="s">
        <v>2502</v>
      </c>
      <c r="B4895" s="6" t="n">
        <v>42727</v>
      </c>
      <c r="C4895" s="7" t="s">
        <v>33</v>
      </c>
      <c r="D4895" s="7" t="s">
        <v>43</v>
      </c>
      <c r="E4895" s="7" t="s">
        <v>35</v>
      </c>
      <c r="F4895" s="0" t="n">
        <v>227.28</v>
      </c>
      <c r="G4895" s="0" t="n">
        <v>2.2728</v>
      </c>
      <c r="H4895" s="0" t="n">
        <v>0</v>
      </c>
      <c r="I4895" s="7" t="n">
        <f aca="false">YEAR(B4895)</f>
        <v>2016</v>
      </c>
      <c r="J4895" s="0" t="str">
        <f aca="false">I4895&amp;"-Q"&amp;ROUNDUP(MONTH(B4895)/3,0)</f>
        <v>2016-Q4</v>
      </c>
    </row>
    <row r="4896" customFormat="false" ht="15" hidden="false" customHeight="false" outlineLevel="0" collapsed="false">
      <c r="A4896" s="0" t="s">
        <v>2502</v>
      </c>
      <c r="B4896" s="6" t="n">
        <v>42727</v>
      </c>
      <c r="C4896" s="7" t="s">
        <v>33</v>
      </c>
      <c r="D4896" s="7" t="s">
        <v>43</v>
      </c>
      <c r="E4896" s="7" t="s">
        <v>35</v>
      </c>
      <c r="F4896" s="0" t="n">
        <v>47.9</v>
      </c>
      <c r="G4896" s="0" t="n">
        <v>22.992</v>
      </c>
      <c r="H4896" s="0" t="n">
        <v>0</v>
      </c>
      <c r="I4896" s="7" t="n">
        <f aca="false">YEAR(B4896)</f>
        <v>2016</v>
      </c>
      <c r="J4896" s="0" t="str">
        <f aca="false">I4896&amp;"-Q"&amp;ROUNDUP(MONTH(B4896)/3,0)</f>
        <v>2016-Q4</v>
      </c>
    </row>
    <row r="4897" customFormat="false" ht="15" hidden="false" customHeight="false" outlineLevel="0" collapsed="false">
      <c r="A4897" s="0" t="s">
        <v>2502</v>
      </c>
      <c r="B4897" s="6" t="n">
        <v>42727</v>
      </c>
      <c r="C4897" s="7" t="s">
        <v>33</v>
      </c>
      <c r="D4897" s="7" t="s">
        <v>43</v>
      </c>
      <c r="E4897" s="7" t="s">
        <v>35</v>
      </c>
      <c r="F4897" s="0" t="n">
        <v>61.96</v>
      </c>
      <c r="G4897" s="0" t="n">
        <v>30.3604</v>
      </c>
      <c r="H4897" s="0" t="n">
        <v>0</v>
      </c>
      <c r="I4897" s="7" t="n">
        <f aca="false">YEAR(B4897)</f>
        <v>2016</v>
      </c>
      <c r="J4897" s="0" t="str">
        <f aca="false">I4897&amp;"-Q"&amp;ROUNDUP(MONTH(B4897)/3,0)</f>
        <v>2016-Q4</v>
      </c>
    </row>
    <row r="4898" customFormat="false" ht="15" hidden="false" customHeight="false" outlineLevel="0" collapsed="false">
      <c r="A4898" s="0" t="s">
        <v>2502</v>
      </c>
      <c r="B4898" s="6" t="n">
        <v>42727</v>
      </c>
      <c r="C4898" s="7" t="s">
        <v>33</v>
      </c>
      <c r="D4898" s="7" t="s">
        <v>43</v>
      </c>
      <c r="E4898" s="7" t="s">
        <v>35</v>
      </c>
      <c r="F4898" s="0" t="n">
        <v>1117.92</v>
      </c>
      <c r="G4898" s="0" t="n">
        <v>55.896</v>
      </c>
      <c r="H4898" s="0" t="n">
        <v>0</v>
      </c>
      <c r="I4898" s="7" t="n">
        <f aca="false">YEAR(B4898)</f>
        <v>2016</v>
      </c>
      <c r="J4898" s="0" t="str">
        <f aca="false">I4898&amp;"-Q"&amp;ROUNDUP(MONTH(B4898)/3,0)</f>
        <v>2016-Q4</v>
      </c>
    </row>
    <row r="4899" customFormat="false" ht="15" hidden="false" customHeight="false" outlineLevel="0" collapsed="false">
      <c r="A4899" s="0" t="s">
        <v>2503</v>
      </c>
      <c r="B4899" s="6" t="n">
        <v>41927</v>
      </c>
      <c r="C4899" s="7" t="s">
        <v>55</v>
      </c>
      <c r="D4899" s="7" t="s">
        <v>116</v>
      </c>
      <c r="E4899" s="7" t="s">
        <v>31</v>
      </c>
      <c r="F4899" s="0" t="n">
        <v>183.372</v>
      </c>
      <c r="G4899" s="0" t="n">
        <v>-7.8588</v>
      </c>
      <c r="H4899" s="0" t="n">
        <v>0.3</v>
      </c>
      <c r="I4899" s="7" t="n">
        <f aca="false">YEAR(B4899)</f>
        <v>2014</v>
      </c>
      <c r="J4899" s="0" t="str">
        <f aca="false">I4899&amp;"-Q"&amp;ROUNDUP(MONTH(B4899)/3,0)</f>
        <v>2014-Q4</v>
      </c>
    </row>
    <row r="4900" customFormat="false" ht="15" hidden="false" customHeight="false" outlineLevel="0" collapsed="false">
      <c r="A4900" s="0" t="s">
        <v>2503</v>
      </c>
      <c r="B4900" s="6" t="n">
        <v>41927</v>
      </c>
      <c r="C4900" s="7" t="s">
        <v>55</v>
      </c>
      <c r="D4900" s="7" t="s">
        <v>116</v>
      </c>
      <c r="E4900" s="7" t="s">
        <v>35</v>
      </c>
      <c r="F4900" s="0" t="n">
        <v>7.968</v>
      </c>
      <c r="G4900" s="0" t="n">
        <v>2.8884</v>
      </c>
      <c r="H4900" s="0" t="n">
        <v>0.2</v>
      </c>
      <c r="I4900" s="7" t="n">
        <f aca="false">YEAR(B4900)</f>
        <v>2014</v>
      </c>
      <c r="J4900" s="0" t="str">
        <f aca="false">I4900&amp;"-Q"&amp;ROUNDUP(MONTH(B4900)/3,0)</f>
        <v>2014-Q4</v>
      </c>
    </row>
    <row r="4901" customFormat="false" ht="15" hidden="false" customHeight="false" outlineLevel="0" collapsed="false">
      <c r="A4901" s="0" t="s">
        <v>2504</v>
      </c>
      <c r="B4901" s="6" t="n">
        <v>42604</v>
      </c>
      <c r="C4901" s="7" t="s">
        <v>33</v>
      </c>
      <c r="D4901" s="7" t="s">
        <v>102</v>
      </c>
      <c r="E4901" s="7" t="s">
        <v>35</v>
      </c>
      <c r="F4901" s="0" t="n">
        <v>26.352</v>
      </c>
      <c r="G4901" s="0" t="n">
        <v>-18.4464</v>
      </c>
      <c r="H4901" s="0" t="n">
        <v>0.7</v>
      </c>
      <c r="I4901" s="7" t="n">
        <f aca="false">YEAR(B4901)</f>
        <v>2016</v>
      </c>
      <c r="J4901" s="0" t="str">
        <f aca="false">I4901&amp;"-Q"&amp;ROUNDUP(MONTH(B4901)/3,0)</f>
        <v>2016-Q3</v>
      </c>
    </row>
    <row r="4902" customFormat="false" ht="15" hidden="false" customHeight="false" outlineLevel="0" collapsed="false">
      <c r="A4902" s="0" t="s">
        <v>2505</v>
      </c>
      <c r="B4902" s="6" t="n">
        <v>43086</v>
      </c>
      <c r="C4902" s="7" t="s">
        <v>33</v>
      </c>
      <c r="D4902" s="7" t="s">
        <v>34</v>
      </c>
      <c r="E4902" s="7" t="s">
        <v>35</v>
      </c>
      <c r="F4902" s="0" t="n">
        <v>481.32</v>
      </c>
      <c r="G4902" s="0" t="n">
        <v>125.1432</v>
      </c>
      <c r="H4902" s="0" t="n">
        <v>0</v>
      </c>
      <c r="I4902" s="7" t="n">
        <f aca="false">YEAR(B4902)</f>
        <v>2017</v>
      </c>
      <c r="J4902" s="0" t="str">
        <f aca="false">I4902&amp;"-Q"&amp;ROUNDUP(MONTH(B4902)/3,0)</f>
        <v>2017-Q4</v>
      </c>
    </row>
    <row r="4903" customFormat="false" ht="15" hidden="false" customHeight="false" outlineLevel="0" collapsed="false">
      <c r="A4903" s="0" t="s">
        <v>2505</v>
      </c>
      <c r="B4903" s="6" t="n">
        <v>43086</v>
      </c>
      <c r="C4903" s="7" t="s">
        <v>33</v>
      </c>
      <c r="D4903" s="7" t="s">
        <v>34</v>
      </c>
      <c r="E4903" s="7" t="s">
        <v>35</v>
      </c>
      <c r="F4903" s="0" t="n">
        <v>13.98</v>
      </c>
      <c r="G4903" s="0" t="n">
        <v>3.6348</v>
      </c>
      <c r="H4903" s="0" t="n">
        <v>0</v>
      </c>
      <c r="I4903" s="7" t="n">
        <f aca="false">YEAR(B4903)</f>
        <v>2017</v>
      </c>
      <c r="J4903" s="0" t="str">
        <f aca="false">I4903&amp;"-Q"&amp;ROUNDUP(MONTH(B4903)/3,0)</f>
        <v>2017-Q4</v>
      </c>
    </row>
    <row r="4904" customFormat="false" ht="15" hidden="false" customHeight="false" outlineLevel="0" collapsed="false">
      <c r="A4904" s="0" t="s">
        <v>2506</v>
      </c>
      <c r="B4904" s="6" t="n">
        <v>42801</v>
      </c>
      <c r="C4904" s="7" t="s">
        <v>55</v>
      </c>
      <c r="D4904" s="7" t="s">
        <v>76</v>
      </c>
      <c r="E4904" s="7" t="s">
        <v>35</v>
      </c>
      <c r="F4904" s="0" t="n">
        <v>25.92</v>
      </c>
      <c r="G4904" s="0" t="n">
        <v>9.072</v>
      </c>
      <c r="H4904" s="0" t="n">
        <v>0.2</v>
      </c>
      <c r="I4904" s="7" t="n">
        <f aca="false">YEAR(B4904)</f>
        <v>2017</v>
      </c>
      <c r="J4904" s="0" t="str">
        <f aca="false">I4904&amp;"-Q"&amp;ROUNDUP(MONTH(B4904)/3,0)</f>
        <v>2017-Q1</v>
      </c>
    </row>
    <row r="4905" customFormat="false" ht="15" hidden="false" customHeight="false" outlineLevel="0" collapsed="false">
      <c r="A4905" s="0" t="s">
        <v>2506</v>
      </c>
      <c r="B4905" s="6" t="n">
        <v>42801</v>
      </c>
      <c r="C4905" s="7" t="s">
        <v>55</v>
      </c>
      <c r="D4905" s="7" t="s">
        <v>76</v>
      </c>
      <c r="E4905" s="7" t="s">
        <v>35</v>
      </c>
      <c r="F4905" s="0" t="n">
        <v>91.59</v>
      </c>
      <c r="G4905" s="0" t="n">
        <v>42.1314</v>
      </c>
      <c r="H4905" s="0" t="n">
        <v>0</v>
      </c>
      <c r="I4905" s="7" t="n">
        <f aca="false">YEAR(B4905)</f>
        <v>2017</v>
      </c>
      <c r="J4905" s="0" t="str">
        <f aca="false">I4905&amp;"-Q"&amp;ROUNDUP(MONTH(B4905)/3,0)</f>
        <v>2017-Q1</v>
      </c>
    </row>
    <row r="4906" customFormat="false" ht="15" hidden="false" customHeight="false" outlineLevel="0" collapsed="false">
      <c r="A4906" s="0" t="s">
        <v>2507</v>
      </c>
      <c r="B4906" s="6" t="n">
        <v>41974</v>
      </c>
      <c r="C4906" s="7" t="s">
        <v>45</v>
      </c>
      <c r="D4906" s="7" t="s">
        <v>46</v>
      </c>
      <c r="E4906" s="7" t="s">
        <v>31</v>
      </c>
      <c r="F4906" s="0" t="n">
        <v>674.058</v>
      </c>
      <c r="G4906" s="0" t="n">
        <v>-19.2588</v>
      </c>
      <c r="H4906" s="0" t="n">
        <v>0.3</v>
      </c>
      <c r="I4906" s="7" t="n">
        <f aca="false">YEAR(B4906)</f>
        <v>2014</v>
      </c>
      <c r="J4906" s="0" t="str">
        <f aca="false">I4906&amp;"-Q"&amp;ROUNDUP(MONTH(B4906)/3,0)</f>
        <v>2014-Q4</v>
      </c>
    </row>
    <row r="4907" customFormat="false" ht="15" hidden="false" customHeight="false" outlineLevel="0" collapsed="false">
      <c r="A4907" s="0" t="s">
        <v>2508</v>
      </c>
      <c r="B4907" s="6" t="n">
        <v>41926</v>
      </c>
      <c r="C4907" s="7" t="s">
        <v>55</v>
      </c>
      <c r="D4907" s="7" t="s">
        <v>482</v>
      </c>
      <c r="E4907" s="7" t="s">
        <v>35</v>
      </c>
      <c r="F4907" s="0" t="n">
        <v>22.92</v>
      </c>
      <c r="G4907" s="0" t="n">
        <v>11.0016</v>
      </c>
      <c r="H4907" s="0" t="n">
        <v>0</v>
      </c>
      <c r="I4907" s="7" t="n">
        <f aca="false">YEAR(B4907)</f>
        <v>2014</v>
      </c>
      <c r="J4907" s="0" t="str">
        <f aca="false">I4907&amp;"-Q"&amp;ROUNDUP(MONTH(B4907)/3,0)</f>
        <v>2014-Q4</v>
      </c>
    </row>
    <row r="4908" customFormat="false" ht="15" hidden="false" customHeight="false" outlineLevel="0" collapsed="false">
      <c r="A4908" s="0" t="s">
        <v>2508</v>
      </c>
      <c r="B4908" s="6" t="n">
        <v>41926</v>
      </c>
      <c r="C4908" s="7" t="s">
        <v>55</v>
      </c>
      <c r="D4908" s="7" t="s">
        <v>482</v>
      </c>
      <c r="E4908" s="7" t="s">
        <v>35</v>
      </c>
      <c r="F4908" s="0" t="n">
        <v>269.9</v>
      </c>
      <c r="G4908" s="0" t="n">
        <v>16.194</v>
      </c>
      <c r="H4908" s="0" t="n">
        <v>0</v>
      </c>
      <c r="I4908" s="7" t="n">
        <f aca="false">YEAR(B4908)</f>
        <v>2014</v>
      </c>
      <c r="J4908" s="0" t="str">
        <f aca="false">I4908&amp;"-Q"&amp;ROUNDUP(MONTH(B4908)/3,0)</f>
        <v>2014-Q4</v>
      </c>
    </row>
    <row r="4909" customFormat="false" ht="15" hidden="false" customHeight="false" outlineLevel="0" collapsed="false">
      <c r="A4909" s="0" t="s">
        <v>2509</v>
      </c>
      <c r="B4909" s="6" t="n">
        <v>41961</v>
      </c>
      <c r="C4909" s="7" t="s">
        <v>55</v>
      </c>
      <c r="D4909" s="7" t="s">
        <v>116</v>
      </c>
      <c r="E4909" s="7" t="s">
        <v>35</v>
      </c>
      <c r="F4909" s="0" t="n">
        <v>11.808</v>
      </c>
      <c r="G4909" s="0" t="n">
        <v>-8.6592</v>
      </c>
      <c r="H4909" s="0" t="n">
        <v>0.7</v>
      </c>
      <c r="I4909" s="7" t="n">
        <f aca="false">YEAR(B4909)</f>
        <v>2014</v>
      </c>
      <c r="J4909" s="0" t="str">
        <f aca="false">I4909&amp;"-Q"&amp;ROUNDUP(MONTH(B4909)/3,0)</f>
        <v>2014-Q4</v>
      </c>
    </row>
    <row r="4910" customFormat="false" ht="15" hidden="false" customHeight="false" outlineLevel="0" collapsed="false">
      <c r="A4910" s="0" t="s">
        <v>2509</v>
      </c>
      <c r="B4910" s="6" t="n">
        <v>41961</v>
      </c>
      <c r="C4910" s="7" t="s">
        <v>55</v>
      </c>
      <c r="D4910" s="7" t="s">
        <v>116</v>
      </c>
      <c r="E4910" s="7" t="s">
        <v>39</v>
      </c>
      <c r="F4910" s="0" t="n">
        <v>9.588</v>
      </c>
      <c r="G4910" s="0" t="n">
        <v>-2.0774</v>
      </c>
      <c r="H4910" s="0" t="n">
        <v>0.4</v>
      </c>
      <c r="I4910" s="7" t="n">
        <f aca="false">YEAR(B4910)</f>
        <v>2014</v>
      </c>
      <c r="J4910" s="0" t="str">
        <f aca="false">I4910&amp;"-Q"&amp;ROUNDUP(MONTH(B4910)/3,0)</f>
        <v>2014-Q4</v>
      </c>
    </row>
    <row r="4911" customFormat="false" ht="15" hidden="false" customHeight="false" outlineLevel="0" collapsed="false">
      <c r="A4911" s="0" t="s">
        <v>2510</v>
      </c>
      <c r="B4911" s="6" t="n">
        <v>42749</v>
      </c>
      <c r="C4911" s="7" t="s">
        <v>29</v>
      </c>
      <c r="D4911" s="7" t="s">
        <v>87</v>
      </c>
      <c r="E4911" s="7" t="s">
        <v>35</v>
      </c>
      <c r="F4911" s="0" t="n">
        <v>18.336</v>
      </c>
      <c r="G4911" s="0" t="n">
        <v>6.6468</v>
      </c>
      <c r="H4911" s="0" t="n">
        <v>0.2</v>
      </c>
      <c r="I4911" s="7" t="n">
        <f aca="false">YEAR(B4911)</f>
        <v>2017</v>
      </c>
      <c r="J4911" s="0" t="str">
        <f aca="false">I4911&amp;"-Q"&amp;ROUNDUP(MONTH(B4911)/3,0)</f>
        <v>2017-Q1</v>
      </c>
    </row>
    <row r="4912" customFormat="false" ht="15" hidden="false" customHeight="false" outlineLevel="0" collapsed="false">
      <c r="A4912" s="0" t="s">
        <v>2510</v>
      </c>
      <c r="B4912" s="6" t="n">
        <v>42749</v>
      </c>
      <c r="C4912" s="7" t="s">
        <v>29</v>
      </c>
      <c r="D4912" s="7" t="s">
        <v>87</v>
      </c>
      <c r="E4912" s="7" t="s">
        <v>35</v>
      </c>
      <c r="F4912" s="0" t="n">
        <v>36.288</v>
      </c>
      <c r="G4912" s="0" t="n">
        <v>12.7008</v>
      </c>
      <c r="H4912" s="0" t="n">
        <v>0.2</v>
      </c>
      <c r="I4912" s="7" t="n">
        <f aca="false">YEAR(B4912)</f>
        <v>2017</v>
      </c>
      <c r="J4912" s="0" t="str">
        <f aca="false">I4912&amp;"-Q"&amp;ROUNDUP(MONTH(B4912)/3,0)</f>
        <v>2017-Q1</v>
      </c>
    </row>
    <row r="4913" customFormat="false" ht="15" hidden="false" customHeight="false" outlineLevel="0" collapsed="false">
      <c r="A4913" s="0" t="s">
        <v>2510</v>
      </c>
      <c r="B4913" s="6" t="n">
        <v>42749</v>
      </c>
      <c r="C4913" s="7" t="s">
        <v>29</v>
      </c>
      <c r="D4913" s="7" t="s">
        <v>87</v>
      </c>
      <c r="E4913" s="7" t="s">
        <v>39</v>
      </c>
      <c r="F4913" s="0" t="n">
        <v>111.984</v>
      </c>
      <c r="G4913" s="0" t="n">
        <v>6.999</v>
      </c>
      <c r="H4913" s="0" t="n">
        <v>0.2</v>
      </c>
      <c r="I4913" s="7" t="n">
        <f aca="false">YEAR(B4913)</f>
        <v>2017</v>
      </c>
      <c r="J4913" s="0" t="str">
        <f aca="false">I4913&amp;"-Q"&amp;ROUNDUP(MONTH(B4913)/3,0)</f>
        <v>2017-Q1</v>
      </c>
    </row>
    <row r="4914" customFormat="false" ht="15" hidden="false" customHeight="false" outlineLevel="0" collapsed="false">
      <c r="A4914" s="0" t="s">
        <v>2510</v>
      </c>
      <c r="B4914" s="6" t="n">
        <v>42749</v>
      </c>
      <c r="C4914" s="7" t="s">
        <v>29</v>
      </c>
      <c r="D4914" s="7" t="s">
        <v>87</v>
      </c>
      <c r="E4914" s="7" t="s">
        <v>35</v>
      </c>
      <c r="F4914" s="0" t="n">
        <v>5.97</v>
      </c>
      <c r="G4914" s="0" t="n">
        <v>-4.577</v>
      </c>
      <c r="H4914" s="0" t="n">
        <v>0.7</v>
      </c>
      <c r="I4914" s="7" t="n">
        <f aca="false">YEAR(B4914)</f>
        <v>2017</v>
      </c>
      <c r="J4914" s="0" t="str">
        <f aca="false">I4914&amp;"-Q"&amp;ROUNDUP(MONTH(B4914)/3,0)</f>
        <v>2017-Q1</v>
      </c>
    </row>
    <row r="4915" customFormat="false" ht="15" hidden="false" customHeight="false" outlineLevel="0" collapsed="false">
      <c r="A4915" s="0" t="s">
        <v>2510</v>
      </c>
      <c r="B4915" s="6" t="n">
        <v>42749</v>
      </c>
      <c r="C4915" s="7" t="s">
        <v>29</v>
      </c>
      <c r="D4915" s="7" t="s">
        <v>87</v>
      </c>
      <c r="E4915" s="7" t="s">
        <v>35</v>
      </c>
      <c r="F4915" s="0" t="n">
        <v>2.508</v>
      </c>
      <c r="G4915" s="0" t="n">
        <v>-1.8392</v>
      </c>
      <c r="H4915" s="0" t="n">
        <v>0.7</v>
      </c>
      <c r="I4915" s="7" t="n">
        <f aca="false">YEAR(B4915)</f>
        <v>2017</v>
      </c>
      <c r="J4915" s="0" t="str">
        <f aca="false">I4915&amp;"-Q"&amp;ROUNDUP(MONTH(B4915)/3,0)</f>
        <v>2017-Q1</v>
      </c>
    </row>
    <row r="4916" customFormat="false" ht="15" hidden="false" customHeight="false" outlineLevel="0" collapsed="false">
      <c r="A4916" s="0" t="s">
        <v>2511</v>
      </c>
      <c r="B4916" s="6" t="n">
        <v>42271</v>
      </c>
      <c r="C4916" s="7" t="s">
        <v>33</v>
      </c>
      <c r="D4916" s="7" t="s">
        <v>43</v>
      </c>
      <c r="E4916" s="7" t="s">
        <v>35</v>
      </c>
      <c r="F4916" s="0" t="n">
        <v>35.96</v>
      </c>
      <c r="G4916" s="0" t="n">
        <v>10.4284</v>
      </c>
      <c r="H4916" s="0" t="n">
        <v>0</v>
      </c>
      <c r="I4916" s="7" t="n">
        <f aca="false">YEAR(B4916)</f>
        <v>2015</v>
      </c>
      <c r="J4916" s="0" t="str">
        <f aca="false">I4916&amp;"-Q"&amp;ROUNDUP(MONTH(B4916)/3,0)</f>
        <v>2015-Q3</v>
      </c>
    </row>
    <row r="4917" customFormat="false" ht="15" hidden="false" customHeight="false" outlineLevel="0" collapsed="false">
      <c r="A4917" s="0" t="s">
        <v>2511</v>
      </c>
      <c r="B4917" s="6" t="n">
        <v>42271</v>
      </c>
      <c r="C4917" s="7" t="s">
        <v>33</v>
      </c>
      <c r="D4917" s="7" t="s">
        <v>43</v>
      </c>
      <c r="E4917" s="7" t="s">
        <v>35</v>
      </c>
      <c r="F4917" s="0" t="n">
        <v>14.952</v>
      </c>
      <c r="G4917" s="0" t="n">
        <v>5.4201</v>
      </c>
      <c r="H4917" s="0" t="n">
        <v>0.2</v>
      </c>
      <c r="I4917" s="7" t="n">
        <f aca="false">YEAR(B4917)</f>
        <v>2015</v>
      </c>
      <c r="J4917" s="0" t="str">
        <f aca="false">I4917&amp;"-Q"&amp;ROUNDUP(MONTH(B4917)/3,0)</f>
        <v>2015-Q3</v>
      </c>
    </row>
    <row r="4918" customFormat="false" ht="15" hidden="false" customHeight="false" outlineLevel="0" collapsed="false">
      <c r="A4918" s="0" t="s">
        <v>2512</v>
      </c>
      <c r="B4918" s="6" t="n">
        <v>43017</v>
      </c>
      <c r="C4918" s="7" t="s">
        <v>45</v>
      </c>
      <c r="D4918" s="7" t="s">
        <v>46</v>
      </c>
      <c r="E4918" s="7" t="s">
        <v>35</v>
      </c>
      <c r="F4918" s="0" t="n">
        <v>67.144</v>
      </c>
      <c r="G4918" s="0" t="n">
        <v>5.8751</v>
      </c>
      <c r="H4918" s="0" t="n">
        <v>0.2</v>
      </c>
      <c r="I4918" s="7" t="n">
        <f aca="false">YEAR(B4918)</f>
        <v>2017</v>
      </c>
      <c r="J4918" s="0" t="str">
        <f aca="false">I4918&amp;"-Q"&amp;ROUNDUP(MONTH(B4918)/3,0)</f>
        <v>2017-Q4</v>
      </c>
    </row>
    <row r="4919" customFormat="false" ht="15" hidden="false" customHeight="false" outlineLevel="0" collapsed="false">
      <c r="A4919" s="0" t="s">
        <v>2512</v>
      </c>
      <c r="B4919" s="6" t="n">
        <v>43017</v>
      </c>
      <c r="C4919" s="7" t="s">
        <v>45</v>
      </c>
      <c r="D4919" s="7" t="s">
        <v>46</v>
      </c>
      <c r="E4919" s="7" t="s">
        <v>31</v>
      </c>
      <c r="F4919" s="0" t="n">
        <v>254.058</v>
      </c>
      <c r="G4919" s="0" t="n">
        <v>-32.6646</v>
      </c>
      <c r="H4919" s="0" t="n">
        <v>0.3</v>
      </c>
      <c r="I4919" s="7" t="n">
        <f aca="false">YEAR(B4919)</f>
        <v>2017</v>
      </c>
      <c r="J4919" s="0" t="str">
        <f aca="false">I4919&amp;"-Q"&amp;ROUNDUP(MONTH(B4919)/3,0)</f>
        <v>2017-Q4</v>
      </c>
    </row>
    <row r="4920" customFormat="false" ht="15" hidden="false" customHeight="false" outlineLevel="0" collapsed="false">
      <c r="A4920" s="0" t="s">
        <v>2513</v>
      </c>
      <c r="B4920" s="6" t="n">
        <v>42371</v>
      </c>
      <c r="C4920" s="7" t="s">
        <v>55</v>
      </c>
      <c r="D4920" s="7" t="s">
        <v>495</v>
      </c>
      <c r="E4920" s="7" t="s">
        <v>31</v>
      </c>
      <c r="F4920" s="0" t="n">
        <v>173.94</v>
      </c>
      <c r="G4920" s="0" t="n">
        <v>38.2668</v>
      </c>
      <c r="H4920" s="0" t="n">
        <v>0</v>
      </c>
      <c r="I4920" s="7" t="n">
        <f aca="false">YEAR(B4920)</f>
        <v>2016</v>
      </c>
      <c r="J4920" s="0" t="str">
        <f aca="false">I4920&amp;"-Q"&amp;ROUNDUP(MONTH(B4920)/3,0)</f>
        <v>2016-Q1</v>
      </c>
    </row>
    <row r="4921" customFormat="false" ht="15" hidden="false" customHeight="false" outlineLevel="0" collapsed="false">
      <c r="A4921" s="0" t="s">
        <v>2513</v>
      </c>
      <c r="B4921" s="6" t="n">
        <v>42371</v>
      </c>
      <c r="C4921" s="7" t="s">
        <v>55</v>
      </c>
      <c r="D4921" s="7" t="s">
        <v>495</v>
      </c>
      <c r="E4921" s="7" t="s">
        <v>39</v>
      </c>
      <c r="F4921" s="0" t="n">
        <v>231.98</v>
      </c>
      <c r="G4921" s="0" t="n">
        <v>67.2742</v>
      </c>
      <c r="H4921" s="0" t="n">
        <v>0</v>
      </c>
      <c r="I4921" s="7" t="n">
        <f aca="false">YEAR(B4921)</f>
        <v>2016</v>
      </c>
      <c r="J4921" s="0" t="str">
        <f aca="false">I4921&amp;"-Q"&amp;ROUNDUP(MONTH(B4921)/3,0)</f>
        <v>2016-Q1</v>
      </c>
    </row>
    <row r="4922" customFormat="false" ht="15" hidden="false" customHeight="false" outlineLevel="0" collapsed="false">
      <c r="A4922" s="0" t="s">
        <v>2514</v>
      </c>
      <c r="B4922" s="6" t="n">
        <v>42966</v>
      </c>
      <c r="C4922" s="7" t="s">
        <v>45</v>
      </c>
      <c r="D4922" s="7" t="s">
        <v>64</v>
      </c>
      <c r="E4922" s="7" t="s">
        <v>35</v>
      </c>
      <c r="F4922" s="0" t="n">
        <v>2.296</v>
      </c>
      <c r="G4922" s="0" t="n">
        <v>-3.9032</v>
      </c>
      <c r="H4922" s="0" t="n">
        <v>0.8</v>
      </c>
      <c r="I4922" s="7" t="n">
        <f aca="false">YEAR(B4922)</f>
        <v>2017</v>
      </c>
      <c r="J4922" s="0" t="str">
        <f aca="false">I4922&amp;"-Q"&amp;ROUNDUP(MONTH(B4922)/3,0)</f>
        <v>2017-Q3</v>
      </c>
    </row>
    <row r="4923" customFormat="false" ht="15" hidden="false" customHeight="false" outlineLevel="0" collapsed="false">
      <c r="A4923" s="0" t="s">
        <v>2515</v>
      </c>
      <c r="B4923" s="6" t="n">
        <v>43094</v>
      </c>
      <c r="C4923" s="7" t="s">
        <v>29</v>
      </c>
      <c r="D4923" s="7" t="s">
        <v>91</v>
      </c>
      <c r="E4923" s="7" t="s">
        <v>35</v>
      </c>
      <c r="F4923" s="0" t="n">
        <v>96.08</v>
      </c>
      <c r="G4923" s="0" t="n">
        <v>46.1184</v>
      </c>
      <c r="H4923" s="0" t="n">
        <v>0</v>
      </c>
      <c r="I4923" s="7" t="n">
        <f aca="false">YEAR(B4923)</f>
        <v>2017</v>
      </c>
      <c r="J4923" s="0" t="str">
        <f aca="false">I4923&amp;"-Q"&amp;ROUNDUP(MONTH(B4923)/3,0)</f>
        <v>2017-Q4</v>
      </c>
    </row>
    <row r="4924" customFormat="false" ht="15" hidden="false" customHeight="false" outlineLevel="0" collapsed="false">
      <c r="A4924" s="0" t="s">
        <v>2515</v>
      </c>
      <c r="B4924" s="6" t="n">
        <v>43094</v>
      </c>
      <c r="C4924" s="7" t="s">
        <v>29</v>
      </c>
      <c r="D4924" s="7" t="s">
        <v>91</v>
      </c>
      <c r="E4924" s="7" t="s">
        <v>35</v>
      </c>
      <c r="F4924" s="0" t="n">
        <v>3.62</v>
      </c>
      <c r="G4924" s="0" t="n">
        <v>1.1946</v>
      </c>
      <c r="H4924" s="0" t="n">
        <v>0</v>
      </c>
      <c r="I4924" s="7" t="n">
        <f aca="false">YEAR(B4924)</f>
        <v>2017</v>
      </c>
      <c r="J4924" s="0" t="str">
        <f aca="false">I4924&amp;"-Q"&amp;ROUNDUP(MONTH(B4924)/3,0)</f>
        <v>2017-Q4</v>
      </c>
    </row>
    <row r="4925" customFormat="false" ht="15" hidden="false" customHeight="false" outlineLevel="0" collapsed="false">
      <c r="A4925" s="0" t="s">
        <v>2515</v>
      </c>
      <c r="B4925" s="6" t="n">
        <v>43094</v>
      </c>
      <c r="C4925" s="7" t="s">
        <v>29</v>
      </c>
      <c r="D4925" s="7" t="s">
        <v>91</v>
      </c>
      <c r="E4925" s="7" t="s">
        <v>35</v>
      </c>
      <c r="F4925" s="0" t="n">
        <v>629.1</v>
      </c>
      <c r="G4925" s="0" t="n">
        <v>301.968</v>
      </c>
      <c r="H4925" s="0" t="n">
        <v>0</v>
      </c>
      <c r="I4925" s="7" t="n">
        <f aca="false">YEAR(B4925)</f>
        <v>2017</v>
      </c>
      <c r="J4925" s="0" t="str">
        <f aca="false">I4925&amp;"-Q"&amp;ROUNDUP(MONTH(B4925)/3,0)</f>
        <v>2017-Q4</v>
      </c>
    </row>
    <row r="4926" customFormat="false" ht="15" hidden="false" customHeight="false" outlineLevel="0" collapsed="false">
      <c r="A4926" s="0" t="s">
        <v>2515</v>
      </c>
      <c r="B4926" s="6" t="n">
        <v>43094</v>
      </c>
      <c r="C4926" s="7" t="s">
        <v>29</v>
      </c>
      <c r="D4926" s="7" t="s">
        <v>91</v>
      </c>
      <c r="E4926" s="7" t="s">
        <v>39</v>
      </c>
      <c r="F4926" s="0" t="n">
        <v>90.48</v>
      </c>
      <c r="G4926" s="0" t="n">
        <v>23.5248</v>
      </c>
      <c r="H4926" s="0" t="n">
        <v>0</v>
      </c>
      <c r="I4926" s="7" t="n">
        <f aca="false">YEAR(B4926)</f>
        <v>2017</v>
      </c>
      <c r="J4926" s="0" t="str">
        <f aca="false">I4926&amp;"-Q"&amp;ROUNDUP(MONTH(B4926)/3,0)</f>
        <v>2017-Q4</v>
      </c>
    </row>
    <row r="4927" customFormat="false" ht="15" hidden="false" customHeight="false" outlineLevel="0" collapsed="false">
      <c r="A4927" s="0" t="s">
        <v>2516</v>
      </c>
      <c r="B4927" s="6" t="n">
        <v>42988</v>
      </c>
      <c r="C4927" s="7" t="s">
        <v>55</v>
      </c>
      <c r="D4927" s="7" t="s">
        <v>225</v>
      </c>
      <c r="E4927" s="7" t="s">
        <v>35</v>
      </c>
      <c r="F4927" s="0" t="n">
        <v>14.88</v>
      </c>
      <c r="G4927" s="0" t="n">
        <v>3.72</v>
      </c>
      <c r="H4927" s="0" t="n">
        <v>0</v>
      </c>
      <c r="I4927" s="7" t="n">
        <f aca="false">YEAR(B4927)</f>
        <v>2017</v>
      </c>
      <c r="J4927" s="0" t="str">
        <f aca="false">I4927&amp;"-Q"&amp;ROUNDUP(MONTH(B4927)/3,0)</f>
        <v>2017-Q3</v>
      </c>
    </row>
    <row r="4928" customFormat="false" ht="15" hidden="false" customHeight="false" outlineLevel="0" collapsed="false">
      <c r="A4928" s="0" t="s">
        <v>2517</v>
      </c>
      <c r="B4928" s="6" t="n">
        <v>43027</v>
      </c>
      <c r="C4928" s="7" t="s">
        <v>45</v>
      </c>
      <c r="D4928" s="7" t="s">
        <v>64</v>
      </c>
      <c r="E4928" s="7" t="s">
        <v>31</v>
      </c>
      <c r="F4928" s="0" t="n">
        <v>91.275</v>
      </c>
      <c r="G4928" s="0" t="n">
        <v>-67.5435</v>
      </c>
      <c r="H4928" s="0" t="n">
        <v>0.5</v>
      </c>
      <c r="I4928" s="7" t="n">
        <f aca="false">YEAR(B4928)</f>
        <v>2017</v>
      </c>
      <c r="J4928" s="0" t="str">
        <f aca="false">I4928&amp;"-Q"&amp;ROUNDUP(MONTH(B4928)/3,0)</f>
        <v>2017-Q4</v>
      </c>
    </row>
    <row r="4929" customFormat="false" ht="15" hidden="false" customHeight="false" outlineLevel="0" collapsed="false">
      <c r="A4929" s="0" t="s">
        <v>2518</v>
      </c>
      <c r="B4929" s="6" t="n">
        <v>43070</v>
      </c>
      <c r="C4929" s="7" t="s">
        <v>55</v>
      </c>
      <c r="D4929" s="7" t="s">
        <v>154</v>
      </c>
      <c r="E4929" s="7" t="s">
        <v>35</v>
      </c>
      <c r="F4929" s="0" t="n">
        <v>19.44</v>
      </c>
      <c r="G4929" s="0" t="n">
        <v>9.3312</v>
      </c>
      <c r="H4929" s="0" t="n">
        <v>0</v>
      </c>
      <c r="I4929" s="7" t="n">
        <f aca="false">YEAR(B4929)</f>
        <v>2017</v>
      </c>
      <c r="J4929" s="0" t="str">
        <f aca="false">I4929&amp;"-Q"&amp;ROUNDUP(MONTH(B4929)/3,0)</f>
        <v>2017-Q4</v>
      </c>
    </row>
    <row r="4930" customFormat="false" ht="15" hidden="false" customHeight="false" outlineLevel="0" collapsed="false">
      <c r="A4930" s="0" t="s">
        <v>2518</v>
      </c>
      <c r="B4930" s="6" t="n">
        <v>43070</v>
      </c>
      <c r="C4930" s="7" t="s">
        <v>55</v>
      </c>
      <c r="D4930" s="7" t="s">
        <v>154</v>
      </c>
      <c r="E4930" s="7" t="s">
        <v>31</v>
      </c>
      <c r="F4930" s="0" t="n">
        <v>897.15</v>
      </c>
      <c r="G4930" s="0" t="n">
        <v>251.202</v>
      </c>
      <c r="H4930" s="0" t="n">
        <v>0</v>
      </c>
      <c r="I4930" s="7" t="n">
        <f aca="false">YEAR(B4930)</f>
        <v>2017</v>
      </c>
      <c r="J4930" s="0" t="str">
        <f aca="false">I4930&amp;"-Q"&amp;ROUNDUP(MONTH(B4930)/3,0)</f>
        <v>2017-Q4</v>
      </c>
    </row>
    <row r="4931" customFormat="false" ht="15" hidden="false" customHeight="false" outlineLevel="0" collapsed="false">
      <c r="A4931" s="0" t="s">
        <v>2519</v>
      </c>
      <c r="B4931" s="6" t="n">
        <v>41884</v>
      </c>
      <c r="C4931" s="7" t="s">
        <v>55</v>
      </c>
      <c r="D4931" s="7" t="s">
        <v>76</v>
      </c>
      <c r="E4931" s="7" t="s">
        <v>35</v>
      </c>
      <c r="F4931" s="0" t="n">
        <v>57.75</v>
      </c>
      <c r="G4931" s="0" t="n">
        <v>16.17</v>
      </c>
      <c r="H4931" s="0" t="n">
        <v>0</v>
      </c>
      <c r="I4931" s="7" t="n">
        <f aca="false">YEAR(B4931)</f>
        <v>2014</v>
      </c>
      <c r="J4931" s="0" t="str">
        <f aca="false">I4931&amp;"-Q"&amp;ROUNDUP(MONTH(B4931)/3,0)</f>
        <v>2014-Q3</v>
      </c>
    </row>
    <row r="4932" customFormat="false" ht="15" hidden="false" customHeight="false" outlineLevel="0" collapsed="false">
      <c r="A4932" s="0" t="s">
        <v>2519</v>
      </c>
      <c r="B4932" s="6" t="n">
        <v>41884</v>
      </c>
      <c r="C4932" s="7" t="s">
        <v>55</v>
      </c>
      <c r="D4932" s="7" t="s">
        <v>76</v>
      </c>
      <c r="E4932" s="7" t="s">
        <v>35</v>
      </c>
      <c r="F4932" s="0" t="n">
        <v>14.94</v>
      </c>
      <c r="G4932" s="0" t="n">
        <v>7.0218</v>
      </c>
      <c r="H4932" s="0" t="n">
        <v>0</v>
      </c>
      <c r="I4932" s="7" t="n">
        <f aca="false">YEAR(B4932)</f>
        <v>2014</v>
      </c>
      <c r="J4932" s="0" t="str">
        <f aca="false">I4932&amp;"-Q"&amp;ROUNDUP(MONTH(B4932)/3,0)</f>
        <v>2014-Q3</v>
      </c>
    </row>
    <row r="4933" customFormat="false" ht="15" hidden="false" customHeight="false" outlineLevel="0" collapsed="false">
      <c r="A4933" s="0" t="s">
        <v>2520</v>
      </c>
      <c r="B4933" s="6" t="n">
        <v>42819</v>
      </c>
      <c r="C4933" s="7" t="s">
        <v>33</v>
      </c>
      <c r="D4933" s="7" t="s">
        <v>43</v>
      </c>
      <c r="E4933" s="7" t="s">
        <v>35</v>
      </c>
      <c r="F4933" s="0" t="n">
        <v>23.1</v>
      </c>
      <c r="G4933" s="0" t="n">
        <v>6.93</v>
      </c>
      <c r="H4933" s="0" t="n">
        <v>0</v>
      </c>
      <c r="I4933" s="7" t="n">
        <f aca="false">YEAR(B4933)</f>
        <v>2017</v>
      </c>
      <c r="J4933" s="0" t="str">
        <f aca="false">I4933&amp;"-Q"&amp;ROUNDUP(MONTH(B4933)/3,0)</f>
        <v>2017-Q1</v>
      </c>
    </row>
    <row r="4934" customFormat="false" ht="15" hidden="false" customHeight="false" outlineLevel="0" collapsed="false">
      <c r="A4934" s="0" t="s">
        <v>2521</v>
      </c>
      <c r="B4934" s="6" t="n">
        <v>42275</v>
      </c>
      <c r="C4934" s="7" t="s">
        <v>33</v>
      </c>
      <c r="D4934" s="7" t="s">
        <v>109</v>
      </c>
      <c r="E4934" s="7" t="s">
        <v>35</v>
      </c>
      <c r="F4934" s="0" t="n">
        <v>12.536</v>
      </c>
      <c r="G4934" s="0" t="n">
        <v>4.2309</v>
      </c>
      <c r="H4934" s="0" t="n">
        <v>0.2</v>
      </c>
      <c r="I4934" s="7" t="n">
        <f aca="false">YEAR(B4934)</f>
        <v>2015</v>
      </c>
      <c r="J4934" s="0" t="str">
        <f aca="false">I4934&amp;"-Q"&amp;ROUNDUP(MONTH(B4934)/3,0)</f>
        <v>2015-Q3</v>
      </c>
    </row>
    <row r="4935" customFormat="false" ht="15" hidden="false" customHeight="false" outlineLevel="0" collapsed="false">
      <c r="A4935" s="0" t="s">
        <v>2521</v>
      </c>
      <c r="B4935" s="6" t="n">
        <v>42275</v>
      </c>
      <c r="C4935" s="7" t="s">
        <v>33</v>
      </c>
      <c r="D4935" s="7" t="s">
        <v>109</v>
      </c>
      <c r="E4935" s="7" t="s">
        <v>35</v>
      </c>
      <c r="F4935" s="0" t="n">
        <v>1.08</v>
      </c>
      <c r="G4935" s="0" t="n">
        <v>-0.792</v>
      </c>
      <c r="H4935" s="0" t="n">
        <v>0.7</v>
      </c>
      <c r="I4935" s="7" t="n">
        <f aca="false">YEAR(B4935)</f>
        <v>2015</v>
      </c>
      <c r="J4935" s="0" t="str">
        <f aca="false">I4935&amp;"-Q"&amp;ROUNDUP(MONTH(B4935)/3,0)</f>
        <v>2015-Q3</v>
      </c>
    </row>
    <row r="4936" customFormat="false" ht="15" hidden="false" customHeight="false" outlineLevel="0" collapsed="false">
      <c r="A4936" s="0" t="s">
        <v>2521</v>
      </c>
      <c r="B4936" s="6" t="n">
        <v>42275</v>
      </c>
      <c r="C4936" s="7" t="s">
        <v>33</v>
      </c>
      <c r="D4936" s="7" t="s">
        <v>109</v>
      </c>
      <c r="E4936" s="7" t="s">
        <v>35</v>
      </c>
      <c r="F4936" s="0" t="n">
        <v>4.512</v>
      </c>
      <c r="G4936" s="0" t="n">
        <v>0.846</v>
      </c>
      <c r="H4936" s="0" t="n">
        <v>0.2</v>
      </c>
      <c r="I4936" s="7" t="n">
        <f aca="false">YEAR(B4936)</f>
        <v>2015</v>
      </c>
      <c r="J4936" s="0" t="str">
        <f aca="false">I4936&amp;"-Q"&amp;ROUNDUP(MONTH(B4936)/3,0)</f>
        <v>2015-Q3</v>
      </c>
    </row>
    <row r="4937" customFormat="false" ht="15" hidden="false" customHeight="false" outlineLevel="0" collapsed="false">
      <c r="A4937" s="0" t="s">
        <v>2522</v>
      </c>
      <c r="B4937" s="6" t="n">
        <v>42078</v>
      </c>
      <c r="C4937" s="7" t="s">
        <v>33</v>
      </c>
      <c r="D4937" s="7" t="s">
        <v>50</v>
      </c>
      <c r="E4937" s="7" t="s">
        <v>39</v>
      </c>
      <c r="F4937" s="0" t="n">
        <v>16.776</v>
      </c>
      <c r="G4937" s="0" t="n">
        <v>1.6776</v>
      </c>
      <c r="H4937" s="0" t="n">
        <v>0.2</v>
      </c>
      <c r="I4937" s="7" t="n">
        <f aca="false">YEAR(B4937)</f>
        <v>2015</v>
      </c>
      <c r="J4937" s="0" t="str">
        <f aca="false">I4937&amp;"-Q"&amp;ROUNDUP(MONTH(B4937)/3,0)</f>
        <v>2015-Q1</v>
      </c>
    </row>
    <row r="4938" customFormat="false" ht="15" hidden="false" customHeight="false" outlineLevel="0" collapsed="false">
      <c r="A4938" s="0" t="s">
        <v>2523</v>
      </c>
      <c r="B4938" s="6" t="n">
        <v>42741</v>
      </c>
      <c r="C4938" s="7" t="s">
        <v>29</v>
      </c>
      <c r="D4938" s="7" t="s">
        <v>91</v>
      </c>
      <c r="E4938" s="7" t="s">
        <v>35</v>
      </c>
      <c r="F4938" s="0" t="n">
        <v>33.74</v>
      </c>
      <c r="G4938" s="0" t="n">
        <v>15.5204</v>
      </c>
      <c r="H4938" s="0" t="n">
        <v>0</v>
      </c>
      <c r="I4938" s="7" t="n">
        <f aca="false">YEAR(B4938)</f>
        <v>2017</v>
      </c>
      <c r="J4938" s="0" t="str">
        <f aca="false">I4938&amp;"-Q"&amp;ROUNDUP(MONTH(B4938)/3,0)</f>
        <v>2017-Q1</v>
      </c>
    </row>
    <row r="4939" customFormat="false" ht="15" hidden="false" customHeight="false" outlineLevel="0" collapsed="false">
      <c r="A4939" s="0" t="s">
        <v>2524</v>
      </c>
      <c r="B4939" s="6" t="n">
        <v>41652</v>
      </c>
      <c r="C4939" s="7" t="s">
        <v>33</v>
      </c>
      <c r="D4939" s="7" t="s">
        <v>34</v>
      </c>
      <c r="E4939" s="7" t="s">
        <v>35</v>
      </c>
      <c r="F4939" s="0" t="n">
        <v>1325.85</v>
      </c>
      <c r="G4939" s="0" t="n">
        <v>238.653</v>
      </c>
      <c r="H4939" s="0" t="n">
        <v>0</v>
      </c>
      <c r="I4939" s="7" t="n">
        <f aca="false">YEAR(B4939)</f>
        <v>2014</v>
      </c>
      <c r="J4939" s="0" t="str">
        <f aca="false">I4939&amp;"-Q"&amp;ROUNDUP(MONTH(B4939)/3,0)</f>
        <v>2014-Q1</v>
      </c>
    </row>
    <row r="4940" customFormat="false" ht="15" hidden="false" customHeight="false" outlineLevel="0" collapsed="false">
      <c r="A4940" s="0" t="s">
        <v>2524</v>
      </c>
      <c r="B4940" s="6" t="n">
        <v>41652</v>
      </c>
      <c r="C4940" s="7" t="s">
        <v>33</v>
      </c>
      <c r="D4940" s="7" t="s">
        <v>34</v>
      </c>
      <c r="E4940" s="7" t="s">
        <v>31</v>
      </c>
      <c r="F4940" s="0" t="n">
        <v>333.999</v>
      </c>
      <c r="G4940" s="0" t="n">
        <v>3.9294</v>
      </c>
      <c r="H4940" s="0" t="n">
        <v>0.15</v>
      </c>
      <c r="I4940" s="7" t="n">
        <f aca="false">YEAR(B4940)</f>
        <v>2014</v>
      </c>
      <c r="J4940" s="0" t="str">
        <f aca="false">I4940&amp;"-Q"&amp;ROUNDUP(MONTH(B4940)/3,0)</f>
        <v>2014-Q1</v>
      </c>
    </row>
    <row r="4941" customFormat="false" ht="15" hidden="false" customHeight="false" outlineLevel="0" collapsed="false">
      <c r="A4941" s="0" t="s">
        <v>2524</v>
      </c>
      <c r="B4941" s="6" t="n">
        <v>41652</v>
      </c>
      <c r="C4941" s="7" t="s">
        <v>33</v>
      </c>
      <c r="D4941" s="7" t="s">
        <v>34</v>
      </c>
      <c r="E4941" s="7" t="s">
        <v>35</v>
      </c>
      <c r="F4941" s="0" t="n">
        <v>19.9</v>
      </c>
      <c r="G4941" s="0" t="n">
        <v>6.567</v>
      </c>
      <c r="H4941" s="0" t="n">
        <v>0</v>
      </c>
      <c r="I4941" s="7" t="n">
        <f aca="false">YEAR(B4941)</f>
        <v>2014</v>
      </c>
      <c r="J4941" s="0" t="str">
        <f aca="false">I4941&amp;"-Q"&amp;ROUNDUP(MONTH(B4941)/3,0)</f>
        <v>2014-Q1</v>
      </c>
    </row>
    <row r="4942" customFormat="false" ht="15" hidden="false" customHeight="false" outlineLevel="0" collapsed="false">
      <c r="A4942" s="0" t="s">
        <v>2525</v>
      </c>
      <c r="B4942" s="6" t="n">
        <v>42041</v>
      </c>
      <c r="C4942" s="7" t="s">
        <v>55</v>
      </c>
      <c r="D4942" s="7" t="s">
        <v>72</v>
      </c>
      <c r="E4942" s="7" t="s">
        <v>31</v>
      </c>
      <c r="F4942" s="0" t="n">
        <v>1268.82</v>
      </c>
      <c r="G4942" s="0" t="n">
        <v>266.4522</v>
      </c>
      <c r="H4942" s="0" t="n">
        <v>0</v>
      </c>
      <c r="I4942" s="7" t="n">
        <f aca="false">YEAR(B4942)</f>
        <v>2015</v>
      </c>
      <c r="J4942" s="0" t="str">
        <f aca="false">I4942&amp;"-Q"&amp;ROUNDUP(MONTH(B4942)/3,0)</f>
        <v>2015-Q1</v>
      </c>
    </row>
    <row r="4943" customFormat="false" ht="15" hidden="false" customHeight="false" outlineLevel="0" collapsed="false">
      <c r="A4943" s="0" t="s">
        <v>2525</v>
      </c>
      <c r="B4943" s="6" t="n">
        <v>42041</v>
      </c>
      <c r="C4943" s="7" t="s">
        <v>55</v>
      </c>
      <c r="D4943" s="7" t="s">
        <v>72</v>
      </c>
      <c r="E4943" s="7" t="s">
        <v>31</v>
      </c>
      <c r="F4943" s="0" t="n">
        <v>283.92</v>
      </c>
      <c r="G4943" s="0" t="n">
        <v>82.3368</v>
      </c>
      <c r="H4943" s="0" t="n">
        <v>0</v>
      </c>
      <c r="I4943" s="7" t="n">
        <f aca="false">YEAR(B4943)</f>
        <v>2015</v>
      </c>
      <c r="J4943" s="0" t="str">
        <f aca="false">I4943&amp;"-Q"&amp;ROUNDUP(MONTH(B4943)/3,0)</f>
        <v>2015-Q1</v>
      </c>
    </row>
    <row r="4944" customFormat="false" ht="15" hidden="false" customHeight="false" outlineLevel="0" collapsed="false">
      <c r="A4944" s="0" t="s">
        <v>2525</v>
      </c>
      <c r="B4944" s="6" t="n">
        <v>42041</v>
      </c>
      <c r="C4944" s="7" t="s">
        <v>55</v>
      </c>
      <c r="D4944" s="7" t="s">
        <v>72</v>
      </c>
      <c r="E4944" s="7" t="s">
        <v>35</v>
      </c>
      <c r="F4944" s="0" t="n">
        <v>5.68</v>
      </c>
      <c r="G4944" s="0" t="n">
        <v>1.7608</v>
      </c>
      <c r="H4944" s="0" t="n">
        <v>0</v>
      </c>
      <c r="I4944" s="7" t="n">
        <f aca="false">YEAR(B4944)</f>
        <v>2015</v>
      </c>
      <c r="J4944" s="0" t="str">
        <f aca="false">I4944&amp;"-Q"&amp;ROUNDUP(MONTH(B4944)/3,0)</f>
        <v>2015-Q1</v>
      </c>
    </row>
    <row r="4945" customFormat="false" ht="15" hidden="false" customHeight="false" outlineLevel="0" collapsed="false">
      <c r="A4945" s="0" t="s">
        <v>2526</v>
      </c>
      <c r="B4945" s="6" t="n">
        <v>43090</v>
      </c>
      <c r="C4945" s="7" t="s">
        <v>45</v>
      </c>
      <c r="D4945" s="7" t="s">
        <v>74</v>
      </c>
      <c r="E4945" s="7" t="s">
        <v>35</v>
      </c>
      <c r="F4945" s="0" t="n">
        <v>375.34</v>
      </c>
      <c r="G4945" s="0" t="n">
        <v>18.767</v>
      </c>
      <c r="H4945" s="0" t="n">
        <v>0</v>
      </c>
      <c r="I4945" s="7" t="n">
        <f aca="false">YEAR(B4945)</f>
        <v>2017</v>
      </c>
      <c r="J4945" s="0" t="str">
        <f aca="false">I4945&amp;"-Q"&amp;ROUNDUP(MONTH(B4945)/3,0)</f>
        <v>2017-Q4</v>
      </c>
    </row>
    <row r="4946" customFormat="false" ht="15" hidden="false" customHeight="false" outlineLevel="0" collapsed="false">
      <c r="A4946" s="0" t="s">
        <v>2527</v>
      </c>
      <c r="B4946" s="6" t="n">
        <v>42618</v>
      </c>
      <c r="C4946" s="7" t="s">
        <v>33</v>
      </c>
      <c r="D4946" s="7" t="s">
        <v>34</v>
      </c>
      <c r="E4946" s="7" t="s">
        <v>35</v>
      </c>
      <c r="F4946" s="0" t="n">
        <v>96.08</v>
      </c>
      <c r="G4946" s="0" t="n">
        <v>46.1184</v>
      </c>
      <c r="H4946" s="0" t="n">
        <v>0</v>
      </c>
      <c r="I4946" s="7" t="n">
        <f aca="false">YEAR(B4946)</f>
        <v>2016</v>
      </c>
      <c r="J4946" s="0" t="str">
        <f aca="false">I4946&amp;"-Q"&amp;ROUNDUP(MONTH(B4946)/3,0)</f>
        <v>2016-Q3</v>
      </c>
    </row>
    <row r="4947" customFormat="false" ht="15" hidden="false" customHeight="false" outlineLevel="0" collapsed="false">
      <c r="A4947" s="0" t="s">
        <v>2527</v>
      </c>
      <c r="B4947" s="6" t="n">
        <v>42618</v>
      </c>
      <c r="C4947" s="7" t="s">
        <v>33</v>
      </c>
      <c r="D4947" s="7" t="s">
        <v>34</v>
      </c>
      <c r="E4947" s="7" t="s">
        <v>35</v>
      </c>
      <c r="F4947" s="0" t="n">
        <v>11.68</v>
      </c>
      <c r="G4947" s="0" t="n">
        <v>3.942</v>
      </c>
      <c r="H4947" s="0" t="n">
        <v>0.2</v>
      </c>
      <c r="I4947" s="7" t="n">
        <f aca="false">YEAR(B4947)</f>
        <v>2016</v>
      </c>
      <c r="J4947" s="0" t="str">
        <f aca="false">I4947&amp;"-Q"&amp;ROUNDUP(MONTH(B4947)/3,0)</f>
        <v>2016-Q3</v>
      </c>
    </row>
    <row r="4948" customFormat="false" ht="15" hidden="false" customHeight="false" outlineLevel="0" collapsed="false">
      <c r="A4948" s="0" t="s">
        <v>2527</v>
      </c>
      <c r="B4948" s="6" t="n">
        <v>42618</v>
      </c>
      <c r="C4948" s="7" t="s">
        <v>33</v>
      </c>
      <c r="D4948" s="7" t="s">
        <v>34</v>
      </c>
      <c r="E4948" s="7" t="s">
        <v>35</v>
      </c>
      <c r="F4948" s="0" t="n">
        <v>4.36</v>
      </c>
      <c r="G4948" s="0" t="n">
        <v>1.7876</v>
      </c>
      <c r="H4948" s="0" t="n">
        <v>0</v>
      </c>
      <c r="I4948" s="7" t="n">
        <f aca="false">YEAR(B4948)</f>
        <v>2016</v>
      </c>
      <c r="J4948" s="0" t="str">
        <f aca="false">I4948&amp;"-Q"&amp;ROUNDUP(MONTH(B4948)/3,0)</f>
        <v>2016-Q3</v>
      </c>
    </row>
    <row r="4949" customFormat="false" ht="15" hidden="false" customHeight="false" outlineLevel="0" collapsed="false">
      <c r="A4949" s="0" t="s">
        <v>2528</v>
      </c>
      <c r="B4949" s="6" t="n">
        <v>41916</v>
      </c>
      <c r="C4949" s="7" t="s">
        <v>33</v>
      </c>
      <c r="D4949" s="7" t="s">
        <v>43</v>
      </c>
      <c r="E4949" s="7" t="s">
        <v>35</v>
      </c>
      <c r="F4949" s="0" t="n">
        <v>29.24</v>
      </c>
      <c r="G4949" s="0" t="n">
        <v>13.7428</v>
      </c>
      <c r="H4949" s="0" t="n">
        <v>0</v>
      </c>
      <c r="I4949" s="7" t="n">
        <f aca="false">YEAR(B4949)</f>
        <v>2014</v>
      </c>
      <c r="J4949" s="0" t="str">
        <f aca="false">I4949&amp;"-Q"&amp;ROUNDUP(MONTH(B4949)/3,0)</f>
        <v>2014-Q4</v>
      </c>
    </row>
    <row r="4950" customFormat="false" ht="15" hidden="false" customHeight="false" outlineLevel="0" collapsed="false">
      <c r="A4950" s="0" t="s">
        <v>2529</v>
      </c>
      <c r="B4950" s="6" t="n">
        <v>43066</v>
      </c>
      <c r="C4950" s="7" t="s">
        <v>33</v>
      </c>
      <c r="D4950" s="7" t="s">
        <v>34</v>
      </c>
      <c r="E4950" s="7" t="s">
        <v>35</v>
      </c>
      <c r="F4950" s="0" t="n">
        <v>117.488</v>
      </c>
      <c r="G4950" s="0" t="n">
        <v>41.1208</v>
      </c>
      <c r="H4950" s="0" t="n">
        <v>0.2</v>
      </c>
      <c r="I4950" s="7" t="n">
        <f aca="false">YEAR(B4950)</f>
        <v>2017</v>
      </c>
      <c r="J4950" s="0" t="str">
        <f aca="false">I4950&amp;"-Q"&amp;ROUNDUP(MONTH(B4950)/3,0)</f>
        <v>2017-Q4</v>
      </c>
    </row>
    <row r="4951" customFormat="false" ht="15" hidden="false" customHeight="false" outlineLevel="0" collapsed="false">
      <c r="A4951" s="0" t="s">
        <v>2529</v>
      </c>
      <c r="B4951" s="6" t="n">
        <v>43066</v>
      </c>
      <c r="C4951" s="7" t="s">
        <v>33</v>
      </c>
      <c r="D4951" s="7" t="s">
        <v>34</v>
      </c>
      <c r="E4951" s="7" t="s">
        <v>31</v>
      </c>
      <c r="F4951" s="0" t="n">
        <v>18.84</v>
      </c>
      <c r="G4951" s="0" t="n">
        <v>6.0288</v>
      </c>
      <c r="H4951" s="0" t="n">
        <v>0</v>
      </c>
      <c r="I4951" s="7" t="n">
        <f aca="false">YEAR(B4951)</f>
        <v>2017</v>
      </c>
      <c r="J4951" s="0" t="str">
        <f aca="false">I4951&amp;"-Q"&amp;ROUNDUP(MONTH(B4951)/3,0)</f>
        <v>2017-Q4</v>
      </c>
    </row>
    <row r="4952" customFormat="false" ht="15" hidden="false" customHeight="false" outlineLevel="0" collapsed="false">
      <c r="A4952" s="0" t="s">
        <v>2530</v>
      </c>
      <c r="B4952" s="6" t="n">
        <v>42671</v>
      </c>
      <c r="C4952" s="7" t="s">
        <v>55</v>
      </c>
      <c r="D4952" s="7" t="s">
        <v>76</v>
      </c>
      <c r="E4952" s="7" t="s">
        <v>35</v>
      </c>
      <c r="F4952" s="0" t="n">
        <v>12.42</v>
      </c>
      <c r="G4952" s="0" t="n">
        <v>5.2164</v>
      </c>
      <c r="H4952" s="0" t="n">
        <v>0</v>
      </c>
      <c r="I4952" s="7" t="n">
        <f aca="false">YEAR(B4952)</f>
        <v>2016</v>
      </c>
      <c r="J4952" s="0" t="str">
        <f aca="false">I4952&amp;"-Q"&amp;ROUNDUP(MONTH(B4952)/3,0)</f>
        <v>2016-Q4</v>
      </c>
    </row>
    <row r="4953" customFormat="false" ht="15" hidden="false" customHeight="false" outlineLevel="0" collapsed="false">
      <c r="A4953" s="0" t="s">
        <v>2531</v>
      </c>
      <c r="B4953" s="6" t="n">
        <v>42164</v>
      </c>
      <c r="C4953" s="7" t="s">
        <v>45</v>
      </c>
      <c r="D4953" s="7" t="s">
        <v>70</v>
      </c>
      <c r="E4953" s="7" t="s">
        <v>35</v>
      </c>
      <c r="F4953" s="0" t="n">
        <v>12.96</v>
      </c>
      <c r="G4953" s="0" t="n">
        <v>6.2208</v>
      </c>
      <c r="H4953" s="0" t="n">
        <v>0</v>
      </c>
      <c r="I4953" s="7" t="n">
        <f aca="false">YEAR(B4953)</f>
        <v>2015</v>
      </c>
      <c r="J4953" s="0" t="str">
        <f aca="false">I4953&amp;"-Q"&amp;ROUNDUP(MONTH(B4953)/3,0)</f>
        <v>2015-Q2</v>
      </c>
    </row>
    <row r="4954" customFormat="false" ht="15" hidden="false" customHeight="false" outlineLevel="0" collapsed="false">
      <c r="A4954" s="0" t="s">
        <v>2532</v>
      </c>
      <c r="B4954" s="6" t="n">
        <v>43077</v>
      </c>
      <c r="C4954" s="7" t="s">
        <v>33</v>
      </c>
      <c r="D4954" s="7" t="s">
        <v>34</v>
      </c>
      <c r="E4954" s="7" t="s">
        <v>35</v>
      </c>
      <c r="F4954" s="0" t="n">
        <v>69.48</v>
      </c>
      <c r="G4954" s="0" t="n">
        <v>20.844</v>
      </c>
      <c r="H4954" s="0" t="n">
        <v>0</v>
      </c>
      <c r="I4954" s="7" t="n">
        <f aca="false">YEAR(B4954)</f>
        <v>2017</v>
      </c>
      <c r="J4954" s="0" t="str">
        <f aca="false">I4954&amp;"-Q"&amp;ROUNDUP(MONTH(B4954)/3,0)</f>
        <v>2017-Q4</v>
      </c>
    </row>
    <row r="4955" customFormat="false" ht="15" hidden="false" customHeight="false" outlineLevel="0" collapsed="false">
      <c r="A4955" s="0" t="s">
        <v>2533</v>
      </c>
      <c r="B4955" s="6" t="n">
        <v>42079</v>
      </c>
      <c r="C4955" s="7" t="s">
        <v>55</v>
      </c>
      <c r="D4955" s="7" t="s">
        <v>76</v>
      </c>
      <c r="E4955" s="7" t="s">
        <v>39</v>
      </c>
      <c r="F4955" s="0" t="n">
        <v>85.9</v>
      </c>
      <c r="G4955" s="0" t="n">
        <v>2.577</v>
      </c>
      <c r="H4955" s="0" t="n">
        <v>0</v>
      </c>
      <c r="I4955" s="7" t="n">
        <f aca="false">YEAR(B4955)</f>
        <v>2015</v>
      </c>
      <c r="J4955" s="0" t="str">
        <f aca="false">I4955&amp;"-Q"&amp;ROUNDUP(MONTH(B4955)/3,0)</f>
        <v>2015-Q1</v>
      </c>
    </row>
    <row r="4956" customFormat="false" ht="15" hidden="false" customHeight="false" outlineLevel="0" collapsed="false">
      <c r="A4956" s="0" t="s">
        <v>2534</v>
      </c>
      <c r="B4956" s="6" t="n">
        <v>41799</v>
      </c>
      <c r="C4956" s="7" t="s">
        <v>33</v>
      </c>
      <c r="D4956" s="7" t="s">
        <v>248</v>
      </c>
      <c r="E4956" s="7" t="s">
        <v>35</v>
      </c>
      <c r="F4956" s="0" t="n">
        <v>18.06</v>
      </c>
      <c r="G4956" s="0" t="n">
        <v>4.6956</v>
      </c>
      <c r="H4956" s="0" t="n">
        <v>0</v>
      </c>
      <c r="I4956" s="7" t="n">
        <f aca="false">YEAR(B4956)</f>
        <v>2014</v>
      </c>
      <c r="J4956" s="0" t="str">
        <f aca="false">I4956&amp;"-Q"&amp;ROUNDUP(MONTH(B4956)/3,0)</f>
        <v>2014-Q2</v>
      </c>
    </row>
    <row r="4957" customFormat="false" ht="15" hidden="false" customHeight="false" outlineLevel="0" collapsed="false">
      <c r="A4957" s="0" t="s">
        <v>2534</v>
      </c>
      <c r="B4957" s="6" t="n">
        <v>41799</v>
      </c>
      <c r="C4957" s="7" t="s">
        <v>33</v>
      </c>
      <c r="D4957" s="7" t="s">
        <v>248</v>
      </c>
      <c r="E4957" s="7" t="s">
        <v>35</v>
      </c>
      <c r="F4957" s="0" t="n">
        <v>79.14</v>
      </c>
      <c r="G4957" s="0" t="n">
        <v>36.4044</v>
      </c>
      <c r="H4957" s="0" t="n">
        <v>0</v>
      </c>
      <c r="I4957" s="7" t="n">
        <f aca="false">YEAR(B4957)</f>
        <v>2014</v>
      </c>
      <c r="J4957" s="0" t="str">
        <f aca="false">I4957&amp;"-Q"&amp;ROUNDUP(MONTH(B4957)/3,0)</f>
        <v>2014-Q2</v>
      </c>
    </row>
    <row r="4958" customFormat="false" ht="15" hidden="false" customHeight="false" outlineLevel="0" collapsed="false">
      <c r="A4958" s="0" t="s">
        <v>2534</v>
      </c>
      <c r="B4958" s="6" t="n">
        <v>41799</v>
      </c>
      <c r="C4958" s="7" t="s">
        <v>33</v>
      </c>
      <c r="D4958" s="7" t="s">
        <v>248</v>
      </c>
      <c r="E4958" s="7" t="s">
        <v>31</v>
      </c>
      <c r="F4958" s="0" t="n">
        <v>37.4</v>
      </c>
      <c r="G4958" s="0" t="n">
        <v>14.212</v>
      </c>
      <c r="H4958" s="0" t="n">
        <v>0</v>
      </c>
      <c r="I4958" s="7" t="n">
        <f aca="false">YEAR(B4958)</f>
        <v>2014</v>
      </c>
      <c r="J4958" s="0" t="str">
        <f aca="false">I4958&amp;"-Q"&amp;ROUNDUP(MONTH(B4958)/3,0)</f>
        <v>2014-Q2</v>
      </c>
    </row>
    <row r="4959" customFormat="false" ht="15" hidden="false" customHeight="false" outlineLevel="0" collapsed="false">
      <c r="A4959" s="0" t="s">
        <v>2535</v>
      </c>
      <c r="B4959" s="6" t="n">
        <v>42083</v>
      </c>
      <c r="C4959" s="7" t="s">
        <v>45</v>
      </c>
      <c r="D4959" s="7" t="s">
        <v>46</v>
      </c>
      <c r="E4959" s="7" t="s">
        <v>35</v>
      </c>
      <c r="F4959" s="0" t="n">
        <v>2.512</v>
      </c>
      <c r="G4959" s="0" t="n">
        <v>-4.396</v>
      </c>
      <c r="H4959" s="0" t="n">
        <v>0.8</v>
      </c>
      <c r="I4959" s="7" t="n">
        <f aca="false">YEAR(B4959)</f>
        <v>2015</v>
      </c>
      <c r="J4959" s="0" t="str">
        <f aca="false">I4959&amp;"-Q"&amp;ROUNDUP(MONTH(B4959)/3,0)</f>
        <v>2015-Q1</v>
      </c>
    </row>
    <row r="4960" customFormat="false" ht="15" hidden="false" customHeight="false" outlineLevel="0" collapsed="false">
      <c r="A4960" s="0" t="s">
        <v>2535</v>
      </c>
      <c r="B4960" s="6" t="n">
        <v>42083</v>
      </c>
      <c r="C4960" s="7" t="s">
        <v>45</v>
      </c>
      <c r="D4960" s="7" t="s">
        <v>46</v>
      </c>
      <c r="E4960" s="7" t="s">
        <v>35</v>
      </c>
      <c r="F4960" s="0" t="n">
        <v>18.864</v>
      </c>
      <c r="G4960" s="0" t="n">
        <v>6.1308</v>
      </c>
      <c r="H4960" s="0" t="n">
        <v>0.2</v>
      </c>
      <c r="I4960" s="7" t="n">
        <f aca="false">YEAR(B4960)</f>
        <v>2015</v>
      </c>
      <c r="J4960" s="0" t="str">
        <f aca="false">I4960&amp;"-Q"&amp;ROUNDUP(MONTH(B4960)/3,0)</f>
        <v>2015-Q1</v>
      </c>
    </row>
    <row r="4961" customFormat="false" ht="15" hidden="false" customHeight="false" outlineLevel="0" collapsed="false">
      <c r="A4961" s="0" t="s">
        <v>2536</v>
      </c>
      <c r="B4961" s="6" t="n">
        <v>42692</v>
      </c>
      <c r="C4961" s="7" t="s">
        <v>33</v>
      </c>
      <c r="D4961" s="7" t="s">
        <v>34</v>
      </c>
      <c r="E4961" s="7" t="s">
        <v>39</v>
      </c>
      <c r="F4961" s="0" t="n">
        <v>61.192</v>
      </c>
      <c r="G4961" s="0" t="n">
        <v>6.1192</v>
      </c>
      <c r="H4961" s="0" t="n">
        <v>0.2</v>
      </c>
      <c r="I4961" s="7" t="n">
        <f aca="false">YEAR(B4961)</f>
        <v>2016</v>
      </c>
      <c r="J4961" s="0" t="str">
        <f aca="false">I4961&amp;"-Q"&amp;ROUNDUP(MONTH(B4961)/3,0)</f>
        <v>2016-Q4</v>
      </c>
    </row>
    <row r="4962" customFormat="false" ht="15" hidden="false" customHeight="false" outlineLevel="0" collapsed="false">
      <c r="A4962" s="0" t="s">
        <v>2536</v>
      </c>
      <c r="B4962" s="6" t="n">
        <v>42692</v>
      </c>
      <c r="C4962" s="7" t="s">
        <v>33</v>
      </c>
      <c r="D4962" s="7" t="s">
        <v>34</v>
      </c>
      <c r="E4962" s="7" t="s">
        <v>35</v>
      </c>
      <c r="F4962" s="0" t="n">
        <v>67.84</v>
      </c>
      <c r="G4962" s="0" t="n">
        <v>18.3168</v>
      </c>
      <c r="H4962" s="0" t="n">
        <v>0</v>
      </c>
      <c r="I4962" s="7" t="n">
        <f aca="false">YEAR(B4962)</f>
        <v>2016</v>
      </c>
      <c r="J4962" s="0" t="str">
        <f aca="false">I4962&amp;"-Q"&amp;ROUNDUP(MONTH(B4962)/3,0)</f>
        <v>2016-Q4</v>
      </c>
    </row>
    <row r="4963" customFormat="false" ht="15" hidden="false" customHeight="false" outlineLevel="0" collapsed="false">
      <c r="A4963" s="0" t="s">
        <v>2537</v>
      </c>
      <c r="B4963" s="6" t="n">
        <v>41705</v>
      </c>
      <c r="C4963" s="7" t="s">
        <v>33</v>
      </c>
      <c r="D4963" s="7" t="s">
        <v>43</v>
      </c>
      <c r="E4963" s="7" t="s">
        <v>31</v>
      </c>
      <c r="F4963" s="0" t="n">
        <v>48.712</v>
      </c>
      <c r="G4963" s="0" t="n">
        <v>5.4801</v>
      </c>
      <c r="H4963" s="0" t="n">
        <v>0.2</v>
      </c>
      <c r="I4963" s="7" t="n">
        <f aca="false">YEAR(B4963)</f>
        <v>2014</v>
      </c>
      <c r="J4963" s="0" t="str">
        <f aca="false">I4963&amp;"-Q"&amp;ROUNDUP(MONTH(B4963)/3,0)</f>
        <v>2014-Q1</v>
      </c>
    </row>
    <row r="4964" customFormat="false" ht="15" hidden="false" customHeight="false" outlineLevel="0" collapsed="false">
      <c r="A4964" s="0" t="s">
        <v>2537</v>
      </c>
      <c r="B4964" s="6" t="n">
        <v>41705</v>
      </c>
      <c r="C4964" s="7" t="s">
        <v>33</v>
      </c>
      <c r="D4964" s="7" t="s">
        <v>43</v>
      </c>
      <c r="E4964" s="7" t="s">
        <v>35</v>
      </c>
      <c r="F4964" s="0" t="n">
        <v>17.94</v>
      </c>
      <c r="G4964" s="0" t="n">
        <v>4.6644</v>
      </c>
      <c r="H4964" s="0" t="n">
        <v>0</v>
      </c>
      <c r="I4964" s="7" t="n">
        <f aca="false">YEAR(B4964)</f>
        <v>2014</v>
      </c>
      <c r="J4964" s="0" t="str">
        <f aca="false">I4964&amp;"-Q"&amp;ROUNDUP(MONTH(B4964)/3,0)</f>
        <v>2014-Q1</v>
      </c>
    </row>
    <row r="4965" customFormat="false" ht="15" hidden="false" customHeight="false" outlineLevel="0" collapsed="false">
      <c r="A4965" s="0" t="s">
        <v>2537</v>
      </c>
      <c r="B4965" s="6" t="n">
        <v>41705</v>
      </c>
      <c r="C4965" s="7" t="s">
        <v>33</v>
      </c>
      <c r="D4965" s="7" t="s">
        <v>43</v>
      </c>
      <c r="E4965" s="7" t="s">
        <v>35</v>
      </c>
      <c r="F4965" s="0" t="n">
        <v>242.94</v>
      </c>
      <c r="G4965" s="0" t="n">
        <v>4.8588</v>
      </c>
      <c r="H4965" s="0" t="n">
        <v>0</v>
      </c>
      <c r="I4965" s="7" t="n">
        <f aca="false">YEAR(B4965)</f>
        <v>2014</v>
      </c>
      <c r="J4965" s="0" t="str">
        <f aca="false">I4965&amp;"-Q"&amp;ROUNDUP(MONTH(B4965)/3,0)</f>
        <v>2014-Q1</v>
      </c>
    </row>
    <row r="4966" customFormat="false" ht="15" hidden="false" customHeight="false" outlineLevel="0" collapsed="false">
      <c r="A4966" s="0" t="s">
        <v>2538</v>
      </c>
      <c r="B4966" s="6" t="n">
        <v>42505</v>
      </c>
      <c r="C4966" s="7" t="s">
        <v>29</v>
      </c>
      <c r="D4966" s="7" t="s">
        <v>37</v>
      </c>
      <c r="E4966" s="7" t="s">
        <v>35</v>
      </c>
      <c r="F4966" s="0" t="n">
        <v>7.764</v>
      </c>
      <c r="G4966" s="0" t="n">
        <v>-5.176</v>
      </c>
      <c r="H4966" s="0" t="n">
        <v>0.7</v>
      </c>
      <c r="I4966" s="7" t="n">
        <f aca="false">YEAR(B4966)</f>
        <v>2016</v>
      </c>
      <c r="J4966" s="0" t="str">
        <f aca="false">I4966&amp;"-Q"&amp;ROUNDUP(MONTH(B4966)/3,0)</f>
        <v>2016-Q2</v>
      </c>
    </row>
    <row r="4967" customFormat="false" ht="15" hidden="false" customHeight="false" outlineLevel="0" collapsed="false">
      <c r="A4967" s="0" t="s">
        <v>2539</v>
      </c>
      <c r="B4967" s="6" t="n">
        <v>42149</v>
      </c>
      <c r="C4967" s="7" t="s">
        <v>29</v>
      </c>
      <c r="D4967" s="7" t="s">
        <v>87</v>
      </c>
      <c r="E4967" s="7" t="s">
        <v>39</v>
      </c>
      <c r="F4967" s="0" t="n">
        <v>467.04</v>
      </c>
      <c r="G4967" s="0" t="n">
        <v>58.38</v>
      </c>
      <c r="H4967" s="0" t="n">
        <v>0.2</v>
      </c>
      <c r="I4967" s="7" t="n">
        <f aca="false">YEAR(B4967)</f>
        <v>2015</v>
      </c>
      <c r="J4967" s="0" t="str">
        <f aca="false">I4967&amp;"-Q"&amp;ROUNDUP(MONTH(B4967)/3,0)</f>
        <v>2015-Q2</v>
      </c>
    </row>
    <row r="4968" customFormat="false" ht="15" hidden="false" customHeight="false" outlineLevel="0" collapsed="false">
      <c r="A4968" s="0" t="s">
        <v>2540</v>
      </c>
      <c r="B4968" s="6" t="n">
        <v>42218</v>
      </c>
      <c r="C4968" s="7" t="s">
        <v>55</v>
      </c>
      <c r="D4968" s="7" t="s">
        <v>250</v>
      </c>
      <c r="E4968" s="7" t="s">
        <v>39</v>
      </c>
      <c r="F4968" s="0" t="n">
        <v>128.85</v>
      </c>
      <c r="G4968" s="0" t="n">
        <v>3.8655</v>
      </c>
      <c r="H4968" s="0" t="n">
        <v>0</v>
      </c>
      <c r="I4968" s="7" t="n">
        <f aca="false">YEAR(B4968)</f>
        <v>2015</v>
      </c>
      <c r="J4968" s="0" t="str">
        <f aca="false">I4968&amp;"-Q"&amp;ROUNDUP(MONTH(B4968)/3,0)</f>
        <v>2015-Q3</v>
      </c>
    </row>
    <row r="4969" customFormat="false" ht="15" hidden="false" customHeight="false" outlineLevel="0" collapsed="false">
      <c r="A4969" s="0" t="s">
        <v>2540</v>
      </c>
      <c r="B4969" s="6" t="n">
        <v>42218</v>
      </c>
      <c r="C4969" s="7" t="s">
        <v>55</v>
      </c>
      <c r="D4969" s="7" t="s">
        <v>250</v>
      </c>
      <c r="E4969" s="7" t="s">
        <v>35</v>
      </c>
      <c r="F4969" s="0" t="n">
        <v>8.4</v>
      </c>
      <c r="G4969" s="0" t="n">
        <v>4.116</v>
      </c>
      <c r="H4969" s="0" t="n">
        <v>0</v>
      </c>
      <c r="I4969" s="7" t="n">
        <f aca="false">YEAR(B4969)</f>
        <v>2015</v>
      </c>
      <c r="J4969" s="0" t="str">
        <f aca="false">I4969&amp;"-Q"&amp;ROUNDUP(MONTH(B4969)/3,0)</f>
        <v>2015-Q3</v>
      </c>
    </row>
    <row r="4970" customFormat="false" ht="15" hidden="false" customHeight="false" outlineLevel="0" collapsed="false">
      <c r="A4970" s="0" t="s">
        <v>2540</v>
      </c>
      <c r="B4970" s="6" t="n">
        <v>42218</v>
      </c>
      <c r="C4970" s="7" t="s">
        <v>55</v>
      </c>
      <c r="D4970" s="7" t="s">
        <v>250</v>
      </c>
      <c r="E4970" s="7" t="s">
        <v>39</v>
      </c>
      <c r="F4970" s="0" t="n">
        <v>199.98</v>
      </c>
      <c r="G4970" s="0" t="n">
        <v>83.9916</v>
      </c>
      <c r="H4970" s="0" t="n">
        <v>0</v>
      </c>
      <c r="I4970" s="7" t="n">
        <f aca="false">YEAR(B4970)</f>
        <v>2015</v>
      </c>
      <c r="J4970" s="0" t="str">
        <f aca="false">I4970&amp;"-Q"&amp;ROUNDUP(MONTH(B4970)/3,0)</f>
        <v>2015-Q3</v>
      </c>
    </row>
    <row r="4971" customFormat="false" ht="15" hidden="false" customHeight="false" outlineLevel="0" collapsed="false">
      <c r="A4971" s="0" t="s">
        <v>2540</v>
      </c>
      <c r="B4971" s="6" t="n">
        <v>42218</v>
      </c>
      <c r="C4971" s="7" t="s">
        <v>55</v>
      </c>
      <c r="D4971" s="7" t="s">
        <v>250</v>
      </c>
      <c r="E4971" s="7" t="s">
        <v>31</v>
      </c>
      <c r="F4971" s="0" t="n">
        <v>110.98</v>
      </c>
      <c r="G4971" s="0" t="n">
        <v>15.5372</v>
      </c>
      <c r="H4971" s="0" t="n">
        <v>0</v>
      </c>
      <c r="I4971" s="7" t="n">
        <f aca="false">YEAR(B4971)</f>
        <v>2015</v>
      </c>
      <c r="J4971" s="0" t="str">
        <f aca="false">I4971&amp;"-Q"&amp;ROUNDUP(MONTH(B4971)/3,0)</f>
        <v>2015-Q3</v>
      </c>
    </row>
    <row r="4972" customFormat="false" ht="15" hidden="false" customHeight="false" outlineLevel="0" collapsed="false">
      <c r="A4972" s="0" t="s">
        <v>2541</v>
      </c>
      <c r="B4972" s="6" t="n">
        <v>42680</v>
      </c>
      <c r="C4972" s="7" t="s">
        <v>29</v>
      </c>
      <c r="D4972" s="7" t="s">
        <v>37</v>
      </c>
      <c r="E4972" s="7" t="s">
        <v>31</v>
      </c>
      <c r="F4972" s="0" t="n">
        <v>207.984</v>
      </c>
      <c r="G4972" s="0" t="n">
        <v>-28.5978</v>
      </c>
      <c r="H4972" s="0" t="n">
        <v>0.2</v>
      </c>
      <c r="I4972" s="7" t="n">
        <f aca="false">YEAR(B4972)</f>
        <v>2016</v>
      </c>
      <c r="J4972" s="0" t="str">
        <f aca="false">I4972&amp;"-Q"&amp;ROUNDUP(MONTH(B4972)/3,0)</f>
        <v>2016-Q4</v>
      </c>
    </row>
    <row r="4973" customFormat="false" ht="15" hidden="false" customHeight="false" outlineLevel="0" collapsed="false">
      <c r="A4973" s="0" t="s">
        <v>2541</v>
      </c>
      <c r="B4973" s="6" t="n">
        <v>42680</v>
      </c>
      <c r="C4973" s="7" t="s">
        <v>29</v>
      </c>
      <c r="D4973" s="7" t="s">
        <v>37</v>
      </c>
      <c r="E4973" s="7" t="s">
        <v>35</v>
      </c>
      <c r="F4973" s="0" t="n">
        <v>36.112</v>
      </c>
      <c r="G4973" s="0" t="n">
        <v>12.6392</v>
      </c>
      <c r="H4973" s="0" t="n">
        <v>0.2</v>
      </c>
      <c r="I4973" s="7" t="n">
        <f aca="false">YEAR(B4973)</f>
        <v>2016</v>
      </c>
      <c r="J4973" s="0" t="str">
        <f aca="false">I4973&amp;"-Q"&amp;ROUNDUP(MONTH(B4973)/3,0)</f>
        <v>2016-Q4</v>
      </c>
    </row>
    <row r="4974" customFormat="false" ht="15" hidden="false" customHeight="false" outlineLevel="0" collapsed="false">
      <c r="A4974" s="0" t="s">
        <v>2541</v>
      </c>
      <c r="B4974" s="6" t="n">
        <v>42680</v>
      </c>
      <c r="C4974" s="7" t="s">
        <v>29</v>
      </c>
      <c r="D4974" s="7" t="s">
        <v>37</v>
      </c>
      <c r="E4974" s="7" t="s">
        <v>31</v>
      </c>
      <c r="F4974" s="0" t="n">
        <v>35.568</v>
      </c>
      <c r="G4974" s="0" t="n">
        <v>5.7798</v>
      </c>
      <c r="H4974" s="0" t="n">
        <v>0.2</v>
      </c>
      <c r="I4974" s="7" t="n">
        <f aca="false">YEAR(B4974)</f>
        <v>2016</v>
      </c>
      <c r="J4974" s="0" t="str">
        <f aca="false">I4974&amp;"-Q"&amp;ROUNDUP(MONTH(B4974)/3,0)</f>
        <v>2016-Q4</v>
      </c>
    </row>
    <row r="4975" customFormat="false" ht="15" hidden="false" customHeight="false" outlineLevel="0" collapsed="false">
      <c r="A4975" s="0" t="s">
        <v>2541</v>
      </c>
      <c r="B4975" s="6" t="n">
        <v>42680</v>
      </c>
      <c r="C4975" s="7" t="s">
        <v>29</v>
      </c>
      <c r="D4975" s="7" t="s">
        <v>37</v>
      </c>
      <c r="E4975" s="7" t="s">
        <v>35</v>
      </c>
      <c r="F4975" s="0" t="n">
        <v>88.768</v>
      </c>
      <c r="G4975" s="0" t="n">
        <v>31.0688</v>
      </c>
      <c r="H4975" s="0" t="n">
        <v>0.2</v>
      </c>
      <c r="I4975" s="7" t="n">
        <f aca="false">YEAR(B4975)</f>
        <v>2016</v>
      </c>
      <c r="J4975" s="0" t="str">
        <f aca="false">I4975&amp;"-Q"&amp;ROUNDUP(MONTH(B4975)/3,0)</f>
        <v>2016-Q4</v>
      </c>
    </row>
    <row r="4976" customFormat="false" ht="15" hidden="false" customHeight="false" outlineLevel="0" collapsed="false">
      <c r="A4976" s="0" t="s">
        <v>2542</v>
      </c>
      <c r="B4976" s="6" t="n">
        <v>42681</v>
      </c>
      <c r="C4976" s="7" t="s">
        <v>33</v>
      </c>
      <c r="D4976" s="7" t="s">
        <v>34</v>
      </c>
      <c r="E4976" s="7" t="s">
        <v>35</v>
      </c>
      <c r="F4976" s="0" t="n">
        <v>12.9</v>
      </c>
      <c r="G4976" s="0" t="n">
        <v>6.321</v>
      </c>
      <c r="H4976" s="0" t="n">
        <v>0</v>
      </c>
      <c r="I4976" s="7" t="n">
        <f aca="false">YEAR(B4976)</f>
        <v>2016</v>
      </c>
      <c r="J4976" s="0" t="str">
        <f aca="false">I4976&amp;"-Q"&amp;ROUNDUP(MONTH(B4976)/3,0)</f>
        <v>2016-Q4</v>
      </c>
    </row>
    <row r="4977" customFormat="false" ht="15" hidden="false" customHeight="false" outlineLevel="0" collapsed="false">
      <c r="A4977" s="0" t="s">
        <v>2543</v>
      </c>
      <c r="B4977" s="6" t="n">
        <v>42265</v>
      </c>
      <c r="C4977" s="7" t="s">
        <v>29</v>
      </c>
      <c r="D4977" s="7" t="s">
        <v>37</v>
      </c>
      <c r="E4977" s="7" t="s">
        <v>39</v>
      </c>
      <c r="F4977" s="0" t="n">
        <v>717.12</v>
      </c>
      <c r="G4977" s="0" t="n">
        <v>152.388</v>
      </c>
      <c r="H4977" s="0" t="n">
        <v>0.2</v>
      </c>
      <c r="I4977" s="7" t="n">
        <f aca="false">YEAR(B4977)</f>
        <v>2015</v>
      </c>
      <c r="J4977" s="0" t="str">
        <f aca="false">I4977&amp;"-Q"&amp;ROUNDUP(MONTH(B4977)/3,0)</f>
        <v>2015-Q3</v>
      </c>
    </row>
    <row r="4978" customFormat="false" ht="15" hidden="false" customHeight="false" outlineLevel="0" collapsed="false">
      <c r="A4978" s="0" t="s">
        <v>2544</v>
      </c>
      <c r="B4978" s="6" t="n">
        <v>42345</v>
      </c>
      <c r="C4978" s="7" t="s">
        <v>55</v>
      </c>
      <c r="D4978" s="7" t="s">
        <v>76</v>
      </c>
      <c r="E4978" s="7" t="s">
        <v>35</v>
      </c>
      <c r="F4978" s="0" t="n">
        <v>21.36</v>
      </c>
      <c r="G4978" s="0" t="n">
        <v>7.209</v>
      </c>
      <c r="H4978" s="0" t="n">
        <v>0.2</v>
      </c>
      <c r="I4978" s="7" t="n">
        <f aca="false">YEAR(B4978)</f>
        <v>2015</v>
      </c>
      <c r="J4978" s="0" t="str">
        <f aca="false">I4978&amp;"-Q"&amp;ROUNDUP(MONTH(B4978)/3,0)</f>
        <v>2015-Q4</v>
      </c>
    </row>
    <row r="4979" customFormat="false" ht="15" hidden="false" customHeight="false" outlineLevel="0" collapsed="false">
      <c r="A4979" s="0" t="s">
        <v>2544</v>
      </c>
      <c r="B4979" s="6" t="n">
        <v>42345</v>
      </c>
      <c r="C4979" s="7" t="s">
        <v>55</v>
      </c>
      <c r="D4979" s="7" t="s">
        <v>76</v>
      </c>
      <c r="E4979" s="7" t="s">
        <v>35</v>
      </c>
      <c r="F4979" s="0" t="n">
        <v>6.688</v>
      </c>
      <c r="G4979" s="0" t="n">
        <v>2.3408</v>
      </c>
      <c r="H4979" s="0" t="n">
        <v>0.2</v>
      </c>
      <c r="I4979" s="7" t="n">
        <f aca="false">YEAR(B4979)</f>
        <v>2015</v>
      </c>
      <c r="J4979" s="0" t="str">
        <f aca="false">I4979&amp;"-Q"&amp;ROUNDUP(MONTH(B4979)/3,0)</f>
        <v>2015-Q4</v>
      </c>
    </row>
    <row r="4980" customFormat="false" ht="15" hidden="false" customHeight="false" outlineLevel="0" collapsed="false">
      <c r="A4980" s="0" t="s">
        <v>2544</v>
      </c>
      <c r="B4980" s="6" t="n">
        <v>42345</v>
      </c>
      <c r="C4980" s="7" t="s">
        <v>55</v>
      </c>
      <c r="D4980" s="7" t="s">
        <v>76</v>
      </c>
      <c r="E4980" s="7" t="s">
        <v>39</v>
      </c>
      <c r="F4980" s="0" t="n">
        <v>773.94</v>
      </c>
      <c r="G4980" s="0" t="n">
        <v>224.4426</v>
      </c>
      <c r="H4980" s="0" t="n">
        <v>0</v>
      </c>
      <c r="I4980" s="7" t="n">
        <f aca="false">YEAR(B4980)</f>
        <v>2015</v>
      </c>
      <c r="J4980" s="0" t="str">
        <f aca="false">I4980&amp;"-Q"&amp;ROUNDUP(MONTH(B4980)/3,0)</f>
        <v>2015-Q4</v>
      </c>
    </row>
    <row r="4981" customFormat="false" ht="15" hidden="false" customHeight="false" outlineLevel="0" collapsed="false">
      <c r="A4981" s="0" t="s">
        <v>2545</v>
      </c>
      <c r="B4981" s="6" t="n">
        <v>42713</v>
      </c>
      <c r="C4981" s="7" t="s">
        <v>45</v>
      </c>
      <c r="D4981" s="7" t="s">
        <v>64</v>
      </c>
      <c r="E4981" s="7" t="s">
        <v>35</v>
      </c>
      <c r="F4981" s="0" t="n">
        <v>20.568</v>
      </c>
      <c r="G4981" s="0" t="n">
        <v>1.5426</v>
      </c>
      <c r="H4981" s="0" t="n">
        <v>0.2</v>
      </c>
      <c r="I4981" s="7" t="n">
        <f aca="false">YEAR(B4981)</f>
        <v>2016</v>
      </c>
      <c r="J4981" s="0" t="str">
        <f aca="false">I4981&amp;"-Q"&amp;ROUNDUP(MONTH(B4981)/3,0)</f>
        <v>2016-Q4</v>
      </c>
    </row>
    <row r="4982" customFormat="false" ht="15" hidden="false" customHeight="false" outlineLevel="0" collapsed="false">
      <c r="A4982" s="0" t="s">
        <v>2545</v>
      </c>
      <c r="B4982" s="6" t="n">
        <v>42713</v>
      </c>
      <c r="C4982" s="7" t="s">
        <v>45</v>
      </c>
      <c r="D4982" s="7" t="s">
        <v>64</v>
      </c>
      <c r="E4982" s="7" t="s">
        <v>35</v>
      </c>
      <c r="F4982" s="0" t="n">
        <v>4.356</v>
      </c>
      <c r="G4982" s="0" t="n">
        <v>-11.7612</v>
      </c>
      <c r="H4982" s="0" t="n">
        <v>0.8</v>
      </c>
      <c r="I4982" s="7" t="n">
        <f aca="false">YEAR(B4982)</f>
        <v>2016</v>
      </c>
      <c r="J4982" s="0" t="str">
        <f aca="false">I4982&amp;"-Q"&amp;ROUNDUP(MONTH(B4982)/3,0)</f>
        <v>2016-Q4</v>
      </c>
    </row>
    <row r="4983" customFormat="false" ht="15" hidden="false" customHeight="false" outlineLevel="0" collapsed="false">
      <c r="A4983" s="0" t="s">
        <v>2545</v>
      </c>
      <c r="B4983" s="6" t="n">
        <v>42713</v>
      </c>
      <c r="C4983" s="7" t="s">
        <v>45</v>
      </c>
      <c r="D4983" s="7" t="s">
        <v>64</v>
      </c>
      <c r="E4983" s="7" t="s">
        <v>39</v>
      </c>
      <c r="F4983" s="0" t="n">
        <v>19.04</v>
      </c>
      <c r="G4983" s="0" t="n">
        <v>-1.428</v>
      </c>
      <c r="H4983" s="0" t="n">
        <v>0.2</v>
      </c>
      <c r="I4983" s="7" t="n">
        <f aca="false">YEAR(B4983)</f>
        <v>2016</v>
      </c>
      <c r="J4983" s="0" t="str">
        <f aca="false">I4983&amp;"-Q"&amp;ROUNDUP(MONTH(B4983)/3,0)</f>
        <v>2016-Q4</v>
      </c>
    </row>
    <row r="4984" customFormat="false" ht="15" hidden="false" customHeight="false" outlineLevel="0" collapsed="false">
      <c r="A4984" s="0" t="s">
        <v>2546</v>
      </c>
      <c r="B4984" s="6" t="n">
        <v>41959</v>
      </c>
      <c r="C4984" s="7" t="s">
        <v>33</v>
      </c>
      <c r="D4984" s="7" t="s">
        <v>34</v>
      </c>
      <c r="E4984" s="7" t="s">
        <v>35</v>
      </c>
      <c r="F4984" s="0" t="n">
        <v>5.22</v>
      </c>
      <c r="G4984" s="0" t="n">
        <v>2.4012</v>
      </c>
      <c r="H4984" s="0" t="n">
        <v>0</v>
      </c>
      <c r="I4984" s="7" t="n">
        <f aca="false">YEAR(B4984)</f>
        <v>2014</v>
      </c>
      <c r="J4984" s="0" t="str">
        <f aca="false">I4984&amp;"-Q"&amp;ROUNDUP(MONTH(B4984)/3,0)</f>
        <v>2014-Q4</v>
      </c>
    </row>
    <row r="4985" customFormat="false" ht="15" hidden="false" customHeight="false" outlineLevel="0" collapsed="false">
      <c r="A4985" s="0" t="s">
        <v>2547</v>
      </c>
      <c r="B4985" s="6" t="n">
        <v>42680</v>
      </c>
      <c r="C4985" s="7" t="s">
        <v>33</v>
      </c>
      <c r="D4985" s="7" t="s">
        <v>34</v>
      </c>
      <c r="E4985" s="7" t="s">
        <v>35</v>
      </c>
      <c r="F4985" s="0" t="n">
        <v>84.84</v>
      </c>
      <c r="G4985" s="0" t="n">
        <v>22.9068</v>
      </c>
      <c r="H4985" s="0" t="n">
        <v>0</v>
      </c>
      <c r="I4985" s="7" t="n">
        <f aca="false">YEAR(B4985)</f>
        <v>2016</v>
      </c>
      <c r="J4985" s="0" t="str">
        <f aca="false">I4985&amp;"-Q"&amp;ROUNDUP(MONTH(B4985)/3,0)</f>
        <v>2016-Q4</v>
      </c>
    </row>
    <row r="4986" customFormat="false" ht="15" hidden="false" customHeight="false" outlineLevel="0" collapsed="false">
      <c r="A4986" s="0" t="s">
        <v>2548</v>
      </c>
      <c r="B4986" s="6" t="n">
        <v>42253</v>
      </c>
      <c r="C4986" s="7" t="s">
        <v>29</v>
      </c>
      <c r="D4986" s="7" t="s">
        <v>87</v>
      </c>
      <c r="E4986" s="7" t="s">
        <v>35</v>
      </c>
      <c r="F4986" s="0" t="n">
        <v>7.24</v>
      </c>
      <c r="G4986" s="0" t="n">
        <v>1.1765</v>
      </c>
      <c r="H4986" s="0" t="n">
        <v>0.2</v>
      </c>
      <c r="I4986" s="7" t="n">
        <f aca="false">YEAR(B4986)</f>
        <v>2015</v>
      </c>
      <c r="J4986" s="0" t="str">
        <f aca="false">I4986&amp;"-Q"&amp;ROUNDUP(MONTH(B4986)/3,0)</f>
        <v>2015-Q3</v>
      </c>
    </row>
    <row r="4987" customFormat="false" ht="15" hidden="false" customHeight="false" outlineLevel="0" collapsed="false">
      <c r="A4987" s="0" t="s">
        <v>2549</v>
      </c>
      <c r="B4987" s="6" t="n">
        <v>41885</v>
      </c>
      <c r="C4987" s="7" t="s">
        <v>55</v>
      </c>
      <c r="D4987" s="7" t="s">
        <v>76</v>
      </c>
      <c r="E4987" s="7" t="s">
        <v>35</v>
      </c>
      <c r="F4987" s="0" t="n">
        <v>14.4</v>
      </c>
      <c r="G4987" s="0" t="n">
        <v>7.056</v>
      </c>
      <c r="H4987" s="0" t="n">
        <v>0</v>
      </c>
      <c r="I4987" s="7" t="n">
        <f aca="false">YEAR(B4987)</f>
        <v>2014</v>
      </c>
      <c r="J4987" s="0" t="str">
        <f aca="false">I4987&amp;"-Q"&amp;ROUNDUP(MONTH(B4987)/3,0)</f>
        <v>2014-Q3</v>
      </c>
    </row>
    <row r="4988" customFormat="false" ht="15" hidden="false" customHeight="false" outlineLevel="0" collapsed="false">
      <c r="A4988" s="0" t="s">
        <v>2550</v>
      </c>
      <c r="B4988" s="6" t="n">
        <v>42484</v>
      </c>
      <c r="C4988" s="7" t="s">
        <v>33</v>
      </c>
      <c r="D4988" s="7" t="s">
        <v>109</v>
      </c>
      <c r="E4988" s="7" t="s">
        <v>35</v>
      </c>
      <c r="F4988" s="0" t="n">
        <v>15.552</v>
      </c>
      <c r="G4988" s="0" t="n">
        <v>5.4432</v>
      </c>
      <c r="H4988" s="0" t="n">
        <v>0.2</v>
      </c>
      <c r="I4988" s="7" t="n">
        <f aca="false">YEAR(B4988)</f>
        <v>2016</v>
      </c>
      <c r="J4988" s="0" t="str">
        <f aca="false">I4988&amp;"-Q"&amp;ROUNDUP(MONTH(B4988)/3,0)</f>
        <v>2016-Q2</v>
      </c>
    </row>
    <row r="4989" customFormat="false" ht="15" hidden="false" customHeight="false" outlineLevel="0" collapsed="false">
      <c r="A4989" s="0" t="s">
        <v>2550</v>
      </c>
      <c r="B4989" s="6" t="n">
        <v>42484</v>
      </c>
      <c r="C4989" s="7" t="s">
        <v>33</v>
      </c>
      <c r="D4989" s="7" t="s">
        <v>109</v>
      </c>
      <c r="E4989" s="7" t="s">
        <v>31</v>
      </c>
      <c r="F4989" s="0" t="n">
        <v>1325.76</v>
      </c>
      <c r="G4989" s="0" t="n">
        <v>149.148</v>
      </c>
      <c r="H4989" s="0" t="n">
        <v>0.2</v>
      </c>
      <c r="I4989" s="7" t="n">
        <f aca="false">YEAR(B4989)</f>
        <v>2016</v>
      </c>
      <c r="J4989" s="0" t="str">
        <f aca="false">I4989&amp;"-Q"&amp;ROUNDUP(MONTH(B4989)/3,0)</f>
        <v>2016-Q2</v>
      </c>
    </row>
    <row r="4990" customFormat="false" ht="15" hidden="false" customHeight="false" outlineLevel="0" collapsed="false">
      <c r="A4990" s="0" t="s">
        <v>2550</v>
      </c>
      <c r="B4990" s="6" t="n">
        <v>42484</v>
      </c>
      <c r="C4990" s="7" t="s">
        <v>33</v>
      </c>
      <c r="D4990" s="7" t="s">
        <v>109</v>
      </c>
      <c r="E4990" s="7" t="s">
        <v>35</v>
      </c>
      <c r="F4990" s="0" t="n">
        <v>3.108</v>
      </c>
      <c r="G4990" s="0" t="n">
        <v>-2.1756</v>
      </c>
      <c r="H4990" s="0" t="n">
        <v>0.7</v>
      </c>
      <c r="I4990" s="7" t="n">
        <f aca="false">YEAR(B4990)</f>
        <v>2016</v>
      </c>
      <c r="J4990" s="0" t="str">
        <f aca="false">I4990&amp;"-Q"&amp;ROUNDUP(MONTH(B4990)/3,0)</f>
        <v>2016-Q2</v>
      </c>
    </row>
    <row r="4991" customFormat="false" ht="15" hidden="false" customHeight="false" outlineLevel="0" collapsed="false">
      <c r="A4991" s="0" t="s">
        <v>2551</v>
      </c>
      <c r="B4991" s="6" t="n">
        <v>42978</v>
      </c>
      <c r="C4991" s="7" t="s">
        <v>33</v>
      </c>
      <c r="D4991" s="7" t="s">
        <v>34</v>
      </c>
      <c r="E4991" s="7" t="s">
        <v>35</v>
      </c>
      <c r="F4991" s="0" t="n">
        <v>6.672</v>
      </c>
      <c r="G4991" s="0" t="n">
        <v>2.1684</v>
      </c>
      <c r="H4991" s="0" t="n">
        <v>0.2</v>
      </c>
      <c r="I4991" s="7" t="n">
        <f aca="false">YEAR(B4991)</f>
        <v>2017</v>
      </c>
      <c r="J4991" s="0" t="str">
        <f aca="false">I4991&amp;"-Q"&amp;ROUNDUP(MONTH(B4991)/3,0)</f>
        <v>2017-Q3</v>
      </c>
    </row>
    <row r="4992" customFormat="false" ht="15" hidden="false" customHeight="false" outlineLevel="0" collapsed="false">
      <c r="A4992" s="0" t="s">
        <v>2551</v>
      </c>
      <c r="B4992" s="6" t="n">
        <v>42978</v>
      </c>
      <c r="C4992" s="7" t="s">
        <v>33</v>
      </c>
      <c r="D4992" s="7" t="s">
        <v>34</v>
      </c>
      <c r="E4992" s="7" t="s">
        <v>39</v>
      </c>
      <c r="F4992" s="0" t="n">
        <v>689.408</v>
      </c>
      <c r="G4992" s="0" t="n">
        <v>77.5584</v>
      </c>
      <c r="H4992" s="0" t="n">
        <v>0.2</v>
      </c>
      <c r="I4992" s="7" t="n">
        <f aca="false">YEAR(B4992)</f>
        <v>2017</v>
      </c>
      <c r="J4992" s="0" t="str">
        <f aca="false">I4992&amp;"-Q"&amp;ROUNDUP(MONTH(B4992)/3,0)</f>
        <v>2017-Q3</v>
      </c>
    </row>
    <row r="4993" customFormat="false" ht="15" hidden="false" customHeight="false" outlineLevel="0" collapsed="false">
      <c r="A4993" s="0" t="s">
        <v>2552</v>
      </c>
      <c r="B4993" s="6" t="n">
        <v>43076</v>
      </c>
      <c r="C4993" s="7" t="s">
        <v>45</v>
      </c>
      <c r="D4993" s="7" t="s">
        <v>64</v>
      </c>
      <c r="E4993" s="7" t="s">
        <v>35</v>
      </c>
      <c r="F4993" s="0" t="n">
        <v>1889.99</v>
      </c>
      <c r="G4993" s="0" t="n">
        <v>-2929.4845</v>
      </c>
      <c r="H4993" s="0" t="n">
        <v>0.8</v>
      </c>
      <c r="I4993" s="7" t="n">
        <f aca="false">YEAR(B4993)</f>
        <v>2017</v>
      </c>
      <c r="J4993" s="0" t="str">
        <f aca="false">I4993&amp;"-Q"&amp;ROUNDUP(MONTH(B4993)/3,0)</f>
        <v>2017-Q4</v>
      </c>
    </row>
    <row r="4994" customFormat="false" ht="15" hidden="false" customHeight="false" outlineLevel="0" collapsed="false">
      <c r="A4994" s="0" t="s">
        <v>2553</v>
      </c>
      <c r="B4994" s="6" t="n">
        <v>42356</v>
      </c>
      <c r="C4994" s="7" t="s">
        <v>29</v>
      </c>
      <c r="D4994" s="7" t="s">
        <v>87</v>
      </c>
      <c r="E4994" s="7" t="s">
        <v>35</v>
      </c>
      <c r="F4994" s="0" t="n">
        <v>55.936</v>
      </c>
      <c r="G4994" s="0" t="n">
        <v>18.8784</v>
      </c>
      <c r="H4994" s="0" t="n">
        <v>0.2</v>
      </c>
      <c r="I4994" s="7" t="n">
        <f aca="false">YEAR(B4994)</f>
        <v>2015</v>
      </c>
      <c r="J4994" s="0" t="str">
        <f aca="false">I4994&amp;"-Q"&amp;ROUNDUP(MONTH(B4994)/3,0)</f>
        <v>2015-Q4</v>
      </c>
    </row>
    <row r="4995" customFormat="false" ht="15" hidden="false" customHeight="false" outlineLevel="0" collapsed="false">
      <c r="A4995" s="0" t="s">
        <v>2553</v>
      </c>
      <c r="B4995" s="6" t="n">
        <v>42356</v>
      </c>
      <c r="C4995" s="7" t="s">
        <v>29</v>
      </c>
      <c r="D4995" s="7" t="s">
        <v>87</v>
      </c>
      <c r="E4995" s="7" t="s">
        <v>35</v>
      </c>
      <c r="F4995" s="0" t="n">
        <v>18.432</v>
      </c>
      <c r="G4995" s="0" t="n">
        <v>5.9904</v>
      </c>
      <c r="H4995" s="0" t="n">
        <v>0.2</v>
      </c>
      <c r="I4995" s="7" t="n">
        <f aca="false">YEAR(B4995)</f>
        <v>2015</v>
      </c>
      <c r="J4995" s="0" t="str">
        <f aca="false">I4995&amp;"-Q"&amp;ROUNDUP(MONTH(B4995)/3,0)</f>
        <v>2015-Q4</v>
      </c>
    </row>
    <row r="4996" customFormat="false" ht="15" hidden="false" customHeight="false" outlineLevel="0" collapsed="false">
      <c r="A4996" s="0" t="s">
        <v>2553</v>
      </c>
      <c r="B4996" s="6" t="n">
        <v>42356</v>
      </c>
      <c r="C4996" s="7" t="s">
        <v>29</v>
      </c>
      <c r="D4996" s="7" t="s">
        <v>87</v>
      </c>
      <c r="E4996" s="7" t="s">
        <v>31</v>
      </c>
      <c r="F4996" s="0" t="n">
        <v>20.32</v>
      </c>
      <c r="G4996" s="0" t="n">
        <v>3.556</v>
      </c>
      <c r="H4996" s="0" t="n">
        <v>0.2</v>
      </c>
      <c r="I4996" s="7" t="n">
        <f aca="false">YEAR(B4996)</f>
        <v>2015</v>
      </c>
      <c r="J4996" s="0" t="str">
        <f aca="false">I4996&amp;"-Q"&amp;ROUNDUP(MONTH(B4996)/3,0)</f>
        <v>2015-Q4</v>
      </c>
    </row>
    <row r="4997" customFormat="false" ht="15" hidden="false" customHeight="false" outlineLevel="0" collapsed="false">
      <c r="A4997" s="0" t="s">
        <v>2554</v>
      </c>
      <c r="B4997" s="6" t="n">
        <v>41947</v>
      </c>
      <c r="C4997" s="7" t="s">
        <v>55</v>
      </c>
      <c r="D4997" s="7" t="s">
        <v>76</v>
      </c>
      <c r="E4997" s="7" t="s">
        <v>35</v>
      </c>
      <c r="F4997" s="0" t="n">
        <v>52.064</v>
      </c>
      <c r="G4997" s="0" t="n">
        <v>18.8732</v>
      </c>
      <c r="H4997" s="0" t="n">
        <v>0.2</v>
      </c>
      <c r="I4997" s="7" t="n">
        <f aca="false">YEAR(B4997)</f>
        <v>2014</v>
      </c>
      <c r="J4997" s="0" t="str">
        <f aca="false">I4997&amp;"-Q"&amp;ROUNDUP(MONTH(B4997)/3,0)</f>
        <v>2014-Q4</v>
      </c>
    </row>
    <row r="4998" customFormat="false" ht="15" hidden="false" customHeight="false" outlineLevel="0" collapsed="false">
      <c r="A4998" s="0" t="s">
        <v>2555</v>
      </c>
      <c r="B4998" s="6" t="n">
        <v>42804</v>
      </c>
      <c r="C4998" s="7" t="s">
        <v>29</v>
      </c>
      <c r="D4998" s="7" t="s">
        <v>41</v>
      </c>
      <c r="E4998" s="7" t="s">
        <v>35</v>
      </c>
      <c r="F4998" s="0" t="n">
        <v>48.784</v>
      </c>
      <c r="G4998" s="0" t="n">
        <v>3.6588</v>
      </c>
      <c r="H4998" s="0" t="n">
        <v>0.2</v>
      </c>
      <c r="I4998" s="7" t="n">
        <f aca="false">YEAR(B4998)</f>
        <v>2017</v>
      </c>
      <c r="J4998" s="0" t="str">
        <f aca="false">I4998&amp;"-Q"&amp;ROUNDUP(MONTH(B4998)/3,0)</f>
        <v>2017-Q1</v>
      </c>
    </row>
    <row r="4999" customFormat="false" ht="15" hidden="false" customHeight="false" outlineLevel="0" collapsed="false">
      <c r="A4999" s="0" t="s">
        <v>2555</v>
      </c>
      <c r="B4999" s="6" t="n">
        <v>42804</v>
      </c>
      <c r="C4999" s="7" t="s">
        <v>29</v>
      </c>
      <c r="D4999" s="7" t="s">
        <v>41</v>
      </c>
      <c r="E4999" s="7" t="s">
        <v>35</v>
      </c>
      <c r="F4999" s="0" t="n">
        <v>13.092</v>
      </c>
      <c r="G4999" s="0" t="n">
        <v>-10.0372</v>
      </c>
      <c r="H4999" s="0" t="n">
        <v>0.7</v>
      </c>
      <c r="I4999" s="7" t="n">
        <f aca="false">YEAR(B4999)</f>
        <v>2017</v>
      </c>
      <c r="J4999" s="0" t="str">
        <f aca="false">I4999&amp;"-Q"&amp;ROUNDUP(MONTH(B4999)/3,0)</f>
        <v>2017-Q1</v>
      </c>
    </row>
    <row r="5000" customFormat="false" ht="15" hidden="false" customHeight="false" outlineLevel="0" collapsed="false">
      <c r="A5000" s="0" t="s">
        <v>2556</v>
      </c>
      <c r="B5000" s="6" t="n">
        <v>42400</v>
      </c>
      <c r="C5000" s="7" t="s">
        <v>33</v>
      </c>
      <c r="D5000" s="7" t="s">
        <v>34</v>
      </c>
      <c r="E5000" s="7" t="s">
        <v>39</v>
      </c>
      <c r="F5000" s="0" t="n">
        <v>109.592</v>
      </c>
      <c r="G5000" s="0" t="n">
        <v>8.2194</v>
      </c>
      <c r="H5000" s="0" t="n">
        <v>0.2</v>
      </c>
      <c r="I5000" s="7" t="n">
        <f aca="false">YEAR(B5000)</f>
        <v>2016</v>
      </c>
      <c r="J5000" s="0" t="str">
        <f aca="false">I5000&amp;"-Q"&amp;ROUNDUP(MONTH(B5000)/3,0)</f>
        <v>2016-Q1</v>
      </c>
    </row>
    <row r="5001" customFormat="false" ht="15" hidden="false" customHeight="false" outlineLevel="0" collapsed="false">
      <c r="A5001" s="0" t="s">
        <v>2556</v>
      </c>
      <c r="B5001" s="6" t="n">
        <v>42400</v>
      </c>
      <c r="C5001" s="7" t="s">
        <v>33</v>
      </c>
      <c r="D5001" s="7" t="s">
        <v>34</v>
      </c>
      <c r="E5001" s="7" t="s">
        <v>35</v>
      </c>
      <c r="F5001" s="0" t="n">
        <v>56.7</v>
      </c>
      <c r="G5001" s="0" t="n">
        <v>27.783</v>
      </c>
      <c r="H5001" s="0" t="n">
        <v>0</v>
      </c>
      <c r="I5001" s="7" t="n">
        <f aca="false">YEAR(B5001)</f>
        <v>2016</v>
      </c>
      <c r="J5001" s="0" t="str">
        <f aca="false">I5001&amp;"-Q"&amp;ROUNDUP(MONTH(B5001)/3,0)</f>
        <v>2016-Q1</v>
      </c>
    </row>
    <row r="5002" customFormat="false" ht="15" hidden="false" customHeight="false" outlineLevel="0" collapsed="false">
      <c r="A5002" s="0" t="s">
        <v>2557</v>
      </c>
      <c r="B5002" s="6" t="n">
        <v>42862</v>
      </c>
      <c r="C5002" s="7" t="s">
        <v>33</v>
      </c>
      <c r="D5002" s="7" t="s">
        <v>34</v>
      </c>
      <c r="E5002" s="7" t="s">
        <v>39</v>
      </c>
      <c r="F5002" s="0" t="n">
        <v>79.99</v>
      </c>
      <c r="G5002" s="0" t="n">
        <v>28.7964</v>
      </c>
      <c r="H5002" s="0" t="n">
        <v>0</v>
      </c>
      <c r="I5002" s="7" t="n">
        <f aca="false">YEAR(B5002)</f>
        <v>2017</v>
      </c>
      <c r="J5002" s="0" t="str">
        <f aca="false">I5002&amp;"-Q"&amp;ROUNDUP(MONTH(B5002)/3,0)</f>
        <v>2017-Q2</v>
      </c>
    </row>
    <row r="5003" customFormat="false" ht="15" hidden="false" customHeight="false" outlineLevel="0" collapsed="false">
      <c r="A5003" s="0" t="s">
        <v>2558</v>
      </c>
      <c r="B5003" s="6" t="n">
        <v>42514</v>
      </c>
      <c r="C5003" s="7" t="s">
        <v>29</v>
      </c>
      <c r="D5003" s="7" t="s">
        <v>83</v>
      </c>
      <c r="E5003" s="7" t="s">
        <v>35</v>
      </c>
      <c r="F5003" s="0" t="n">
        <v>69.5</v>
      </c>
      <c r="G5003" s="0" t="n">
        <v>20.155</v>
      </c>
      <c r="H5003" s="0" t="n">
        <v>0</v>
      </c>
      <c r="I5003" s="7" t="n">
        <f aca="false">YEAR(B5003)</f>
        <v>2016</v>
      </c>
      <c r="J5003" s="0" t="str">
        <f aca="false">I5003&amp;"-Q"&amp;ROUNDUP(MONTH(B5003)/3,0)</f>
        <v>2016-Q2</v>
      </c>
    </row>
    <row r="5004" customFormat="false" ht="15" hidden="false" customHeight="false" outlineLevel="0" collapsed="false">
      <c r="A5004" s="0" t="s">
        <v>2558</v>
      </c>
      <c r="B5004" s="6" t="n">
        <v>42514</v>
      </c>
      <c r="C5004" s="7" t="s">
        <v>29</v>
      </c>
      <c r="D5004" s="7" t="s">
        <v>83</v>
      </c>
      <c r="E5004" s="7" t="s">
        <v>35</v>
      </c>
      <c r="F5004" s="0" t="n">
        <v>191.6</v>
      </c>
      <c r="G5004" s="0" t="n">
        <v>91.968</v>
      </c>
      <c r="H5004" s="0" t="n">
        <v>0</v>
      </c>
      <c r="I5004" s="7" t="n">
        <f aca="false">YEAR(B5004)</f>
        <v>2016</v>
      </c>
      <c r="J5004" s="0" t="str">
        <f aca="false">I5004&amp;"-Q"&amp;ROUNDUP(MONTH(B5004)/3,0)</f>
        <v>2016-Q2</v>
      </c>
    </row>
    <row r="5005" customFormat="false" ht="15" hidden="false" customHeight="false" outlineLevel="0" collapsed="false">
      <c r="A5005" s="0" t="s">
        <v>2559</v>
      </c>
      <c r="B5005" s="6" t="n">
        <v>42650</v>
      </c>
      <c r="C5005" s="7" t="s">
        <v>33</v>
      </c>
      <c r="D5005" s="7" t="s">
        <v>34</v>
      </c>
      <c r="E5005" s="7" t="s">
        <v>35</v>
      </c>
      <c r="F5005" s="0" t="n">
        <v>10.56</v>
      </c>
      <c r="G5005" s="0" t="n">
        <v>5.0688</v>
      </c>
      <c r="H5005" s="0" t="n">
        <v>0</v>
      </c>
      <c r="I5005" s="7" t="n">
        <f aca="false">YEAR(B5005)</f>
        <v>2016</v>
      </c>
      <c r="J5005" s="0" t="str">
        <f aca="false">I5005&amp;"-Q"&amp;ROUNDUP(MONTH(B5005)/3,0)</f>
        <v>2016-Q4</v>
      </c>
    </row>
    <row r="5006" customFormat="false" ht="15" hidden="false" customHeight="false" outlineLevel="0" collapsed="false">
      <c r="A5006" s="0" t="s">
        <v>2560</v>
      </c>
      <c r="B5006" s="6" t="n">
        <v>41759</v>
      </c>
      <c r="C5006" s="7" t="s">
        <v>29</v>
      </c>
      <c r="D5006" s="7" t="s">
        <v>265</v>
      </c>
      <c r="E5006" s="7" t="s">
        <v>39</v>
      </c>
      <c r="F5006" s="0" t="n">
        <v>47.79</v>
      </c>
      <c r="G5006" s="0" t="n">
        <v>16.2486</v>
      </c>
      <c r="H5006" s="0" t="n">
        <v>0</v>
      </c>
      <c r="I5006" s="7" t="n">
        <f aca="false">YEAR(B5006)</f>
        <v>2014</v>
      </c>
      <c r="J5006" s="0" t="str">
        <f aca="false">I5006&amp;"-Q"&amp;ROUNDUP(MONTH(B5006)/3,0)</f>
        <v>2014-Q2</v>
      </c>
    </row>
    <row r="5007" customFormat="false" ht="15" hidden="false" customHeight="false" outlineLevel="0" collapsed="false">
      <c r="A5007" s="0" t="s">
        <v>2561</v>
      </c>
      <c r="B5007" s="6" t="n">
        <v>42318</v>
      </c>
      <c r="C5007" s="7" t="s">
        <v>45</v>
      </c>
      <c r="D5007" s="7" t="s">
        <v>74</v>
      </c>
      <c r="E5007" s="7" t="s">
        <v>35</v>
      </c>
      <c r="F5007" s="0" t="n">
        <v>714.3</v>
      </c>
      <c r="G5007" s="0" t="n">
        <v>207.147</v>
      </c>
      <c r="H5007" s="0" t="n">
        <v>0</v>
      </c>
      <c r="I5007" s="7" t="n">
        <f aca="false">YEAR(B5007)</f>
        <v>2015</v>
      </c>
      <c r="J5007" s="0" t="str">
        <f aca="false">I5007&amp;"-Q"&amp;ROUNDUP(MONTH(B5007)/3,0)</f>
        <v>2015-Q4</v>
      </c>
    </row>
    <row r="5008" customFormat="false" ht="15" hidden="false" customHeight="false" outlineLevel="0" collapsed="false">
      <c r="A5008" s="0" t="s">
        <v>2562</v>
      </c>
      <c r="B5008" s="6" t="n">
        <v>42317</v>
      </c>
      <c r="C5008" s="7" t="s">
        <v>55</v>
      </c>
      <c r="D5008" s="7" t="s">
        <v>76</v>
      </c>
      <c r="E5008" s="7" t="s">
        <v>39</v>
      </c>
      <c r="F5008" s="0" t="n">
        <v>2321.9</v>
      </c>
      <c r="G5008" s="0" t="n">
        <v>1114.512</v>
      </c>
      <c r="H5008" s="0" t="n">
        <v>0</v>
      </c>
      <c r="I5008" s="7" t="n">
        <f aca="false">YEAR(B5008)</f>
        <v>2015</v>
      </c>
      <c r="J5008" s="0" t="str">
        <f aca="false">I5008&amp;"-Q"&amp;ROUNDUP(MONTH(B5008)/3,0)</f>
        <v>2015-Q4</v>
      </c>
    </row>
    <row r="5009" customFormat="false" ht="15" hidden="false" customHeight="false" outlineLevel="0" collapsed="false">
      <c r="A5009" s="0" t="s">
        <v>2562</v>
      </c>
      <c r="B5009" s="6" t="n">
        <v>42317</v>
      </c>
      <c r="C5009" s="7" t="s">
        <v>55</v>
      </c>
      <c r="D5009" s="7" t="s">
        <v>76</v>
      </c>
      <c r="E5009" s="7" t="s">
        <v>35</v>
      </c>
      <c r="F5009" s="0" t="n">
        <v>17.94</v>
      </c>
      <c r="G5009" s="0" t="n">
        <v>3.0498</v>
      </c>
      <c r="H5009" s="0" t="n">
        <v>0</v>
      </c>
      <c r="I5009" s="7" t="n">
        <f aca="false">YEAR(B5009)</f>
        <v>2015</v>
      </c>
      <c r="J5009" s="0" t="str">
        <f aca="false">I5009&amp;"-Q"&amp;ROUNDUP(MONTH(B5009)/3,0)</f>
        <v>2015-Q4</v>
      </c>
    </row>
    <row r="5010" customFormat="false" ht="15" hidden="false" customHeight="false" outlineLevel="0" collapsed="false">
      <c r="A5010" s="0" t="s">
        <v>2563</v>
      </c>
      <c r="B5010" s="6" t="n">
        <v>42254</v>
      </c>
      <c r="C5010" s="7" t="s">
        <v>55</v>
      </c>
      <c r="D5010" s="7" t="s">
        <v>56</v>
      </c>
      <c r="E5010" s="7" t="s">
        <v>35</v>
      </c>
      <c r="F5010" s="0" t="n">
        <v>9.522</v>
      </c>
      <c r="G5010" s="0" t="n">
        <v>-6.9828</v>
      </c>
      <c r="H5010" s="0" t="n">
        <v>0.7</v>
      </c>
      <c r="I5010" s="7" t="n">
        <f aca="false">YEAR(B5010)</f>
        <v>2015</v>
      </c>
      <c r="J5010" s="0" t="str">
        <f aca="false">I5010&amp;"-Q"&amp;ROUNDUP(MONTH(B5010)/3,0)</f>
        <v>2015-Q3</v>
      </c>
    </row>
    <row r="5011" customFormat="false" ht="15" hidden="false" customHeight="false" outlineLevel="0" collapsed="false">
      <c r="A5011" s="0" t="s">
        <v>2563</v>
      </c>
      <c r="B5011" s="6" t="n">
        <v>42254</v>
      </c>
      <c r="C5011" s="7" t="s">
        <v>55</v>
      </c>
      <c r="D5011" s="7" t="s">
        <v>56</v>
      </c>
      <c r="E5011" s="7" t="s">
        <v>39</v>
      </c>
      <c r="F5011" s="0" t="n">
        <v>791.964</v>
      </c>
      <c r="G5011" s="0" t="n">
        <v>-131.994</v>
      </c>
      <c r="H5011" s="0" t="n">
        <v>0.4</v>
      </c>
      <c r="I5011" s="7" t="n">
        <f aca="false">YEAR(B5011)</f>
        <v>2015</v>
      </c>
      <c r="J5011" s="0" t="str">
        <f aca="false">I5011&amp;"-Q"&amp;ROUNDUP(MONTH(B5011)/3,0)</f>
        <v>2015-Q3</v>
      </c>
    </row>
    <row r="5012" customFormat="false" ht="15" hidden="false" customHeight="false" outlineLevel="0" collapsed="false">
      <c r="A5012" s="0" t="s">
        <v>2563</v>
      </c>
      <c r="B5012" s="6" t="n">
        <v>42254</v>
      </c>
      <c r="C5012" s="7" t="s">
        <v>55</v>
      </c>
      <c r="D5012" s="7" t="s">
        <v>56</v>
      </c>
      <c r="E5012" s="7" t="s">
        <v>35</v>
      </c>
      <c r="F5012" s="0" t="n">
        <v>4.923</v>
      </c>
      <c r="G5012" s="0" t="n">
        <v>-3.9384</v>
      </c>
      <c r="H5012" s="0" t="n">
        <v>0.7</v>
      </c>
      <c r="I5012" s="7" t="n">
        <f aca="false">YEAR(B5012)</f>
        <v>2015</v>
      </c>
      <c r="J5012" s="0" t="str">
        <f aca="false">I5012&amp;"-Q"&amp;ROUNDUP(MONTH(B5012)/3,0)</f>
        <v>2015-Q3</v>
      </c>
    </row>
    <row r="5013" customFormat="false" ht="15" hidden="false" customHeight="false" outlineLevel="0" collapsed="false">
      <c r="A5013" s="0" t="s">
        <v>2564</v>
      </c>
      <c r="B5013" s="6" t="n">
        <v>42866</v>
      </c>
      <c r="C5013" s="7" t="s">
        <v>33</v>
      </c>
      <c r="D5013" s="7" t="s">
        <v>81</v>
      </c>
      <c r="E5013" s="7" t="s">
        <v>31</v>
      </c>
      <c r="F5013" s="0" t="n">
        <v>209.979</v>
      </c>
      <c r="G5013" s="0" t="n">
        <v>-356.9643</v>
      </c>
      <c r="H5013" s="0" t="n">
        <v>0.7</v>
      </c>
      <c r="I5013" s="7" t="n">
        <f aca="false">YEAR(B5013)</f>
        <v>2017</v>
      </c>
      <c r="J5013" s="0" t="str">
        <f aca="false">I5013&amp;"-Q"&amp;ROUNDUP(MONTH(B5013)/3,0)</f>
        <v>2017-Q2</v>
      </c>
    </row>
    <row r="5014" customFormat="false" ht="15" hidden="false" customHeight="false" outlineLevel="0" collapsed="false">
      <c r="A5014" s="0" t="s">
        <v>2565</v>
      </c>
      <c r="B5014" s="6" t="n">
        <v>42937</v>
      </c>
      <c r="C5014" s="7" t="s">
        <v>55</v>
      </c>
      <c r="D5014" s="7" t="s">
        <v>116</v>
      </c>
      <c r="E5014" s="7" t="s">
        <v>35</v>
      </c>
      <c r="F5014" s="0" t="n">
        <v>33.93</v>
      </c>
      <c r="G5014" s="0" t="n">
        <v>-22.62</v>
      </c>
      <c r="H5014" s="0" t="n">
        <v>0.7</v>
      </c>
      <c r="I5014" s="7" t="n">
        <f aca="false">YEAR(B5014)</f>
        <v>2017</v>
      </c>
      <c r="J5014" s="0" t="str">
        <f aca="false">I5014&amp;"-Q"&amp;ROUNDUP(MONTH(B5014)/3,0)</f>
        <v>2017-Q3</v>
      </c>
    </row>
    <row r="5015" customFormat="false" ht="15" hidden="false" customHeight="false" outlineLevel="0" collapsed="false">
      <c r="A5015" s="0" t="s">
        <v>2565</v>
      </c>
      <c r="B5015" s="6" t="n">
        <v>42937</v>
      </c>
      <c r="C5015" s="7" t="s">
        <v>55</v>
      </c>
      <c r="D5015" s="7" t="s">
        <v>116</v>
      </c>
      <c r="E5015" s="7" t="s">
        <v>35</v>
      </c>
      <c r="F5015" s="0" t="n">
        <v>222.32</v>
      </c>
      <c r="G5015" s="0" t="n">
        <v>25.011</v>
      </c>
      <c r="H5015" s="0" t="n">
        <v>0.2</v>
      </c>
      <c r="I5015" s="7" t="n">
        <f aca="false">YEAR(B5015)</f>
        <v>2017</v>
      </c>
      <c r="J5015" s="0" t="str">
        <f aca="false">I5015&amp;"-Q"&amp;ROUNDUP(MONTH(B5015)/3,0)</f>
        <v>2017-Q3</v>
      </c>
    </row>
    <row r="5016" customFormat="false" ht="15" hidden="false" customHeight="false" outlineLevel="0" collapsed="false">
      <c r="A5016" s="0" t="s">
        <v>2565</v>
      </c>
      <c r="B5016" s="6" t="n">
        <v>42937</v>
      </c>
      <c r="C5016" s="7" t="s">
        <v>55</v>
      </c>
      <c r="D5016" s="7" t="s">
        <v>116</v>
      </c>
      <c r="E5016" s="7" t="s">
        <v>39</v>
      </c>
      <c r="F5016" s="0" t="n">
        <v>210.564</v>
      </c>
      <c r="G5016" s="0" t="n">
        <v>-52.641</v>
      </c>
      <c r="H5016" s="0" t="n">
        <v>0.4</v>
      </c>
      <c r="I5016" s="7" t="n">
        <f aca="false">YEAR(B5016)</f>
        <v>2017</v>
      </c>
      <c r="J5016" s="0" t="str">
        <f aca="false">I5016&amp;"-Q"&amp;ROUNDUP(MONTH(B5016)/3,0)</f>
        <v>2017-Q3</v>
      </c>
    </row>
    <row r="5017" customFormat="false" ht="15" hidden="false" customHeight="false" outlineLevel="0" collapsed="false">
      <c r="A5017" s="0" t="s">
        <v>2566</v>
      </c>
      <c r="B5017" s="6" t="n">
        <v>41967</v>
      </c>
      <c r="C5017" s="7" t="s">
        <v>55</v>
      </c>
      <c r="D5017" s="7" t="s">
        <v>116</v>
      </c>
      <c r="E5017" s="7" t="s">
        <v>31</v>
      </c>
      <c r="F5017" s="0" t="n">
        <v>35.168</v>
      </c>
      <c r="G5017" s="0" t="n">
        <v>9.6712</v>
      </c>
      <c r="H5017" s="0" t="n">
        <v>0.2</v>
      </c>
      <c r="I5017" s="7" t="n">
        <f aca="false">YEAR(B5017)</f>
        <v>2014</v>
      </c>
      <c r="J5017" s="0" t="str">
        <f aca="false">I5017&amp;"-Q"&amp;ROUNDUP(MONTH(B5017)/3,0)</f>
        <v>2014-Q4</v>
      </c>
    </row>
    <row r="5018" customFormat="false" ht="15" hidden="false" customHeight="false" outlineLevel="0" collapsed="false">
      <c r="A5018" s="0" t="s">
        <v>2566</v>
      </c>
      <c r="B5018" s="6" t="n">
        <v>41967</v>
      </c>
      <c r="C5018" s="7" t="s">
        <v>55</v>
      </c>
      <c r="D5018" s="7" t="s">
        <v>116</v>
      </c>
      <c r="E5018" s="7" t="s">
        <v>39</v>
      </c>
      <c r="F5018" s="0" t="n">
        <v>1502.376</v>
      </c>
      <c r="G5018" s="0" t="n">
        <v>-250.396</v>
      </c>
      <c r="H5018" s="0" t="n">
        <v>0.4</v>
      </c>
      <c r="I5018" s="7" t="n">
        <f aca="false">YEAR(B5018)</f>
        <v>2014</v>
      </c>
      <c r="J5018" s="0" t="str">
        <f aca="false">I5018&amp;"-Q"&amp;ROUNDUP(MONTH(B5018)/3,0)</f>
        <v>2014-Q4</v>
      </c>
    </row>
    <row r="5019" customFormat="false" ht="15" hidden="false" customHeight="false" outlineLevel="0" collapsed="false">
      <c r="A5019" s="0" t="s">
        <v>2567</v>
      </c>
      <c r="B5019" s="6" t="n">
        <v>41958</v>
      </c>
      <c r="C5019" s="7" t="s">
        <v>33</v>
      </c>
      <c r="D5019" s="7" t="s">
        <v>34</v>
      </c>
      <c r="E5019" s="7" t="s">
        <v>31</v>
      </c>
      <c r="F5019" s="0" t="n">
        <v>10.11</v>
      </c>
      <c r="G5019" s="0" t="n">
        <v>3.2352</v>
      </c>
      <c r="H5019" s="0" t="n">
        <v>0</v>
      </c>
      <c r="I5019" s="7" t="n">
        <f aca="false">YEAR(B5019)</f>
        <v>2014</v>
      </c>
      <c r="J5019" s="0" t="str">
        <f aca="false">I5019&amp;"-Q"&amp;ROUNDUP(MONTH(B5019)/3,0)</f>
        <v>2014-Q4</v>
      </c>
    </row>
    <row r="5020" customFormat="false" ht="15" hidden="false" customHeight="false" outlineLevel="0" collapsed="false">
      <c r="A5020" s="0" t="s">
        <v>2567</v>
      </c>
      <c r="B5020" s="6" t="n">
        <v>41958</v>
      </c>
      <c r="C5020" s="7" t="s">
        <v>33</v>
      </c>
      <c r="D5020" s="7" t="s">
        <v>34</v>
      </c>
      <c r="E5020" s="7" t="s">
        <v>39</v>
      </c>
      <c r="F5020" s="0" t="n">
        <v>772.47</v>
      </c>
      <c r="G5020" s="0" t="n">
        <v>146.7693</v>
      </c>
      <c r="H5020" s="0" t="n">
        <v>0</v>
      </c>
      <c r="I5020" s="7" t="n">
        <f aca="false">YEAR(B5020)</f>
        <v>2014</v>
      </c>
      <c r="J5020" s="0" t="str">
        <f aca="false">I5020&amp;"-Q"&amp;ROUNDUP(MONTH(B5020)/3,0)</f>
        <v>2014-Q4</v>
      </c>
    </row>
    <row r="5021" customFormat="false" ht="15" hidden="false" customHeight="false" outlineLevel="0" collapsed="false">
      <c r="A5021" s="0" t="s">
        <v>2567</v>
      </c>
      <c r="B5021" s="6" t="n">
        <v>41958</v>
      </c>
      <c r="C5021" s="7" t="s">
        <v>33</v>
      </c>
      <c r="D5021" s="7" t="s">
        <v>34</v>
      </c>
      <c r="E5021" s="7" t="s">
        <v>35</v>
      </c>
      <c r="F5021" s="0" t="n">
        <v>20.46</v>
      </c>
      <c r="G5021" s="0" t="n">
        <v>5.3196</v>
      </c>
      <c r="H5021" s="0" t="n">
        <v>0</v>
      </c>
      <c r="I5021" s="7" t="n">
        <f aca="false">YEAR(B5021)</f>
        <v>2014</v>
      </c>
      <c r="J5021" s="0" t="str">
        <f aca="false">I5021&amp;"-Q"&amp;ROUNDUP(MONTH(B5021)/3,0)</f>
        <v>2014-Q4</v>
      </c>
    </row>
    <row r="5022" customFormat="false" ht="15" hidden="false" customHeight="false" outlineLevel="0" collapsed="false">
      <c r="A5022" s="0" t="s">
        <v>2568</v>
      </c>
      <c r="B5022" s="6" t="n">
        <v>42817</v>
      </c>
      <c r="C5022" s="7" t="s">
        <v>55</v>
      </c>
      <c r="D5022" s="7" t="s">
        <v>76</v>
      </c>
      <c r="E5022" s="7" t="s">
        <v>35</v>
      </c>
      <c r="F5022" s="0" t="n">
        <v>347.58</v>
      </c>
      <c r="G5022" s="0" t="n">
        <v>17.379</v>
      </c>
      <c r="H5022" s="0" t="n">
        <v>0</v>
      </c>
      <c r="I5022" s="7" t="n">
        <f aca="false">YEAR(B5022)</f>
        <v>2017</v>
      </c>
      <c r="J5022" s="0" t="str">
        <f aca="false">I5022&amp;"-Q"&amp;ROUNDUP(MONTH(B5022)/3,0)</f>
        <v>2017-Q1</v>
      </c>
    </row>
    <row r="5023" customFormat="false" ht="15" hidden="false" customHeight="false" outlineLevel="0" collapsed="false">
      <c r="A5023" s="0" t="s">
        <v>2569</v>
      </c>
      <c r="B5023" s="6" t="n">
        <v>42722</v>
      </c>
      <c r="C5023" s="7" t="s">
        <v>33</v>
      </c>
      <c r="D5023" s="7" t="s">
        <v>34</v>
      </c>
      <c r="E5023" s="7" t="s">
        <v>39</v>
      </c>
      <c r="F5023" s="0" t="n">
        <v>72.64</v>
      </c>
      <c r="G5023" s="0" t="n">
        <v>21.792</v>
      </c>
      <c r="H5023" s="0" t="n">
        <v>0</v>
      </c>
      <c r="I5023" s="7" t="n">
        <f aca="false">YEAR(B5023)</f>
        <v>2016</v>
      </c>
      <c r="J5023" s="0" t="str">
        <f aca="false">I5023&amp;"-Q"&amp;ROUNDUP(MONTH(B5023)/3,0)</f>
        <v>2016-Q4</v>
      </c>
    </row>
    <row r="5024" customFormat="false" ht="15" hidden="false" customHeight="false" outlineLevel="0" collapsed="false">
      <c r="A5024" s="0" t="s">
        <v>2569</v>
      </c>
      <c r="B5024" s="6" t="n">
        <v>42722</v>
      </c>
      <c r="C5024" s="7" t="s">
        <v>33</v>
      </c>
      <c r="D5024" s="7" t="s">
        <v>34</v>
      </c>
      <c r="E5024" s="7" t="s">
        <v>39</v>
      </c>
      <c r="F5024" s="0" t="n">
        <v>772.47</v>
      </c>
      <c r="G5024" s="0" t="n">
        <v>146.7693</v>
      </c>
      <c r="H5024" s="0" t="n">
        <v>0</v>
      </c>
      <c r="I5024" s="7" t="n">
        <f aca="false">YEAR(B5024)</f>
        <v>2016</v>
      </c>
      <c r="J5024" s="0" t="str">
        <f aca="false">I5024&amp;"-Q"&amp;ROUNDUP(MONTH(B5024)/3,0)</f>
        <v>2016-Q4</v>
      </c>
    </row>
    <row r="5025" customFormat="false" ht="15" hidden="false" customHeight="false" outlineLevel="0" collapsed="false">
      <c r="A5025" s="0" t="s">
        <v>2569</v>
      </c>
      <c r="B5025" s="6" t="n">
        <v>42722</v>
      </c>
      <c r="C5025" s="7" t="s">
        <v>33</v>
      </c>
      <c r="D5025" s="7" t="s">
        <v>34</v>
      </c>
      <c r="E5025" s="7" t="s">
        <v>31</v>
      </c>
      <c r="F5025" s="0" t="n">
        <v>39.92</v>
      </c>
      <c r="G5025" s="0" t="n">
        <v>11.1776</v>
      </c>
      <c r="H5025" s="0" t="n">
        <v>0</v>
      </c>
      <c r="I5025" s="7" t="n">
        <f aca="false">YEAR(B5025)</f>
        <v>2016</v>
      </c>
      <c r="J5025" s="0" t="str">
        <f aca="false">I5025&amp;"-Q"&amp;ROUNDUP(MONTH(B5025)/3,0)</f>
        <v>2016-Q4</v>
      </c>
    </row>
    <row r="5026" customFormat="false" ht="15" hidden="false" customHeight="false" outlineLevel="0" collapsed="false">
      <c r="A5026" s="0" t="s">
        <v>2570</v>
      </c>
      <c r="B5026" s="6" t="n">
        <v>42945</v>
      </c>
      <c r="C5026" s="7" t="s">
        <v>45</v>
      </c>
      <c r="D5026" s="7" t="s">
        <v>138</v>
      </c>
      <c r="E5026" s="7" t="s">
        <v>35</v>
      </c>
      <c r="F5026" s="0" t="n">
        <v>33.48</v>
      </c>
      <c r="G5026" s="0" t="n">
        <v>16.4052</v>
      </c>
      <c r="H5026" s="0" t="n">
        <v>0</v>
      </c>
      <c r="I5026" s="7" t="n">
        <f aca="false">YEAR(B5026)</f>
        <v>2017</v>
      </c>
      <c r="J5026" s="0" t="str">
        <f aca="false">I5026&amp;"-Q"&amp;ROUNDUP(MONTH(B5026)/3,0)</f>
        <v>2017-Q3</v>
      </c>
    </row>
    <row r="5027" customFormat="false" ht="15" hidden="false" customHeight="false" outlineLevel="0" collapsed="false">
      <c r="A5027" s="0" t="s">
        <v>2570</v>
      </c>
      <c r="B5027" s="6" t="n">
        <v>42945</v>
      </c>
      <c r="C5027" s="7" t="s">
        <v>45</v>
      </c>
      <c r="D5027" s="7" t="s">
        <v>138</v>
      </c>
      <c r="E5027" s="7" t="s">
        <v>39</v>
      </c>
      <c r="F5027" s="0" t="n">
        <v>461.97</v>
      </c>
      <c r="G5027" s="0" t="n">
        <v>133.9713</v>
      </c>
      <c r="H5027" s="0" t="n">
        <v>0</v>
      </c>
      <c r="I5027" s="7" t="n">
        <f aca="false">YEAR(B5027)</f>
        <v>2017</v>
      </c>
      <c r="J5027" s="0" t="str">
        <f aca="false">I5027&amp;"-Q"&amp;ROUNDUP(MONTH(B5027)/3,0)</f>
        <v>2017-Q3</v>
      </c>
    </row>
    <row r="5028" customFormat="false" ht="15" hidden="false" customHeight="false" outlineLevel="0" collapsed="false">
      <c r="A5028" s="0" t="s">
        <v>2570</v>
      </c>
      <c r="B5028" s="6" t="n">
        <v>42945</v>
      </c>
      <c r="C5028" s="7" t="s">
        <v>45</v>
      </c>
      <c r="D5028" s="7" t="s">
        <v>138</v>
      </c>
      <c r="E5028" s="7" t="s">
        <v>35</v>
      </c>
      <c r="F5028" s="0" t="n">
        <v>137.62</v>
      </c>
      <c r="G5028" s="0" t="n">
        <v>60.5528</v>
      </c>
      <c r="H5028" s="0" t="n">
        <v>0</v>
      </c>
      <c r="I5028" s="7" t="n">
        <f aca="false">YEAR(B5028)</f>
        <v>2017</v>
      </c>
      <c r="J5028" s="0" t="str">
        <f aca="false">I5028&amp;"-Q"&amp;ROUNDUP(MONTH(B5028)/3,0)</f>
        <v>2017-Q3</v>
      </c>
    </row>
    <row r="5029" customFormat="false" ht="15" hidden="false" customHeight="false" outlineLevel="0" collapsed="false">
      <c r="A5029" s="0" t="s">
        <v>2570</v>
      </c>
      <c r="B5029" s="6" t="n">
        <v>42945</v>
      </c>
      <c r="C5029" s="7" t="s">
        <v>45</v>
      </c>
      <c r="D5029" s="7" t="s">
        <v>138</v>
      </c>
      <c r="E5029" s="7" t="s">
        <v>31</v>
      </c>
      <c r="F5029" s="0" t="n">
        <v>302.67</v>
      </c>
      <c r="G5029" s="0" t="n">
        <v>72.6408</v>
      </c>
      <c r="H5029" s="0" t="n">
        <v>0</v>
      </c>
      <c r="I5029" s="7" t="n">
        <f aca="false">YEAR(B5029)</f>
        <v>2017</v>
      </c>
      <c r="J5029" s="0" t="str">
        <f aca="false">I5029&amp;"-Q"&amp;ROUNDUP(MONTH(B5029)/3,0)</f>
        <v>2017-Q3</v>
      </c>
    </row>
    <row r="5030" customFormat="false" ht="15" hidden="false" customHeight="false" outlineLevel="0" collapsed="false">
      <c r="A5030" s="0" t="s">
        <v>2571</v>
      </c>
      <c r="B5030" s="6" t="n">
        <v>41884</v>
      </c>
      <c r="C5030" s="7" t="s">
        <v>45</v>
      </c>
      <c r="D5030" s="7" t="s">
        <v>64</v>
      </c>
      <c r="E5030" s="7" t="s">
        <v>39</v>
      </c>
      <c r="F5030" s="0" t="n">
        <v>239.976</v>
      </c>
      <c r="G5030" s="0" t="n">
        <v>53.9946</v>
      </c>
      <c r="H5030" s="0" t="n">
        <v>0.2</v>
      </c>
      <c r="I5030" s="7" t="n">
        <f aca="false">YEAR(B5030)</f>
        <v>2014</v>
      </c>
      <c r="J5030" s="0" t="str">
        <f aca="false">I5030&amp;"-Q"&amp;ROUNDUP(MONTH(B5030)/3,0)</f>
        <v>2014-Q3</v>
      </c>
    </row>
    <row r="5031" customFormat="false" ht="15" hidden="false" customHeight="false" outlineLevel="0" collapsed="false">
      <c r="A5031" s="0" t="s">
        <v>2572</v>
      </c>
      <c r="B5031" s="6" t="n">
        <v>42764</v>
      </c>
      <c r="C5031" s="7" t="s">
        <v>33</v>
      </c>
      <c r="D5031" s="7" t="s">
        <v>34</v>
      </c>
      <c r="E5031" s="7" t="s">
        <v>35</v>
      </c>
      <c r="F5031" s="0" t="n">
        <v>8.34</v>
      </c>
      <c r="G5031" s="0" t="n">
        <v>2.1684</v>
      </c>
      <c r="H5031" s="0" t="n">
        <v>0</v>
      </c>
      <c r="I5031" s="7" t="n">
        <f aca="false">YEAR(B5031)</f>
        <v>2017</v>
      </c>
      <c r="J5031" s="0" t="str">
        <f aca="false">I5031&amp;"-Q"&amp;ROUNDUP(MONTH(B5031)/3,0)</f>
        <v>2017-Q1</v>
      </c>
    </row>
    <row r="5032" customFormat="false" ht="15" hidden="false" customHeight="false" outlineLevel="0" collapsed="false">
      <c r="A5032" s="0" t="s">
        <v>2572</v>
      </c>
      <c r="B5032" s="6" t="n">
        <v>42764</v>
      </c>
      <c r="C5032" s="7" t="s">
        <v>33</v>
      </c>
      <c r="D5032" s="7" t="s">
        <v>34</v>
      </c>
      <c r="E5032" s="7" t="s">
        <v>35</v>
      </c>
      <c r="F5032" s="0" t="n">
        <v>8.57</v>
      </c>
      <c r="G5032" s="0" t="n">
        <v>2.2282</v>
      </c>
      <c r="H5032" s="0" t="n">
        <v>0</v>
      </c>
      <c r="I5032" s="7" t="n">
        <f aca="false">YEAR(B5032)</f>
        <v>2017</v>
      </c>
      <c r="J5032" s="0" t="str">
        <f aca="false">I5032&amp;"-Q"&amp;ROUNDUP(MONTH(B5032)/3,0)</f>
        <v>2017-Q1</v>
      </c>
    </row>
    <row r="5033" customFormat="false" ht="15" hidden="false" customHeight="false" outlineLevel="0" collapsed="false">
      <c r="A5033" s="0" t="s">
        <v>2572</v>
      </c>
      <c r="B5033" s="6" t="n">
        <v>42764</v>
      </c>
      <c r="C5033" s="7" t="s">
        <v>33</v>
      </c>
      <c r="D5033" s="7" t="s">
        <v>34</v>
      </c>
      <c r="E5033" s="7" t="s">
        <v>35</v>
      </c>
      <c r="F5033" s="0" t="n">
        <v>119.616</v>
      </c>
      <c r="G5033" s="0" t="n">
        <v>40.3704</v>
      </c>
      <c r="H5033" s="0" t="n">
        <v>0.2</v>
      </c>
      <c r="I5033" s="7" t="n">
        <f aca="false">YEAR(B5033)</f>
        <v>2017</v>
      </c>
      <c r="J5033" s="0" t="str">
        <f aca="false">I5033&amp;"-Q"&amp;ROUNDUP(MONTH(B5033)/3,0)</f>
        <v>2017-Q1</v>
      </c>
    </row>
    <row r="5034" customFormat="false" ht="15" hidden="false" customHeight="false" outlineLevel="0" collapsed="false">
      <c r="A5034" s="0" t="s">
        <v>2573</v>
      </c>
      <c r="B5034" s="6" t="n">
        <v>42730</v>
      </c>
      <c r="C5034" s="7" t="s">
        <v>55</v>
      </c>
      <c r="D5034" s="7" t="s">
        <v>161</v>
      </c>
      <c r="E5034" s="7" t="s">
        <v>31</v>
      </c>
      <c r="F5034" s="0" t="n">
        <v>212.94</v>
      </c>
      <c r="G5034" s="0" t="n">
        <v>25.5528</v>
      </c>
      <c r="H5034" s="0" t="n">
        <v>0</v>
      </c>
      <c r="I5034" s="7" t="n">
        <f aca="false">YEAR(B5034)</f>
        <v>2016</v>
      </c>
      <c r="J5034" s="0" t="str">
        <f aca="false">I5034&amp;"-Q"&amp;ROUNDUP(MONTH(B5034)/3,0)</f>
        <v>2016-Q4</v>
      </c>
    </row>
    <row r="5035" customFormat="false" ht="15" hidden="false" customHeight="false" outlineLevel="0" collapsed="false">
      <c r="A5035" s="0" t="s">
        <v>2573</v>
      </c>
      <c r="B5035" s="6" t="n">
        <v>42730</v>
      </c>
      <c r="C5035" s="7" t="s">
        <v>55</v>
      </c>
      <c r="D5035" s="7" t="s">
        <v>161</v>
      </c>
      <c r="E5035" s="7" t="s">
        <v>35</v>
      </c>
      <c r="F5035" s="0" t="n">
        <v>26.49</v>
      </c>
      <c r="G5035" s="0" t="n">
        <v>7.4172</v>
      </c>
      <c r="H5035" s="0" t="n">
        <v>0</v>
      </c>
      <c r="I5035" s="7" t="n">
        <f aca="false">YEAR(B5035)</f>
        <v>2016</v>
      </c>
      <c r="J5035" s="0" t="str">
        <f aca="false">I5035&amp;"-Q"&amp;ROUNDUP(MONTH(B5035)/3,0)</f>
        <v>2016-Q4</v>
      </c>
    </row>
    <row r="5036" customFormat="false" ht="15" hidden="false" customHeight="false" outlineLevel="0" collapsed="false">
      <c r="A5036" s="0" t="s">
        <v>2574</v>
      </c>
      <c r="B5036" s="6" t="n">
        <v>42225</v>
      </c>
      <c r="C5036" s="7" t="s">
        <v>45</v>
      </c>
      <c r="D5036" s="7" t="s">
        <v>48</v>
      </c>
      <c r="E5036" s="7" t="s">
        <v>31</v>
      </c>
      <c r="F5036" s="0" t="n">
        <v>687.4</v>
      </c>
      <c r="G5036" s="0" t="n">
        <v>48.118</v>
      </c>
      <c r="H5036" s="0" t="n">
        <v>0</v>
      </c>
      <c r="I5036" s="7" t="n">
        <f aca="false">YEAR(B5036)</f>
        <v>2015</v>
      </c>
      <c r="J5036" s="0" t="str">
        <f aca="false">I5036&amp;"-Q"&amp;ROUNDUP(MONTH(B5036)/3,0)</f>
        <v>2015-Q3</v>
      </c>
    </row>
    <row r="5037" customFormat="false" ht="15" hidden="false" customHeight="false" outlineLevel="0" collapsed="false">
      <c r="A5037" s="0" t="s">
        <v>2575</v>
      </c>
      <c r="B5037" s="6" t="n">
        <v>41735</v>
      </c>
      <c r="C5037" s="7" t="s">
        <v>33</v>
      </c>
      <c r="D5037" s="7" t="s">
        <v>43</v>
      </c>
      <c r="E5037" s="7" t="s">
        <v>31</v>
      </c>
      <c r="F5037" s="0" t="n">
        <v>653.55</v>
      </c>
      <c r="G5037" s="0" t="n">
        <v>111.1035</v>
      </c>
      <c r="H5037" s="0" t="n">
        <v>0</v>
      </c>
      <c r="I5037" s="7" t="n">
        <f aca="false">YEAR(B5037)</f>
        <v>2014</v>
      </c>
      <c r="J5037" s="0" t="str">
        <f aca="false">I5037&amp;"-Q"&amp;ROUNDUP(MONTH(B5037)/3,0)</f>
        <v>2014-Q2</v>
      </c>
    </row>
    <row r="5038" customFormat="false" ht="15" hidden="false" customHeight="false" outlineLevel="0" collapsed="false">
      <c r="A5038" s="0" t="s">
        <v>2575</v>
      </c>
      <c r="B5038" s="6" t="n">
        <v>41735</v>
      </c>
      <c r="C5038" s="7" t="s">
        <v>33</v>
      </c>
      <c r="D5038" s="7" t="s">
        <v>43</v>
      </c>
      <c r="E5038" s="7" t="s">
        <v>39</v>
      </c>
      <c r="F5038" s="0" t="n">
        <v>33.9</v>
      </c>
      <c r="G5038" s="0" t="n">
        <v>2.034</v>
      </c>
      <c r="H5038" s="0" t="n">
        <v>0</v>
      </c>
      <c r="I5038" s="7" t="n">
        <f aca="false">YEAR(B5038)</f>
        <v>2014</v>
      </c>
      <c r="J5038" s="0" t="str">
        <f aca="false">I5038&amp;"-Q"&amp;ROUNDUP(MONTH(B5038)/3,0)</f>
        <v>2014-Q2</v>
      </c>
    </row>
    <row r="5039" customFormat="false" ht="15" hidden="false" customHeight="false" outlineLevel="0" collapsed="false">
      <c r="A5039" s="0" t="s">
        <v>2576</v>
      </c>
      <c r="B5039" s="6" t="n">
        <v>43056</v>
      </c>
      <c r="C5039" s="7" t="s">
        <v>45</v>
      </c>
      <c r="D5039" s="7" t="s">
        <v>64</v>
      </c>
      <c r="E5039" s="7" t="s">
        <v>39</v>
      </c>
      <c r="F5039" s="0" t="n">
        <v>239.96</v>
      </c>
      <c r="G5039" s="0" t="n">
        <v>83.986</v>
      </c>
      <c r="H5039" s="0" t="n">
        <v>0.2</v>
      </c>
      <c r="I5039" s="7" t="n">
        <f aca="false">YEAR(B5039)</f>
        <v>2017</v>
      </c>
      <c r="J5039" s="0" t="str">
        <f aca="false">I5039&amp;"-Q"&amp;ROUNDUP(MONTH(B5039)/3,0)</f>
        <v>2017-Q4</v>
      </c>
    </row>
    <row r="5040" customFormat="false" ht="15" hidden="false" customHeight="false" outlineLevel="0" collapsed="false">
      <c r="A5040" s="0" t="s">
        <v>2577</v>
      </c>
      <c r="B5040" s="6" t="n">
        <v>42196</v>
      </c>
      <c r="C5040" s="7" t="s">
        <v>55</v>
      </c>
      <c r="D5040" s="7" t="s">
        <v>72</v>
      </c>
      <c r="E5040" s="7" t="s">
        <v>31</v>
      </c>
      <c r="F5040" s="0" t="n">
        <v>199.836</v>
      </c>
      <c r="G5040" s="0" t="n">
        <v>-37.1124</v>
      </c>
      <c r="H5040" s="0" t="n">
        <v>0.3</v>
      </c>
      <c r="I5040" s="7" t="n">
        <f aca="false">YEAR(B5040)</f>
        <v>2015</v>
      </c>
      <c r="J5040" s="0" t="str">
        <f aca="false">I5040&amp;"-Q"&amp;ROUNDUP(MONTH(B5040)/3,0)</f>
        <v>2015-Q3</v>
      </c>
    </row>
    <row r="5041" customFormat="false" ht="15" hidden="false" customHeight="false" outlineLevel="0" collapsed="false">
      <c r="A5041" s="0" t="s">
        <v>2577</v>
      </c>
      <c r="B5041" s="6" t="n">
        <v>42196</v>
      </c>
      <c r="C5041" s="7" t="s">
        <v>55</v>
      </c>
      <c r="D5041" s="7" t="s">
        <v>72</v>
      </c>
      <c r="E5041" s="7" t="s">
        <v>39</v>
      </c>
      <c r="F5041" s="0" t="n">
        <v>716</v>
      </c>
      <c r="G5041" s="0" t="n">
        <v>193.32</v>
      </c>
      <c r="H5041" s="0" t="n">
        <v>0</v>
      </c>
      <c r="I5041" s="7" t="n">
        <f aca="false">YEAR(B5041)</f>
        <v>2015</v>
      </c>
      <c r="J5041" s="0" t="str">
        <f aca="false">I5041&amp;"-Q"&amp;ROUNDUP(MONTH(B5041)/3,0)</f>
        <v>2015-Q3</v>
      </c>
    </row>
    <row r="5042" customFormat="false" ht="15" hidden="false" customHeight="false" outlineLevel="0" collapsed="false">
      <c r="A5042" s="0" t="s">
        <v>2577</v>
      </c>
      <c r="B5042" s="6" t="n">
        <v>42196</v>
      </c>
      <c r="C5042" s="7" t="s">
        <v>55</v>
      </c>
      <c r="D5042" s="7" t="s">
        <v>72</v>
      </c>
      <c r="E5042" s="7" t="s">
        <v>35</v>
      </c>
      <c r="F5042" s="0" t="n">
        <v>221.06</v>
      </c>
      <c r="G5042" s="0" t="n">
        <v>103.8982</v>
      </c>
      <c r="H5042" s="0" t="n">
        <v>0</v>
      </c>
      <c r="I5042" s="7" t="n">
        <f aca="false">YEAR(B5042)</f>
        <v>2015</v>
      </c>
      <c r="J5042" s="0" t="str">
        <f aca="false">I5042&amp;"-Q"&amp;ROUNDUP(MONTH(B5042)/3,0)</f>
        <v>2015-Q3</v>
      </c>
    </row>
    <row r="5043" customFormat="false" ht="15" hidden="false" customHeight="false" outlineLevel="0" collapsed="false">
      <c r="A5043" s="0" t="s">
        <v>2578</v>
      </c>
      <c r="B5043" s="6" t="n">
        <v>42684</v>
      </c>
      <c r="C5043" s="7" t="s">
        <v>33</v>
      </c>
      <c r="D5043" s="7" t="s">
        <v>34</v>
      </c>
      <c r="E5043" s="7" t="s">
        <v>35</v>
      </c>
      <c r="F5043" s="0" t="n">
        <v>67.71</v>
      </c>
      <c r="G5043" s="0" t="n">
        <v>32.5008</v>
      </c>
      <c r="H5043" s="0" t="n">
        <v>0</v>
      </c>
      <c r="I5043" s="7" t="n">
        <f aca="false">YEAR(B5043)</f>
        <v>2016</v>
      </c>
      <c r="J5043" s="0" t="str">
        <f aca="false">I5043&amp;"-Q"&amp;ROUNDUP(MONTH(B5043)/3,0)</f>
        <v>2016-Q4</v>
      </c>
    </row>
    <row r="5044" customFormat="false" ht="15" hidden="false" customHeight="false" outlineLevel="0" collapsed="false">
      <c r="A5044" s="0" t="s">
        <v>2578</v>
      </c>
      <c r="B5044" s="6" t="n">
        <v>42684</v>
      </c>
      <c r="C5044" s="7" t="s">
        <v>33</v>
      </c>
      <c r="D5044" s="7" t="s">
        <v>34</v>
      </c>
      <c r="E5044" s="7" t="s">
        <v>35</v>
      </c>
      <c r="F5044" s="0" t="n">
        <v>129.92</v>
      </c>
      <c r="G5044" s="0" t="n">
        <v>38.976</v>
      </c>
      <c r="H5044" s="0" t="n">
        <v>0</v>
      </c>
      <c r="I5044" s="7" t="n">
        <f aca="false">YEAR(B5044)</f>
        <v>2016</v>
      </c>
      <c r="J5044" s="0" t="str">
        <f aca="false">I5044&amp;"-Q"&amp;ROUNDUP(MONTH(B5044)/3,0)</f>
        <v>2016-Q4</v>
      </c>
    </row>
    <row r="5045" customFormat="false" ht="15" hidden="false" customHeight="false" outlineLevel="0" collapsed="false">
      <c r="A5045" s="0" t="s">
        <v>2578</v>
      </c>
      <c r="B5045" s="6" t="n">
        <v>42684</v>
      </c>
      <c r="C5045" s="7" t="s">
        <v>33</v>
      </c>
      <c r="D5045" s="7" t="s">
        <v>34</v>
      </c>
      <c r="E5045" s="7" t="s">
        <v>31</v>
      </c>
      <c r="F5045" s="0" t="n">
        <v>467.46</v>
      </c>
      <c r="G5045" s="0" t="n">
        <v>191.6586</v>
      </c>
      <c r="H5045" s="0" t="n">
        <v>0</v>
      </c>
      <c r="I5045" s="7" t="n">
        <f aca="false">YEAR(B5045)</f>
        <v>2016</v>
      </c>
      <c r="J5045" s="0" t="str">
        <f aca="false">I5045&amp;"-Q"&amp;ROUNDUP(MONTH(B5045)/3,0)</f>
        <v>2016-Q4</v>
      </c>
    </row>
    <row r="5046" customFormat="false" ht="15" hidden="false" customHeight="false" outlineLevel="0" collapsed="false">
      <c r="A5046" s="0" t="s">
        <v>2578</v>
      </c>
      <c r="B5046" s="6" t="n">
        <v>42684</v>
      </c>
      <c r="C5046" s="7" t="s">
        <v>33</v>
      </c>
      <c r="D5046" s="7" t="s">
        <v>34</v>
      </c>
      <c r="E5046" s="7" t="s">
        <v>35</v>
      </c>
      <c r="F5046" s="0" t="n">
        <v>61.4</v>
      </c>
      <c r="G5046" s="0" t="n">
        <v>28.858</v>
      </c>
      <c r="H5046" s="0" t="n">
        <v>0</v>
      </c>
      <c r="I5046" s="7" t="n">
        <f aca="false">YEAR(B5046)</f>
        <v>2016</v>
      </c>
      <c r="J5046" s="0" t="str">
        <f aca="false">I5046&amp;"-Q"&amp;ROUNDUP(MONTH(B5046)/3,0)</f>
        <v>2016-Q4</v>
      </c>
    </row>
    <row r="5047" customFormat="false" ht="15" hidden="false" customHeight="false" outlineLevel="0" collapsed="false">
      <c r="A5047" s="0" t="s">
        <v>2578</v>
      </c>
      <c r="B5047" s="6" t="n">
        <v>42684</v>
      </c>
      <c r="C5047" s="7" t="s">
        <v>33</v>
      </c>
      <c r="D5047" s="7" t="s">
        <v>34</v>
      </c>
      <c r="E5047" s="7" t="s">
        <v>35</v>
      </c>
      <c r="F5047" s="0" t="n">
        <v>720.76</v>
      </c>
      <c r="G5047" s="0" t="n">
        <v>187.3976</v>
      </c>
      <c r="H5047" s="0" t="n">
        <v>0</v>
      </c>
      <c r="I5047" s="7" t="n">
        <f aca="false">YEAR(B5047)</f>
        <v>2016</v>
      </c>
      <c r="J5047" s="0" t="str">
        <f aca="false">I5047&amp;"-Q"&amp;ROUNDUP(MONTH(B5047)/3,0)</f>
        <v>2016-Q4</v>
      </c>
    </row>
    <row r="5048" customFormat="false" ht="15" hidden="false" customHeight="false" outlineLevel="0" collapsed="false">
      <c r="A5048" s="0" t="s">
        <v>2578</v>
      </c>
      <c r="B5048" s="6" t="n">
        <v>42684</v>
      </c>
      <c r="C5048" s="7" t="s">
        <v>33</v>
      </c>
      <c r="D5048" s="7" t="s">
        <v>34</v>
      </c>
      <c r="E5048" s="7" t="s">
        <v>35</v>
      </c>
      <c r="F5048" s="0" t="n">
        <v>5.184</v>
      </c>
      <c r="G5048" s="0" t="n">
        <v>1.8144</v>
      </c>
      <c r="H5048" s="0" t="n">
        <v>0.2</v>
      </c>
      <c r="I5048" s="7" t="n">
        <f aca="false">YEAR(B5048)</f>
        <v>2016</v>
      </c>
      <c r="J5048" s="0" t="str">
        <f aca="false">I5048&amp;"-Q"&amp;ROUNDUP(MONTH(B5048)/3,0)</f>
        <v>2016-Q4</v>
      </c>
    </row>
    <row r="5049" customFormat="false" ht="15" hidden="false" customHeight="false" outlineLevel="0" collapsed="false">
      <c r="A5049" s="0" t="s">
        <v>2578</v>
      </c>
      <c r="B5049" s="6" t="n">
        <v>42684</v>
      </c>
      <c r="C5049" s="7" t="s">
        <v>33</v>
      </c>
      <c r="D5049" s="7" t="s">
        <v>34</v>
      </c>
      <c r="E5049" s="7" t="s">
        <v>35</v>
      </c>
      <c r="F5049" s="0" t="n">
        <v>14.7</v>
      </c>
      <c r="G5049" s="0" t="n">
        <v>3.969</v>
      </c>
      <c r="H5049" s="0" t="n">
        <v>0</v>
      </c>
      <c r="I5049" s="7" t="n">
        <f aca="false">YEAR(B5049)</f>
        <v>2016</v>
      </c>
      <c r="J5049" s="0" t="str">
        <f aca="false">I5049&amp;"-Q"&amp;ROUNDUP(MONTH(B5049)/3,0)</f>
        <v>2016-Q4</v>
      </c>
    </row>
    <row r="5050" customFormat="false" ht="15" hidden="false" customHeight="false" outlineLevel="0" collapsed="false">
      <c r="A5050" s="0" t="s">
        <v>2579</v>
      </c>
      <c r="B5050" s="6" t="n">
        <v>41729</v>
      </c>
      <c r="C5050" s="7" t="s">
        <v>45</v>
      </c>
      <c r="D5050" s="7" t="s">
        <v>64</v>
      </c>
      <c r="E5050" s="7" t="s">
        <v>35</v>
      </c>
      <c r="F5050" s="0" t="n">
        <v>8.134</v>
      </c>
      <c r="G5050" s="0" t="n">
        <v>-13.8278</v>
      </c>
      <c r="H5050" s="0" t="n">
        <v>0.8</v>
      </c>
      <c r="I5050" s="7" t="n">
        <f aca="false">YEAR(B5050)</f>
        <v>2014</v>
      </c>
      <c r="J5050" s="0" t="str">
        <f aca="false">I5050&amp;"-Q"&amp;ROUNDUP(MONTH(B5050)/3,0)</f>
        <v>2014-Q1</v>
      </c>
    </row>
    <row r="5051" customFormat="false" ht="15" hidden="false" customHeight="false" outlineLevel="0" collapsed="false">
      <c r="A5051" s="0" t="s">
        <v>2579</v>
      </c>
      <c r="B5051" s="6" t="n">
        <v>41729</v>
      </c>
      <c r="C5051" s="7" t="s">
        <v>45</v>
      </c>
      <c r="D5051" s="7" t="s">
        <v>64</v>
      </c>
      <c r="E5051" s="7" t="s">
        <v>39</v>
      </c>
      <c r="F5051" s="0" t="n">
        <v>79.984</v>
      </c>
      <c r="G5051" s="0" t="n">
        <v>13.9972</v>
      </c>
      <c r="H5051" s="0" t="n">
        <v>0.2</v>
      </c>
      <c r="I5051" s="7" t="n">
        <f aca="false">YEAR(B5051)</f>
        <v>2014</v>
      </c>
      <c r="J5051" s="0" t="str">
        <f aca="false">I5051&amp;"-Q"&amp;ROUNDUP(MONTH(B5051)/3,0)</f>
        <v>2014-Q1</v>
      </c>
    </row>
    <row r="5052" customFormat="false" ht="15" hidden="false" customHeight="false" outlineLevel="0" collapsed="false">
      <c r="A5052" s="0" t="s">
        <v>2580</v>
      </c>
      <c r="B5052" s="6" t="n">
        <v>42265</v>
      </c>
      <c r="C5052" s="7" t="s">
        <v>33</v>
      </c>
      <c r="D5052" s="7" t="s">
        <v>43</v>
      </c>
      <c r="E5052" s="7" t="s">
        <v>35</v>
      </c>
      <c r="F5052" s="0" t="n">
        <v>18.54</v>
      </c>
      <c r="G5052" s="0" t="n">
        <v>8.7138</v>
      </c>
      <c r="H5052" s="0" t="n">
        <v>0</v>
      </c>
      <c r="I5052" s="7" t="n">
        <f aca="false">YEAR(B5052)</f>
        <v>2015</v>
      </c>
      <c r="J5052" s="0" t="str">
        <f aca="false">I5052&amp;"-Q"&amp;ROUNDUP(MONTH(B5052)/3,0)</f>
        <v>2015-Q3</v>
      </c>
    </row>
    <row r="5053" customFormat="false" ht="15" hidden="false" customHeight="false" outlineLevel="0" collapsed="false">
      <c r="A5053" s="0" t="s">
        <v>2581</v>
      </c>
      <c r="B5053" s="6" t="n">
        <v>42315</v>
      </c>
      <c r="C5053" s="7" t="s">
        <v>55</v>
      </c>
      <c r="D5053" s="7" t="s">
        <v>56</v>
      </c>
      <c r="E5053" s="7" t="s">
        <v>35</v>
      </c>
      <c r="F5053" s="0" t="n">
        <v>24.4</v>
      </c>
      <c r="G5053" s="0" t="n">
        <v>7.93</v>
      </c>
      <c r="H5053" s="0" t="n">
        <v>0.2</v>
      </c>
      <c r="I5053" s="7" t="n">
        <f aca="false">YEAR(B5053)</f>
        <v>2015</v>
      </c>
      <c r="J5053" s="0" t="str">
        <f aca="false">I5053&amp;"-Q"&amp;ROUNDUP(MONTH(B5053)/3,0)</f>
        <v>2015-Q4</v>
      </c>
    </row>
    <row r="5054" customFormat="false" ht="15" hidden="false" customHeight="false" outlineLevel="0" collapsed="false">
      <c r="A5054" s="0" t="s">
        <v>2582</v>
      </c>
      <c r="B5054" s="6" t="n">
        <v>42874</v>
      </c>
      <c r="C5054" s="7" t="s">
        <v>29</v>
      </c>
      <c r="D5054" s="7" t="s">
        <v>230</v>
      </c>
      <c r="E5054" s="7" t="s">
        <v>35</v>
      </c>
      <c r="F5054" s="0" t="n">
        <v>195.64</v>
      </c>
      <c r="G5054" s="0" t="n">
        <v>91.9508</v>
      </c>
      <c r="H5054" s="0" t="n">
        <v>0</v>
      </c>
      <c r="I5054" s="7" t="n">
        <f aca="false">YEAR(B5054)</f>
        <v>2017</v>
      </c>
      <c r="J5054" s="0" t="str">
        <f aca="false">I5054&amp;"-Q"&amp;ROUNDUP(MONTH(B5054)/3,0)</f>
        <v>2017-Q2</v>
      </c>
    </row>
    <row r="5055" customFormat="false" ht="15" hidden="false" customHeight="false" outlineLevel="0" collapsed="false">
      <c r="A5055" s="0" t="s">
        <v>2583</v>
      </c>
      <c r="B5055" s="6" t="n">
        <v>42007</v>
      </c>
      <c r="C5055" s="7" t="s">
        <v>45</v>
      </c>
      <c r="D5055" s="7" t="s">
        <v>46</v>
      </c>
      <c r="E5055" s="7" t="s">
        <v>39</v>
      </c>
      <c r="F5055" s="0" t="n">
        <v>398.4</v>
      </c>
      <c r="G5055" s="0" t="n">
        <v>84.66</v>
      </c>
      <c r="H5055" s="0" t="n">
        <v>0.2</v>
      </c>
      <c r="I5055" s="7" t="n">
        <f aca="false">YEAR(B5055)</f>
        <v>2015</v>
      </c>
      <c r="J5055" s="0" t="str">
        <f aca="false">I5055&amp;"-Q"&amp;ROUNDUP(MONTH(B5055)/3,0)</f>
        <v>2015-Q1</v>
      </c>
    </row>
    <row r="5056" customFormat="false" ht="15" hidden="false" customHeight="false" outlineLevel="0" collapsed="false">
      <c r="A5056" s="0" t="s">
        <v>2583</v>
      </c>
      <c r="B5056" s="6" t="n">
        <v>42007</v>
      </c>
      <c r="C5056" s="7" t="s">
        <v>45</v>
      </c>
      <c r="D5056" s="7" t="s">
        <v>46</v>
      </c>
      <c r="E5056" s="7" t="s">
        <v>35</v>
      </c>
      <c r="F5056" s="0" t="n">
        <v>7.056</v>
      </c>
      <c r="G5056" s="0" t="n">
        <v>0.7938</v>
      </c>
      <c r="H5056" s="0" t="n">
        <v>0.2</v>
      </c>
      <c r="I5056" s="7" t="n">
        <f aca="false">YEAR(B5056)</f>
        <v>2015</v>
      </c>
      <c r="J5056" s="0" t="str">
        <f aca="false">I5056&amp;"-Q"&amp;ROUNDUP(MONTH(B5056)/3,0)</f>
        <v>2015-Q1</v>
      </c>
    </row>
    <row r="5057" customFormat="false" ht="15" hidden="false" customHeight="false" outlineLevel="0" collapsed="false">
      <c r="A5057" s="0" t="s">
        <v>2583</v>
      </c>
      <c r="B5057" s="6" t="n">
        <v>42007</v>
      </c>
      <c r="C5057" s="7" t="s">
        <v>45</v>
      </c>
      <c r="D5057" s="7" t="s">
        <v>46</v>
      </c>
      <c r="E5057" s="7" t="s">
        <v>31</v>
      </c>
      <c r="F5057" s="0" t="n">
        <v>1352.3976</v>
      </c>
      <c r="G5057" s="0" t="n">
        <v>-437.5404</v>
      </c>
      <c r="H5057" s="0" t="n">
        <v>0.32</v>
      </c>
      <c r="I5057" s="7" t="n">
        <f aca="false">YEAR(B5057)</f>
        <v>2015</v>
      </c>
      <c r="J5057" s="0" t="str">
        <f aca="false">I5057&amp;"-Q"&amp;ROUNDUP(MONTH(B5057)/3,0)</f>
        <v>2015-Q1</v>
      </c>
    </row>
    <row r="5058" customFormat="false" ht="15" hidden="false" customHeight="false" outlineLevel="0" collapsed="false">
      <c r="A5058" s="0" t="s">
        <v>2584</v>
      </c>
      <c r="B5058" s="6" t="n">
        <v>42255</v>
      </c>
      <c r="C5058" s="7" t="s">
        <v>33</v>
      </c>
      <c r="D5058" s="7" t="s">
        <v>34</v>
      </c>
      <c r="E5058" s="7" t="s">
        <v>35</v>
      </c>
      <c r="F5058" s="0" t="n">
        <v>26.4</v>
      </c>
      <c r="G5058" s="0" t="n">
        <v>11.88</v>
      </c>
      <c r="H5058" s="0" t="n">
        <v>0</v>
      </c>
      <c r="I5058" s="7" t="n">
        <f aca="false">YEAR(B5058)</f>
        <v>2015</v>
      </c>
      <c r="J5058" s="0" t="str">
        <f aca="false">I5058&amp;"-Q"&amp;ROUNDUP(MONTH(B5058)/3,0)</f>
        <v>2015-Q3</v>
      </c>
    </row>
    <row r="5059" customFormat="false" ht="15" hidden="false" customHeight="false" outlineLevel="0" collapsed="false">
      <c r="A5059" s="0" t="s">
        <v>2584</v>
      </c>
      <c r="B5059" s="6" t="n">
        <v>42255</v>
      </c>
      <c r="C5059" s="7" t="s">
        <v>33</v>
      </c>
      <c r="D5059" s="7" t="s">
        <v>34</v>
      </c>
      <c r="E5059" s="7" t="s">
        <v>35</v>
      </c>
      <c r="F5059" s="0" t="n">
        <v>41.88</v>
      </c>
      <c r="G5059" s="0" t="n">
        <v>0.8376</v>
      </c>
      <c r="H5059" s="0" t="n">
        <v>0</v>
      </c>
      <c r="I5059" s="7" t="n">
        <f aca="false">YEAR(B5059)</f>
        <v>2015</v>
      </c>
      <c r="J5059" s="0" t="str">
        <f aca="false">I5059&amp;"-Q"&amp;ROUNDUP(MONTH(B5059)/3,0)</f>
        <v>2015-Q3</v>
      </c>
    </row>
    <row r="5060" customFormat="false" ht="15" hidden="false" customHeight="false" outlineLevel="0" collapsed="false">
      <c r="A5060" s="0" t="s">
        <v>2585</v>
      </c>
      <c r="B5060" s="6" t="n">
        <v>42463</v>
      </c>
      <c r="C5060" s="7" t="s">
        <v>55</v>
      </c>
      <c r="D5060" s="7" t="s">
        <v>56</v>
      </c>
      <c r="E5060" s="7" t="s">
        <v>35</v>
      </c>
      <c r="F5060" s="0" t="n">
        <v>99.846</v>
      </c>
      <c r="G5060" s="0" t="n">
        <v>-83.205</v>
      </c>
      <c r="H5060" s="0" t="n">
        <v>0.7</v>
      </c>
      <c r="I5060" s="7" t="n">
        <f aca="false">YEAR(B5060)</f>
        <v>2016</v>
      </c>
      <c r="J5060" s="0" t="str">
        <f aca="false">I5060&amp;"-Q"&amp;ROUNDUP(MONTH(B5060)/3,0)</f>
        <v>2016-Q2</v>
      </c>
    </row>
    <row r="5061" customFormat="false" ht="15" hidden="false" customHeight="false" outlineLevel="0" collapsed="false">
      <c r="A5061" s="0" t="s">
        <v>2586</v>
      </c>
      <c r="B5061" s="6" t="n">
        <v>42709</v>
      </c>
      <c r="C5061" s="7" t="s">
        <v>29</v>
      </c>
      <c r="D5061" s="7" t="s">
        <v>30</v>
      </c>
      <c r="E5061" s="7" t="s">
        <v>39</v>
      </c>
      <c r="F5061" s="0" t="n">
        <v>699.98</v>
      </c>
      <c r="G5061" s="0" t="n">
        <v>195.9944</v>
      </c>
      <c r="H5061" s="0" t="n">
        <v>0</v>
      </c>
      <c r="I5061" s="7" t="n">
        <f aca="false">YEAR(B5061)</f>
        <v>2016</v>
      </c>
      <c r="J5061" s="0" t="str">
        <f aca="false">I5061&amp;"-Q"&amp;ROUNDUP(MONTH(B5061)/3,0)</f>
        <v>2016-Q4</v>
      </c>
    </row>
    <row r="5062" customFormat="false" ht="15" hidden="false" customHeight="false" outlineLevel="0" collapsed="false">
      <c r="A5062" s="0" t="s">
        <v>2586</v>
      </c>
      <c r="B5062" s="6" t="n">
        <v>42709</v>
      </c>
      <c r="C5062" s="7" t="s">
        <v>29</v>
      </c>
      <c r="D5062" s="7" t="s">
        <v>30</v>
      </c>
      <c r="E5062" s="7" t="s">
        <v>35</v>
      </c>
      <c r="F5062" s="0" t="n">
        <v>584.82</v>
      </c>
      <c r="G5062" s="0" t="n">
        <v>70.1784</v>
      </c>
      <c r="H5062" s="0" t="n">
        <v>0</v>
      </c>
      <c r="I5062" s="7" t="n">
        <f aca="false">YEAR(B5062)</f>
        <v>2016</v>
      </c>
      <c r="J5062" s="0" t="str">
        <f aca="false">I5062&amp;"-Q"&amp;ROUNDUP(MONTH(B5062)/3,0)</f>
        <v>2016-Q4</v>
      </c>
    </row>
    <row r="5063" customFormat="false" ht="15" hidden="false" customHeight="false" outlineLevel="0" collapsed="false">
      <c r="A5063" s="0" t="s">
        <v>2587</v>
      </c>
      <c r="B5063" s="6" t="n">
        <v>42132</v>
      </c>
      <c r="C5063" s="7" t="s">
        <v>45</v>
      </c>
      <c r="D5063" s="7" t="s">
        <v>68</v>
      </c>
      <c r="E5063" s="7" t="s">
        <v>35</v>
      </c>
      <c r="F5063" s="0" t="n">
        <v>43.98</v>
      </c>
      <c r="G5063" s="0" t="n">
        <v>21.99</v>
      </c>
      <c r="H5063" s="0" t="n">
        <v>0</v>
      </c>
      <c r="I5063" s="7" t="n">
        <f aca="false">YEAR(B5063)</f>
        <v>2015</v>
      </c>
      <c r="J5063" s="0" t="str">
        <f aca="false">I5063&amp;"-Q"&amp;ROUNDUP(MONTH(B5063)/3,0)</f>
        <v>2015-Q2</v>
      </c>
    </row>
    <row r="5064" customFormat="false" ht="15" hidden="false" customHeight="false" outlineLevel="0" collapsed="false">
      <c r="A5064" s="0" t="s">
        <v>2587</v>
      </c>
      <c r="B5064" s="6" t="n">
        <v>42132</v>
      </c>
      <c r="C5064" s="7" t="s">
        <v>45</v>
      </c>
      <c r="D5064" s="7" t="s">
        <v>68</v>
      </c>
      <c r="E5064" s="7" t="s">
        <v>39</v>
      </c>
      <c r="F5064" s="0" t="n">
        <v>377.97</v>
      </c>
      <c r="G5064" s="0" t="n">
        <v>105.8316</v>
      </c>
      <c r="H5064" s="0" t="n">
        <v>0</v>
      </c>
      <c r="I5064" s="7" t="n">
        <f aca="false">YEAR(B5064)</f>
        <v>2015</v>
      </c>
      <c r="J5064" s="0" t="str">
        <f aca="false">I5064&amp;"-Q"&amp;ROUNDUP(MONTH(B5064)/3,0)</f>
        <v>2015-Q2</v>
      </c>
    </row>
    <row r="5065" customFormat="false" ht="15" hidden="false" customHeight="false" outlineLevel="0" collapsed="false">
      <c r="A5065" s="0" t="s">
        <v>2587</v>
      </c>
      <c r="B5065" s="6" t="n">
        <v>42132</v>
      </c>
      <c r="C5065" s="7" t="s">
        <v>45</v>
      </c>
      <c r="D5065" s="7" t="s">
        <v>68</v>
      </c>
      <c r="E5065" s="7" t="s">
        <v>31</v>
      </c>
      <c r="F5065" s="0" t="n">
        <v>123.96</v>
      </c>
      <c r="G5065" s="0" t="n">
        <v>11.1564</v>
      </c>
      <c r="H5065" s="0" t="n">
        <v>0</v>
      </c>
      <c r="I5065" s="7" t="n">
        <f aca="false">YEAR(B5065)</f>
        <v>2015</v>
      </c>
      <c r="J5065" s="0" t="str">
        <f aca="false">I5065&amp;"-Q"&amp;ROUNDUP(MONTH(B5065)/3,0)</f>
        <v>2015-Q2</v>
      </c>
    </row>
    <row r="5066" customFormat="false" ht="15" hidden="false" customHeight="false" outlineLevel="0" collapsed="false">
      <c r="A5066" s="0" t="s">
        <v>2588</v>
      </c>
      <c r="B5066" s="6" t="n">
        <v>43000</v>
      </c>
      <c r="C5066" s="7" t="s">
        <v>55</v>
      </c>
      <c r="D5066" s="7" t="s">
        <v>72</v>
      </c>
      <c r="E5066" s="7" t="s">
        <v>39</v>
      </c>
      <c r="F5066" s="0" t="n">
        <v>391.98</v>
      </c>
      <c r="G5066" s="0" t="n">
        <v>113.6742</v>
      </c>
      <c r="H5066" s="0" t="n">
        <v>0</v>
      </c>
      <c r="I5066" s="7" t="n">
        <f aca="false">YEAR(B5066)</f>
        <v>2017</v>
      </c>
      <c r="J5066" s="0" t="str">
        <f aca="false">I5066&amp;"-Q"&amp;ROUNDUP(MONTH(B5066)/3,0)</f>
        <v>2017-Q3</v>
      </c>
    </row>
    <row r="5067" customFormat="false" ht="15" hidden="false" customHeight="false" outlineLevel="0" collapsed="false">
      <c r="A5067" s="0" t="s">
        <v>2589</v>
      </c>
      <c r="B5067" s="6" t="n">
        <v>43069</v>
      </c>
      <c r="C5067" s="7" t="s">
        <v>29</v>
      </c>
      <c r="D5067" s="7" t="s">
        <v>41</v>
      </c>
      <c r="E5067" s="7" t="s">
        <v>39</v>
      </c>
      <c r="F5067" s="0" t="n">
        <v>383.976</v>
      </c>
      <c r="G5067" s="0" t="n">
        <v>81.5949</v>
      </c>
      <c r="H5067" s="0" t="n">
        <v>0.2</v>
      </c>
      <c r="I5067" s="7" t="n">
        <f aca="false">YEAR(B5067)</f>
        <v>2017</v>
      </c>
      <c r="J5067" s="0" t="str">
        <f aca="false">I5067&amp;"-Q"&amp;ROUNDUP(MONTH(B5067)/3,0)</f>
        <v>2017-Q4</v>
      </c>
    </row>
    <row r="5068" customFormat="false" ht="15" hidden="false" customHeight="false" outlineLevel="0" collapsed="false">
      <c r="A5068" s="0" t="s">
        <v>2589</v>
      </c>
      <c r="B5068" s="6" t="n">
        <v>43069</v>
      </c>
      <c r="C5068" s="7" t="s">
        <v>29</v>
      </c>
      <c r="D5068" s="7" t="s">
        <v>41</v>
      </c>
      <c r="E5068" s="7" t="s">
        <v>31</v>
      </c>
      <c r="F5068" s="0" t="n">
        <v>1781.682</v>
      </c>
      <c r="G5068" s="0" t="n">
        <v>-653.2834</v>
      </c>
      <c r="H5068" s="0" t="n">
        <v>0.4</v>
      </c>
      <c r="I5068" s="7" t="n">
        <f aca="false">YEAR(B5068)</f>
        <v>2017</v>
      </c>
      <c r="J5068" s="0" t="str">
        <f aca="false">I5068&amp;"-Q"&amp;ROUNDUP(MONTH(B5068)/3,0)</f>
        <v>2017-Q4</v>
      </c>
    </row>
    <row r="5069" customFormat="false" ht="15" hidden="false" customHeight="false" outlineLevel="0" collapsed="false">
      <c r="A5069" s="0" t="s">
        <v>2590</v>
      </c>
      <c r="B5069" s="6" t="n">
        <v>42750</v>
      </c>
      <c r="C5069" s="7" t="s">
        <v>33</v>
      </c>
      <c r="D5069" s="7" t="s">
        <v>34</v>
      </c>
      <c r="E5069" s="7" t="s">
        <v>35</v>
      </c>
      <c r="F5069" s="0" t="n">
        <v>21.4</v>
      </c>
      <c r="G5069" s="0" t="n">
        <v>6.206</v>
      </c>
      <c r="H5069" s="0" t="n">
        <v>0</v>
      </c>
      <c r="I5069" s="7" t="n">
        <f aca="false">YEAR(B5069)</f>
        <v>2017</v>
      </c>
      <c r="J5069" s="0" t="str">
        <f aca="false">I5069&amp;"-Q"&amp;ROUNDUP(MONTH(B5069)/3,0)</f>
        <v>2017-Q1</v>
      </c>
    </row>
    <row r="5070" customFormat="false" ht="15" hidden="false" customHeight="false" outlineLevel="0" collapsed="false">
      <c r="A5070" s="0" t="s">
        <v>2591</v>
      </c>
      <c r="B5070" s="6" t="n">
        <v>41859</v>
      </c>
      <c r="C5070" s="7" t="s">
        <v>45</v>
      </c>
      <c r="D5070" s="7" t="s">
        <v>70</v>
      </c>
      <c r="E5070" s="7" t="s">
        <v>39</v>
      </c>
      <c r="F5070" s="0" t="n">
        <v>549.99</v>
      </c>
      <c r="G5070" s="0" t="n">
        <v>274.995</v>
      </c>
      <c r="H5070" s="0" t="n">
        <v>0</v>
      </c>
      <c r="I5070" s="7" t="n">
        <f aca="false">YEAR(B5070)</f>
        <v>2014</v>
      </c>
      <c r="J5070" s="0" t="str">
        <f aca="false">I5070&amp;"-Q"&amp;ROUNDUP(MONTH(B5070)/3,0)</f>
        <v>2014-Q3</v>
      </c>
    </row>
    <row r="5071" customFormat="false" ht="15" hidden="false" customHeight="false" outlineLevel="0" collapsed="false">
      <c r="A5071" s="0" t="s">
        <v>2591</v>
      </c>
      <c r="B5071" s="6" t="n">
        <v>41859</v>
      </c>
      <c r="C5071" s="7" t="s">
        <v>45</v>
      </c>
      <c r="D5071" s="7" t="s">
        <v>70</v>
      </c>
      <c r="E5071" s="7" t="s">
        <v>35</v>
      </c>
      <c r="F5071" s="0" t="n">
        <v>167.535</v>
      </c>
      <c r="G5071" s="0" t="n">
        <v>37.23</v>
      </c>
      <c r="H5071" s="0" t="n">
        <v>0.1</v>
      </c>
      <c r="I5071" s="7" t="n">
        <f aca="false">YEAR(B5071)</f>
        <v>2014</v>
      </c>
      <c r="J5071" s="0" t="str">
        <f aca="false">I5071&amp;"-Q"&amp;ROUNDUP(MONTH(B5071)/3,0)</f>
        <v>2014-Q3</v>
      </c>
    </row>
    <row r="5072" customFormat="false" ht="15" hidden="false" customHeight="false" outlineLevel="0" collapsed="false">
      <c r="A5072" s="0" t="s">
        <v>2591</v>
      </c>
      <c r="B5072" s="6" t="n">
        <v>41859</v>
      </c>
      <c r="C5072" s="7" t="s">
        <v>45</v>
      </c>
      <c r="D5072" s="7" t="s">
        <v>70</v>
      </c>
      <c r="E5072" s="7" t="s">
        <v>35</v>
      </c>
      <c r="F5072" s="0" t="n">
        <v>38.34</v>
      </c>
      <c r="G5072" s="0" t="n">
        <v>17.253</v>
      </c>
      <c r="H5072" s="0" t="n">
        <v>0</v>
      </c>
      <c r="I5072" s="7" t="n">
        <f aca="false">YEAR(B5072)</f>
        <v>2014</v>
      </c>
      <c r="J5072" s="0" t="str">
        <f aca="false">I5072&amp;"-Q"&amp;ROUNDUP(MONTH(B5072)/3,0)</f>
        <v>2014-Q3</v>
      </c>
    </row>
    <row r="5073" customFormat="false" ht="15" hidden="false" customHeight="false" outlineLevel="0" collapsed="false">
      <c r="A5073" s="0" t="s">
        <v>2591</v>
      </c>
      <c r="B5073" s="6" t="n">
        <v>41859</v>
      </c>
      <c r="C5073" s="7" t="s">
        <v>45</v>
      </c>
      <c r="D5073" s="7" t="s">
        <v>70</v>
      </c>
      <c r="E5073" s="7" t="s">
        <v>31</v>
      </c>
      <c r="F5073" s="0" t="n">
        <v>53.88</v>
      </c>
      <c r="G5073" s="0" t="n">
        <v>22.6296</v>
      </c>
      <c r="H5073" s="0" t="n">
        <v>0</v>
      </c>
      <c r="I5073" s="7" t="n">
        <f aca="false">YEAR(B5073)</f>
        <v>2014</v>
      </c>
      <c r="J5073" s="0" t="str">
        <f aca="false">I5073&amp;"-Q"&amp;ROUNDUP(MONTH(B5073)/3,0)</f>
        <v>2014-Q3</v>
      </c>
    </row>
    <row r="5074" customFormat="false" ht="15" hidden="false" customHeight="false" outlineLevel="0" collapsed="false">
      <c r="A5074" s="0" t="s">
        <v>2591</v>
      </c>
      <c r="B5074" s="6" t="n">
        <v>41859</v>
      </c>
      <c r="C5074" s="7" t="s">
        <v>45</v>
      </c>
      <c r="D5074" s="7" t="s">
        <v>70</v>
      </c>
      <c r="E5074" s="7" t="s">
        <v>39</v>
      </c>
      <c r="F5074" s="0" t="n">
        <v>299.98</v>
      </c>
      <c r="G5074" s="0" t="n">
        <v>83.9944</v>
      </c>
      <c r="H5074" s="0" t="n">
        <v>0</v>
      </c>
      <c r="I5074" s="7" t="n">
        <f aca="false">YEAR(B5074)</f>
        <v>2014</v>
      </c>
      <c r="J5074" s="0" t="str">
        <f aca="false">I5074&amp;"-Q"&amp;ROUNDUP(MONTH(B5074)/3,0)</f>
        <v>2014-Q3</v>
      </c>
    </row>
    <row r="5075" customFormat="false" ht="15" hidden="false" customHeight="false" outlineLevel="0" collapsed="false">
      <c r="A5075" s="0" t="s">
        <v>2592</v>
      </c>
      <c r="B5075" s="6" t="n">
        <v>42313</v>
      </c>
      <c r="C5075" s="7" t="s">
        <v>33</v>
      </c>
      <c r="D5075" s="7" t="s">
        <v>34</v>
      </c>
      <c r="E5075" s="7" t="s">
        <v>35</v>
      </c>
      <c r="F5075" s="0" t="n">
        <v>62.8</v>
      </c>
      <c r="G5075" s="0" t="n">
        <v>15.7</v>
      </c>
      <c r="H5075" s="0" t="n">
        <v>0</v>
      </c>
      <c r="I5075" s="7" t="n">
        <f aca="false">YEAR(B5075)</f>
        <v>2015</v>
      </c>
      <c r="J5075" s="0" t="str">
        <f aca="false">I5075&amp;"-Q"&amp;ROUNDUP(MONTH(B5075)/3,0)</f>
        <v>2015-Q4</v>
      </c>
    </row>
    <row r="5076" customFormat="false" ht="15" hidden="false" customHeight="false" outlineLevel="0" collapsed="false">
      <c r="A5076" s="0" t="s">
        <v>2593</v>
      </c>
      <c r="B5076" s="6" t="n">
        <v>42850</v>
      </c>
      <c r="C5076" s="7" t="s">
        <v>33</v>
      </c>
      <c r="D5076" s="7" t="s">
        <v>34</v>
      </c>
      <c r="E5076" s="7" t="s">
        <v>35</v>
      </c>
      <c r="F5076" s="0" t="n">
        <v>13.904</v>
      </c>
      <c r="G5076" s="0" t="n">
        <v>4.5188</v>
      </c>
      <c r="H5076" s="0" t="n">
        <v>0.2</v>
      </c>
      <c r="I5076" s="7" t="n">
        <f aca="false">YEAR(B5076)</f>
        <v>2017</v>
      </c>
      <c r="J5076" s="0" t="str">
        <f aca="false">I5076&amp;"-Q"&amp;ROUNDUP(MONTH(B5076)/3,0)</f>
        <v>2017-Q2</v>
      </c>
    </row>
    <row r="5077" customFormat="false" ht="15" hidden="false" customHeight="false" outlineLevel="0" collapsed="false">
      <c r="A5077" s="0" t="s">
        <v>2594</v>
      </c>
      <c r="B5077" s="6" t="n">
        <v>41749</v>
      </c>
      <c r="C5077" s="7" t="s">
        <v>45</v>
      </c>
      <c r="D5077" s="7" t="s">
        <v>46</v>
      </c>
      <c r="E5077" s="7" t="s">
        <v>31</v>
      </c>
      <c r="F5077" s="0" t="n">
        <v>744.1</v>
      </c>
      <c r="G5077" s="0" t="n">
        <v>-95.67</v>
      </c>
      <c r="H5077" s="0" t="n">
        <v>0.3</v>
      </c>
      <c r="I5077" s="7" t="n">
        <f aca="false">YEAR(B5077)</f>
        <v>2014</v>
      </c>
      <c r="J5077" s="0" t="str">
        <f aca="false">I5077&amp;"-Q"&amp;ROUNDUP(MONTH(B5077)/3,0)</f>
        <v>2014-Q2</v>
      </c>
    </row>
    <row r="5078" customFormat="false" ht="15" hidden="false" customHeight="false" outlineLevel="0" collapsed="false">
      <c r="A5078" s="0" t="s">
        <v>2594</v>
      </c>
      <c r="B5078" s="6" t="n">
        <v>41749</v>
      </c>
      <c r="C5078" s="7" t="s">
        <v>45</v>
      </c>
      <c r="D5078" s="7" t="s">
        <v>46</v>
      </c>
      <c r="E5078" s="7" t="s">
        <v>35</v>
      </c>
      <c r="F5078" s="0" t="n">
        <v>44.84</v>
      </c>
      <c r="G5078" s="0" t="n">
        <v>5.605</v>
      </c>
      <c r="H5078" s="0" t="n">
        <v>0.2</v>
      </c>
      <c r="I5078" s="7" t="n">
        <f aca="false">YEAR(B5078)</f>
        <v>2014</v>
      </c>
      <c r="J5078" s="0" t="str">
        <f aca="false">I5078&amp;"-Q"&amp;ROUNDUP(MONTH(B5078)/3,0)</f>
        <v>2014-Q2</v>
      </c>
    </row>
    <row r="5079" customFormat="false" ht="15" hidden="false" customHeight="false" outlineLevel="0" collapsed="false">
      <c r="A5079" s="0" t="s">
        <v>2594</v>
      </c>
      <c r="B5079" s="6" t="n">
        <v>41749</v>
      </c>
      <c r="C5079" s="7" t="s">
        <v>45</v>
      </c>
      <c r="D5079" s="7" t="s">
        <v>46</v>
      </c>
      <c r="E5079" s="7" t="s">
        <v>31</v>
      </c>
      <c r="F5079" s="0" t="n">
        <v>401.59</v>
      </c>
      <c r="G5079" s="0" t="n">
        <v>-131.951</v>
      </c>
      <c r="H5079" s="0" t="n">
        <v>0.3</v>
      </c>
      <c r="I5079" s="7" t="n">
        <f aca="false">YEAR(B5079)</f>
        <v>2014</v>
      </c>
      <c r="J5079" s="0" t="str">
        <f aca="false">I5079&amp;"-Q"&amp;ROUNDUP(MONTH(B5079)/3,0)</f>
        <v>2014-Q2</v>
      </c>
    </row>
    <row r="5080" customFormat="false" ht="15" hidden="false" customHeight="false" outlineLevel="0" collapsed="false">
      <c r="A5080" s="0" t="s">
        <v>2595</v>
      </c>
      <c r="B5080" s="6" t="n">
        <v>43050</v>
      </c>
      <c r="C5080" s="7" t="s">
        <v>45</v>
      </c>
      <c r="D5080" s="7" t="s">
        <v>48</v>
      </c>
      <c r="E5080" s="7" t="s">
        <v>35</v>
      </c>
      <c r="F5080" s="0" t="n">
        <v>18.24</v>
      </c>
      <c r="G5080" s="0" t="n">
        <v>8.5728</v>
      </c>
      <c r="H5080" s="0" t="n">
        <v>0</v>
      </c>
      <c r="I5080" s="7" t="n">
        <f aca="false">YEAR(B5080)</f>
        <v>2017</v>
      </c>
      <c r="J5080" s="0" t="str">
        <f aca="false">I5080&amp;"-Q"&amp;ROUNDUP(MONTH(B5080)/3,0)</f>
        <v>2017-Q4</v>
      </c>
    </row>
    <row r="5081" customFormat="false" ht="15" hidden="false" customHeight="false" outlineLevel="0" collapsed="false">
      <c r="A5081" s="0" t="s">
        <v>2596</v>
      </c>
      <c r="B5081" s="6" t="n">
        <v>43064</v>
      </c>
      <c r="C5081" s="7" t="s">
        <v>33</v>
      </c>
      <c r="D5081" s="7" t="s">
        <v>34</v>
      </c>
      <c r="E5081" s="7" t="s">
        <v>31</v>
      </c>
      <c r="F5081" s="0" t="n">
        <v>359.499</v>
      </c>
      <c r="G5081" s="0" t="n">
        <v>-29.6058</v>
      </c>
      <c r="H5081" s="0" t="n">
        <v>0.15</v>
      </c>
      <c r="I5081" s="7" t="n">
        <f aca="false">YEAR(B5081)</f>
        <v>2017</v>
      </c>
      <c r="J5081" s="0" t="str">
        <f aca="false">I5081&amp;"-Q"&amp;ROUNDUP(MONTH(B5081)/3,0)</f>
        <v>2017-Q4</v>
      </c>
    </row>
    <row r="5082" customFormat="false" ht="15" hidden="false" customHeight="false" outlineLevel="0" collapsed="false">
      <c r="A5082" s="0" t="s">
        <v>2596</v>
      </c>
      <c r="B5082" s="6" t="n">
        <v>43064</v>
      </c>
      <c r="C5082" s="7" t="s">
        <v>33</v>
      </c>
      <c r="D5082" s="7" t="s">
        <v>34</v>
      </c>
      <c r="E5082" s="7" t="s">
        <v>35</v>
      </c>
      <c r="F5082" s="0" t="n">
        <v>10.48</v>
      </c>
      <c r="G5082" s="0" t="n">
        <v>2.8296</v>
      </c>
      <c r="H5082" s="0" t="n">
        <v>0</v>
      </c>
      <c r="I5082" s="7" t="n">
        <f aca="false">YEAR(B5082)</f>
        <v>2017</v>
      </c>
      <c r="J5082" s="0" t="str">
        <f aca="false">I5082&amp;"-Q"&amp;ROUNDUP(MONTH(B5082)/3,0)</f>
        <v>2017-Q4</v>
      </c>
    </row>
    <row r="5083" customFormat="false" ht="15" hidden="false" customHeight="false" outlineLevel="0" collapsed="false">
      <c r="A5083" s="0" t="s">
        <v>2597</v>
      </c>
      <c r="B5083" s="6" t="n">
        <v>42356</v>
      </c>
      <c r="C5083" s="7" t="s">
        <v>55</v>
      </c>
      <c r="D5083" s="7" t="s">
        <v>116</v>
      </c>
      <c r="E5083" s="7" t="s">
        <v>35</v>
      </c>
      <c r="F5083" s="0" t="n">
        <v>20.736</v>
      </c>
      <c r="G5083" s="0" t="n">
        <v>7.2576</v>
      </c>
      <c r="H5083" s="0" t="n">
        <v>0.2</v>
      </c>
      <c r="I5083" s="7" t="n">
        <f aca="false">YEAR(B5083)</f>
        <v>2015</v>
      </c>
      <c r="J5083" s="0" t="str">
        <f aca="false">I5083&amp;"-Q"&amp;ROUNDUP(MONTH(B5083)/3,0)</f>
        <v>2015-Q4</v>
      </c>
    </row>
    <row r="5084" customFormat="false" ht="15" hidden="false" customHeight="false" outlineLevel="0" collapsed="false">
      <c r="A5084" s="0" t="s">
        <v>2598</v>
      </c>
      <c r="B5084" s="6" t="n">
        <v>42621</v>
      </c>
      <c r="C5084" s="7" t="s">
        <v>29</v>
      </c>
      <c r="D5084" s="7" t="s">
        <v>41</v>
      </c>
      <c r="E5084" s="7" t="s">
        <v>39</v>
      </c>
      <c r="F5084" s="0" t="n">
        <v>35.168</v>
      </c>
      <c r="G5084" s="0" t="n">
        <v>8.3524</v>
      </c>
      <c r="H5084" s="0" t="n">
        <v>0.2</v>
      </c>
      <c r="I5084" s="7" t="n">
        <f aca="false">YEAR(B5084)</f>
        <v>2016</v>
      </c>
      <c r="J5084" s="0" t="str">
        <f aca="false">I5084&amp;"-Q"&amp;ROUNDUP(MONTH(B5084)/3,0)</f>
        <v>2016-Q3</v>
      </c>
    </row>
    <row r="5085" customFormat="false" ht="15" hidden="false" customHeight="false" outlineLevel="0" collapsed="false">
      <c r="A5085" s="0" t="s">
        <v>2598</v>
      </c>
      <c r="B5085" s="6" t="n">
        <v>42621</v>
      </c>
      <c r="C5085" s="7" t="s">
        <v>29</v>
      </c>
      <c r="D5085" s="7" t="s">
        <v>41</v>
      </c>
      <c r="E5085" s="7" t="s">
        <v>35</v>
      </c>
      <c r="F5085" s="0" t="n">
        <v>64.704</v>
      </c>
      <c r="G5085" s="0" t="n">
        <v>23.4552</v>
      </c>
      <c r="H5085" s="0" t="n">
        <v>0.2</v>
      </c>
      <c r="I5085" s="7" t="n">
        <f aca="false">YEAR(B5085)</f>
        <v>2016</v>
      </c>
      <c r="J5085" s="0" t="str">
        <f aca="false">I5085&amp;"-Q"&amp;ROUNDUP(MONTH(B5085)/3,0)</f>
        <v>2016-Q3</v>
      </c>
    </row>
    <row r="5086" customFormat="false" ht="15" hidden="false" customHeight="false" outlineLevel="0" collapsed="false">
      <c r="A5086" s="0" t="s">
        <v>2599</v>
      </c>
      <c r="B5086" s="6" t="n">
        <v>42527</v>
      </c>
      <c r="C5086" s="7" t="s">
        <v>55</v>
      </c>
      <c r="D5086" s="7" t="s">
        <v>225</v>
      </c>
      <c r="E5086" s="7" t="s">
        <v>35</v>
      </c>
      <c r="F5086" s="0" t="n">
        <v>105.52</v>
      </c>
      <c r="G5086" s="0" t="n">
        <v>48.5392</v>
      </c>
      <c r="H5086" s="0" t="n">
        <v>0</v>
      </c>
      <c r="I5086" s="7" t="n">
        <f aca="false">YEAR(B5086)</f>
        <v>2016</v>
      </c>
      <c r="J5086" s="0" t="str">
        <f aca="false">I5086&amp;"-Q"&amp;ROUNDUP(MONTH(B5086)/3,0)</f>
        <v>2016-Q2</v>
      </c>
    </row>
    <row r="5087" customFormat="false" ht="15" hidden="false" customHeight="false" outlineLevel="0" collapsed="false">
      <c r="A5087" s="0" t="s">
        <v>2600</v>
      </c>
      <c r="B5087" s="6" t="n">
        <v>42174</v>
      </c>
      <c r="C5087" s="7" t="s">
        <v>45</v>
      </c>
      <c r="D5087" s="7" t="s">
        <v>46</v>
      </c>
      <c r="E5087" s="7" t="s">
        <v>35</v>
      </c>
      <c r="F5087" s="0" t="n">
        <v>5.792</v>
      </c>
      <c r="G5087" s="0" t="n">
        <v>-9.5568</v>
      </c>
      <c r="H5087" s="0" t="n">
        <v>0.8</v>
      </c>
      <c r="I5087" s="7" t="n">
        <f aca="false">YEAR(B5087)</f>
        <v>2015</v>
      </c>
      <c r="J5087" s="0" t="str">
        <f aca="false">I5087&amp;"-Q"&amp;ROUNDUP(MONTH(B5087)/3,0)</f>
        <v>2015-Q2</v>
      </c>
    </row>
    <row r="5088" customFormat="false" ht="15" hidden="false" customHeight="false" outlineLevel="0" collapsed="false">
      <c r="A5088" s="0" t="s">
        <v>2601</v>
      </c>
      <c r="B5088" s="6" t="n">
        <v>42068</v>
      </c>
      <c r="C5088" s="7" t="s">
        <v>55</v>
      </c>
      <c r="D5088" s="7" t="s">
        <v>56</v>
      </c>
      <c r="E5088" s="7" t="s">
        <v>39</v>
      </c>
      <c r="F5088" s="0" t="n">
        <v>466.158</v>
      </c>
      <c r="G5088" s="0" t="n">
        <v>-93.2316</v>
      </c>
      <c r="H5088" s="0" t="n">
        <v>0.4</v>
      </c>
      <c r="I5088" s="7" t="n">
        <f aca="false">YEAR(B5088)</f>
        <v>2015</v>
      </c>
      <c r="J5088" s="0" t="str">
        <f aca="false">I5088&amp;"-Q"&amp;ROUNDUP(MONTH(B5088)/3,0)</f>
        <v>2015-Q1</v>
      </c>
    </row>
    <row r="5089" customFormat="false" ht="15" hidden="false" customHeight="false" outlineLevel="0" collapsed="false">
      <c r="A5089" s="0" t="s">
        <v>2601</v>
      </c>
      <c r="B5089" s="6" t="n">
        <v>42068</v>
      </c>
      <c r="C5089" s="7" t="s">
        <v>55</v>
      </c>
      <c r="D5089" s="7" t="s">
        <v>56</v>
      </c>
      <c r="E5089" s="7" t="s">
        <v>39</v>
      </c>
      <c r="F5089" s="0" t="n">
        <v>10.312</v>
      </c>
      <c r="G5089" s="0" t="n">
        <v>-1.289</v>
      </c>
      <c r="H5089" s="0" t="n">
        <v>0.2</v>
      </c>
      <c r="I5089" s="7" t="n">
        <f aca="false">YEAR(B5089)</f>
        <v>2015</v>
      </c>
      <c r="J5089" s="0" t="str">
        <f aca="false">I5089&amp;"-Q"&amp;ROUNDUP(MONTH(B5089)/3,0)</f>
        <v>2015-Q1</v>
      </c>
    </row>
    <row r="5090" customFormat="false" ht="15" hidden="false" customHeight="false" outlineLevel="0" collapsed="false">
      <c r="A5090" s="0" t="s">
        <v>2601</v>
      </c>
      <c r="B5090" s="6" t="n">
        <v>42068</v>
      </c>
      <c r="C5090" s="7" t="s">
        <v>55</v>
      </c>
      <c r="D5090" s="7" t="s">
        <v>56</v>
      </c>
      <c r="E5090" s="7" t="s">
        <v>35</v>
      </c>
      <c r="F5090" s="0" t="n">
        <v>2.556</v>
      </c>
      <c r="G5090" s="0" t="n">
        <v>-1.7892</v>
      </c>
      <c r="H5090" s="0" t="n">
        <v>0.7</v>
      </c>
      <c r="I5090" s="7" t="n">
        <f aca="false">YEAR(B5090)</f>
        <v>2015</v>
      </c>
      <c r="J5090" s="0" t="str">
        <f aca="false">I5090&amp;"-Q"&amp;ROUNDUP(MONTH(B5090)/3,0)</f>
        <v>2015-Q1</v>
      </c>
    </row>
    <row r="5091" customFormat="false" ht="15" hidden="false" customHeight="false" outlineLevel="0" collapsed="false">
      <c r="A5091" s="0" t="s">
        <v>2602</v>
      </c>
      <c r="B5091" s="6" t="n">
        <v>42951</v>
      </c>
      <c r="C5091" s="7" t="s">
        <v>33</v>
      </c>
      <c r="D5091" s="7" t="s">
        <v>109</v>
      </c>
      <c r="E5091" s="7" t="s">
        <v>35</v>
      </c>
      <c r="F5091" s="0" t="n">
        <v>7.968</v>
      </c>
      <c r="G5091" s="0" t="n">
        <v>2.8884</v>
      </c>
      <c r="H5091" s="0" t="n">
        <v>0.2</v>
      </c>
      <c r="I5091" s="7" t="n">
        <f aca="false">YEAR(B5091)</f>
        <v>2017</v>
      </c>
      <c r="J5091" s="0" t="str">
        <f aca="false">I5091&amp;"-Q"&amp;ROUNDUP(MONTH(B5091)/3,0)</f>
        <v>2017-Q3</v>
      </c>
    </row>
    <row r="5092" customFormat="false" ht="15" hidden="false" customHeight="false" outlineLevel="0" collapsed="false">
      <c r="A5092" s="0" t="s">
        <v>2602</v>
      </c>
      <c r="B5092" s="6" t="n">
        <v>42951</v>
      </c>
      <c r="C5092" s="7" t="s">
        <v>33</v>
      </c>
      <c r="D5092" s="7" t="s">
        <v>109</v>
      </c>
      <c r="E5092" s="7" t="s">
        <v>35</v>
      </c>
      <c r="F5092" s="0" t="n">
        <v>8.784</v>
      </c>
      <c r="G5092" s="0" t="n">
        <v>3.1842</v>
      </c>
      <c r="H5092" s="0" t="n">
        <v>0.2</v>
      </c>
      <c r="I5092" s="7" t="n">
        <f aca="false">YEAR(B5092)</f>
        <v>2017</v>
      </c>
      <c r="J5092" s="0" t="str">
        <f aca="false">I5092&amp;"-Q"&amp;ROUNDUP(MONTH(B5092)/3,0)</f>
        <v>2017-Q3</v>
      </c>
    </row>
    <row r="5093" customFormat="false" ht="15" hidden="false" customHeight="false" outlineLevel="0" collapsed="false">
      <c r="A5093" s="0" t="s">
        <v>2603</v>
      </c>
      <c r="B5093" s="6" t="n">
        <v>43099</v>
      </c>
      <c r="C5093" s="7" t="s">
        <v>33</v>
      </c>
      <c r="D5093" s="7" t="s">
        <v>109</v>
      </c>
      <c r="E5093" s="7" t="s">
        <v>35</v>
      </c>
      <c r="F5093" s="0" t="n">
        <v>3.024</v>
      </c>
      <c r="G5093" s="0" t="n">
        <v>-0.6048</v>
      </c>
      <c r="H5093" s="0" t="n">
        <v>0.2</v>
      </c>
      <c r="I5093" s="7" t="n">
        <f aca="false">YEAR(B5093)</f>
        <v>2017</v>
      </c>
      <c r="J5093" s="0" t="str">
        <f aca="false">I5093&amp;"-Q"&amp;ROUNDUP(MONTH(B5093)/3,0)</f>
        <v>2017-Q4</v>
      </c>
    </row>
    <row r="5094" customFormat="false" ht="15" hidden="false" customHeight="false" outlineLevel="0" collapsed="false">
      <c r="A5094" s="0" t="s">
        <v>2604</v>
      </c>
      <c r="B5094" s="6" t="n">
        <v>42147</v>
      </c>
      <c r="C5094" s="7" t="s">
        <v>55</v>
      </c>
      <c r="D5094" s="7" t="s">
        <v>250</v>
      </c>
      <c r="E5094" s="7" t="s">
        <v>35</v>
      </c>
      <c r="F5094" s="0" t="n">
        <v>51.45</v>
      </c>
      <c r="G5094" s="0" t="n">
        <v>13.8915</v>
      </c>
      <c r="H5094" s="0" t="n">
        <v>0</v>
      </c>
      <c r="I5094" s="7" t="n">
        <f aca="false">YEAR(B5094)</f>
        <v>2015</v>
      </c>
      <c r="J5094" s="0" t="str">
        <f aca="false">I5094&amp;"-Q"&amp;ROUNDUP(MONTH(B5094)/3,0)</f>
        <v>2015-Q2</v>
      </c>
    </row>
    <row r="5095" customFormat="false" ht="15" hidden="false" customHeight="false" outlineLevel="0" collapsed="false">
      <c r="A5095" s="0" t="s">
        <v>2605</v>
      </c>
      <c r="B5095" s="6" t="n">
        <v>41979</v>
      </c>
      <c r="C5095" s="7" t="s">
        <v>45</v>
      </c>
      <c r="D5095" s="7" t="s">
        <v>64</v>
      </c>
      <c r="E5095" s="7" t="s">
        <v>35</v>
      </c>
      <c r="F5095" s="0" t="n">
        <v>14.016</v>
      </c>
      <c r="G5095" s="0" t="n">
        <v>-31.536</v>
      </c>
      <c r="H5095" s="0" t="n">
        <v>0.8</v>
      </c>
      <c r="I5095" s="7" t="n">
        <f aca="false">YEAR(B5095)</f>
        <v>2014</v>
      </c>
      <c r="J5095" s="0" t="str">
        <f aca="false">I5095&amp;"-Q"&amp;ROUNDUP(MONTH(B5095)/3,0)</f>
        <v>2014-Q4</v>
      </c>
    </row>
    <row r="5096" customFormat="false" ht="15" hidden="false" customHeight="false" outlineLevel="0" collapsed="false">
      <c r="A5096" s="0" t="s">
        <v>2605</v>
      </c>
      <c r="B5096" s="6" t="n">
        <v>41979</v>
      </c>
      <c r="C5096" s="7" t="s">
        <v>45</v>
      </c>
      <c r="D5096" s="7" t="s">
        <v>64</v>
      </c>
      <c r="E5096" s="7" t="s">
        <v>31</v>
      </c>
      <c r="F5096" s="0" t="n">
        <v>214.95</v>
      </c>
      <c r="G5096" s="0" t="n">
        <v>-120.372</v>
      </c>
      <c r="H5096" s="0" t="n">
        <v>0.5</v>
      </c>
      <c r="I5096" s="7" t="n">
        <f aca="false">YEAR(B5096)</f>
        <v>2014</v>
      </c>
      <c r="J5096" s="0" t="str">
        <f aca="false">I5096&amp;"-Q"&amp;ROUNDUP(MONTH(B5096)/3,0)</f>
        <v>2014-Q4</v>
      </c>
    </row>
    <row r="5097" customFormat="false" ht="15" hidden="false" customHeight="false" outlineLevel="0" collapsed="false">
      <c r="A5097" s="0" t="s">
        <v>2605</v>
      </c>
      <c r="B5097" s="6" t="n">
        <v>41979</v>
      </c>
      <c r="C5097" s="7" t="s">
        <v>45</v>
      </c>
      <c r="D5097" s="7" t="s">
        <v>64</v>
      </c>
      <c r="E5097" s="7" t="s">
        <v>39</v>
      </c>
      <c r="F5097" s="0" t="n">
        <v>35.04</v>
      </c>
      <c r="G5097" s="0" t="n">
        <v>-7.008</v>
      </c>
      <c r="H5097" s="0" t="n">
        <v>0.2</v>
      </c>
      <c r="I5097" s="7" t="n">
        <f aca="false">YEAR(B5097)</f>
        <v>2014</v>
      </c>
      <c r="J5097" s="0" t="str">
        <f aca="false">I5097&amp;"-Q"&amp;ROUNDUP(MONTH(B5097)/3,0)</f>
        <v>2014-Q4</v>
      </c>
    </row>
    <row r="5098" customFormat="false" ht="15" hidden="false" customHeight="false" outlineLevel="0" collapsed="false">
      <c r="A5098" s="0" t="s">
        <v>2605</v>
      </c>
      <c r="B5098" s="6" t="n">
        <v>41979</v>
      </c>
      <c r="C5098" s="7" t="s">
        <v>45</v>
      </c>
      <c r="D5098" s="7" t="s">
        <v>64</v>
      </c>
      <c r="E5098" s="7" t="s">
        <v>31</v>
      </c>
      <c r="F5098" s="0" t="n">
        <v>10.776</v>
      </c>
      <c r="G5098" s="0" t="n">
        <v>-4.8492</v>
      </c>
      <c r="H5098" s="0" t="n">
        <v>0.6</v>
      </c>
      <c r="I5098" s="7" t="n">
        <f aca="false">YEAR(B5098)</f>
        <v>2014</v>
      </c>
      <c r="J5098" s="0" t="str">
        <f aca="false">I5098&amp;"-Q"&amp;ROUNDUP(MONTH(B5098)/3,0)</f>
        <v>2014-Q4</v>
      </c>
    </row>
    <row r="5099" customFormat="false" ht="15" hidden="false" customHeight="false" outlineLevel="0" collapsed="false">
      <c r="A5099" s="0" t="s">
        <v>2605</v>
      </c>
      <c r="B5099" s="6" t="n">
        <v>41979</v>
      </c>
      <c r="C5099" s="7" t="s">
        <v>45</v>
      </c>
      <c r="D5099" s="7" t="s">
        <v>64</v>
      </c>
      <c r="E5099" s="7" t="s">
        <v>35</v>
      </c>
      <c r="F5099" s="0" t="n">
        <v>4.6</v>
      </c>
      <c r="G5099" s="0" t="n">
        <v>-8.05</v>
      </c>
      <c r="H5099" s="0" t="n">
        <v>0.8</v>
      </c>
      <c r="I5099" s="7" t="n">
        <f aca="false">YEAR(B5099)</f>
        <v>2014</v>
      </c>
      <c r="J5099" s="0" t="str">
        <f aca="false">I5099&amp;"-Q"&amp;ROUNDUP(MONTH(B5099)/3,0)</f>
        <v>2014-Q4</v>
      </c>
    </row>
    <row r="5100" customFormat="false" ht="15" hidden="false" customHeight="false" outlineLevel="0" collapsed="false">
      <c r="A5100" s="0" t="s">
        <v>2605</v>
      </c>
      <c r="B5100" s="6" t="n">
        <v>41979</v>
      </c>
      <c r="C5100" s="7" t="s">
        <v>45</v>
      </c>
      <c r="D5100" s="7" t="s">
        <v>64</v>
      </c>
      <c r="E5100" s="7" t="s">
        <v>35</v>
      </c>
      <c r="F5100" s="0" t="n">
        <v>35.168</v>
      </c>
      <c r="G5100" s="0" t="n">
        <v>-8.3524</v>
      </c>
      <c r="H5100" s="0" t="n">
        <v>0.2</v>
      </c>
      <c r="I5100" s="7" t="n">
        <f aca="false">YEAR(B5100)</f>
        <v>2014</v>
      </c>
      <c r="J5100" s="0" t="str">
        <f aca="false">I5100&amp;"-Q"&amp;ROUNDUP(MONTH(B5100)/3,0)</f>
        <v>2014-Q4</v>
      </c>
    </row>
    <row r="5101" customFormat="false" ht="15" hidden="false" customHeight="false" outlineLevel="0" collapsed="false">
      <c r="A5101" s="0" t="s">
        <v>2606</v>
      </c>
      <c r="B5101" s="6" t="n">
        <v>42223</v>
      </c>
      <c r="C5101" s="7" t="s">
        <v>33</v>
      </c>
      <c r="D5101" s="7" t="s">
        <v>34</v>
      </c>
      <c r="E5101" s="7" t="s">
        <v>35</v>
      </c>
      <c r="F5101" s="0" t="n">
        <v>19.152</v>
      </c>
      <c r="G5101" s="0" t="n">
        <v>6.4638</v>
      </c>
      <c r="H5101" s="0" t="n">
        <v>0.2</v>
      </c>
      <c r="I5101" s="7" t="n">
        <f aca="false">YEAR(B5101)</f>
        <v>2015</v>
      </c>
      <c r="J5101" s="0" t="str">
        <f aca="false">I5101&amp;"-Q"&amp;ROUNDUP(MONTH(B5101)/3,0)</f>
        <v>2015-Q3</v>
      </c>
    </row>
    <row r="5102" customFormat="false" ht="15" hidden="false" customHeight="false" outlineLevel="0" collapsed="false">
      <c r="A5102" s="0" t="s">
        <v>2607</v>
      </c>
      <c r="B5102" s="6" t="n">
        <v>41715</v>
      </c>
      <c r="C5102" s="7" t="s">
        <v>45</v>
      </c>
      <c r="D5102" s="7" t="s">
        <v>46</v>
      </c>
      <c r="E5102" s="7" t="s">
        <v>35</v>
      </c>
      <c r="F5102" s="0" t="n">
        <v>4.448</v>
      </c>
      <c r="G5102" s="0" t="n">
        <v>0.3336</v>
      </c>
      <c r="H5102" s="0" t="n">
        <v>0.2</v>
      </c>
      <c r="I5102" s="7" t="n">
        <f aca="false">YEAR(B5102)</f>
        <v>2014</v>
      </c>
      <c r="J5102" s="0" t="str">
        <f aca="false">I5102&amp;"-Q"&amp;ROUNDUP(MONTH(B5102)/3,0)</f>
        <v>2014-Q1</v>
      </c>
    </row>
    <row r="5103" customFormat="false" ht="15" hidden="false" customHeight="false" outlineLevel="0" collapsed="false">
      <c r="A5103" s="0" t="s">
        <v>2607</v>
      </c>
      <c r="B5103" s="6" t="n">
        <v>41715</v>
      </c>
      <c r="C5103" s="7" t="s">
        <v>45</v>
      </c>
      <c r="D5103" s="7" t="s">
        <v>46</v>
      </c>
      <c r="E5103" s="7" t="s">
        <v>35</v>
      </c>
      <c r="F5103" s="0" t="n">
        <v>5.184</v>
      </c>
      <c r="G5103" s="0" t="n">
        <v>1.8792</v>
      </c>
      <c r="H5103" s="0" t="n">
        <v>0.2</v>
      </c>
      <c r="I5103" s="7" t="n">
        <f aca="false">YEAR(B5103)</f>
        <v>2014</v>
      </c>
      <c r="J5103" s="0" t="str">
        <f aca="false">I5103&amp;"-Q"&amp;ROUNDUP(MONTH(B5103)/3,0)</f>
        <v>2014-Q1</v>
      </c>
    </row>
    <row r="5104" customFormat="false" ht="15" hidden="false" customHeight="false" outlineLevel="0" collapsed="false">
      <c r="A5104" s="0" t="s">
        <v>2607</v>
      </c>
      <c r="B5104" s="6" t="n">
        <v>41715</v>
      </c>
      <c r="C5104" s="7" t="s">
        <v>45</v>
      </c>
      <c r="D5104" s="7" t="s">
        <v>46</v>
      </c>
      <c r="E5104" s="7" t="s">
        <v>35</v>
      </c>
      <c r="F5104" s="0" t="n">
        <v>15.552</v>
      </c>
      <c r="G5104" s="0" t="n">
        <v>5.4432</v>
      </c>
      <c r="H5104" s="0" t="n">
        <v>0.2</v>
      </c>
      <c r="I5104" s="7" t="n">
        <f aca="false">YEAR(B5104)</f>
        <v>2014</v>
      </c>
      <c r="J5104" s="0" t="str">
        <f aca="false">I5104&amp;"-Q"&amp;ROUNDUP(MONTH(B5104)/3,0)</f>
        <v>2014-Q1</v>
      </c>
    </row>
    <row r="5105" customFormat="false" ht="15" hidden="false" customHeight="false" outlineLevel="0" collapsed="false">
      <c r="A5105" s="0" t="s">
        <v>2608</v>
      </c>
      <c r="B5105" s="6" t="n">
        <v>42089</v>
      </c>
      <c r="C5105" s="7" t="s">
        <v>55</v>
      </c>
      <c r="D5105" s="7" t="s">
        <v>56</v>
      </c>
      <c r="E5105" s="7" t="s">
        <v>35</v>
      </c>
      <c r="F5105" s="0" t="n">
        <v>40.032</v>
      </c>
      <c r="G5105" s="0" t="n">
        <v>12.51</v>
      </c>
      <c r="H5105" s="0" t="n">
        <v>0.2</v>
      </c>
      <c r="I5105" s="7" t="n">
        <f aca="false">YEAR(B5105)</f>
        <v>2015</v>
      </c>
      <c r="J5105" s="0" t="str">
        <f aca="false">I5105&amp;"-Q"&amp;ROUNDUP(MONTH(B5105)/3,0)</f>
        <v>2015-Q1</v>
      </c>
    </row>
    <row r="5106" customFormat="false" ht="15" hidden="false" customHeight="false" outlineLevel="0" collapsed="false">
      <c r="A5106" s="0" t="s">
        <v>2608</v>
      </c>
      <c r="B5106" s="6" t="n">
        <v>42089</v>
      </c>
      <c r="C5106" s="7" t="s">
        <v>55</v>
      </c>
      <c r="D5106" s="7" t="s">
        <v>56</v>
      </c>
      <c r="E5106" s="7" t="s">
        <v>39</v>
      </c>
      <c r="F5106" s="0" t="n">
        <v>16.776</v>
      </c>
      <c r="G5106" s="0" t="n">
        <v>5.0328</v>
      </c>
      <c r="H5106" s="0" t="n">
        <v>0.2</v>
      </c>
      <c r="I5106" s="7" t="n">
        <f aca="false">YEAR(B5106)</f>
        <v>2015</v>
      </c>
      <c r="J5106" s="0" t="str">
        <f aca="false">I5106&amp;"-Q"&amp;ROUNDUP(MONTH(B5106)/3,0)</f>
        <v>2015-Q1</v>
      </c>
    </row>
    <row r="5107" customFormat="false" ht="15" hidden="false" customHeight="false" outlineLevel="0" collapsed="false">
      <c r="A5107" s="0" t="s">
        <v>2609</v>
      </c>
      <c r="B5107" s="6" t="n">
        <v>41987</v>
      </c>
      <c r="C5107" s="7" t="s">
        <v>29</v>
      </c>
      <c r="D5107" s="7" t="s">
        <v>37</v>
      </c>
      <c r="E5107" s="7" t="s">
        <v>31</v>
      </c>
      <c r="F5107" s="0" t="n">
        <v>186.304</v>
      </c>
      <c r="G5107" s="0" t="n">
        <v>13.9728</v>
      </c>
      <c r="H5107" s="0" t="n">
        <v>0.2</v>
      </c>
      <c r="I5107" s="7" t="n">
        <f aca="false">YEAR(B5107)</f>
        <v>2014</v>
      </c>
      <c r="J5107" s="0" t="str">
        <f aca="false">I5107&amp;"-Q"&amp;ROUNDUP(MONTH(B5107)/3,0)</f>
        <v>2014-Q4</v>
      </c>
    </row>
    <row r="5108" customFormat="false" ht="15" hidden="false" customHeight="false" outlineLevel="0" collapsed="false">
      <c r="A5108" s="0" t="s">
        <v>2610</v>
      </c>
      <c r="B5108" s="6" t="n">
        <v>42266</v>
      </c>
      <c r="C5108" s="7" t="s">
        <v>29</v>
      </c>
      <c r="D5108" s="7" t="s">
        <v>230</v>
      </c>
      <c r="E5108" s="7" t="s">
        <v>39</v>
      </c>
      <c r="F5108" s="0" t="n">
        <v>66.36</v>
      </c>
      <c r="G5108" s="0" t="n">
        <v>23.226</v>
      </c>
      <c r="H5108" s="0" t="n">
        <v>0</v>
      </c>
      <c r="I5108" s="7" t="n">
        <f aca="false">YEAR(B5108)</f>
        <v>2015</v>
      </c>
      <c r="J5108" s="0" t="str">
        <f aca="false">I5108&amp;"-Q"&amp;ROUNDUP(MONTH(B5108)/3,0)</f>
        <v>2015-Q3</v>
      </c>
    </row>
    <row r="5109" customFormat="false" ht="15" hidden="false" customHeight="false" outlineLevel="0" collapsed="false">
      <c r="A5109" s="0" t="s">
        <v>2611</v>
      </c>
      <c r="B5109" s="6" t="n">
        <v>42850</v>
      </c>
      <c r="C5109" s="7" t="s">
        <v>29</v>
      </c>
      <c r="D5109" s="7" t="s">
        <v>87</v>
      </c>
      <c r="E5109" s="7" t="s">
        <v>35</v>
      </c>
      <c r="F5109" s="0" t="n">
        <v>42.048</v>
      </c>
      <c r="G5109" s="0" t="n">
        <v>5.256</v>
      </c>
      <c r="H5109" s="0" t="n">
        <v>0.2</v>
      </c>
      <c r="I5109" s="7" t="n">
        <f aca="false">YEAR(B5109)</f>
        <v>2017</v>
      </c>
      <c r="J5109" s="0" t="str">
        <f aca="false">I5109&amp;"-Q"&amp;ROUNDUP(MONTH(B5109)/3,0)</f>
        <v>2017-Q2</v>
      </c>
    </row>
    <row r="5110" customFormat="false" ht="15" hidden="false" customHeight="false" outlineLevel="0" collapsed="false">
      <c r="A5110" s="0" t="s">
        <v>2611</v>
      </c>
      <c r="B5110" s="6" t="n">
        <v>42850</v>
      </c>
      <c r="C5110" s="7" t="s">
        <v>29</v>
      </c>
      <c r="D5110" s="7" t="s">
        <v>87</v>
      </c>
      <c r="E5110" s="7" t="s">
        <v>35</v>
      </c>
      <c r="F5110" s="0" t="n">
        <v>67.92</v>
      </c>
      <c r="G5110" s="0" t="n">
        <v>6.792</v>
      </c>
      <c r="H5110" s="0" t="n">
        <v>0.2</v>
      </c>
      <c r="I5110" s="7" t="n">
        <f aca="false">YEAR(B5110)</f>
        <v>2017</v>
      </c>
      <c r="J5110" s="0" t="str">
        <f aca="false">I5110&amp;"-Q"&amp;ROUNDUP(MONTH(B5110)/3,0)</f>
        <v>2017-Q2</v>
      </c>
    </row>
    <row r="5111" customFormat="false" ht="15" hidden="false" customHeight="false" outlineLevel="0" collapsed="false">
      <c r="A5111" s="0" t="s">
        <v>2612</v>
      </c>
      <c r="B5111" s="6" t="n">
        <v>41930</v>
      </c>
      <c r="C5111" s="7" t="s">
        <v>55</v>
      </c>
      <c r="D5111" s="7" t="s">
        <v>56</v>
      </c>
      <c r="E5111" s="7" t="s">
        <v>35</v>
      </c>
      <c r="F5111" s="0" t="n">
        <v>52.512</v>
      </c>
      <c r="G5111" s="0" t="n">
        <v>19.692</v>
      </c>
      <c r="H5111" s="0" t="n">
        <v>0.2</v>
      </c>
      <c r="I5111" s="7" t="n">
        <f aca="false">YEAR(B5111)</f>
        <v>2014</v>
      </c>
      <c r="J5111" s="0" t="str">
        <f aca="false">I5111&amp;"-Q"&amp;ROUNDUP(MONTH(B5111)/3,0)</f>
        <v>2014-Q4</v>
      </c>
    </row>
    <row r="5112" customFormat="false" ht="15" hidden="false" customHeight="false" outlineLevel="0" collapsed="false">
      <c r="A5112" s="0" t="s">
        <v>2612</v>
      </c>
      <c r="B5112" s="6" t="n">
        <v>41930</v>
      </c>
      <c r="C5112" s="7" t="s">
        <v>55</v>
      </c>
      <c r="D5112" s="7" t="s">
        <v>56</v>
      </c>
      <c r="E5112" s="7" t="s">
        <v>35</v>
      </c>
      <c r="F5112" s="0" t="n">
        <v>186.912</v>
      </c>
      <c r="G5112" s="0" t="n">
        <v>-35.046</v>
      </c>
      <c r="H5112" s="0" t="n">
        <v>0.2</v>
      </c>
      <c r="I5112" s="7" t="n">
        <f aca="false">YEAR(B5112)</f>
        <v>2014</v>
      </c>
      <c r="J5112" s="0" t="str">
        <f aca="false">I5112&amp;"-Q"&amp;ROUNDUP(MONTH(B5112)/3,0)</f>
        <v>2014-Q4</v>
      </c>
    </row>
    <row r="5113" customFormat="false" ht="15" hidden="false" customHeight="false" outlineLevel="0" collapsed="false">
      <c r="A5113" s="0" t="s">
        <v>2612</v>
      </c>
      <c r="B5113" s="6" t="n">
        <v>41930</v>
      </c>
      <c r="C5113" s="7" t="s">
        <v>55</v>
      </c>
      <c r="D5113" s="7" t="s">
        <v>56</v>
      </c>
      <c r="E5113" s="7" t="s">
        <v>35</v>
      </c>
      <c r="F5113" s="0" t="n">
        <v>10.048</v>
      </c>
      <c r="G5113" s="0" t="n">
        <v>3.14</v>
      </c>
      <c r="H5113" s="0" t="n">
        <v>0.2</v>
      </c>
      <c r="I5113" s="7" t="n">
        <f aca="false">YEAR(B5113)</f>
        <v>2014</v>
      </c>
      <c r="J5113" s="0" t="str">
        <f aca="false">I5113&amp;"-Q"&amp;ROUNDUP(MONTH(B5113)/3,0)</f>
        <v>2014-Q4</v>
      </c>
    </row>
    <row r="5114" customFormat="false" ht="15" hidden="false" customHeight="false" outlineLevel="0" collapsed="false">
      <c r="A5114" s="0" t="s">
        <v>2613</v>
      </c>
      <c r="B5114" s="6" t="n">
        <v>42321</v>
      </c>
      <c r="C5114" s="7" t="s">
        <v>45</v>
      </c>
      <c r="D5114" s="7" t="s">
        <v>64</v>
      </c>
      <c r="E5114" s="7" t="s">
        <v>31</v>
      </c>
      <c r="F5114" s="0" t="n">
        <v>17.496</v>
      </c>
      <c r="G5114" s="0" t="n">
        <v>-7.4358</v>
      </c>
      <c r="H5114" s="0" t="n">
        <v>0.6</v>
      </c>
      <c r="I5114" s="7" t="n">
        <f aca="false">YEAR(B5114)</f>
        <v>2015</v>
      </c>
      <c r="J5114" s="0" t="str">
        <f aca="false">I5114&amp;"-Q"&amp;ROUNDUP(MONTH(B5114)/3,0)</f>
        <v>2015-Q4</v>
      </c>
    </row>
    <row r="5115" customFormat="false" ht="15" hidden="false" customHeight="false" outlineLevel="0" collapsed="false">
      <c r="A5115" s="0" t="s">
        <v>2614</v>
      </c>
      <c r="B5115" s="6" t="n">
        <v>42400</v>
      </c>
      <c r="C5115" s="7" t="s">
        <v>45</v>
      </c>
      <c r="D5115" s="7" t="s">
        <v>46</v>
      </c>
      <c r="E5115" s="7" t="s">
        <v>35</v>
      </c>
      <c r="F5115" s="0" t="n">
        <v>15.552</v>
      </c>
      <c r="G5115" s="0" t="n">
        <v>5.4432</v>
      </c>
      <c r="H5115" s="0" t="n">
        <v>0.2</v>
      </c>
      <c r="I5115" s="7" t="n">
        <f aca="false">YEAR(B5115)</f>
        <v>2016</v>
      </c>
      <c r="J5115" s="0" t="str">
        <f aca="false">I5115&amp;"-Q"&amp;ROUNDUP(MONTH(B5115)/3,0)</f>
        <v>2016-Q1</v>
      </c>
    </row>
    <row r="5116" customFormat="false" ht="15" hidden="false" customHeight="false" outlineLevel="0" collapsed="false">
      <c r="A5116" s="0" t="s">
        <v>2615</v>
      </c>
      <c r="B5116" s="6" t="n">
        <v>42691</v>
      </c>
      <c r="C5116" s="7" t="s">
        <v>33</v>
      </c>
      <c r="D5116" s="7" t="s">
        <v>142</v>
      </c>
      <c r="E5116" s="7" t="s">
        <v>35</v>
      </c>
      <c r="F5116" s="0" t="n">
        <v>10.776</v>
      </c>
      <c r="G5116" s="0" t="n">
        <v>3.3675</v>
      </c>
      <c r="H5116" s="0" t="n">
        <v>0.2</v>
      </c>
      <c r="I5116" s="7" t="n">
        <f aca="false">YEAR(B5116)</f>
        <v>2016</v>
      </c>
      <c r="J5116" s="0" t="str">
        <f aca="false">I5116&amp;"-Q"&amp;ROUNDUP(MONTH(B5116)/3,0)</f>
        <v>2016-Q4</v>
      </c>
    </row>
    <row r="5117" customFormat="false" ht="15" hidden="false" customHeight="false" outlineLevel="0" collapsed="false">
      <c r="A5117" s="0" t="s">
        <v>2616</v>
      </c>
      <c r="B5117" s="6" t="n">
        <v>42941</v>
      </c>
      <c r="C5117" s="7" t="s">
        <v>55</v>
      </c>
      <c r="D5117" s="7" t="s">
        <v>56</v>
      </c>
      <c r="E5117" s="7" t="s">
        <v>35</v>
      </c>
      <c r="F5117" s="0" t="n">
        <v>3.304</v>
      </c>
      <c r="G5117" s="0" t="n">
        <v>1.0738</v>
      </c>
      <c r="H5117" s="0" t="n">
        <v>0.2</v>
      </c>
      <c r="I5117" s="7" t="n">
        <f aca="false">YEAR(B5117)</f>
        <v>2017</v>
      </c>
      <c r="J5117" s="0" t="str">
        <f aca="false">I5117&amp;"-Q"&amp;ROUNDUP(MONTH(B5117)/3,0)</f>
        <v>2017-Q3</v>
      </c>
    </row>
    <row r="5118" customFormat="false" ht="15" hidden="false" customHeight="false" outlineLevel="0" collapsed="false">
      <c r="A5118" s="0" t="s">
        <v>2617</v>
      </c>
      <c r="B5118" s="6" t="n">
        <v>43050</v>
      </c>
      <c r="C5118" s="7" t="s">
        <v>55</v>
      </c>
      <c r="D5118" s="7" t="s">
        <v>76</v>
      </c>
      <c r="E5118" s="7" t="s">
        <v>35</v>
      </c>
      <c r="F5118" s="0" t="n">
        <v>35.48</v>
      </c>
      <c r="G5118" s="0" t="n">
        <v>0</v>
      </c>
      <c r="H5118" s="0" t="n">
        <v>0</v>
      </c>
      <c r="I5118" s="7" t="n">
        <f aca="false">YEAR(B5118)</f>
        <v>2017</v>
      </c>
      <c r="J5118" s="0" t="str">
        <f aca="false">I5118&amp;"-Q"&amp;ROUNDUP(MONTH(B5118)/3,0)</f>
        <v>2017-Q4</v>
      </c>
    </row>
    <row r="5119" customFormat="false" ht="15" hidden="false" customHeight="false" outlineLevel="0" collapsed="false">
      <c r="A5119" s="0" t="s">
        <v>2618</v>
      </c>
      <c r="B5119" s="6" t="n">
        <v>42273</v>
      </c>
      <c r="C5119" s="7" t="s">
        <v>55</v>
      </c>
      <c r="D5119" s="7" t="s">
        <v>76</v>
      </c>
      <c r="E5119" s="7" t="s">
        <v>35</v>
      </c>
      <c r="F5119" s="0" t="n">
        <v>34.44</v>
      </c>
      <c r="G5119" s="0" t="n">
        <v>16.1868</v>
      </c>
      <c r="H5119" s="0" t="n">
        <v>0</v>
      </c>
      <c r="I5119" s="7" t="n">
        <f aca="false">YEAR(B5119)</f>
        <v>2015</v>
      </c>
      <c r="J5119" s="0" t="str">
        <f aca="false">I5119&amp;"-Q"&amp;ROUNDUP(MONTH(B5119)/3,0)</f>
        <v>2015-Q3</v>
      </c>
    </row>
    <row r="5120" customFormat="false" ht="15" hidden="false" customHeight="false" outlineLevel="0" collapsed="false">
      <c r="A5120" s="0" t="s">
        <v>2618</v>
      </c>
      <c r="B5120" s="6" t="n">
        <v>42273</v>
      </c>
      <c r="C5120" s="7" t="s">
        <v>55</v>
      </c>
      <c r="D5120" s="7" t="s">
        <v>76</v>
      </c>
      <c r="E5120" s="7" t="s">
        <v>39</v>
      </c>
      <c r="F5120" s="0" t="n">
        <v>629.93</v>
      </c>
      <c r="G5120" s="0" t="n">
        <v>296.0671</v>
      </c>
      <c r="H5120" s="0" t="n">
        <v>0</v>
      </c>
      <c r="I5120" s="7" t="n">
        <f aca="false">YEAR(B5120)</f>
        <v>2015</v>
      </c>
      <c r="J5120" s="0" t="str">
        <f aca="false">I5120&amp;"-Q"&amp;ROUNDUP(MONTH(B5120)/3,0)</f>
        <v>2015-Q3</v>
      </c>
    </row>
    <row r="5121" customFormat="false" ht="15" hidden="false" customHeight="false" outlineLevel="0" collapsed="false">
      <c r="A5121" s="0" t="s">
        <v>2618</v>
      </c>
      <c r="B5121" s="6" t="n">
        <v>42273</v>
      </c>
      <c r="C5121" s="7" t="s">
        <v>55</v>
      </c>
      <c r="D5121" s="7" t="s">
        <v>76</v>
      </c>
      <c r="E5121" s="7" t="s">
        <v>35</v>
      </c>
      <c r="F5121" s="0" t="n">
        <v>79.056</v>
      </c>
      <c r="G5121" s="0" t="n">
        <v>28.6578</v>
      </c>
      <c r="H5121" s="0" t="n">
        <v>0.2</v>
      </c>
      <c r="I5121" s="7" t="n">
        <f aca="false">YEAR(B5121)</f>
        <v>2015</v>
      </c>
      <c r="J5121" s="0" t="str">
        <f aca="false">I5121&amp;"-Q"&amp;ROUNDUP(MONTH(B5121)/3,0)</f>
        <v>2015-Q3</v>
      </c>
    </row>
    <row r="5122" customFormat="false" ht="15" hidden="false" customHeight="false" outlineLevel="0" collapsed="false">
      <c r="A5122" s="0" t="s">
        <v>2619</v>
      </c>
      <c r="B5122" s="6" t="n">
        <v>41733</v>
      </c>
      <c r="C5122" s="7" t="s">
        <v>29</v>
      </c>
      <c r="D5122" s="7" t="s">
        <v>152</v>
      </c>
      <c r="E5122" s="7" t="s">
        <v>35</v>
      </c>
      <c r="F5122" s="0" t="n">
        <v>232.55</v>
      </c>
      <c r="G5122" s="0" t="n">
        <v>9.302</v>
      </c>
      <c r="H5122" s="0" t="n">
        <v>0</v>
      </c>
      <c r="I5122" s="7" t="n">
        <f aca="false">YEAR(B5122)</f>
        <v>2014</v>
      </c>
      <c r="J5122" s="0" t="str">
        <f aca="false">I5122&amp;"-Q"&amp;ROUNDUP(MONTH(B5122)/3,0)</f>
        <v>2014-Q2</v>
      </c>
    </row>
    <row r="5123" customFormat="false" ht="15" hidden="false" customHeight="false" outlineLevel="0" collapsed="false">
      <c r="A5123" s="0" t="s">
        <v>2619</v>
      </c>
      <c r="B5123" s="6" t="n">
        <v>41733</v>
      </c>
      <c r="C5123" s="7" t="s">
        <v>29</v>
      </c>
      <c r="D5123" s="7" t="s">
        <v>152</v>
      </c>
      <c r="E5123" s="7" t="s">
        <v>39</v>
      </c>
      <c r="F5123" s="0" t="n">
        <v>99.98</v>
      </c>
      <c r="G5123" s="0" t="n">
        <v>42.9914</v>
      </c>
      <c r="H5123" s="0" t="n">
        <v>0</v>
      </c>
      <c r="I5123" s="7" t="n">
        <f aca="false">YEAR(B5123)</f>
        <v>2014</v>
      </c>
      <c r="J5123" s="0" t="str">
        <f aca="false">I5123&amp;"-Q"&amp;ROUNDUP(MONTH(B5123)/3,0)</f>
        <v>2014-Q2</v>
      </c>
    </row>
    <row r="5124" customFormat="false" ht="15" hidden="false" customHeight="false" outlineLevel="0" collapsed="false">
      <c r="A5124" s="0" t="s">
        <v>2619</v>
      </c>
      <c r="B5124" s="6" t="n">
        <v>41733</v>
      </c>
      <c r="C5124" s="7" t="s">
        <v>29</v>
      </c>
      <c r="D5124" s="7" t="s">
        <v>152</v>
      </c>
      <c r="E5124" s="7" t="s">
        <v>35</v>
      </c>
      <c r="F5124" s="0" t="n">
        <v>19.44</v>
      </c>
      <c r="G5124" s="0" t="n">
        <v>9.3312</v>
      </c>
      <c r="H5124" s="0" t="n">
        <v>0</v>
      </c>
      <c r="I5124" s="7" t="n">
        <f aca="false">YEAR(B5124)</f>
        <v>2014</v>
      </c>
      <c r="J5124" s="0" t="str">
        <f aca="false">I5124&amp;"-Q"&amp;ROUNDUP(MONTH(B5124)/3,0)</f>
        <v>2014-Q2</v>
      </c>
    </row>
    <row r="5125" customFormat="false" ht="15" hidden="false" customHeight="false" outlineLevel="0" collapsed="false">
      <c r="A5125" s="0" t="s">
        <v>2619</v>
      </c>
      <c r="B5125" s="6" t="n">
        <v>41733</v>
      </c>
      <c r="C5125" s="7" t="s">
        <v>29</v>
      </c>
      <c r="D5125" s="7" t="s">
        <v>152</v>
      </c>
      <c r="E5125" s="7" t="s">
        <v>35</v>
      </c>
      <c r="F5125" s="0" t="n">
        <v>12.96</v>
      </c>
      <c r="G5125" s="0" t="n">
        <v>6.3504</v>
      </c>
      <c r="H5125" s="0" t="n">
        <v>0</v>
      </c>
      <c r="I5125" s="7" t="n">
        <f aca="false">YEAR(B5125)</f>
        <v>2014</v>
      </c>
      <c r="J5125" s="0" t="str">
        <f aca="false">I5125&amp;"-Q"&amp;ROUNDUP(MONTH(B5125)/3,0)</f>
        <v>2014-Q2</v>
      </c>
    </row>
    <row r="5126" customFormat="false" ht="15" hidden="false" customHeight="false" outlineLevel="0" collapsed="false">
      <c r="A5126" s="0" t="s">
        <v>2620</v>
      </c>
      <c r="B5126" s="6" t="n">
        <v>41896</v>
      </c>
      <c r="C5126" s="7" t="s">
        <v>55</v>
      </c>
      <c r="D5126" s="7" t="s">
        <v>76</v>
      </c>
      <c r="E5126" s="7" t="s">
        <v>31</v>
      </c>
      <c r="F5126" s="0" t="n">
        <v>464.292</v>
      </c>
      <c r="G5126" s="0" t="n">
        <v>-108.3348</v>
      </c>
      <c r="H5126" s="0" t="n">
        <v>0.4</v>
      </c>
      <c r="I5126" s="7" t="n">
        <f aca="false">YEAR(B5126)</f>
        <v>2014</v>
      </c>
      <c r="J5126" s="0" t="str">
        <f aca="false">I5126&amp;"-Q"&amp;ROUNDUP(MONTH(B5126)/3,0)</f>
        <v>2014-Q3</v>
      </c>
    </row>
    <row r="5127" customFormat="false" ht="15" hidden="false" customHeight="false" outlineLevel="0" collapsed="false">
      <c r="A5127" s="0" t="s">
        <v>2620</v>
      </c>
      <c r="B5127" s="6" t="n">
        <v>41896</v>
      </c>
      <c r="C5127" s="7" t="s">
        <v>55</v>
      </c>
      <c r="D5127" s="7" t="s">
        <v>76</v>
      </c>
      <c r="E5127" s="7" t="s">
        <v>35</v>
      </c>
      <c r="F5127" s="0" t="n">
        <v>68.46</v>
      </c>
      <c r="G5127" s="0" t="n">
        <v>31.4916</v>
      </c>
      <c r="H5127" s="0" t="n">
        <v>0</v>
      </c>
      <c r="I5127" s="7" t="n">
        <f aca="false">YEAR(B5127)</f>
        <v>2014</v>
      </c>
      <c r="J5127" s="0" t="str">
        <f aca="false">I5127&amp;"-Q"&amp;ROUNDUP(MONTH(B5127)/3,0)</f>
        <v>2014-Q3</v>
      </c>
    </row>
    <row r="5128" customFormat="false" ht="15" hidden="false" customHeight="false" outlineLevel="0" collapsed="false">
      <c r="A5128" s="0" t="s">
        <v>2620</v>
      </c>
      <c r="B5128" s="6" t="n">
        <v>41896</v>
      </c>
      <c r="C5128" s="7" t="s">
        <v>55</v>
      </c>
      <c r="D5128" s="7" t="s">
        <v>76</v>
      </c>
      <c r="E5128" s="7" t="s">
        <v>39</v>
      </c>
      <c r="F5128" s="0" t="n">
        <v>2799.96</v>
      </c>
      <c r="G5128" s="0" t="n">
        <v>1371.9804</v>
      </c>
      <c r="H5128" s="0" t="n">
        <v>0</v>
      </c>
      <c r="I5128" s="7" t="n">
        <f aca="false">YEAR(B5128)</f>
        <v>2014</v>
      </c>
      <c r="J5128" s="0" t="str">
        <f aca="false">I5128&amp;"-Q"&amp;ROUNDUP(MONTH(B5128)/3,0)</f>
        <v>2014-Q3</v>
      </c>
    </row>
    <row r="5129" customFormat="false" ht="15" hidden="false" customHeight="false" outlineLevel="0" collapsed="false">
      <c r="A5129" s="0" t="s">
        <v>2620</v>
      </c>
      <c r="B5129" s="6" t="n">
        <v>41896</v>
      </c>
      <c r="C5129" s="7" t="s">
        <v>55</v>
      </c>
      <c r="D5129" s="7" t="s">
        <v>76</v>
      </c>
      <c r="E5129" s="7" t="s">
        <v>35</v>
      </c>
      <c r="F5129" s="0" t="n">
        <v>601.3</v>
      </c>
      <c r="G5129" s="0" t="n">
        <v>198.429</v>
      </c>
      <c r="H5129" s="0" t="n">
        <v>0</v>
      </c>
      <c r="I5129" s="7" t="n">
        <f aca="false">YEAR(B5129)</f>
        <v>2014</v>
      </c>
      <c r="J5129" s="0" t="str">
        <f aca="false">I5129&amp;"-Q"&amp;ROUNDUP(MONTH(B5129)/3,0)</f>
        <v>2014-Q3</v>
      </c>
    </row>
    <row r="5130" customFormat="false" ht="15" hidden="false" customHeight="false" outlineLevel="0" collapsed="false">
      <c r="A5130" s="0" t="s">
        <v>2620</v>
      </c>
      <c r="B5130" s="6" t="n">
        <v>41896</v>
      </c>
      <c r="C5130" s="7" t="s">
        <v>55</v>
      </c>
      <c r="D5130" s="7" t="s">
        <v>76</v>
      </c>
      <c r="E5130" s="7" t="s">
        <v>39</v>
      </c>
      <c r="F5130" s="0" t="n">
        <v>16.99</v>
      </c>
      <c r="G5130" s="0" t="n">
        <v>4.4174</v>
      </c>
      <c r="H5130" s="0" t="n">
        <v>0</v>
      </c>
      <c r="I5130" s="7" t="n">
        <f aca="false">YEAR(B5130)</f>
        <v>2014</v>
      </c>
      <c r="J5130" s="0" t="str">
        <f aca="false">I5130&amp;"-Q"&amp;ROUNDUP(MONTH(B5130)/3,0)</f>
        <v>2014-Q3</v>
      </c>
    </row>
    <row r="5131" customFormat="false" ht="15" hidden="false" customHeight="false" outlineLevel="0" collapsed="false">
      <c r="A5131" s="0" t="s">
        <v>2620</v>
      </c>
      <c r="B5131" s="6" t="n">
        <v>41896</v>
      </c>
      <c r="C5131" s="7" t="s">
        <v>55</v>
      </c>
      <c r="D5131" s="7" t="s">
        <v>76</v>
      </c>
      <c r="E5131" s="7" t="s">
        <v>39</v>
      </c>
      <c r="F5131" s="0" t="n">
        <v>287.97</v>
      </c>
      <c r="G5131" s="0" t="n">
        <v>80.6316</v>
      </c>
      <c r="H5131" s="0" t="n">
        <v>0</v>
      </c>
      <c r="I5131" s="7" t="n">
        <f aca="false">YEAR(B5131)</f>
        <v>2014</v>
      </c>
      <c r="J5131" s="0" t="str">
        <f aca="false">I5131&amp;"-Q"&amp;ROUNDUP(MONTH(B5131)/3,0)</f>
        <v>2014-Q3</v>
      </c>
    </row>
    <row r="5132" customFormat="false" ht="15" hidden="false" customHeight="false" outlineLevel="0" collapsed="false">
      <c r="A5132" s="0" t="s">
        <v>2620</v>
      </c>
      <c r="B5132" s="6" t="n">
        <v>41896</v>
      </c>
      <c r="C5132" s="7" t="s">
        <v>55</v>
      </c>
      <c r="D5132" s="7" t="s">
        <v>76</v>
      </c>
      <c r="E5132" s="7" t="s">
        <v>35</v>
      </c>
      <c r="F5132" s="0" t="n">
        <v>44.82</v>
      </c>
      <c r="G5132" s="0" t="n">
        <v>21.0654</v>
      </c>
      <c r="H5132" s="0" t="n">
        <v>0</v>
      </c>
      <c r="I5132" s="7" t="n">
        <f aca="false">YEAR(B5132)</f>
        <v>2014</v>
      </c>
      <c r="J5132" s="0" t="str">
        <f aca="false">I5132&amp;"-Q"&amp;ROUNDUP(MONTH(B5132)/3,0)</f>
        <v>2014-Q3</v>
      </c>
    </row>
    <row r="5133" customFormat="false" ht="15" hidden="false" customHeight="false" outlineLevel="0" collapsed="false">
      <c r="A5133" s="0" t="s">
        <v>2621</v>
      </c>
      <c r="B5133" s="6" t="n">
        <v>43098</v>
      </c>
      <c r="C5133" s="7" t="s">
        <v>33</v>
      </c>
      <c r="D5133" s="7" t="s">
        <v>34</v>
      </c>
      <c r="E5133" s="7" t="s">
        <v>31</v>
      </c>
      <c r="F5133" s="0" t="n">
        <v>101.12</v>
      </c>
      <c r="G5133" s="0" t="n">
        <v>37.4144</v>
      </c>
      <c r="H5133" s="0" t="n">
        <v>0</v>
      </c>
      <c r="I5133" s="7" t="n">
        <f aca="false">YEAR(B5133)</f>
        <v>2017</v>
      </c>
      <c r="J5133" s="0" t="str">
        <f aca="false">I5133&amp;"-Q"&amp;ROUNDUP(MONTH(B5133)/3,0)</f>
        <v>2017-Q4</v>
      </c>
    </row>
    <row r="5134" customFormat="false" ht="15" hidden="false" customHeight="false" outlineLevel="0" collapsed="false">
      <c r="A5134" s="0" t="s">
        <v>2622</v>
      </c>
      <c r="B5134" s="6" t="n">
        <v>42176</v>
      </c>
      <c r="C5134" s="7" t="s">
        <v>29</v>
      </c>
      <c r="D5134" s="7" t="s">
        <v>37</v>
      </c>
      <c r="E5134" s="7" t="s">
        <v>39</v>
      </c>
      <c r="F5134" s="0" t="n">
        <v>107.976</v>
      </c>
      <c r="G5134" s="0" t="n">
        <v>37.7916</v>
      </c>
      <c r="H5134" s="0" t="n">
        <v>0.2</v>
      </c>
      <c r="I5134" s="7" t="n">
        <f aca="false">YEAR(B5134)</f>
        <v>2015</v>
      </c>
      <c r="J5134" s="0" t="str">
        <f aca="false">I5134&amp;"-Q"&amp;ROUNDUP(MONTH(B5134)/3,0)</f>
        <v>2015-Q2</v>
      </c>
    </row>
    <row r="5135" customFormat="false" ht="15" hidden="false" customHeight="false" outlineLevel="0" collapsed="false">
      <c r="A5135" s="0" t="s">
        <v>2623</v>
      </c>
      <c r="B5135" s="6" t="n">
        <v>43065</v>
      </c>
      <c r="C5135" s="7" t="s">
        <v>55</v>
      </c>
      <c r="D5135" s="7" t="s">
        <v>76</v>
      </c>
      <c r="E5135" s="7" t="s">
        <v>35</v>
      </c>
      <c r="F5135" s="0" t="n">
        <v>58.73</v>
      </c>
      <c r="G5135" s="0" t="n">
        <v>14.6825</v>
      </c>
      <c r="H5135" s="0" t="n">
        <v>0</v>
      </c>
      <c r="I5135" s="7" t="n">
        <f aca="false">YEAR(B5135)</f>
        <v>2017</v>
      </c>
      <c r="J5135" s="0" t="str">
        <f aca="false">I5135&amp;"-Q"&amp;ROUNDUP(MONTH(B5135)/3,0)</f>
        <v>2017-Q4</v>
      </c>
    </row>
    <row r="5136" customFormat="false" ht="15" hidden="false" customHeight="false" outlineLevel="0" collapsed="false">
      <c r="A5136" s="0" t="s">
        <v>2623</v>
      </c>
      <c r="B5136" s="6" t="n">
        <v>43065</v>
      </c>
      <c r="C5136" s="7" t="s">
        <v>55</v>
      </c>
      <c r="D5136" s="7" t="s">
        <v>76</v>
      </c>
      <c r="E5136" s="7" t="s">
        <v>35</v>
      </c>
      <c r="F5136" s="0" t="n">
        <v>93.344</v>
      </c>
      <c r="G5136" s="0" t="n">
        <v>32.6704</v>
      </c>
      <c r="H5136" s="0" t="n">
        <v>0.2</v>
      </c>
      <c r="I5136" s="7" t="n">
        <f aca="false">YEAR(B5136)</f>
        <v>2017</v>
      </c>
      <c r="J5136" s="0" t="str">
        <f aca="false">I5136&amp;"-Q"&amp;ROUNDUP(MONTH(B5136)/3,0)</f>
        <v>2017-Q4</v>
      </c>
    </row>
    <row r="5137" customFormat="false" ht="15" hidden="false" customHeight="false" outlineLevel="0" collapsed="false">
      <c r="A5137" s="0" t="s">
        <v>2624</v>
      </c>
      <c r="B5137" s="6" t="n">
        <v>42666</v>
      </c>
      <c r="C5137" s="7" t="s">
        <v>33</v>
      </c>
      <c r="D5137" s="7" t="s">
        <v>43</v>
      </c>
      <c r="E5137" s="7" t="s">
        <v>35</v>
      </c>
      <c r="F5137" s="0" t="n">
        <v>17.05</v>
      </c>
      <c r="G5137" s="0" t="n">
        <v>8.184</v>
      </c>
      <c r="H5137" s="0" t="n">
        <v>0</v>
      </c>
      <c r="I5137" s="7" t="n">
        <f aca="false">YEAR(B5137)</f>
        <v>2016</v>
      </c>
      <c r="J5137" s="0" t="str">
        <f aca="false">I5137&amp;"-Q"&amp;ROUNDUP(MONTH(B5137)/3,0)</f>
        <v>2016-Q4</v>
      </c>
    </row>
    <row r="5138" customFormat="false" ht="15" hidden="false" customHeight="false" outlineLevel="0" collapsed="false">
      <c r="A5138" s="0" t="s">
        <v>2625</v>
      </c>
      <c r="B5138" s="6" t="n">
        <v>42352</v>
      </c>
      <c r="C5138" s="7" t="s">
        <v>33</v>
      </c>
      <c r="D5138" s="7" t="s">
        <v>34</v>
      </c>
      <c r="E5138" s="7" t="s">
        <v>35</v>
      </c>
      <c r="F5138" s="0" t="n">
        <v>8.096</v>
      </c>
      <c r="G5138" s="0" t="n">
        <v>2.7324</v>
      </c>
      <c r="H5138" s="0" t="n">
        <v>0.2</v>
      </c>
      <c r="I5138" s="7" t="n">
        <f aca="false">YEAR(B5138)</f>
        <v>2015</v>
      </c>
      <c r="J5138" s="0" t="str">
        <f aca="false">I5138&amp;"-Q"&amp;ROUNDUP(MONTH(B5138)/3,0)</f>
        <v>2015-Q4</v>
      </c>
    </row>
    <row r="5139" customFormat="false" ht="15" hidden="false" customHeight="false" outlineLevel="0" collapsed="false">
      <c r="A5139" s="0" t="s">
        <v>2626</v>
      </c>
      <c r="B5139" s="6" t="n">
        <v>42687</v>
      </c>
      <c r="C5139" s="7" t="s">
        <v>45</v>
      </c>
      <c r="D5139" s="7" t="s">
        <v>138</v>
      </c>
      <c r="E5139" s="7" t="s">
        <v>31</v>
      </c>
      <c r="F5139" s="0" t="n">
        <v>30.36</v>
      </c>
      <c r="G5139" s="0" t="n">
        <v>13.0548</v>
      </c>
      <c r="H5139" s="0" t="n">
        <v>0</v>
      </c>
      <c r="I5139" s="7" t="n">
        <f aca="false">YEAR(B5139)</f>
        <v>2016</v>
      </c>
      <c r="J5139" s="0" t="str">
        <f aca="false">I5139&amp;"-Q"&amp;ROUNDUP(MONTH(B5139)/3,0)</f>
        <v>2016-Q4</v>
      </c>
    </row>
    <row r="5140" customFormat="false" ht="15" hidden="false" customHeight="false" outlineLevel="0" collapsed="false">
      <c r="A5140" s="0" t="s">
        <v>2627</v>
      </c>
      <c r="B5140" s="6" t="n">
        <v>43007</v>
      </c>
      <c r="C5140" s="7" t="s">
        <v>55</v>
      </c>
      <c r="D5140" s="7" t="s">
        <v>76</v>
      </c>
      <c r="E5140" s="7" t="s">
        <v>35</v>
      </c>
      <c r="F5140" s="0" t="n">
        <v>23.34</v>
      </c>
      <c r="G5140" s="0" t="n">
        <v>10.9698</v>
      </c>
      <c r="H5140" s="0" t="n">
        <v>0</v>
      </c>
      <c r="I5140" s="7" t="n">
        <f aca="false">YEAR(B5140)</f>
        <v>2017</v>
      </c>
      <c r="J5140" s="0" t="str">
        <f aca="false">I5140&amp;"-Q"&amp;ROUNDUP(MONTH(B5140)/3,0)</f>
        <v>2017-Q3</v>
      </c>
    </row>
    <row r="5141" customFormat="false" ht="15" hidden="false" customHeight="false" outlineLevel="0" collapsed="false">
      <c r="A5141" s="0" t="s">
        <v>2627</v>
      </c>
      <c r="B5141" s="6" t="n">
        <v>43007</v>
      </c>
      <c r="C5141" s="7" t="s">
        <v>55</v>
      </c>
      <c r="D5141" s="7" t="s">
        <v>76</v>
      </c>
      <c r="E5141" s="7" t="s">
        <v>35</v>
      </c>
      <c r="F5141" s="0" t="n">
        <v>51.55</v>
      </c>
      <c r="G5141" s="0" t="n">
        <v>24.2285</v>
      </c>
      <c r="H5141" s="0" t="n">
        <v>0</v>
      </c>
      <c r="I5141" s="7" t="n">
        <f aca="false">YEAR(B5141)</f>
        <v>2017</v>
      </c>
      <c r="J5141" s="0" t="str">
        <f aca="false">I5141&amp;"-Q"&amp;ROUNDUP(MONTH(B5141)/3,0)</f>
        <v>2017-Q3</v>
      </c>
    </row>
    <row r="5142" customFormat="false" ht="15" hidden="false" customHeight="false" outlineLevel="0" collapsed="false">
      <c r="A5142" s="0" t="s">
        <v>2628</v>
      </c>
      <c r="B5142" s="6" t="n">
        <v>42316</v>
      </c>
      <c r="C5142" s="7" t="s">
        <v>33</v>
      </c>
      <c r="D5142" s="7" t="s">
        <v>34</v>
      </c>
      <c r="E5142" s="7" t="s">
        <v>39</v>
      </c>
      <c r="F5142" s="0" t="n">
        <v>119.9</v>
      </c>
      <c r="G5142" s="0" t="n">
        <v>43.164</v>
      </c>
      <c r="H5142" s="0" t="n">
        <v>0</v>
      </c>
      <c r="I5142" s="7" t="n">
        <f aca="false">YEAR(B5142)</f>
        <v>2015</v>
      </c>
      <c r="J5142" s="0" t="str">
        <f aca="false">I5142&amp;"-Q"&amp;ROUNDUP(MONTH(B5142)/3,0)</f>
        <v>2015-Q4</v>
      </c>
    </row>
    <row r="5143" customFormat="false" ht="15" hidden="false" customHeight="false" outlineLevel="0" collapsed="false">
      <c r="A5143" s="0" t="s">
        <v>2629</v>
      </c>
      <c r="B5143" s="6" t="n">
        <v>42461</v>
      </c>
      <c r="C5143" s="7" t="s">
        <v>55</v>
      </c>
      <c r="D5143" s="7" t="s">
        <v>76</v>
      </c>
      <c r="E5143" s="7" t="s">
        <v>31</v>
      </c>
      <c r="F5143" s="0" t="n">
        <v>1317.492</v>
      </c>
      <c r="G5143" s="0" t="n">
        <v>292.776</v>
      </c>
      <c r="H5143" s="0" t="n">
        <v>0.1</v>
      </c>
      <c r="I5143" s="7" t="n">
        <f aca="false">YEAR(B5143)</f>
        <v>2016</v>
      </c>
      <c r="J5143" s="0" t="str">
        <f aca="false">I5143&amp;"-Q"&amp;ROUNDUP(MONTH(B5143)/3,0)</f>
        <v>2016-Q2</v>
      </c>
    </row>
    <row r="5144" customFormat="false" ht="15" hidden="false" customHeight="false" outlineLevel="0" collapsed="false">
      <c r="A5144" s="0" t="s">
        <v>2629</v>
      </c>
      <c r="B5144" s="6" t="n">
        <v>42461</v>
      </c>
      <c r="C5144" s="7" t="s">
        <v>55</v>
      </c>
      <c r="D5144" s="7" t="s">
        <v>76</v>
      </c>
      <c r="E5144" s="7" t="s">
        <v>35</v>
      </c>
      <c r="F5144" s="0" t="n">
        <v>63.84</v>
      </c>
      <c r="G5144" s="0" t="n">
        <v>18.5136</v>
      </c>
      <c r="H5144" s="0" t="n">
        <v>0</v>
      </c>
      <c r="I5144" s="7" t="n">
        <f aca="false">YEAR(B5144)</f>
        <v>2016</v>
      </c>
      <c r="J5144" s="0" t="str">
        <f aca="false">I5144&amp;"-Q"&amp;ROUNDUP(MONTH(B5144)/3,0)</f>
        <v>2016-Q2</v>
      </c>
    </row>
    <row r="5145" customFormat="false" ht="15" hidden="false" customHeight="false" outlineLevel="0" collapsed="false">
      <c r="A5145" s="0" t="s">
        <v>2629</v>
      </c>
      <c r="B5145" s="6" t="n">
        <v>42461</v>
      </c>
      <c r="C5145" s="7" t="s">
        <v>55</v>
      </c>
      <c r="D5145" s="7" t="s">
        <v>76</v>
      </c>
      <c r="E5145" s="7" t="s">
        <v>35</v>
      </c>
      <c r="F5145" s="0" t="n">
        <v>3.592</v>
      </c>
      <c r="G5145" s="0" t="n">
        <v>1.1225</v>
      </c>
      <c r="H5145" s="0" t="n">
        <v>0.2</v>
      </c>
      <c r="I5145" s="7" t="n">
        <f aca="false">YEAR(B5145)</f>
        <v>2016</v>
      </c>
      <c r="J5145" s="0" t="str">
        <f aca="false">I5145&amp;"-Q"&amp;ROUNDUP(MONTH(B5145)/3,0)</f>
        <v>2016-Q2</v>
      </c>
    </row>
    <row r="5146" customFormat="false" ht="15" hidden="false" customHeight="false" outlineLevel="0" collapsed="false">
      <c r="A5146" s="0" t="s">
        <v>2630</v>
      </c>
      <c r="B5146" s="6" t="n">
        <v>42768</v>
      </c>
      <c r="C5146" s="7" t="s">
        <v>33</v>
      </c>
      <c r="D5146" s="7" t="s">
        <v>34</v>
      </c>
      <c r="E5146" s="7" t="s">
        <v>31</v>
      </c>
      <c r="F5146" s="0" t="n">
        <v>86.26</v>
      </c>
      <c r="G5146" s="0" t="n">
        <v>29.3284</v>
      </c>
      <c r="H5146" s="0" t="n">
        <v>0</v>
      </c>
      <c r="I5146" s="7" t="n">
        <f aca="false">YEAR(B5146)</f>
        <v>2017</v>
      </c>
      <c r="J5146" s="0" t="str">
        <f aca="false">I5146&amp;"-Q"&amp;ROUNDUP(MONTH(B5146)/3,0)</f>
        <v>2017-Q1</v>
      </c>
    </row>
    <row r="5147" customFormat="false" ht="15" hidden="false" customHeight="false" outlineLevel="0" collapsed="false">
      <c r="A5147" s="0" t="s">
        <v>2630</v>
      </c>
      <c r="B5147" s="6" t="n">
        <v>42768</v>
      </c>
      <c r="C5147" s="7" t="s">
        <v>33</v>
      </c>
      <c r="D5147" s="7" t="s">
        <v>34</v>
      </c>
      <c r="E5147" s="7" t="s">
        <v>35</v>
      </c>
      <c r="F5147" s="0" t="n">
        <v>139.04</v>
      </c>
      <c r="G5147" s="0" t="n">
        <v>38.9312</v>
      </c>
      <c r="H5147" s="0" t="n">
        <v>0</v>
      </c>
      <c r="I5147" s="7" t="n">
        <f aca="false">YEAR(B5147)</f>
        <v>2017</v>
      </c>
      <c r="J5147" s="0" t="str">
        <f aca="false">I5147&amp;"-Q"&amp;ROUNDUP(MONTH(B5147)/3,0)</f>
        <v>2017-Q1</v>
      </c>
    </row>
    <row r="5148" customFormat="false" ht="15" hidden="false" customHeight="false" outlineLevel="0" collapsed="false">
      <c r="A5148" s="0" t="s">
        <v>2630</v>
      </c>
      <c r="B5148" s="6" t="n">
        <v>42768</v>
      </c>
      <c r="C5148" s="7" t="s">
        <v>33</v>
      </c>
      <c r="D5148" s="7" t="s">
        <v>34</v>
      </c>
      <c r="E5148" s="7" t="s">
        <v>35</v>
      </c>
      <c r="F5148" s="0" t="n">
        <v>46.8</v>
      </c>
      <c r="G5148" s="0" t="n">
        <v>16.38</v>
      </c>
      <c r="H5148" s="0" t="n">
        <v>0</v>
      </c>
      <c r="I5148" s="7" t="n">
        <f aca="false">YEAR(B5148)</f>
        <v>2017</v>
      </c>
      <c r="J5148" s="0" t="str">
        <f aca="false">I5148&amp;"-Q"&amp;ROUNDUP(MONTH(B5148)/3,0)</f>
        <v>2017-Q1</v>
      </c>
    </row>
    <row r="5149" customFormat="false" ht="15" hidden="false" customHeight="false" outlineLevel="0" collapsed="false">
      <c r="A5149" s="0" t="s">
        <v>2631</v>
      </c>
      <c r="B5149" s="6" t="n">
        <v>43093</v>
      </c>
      <c r="C5149" s="7" t="s">
        <v>33</v>
      </c>
      <c r="D5149" s="7" t="s">
        <v>81</v>
      </c>
      <c r="E5149" s="7" t="s">
        <v>31</v>
      </c>
      <c r="F5149" s="0" t="n">
        <v>8.544</v>
      </c>
      <c r="G5149" s="0" t="n">
        <v>1.9224</v>
      </c>
      <c r="H5149" s="0" t="n">
        <v>0.2</v>
      </c>
      <c r="I5149" s="7" t="n">
        <f aca="false">YEAR(B5149)</f>
        <v>2017</v>
      </c>
      <c r="J5149" s="0" t="str">
        <f aca="false">I5149&amp;"-Q"&amp;ROUNDUP(MONTH(B5149)/3,0)</f>
        <v>2017-Q4</v>
      </c>
    </row>
    <row r="5150" customFormat="false" ht="15" hidden="false" customHeight="false" outlineLevel="0" collapsed="false">
      <c r="A5150" s="0" t="s">
        <v>2631</v>
      </c>
      <c r="B5150" s="6" t="n">
        <v>43093</v>
      </c>
      <c r="C5150" s="7" t="s">
        <v>33</v>
      </c>
      <c r="D5150" s="7" t="s">
        <v>81</v>
      </c>
      <c r="E5150" s="7" t="s">
        <v>31</v>
      </c>
      <c r="F5150" s="0" t="n">
        <v>842.376</v>
      </c>
      <c r="G5150" s="0" t="n">
        <v>105.297</v>
      </c>
      <c r="H5150" s="0" t="n">
        <v>0.2</v>
      </c>
      <c r="I5150" s="7" t="n">
        <f aca="false">YEAR(B5150)</f>
        <v>2017</v>
      </c>
      <c r="J5150" s="0" t="str">
        <f aca="false">I5150&amp;"-Q"&amp;ROUNDUP(MONTH(B5150)/3,0)</f>
        <v>2017-Q4</v>
      </c>
    </row>
    <row r="5151" customFormat="false" ht="15" hidden="false" customHeight="false" outlineLevel="0" collapsed="false">
      <c r="A5151" s="0" t="s">
        <v>2632</v>
      </c>
      <c r="B5151" s="6" t="n">
        <v>41811</v>
      </c>
      <c r="C5151" s="7" t="s">
        <v>55</v>
      </c>
      <c r="D5151" s="7" t="s">
        <v>76</v>
      </c>
      <c r="E5151" s="7" t="s">
        <v>39</v>
      </c>
      <c r="F5151" s="0" t="n">
        <v>1214.85</v>
      </c>
      <c r="G5151" s="0" t="n">
        <v>352.3065</v>
      </c>
      <c r="H5151" s="0" t="n">
        <v>0</v>
      </c>
      <c r="I5151" s="7" t="n">
        <f aca="false">YEAR(B5151)</f>
        <v>2014</v>
      </c>
      <c r="J5151" s="0" t="str">
        <f aca="false">I5151&amp;"-Q"&amp;ROUNDUP(MONTH(B5151)/3,0)</f>
        <v>2014-Q2</v>
      </c>
    </row>
    <row r="5152" customFormat="false" ht="15" hidden="false" customHeight="false" outlineLevel="0" collapsed="false">
      <c r="A5152" s="0" t="s">
        <v>2633</v>
      </c>
      <c r="B5152" s="6" t="n">
        <v>42800</v>
      </c>
      <c r="C5152" s="7" t="s">
        <v>33</v>
      </c>
      <c r="D5152" s="7" t="s">
        <v>34</v>
      </c>
      <c r="E5152" s="7" t="s">
        <v>35</v>
      </c>
      <c r="F5152" s="0" t="n">
        <v>67.78</v>
      </c>
      <c r="G5152" s="0" t="n">
        <v>16.945</v>
      </c>
      <c r="H5152" s="0" t="n">
        <v>0</v>
      </c>
      <c r="I5152" s="7" t="n">
        <f aca="false">YEAR(B5152)</f>
        <v>2017</v>
      </c>
      <c r="J5152" s="0" t="str">
        <f aca="false">I5152&amp;"-Q"&amp;ROUNDUP(MONTH(B5152)/3,0)</f>
        <v>2017-Q1</v>
      </c>
    </row>
    <row r="5153" customFormat="false" ht="15" hidden="false" customHeight="false" outlineLevel="0" collapsed="false">
      <c r="A5153" s="0" t="s">
        <v>2634</v>
      </c>
      <c r="B5153" s="6" t="n">
        <v>43003</v>
      </c>
      <c r="C5153" s="7" t="s">
        <v>33</v>
      </c>
      <c r="D5153" s="7" t="s">
        <v>310</v>
      </c>
      <c r="E5153" s="7" t="s">
        <v>35</v>
      </c>
      <c r="F5153" s="0" t="n">
        <v>39.9</v>
      </c>
      <c r="G5153" s="0" t="n">
        <v>10.374</v>
      </c>
      <c r="H5153" s="0" t="n">
        <v>0</v>
      </c>
      <c r="I5153" s="7" t="n">
        <f aca="false">YEAR(B5153)</f>
        <v>2017</v>
      </c>
      <c r="J5153" s="0" t="str">
        <f aca="false">I5153&amp;"-Q"&amp;ROUNDUP(MONTH(B5153)/3,0)</f>
        <v>2017-Q3</v>
      </c>
    </row>
    <row r="5154" customFormat="false" ht="15" hidden="false" customHeight="false" outlineLevel="0" collapsed="false">
      <c r="A5154" s="0" t="s">
        <v>2635</v>
      </c>
      <c r="B5154" s="6" t="n">
        <v>41820</v>
      </c>
      <c r="C5154" s="7" t="s">
        <v>55</v>
      </c>
      <c r="D5154" s="7" t="s">
        <v>76</v>
      </c>
      <c r="E5154" s="7" t="s">
        <v>35</v>
      </c>
      <c r="F5154" s="0" t="n">
        <v>2.688</v>
      </c>
      <c r="G5154" s="0" t="n">
        <v>0.84</v>
      </c>
      <c r="H5154" s="0" t="n">
        <v>0.2</v>
      </c>
      <c r="I5154" s="7" t="n">
        <f aca="false">YEAR(B5154)</f>
        <v>2014</v>
      </c>
      <c r="J5154" s="0" t="str">
        <f aca="false">I5154&amp;"-Q"&amp;ROUNDUP(MONTH(B5154)/3,0)</f>
        <v>2014-Q2</v>
      </c>
    </row>
    <row r="5155" customFormat="false" ht="15" hidden="false" customHeight="false" outlineLevel="0" collapsed="false">
      <c r="A5155" s="0" t="s">
        <v>2635</v>
      </c>
      <c r="B5155" s="6" t="n">
        <v>41820</v>
      </c>
      <c r="C5155" s="7" t="s">
        <v>55</v>
      </c>
      <c r="D5155" s="7" t="s">
        <v>76</v>
      </c>
      <c r="E5155" s="7" t="s">
        <v>35</v>
      </c>
      <c r="F5155" s="0" t="n">
        <v>6.6</v>
      </c>
      <c r="G5155" s="0" t="n">
        <v>2.904</v>
      </c>
      <c r="H5155" s="0" t="n">
        <v>0</v>
      </c>
      <c r="I5155" s="7" t="n">
        <f aca="false">YEAR(B5155)</f>
        <v>2014</v>
      </c>
      <c r="J5155" s="0" t="str">
        <f aca="false">I5155&amp;"-Q"&amp;ROUNDUP(MONTH(B5155)/3,0)</f>
        <v>2014-Q2</v>
      </c>
    </row>
    <row r="5156" customFormat="false" ht="15" hidden="false" customHeight="false" outlineLevel="0" collapsed="false">
      <c r="A5156" s="0" t="s">
        <v>2636</v>
      </c>
      <c r="B5156" s="6" t="n">
        <v>42223</v>
      </c>
      <c r="C5156" s="7" t="s">
        <v>45</v>
      </c>
      <c r="D5156" s="7" t="s">
        <v>129</v>
      </c>
      <c r="E5156" s="7" t="s">
        <v>35</v>
      </c>
      <c r="F5156" s="0" t="n">
        <v>28.4</v>
      </c>
      <c r="G5156" s="0" t="n">
        <v>13.064</v>
      </c>
      <c r="H5156" s="0" t="n">
        <v>0</v>
      </c>
      <c r="I5156" s="7" t="n">
        <f aca="false">YEAR(B5156)</f>
        <v>2015</v>
      </c>
      <c r="J5156" s="0" t="str">
        <f aca="false">I5156&amp;"-Q"&amp;ROUNDUP(MONTH(B5156)/3,0)</f>
        <v>2015-Q3</v>
      </c>
    </row>
    <row r="5157" customFormat="false" ht="15" hidden="false" customHeight="false" outlineLevel="0" collapsed="false">
      <c r="A5157" s="0" t="s">
        <v>2636</v>
      </c>
      <c r="B5157" s="6" t="n">
        <v>42223</v>
      </c>
      <c r="C5157" s="7" t="s">
        <v>45</v>
      </c>
      <c r="D5157" s="7" t="s">
        <v>129</v>
      </c>
      <c r="E5157" s="7" t="s">
        <v>31</v>
      </c>
      <c r="F5157" s="0" t="n">
        <v>212.94</v>
      </c>
      <c r="G5157" s="0" t="n">
        <v>34.0704</v>
      </c>
      <c r="H5157" s="0" t="n">
        <v>0</v>
      </c>
      <c r="I5157" s="7" t="n">
        <f aca="false">YEAR(B5157)</f>
        <v>2015</v>
      </c>
      <c r="J5157" s="0" t="str">
        <f aca="false">I5157&amp;"-Q"&amp;ROUNDUP(MONTH(B5157)/3,0)</f>
        <v>2015-Q3</v>
      </c>
    </row>
    <row r="5158" customFormat="false" ht="15" hidden="false" customHeight="false" outlineLevel="0" collapsed="false">
      <c r="A5158" s="0" t="s">
        <v>2637</v>
      </c>
      <c r="B5158" s="6" t="n">
        <v>42916</v>
      </c>
      <c r="C5158" s="7" t="s">
        <v>45</v>
      </c>
      <c r="D5158" s="7" t="s">
        <v>64</v>
      </c>
      <c r="E5158" s="7" t="s">
        <v>39</v>
      </c>
      <c r="F5158" s="0" t="n">
        <v>1001.584</v>
      </c>
      <c r="G5158" s="0" t="n">
        <v>125.198</v>
      </c>
      <c r="H5158" s="0" t="n">
        <v>0.2</v>
      </c>
      <c r="I5158" s="7" t="n">
        <f aca="false">YEAR(B5158)</f>
        <v>2017</v>
      </c>
      <c r="J5158" s="0" t="str">
        <f aca="false">I5158&amp;"-Q"&amp;ROUNDUP(MONTH(B5158)/3,0)</f>
        <v>2017-Q2</v>
      </c>
    </row>
    <row r="5159" customFormat="false" ht="15" hidden="false" customHeight="false" outlineLevel="0" collapsed="false">
      <c r="A5159" s="0" t="s">
        <v>2637</v>
      </c>
      <c r="B5159" s="6" t="n">
        <v>42916</v>
      </c>
      <c r="C5159" s="7" t="s">
        <v>45</v>
      </c>
      <c r="D5159" s="7" t="s">
        <v>64</v>
      </c>
      <c r="E5159" s="7" t="s">
        <v>31</v>
      </c>
      <c r="F5159" s="0" t="n">
        <v>569.058</v>
      </c>
      <c r="G5159" s="0" t="n">
        <v>-178.8468</v>
      </c>
      <c r="H5159" s="0" t="n">
        <v>0.3</v>
      </c>
      <c r="I5159" s="7" t="n">
        <f aca="false">YEAR(B5159)</f>
        <v>2017</v>
      </c>
      <c r="J5159" s="0" t="str">
        <f aca="false">I5159&amp;"-Q"&amp;ROUNDUP(MONTH(B5159)/3,0)</f>
        <v>2017-Q2</v>
      </c>
    </row>
    <row r="5160" customFormat="false" ht="15" hidden="false" customHeight="false" outlineLevel="0" collapsed="false">
      <c r="A5160" s="0" t="s">
        <v>2637</v>
      </c>
      <c r="B5160" s="6" t="n">
        <v>42916</v>
      </c>
      <c r="C5160" s="7" t="s">
        <v>45</v>
      </c>
      <c r="D5160" s="7" t="s">
        <v>64</v>
      </c>
      <c r="E5160" s="7" t="s">
        <v>31</v>
      </c>
      <c r="F5160" s="0" t="n">
        <v>14.224</v>
      </c>
      <c r="G5160" s="0" t="n">
        <v>-10.3124</v>
      </c>
      <c r="H5160" s="0" t="n">
        <v>0.6</v>
      </c>
      <c r="I5160" s="7" t="n">
        <f aca="false">YEAR(B5160)</f>
        <v>2017</v>
      </c>
      <c r="J5160" s="0" t="str">
        <f aca="false">I5160&amp;"-Q"&amp;ROUNDUP(MONTH(B5160)/3,0)</f>
        <v>2017-Q2</v>
      </c>
    </row>
    <row r="5161" customFormat="false" ht="15" hidden="false" customHeight="false" outlineLevel="0" collapsed="false">
      <c r="A5161" s="0" t="s">
        <v>2638</v>
      </c>
      <c r="B5161" s="6" t="n">
        <v>42303</v>
      </c>
      <c r="C5161" s="7" t="s">
        <v>33</v>
      </c>
      <c r="D5161" s="7" t="s">
        <v>81</v>
      </c>
      <c r="E5161" s="7" t="s">
        <v>39</v>
      </c>
      <c r="F5161" s="0" t="n">
        <v>105.584</v>
      </c>
      <c r="G5161" s="0" t="n">
        <v>9.2386</v>
      </c>
      <c r="H5161" s="0" t="n">
        <v>0.2</v>
      </c>
      <c r="I5161" s="7" t="n">
        <f aca="false">YEAR(B5161)</f>
        <v>2015</v>
      </c>
      <c r="J5161" s="0" t="str">
        <f aca="false">I5161&amp;"-Q"&amp;ROUNDUP(MONTH(B5161)/3,0)</f>
        <v>2015-Q4</v>
      </c>
    </row>
    <row r="5162" customFormat="false" ht="15" hidden="false" customHeight="false" outlineLevel="0" collapsed="false">
      <c r="A5162" s="0" t="s">
        <v>2638</v>
      </c>
      <c r="B5162" s="6" t="n">
        <v>42303</v>
      </c>
      <c r="C5162" s="7" t="s">
        <v>33</v>
      </c>
      <c r="D5162" s="7" t="s">
        <v>81</v>
      </c>
      <c r="E5162" s="7" t="s">
        <v>39</v>
      </c>
      <c r="F5162" s="0" t="n">
        <v>68.72</v>
      </c>
      <c r="G5162" s="0" t="n">
        <v>-14.603</v>
      </c>
      <c r="H5162" s="0" t="n">
        <v>0.2</v>
      </c>
      <c r="I5162" s="7" t="n">
        <f aca="false">YEAR(B5162)</f>
        <v>2015</v>
      </c>
      <c r="J5162" s="0" t="str">
        <f aca="false">I5162&amp;"-Q"&amp;ROUNDUP(MONTH(B5162)/3,0)</f>
        <v>2015-Q4</v>
      </c>
    </row>
    <row r="5163" customFormat="false" ht="15" hidden="false" customHeight="false" outlineLevel="0" collapsed="false">
      <c r="A5163" s="0" t="s">
        <v>2639</v>
      </c>
      <c r="B5163" s="6" t="n">
        <v>41850</v>
      </c>
      <c r="C5163" s="7" t="s">
        <v>33</v>
      </c>
      <c r="D5163" s="7" t="s">
        <v>43</v>
      </c>
      <c r="E5163" s="7" t="s">
        <v>31</v>
      </c>
      <c r="F5163" s="0" t="n">
        <v>1367.84</v>
      </c>
      <c r="G5163" s="0" t="n">
        <v>259.8896</v>
      </c>
      <c r="H5163" s="0" t="n">
        <v>0</v>
      </c>
      <c r="I5163" s="7" t="n">
        <f aca="false">YEAR(B5163)</f>
        <v>2014</v>
      </c>
      <c r="J5163" s="0" t="str">
        <f aca="false">I5163&amp;"-Q"&amp;ROUNDUP(MONTH(B5163)/3,0)</f>
        <v>2014-Q3</v>
      </c>
    </row>
    <row r="5164" customFormat="false" ht="15" hidden="false" customHeight="false" outlineLevel="0" collapsed="false">
      <c r="A5164" s="0" t="s">
        <v>2640</v>
      </c>
      <c r="B5164" s="6" t="n">
        <v>42692</v>
      </c>
      <c r="C5164" s="7" t="s">
        <v>45</v>
      </c>
      <c r="D5164" s="7" t="s">
        <v>70</v>
      </c>
      <c r="E5164" s="7" t="s">
        <v>31</v>
      </c>
      <c r="F5164" s="0" t="n">
        <v>301.96</v>
      </c>
      <c r="G5164" s="0" t="n">
        <v>33.2156</v>
      </c>
      <c r="H5164" s="0" t="n">
        <v>0</v>
      </c>
      <c r="I5164" s="7" t="n">
        <f aca="false">YEAR(B5164)</f>
        <v>2016</v>
      </c>
      <c r="J5164" s="0" t="str">
        <f aca="false">I5164&amp;"-Q"&amp;ROUNDUP(MONTH(B5164)/3,0)</f>
        <v>2016-Q4</v>
      </c>
    </row>
    <row r="5165" customFormat="false" ht="15" hidden="false" customHeight="false" outlineLevel="0" collapsed="false">
      <c r="A5165" s="0" t="s">
        <v>2641</v>
      </c>
      <c r="B5165" s="6" t="n">
        <v>42191</v>
      </c>
      <c r="C5165" s="7" t="s">
        <v>33</v>
      </c>
      <c r="D5165" s="7" t="s">
        <v>34</v>
      </c>
      <c r="E5165" s="7" t="s">
        <v>31</v>
      </c>
      <c r="F5165" s="0" t="n">
        <v>170.352</v>
      </c>
      <c r="G5165" s="0" t="n">
        <v>-17.0352</v>
      </c>
      <c r="H5165" s="0" t="n">
        <v>0.2</v>
      </c>
      <c r="I5165" s="7" t="n">
        <f aca="false">YEAR(B5165)</f>
        <v>2015</v>
      </c>
      <c r="J5165" s="0" t="str">
        <f aca="false">I5165&amp;"-Q"&amp;ROUNDUP(MONTH(B5165)/3,0)</f>
        <v>2015-Q3</v>
      </c>
    </row>
    <row r="5166" customFormat="false" ht="15" hidden="false" customHeight="false" outlineLevel="0" collapsed="false">
      <c r="A5166" s="0" t="s">
        <v>2642</v>
      </c>
      <c r="B5166" s="6" t="n">
        <v>41953</v>
      </c>
      <c r="C5166" s="7" t="s">
        <v>45</v>
      </c>
      <c r="D5166" s="7" t="s">
        <v>70</v>
      </c>
      <c r="E5166" s="7" t="s">
        <v>35</v>
      </c>
      <c r="F5166" s="0" t="n">
        <v>3.9</v>
      </c>
      <c r="G5166" s="0" t="n">
        <v>1.521</v>
      </c>
      <c r="H5166" s="0" t="n">
        <v>0</v>
      </c>
      <c r="I5166" s="7" t="n">
        <f aca="false">YEAR(B5166)</f>
        <v>2014</v>
      </c>
      <c r="J5166" s="0" t="str">
        <f aca="false">I5166&amp;"-Q"&amp;ROUNDUP(MONTH(B5166)/3,0)</f>
        <v>2014-Q4</v>
      </c>
    </row>
    <row r="5167" customFormat="false" ht="15" hidden="false" customHeight="false" outlineLevel="0" collapsed="false">
      <c r="A5167" s="0" t="s">
        <v>2642</v>
      </c>
      <c r="B5167" s="6" t="n">
        <v>41953</v>
      </c>
      <c r="C5167" s="7" t="s">
        <v>45</v>
      </c>
      <c r="D5167" s="7" t="s">
        <v>70</v>
      </c>
      <c r="E5167" s="7" t="s">
        <v>35</v>
      </c>
      <c r="F5167" s="0" t="n">
        <v>12.84</v>
      </c>
      <c r="G5167" s="0" t="n">
        <v>5.778</v>
      </c>
      <c r="H5167" s="0" t="n">
        <v>0</v>
      </c>
      <c r="I5167" s="7" t="n">
        <f aca="false">YEAR(B5167)</f>
        <v>2014</v>
      </c>
      <c r="J5167" s="0" t="str">
        <f aca="false">I5167&amp;"-Q"&amp;ROUNDUP(MONTH(B5167)/3,0)</f>
        <v>2014-Q4</v>
      </c>
    </row>
    <row r="5168" customFormat="false" ht="15" hidden="false" customHeight="false" outlineLevel="0" collapsed="false">
      <c r="A5168" s="0" t="s">
        <v>2642</v>
      </c>
      <c r="B5168" s="6" t="n">
        <v>41953</v>
      </c>
      <c r="C5168" s="7" t="s">
        <v>45</v>
      </c>
      <c r="D5168" s="7" t="s">
        <v>70</v>
      </c>
      <c r="E5168" s="7" t="s">
        <v>35</v>
      </c>
      <c r="F5168" s="0" t="n">
        <v>15.84</v>
      </c>
      <c r="G5168" s="0" t="n">
        <v>7.128</v>
      </c>
      <c r="H5168" s="0" t="n">
        <v>0</v>
      </c>
      <c r="I5168" s="7" t="n">
        <f aca="false">YEAR(B5168)</f>
        <v>2014</v>
      </c>
      <c r="J5168" s="0" t="str">
        <f aca="false">I5168&amp;"-Q"&amp;ROUNDUP(MONTH(B5168)/3,0)</f>
        <v>2014-Q4</v>
      </c>
    </row>
    <row r="5169" customFormat="false" ht="15" hidden="false" customHeight="false" outlineLevel="0" collapsed="false">
      <c r="A5169" s="0" t="s">
        <v>2642</v>
      </c>
      <c r="B5169" s="6" t="n">
        <v>41953</v>
      </c>
      <c r="C5169" s="7" t="s">
        <v>45</v>
      </c>
      <c r="D5169" s="7" t="s">
        <v>70</v>
      </c>
      <c r="E5169" s="7" t="s">
        <v>31</v>
      </c>
      <c r="F5169" s="0" t="n">
        <v>563.94</v>
      </c>
      <c r="G5169" s="0" t="n">
        <v>112.788</v>
      </c>
      <c r="H5169" s="0" t="n">
        <v>0</v>
      </c>
      <c r="I5169" s="7" t="n">
        <f aca="false">YEAR(B5169)</f>
        <v>2014</v>
      </c>
      <c r="J5169" s="0" t="str">
        <f aca="false">I5169&amp;"-Q"&amp;ROUNDUP(MONTH(B5169)/3,0)</f>
        <v>2014-Q4</v>
      </c>
    </row>
    <row r="5170" customFormat="false" ht="15" hidden="false" customHeight="false" outlineLevel="0" collapsed="false">
      <c r="A5170" s="0" t="s">
        <v>2642</v>
      </c>
      <c r="B5170" s="6" t="n">
        <v>41953</v>
      </c>
      <c r="C5170" s="7" t="s">
        <v>45</v>
      </c>
      <c r="D5170" s="7" t="s">
        <v>70</v>
      </c>
      <c r="E5170" s="7" t="s">
        <v>35</v>
      </c>
      <c r="F5170" s="0" t="n">
        <v>62.94</v>
      </c>
      <c r="G5170" s="0" t="n">
        <v>11.9586</v>
      </c>
      <c r="H5170" s="0" t="n">
        <v>0</v>
      </c>
      <c r="I5170" s="7" t="n">
        <f aca="false">YEAR(B5170)</f>
        <v>2014</v>
      </c>
      <c r="J5170" s="0" t="str">
        <f aca="false">I5170&amp;"-Q"&amp;ROUNDUP(MONTH(B5170)/3,0)</f>
        <v>2014-Q4</v>
      </c>
    </row>
    <row r="5171" customFormat="false" ht="15" hidden="false" customHeight="false" outlineLevel="0" collapsed="false">
      <c r="A5171" s="0" t="s">
        <v>2642</v>
      </c>
      <c r="B5171" s="6" t="n">
        <v>41953</v>
      </c>
      <c r="C5171" s="7" t="s">
        <v>45</v>
      </c>
      <c r="D5171" s="7" t="s">
        <v>70</v>
      </c>
      <c r="E5171" s="7" t="s">
        <v>35</v>
      </c>
      <c r="F5171" s="0" t="n">
        <v>535.41</v>
      </c>
      <c r="G5171" s="0" t="n">
        <v>160.623</v>
      </c>
      <c r="H5171" s="0" t="n">
        <v>0</v>
      </c>
      <c r="I5171" s="7" t="n">
        <f aca="false">YEAR(B5171)</f>
        <v>2014</v>
      </c>
      <c r="J5171" s="0" t="str">
        <f aca="false">I5171&amp;"-Q"&amp;ROUNDUP(MONTH(B5171)/3,0)</f>
        <v>2014-Q4</v>
      </c>
    </row>
    <row r="5172" customFormat="false" ht="15" hidden="false" customHeight="false" outlineLevel="0" collapsed="false">
      <c r="A5172" s="0" t="s">
        <v>2643</v>
      </c>
      <c r="B5172" s="6" t="n">
        <v>42517</v>
      </c>
      <c r="C5172" s="7" t="s">
        <v>45</v>
      </c>
      <c r="D5172" s="7" t="s">
        <v>70</v>
      </c>
      <c r="E5172" s="7" t="s">
        <v>31</v>
      </c>
      <c r="F5172" s="0" t="n">
        <v>3504.9</v>
      </c>
      <c r="G5172" s="0" t="n">
        <v>700.98</v>
      </c>
      <c r="H5172" s="0" t="n">
        <v>0</v>
      </c>
      <c r="I5172" s="7" t="n">
        <f aca="false">YEAR(B5172)</f>
        <v>2016</v>
      </c>
      <c r="J5172" s="0" t="str">
        <f aca="false">I5172&amp;"-Q"&amp;ROUNDUP(MONTH(B5172)/3,0)</f>
        <v>2016-Q2</v>
      </c>
    </row>
    <row r="5173" customFormat="false" ht="15" hidden="false" customHeight="false" outlineLevel="0" collapsed="false">
      <c r="A5173" s="0" t="s">
        <v>2643</v>
      </c>
      <c r="B5173" s="6" t="n">
        <v>42517</v>
      </c>
      <c r="C5173" s="7" t="s">
        <v>45</v>
      </c>
      <c r="D5173" s="7" t="s">
        <v>70</v>
      </c>
      <c r="E5173" s="7" t="s">
        <v>35</v>
      </c>
      <c r="F5173" s="0" t="n">
        <v>144.12</v>
      </c>
      <c r="G5173" s="0" t="n">
        <v>69.1776</v>
      </c>
      <c r="H5173" s="0" t="n">
        <v>0</v>
      </c>
      <c r="I5173" s="7" t="n">
        <f aca="false">YEAR(B5173)</f>
        <v>2016</v>
      </c>
      <c r="J5173" s="0" t="str">
        <f aca="false">I5173&amp;"-Q"&amp;ROUNDUP(MONTH(B5173)/3,0)</f>
        <v>2016-Q2</v>
      </c>
    </row>
    <row r="5174" customFormat="false" ht="15" hidden="false" customHeight="false" outlineLevel="0" collapsed="false">
      <c r="A5174" s="0" t="s">
        <v>2643</v>
      </c>
      <c r="B5174" s="6" t="n">
        <v>42517</v>
      </c>
      <c r="C5174" s="7" t="s">
        <v>45</v>
      </c>
      <c r="D5174" s="7" t="s">
        <v>70</v>
      </c>
      <c r="E5174" s="7" t="s">
        <v>35</v>
      </c>
      <c r="F5174" s="0" t="n">
        <v>314.55</v>
      </c>
      <c r="G5174" s="0" t="n">
        <v>150.984</v>
      </c>
      <c r="H5174" s="0" t="n">
        <v>0</v>
      </c>
      <c r="I5174" s="7" t="n">
        <f aca="false">YEAR(B5174)</f>
        <v>2016</v>
      </c>
      <c r="J5174" s="0" t="str">
        <f aca="false">I5174&amp;"-Q"&amp;ROUNDUP(MONTH(B5174)/3,0)</f>
        <v>2016-Q2</v>
      </c>
    </row>
    <row r="5175" customFormat="false" ht="15" hidden="false" customHeight="false" outlineLevel="0" collapsed="false">
      <c r="A5175" s="0" t="s">
        <v>2644</v>
      </c>
      <c r="B5175" s="6" t="n">
        <v>42071</v>
      </c>
      <c r="C5175" s="7" t="s">
        <v>33</v>
      </c>
      <c r="D5175" s="7" t="s">
        <v>109</v>
      </c>
      <c r="E5175" s="7" t="s">
        <v>35</v>
      </c>
      <c r="F5175" s="0" t="n">
        <v>3.408</v>
      </c>
      <c r="G5175" s="0" t="n">
        <v>0.8946</v>
      </c>
      <c r="H5175" s="0" t="n">
        <v>0.2</v>
      </c>
      <c r="I5175" s="7" t="n">
        <f aca="false">YEAR(B5175)</f>
        <v>2015</v>
      </c>
      <c r="J5175" s="0" t="str">
        <f aca="false">I5175&amp;"-Q"&amp;ROUNDUP(MONTH(B5175)/3,0)</f>
        <v>2015-Q1</v>
      </c>
    </row>
    <row r="5176" customFormat="false" ht="15" hidden="false" customHeight="false" outlineLevel="0" collapsed="false">
      <c r="A5176" s="0" t="s">
        <v>2645</v>
      </c>
      <c r="B5176" s="6" t="n">
        <v>43027</v>
      </c>
      <c r="C5176" s="7" t="s">
        <v>45</v>
      </c>
      <c r="D5176" s="7" t="s">
        <v>46</v>
      </c>
      <c r="E5176" s="7" t="s">
        <v>35</v>
      </c>
      <c r="F5176" s="0" t="n">
        <v>2.072</v>
      </c>
      <c r="G5176" s="0" t="n">
        <v>-3.5224</v>
      </c>
      <c r="H5176" s="0" t="n">
        <v>0.8</v>
      </c>
      <c r="I5176" s="7" t="n">
        <f aca="false">YEAR(B5176)</f>
        <v>2017</v>
      </c>
      <c r="J5176" s="0" t="str">
        <f aca="false">I5176&amp;"-Q"&amp;ROUNDUP(MONTH(B5176)/3,0)</f>
        <v>2017-Q4</v>
      </c>
    </row>
    <row r="5177" customFormat="false" ht="15" hidden="false" customHeight="false" outlineLevel="0" collapsed="false">
      <c r="A5177" s="0" t="s">
        <v>2645</v>
      </c>
      <c r="B5177" s="6" t="n">
        <v>43027</v>
      </c>
      <c r="C5177" s="7" t="s">
        <v>45</v>
      </c>
      <c r="D5177" s="7" t="s">
        <v>46</v>
      </c>
      <c r="E5177" s="7" t="s">
        <v>31</v>
      </c>
      <c r="F5177" s="0" t="n">
        <v>328.3992</v>
      </c>
      <c r="G5177" s="0" t="n">
        <v>-91.7586</v>
      </c>
      <c r="H5177" s="0" t="n">
        <v>0.32</v>
      </c>
      <c r="I5177" s="7" t="n">
        <f aca="false">YEAR(B5177)</f>
        <v>2017</v>
      </c>
      <c r="J5177" s="0" t="str">
        <f aca="false">I5177&amp;"-Q"&amp;ROUNDUP(MONTH(B5177)/3,0)</f>
        <v>2017-Q4</v>
      </c>
    </row>
    <row r="5178" customFormat="false" ht="15" hidden="false" customHeight="false" outlineLevel="0" collapsed="false">
      <c r="A5178" s="0" t="s">
        <v>2646</v>
      </c>
      <c r="B5178" s="6" t="n">
        <v>42679</v>
      </c>
      <c r="C5178" s="7" t="s">
        <v>33</v>
      </c>
      <c r="D5178" s="7" t="s">
        <v>34</v>
      </c>
      <c r="E5178" s="7" t="s">
        <v>35</v>
      </c>
      <c r="F5178" s="0" t="n">
        <v>53.248</v>
      </c>
      <c r="G5178" s="0" t="n">
        <v>19.968</v>
      </c>
      <c r="H5178" s="0" t="n">
        <v>0.2</v>
      </c>
      <c r="I5178" s="7" t="n">
        <f aca="false">YEAR(B5178)</f>
        <v>2016</v>
      </c>
      <c r="J5178" s="0" t="str">
        <f aca="false">I5178&amp;"-Q"&amp;ROUNDUP(MONTH(B5178)/3,0)</f>
        <v>2016-Q4</v>
      </c>
    </row>
    <row r="5179" customFormat="false" ht="15" hidden="false" customHeight="false" outlineLevel="0" collapsed="false">
      <c r="A5179" s="0" t="s">
        <v>2647</v>
      </c>
      <c r="B5179" s="6" t="n">
        <v>42730</v>
      </c>
      <c r="C5179" s="7" t="s">
        <v>55</v>
      </c>
      <c r="D5179" s="7" t="s">
        <v>76</v>
      </c>
      <c r="E5179" s="7" t="s">
        <v>35</v>
      </c>
      <c r="F5179" s="0" t="n">
        <v>4.992</v>
      </c>
      <c r="G5179" s="0" t="n">
        <v>1.6848</v>
      </c>
      <c r="H5179" s="0" t="n">
        <v>0.2</v>
      </c>
      <c r="I5179" s="7" t="n">
        <f aca="false">YEAR(B5179)</f>
        <v>2016</v>
      </c>
      <c r="J5179" s="0" t="str">
        <f aca="false">I5179&amp;"-Q"&amp;ROUNDUP(MONTH(B5179)/3,0)</f>
        <v>2016-Q4</v>
      </c>
    </row>
    <row r="5180" customFormat="false" ht="15" hidden="false" customHeight="false" outlineLevel="0" collapsed="false">
      <c r="A5180" s="0" t="s">
        <v>2648</v>
      </c>
      <c r="B5180" s="6" t="n">
        <v>42107</v>
      </c>
      <c r="C5180" s="7" t="s">
        <v>33</v>
      </c>
      <c r="D5180" s="7" t="s">
        <v>34</v>
      </c>
      <c r="E5180" s="7" t="s">
        <v>31</v>
      </c>
      <c r="F5180" s="0" t="n">
        <v>37.68</v>
      </c>
      <c r="G5180" s="0" t="n">
        <v>15.8256</v>
      </c>
      <c r="H5180" s="0" t="n">
        <v>0</v>
      </c>
      <c r="I5180" s="7" t="n">
        <f aca="false">YEAR(B5180)</f>
        <v>2015</v>
      </c>
      <c r="J5180" s="0" t="str">
        <f aca="false">I5180&amp;"-Q"&amp;ROUNDUP(MONTH(B5180)/3,0)</f>
        <v>2015-Q2</v>
      </c>
    </row>
    <row r="5181" customFormat="false" ht="15" hidden="false" customHeight="false" outlineLevel="0" collapsed="false">
      <c r="A5181" s="0" t="s">
        <v>2648</v>
      </c>
      <c r="B5181" s="6" t="n">
        <v>42107</v>
      </c>
      <c r="C5181" s="7" t="s">
        <v>33</v>
      </c>
      <c r="D5181" s="7" t="s">
        <v>34</v>
      </c>
      <c r="E5181" s="7" t="s">
        <v>39</v>
      </c>
      <c r="F5181" s="0" t="n">
        <v>258.576</v>
      </c>
      <c r="G5181" s="0" t="n">
        <v>19.3932</v>
      </c>
      <c r="H5181" s="0" t="n">
        <v>0.2</v>
      </c>
      <c r="I5181" s="7" t="n">
        <f aca="false">YEAR(B5181)</f>
        <v>2015</v>
      </c>
      <c r="J5181" s="0" t="str">
        <f aca="false">I5181&amp;"-Q"&amp;ROUNDUP(MONTH(B5181)/3,0)</f>
        <v>2015-Q2</v>
      </c>
    </row>
    <row r="5182" customFormat="false" ht="15" hidden="false" customHeight="false" outlineLevel="0" collapsed="false">
      <c r="A5182" s="0" t="s">
        <v>2648</v>
      </c>
      <c r="B5182" s="6" t="n">
        <v>42107</v>
      </c>
      <c r="C5182" s="7" t="s">
        <v>33</v>
      </c>
      <c r="D5182" s="7" t="s">
        <v>34</v>
      </c>
      <c r="E5182" s="7" t="s">
        <v>35</v>
      </c>
      <c r="F5182" s="0" t="n">
        <v>75.84</v>
      </c>
      <c r="G5182" s="0" t="n">
        <v>29.5776</v>
      </c>
      <c r="H5182" s="0" t="n">
        <v>0</v>
      </c>
      <c r="I5182" s="7" t="n">
        <f aca="false">YEAR(B5182)</f>
        <v>2015</v>
      </c>
      <c r="J5182" s="0" t="str">
        <f aca="false">I5182&amp;"-Q"&amp;ROUNDUP(MONTH(B5182)/3,0)</f>
        <v>2015-Q2</v>
      </c>
    </row>
    <row r="5183" customFormat="false" ht="15" hidden="false" customHeight="false" outlineLevel="0" collapsed="false">
      <c r="A5183" s="0" t="s">
        <v>2649</v>
      </c>
      <c r="B5183" s="6" t="n">
        <v>42990</v>
      </c>
      <c r="C5183" s="7" t="s">
        <v>55</v>
      </c>
      <c r="D5183" s="7" t="s">
        <v>250</v>
      </c>
      <c r="E5183" s="7" t="s">
        <v>35</v>
      </c>
      <c r="F5183" s="0" t="n">
        <v>45.36</v>
      </c>
      <c r="G5183" s="0" t="n">
        <v>21.7728</v>
      </c>
      <c r="H5183" s="0" t="n">
        <v>0</v>
      </c>
      <c r="I5183" s="7" t="n">
        <f aca="false">YEAR(B5183)</f>
        <v>2017</v>
      </c>
      <c r="J5183" s="0" t="str">
        <f aca="false">I5183&amp;"-Q"&amp;ROUNDUP(MONTH(B5183)/3,0)</f>
        <v>2017-Q3</v>
      </c>
    </row>
    <row r="5184" customFormat="false" ht="15" hidden="false" customHeight="false" outlineLevel="0" collapsed="false">
      <c r="A5184" s="0" t="s">
        <v>2649</v>
      </c>
      <c r="B5184" s="6" t="n">
        <v>42990</v>
      </c>
      <c r="C5184" s="7" t="s">
        <v>55</v>
      </c>
      <c r="D5184" s="7" t="s">
        <v>250</v>
      </c>
      <c r="E5184" s="7" t="s">
        <v>35</v>
      </c>
      <c r="F5184" s="0" t="n">
        <v>45.78</v>
      </c>
      <c r="G5184" s="0" t="n">
        <v>22.89</v>
      </c>
      <c r="H5184" s="0" t="n">
        <v>0</v>
      </c>
      <c r="I5184" s="7" t="n">
        <f aca="false">YEAR(B5184)</f>
        <v>2017</v>
      </c>
      <c r="J5184" s="0" t="str">
        <f aca="false">I5184&amp;"-Q"&amp;ROUNDUP(MONTH(B5184)/3,0)</f>
        <v>2017-Q3</v>
      </c>
    </row>
    <row r="5185" customFormat="false" ht="15" hidden="false" customHeight="false" outlineLevel="0" collapsed="false">
      <c r="A5185" s="0" t="s">
        <v>2650</v>
      </c>
      <c r="B5185" s="6" t="n">
        <v>43002</v>
      </c>
      <c r="C5185" s="7" t="s">
        <v>29</v>
      </c>
      <c r="D5185" s="7" t="s">
        <v>230</v>
      </c>
      <c r="E5185" s="7" t="s">
        <v>35</v>
      </c>
      <c r="F5185" s="0" t="n">
        <v>40.29</v>
      </c>
      <c r="G5185" s="0" t="n">
        <v>10.0725</v>
      </c>
      <c r="H5185" s="0" t="n">
        <v>0</v>
      </c>
      <c r="I5185" s="7" t="n">
        <f aca="false">YEAR(B5185)</f>
        <v>2017</v>
      </c>
      <c r="J5185" s="0" t="str">
        <f aca="false">I5185&amp;"-Q"&amp;ROUNDUP(MONTH(B5185)/3,0)</f>
        <v>2017-Q3</v>
      </c>
    </row>
    <row r="5186" customFormat="false" ht="15" hidden="false" customHeight="false" outlineLevel="0" collapsed="false">
      <c r="A5186" s="0" t="s">
        <v>2650</v>
      </c>
      <c r="B5186" s="6" t="n">
        <v>43002</v>
      </c>
      <c r="C5186" s="7" t="s">
        <v>29</v>
      </c>
      <c r="D5186" s="7" t="s">
        <v>230</v>
      </c>
      <c r="E5186" s="7" t="s">
        <v>35</v>
      </c>
      <c r="F5186" s="0" t="n">
        <v>38.71</v>
      </c>
      <c r="G5186" s="0" t="n">
        <v>17.8066</v>
      </c>
      <c r="H5186" s="0" t="n">
        <v>0</v>
      </c>
      <c r="I5186" s="7" t="n">
        <f aca="false">YEAR(B5186)</f>
        <v>2017</v>
      </c>
      <c r="J5186" s="0" t="str">
        <f aca="false">I5186&amp;"-Q"&amp;ROUNDUP(MONTH(B5186)/3,0)</f>
        <v>2017-Q3</v>
      </c>
    </row>
    <row r="5187" customFormat="false" ht="15" hidden="false" customHeight="false" outlineLevel="0" collapsed="false">
      <c r="A5187" s="0" t="s">
        <v>2651</v>
      </c>
      <c r="B5187" s="6" t="n">
        <v>42287</v>
      </c>
      <c r="C5187" s="7" t="s">
        <v>29</v>
      </c>
      <c r="D5187" s="7" t="s">
        <v>37</v>
      </c>
      <c r="E5187" s="7" t="s">
        <v>35</v>
      </c>
      <c r="F5187" s="0" t="n">
        <v>1801.632</v>
      </c>
      <c r="G5187" s="0" t="n">
        <v>-337.806</v>
      </c>
      <c r="H5187" s="0" t="n">
        <v>0.2</v>
      </c>
      <c r="I5187" s="7" t="n">
        <f aca="false">YEAR(B5187)</f>
        <v>2015</v>
      </c>
      <c r="J5187" s="0" t="str">
        <f aca="false">I5187&amp;"-Q"&amp;ROUNDUP(MONTH(B5187)/3,0)</f>
        <v>2015-Q4</v>
      </c>
    </row>
    <row r="5188" customFormat="false" ht="15" hidden="false" customHeight="false" outlineLevel="0" collapsed="false">
      <c r="A5188" s="0" t="s">
        <v>2652</v>
      </c>
      <c r="B5188" s="6" t="n">
        <v>42335</v>
      </c>
      <c r="C5188" s="7" t="s">
        <v>55</v>
      </c>
      <c r="D5188" s="7" t="s">
        <v>56</v>
      </c>
      <c r="E5188" s="7" t="s">
        <v>39</v>
      </c>
      <c r="F5188" s="0" t="n">
        <v>748.752</v>
      </c>
      <c r="G5188" s="0" t="n">
        <v>-162.2296</v>
      </c>
      <c r="H5188" s="0" t="n">
        <v>0.4</v>
      </c>
      <c r="I5188" s="7" t="n">
        <f aca="false">YEAR(B5188)</f>
        <v>2015</v>
      </c>
      <c r="J5188" s="0" t="str">
        <f aca="false">I5188&amp;"-Q"&amp;ROUNDUP(MONTH(B5188)/3,0)</f>
        <v>2015-Q4</v>
      </c>
    </row>
    <row r="5189" customFormat="false" ht="15" hidden="false" customHeight="false" outlineLevel="0" collapsed="false">
      <c r="A5189" s="0" t="s">
        <v>2653</v>
      </c>
      <c r="B5189" s="6" t="n">
        <v>42260</v>
      </c>
      <c r="C5189" s="7" t="s">
        <v>45</v>
      </c>
      <c r="D5189" s="7" t="s">
        <v>74</v>
      </c>
      <c r="E5189" s="7" t="s">
        <v>39</v>
      </c>
      <c r="F5189" s="0" t="n">
        <v>199.96</v>
      </c>
      <c r="G5189" s="0" t="n">
        <v>15.9968</v>
      </c>
      <c r="H5189" s="0" t="n">
        <v>0</v>
      </c>
      <c r="I5189" s="7" t="n">
        <f aca="false">YEAR(B5189)</f>
        <v>2015</v>
      </c>
      <c r="J5189" s="0" t="str">
        <f aca="false">I5189&amp;"-Q"&amp;ROUNDUP(MONTH(B5189)/3,0)</f>
        <v>2015-Q3</v>
      </c>
    </row>
    <row r="5190" customFormat="false" ht="15" hidden="false" customHeight="false" outlineLevel="0" collapsed="false">
      <c r="A5190" s="0" t="s">
        <v>2653</v>
      </c>
      <c r="B5190" s="6" t="n">
        <v>42260</v>
      </c>
      <c r="C5190" s="7" t="s">
        <v>45</v>
      </c>
      <c r="D5190" s="7" t="s">
        <v>74</v>
      </c>
      <c r="E5190" s="7" t="s">
        <v>31</v>
      </c>
      <c r="F5190" s="0" t="n">
        <v>1516.2</v>
      </c>
      <c r="G5190" s="0" t="n">
        <v>394.212</v>
      </c>
      <c r="H5190" s="0" t="n">
        <v>0</v>
      </c>
      <c r="I5190" s="7" t="n">
        <f aca="false">YEAR(B5190)</f>
        <v>2015</v>
      </c>
      <c r="J5190" s="0" t="str">
        <f aca="false">I5190&amp;"-Q"&amp;ROUNDUP(MONTH(B5190)/3,0)</f>
        <v>2015-Q3</v>
      </c>
    </row>
    <row r="5191" customFormat="false" ht="15" hidden="false" customHeight="false" outlineLevel="0" collapsed="false">
      <c r="A5191" s="0" t="s">
        <v>2654</v>
      </c>
      <c r="B5191" s="6" t="n">
        <v>43053</v>
      </c>
      <c r="C5191" s="7" t="s">
        <v>45</v>
      </c>
      <c r="D5191" s="7" t="s">
        <v>46</v>
      </c>
      <c r="E5191" s="7" t="s">
        <v>39</v>
      </c>
      <c r="F5191" s="0" t="n">
        <v>167.952</v>
      </c>
      <c r="G5191" s="0" t="n">
        <v>-27.2922</v>
      </c>
      <c r="H5191" s="0" t="n">
        <v>0.2</v>
      </c>
      <c r="I5191" s="7" t="n">
        <f aca="false">YEAR(B5191)</f>
        <v>2017</v>
      </c>
      <c r="J5191" s="0" t="str">
        <f aca="false">I5191&amp;"-Q"&amp;ROUNDUP(MONTH(B5191)/3,0)</f>
        <v>2017-Q4</v>
      </c>
    </row>
    <row r="5192" customFormat="false" ht="15" hidden="false" customHeight="false" outlineLevel="0" collapsed="false">
      <c r="A5192" s="0" t="s">
        <v>2654</v>
      </c>
      <c r="B5192" s="6" t="n">
        <v>43053</v>
      </c>
      <c r="C5192" s="7" t="s">
        <v>45</v>
      </c>
      <c r="D5192" s="7" t="s">
        <v>46</v>
      </c>
      <c r="E5192" s="7" t="s">
        <v>35</v>
      </c>
      <c r="F5192" s="0" t="n">
        <v>45.04</v>
      </c>
      <c r="G5192" s="0" t="n">
        <v>4.504</v>
      </c>
      <c r="H5192" s="0" t="n">
        <v>0.2</v>
      </c>
      <c r="I5192" s="7" t="n">
        <f aca="false">YEAR(B5192)</f>
        <v>2017</v>
      </c>
      <c r="J5192" s="0" t="str">
        <f aca="false">I5192&amp;"-Q"&amp;ROUNDUP(MONTH(B5192)/3,0)</f>
        <v>2017-Q4</v>
      </c>
    </row>
    <row r="5193" customFormat="false" ht="15" hidden="false" customHeight="false" outlineLevel="0" collapsed="false">
      <c r="A5193" s="0" t="s">
        <v>2655</v>
      </c>
      <c r="B5193" s="6" t="n">
        <v>42860</v>
      </c>
      <c r="C5193" s="7" t="s">
        <v>33</v>
      </c>
      <c r="D5193" s="7" t="s">
        <v>34</v>
      </c>
      <c r="E5193" s="7" t="s">
        <v>35</v>
      </c>
      <c r="F5193" s="0" t="n">
        <v>23.16</v>
      </c>
      <c r="G5193" s="0" t="n">
        <v>11.58</v>
      </c>
      <c r="H5193" s="0" t="n">
        <v>0</v>
      </c>
      <c r="I5193" s="7" t="n">
        <f aca="false">YEAR(B5193)</f>
        <v>2017</v>
      </c>
      <c r="J5193" s="0" t="str">
        <f aca="false">I5193&amp;"-Q"&amp;ROUNDUP(MONTH(B5193)/3,0)</f>
        <v>2017-Q2</v>
      </c>
    </row>
    <row r="5194" customFormat="false" ht="15" hidden="false" customHeight="false" outlineLevel="0" collapsed="false">
      <c r="A5194" s="0" t="s">
        <v>2656</v>
      </c>
      <c r="B5194" s="6" t="n">
        <v>41971</v>
      </c>
      <c r="C5194" s="7" t="s">
        <v>29</v>
      </c>
      <c r="D5194" s="7" t="s">
        <v>96</v>
      </c>
      <c r="E5194" s="7" t="s">
        <v>31</v>
      </c>
      <c r="F5194" s="0" t="n">
        <v>397.6</v>
      </c>
      <c r="G5194" s="0" t="n">
        <v>43.736</v>
      </c>
      <c r="H5194" s="0" t="n">
        <v>0</v>
      </c>
      <c r="I5194" s="7" t="n">
        <f aca="false">YEAR(B5194)</f>
        <v>2014</v>
      </c>
      <c r="J5194" s="0" t="str">
        <f aca="false">I5194&amp;"-Q"&amp;ROUNDUP(MONTH(B5194)/3,0)</f>
        <v>2014-Q4</v>
      </c>
    </row>
    <row r="5195" customFormat="false" ht="15" hidden="false" customHeight="false" outlineLevel="0" collapsed="false">
      <c r="A5195" s="0" t="s">
        <v>2656</v>
      </c>
      <c r="B5195" s="6" t="n">
        <v>41971</v>
      </c>
      <c r="C5195" s="7" t="s">
        <v>29</v>
      </c>
      <c r="D5195" s="7" t="s">
        <v>96</v>
      </c>
      <c r="E5195" s="7" t="s">
        <v>35</v>
      </c>
      <c r="F5195" s="0" t="n">
        <v>85.96</v>
      </c>
      <c r="G5195" s="0" t="n">
        <v>40.4012</v>
      </c>
      <c r="H5195" s="0" t="n">
        <v>0</v>
      </c>
      <c r="I5195" s="7" t="n">
        <f aca="false">YEAR(B5195)</f>
        <v>2014</v>
      </c>
      <c r="J5195" s="0" t="str">
        <f aca="false">I5195&amp;"-Q"&amp;ROUNDUP(MONTH(B5195)/3,0)</f>
        <v>2014-Q4</v>
      </c>
    </row>
    <row r="5196" customFormat="false" ht="15" hidden="false" customHeight="false" outlineLevel="0" collapsed="false">
      <c r="A5196" s="0" t="s">
        <v>2656</v>
      </c>
      <c r="B5196" s="6" t="n">
        <v>41971</v>
      </c>
      <c r="C5196" s="7" t="s">
        <v>29</v>
      </c>
      <c r="D5196" s="7" t="s">
        <v>96</v>
      </c>
      <c r="E5196" s="7" t="s">
        <v>35</v>
      </c>
      <c r="F5196" s="0" t="n">
        <v>13.12</v>
      </c>
      <c r="G5196" s="0" t="n">
        <v>4.3296</v>
      </c>
      <c r="H5196" s="0" t="n">
        <v>0</v>
      </c>
      <c r="I5196" s="7" t="n">
        <f aca="false">YEAR(B5196)</f>
        <v>2014</v>
      </c>
      <c r="J5196" s="0" t="str">
        <f aca="false">I5196&amp;"-Q"&amp;ROUNDUP(MONTH(B5196)/3,0)</f>
        <v>2014-Q4</v>
      </c>
    </row>
    <row r="5197" customFormat="false" ht="15" hidden="false" customHeight="false" outlineLevel="0" collapsed="false">
      <c r="A5197" s="0" t="s">
        <v>2656</v>
      </c>
      <c r="B5197" s="6" t="n">
        <v>41971</v>
      </c>
      <c r="C5197" s="7" t="s">
        <v>29</v>
      </c>
      <c r="D5197" s="7" t="s">
        <v>96</v>
      </c>
      <c r="E5197" s="7" t="s">
        <v>35</v>
      </c>
      <c r="F5197" s="0" t="n">
        <v>45.66</v>
      </c>
      <c r="G5197" s="0" t="n">
        <v>22.3734</v>
      </c>
      <c r="H5197" s="0" t="n">
        <v>0</v>
      </c>
      <c r="I5197" s="7" t="n">
        <f aca="false">YEAR(B5197)</f>
        <v>2014</v>
      </c>
      <c r="J5197" s="0" t="str">
        <f aca="false">I5197&amp;"-Q"&amp;ROUNDUP(MONTH(B5197)/3,0)</f>
        <v>2014-Q4</v>
      </c>
    </row>
    <row r="5198" customFormat="false" ht="15" hidden="false" customHeight="false" outlineLevel="0" collapsed="false">
      <c r="A5198" s="0" t="s">
        <v>2657</v>
      </c>
      <c r="B5198" s="6" t="n">
        <v>41769</v>
      </c>
      <c r="C5198" s="7" t="s">
        <v>33</v>
      </c>
      <c r="D5198" s="7" t="s">
        <v>43</v>
      </c>
      <c r="E5198" s="7" t="s">
        <v>35</v>
      </c>
      <c r="F5198" s="0" t="n">
        <v>158.13</v>
      </c>
      <c r="G5198" s="0" t="n">
        <v>77.4837</v>
      </c>
      <c r="H5198" s="0" t="n">
        <v>0</v>
      </c>
      <c r="I5198" s="7" t="n">
        <f aca="false">YEAR(B5198)</f>
        <v>2014</v>
      </c>
      <c r="J5198" s="0" t="str">
        <f aca="false">I5198&amp;"-Q"&amp;ROUNDUP(MONTH(B5198)/3,0)</f>
        <v>2014-Q2</v>
      </c>
    </row>
    <row r="5199" customFormat="false" ht="15" hidden="false" customHeight="false" outlineLevel="0" collapsed="false">
      <c r="A5199" s="0" t="s">
        <v>2657</v>
      </c>
      <c r="B5199" s="6" t="n">
        <v>41769</v>
      </c>
      <c r="C5199" s="7" t="s">
        <v>33</v>
      </c>
      <c r="D5199" s="7" t="s">
        <v>43</v>
      </c>
      <c r="E5199" s="7" t="s">
        <v>39</v>
      </c>
      <c r="F5199" s="0" t="n">
        <v>43.6</v>
      </c>
      <c r="G5199" s="0" t="n">
        <v>4.36</v>
      </c>
      <c r="H5199" s="0" t="n">
        <v>0.2</v>
      </c>
      <c r="I5199" s="7" t="n">
        <f aca="false">YEAR(B5199)</f>
        <v>2014</v>
      </c>
      <c r="J5199" s="0" t="str">
        <f aca="false">I5199&amp;"-Q"&amp;ROUNDUP(MONTH(B5199)/3,0)</f>
        <v>2014-Q2</v>
      </c>
    </row>
    <row r="5200" customFormat="false" ht="15" hidden="false" customHeight="false" outlineLevel="0" collapsed="false">
      <c r="A5200" s="0" t="s">
        <v>2658</v>
      </c>
      <c r="B5200" s="6" t="n">
        <v>42432</v>
      </c>
      <c r="C5200" s="7" t="s">
        <v>45</v>
      </c>
      <c r="D5200" s="7" t="s">
        <v>46</v>
      </c>
      <c r="E5200" s="7" t="s">
        <v>35</v>
      </c>
      <c r="F5200" s="0" t="n">
        <v>3930.072</v>
      </c>
      <c r="G5200" s="0" t="n">
        <v>-786.0144</v>
      </c>
      <c r="H5200" s="0" t="n">
        <v>0.2</v>
      </c>
      <c r="I5200" s="7" t="n">
        <f aca="false">YEAR(B5200)</f>
        <v>2016</v>
      </c>
      <c r="J5200" s="0" t="str">
        <f aca="false">I5200&amp;"-Q"&amp;ROUNDUP(MONTH(B5200)/3,0)</f>
        <v>2016-Q1</v>
      </c>
    </row>
    <row r="5201" customFormat="false" ht="15" hidden="false" customHeight="false" outlineLevel="0" collapsed="false">
      <c r="A5201" s="0" t="s">
        <v>2658</v>
      </c>
      <c r="B5201" s="6" t="n">
        <v>42432</v>
      </c>
      <c r="C5201" s="7" t="s">
        <v>45</v>
      </c>
      <c r="D5201" s="7" t="s">
        <v>46</v>
      </c>
      <c r="E5201" s="7" t="s">
        <v>35</v>
      </c>
      <c r="F5201" s="0" t="n">
        <v>2.304</v>
      </c>
      <c r="G5201" s="0" t="n">
        <v>0.7776</v>
      </c>
      <c r="H5201" s="0" t="n">
        <v>0.2</v>
      </c>
      <c r="I5201" s="7" t="n">
        <f aca="false">YEAR(B5201)</f>
        <v>2016</v>
      </c>
      <c r="J5201" s="0" t="str">
        <f aca="false">I5201&amp;"-Q"&amp;ROUNDUP(MONTH(B5201)/3,0)</f>
        <v>2016-Q1</v>
      </c>
    </row>
    <row r="5202" customFormat="false" ht="15" hidden="false" customHeight="false" outlineLevel="0" collapsed="false">
      <c r="A5202" s="0" t="s">
        <v>2658</v>
      </c>
      <c r="B5202" s="6" t="n">
        <v>42432</v>
      </c>
      <c r="C5202" s="7" t="s">
        <v>45</v>
      </c>
      <c r="D5202" s="7" t="s">
        <v>46</v>
      </c>
      <c r="E5202" s="7" t="s">
        <v>39</v>
      </c>
      <c r="F5202" s="0" t="n">
        <v>431.976</v>
      </c>
      <c r="G5202" s="0" t="n">
        <v>32.3982</v>
      </c>
      <c r="H5202" s="0" t="n">
        <v>0.2</v>
      </c>
      <c r="I5202" s="7" t="n">
        <f aca="false">YEAR(B5202)</f>
        <v>2016</v>
      </c>
      <c r="J5202" s="0" t="str">
        <f aca="false">I5202&amp;"-Q"&amp;ROUNDUP(MONTH(B5202)/3,0)</f>
        <v>2016-Q1</v>
      </c>
    </row>
    <row r="5203" customFormat="false" ht="15" hidden="false" customHeight="false" outlineLevel="0" collapsed="false">
      <c r="A5203" s="0" t="s">
        <v>2658</v>
      </c>
      <c r="B5203" s="6" t="n">
        <v>42432</v>
      </c>
      <c r="C5203" s="7" t="s">
        <v>45</v>
      </c>
      <c r="D5203" s="7" t="s">
        <v>46</v>
      </c>
      <c r="E5203" s="7" t="s">
        <v>39</v>
      </c>
      <c r="F5203" s="0" t="n">
        <v>41.72</v>
      </c>
      <c r="G5203" s="0" t="n">
        <v>5.7365</v>
      </c>
      <c r="H5203" s="0" t="n">
        <v>0.2</v>
      </c>
      <c r="I5203" s="7" t="n">
        <f aca="false">YEAR(B5203)</f>
        <v>2016</v>
      </c>
      <c r="J5203" s="0" t="str">
        <f aca="false">I5203&amp;"-Q"&amp;ROUNDUP(MONTH(B5203)/3,0)</f>
        <v>2016-Q1</v>
      </c>
    </row>
    <row r="5204" customFormat="false" ht="15" hidden="false" customHeight="false" outlineLevel="0" collapsed="false">
      <c r="A5204" s="0" t="s">
        <v>2659</v>
      </c>
      <c r="B5204" s="6" t="n">
        <v>42231</v>
      </c>
      <c r="C5204" s="7" t="s">
        <v>33</v>
      </c>
      <c r="D5204" s="7" t="s">
        <v>34</v>
      </c>
      <c r="E5204" s="7" t="s">
        <v>31</v>
      </c>
      <c r="F5204" s="0" t="n">
        <v>104.23</v>
      </c>
      <c r="G5204" s="0" t="n">
        <v>28.1421</v>
      </c>
      <c r="H5204" s="0" t="n">
        <v>0</v>
      </c>
      <c r="I5204" s="7" t="n">
        <f aca="false">YEAR(B5204)</f>
        <v>2015</v>
      </c>
      <c r="J5204" s="0" t="str">
        <f aca="false">I5204&amp;"-Q"&amp;ROUNDUP(MONTH(B5204)/3,0)</f>
        <v>2015-Q3</v>
      </c>
    </row>
    <row r="5205" customFormat="false" ht="15" hidden="false" customHeight="false" outlineLevel="0" collapsed="false">
      <c r="A5205" s="0" t="s">
        <v>2659</v>
      </c>
      <c r="B5205" s="6" t="n">
        <v>42231</v>
      </c>
      <c r="C5205" s="7" t="s">
        <v>33</v>
      </c>
      <c r="D5205" s="7" t="s">
        <v>34</v>
      </c>
      <c r="E5205" s="7" t="s">
        <v>35</v>
      </c>
      <c r="F5205" s="0" t="n">
        <v>70.26</v>
      </c>
      <c r="G5205" s="0" t="n">
        <v>18.9702</v>
      </c>
      <c r="H5205" s="0" t="n">
        <v>0</v>
      </c>
      <c r="I5205" s="7" t="n">
        <f aca="false">YEAR(B5205)</f>
        <v>2015</v>
      </c>
      <c r="J5205" s="0" t="str">
        <f aca="false">I5205&amp;"-Q"&amp;ROUNDUP(MONTH(B5205)/3,0)</f>
        <v>2015-Q3</v>
      </c>
    </row>
    <row r="5206" customFormat="false" ht="15" hidden="false" customHeight="false" outlineLevel="0" collapsed="false">
      <c r="A5206" s="0" t="s">
        <v>2660</v>
      </c>
      <c r="B5206" s="6" t="n">
        <v>42259</v>
      </c>
      <c r="C5206" s="7" t="s">
        <v>55</v>
      </c>
      <c r="D5206" s="7" t="s">
        <v>76</v>
      </c>
      <c r="E5206" s="7" t="s">
        <v>35</v>
      </c>
      <c r="F5206" s="0" t="n">
        <v>9.26</v>
      </c>
      <c r="G5206" s="0" t="n">
        <v>3.0558</v>
      </c>
      <c r="H5206" s="0" t="n">
        <v>0</v>
      </c>
      <c r="I5206" s="7" t="n">
        <f aca="false">YEAR(B5206)</f>
        <v>2015</v>
      </c>
      <c r="J5206" s="0" t="str">
        <f aca="false">I5206&amp;"-Q"&amp;ROUNDUP(MONTH(B5206)/3,0)</f>
        <v>2015-Q3</v>
      </c>
    </row>
    <row r="5207" customFormat="false" ht="15" hidden="false" customHeight="false" outlineLevel="0" collapsed="false">
      <c r="A5207" s="0" t="s">
        <v>2660</v>
      </c>
      <c r="B5207" s="6" t="n">
        <v>42259</v>
      </c>
      <c r="C5207" s="7" t="s">
        <v>55</v>
      </c>
      <c r="D5207" s="7" t="s">
        <v>76</v>
      </c>
      <c r="E5207" s="7" t="s">
        <v>35</v>
      </c>
      <c r="F5207" s="0" t="n">
        <v>105.98</v>
      </c>
      <c r="G5207" s="0" t="n">
        <v>4.2392</v>
      </c>
      <c r="H5207" s="0" t="n">
        <v>0</v>
      </c>
      <c r="I5207" s="7" t="n">
        <f aca="false">YEAR(B5207)</f>
        <v>2015</v>
      </c>
      <c r="J5207" s="0" t="str">
        <f aca="false">I5207&amp;"-Q"&amp;ROUNDUP(MONTH(B5207)/3,0)</f>
        <v>2015-Q3</v>
      </c>
    </row>
    <row r="5208" customFormat="false" ht="15" hidden="false" customHeight="false" outlineLevel="0" collapsed="false">
      <c r="A5208" s="0" t="s">
        <v>2660</v>
      </c>
      <c r="B5208" s="6" t="n">
        <v>42259</v>
      </c>
      <c r="C5208" s="7" t="s">
        <v>55</v>
      </c>
      <c r="D5208" s="7" t="s">
        <v>76</v>
      </c>
      <c r="E5208" s="7" t="s">
        <v>35</v>
      </c>
      <c r="F5208" s="0" t="n">
        <v>1.24</v>
      </c>
      <c r="G5208" s="0" t="n">
        <v>0.5828</v>
      </c>
      <c r="H5208" s="0" t="n">
        <v>0</v>
      </c>
      <c r="I5208" s="7" t="n">
        <f aca="false">YEAR(B5208)</f>
        <v>2015</v>
      </c>
      <c r="J5208" s="0" t="str">
        <f aca="false">I5208&amp;"-Q"&amp;ROUNDUP(MONTH(B5208)/3,0)</f>
        <v>2015-Q3</v>
      </c>
    </row>
    <row r="5209" customFormat="false" ht="15" hidden="false" customHeight="false" outlineLevel="0" collapsed="false">
      <c r="A5209" s="0" t="s">
        <v>2660</v>
      </c>
      <c r="B5209" s="6" t="n">
        <v>42259</v>
      </c>
      <c r="C5209" s="7" t="s">
        <v>55</v>
      </c>
      <c r="D5209" s="7" t="s">
        <v>76</v>
      </c>
      <c r="E5209" s="7" t="s">
        <v>35</v>
      </c>
      <c r="F5209" s="0" t="n">
        <v>20.7</v>
      </c>
      <c r="G5209" s="0" t="n">
        <v>9.936</v>
      </c>
      <c r="H5209" s="0" t="n">
        <v>0</v>
      </c>
      <c r="I5209" s="7" t="n">
        <f aca="false">YEAR(B5209)</f>
        <v>2015</v>
      </c>
      <c r="J5209" s="0" t="str">
        <f aca="false">I5209&amp;"-Q"&amp;ROUNDUP(MONTH(B5209)/3,0)</f>
        <v>2015-Q3</v>
      </c>
    </row>
    <row r="5210" customFormat="false" ht="15" hidden="false" customHeight="false" outlineLevel="0" collapsed="false">
      <c r="A5210" s="0" t="s">
        <v>2660</v>
      </c>
      <c r="B5210" s="6" t="n">
        <v>42259</v>
      </c>
      <c r="C5210" s="7" t="s">
        <v>55</v>
      </c>
      <c r="D5210" s="7" t="s">
        <v>76</v>
      </c>
      <c r="E5210" s="7" t="s">
        <v>35</v>
      </c>
      <c r="F5210" s="0" t="n">
        <v>28.9</v>
      </c>
      <c r="G5210" s="0" t="n">
        <v>14.161</v>
      </c>
      <c r="H5210" s="0" t="n">
        <v>0</v>
      </c>
      <c r="I5210" s="7" t="n">
        <f aca="false">YEAR(B5210)</f>
        <v>2015</v>
      </c>
      <c r="J5210" s="0" t="str">
        <f aca="false">I5210&amp;"-Q"&amp;ROUNDUP(MONTH(B5210)/3,0)</f>
        <v>2015-Q3</v>
      </c>
    </row>
    <row r="5211" customFormat="false" ht="15" hidden="false" customHeight="false" outlineLevel="0" collapsed="false">
      <c r="A5211" s="0" t="s">
        <v>2660</v>
      </c>
      <c r="B5211" s="6" t="n">
        <v>42259</v>
      </c>
      <c r="C5211" s="7" t="s">
        <v>55</v>
      </c>
      <c r="D5211" s="7" t="s">
        <v>76</v>
      </c>
      <c r="E5211" s="7" t="s">
        <v>35</v>
      </c>
      <c r="F5211" s="0" t="n">
        <v>27.18</v>
      </c>
      <c r="G5211" s="0" t="n">
        <v>12.7746</v>
      </c>
      <c r="H5211" s="0" t="n">
        <v>0</v>
      </c>
      <c r="I5211" s="7" t="n">
        <f aca="false">YEAR(B5211)</f>
        <v>2015</v>
      </c>
      <c r="J5211" s="0" t="str">
        <f aca="false">I5211&amp;"-Q"&amp;ROUNDUP(MONTH(B5211)/3,0)</f>
        <v>2015-Q3</v>
      </c>
    </row>
    <row r="5212" customFormat="false" ht="15" hidden="false" customHeight="false" outlineLevel="0" collapsed="false">
      <c r="A5212" s="0" t="s">
        <v>2661</v>
      </c>
      <c r="B5212" s="6" t="n">
        <v>42016</v>
      </c>
      <c r="C5212" s="7" t="s">
        <v>55</v>
      </c>
      <c r="D5212" s="7" t="s">
        <v>72</v>
      </c>
      <c r="E5212" s="7" t="s">
        <v>35</v>
      </c>
      <c r="F5212" s="0" t="n">
        <v>465.18</v>
      </c>
      <c r="G5212" s="0" t="n">
        <v>120.9468</v>
      </c>
      <c r="H5212" s="0" t="n">
        <v>0</v>
      </c>
      <c r="I5212" s="7" t="n">
        <f aca="false">YEAR(B5212)</f>
        <v>2015</v>
      </c>
      <c r="J5212" s="0" t="str">
        <f aca="false">I5212&amp;"-Q"&amp;ROUNDUP(MONTH(B5212)/3,0)</f>
        <v>2015-Q1</v>
      </c>
    </row>
    <row r="5213" customFormat="false" ht="15" hidden="false" customHeight="false" outlineLevel="0" collapsed="false">
      <c r="A5213" s="0" t="s">
        <v>2662</v>
      </c>
      <c r="B5213" s="6" t="n">
        <v>42136</v>
      </c>
      <c r="C5213" s="7" t="s">
        <v>55</v>
      </c>
      <c r="D5213" s="7" t="s">
        <v>76</v>
      </c>
      <c r="E5213" s="7" t="s">
        <v>35</v>
      </c>
      <c r="F5213" s="0" t="n">
        <v>36.63</v>
      </c>
      <c r="G5213" s="0" t="n">
        <v>9.8901</v>
      </c>
      <c r="H5213" s="0" t="n">
        <v>0</v>
      </c>
      <c r="I5213" s="7" t="n">
        <f aca="false">YEAR(B5213)</f>
        <v>2015</v>
      </c>
      <c r="J5213" s="0" t="str">
        <f aca="false">I5213&amp;"-Q"&amp;ROUNDUP(MONTH(B5213)/3,0)</f>
        <v>2015-Q2</v>
      </c>
    </row>
    <row r="5214" customFormat="false" ht="15" hidden="false" customHeight="false" outlineLevel="0" collapsed="false">
      <c r="A5214" s="0" t="s">
        <v>2663</v>
      </c>
      <c r="B5214" s="6" t="n">
        <v>42639</v>
      </c>
      <c r="C5214" s="7" t="s">
        <v>33</v>
      </c>
      <c r="D5214" s="7" t="s">
        <v>34</v>
      </c>
      <c r="E5214" s="7" t="s">
        <v>35</v>
      </c>
      <c r="F5214" s="0" t="n">
        <v>51.45</v>
      </c>
      <c r="G5214" s="0" t="n">
        <v>13.8915</v>
      </c>
      <c r="H5214" s="0" t="n">
        <v>0</v>
      </c>
      <c r="I5214" s="7" t="n">
        <f aca="false">YEAR(B5214)</f>
        <v>2016</v>
      </c>
      <c r="J5214" s="0" t="str">
        <f aca="false">I5214&amp;"-Q"&amp;ROUNDUP(MONTH(B5214)/3,0)</f>
        <v>2016-Q3</v>
      </c>
    </row>
    <row r="5215" customFormat="false" ht="15" hidden="false" customHeight="false" outlineLevel="0" collapsed="false">
      <c r="A5215" s="0" t="s">
        <v>2663</v>
      </c>
      <c r="B5215" s="6" t="n">
        <v>42639</v>
      </c>
      <c r="C5215" s="7" t="s">
        <v>33</v>
      </c>
      <c r="D5215" s="7" t="s">
        <v>34</v>
      </c>
      <c r="E5215" s="7" t="s">
        <v>35</v>
      </c>
      <c r="F5215" s="0" t="n">
        <v>7.83</v>
      </c>
      <c r="G5215" s="0" t="n">
        <v>3.6018</v>
      </c>
      <c r="H5215" s="0" t="n">
        <v>0</v>
      </c>
      <c r="I5215" s="7" t="n">
        <f aca="false">YEAR(B5215)</f>
        <v>2016</v>
      </c>
      <c r="J5215" s="0" t="str">
        <f aca="false">I5215&amp;"-Q"&amp;ROUNDUP(MONTH(B5215)/3,0)</f>
        <v>2016-Q3</v>
      </c>
    </row>
    <row r="5216" customFormat="false" ht="15" hidden="false" customHeight="false" outlineLevel="0" collapsed="false">
      <c r="A5216" s="0" t="s">
        <v>2663</v>
      </c>
      <c r="B5216" s="6" t="n">
        <v>42639</v>
      </c>
      <c r="C5216" s="7" t="s">
        <v>33</v>
      </c>
      <c r="D5216" s="7" t="s">
        <v>34</v>
      </c>
      <c r="E5216" s="7" t="s">
        <v>35</v>
      </c>
      <c r="F5216" s="0" t="n">
        <v>35.4</v>
      </c>
      <c r="G5216" s="0" t="n">
        <v>13.452</v>
      </c>
      <c r="H5216" s="0" t="n">
        <v>0</v>
      </c>
      <c r="I5216" s="7" t="n">
        <f aca="false">YEAR(B5216)</f>
        <v>2016</v>
      </c>
      <c r="J5216" s="0" t="str">
        <f aca="false">I5216&amp;"-Q"&amp;ROUNDUP(MONTH(B5216)/3,0)</f>
        <v>2016-Q3</v>
      </c>
    </row>
    <row r="5217" customFormat="false" ht="15" hidden="false" customHeight="false" outlineLevel="0" collapsed="false">
      <c r="A5217" s="0" t="s">
        <v>2663</v>
      </c>
      <c r="B5217" s="6" t="n">
        <v>42639</v>
      </c>
      <c r="C5217" s="7" t="s">
        <v>33</v>
      </c>
      <c r="D5217" s="7" t="s">
        <v>34</v>
      </c>
      <c r="E5217" s="7" t="s">
        <v>35</v>
      </c>
      <c r="F5217" s="0" t="n">
        <v>29.9</v>
      </c>
      <c r="G5217" s="0" t="n">
        <v>13.455</v>
      </c>
      <c r="H5217" s="0" t="n">
        <v>0</v>
      </c>
      <c r="I5217" s="7" t="n">
        <f aca="false">YEAR(B5217)</f>
        <v>2016</v>
      </c>
      <c r="J5217" s="0" t="str">
        <f aca="false">I5217&amp;"-Q"&amp;ROUNDUP(MONTH(B5217)/3,0)</f>
        <v>2016-Q3</v>
      </c>
    </row>
    <row r="5218" customFormat="false" ht="15" hidden="false" customHeight="false" outlineLevel="0" collapsed="false">
      <c r="A5218" s="0" t="s">
        <v>2664</v>
      </c>
      <c r="B5218" s="6" t="n">
        <v>42987</v>
      </c>
      <c r="C5218" s="7" t="s">
        <v>45</v>
      </c>
      <c r="D5218" s="7" t="s">
        <v>70</v>
      </c>
      <c r="E5218" s="7" t="s">
        <v>35</v>
      </c>
      <c r="F5218" s="0" t="n">
        <v>17.48</v>
      </c>
      <c r="G5218" s="0" t="n">
        <v>8.2156</v>
      </c>
      <c r="H5218" s="0" t="n">
        <v>0</v>
      </c>
      <c r="I5218" s="7" t="n">
        <f aca="false">YEAR(B5218)</f>
        <v>2017</v>
      </c>
      <c r="J5218" s="0" t="str">
        <f aca="false">I5218&amp;"-Q"&amp;ROUNDUP(MONTH(B5218)/3,0)</f>
        <v>2017-Q3</v>
      </c>
    </row>
    <row r="5219" customFormat="false" ht="15" hidden="false" customHeight="false" outlineLevel="0" collapsed="false">
      <c r="A5219" s="0" t="s">
        <v>2665</v>
      </c>
      <c r="B5219" s="6" t="n">
        <v>42840</v>
      </c>
      <c r="C5219" s="7" t="s">
        <v>33</v>
      </c>
      <c r="D5219" s="7" t="s">
        <v>34</v>
      </c>
      <c r="E5219" s="7" t="s">
        <v>35</v>
      </c>
      <c r="F5219" s="0" t="n">
        <v>79.14</v>
      </c>
      <c r="G5219" s="0" t="n">
        <v>36.4044</v>
      </c>
      <c r="H5219" s="0" t="n">
        <v>0</v>
      </c>
      <c r="I5219" s="7" t="n">
        <f aca="false">YEAR(B5219)</f>
        <v>2017</v>
      </c>
      <c r="J5219" s="0" t="str">
        <f aca="false">I5219&amp;"-Q"&amp;ROUNDUP(MONTH(B5219)/3,0)</f>
        <v>2017-Q2</v>
      </c>
    </row>
    <row r="5220" customFormat="false" ht="15" hidden="false" customHeight="false" outlineLevel="0" collapsed="false">
      <c r="A5220" s="0" t="s">
        <v>2666</v>
      </c>
      <c r="B5220" s="6" t="n">
        <v>42896</v>
      </c>
      <c r="C5220" s="7" t="s">
        <v>55</v>
      </c>
      <c r="D5220" s="7" t="s">
        <v>76</v>
      </c>
      <c r="E5220" s="7" t="s">
        <v>35</v>
      </c>
      <c r="F5220" s="0" t="n">
        <v>8.4</v>
      </c>
      <c r="G5220" s="0" t="n">
        <v>4.2</v>
      </c>
      <c r="H5220" s="0" t="n">
        <v>0</v>
      </c>
      <c r="I5220" s="7" t="n">
        <f aca="false">YEAR(B5220)</f>
        <v>2017</v>
      </c>
      <c r="J5220" s="0" t="str">
        <f aca="false">I5220&amp;"-Q"&amp;ROUNDUP(MONTH(B5220)/3,0)</f>
        <v>2017-Q2</v>
      </c>
    </row>
    <row r="5221" customFormat="false" ht="15" hidden="false" customHeight="false" outlineLevel="0" collapsed="false">
      <c r="A5221" s="0" t="s">
        <v>2667</v>
      </c>
      <c r="B5221" s="6" t="n">
        <v>42979</v>
      </c>
      <c r="C5221" s="7" t="s">
        <v>45</v>
      </c>
      <c r="D5221" s="7" t="s">
        <v>70</v>
      </c>
      <c r="E5221" s="7" t="s">
        <v>31</v>
      </c>
      <c r="F5221" s="0" t="n">
        <v>498.26</v>
      </c>
      <c r="G5221" s="0" t="n">
        <v>134.5302</v>
      </c>
      <c r="H5221" s="0" t="n">
        <v>0</v>
      </c>
      <c r="I5221" s="7" t="n">
        <f aca="false">YEAR(B5221)</f>
        <v>2017</v>
      </c>
      <c r="J5221" s="0" t="str">
        <f aca="false">I5221&amp;"-Q"&amp;ROUNDUP(MONTH(B5221)/3,0)</f>
        <v>2017-Q3</v>
      </c>
    </row>
    <row r="5222" customFormat="false" ht="15" hidden="false" customHeight="false" outlineLevel="0" collapsed="false">
      <c r="A5222" s="0" t="s">
        <v>2668</v>
      </c>
      <c r="B5222" s="6" t="n">
        <v>41804</v>
      </c>
      <c r="C5222" s="7" t="s">
        <v>45</v>
      </c>
      <c r="D5222" s="7" t="s">
        <v>70</v>
      </c>
      <c r="E5222" s="7" t="s">
        <v>31</v>
      </c>
      <c r="F5222" s="0" t="n">
        <v>212.94</v>
      </c>
      <c r="G5222" s="0" t="n">
        <v>57.4938</v>
      </c>
      <c r="H5222" s="0" t="n">
        <v>0</v>
      </c>
      <c r="I5222" s="7" t="n">
        <f aca="false">YEAR(B5222)</f>
        <v>2014</v>
      </c>
      <c r="J5222" s="0" t="str">
        <f aca="false">I5222&amp;"-Q"&amp;ROUNDUP(MONTH(B5222)/3,0)</f>
        <v>2014-Q2</v>
      </c>
    </row>
    <row r="5223" customFormat="false" ht="15" hidden="false" customHeight="false" outlineLevel="0" collapsed="false">
      <c r="A5223" s="0" t="s">
        <v>2669</v>
      </c>
      <c r="B5223" s="6" t="n">
        <v>42873</v>
      </c>
      <c r="C5223" s="7" t="s">
        <v>45</v>
      </c>
      <c r="D5223" s="7" t="s">
        <v>129</v>
      </c>
      <c r="E5223" s="7" t="s">
        <v>35</v>
      </c>
      <c r="F5223" s="0" t="n">
        <v>706.86</v>
      </c>
      <c r="G5223" s="0" t="n">
        <v>197.9208</v>
      </c>
      <c r="H5223" s="0" t="n">
        <v>0</v>
      </c>
      <c r="I5223" s="7" t="n">
        <f aca="false">YEAR(B5223)</f>
        <v>2017</v>
      </c>
      <c r="J5223" s="0" t="str">
        <f aca="false">I5223&amp;"-Q"&amp;ROUNDUP(MONTH(B5223)/3,0)</f>
        <v>2017-Q2</v>
      </c>
    </row>
    <row r="5224" customFormat="false" ht="15" hidden="false" customHeight="false" outlineLevel="0" collapsed="false">
      <c r="A5224" s="0" t="s">
        <v>2669</v>
      </c>
      <c r="B5224" s="6" t="n">
        <v>42873</v>
      </c>
      <c r="C5224" s="7" t="s">
        <v>45</v>
      </c>
      <c r="D5224" s="7" t="s">
        <v>129</v>
      </c>
      <c r="E5224" s="7" t="s">
        <v>39</v>
      </c>
      <c r="F5224" s="0" t="n">
        <v>114.95</v>
      </c>
      <c r="G5224" s="0" t="n">
        <v>2.299</v>
      </c>
      <c r="H5224" s="0" t="n">
        <v>0</v>
      </c>
      <c r="I5224" s="7" t="n">
        <f aca="false">YEAR(B5224)</f>
        <v>2017</v>
      </c>
      <c r="J5224" s="0" t="str">
        <f aca="false">I5224&amp;"-Q"&amp;ROUNDUP(MONTH(B5224)/3,0)</f>
        <v>2017-Q2</v>
      </c>
    </row>
    <row r="5225" customFormat="false" ht="15" hidden="false" customHeight="false" outlineLevel="0" collapsed="false">
      <c r="A5225" s="0" t="s">
        <v>2669</v>
      </c>
      <c r="B5225" s="6" t="n">
        <v>42873</v>
      </c>
      <c r="C5225" s="7" t="s">
        <v>45</v>
      </c>
      <c r="D5225" s="7" t="s">
        <v>129</v>
      </c>
      <c r="E5225" s="7" t="s">
        <v>35</v>
      </c>
      <c r="F5225" s="0" t="n">
        <v>43.19</v>
      </c>
      <c r="G5225" s="0" t="n">
        <v>20.7312</v>
      </c>
      <c r="H5225" s="0" t="n">
        <v>0</v>
      </c>
      <c r="I5225" s="7" t="n">
        <f aca="false">YEAR(B5225)</f>
        <v>2017</v>
      </c>
      <c r="J5225" s="0" t="str">
        <f aca="false">I5225&amp;"-Q"&amp;ROUNDUP(MONTH(B5225)/3,0)</f>
        <v>2017-Q2</v>
      </c>
    </row>
    <row r="5226" customFormat="false" ht="15" hidden="false" customHeight="false" outlineLevel="0" collapsed="false">
      <c r="A5226" s="0" t="s">
        <v>2670</v>
      </c>
      <c r="B5226" s="6" t="n">
        <v>42990</v>
      </c>
      <c r="C5226" s="7" t="s">
        <v>33</v>
      </c>
      <c r="D5226" s="7" t="s">
        <v>34</v>
      </c>
      <c r="E5226" s="7" t="s">
        <v>35</v>
      </c>
      <c r="F5226" s="0" t="n">
        <v>166.44</v>
      </c>
      <c r="G5226" s="0" t="n">
        <v>79.8912</v>
      </c>
      <c r="H5226" s="0" t="n">
        <v>0</v>
      </c>
      <c r="I5226" s="7" t="n">
        <f aca="false">YEAR(B5226)</f>
        <v>2017</v>
      </c>
      <c r="J5226" s="0" t="str">
        <f aca="false">I5226&amp;"-Q"&amp;ROUNDUP(MONTH(B5226)/3,0)</f>
        <v>2017-Q3</v>
      </c>
    </row>
    <row r="5227" customFormat="false" ht="15" hidden="false" customHeight="false" outlineLevel="0" collapsed="false">
      <c r="A5227" s="0" t="s">
        <v>2671</v>
      </c>
      <c r="B5227" s="6" t="n">
        <v>42542</v>
      </c>
      <c r="C5227" s="7" t="s">
        <v>55</v>
      </c>
      <c r="D5227" s="7" t="s">
        <v>76</v>
      </c>
      <c r="E5227" s="7" t="s">
        <v>35</v>
      </c>
      <c r="F5227" s="0" t="n">
        <v>36.56</v>
      </c>
      <c r="G5227" s="0" t="n">
        <v>12.796</v>
      </c>
      <c r="H5227" s="0" t="n">
        <v>0.2</v>
      </c>
      <c r="I5227" s="7" t="n">
        <f aca="false">YEAR(B5227)</f>
        <v>2016</v>
      </c>
      <c r="J5227" s="0" t="str">
        <f aca="false">I5227&amp;"-Q"&amp;ROUNDUP(MONTH(B5227)/3,0)</f>
        <v>2016-Q2</v>
      </c>
    </row>
    <row r="5228" customFormat="false" ht="15" hidden="false" customHeight="false" outlineLevel="0" collapsed="false">
      <c r="A5228" s="0" t="s">
        <v>2671</v>
      </c>
      <c r="B5228" s="6" t="n">
        <v>42542</v>
      </c>
      <c r="C5228" s="7" t="s">
        <v>55</v>
      </c>
      <c r="D5228" s="7" t="s">
        <v>76</v>
      </c>
      <c r="E5228" s="7" t="s">
        <v>35</v>
      </c>
      <c r="F5228" s="0" t="n">
        <v>186.144</v>
      </c>
      <c r="G5228" s="0" t="n">
        <v>60.4968</v>
      </c>
      <c r="H5228" s="0" t="n">
        <v>0.2</v>
      </c>
      <c r="I5228" s="7" t="n">
        <f aca="false">YEAR(B5228)</f>
        <v>2016</v>
      </c>
      <c r="J5228" s="0" t="str">
        <f aca="false">I5228&amp;"-Q"&amp;ROUNDUP(MONTH(B5228)/3,0)</f>
        <v>2016-Q2</v>
      </c>
    </row>
    <row r="5229" customFormat="false" ht="15" hidden="false" customHeight="false" outlineLevel="0" collapsed="false">
      <c r="A5229" s="0" t="s">
        <v>2671</v>
      </c>
      <c r="B5229" s="6" t="n">
        <v>42542</v>
      </c>
      <c r="C5229" s="7" t="s">
        <v>55</v>
      </c>
      <c r="D5229" s="7" t="s">
        <v>76</v>
      </c>
      <c r="E5229" s="7" t="s">
        <v>31</v>
      </c>
      <c r="F5229" s="0" t="n">
        <v>353.568</v>
      </c>
      <c r="G5229" s="0" t="n">
        <v>-44.196</v>
      </c>
      <c r="H5229" s="0" t="n">
        <v>0.2</v>
      </c>
      <c r="I5229" s="7" t="n">
        <f aca="false">YEAR(B5229)</f>
        <v>2016</v>
      </c>
      <c r="J5229" s="0" t="str">
        <f aca="false">I5229&amp;"-Q"&amp;ROUNDUP(MONTH(B5229)/3,0)</f>
        <v>2016-Q2</v>
      </c>
    </row>
    <row r="5230" customFormat="false" ht="15" hidden="false" customHeight="false" outlineLevel="0" collapsed="false">
      <c r="A5230" s="0" t="s">
        <v>2672</v>
      </c>
      <c r="B5230" s="6" t="n">
        <v>41969</v>
      </c>
      <c r="C5230" s="7" t="s">
        <v>33</v>
      </c>
      <c r="D5230" s="7" t="s">
        <v>34</v>
      </c>
      <c r="E5230" s="7" t="s">
        <v>35</v>
      </c>
      <c r="F5230" s="0" t="n">
        <v>81.98</v>
      </c>
      <c r="G5230" s="0" t="n">
        <v>40.1702</v>
      </c>
      <c r="H5230" s="0" t="n">
        <v>0</v>
      </c>
      <c r="I5230" s="7" t="n">
        <f aca="false">YEAR(B5230)</f>
        <v>2014</v>
      </c>
      <c r="J5230" s="0" t="str">
        <f aca="false">I5230&amp;"-Q"&amp;ROUNDUP(MONTH(B5230)/3,0)</f>
        <v>2014-Q4</v>
      </c>
    </row>
    <row r="5231" customFormat="false" ht="15" hidden="false" customHeight="false" outlineLevel="0" collapsed="false">
      <c r="A5231" s="0" t="s">
        <v>2673</v>
      </c>
      <c r="B5231" s="6" t="n">
        <v>42813</v>
      </c>
      <c r="C5231" s="7" t="s">
        <v>33</v>
      </c>
      <c r="D5231" s="7" t="s">
        <v>34</v>
      </c>
      <c r="E5231" s="7" t="s">
        <v>35</v>
      </c>
      <c r="F5231" s="0" t="n">
        <v>14.624</v>
      </c>
      <c r="G5231" s="0" t="n">
        <v>5.1184</v>
      </c>
      <c r="H5231" s="0" t="n">
        <v>0.2</v>
      </c>
      <c r="I5231" s="7" t="n">
        <f aca="false">YEAR(B5231)</f>
        <v>2017</v>
      </c>
      <c r="J5231" s="0" t="str">
        <f aca="false">I5231&amp;"-Q"&amp;ROUNDUP(MONTH(B5231)/3,0)</f>
        <v>2017-Q1</v>
      </c>
    </row>
    <row r="5232" customFormat="false" ht="15" hidden="false" customHeight="false" outlineLevel="0" collapsed="false">
      <c r="A5232" s="0" t="s">
        <v>2673</v>
      </c>
      <c r="B5232" s="6" t="n">
        <v>42813</v>
      </c>
      <c r="C5232" s="7" t="s">
        <v>33</v>
      </c>
      <c r="D5232" s="7" t="s">
        <v>34</v>
      </c>
      <c r="E5232" s="7" t="s">
        <v>31</v>
      </c>
      <c r="F5232" s="0" t="n">
        <v>697.16</v>
      </c>
      <c r="G5232" s="0" t="n">
        <v>8.7145</v>
      </c>
      <c r="H5232" s="0" t="n">
        <v>0.2</v>
      </c>
      <c r="I5232" s="7" t="n">
        <f aca="false">YEAR(B5232)</f>
        <v>2017</v>
      </c>
      <c r="J5232" s="0" t="str">
        <f aca="false">I5232&amp;"-Q"&amp;ROUNDUP(MONTH(B5232)/3,0)</f>
        <v>2017-Q1</v>
      </c>
    </row>
    <row r="5233" customFormat="false" ht="15" hidden="false" customHeight="false" outlineLevel="0" collapsed="false">
      <c r="A5233" s="0" t="s">
        <v>2673</v>
      </c>
      <c r="B5233" s="6" t="n">
        <v>42813</v>
      </c>
      <c r="C5233" s="7" t="s">
        <v>33</v>
      </c>
      <c r="D5233" s="7" t="s">
        <v>34</v>
      </c>
      <c r="E5233" s="7" t="s">
        <v>31</v>
      </c>
      <c r="F5233" s="0" t="n">
        <v>30.93</v>
      </c>
      <c r="G5233" s="0" t="n">
        <v>12.6813</v>
      </c>
      <c r="H5233" s="0" t="n">
        <v>0</v>
      </c>
      <c r="I5233" s="7" t="n">
        <f aca="false">YEAR(B5233)</f>
        <v>2017</v>
      </c>
      <c r="J5233" s="0" t="str">
        <f aca="false">I5233&amp;"-Q"&amp;ROUNDUP(MONTH(B5233)/3,0)</f>
        <v>2017-Q1</v>
      </c>
    </row>
    <row r="5234" customFormat="false" ht="15" hidden="false" customHeight="false" outlineLevel="0" collapsed="false">
      <c r="A5234" s="0" t="s">
        <v>2673</v>
      </c>
      <c r="B5234" s="6" t="n">
        <v>42813</v>
      </c>
      <c r="C5234" s="7" t="s">
        <v>33</v>
      </c>
      <c r="D5234" s="7" t="s">
        <v>34</v>
      </c>
      <c r="E5234" s="7" t="s">
        <v>35</v>
      </c>
      <c r="F5234" s="0" t="n">
        <v>27.496</v>
      </c>
      <c r="G5234" s="0" t="n">
        <v>9.2799</v>
      </c>
      <c r="H5234" s="0" t="n">
        <v>0.2</v>
      </c>
      <c r="I5234" s="7" t="n">
        <f aca="false">YEAR(B5234)</f>
        <v>2017</v>
      </c>
      <c r="J5234" s="0" t="str">
        <f aca="false">I5234&amp;"-Q"&amp;ROUNDUP(MONTH(B5234)/3,0)</f>
        <v>2017-Q1</v>
      </c>
    </row>
    <row r="5235" customFormat="false" ht="15" hidden="false" customHeight="false" outlineLevel="0" collapsed="false">
      <c r="A5235" s="0" t="s">
        <v>2674</v>
      </c>
      <c r="B5235" s="6" t="n">
        <v>41930</v>
      </c>
      <c r="C5235" s="7" t="s">
        <v>29</v>
      </c>
      <c r="D5235" s="7" t="s">
        <v>301</v>
      </c>
      <c r="E5235" s="7" t="s">
        <v>31</v>
      </c>
      <c r="F5235" s="0" t="n">
        <v>605.34</v>
      </c>
      <c r="G5235" s="0" t="n">
        <v>145.2816</v>
      </c>
      <c r="H5235" s="0" t="n">
        <v>0</v>
      </c>
      <c r="I5235" s="7" t="n">
        <f aca="false">YEAR(B5235)</f>
        <v>2014</v>
      </c>
      <c r="J5235" s="0" t="str">
        <f aca="false">I5235&amp;"-Q"&amp;ROUNDUP(MONTH(B5235)/3,0)</f>
        <v>2014-Q4</v>
      </c>
    </row>
    <row r="5236" customFormat="false" ht="15" hidden="false" customHeight="false" outlineLevel="0" collapsed="false">
      <c r="A5236" s="0" t="s">
        <v>2675</v>
      </c>
      <c r="B5236" s="6" t="n">
        <v>42969</v>
      </c>
      <c r="C5236" s="7" t="s">
        <v>33</v>
      </c>
      <c r="D5236" s="7" t="s">
        <v>34</v>
      </c>
      <c r="E5236" s="7" t="s">
        <v>31</v>
      </c>
      <c r="F5236" s="0" t="n">
        <v>210.008</v>
      </c>
      <c r="G5236" s="0" t="n">
        <v>2.6251</v>
      </c>
      <c r="H5236" s="0" t="n">
        <v>0.2</v>
      </c>
      <c r="I5236" s="7" t="n">
        <f aca="false">YEAR(B5236)</f>
        <v>2017</v>
      </c>
      <c r="J5236" s="0" t="str">
        <f aca="false">I5236&amp;"-Q"&amp;ROUNDUP(MONTH(B5236)/3,0)</f>
        <v>2017-Q3</v>
      </c>
    </row>
    <row r="5237" customFormat="false" ht="15" hidden="false" customHeight="false" outlineLevel="0" collapsed="false">
      <c r="A5237" s="0" t="s">
        <v>2676</v>
      </c>
      <c r="B5237" s="6" t="n">
        <v>42693</v>
      </c>
      <c r="C5237" s="7" t="s">
        <v>45</v>
      </c>
      <c r="D5237" s="7" t="s">
        <v>74</v>
      </c>
      <c r="E5237" s="7" t="s">
        <v>35</v>
      </c>
      <c r="F5237" s="0" t="n">
        <v>54.96</v>
      </c>
      <c r="G5237" s="0" t="n">
        <v>15.9384</v>
      </c>
      <c r="H5237" s="0" t="n">
        <v>0</v>
      </c>
      <c r="I5237" s="7" t="n">
        <f aca="false">YEAR(B5237)</f>
        <v>2016</v>
      </c>
      <c r="J5237" s="0" t="str">
        <f aca="false">I5237&amp;"-Q"&amp;ROUNDUP(MONTH(B5237)/3,0)</f>
        <v>2016-Q4</v>
      </c>
    </row>
    <row r="5238" customFormat="false" ht="15" hidden="false" customHeight="false" outlineLevel="0" collapsed="false">
      <c r="A5238" s="0" t="s">
        <v>2677</v>
      </c>
      <c r="B5238" s="6" t="n">
        <v>41902</v>
      </c>
      <c r="C5238" s="7" t="s">
        <v>55</v>
      </c>
      <c r="D5238" s="7" t="s">
        <v>495</v>
      </c>
      <c r="E5238" s="7" t="s">
        <v>31</v>
      </c>
      <c r="F5238" s="0" t="n">
        <v>164.22</v>
      </c>
      <c r="G5238" s="0" t="n">
        <v>50.9082</v>
      </c>
      <c r="H5238" s="0" t="n">
        <v>0</v>
      </c>
      <c r="I5238" s="7" t="n">
        <f aca="false">YEAR(B5238)</f>
        <v>2014</v>
      </c>
      <c r="J5238" s="0" t="str">
        <f aca="false">I5238&amp;"-Q"&amp;ROUNDUP(MONTH(B5238)/3,0)</f>
        <v>2014-Q3</v>
      </c>
    </row>
    <row r="5239" customFormat="false" ht="15" hidden="false" customHeight="false" outlineLevel="0" collapsed="false">
      <c r="A5239" s="0" t="s">
        <v>2677</v>
      </c>
      <c r="B5239" s="6" t="n">
        <v>41902</v>
      </c>
      <c r="C5239" s="7" t="s">
        <v>55</v>
      </c>
      <c r="D5239" s="7" t="s">
        <v>495</v>
      </c>
      <c r="E5239" s="7" t="s">
        <v>31</v>
      </c>
      <c r="F5239" s="0" t="n">
        <v>362.94</v>
      </c>
      <c r="G5239" s="0" t="n">
        <v>36.294</v>
      </c>
      <c r="H5239" s="0" t="n">
        <v>0</v>
      </c>
      <c r="I5239" s="7" t="n">
        <f aca="false">YEAR(B5239)</f>
        <v>2014</v>
      </c>
      <c r="J5239" s="0" t="str">
        <f aca="false">I5239&amp;"-Q"&amp;ROUNDUP(MONTH(B5239)/3,0)</f>
        <v>2014-Q3</v>
      </c>
    </row>
    <row r="5240" customFormat="false" ht="15" hidden="false" customHeight="false" outlineLevel="0" collapsed="false">
      <c r="A5240" s="0" t="s">
        <v>2677</v>
      </c>
      <c r="B5240" s="6" t="n">
        <v>41902</v>
      </c>
      <c r="C5240" s="7" t="s">
        <v>55</v>
      </c>
      <c r="D5240" s="7" t="s">
        <v>495</v>
      </c>
      <c r="E5240" s="7" t="s">
        <v>39</v>
      </c>
      <c r="F5240" s="0" t="n">
        <v>59.98</v>
      </c>
      <c r="G5240" s="0" t="n">
        <v>26.3912</v>
      </c>
      <c r="H5240" s="0" t="n">
        <v>0</v>
      </c>
      <c r="I5240" s="7" t="n">
        <f aca="false">YEAR(B5240)</f>
        <v>2014</v>
      </c>
      <c r="J5240" s="0" t="str">
        <f aca="false">I5240&amp;"-Q"&amp;ROUNDUP(MONTH(B5240)/3,0)</f>
        <v>2014-Q3</v>
      </c>
    </row>
    <row r="5241" customFormat="false" ht="15" hidden="false" customHeight="false" outlineLevel="0" collapsed="false">
      <c r="A5241" s="0" t="s">
        <v>2678</v>
      </c>
      <c r="B5241" s="6" t="n">
        <v>42624</v>
      </c>
      <c r="C5241" s="7" t="s">
        <v>33</v>
      </c>
      <c r="D5241" s="7" t="s">
        <v>34</v>
      </c>
      <c r="E5241" s="7" t="s">
        <v>35</v>
      </c>
      <c r="F5241" s="0" t="n">
        <v>332.94</v>
      </c>
      <c r="G5241" s="0" t="n">
        <v>6.6588</v>
      </c>
      <c r="H5241" s="0" t="n">
        <v>0</v>
      </c>
      <c r="I5241" s="7" t="n">
        <f aca="false">YEAR(B5241)</f>
        <v>2016</v>
      </c>
      <c r="J5241" s="0" t="str">
        <f aca="false">I5241&amp;"-Q"&amp;ROUNDUP(MONTH(B5241)/3,0)</f>
        <v>2016-Q3</v>
      </c>
    </row>
    <row r="5242" customFormat="false" ht="15" hidden="false" customHeight="false" outlineLevel="0" collapsed="false">
      <c r="A5242" s="0" t="s">
        <v>2678</v>
      </c>
      <c r="B5242" s="6" t="n">
        <v>42624</v>
      </c>
      <c r="C5242" s="7" t="s">
        <v>33</v>
      </c>
      <c r="D5242" s="7" t="s">
        <v>34</v>
      </c>
      <c r="E5242" s="7" t="s">
        <v>35</v>
      </c>
      <c r="F5242" s="0" t="n">
        <v>39.872</v>
      </c>
      <c r="G5242" s="0" t="n">
        <v>12.9584</v>
      </c>
      <c r="H5242" s="0" t="n">
        <v>0.2</v>
      </c>
      <c r="I5242" s="7" t="n">
        <f aca="false">YEAR(B5242)</f>
        <v>2016</v>
      </c>
      <c r="J5242" s="0" t="str">
        <f aca="false">I5242&amp;"-Q"&amp;ROUNDUP(MONTH(B5242)/3,0)</f>
        <v>2016-Q3</v>
      </c>
    </row>
    <row r="5243" customFormat="false" ht="15" hidden="false" customHeight="false" outlineLevel="0" collapsed="false">
      <c r="A5243" s="0" t="s">
        <v>2679</v>
      </c>
      <c r="B5243" s="6" t="n">
        <v>42636</v>
      </c>
      <c r="C5243" s="7" t="s">
        <v>33</v>
      </c>
      <c r="D5243" s="7" t="s">
        <v>43</v>
      </c>
      <c r="E5243" s="7" t="s">
        <v>35</v>
      </c>
      <c r="F5243" s="0" t="n">
        <v>13.68</v>
      </c>
      <c r="G5243" s="0" t="n">
        <v>3.6936</v>
      </c>
      <c r="H5243" s="0" t="n">
        <v>0</v>
      </c>
      <c r="I5243" s="7" t="n">
        <f aca="false">YEAR(B5243)</f>
        <v>2016</v>
      </c>
      <c r="J5243" s="0" t="str">
        <f aca="false">I5243&amp;"-Q"&amp;ROUNDUP(MONTH(B5243)/3,0)</f>
        <v>2016-Q3</v>
      </c>
    </row>
    <row r="5244" customFormat="false" ht="15" hidden="false" customHeight="false" outlineLevel="0" collapsed="false">
      <c r="A5244" s="0" t="s">
        <v>2680</v>
      </c>
      <c r="B5244" s="6" t="n">
        <v>42951</v>
      </c>
      <c r="C5244" s="7" t="s">
        <v>45</v>
      </c>
      <c r="D5244" s="7" t="s">
        <v>46</v>
      </c>
      <c r="E5244" s="7" t="s">
        <v>35</v>
      </c>
      <c r="F5244" s="0" t="n">
        <v>3.318</v>
      </c>
      <c r="G5244" s="0" t="n">
        <v>-5.6406</v>
      </c>
      <c r="H5244" s="0" t="n">
        <v>0.8</v>
      </c>
      <c r="I5244" s="7" t="n">
        <f aca="false">YEAR(B5244)</f>
        <v>2017</v>
      </c>
      <c r="J5244" s="0" t="str">
        <f aca="false">I5244&amp;"-Q"&amp;ROUNDUP(MONTH(B5244)/3,0)</f>
        <v>2017-Q3</v>
      </c>
    </row>
    <row r="5245" customFormat="false" ht="15" hidden="false" customHeight="false" outlineLevel="0" collapsed="false">
      <c r="A5245" s="0" t="s">
        <v>2681</v>
      </c>
      <c r="B5245" s="6" t="n">
        <v>42576</v>
      </c>
      <c r="C5245" s="7" t="s">
        <v>29</v>
      </c>
      <c r="D5245" s="7" t="s">
        <v>83</v>
      </c>
      <c r="E5245" s="7" t="s">
        <v>35</v>
      </c>
      <c r="F5245" s="0" t="n">
        <v>10.44</v>
      </c>
      <c r="G5245" s="0" t="n">
        <v>4.8024</v>
      </c>
      <c r="H5245" s="0" t="n">
        <v>0</v>
      </c>
      <c r="I5245" s="7" t="n">
        <f aca="false">YEAR(B5245)</f>
        <v>2016</v>
      </c>
      <c r="J5245" s="0" t="str">
        <f aca="false">I5245&amp;"-Q"&amp;ROUNDUP(MONTH(B5245)/3,0)</f>
        <v>2016-Q3</v>
      </c>
    </row>
    <row r="5246" customFormat="false" ht="15" hidden="false" customHeight="false" outlineLevel="0" collapsed="false">
      <c r="A5246" s="0" t="s">
        <v>2682</v>
      </c>
      <c r="B5246" s="6" t="n">
        <v>42584</v>
      </c>
      <c r="C5246" s="7" t="s">
        <v>33</v>
      </c>
      <c r="D5246" s="7" t="s">
        <v>34</v>
      </c>
      <c r="E5246" s="7" t="s">
        <v>31</v>
      </c>
      <c r="F5246" s="0" t="n">
        <v>136.464</v>
      </c>
      <c r="G5246" s="0" t="n">
        <v>15.3522</v>
      </c>
      <c r="H5246" s="0" t="n">
        <v>0.2</v>
      </c>
      <c r="I5246" s="7" t="n">
        <f aca="false">YEAR(B5246)</f>
        <v>2016</v>
      </c>
      <c r="J5246" s="0" t="str">
        <f aca="false">I5246&amp;"-Q"&amp;ROUNDUP(MONTH(B5246)/3,0)</f>
        <v>2016-Q3</v>
      </c>
    </row>
    <row r="5247" customFormat="false" ht="15" hidden="false" customHeight="false" outlineLevel="0" collapsed="false">
      <c r="A5247" s="0" t="s">
        <v>2682</v>
      </c>
      <c r="B5247" s="6" t="n">
        <v>42584</v>
      </c>
      <c r="C5247" s="7" t="s">
        <v>33</v>
      </c>
      <c r="D5247" s="7" t="s">
        <v>34</v>
      </c>
      <c r="E5247" s="7" t="s">
        <v>39</v>
      </c>
      <c r="F5247" s="0" t="n">
        <v>333.576</v>
      </c>
      <c r="G5247" s="0" t="n">
        <v>33.3576</v>
      </c>
      <c r="H5247" s="0" t="n">
        <v>0.2</v>
      </c>
      <c r="I5247" s="7" t="n">
        <f aca="false">YEAR(B5247)</f>
        <v>2016</v>
      </c>
      <c r="J5247" s="0" t="str">
        <f aca="false">I5247&amp;"-Q"&amp;ROUNDUP(MONTH(B5247)/3,0)</f>
        <v>2016-Q3</v>
      </c>
    </row>
    <row r="5248" customFormat="false" ht="15" hidden="false" customHeight="false" outlineLevel="0" collapsed="false">
      <c r="A5248" s="0" t="s">
        <v>2682</v>
      </c>
      <c r="B5248" s="6" t="n">
        <v>42584</v>
      </c>
      <c r="C5248" s="7" t="s">
        <v>33</v>
      </c>
      <c r="D5248" s="7" t="s">
        <v>34</v>
      </c>
      <c r="E5248" s="7" t="s">
        <v>35</v>
      </c>
      <c r="F5248" s="0" t="n">
        <v>12.544</v>
      </c>
      <c r="G5248" s="0" t="n">
        <v>4.704</v>
      </c>
      <c r="H5248" s="0" t="n">
        <v>0.2</v>
      </c>
      <c r="I5248" s="7" t="n">
        <f aca="false">YEAR(B5248)</f>
        <v>2016</v>
      </c>
      <c r="J5248" s="0" t="str">
        <f aca="false">I5248&amp;"-Q"&amp;ROUNDUP(MONTH(B5248)/3,0)</f>
        <v>2016-Q3</v>
      </c>
    </row>
    <row r="5249" customFormat="false" ht="15" hidden="false" customHeight="false" outlineLevel="0" collapsed="false">
      <c r="A5249" s="0" t="s">
        <v>2683</v>
      </c>
      <c r="B5249" s="6" t="n">
        <v>42145</v>
      </c>
      <c r="C5249" s="7" t="s">
        <v>45</v>
      </c>
      <c r="D5249" s="7" t="s">
        <v>64</v>
      </c>
      <c r="E5249" s="7" t="s">
        <v>35</v>
      </c>
      <c r="F5249" s="0" t="n">
        <v>20.768</v>
      </c>
      <c r="G5249" s="0" t="n">
        <v>-52.9584</v>
      </c>
      <c r="H5249" s="0" t="n">
        <v>0.8</v>
      </c>
      <c r="I5249" s="7" t="n">
        <f aca="false">YEAR(B5249)</f>
        <v>2015</v>
      </c>
      <c r="J5249" s="0" t="str">
        <f aca="false">I5249&amp;"-Q"&amp;ROUNDUP(MONTH(B5249)/3,0)</f>
        <v>2015-Q2</v>
      </c>
    </row>
    <row r="5250" customFormat="false" ht="15" hidden="false" customHeight="false" outlineLevel="0" collapsed="false">
      <c r="A5250" s="0" t="s">
        <v>2684</v>
      </c>
      <c r="B5250" s="6" t="n">
        <v>43042</v>
      </c>
      <c r="C5250" s="7" t="s">
        <v>33</v>
      </c>
      <c r="D5250" s="7" t="s">
        <v>43</v>
      </c>
      <c r="E5250" s="7" t="s">
        <v>39</v>
      </c>
      <c r="F5250" s="0" t="n">
        <v>43.5</v>
      </c>
      <c r="G5250" s="0" t="n">
        <v>10.875</v>
      </c>
      <c r="H5250" s="0" t="n">
        <v>0</v>
      </c>
      <c r="I5250" s="7" t="n">
        <f aca="false">YEAR(B5250)</f>
        <v>2017</v>
      </c>
      <c r="J5250" s="0" t="str">
        <f aca="false">I5250&amp;"-Q"&amp;ROUNDUP(MONTH(B5250)/3,0)</f>
        <v>2017-Q4</v>
      </c>
    </row>
    <row r="5251" customFormat="false" ht="15" hidden="false" customHeight="false" outlineLevel="0" collapsed="false">
      <c r="A5251" s="0" t="s">
        <v>2685</v>
      </c>
      <c r="B5251" s="6" t="n">
        <v>42110</v>
      </c>
      <c r="C5251" s="7" t="s">
        <v>55</v>
      </c>
      <c r="D5251" s="7" t="s">
        <v>56</v>
      </c>
      <c r="E5251" s="7" t="s">
        <v>35</v>
      </c>
      <c r="F5251" s="0" t="n">
        <v>12.576</v>
      </c>
      <c r="G5251" s="0" t="n">
        <v>4.0872</v>
      </c>
      <c r="H5251" s="0" t="n">
        <v>0.2</v>
      </c>
      <c r="I5251" s="7" t="n">
        <f aca="false">YEAR(B5251)</f>
        <v>2015</v>
      </c>
      <c r="J5251" s="0" t="str">
        <f aca="false">I5251&amp;"-Q"&amp;ROUNDUP(MONTH(B5251)/3,0)</f>
        <v>2015-Q2</v>
      </c>
    </row>
    <row r="5252" customFormat="false" ht="15" hidden="false" customHeight="false" outlineLevel="0" collapsed="false">
      <c r="A5252" s="0" t="s">
        <v>2686</v>
      </c>
      <c r="B5252" s="6" t="n">
        <v>42716</v>
      </c>
      <c r="C5252" s="7" t="s">
        <v>29</v>
      </c>
      <c r="D5252" s="7" t="s">
        <v>230</v>
      </c>
      <c r="E5252" s="7" t="s">
        <v>39</v>
      </c>
      <c r="F5252" s="0" t="n">
        <v>249.95</v>
      </c>
      <c r="G5252" s="0" t="n">
        <v>19.996</v>
      </c>
      <c r="H5252" s="0" t="n">
        <v>0</v>
      </c>
      <c r="I5252" s="7" t="n">
        <f aca="false">YEAR(B5252)</f>
        <v>2016</v>
      </c>
      <c r="J5252" s="0" t="str">
        <f aca="false">I5252&amp;"-Q"&amp;ROUNDUP(MONTH(B5252)/3,0)</f>
        <v>2016-Q4</v>
      </c>
    </row>
    <row r="5253" customFormat="false" ht="15" hidden="false" customHeight="false" outlineLevel="0" collapsed="false">
      <c r="A5253" s="0" t="s">
        <v>2686</v>
      </c>
      <c r="B5253" s="6" t="n">
        <v>42716</v>
      </c>
      <c r="C5253" s="7" t="s">
        <v>29</v>
      </c>
      <c r="D5253" s="7" t="s">
        <v>230</v>
      </c>
      <c r="E5253" s="7" t="s">
        <v>35</v>
      </c>
      <c r="F5253" s="0" t="n">
        <v>49.12</v>
      </c>
      <c r="G5253" s="0" t="n">
        <v>23.0864</v>
      </c>
      <c r="H5253" s="0" t="n">
        <v>0</v>
      </c>
      <c r="I5253" s="7" t="n">
        <f aca="false">YEAR(B5253)</f>
        <v>2016</v>
      </c>
      <c r="J5253" s="0" t="str">
        <f aca="false">I5253&amp;"-Q"&amp;ROUNDUP(MONTH(B5253)/3,0)</f>
        <v>2016-Q4</v>
      </c>
    </row>
    <row r="5254" customFormat="false" ht="15" hidden="false" customHeight="false" outlineLevel="0" collapsed="false">
      <c r="A5254" s="0" t="s">
        <v>2687</v>
      </c>
      <c r="B5254" s="6" t="n">
        <v>42307</v>
      </c>
      <c r="C5254" s="7" t="s">
        <v>29</v>
      </c>
      <c r="D5254" s="7" t="s">
        <v>83</v>
      </c>
      <c r="E5254" s="7" t="s">
        <v>35</v>
      </c>
      <c r="F5254" s="0" t="n">
        <v>182.91</v>
      </c>
      <c r="G5254" s="0" t="n">
        <v>53.0439</v>
      </c>
      <c r="H5254" s="0" t="n">
        <v>0</v>
      </c>
      <c r="I5254" s="7" t="n">
        <f aca="false">YEAR(B5254)</f>
        <v>2015</v>
      </c>
      <c r="J5254" s="0" t="str">
        <f aca="false">I5254&amp;"-Q"&amp;ROUNDUP(MONTH(B5254)/3,0)</f>
        <v>2015-Q4</v>
      </c>
    </row>
    <row r="5255" customFormat="false" ht="15" hidden="false" customHeight="false" outlineLevel="0" collapsed="false">
      <c r="A5255" s="0" t="s">
        <v>2688</v>
      </c>
      <c r="B5255" s="6" t="n">
        <v>41705</v>
      </c>
      <c r="C5255" s="7" t="s">
        <v>33</v>
      </c>
      <c r="D5255" s="7" t="s">
        <v>43</v>
      </c>
      <c r="E5255" s="7" t="s">
        <v>35</v>
      </c>
      <c r="F5255" s="0" t="n">
        <v>107.648</v>
      </c>
      <c r="G5255" s="0" t="n">
        <v>33.64</v>
      </c>
      <c r="H5255" s="0" t="n">
        <v>0.2</v>
      </c>
      <c r="I5255" s="7" t="n">
        <f aca="false">YEAR(B5255)</f>
        <v>2014</v>
      </c>
      <c r="J5255" s="0" t="str">
        <f aca="false">I5255&amp;"-Q"&amp;ROUNDUP(MONTH(B5255)/3,0)</f>
        <v>2014-Q1</v>
      </c>
    </row>
    <row r="5256" customFormat="false" ht="15" hidden="false" customHeight="false" outlineLevel="0" collapsed="false">
      <c r="A5256" s="0" t="s">
        <v>2689</v>
      </c>
      <c r="B5256" s="6" t="n">
        <v>42068</v>
      </c>
      <c r="C5256" s="7" t="s">
        <v>55</v>
      </c>
      <c r="D5256" s="7" t="s">
        <v>56</v>
      </c>
      <c r="E5256" s="7" t="s">
        <v>31</v>
      </c>
      <c r="F5256" s="0" t="n">
        <v>99.372</v>
      </c>
      <c r="G5256" s="0" t="n">
        <v>-7.098</v>
      </c>
      <c r="H5256" s="0" t="n">
        <v>0.3</v>
      </c>
      <c r="I5256" s="7" t="n">
        <f aca="false">YEAR(B5256)</f>
        <v>2015</v>
      </c>
      <c r="J5256" s="0" t="str">
        <f aca="false">I5256&amp;"-Q"&amp;ROUNDUP(MONTH(B5256)/3,0)</f>
        <v>2015-Q1</v>
      </c>
    </row>
    <row r="5257" customFormat="false" ht="15" hidden="false" customHeight="false" outlineLevel="0" collapsed="false">
      <c r="A5257" s="0" t="s">
        <v>2689</v>
      </c>
      <c r="B5257" s="6" t="n">
        <v>42068</v>
      </c>
      <c r="C5257" s="7" t="s">
        <v>55</v>
      </c>
      <c r="D5257" s="7" t="s">
        <v>56</v>
      </c>
      <c r="E5257" s="7" t="s">
        <v>31</v>
      </c>
      <c r="F5257" s="0" t="n">
        <v>33.568</v>
      </c>
      <c r="G5257" s="0" t="n">
        <v>-5.4548</v>
      </c>
      <c r="H5257" s="0" t="n">
        <v>0.2</v>
      </c>
      <c r="I5257" s="7" t="n">
        <f aca="false">YEAR(B5257)</f>
        <v>2015</v>
      </c>
      <c r="J5257" s="0" t="str">
        <f aca="false">I5257&amp;"-Q"&amp;ROUNDUP(MONTH(B5257)/3,0)</f>
        <v>2015-Q1</v>
      </c>
    </row>
    <row r="5258" customFormat="false" ht="15" hidden="false" customHeight="false" outlineLevel="0" collapsed="false">
      <c r="A5258" s="0" t="s">
        <v>2690</v>
      </c>
      <c r="B5258" s="6" t="n">
        <v>42590</v>
      </c>
      <c r="C5258" s="7" t="s">
        <v>45</v>
      </c>
      <c r="D5258" s="7" t="s">
        <v>138</v>
      </c>
      <c r="E5258" s="7" t="s">
        <v>35</v>
      </c>
      <c r="F5258" s="0" t="n">
        <v>10.56</v>
      </c>
      <c r="G5258" s="0" t="n">
        <v>4.752</v>
      </c>
      <c r="H5258" s="0" t="n">
        <v>0</v>
      </c>
      <c r="I5258" s="7" t="n">
        <f aca="false">YEAR(B5258)</f>
        <v>2016</v>
      </c>
      <c r="J5258" s="0" t="str">
        <f aca="false">I5258&amp;"-Q"&amp;ROUNDUP(MONTH(B5258)/3,0)</f>
        <v>2016-Q3</v>
      </c>
    </row>
    <row r="5259" customFormat="false" ht="15" hidden="false" customHeight="false" outlineLevel="0" collapsed="false">
      <c r="A5259" s="0" t="s">
        <v>2691</v>
      </c>
      <c r="B5259" s="6" t="n">
        <v>42738</v>
      </c>
      <c r="C5259" s="7" t="s">
        <v>33</v>
      </c>
      <c r="D5259" s="7" t="s">
        <v>34</v>
      </c>
      <c r="E5259" s="7" t="s">
        <v>35</v>
      </c>
      <c r="F5259" s="0" t="n">
        <v>38.88</v>
      </c>
      <c r="G5259" s="0" t="n">
        <v>18.6624</v>
      </c>
      <c r="H5259" s="0" t="n">
        <v>0</v>
      </c>
      <c r="I5259" s="7" t="n">
        <f aca="false">YEAR(B5259)</f>
        <v>2017</v>
      </c>
      <c r="J5259" s="0" t="str">
        <f aca="false">I5259&amp;"-Q"&amp;ROUNDUP(MONTH(B5259)/3,0)</f>
        <v>2017-Q1</v>
      </c>
    </row>
    <row r="5260" customFormat="false" ht="15" hidden="false" customHeight="false" outlineLevel="0" collapsed="false">
      <c r="A5260" s="0" t="s">
        <v>2692</v>
      </c>
      <c r="B5260" s="6" t="n">
        <v>43017</v>
      </c>
      <c r="C5260" s="7" t="s">
        <v>33</v>
      </c>
      <c r="D5260" s="7" t="s">
        <v>34</v>
      </c>
      <c r="E5260" s="7" t="s">
        <v>35</v>
      </c>
      <c r="F5260" s="0" t="n">
        <v>35.2</v>
      </c>
      <c r="G5260" s="0" t="n">
        <v>16.544</v>
      </c>
      <c r="H5260" s="0" t="n">
        <v>0</v>
      </c>
      <c r="I5260" s="7" t="n">
        <f aca="false">YEAR(B5260)</f>
        <v>2017</v>
      </c>
      <c r="J5260" s="0" t="str">
        <f aca="false">I5260&amp;"-Q"&amp;ROUNDUP(MONTH(B5260)/3,0)</f>
        <v>2017-Q4</v>
      </c>
    </row>
    <row r="5261" customFormat="false" ht="15" hidden="false" customHeight="false" outlineLevel="0" collapsed="false">
      <c r="A5261" s="0" t="s">
        <v>2693</v>
      </c>
      <c r="B5261" s="6" t="n">
        <v>43028</v>
      </c>
      <c r="C5261" s="7" t="s">
        <v>55</v>
      </c>
      <c r="D5261" s="7" t="s">
        <v>56</v>
      </c>
      <c r="E5261" s="7" t="s">
        <v>35</v>
      </c>
      <c r="F5261" s="0" t="n">
        <v>45.528</v>
      </c>
      <c r="G5261" s="0" t="n">
        <v>15.9348</v>
      </c>
      <c r="H5261" s="0" t="n">
        <v>0.2</v>
      </c>
      <c r="I5261" s="7" t="n">
        <f aca="false">YEAR(B5261)</f>
        <v>2017</v>
      </c>
      <c r="J5261" s="0" t="str">
        <f aca="false">I5261&amp;"-Q"&amp;ROUNDUP(MONTH(B5261)/3,0)</f>
        <v>2017-Q4</v>
      </c>
    </row>
    <row r="5262" customFormat="false" ht="15" hidden="false" customHeight="false" outlineLevel="0" collapsed="false">
      <c r="A5262" s="0" t="s">
        <v>2694</v>
      </c>
      <c r="B5262" s="6" t="n">
        <v>41889</v>
      </c>
      <c r="C5262" s="7" t="s">
        <v>45</v>
      </c>
      <c r="D5262" s="7" t="s">
        <v>46</v>
      </c>
      <c r="E5262" s="7" t="s">
        <v>39</v>
      </c>
      <c r="F5262" s="0" t="n">
        <v>196.776</v>
      </c>
      <c r="G5262" s="0" t="n">
        <v>14.7582</v>
      </c>
      <c r="H5262" s="0" t="n">
        <v>0.2</v>
      </c>
      <c r="I5262" s="7" t="n">
        <f aca="false">YEAR(B5262)</f>
        <v>2014</v>
      </c>
      <c r="J5262" s="0" t="str">
        <f aca="false">I5262&amp;"-Q"&amp;ROUNDUP(MONTH(B5262)/3,0)</f>
        <v>2014-Q3</v>
      </c>
    </row>
    <row r="5263" customFormat="false" ht="15" hidden="false" customHeight="false" outlineLevel="0" collapsed="false">
      <c r="A5263" s="0" t="s">
        <v>2694</v>
      </c>
      <c r="B5263" s="6" t="n">
        <v>41889</v>
      </c>
      <c r="C5263" s="7" t="s">
        <v>45</v>
      </c>
      <c r="D5263" s="7" t="s">
        <v>46</v>
      </c>
      <c r="E5263" s="7" t="s">
        <v>35</v>
      </c>
      <c r="F5263" s="0" t="n">
        <v>2.92</v>
      </c>
      <c r="G5263" s="0" t="n">
        <v>-4.818</v>
      </c>
      <c r="H5263" s="0" t="n">
        <v>0.8</v>
      </c>
      <c r="I5263" s="7" t="n">
        <f aca="false">YEAR(B5263)</f>
        <v>2014</v>
      </c>
      <c r="J5263" s="0" t="str">
        <f aca="false">I5263&amp;"-Q"&amp;ROUNDUP(MONTH(B5263)/3,0)</f>
        <v>2014-Q3</v>
      </c>
    </row>
    <row r="5264" customFormat="false" ht="15" hidden="false" customHeight="false" outlineLevel="0" collapsed="false">
      <c r="A5264" s="0" t="s">
        <v>2694</v>
      </c>
      <c r="B5264" s="6" t="n">
        <v>41889</v>
      </c>
      <c r="C5264" s="7" t="s">
        <v>45</v>
      </c>
      <c r="D5264" s="7" t="s">
        <v>46</v>
      </c>
      <c r="E5264" s="7" t="s">
        <v>31</v>
      </c>
      <c r="F5264" s="0" t="n">
        <v>200.795</v>
      </c>
      <c r="G5264" s="0" t="n">
        <v>-22.948</v>
      </c>
      <c r="H5264" s="0" t="n">
        <v>0.3</v>
      </c>
      <c r="I5264" s="7" t="n">
        <f aca="false">YEAR(B5264)</f>
        <v>2014</v>
      </c>
      <c r="J5264" s="0" t="str">
        <f aca="false">I5264&amp;"-Q"&amp;ROUNDUP(MONTH(B5264)/3,0)</f>
        <v>2014-Q3</v>
      </c>
    </row>
    <row r="5265" customFormat="false" ht="15" hidden="false" customHeight="false" outlineLevel="0" collapsed="false">
      <c r="A5265" s="0" t="s">
        <v>2694</v>
      </c>
      <c r="B5265" s="6" t="n">
        <v>41889</v>
      </c>
      <c r="C5265" s="7" t="s">
        <v>45</v>
      </c>
      <c r="D5265" s="7" t="s">
        <v>46</v>
      </c>
      <c r="E5265" s="7" t="s">
        <v>39</v>
      </c>
      <c r="F5265" s="0" t="n">
        <v>46.688</v>
      </c>
      <c r="G5265" s="0" t="n">
        <v>-2.918</v>
      </c>
      <c r="H5265" s="0" t="n">
        <v>0.2</v>
      </c>
      <c r="I5265" s="7" t="n">
        <f aca="false">YEAR(B5265)</f>
        <v>2014</v>
      </c>
      <c r="J5265" s="0" t="str">
        <f aca="false">I5265&amp;"-Q"&amp;ROUNDUP(MONTH(B5265)/3,0)</f>
        <v>2014-Q3</v>
      </c>
    </row>
    <row r="5266" customFormat="false" ht="15" hidden="false" customHeight="false" outlineLevel="0" collapsed="false">
      <c r="A5266" s="0" t="s">
        <v>2694</v>
      </c>
      <c r="B5266" s="6" t="n">
        <v>41889</v>
      </c>
      <c r="C5266" s="7" t="s">
        <v>45</v>
      </c>
      <c r="D5266" s="7" t="s">
        <v>46</v>
      </c>
      <c r="E5266" s="7" t="s">
        <v>35</v>
      </c>
      <c r="F5266" s="0" t="n">
        <v>21.864</v>
      </c>
      <c r="G5266" s="0" t="n">
        <v>3.5529</v>
      </c>
      <c r="H5266" s="0" t="n">
        <v>0.2</v>
      </c>
      <c r="I5266" s="7" t="n">
        <f aca="false">YEAR(B5266)</f>
        <v>2014</v>
      </c>
      <c r="J5266" s="0" t="str">
        <f aca="false">I5266&amp;"-Q"&amp;ROUNDUP(MONTH(B5266)/3,0)</f>
        <v>2014-Q3</v>
      </c>
    </row>
    <row r="5267" customFormat="false" ht="15" hidden="false" customHeight="false" outlineLevel="0" collapsed="false">
      <c r="A5267" s="0" t="s">
        <v>2695</v>
      </c>
      <c r="B5267" s="6" t="n">
        <v>43008</v>
      </c>
      <c r="C5267" s="7" t="s">
        <v>33</v>
      </c>
      <c r="D5267" s="7" t="s">
        <v>43</v>
      </c>
      <c r="E5267" s="7" t="s">
        <v>35</v>
      </c>
      <c r="F5267" s="0" t="n">
        <v>11.76</v>
      </c>
      <c r="G5267" s="0" t="n">
        <v>5.7624</v>
      </c>
      <c r="H5267" s="0" t="n">
        <v>0</v>
      </c>
      <c r="I5267" s="7" t="n">
        <f aca="false">YEAR(B5267)</f>
        <v>2017</v>
      </c>
      <c r="J5267" s="0" t="str">
        <f aca="false">I5267&amp;"-Q"&amp;ROUNDUP(MONTH(B5267)/3,0)</f>
        <v>2017-Q3</v>
      </c>
    </row>
    <row r="5268" customFormat="false" ht="15" hidden="false" customHeight="false" outlineLevel="0" collapsed="false">
      <c r="A5268" s="0" t="s">
        <v>2695</v>
      </c>
      <c r="B5268" s="6" t="n">
        <v>43008</v>
      </c>
      <c r="C5268" s="7" t="s">
        <v>33</v>
      </c>
      <c r="D5268" s="7" t="s">
        <v>43</v>
      </c>
      <c r="E5268" s="7" t="s">
        <v>35</v>
      </c>
      <c r="F5268" s="0" t="n">
        <v>167.94</v>
      </c>
      <c r="G5268" s="0" t="n">
        <v>82.2906</v>
      </c>
      <c r="H5268" s="0" t="n">
        <v>0</v>
      </c>
      <c r="I5268" s="7" t="n">
        <f aca="false">YEAR(B5268)</f>
        <v>2017</v>
      </c>
      <c r="J5268" s="0" t="str">
        <f aca="false">I5268&amp;"-Q"&amp;ROUNDUP(MONTH(B5268)/3,0)</f>
        <v>2017-Q3</v>
      </c>
    </row>
    <row r="5269" customFormat="false" ht="15" hidden="false" customHeight="false" outlineLevel="0" collapsed="false">
      <c r="A5269" s="0" t="s">
        <v>2695</v>
      </c>
      <c r="B5269" s="6" t="n">
        <v>43008</v>
      </c>
      <c r="C5269" s="7" t="s">
        <v>33</v>
      </c>
      <c r="D5269" s="7" t="s">
        <v>43</v>
      </c>
      <c r="E5269" s="7" t="s">
        <v>35</v>
      </c>
      <c r="F5269" s="0" t="n">
        <v>3.89</v>
      </c>
      <c r="G5269" s="0" t="n">
        <v>1.0114</v>
      </c>
      <c r="H5269" s="0" t="n">
        <v>0</v>
      </c>
      <c r="I5269" s="7" t="n">
        <f aca="false">YEAR(B5269)</f>
        <v>2017</v>
      </c>
      <c r="J5269" s="0" t="str">
        <f aca="false">I5269&amp;"-Q"&amp;ROUNDUP(MONTH(B5269)/3,0)</f>
        <v>2017-Q3</v>
      </c>
    </row>
    <row r="5270" customFormat="false" ht="15" hidden="false" customHeight="false" outlineLevel="0" collapsed="false">
      <c r="A5270" s="0" t="s">
        <v>2696</v>
      </c>
      <c r="B5270" s="6" t="n">
        <v>43055</v>
      </c>
      <c r="C5270" s="7" t="s">
        <v>55</v>
      </c>
      <c r="D5270" s="7" t="s">
        <v>76</v>
      </c>
      <c r="E5270" s="7" t="s">
        <v>39</v>
      </c>
      <c r="F5270" s="0" t="n">
        <v>52.44</v>
      </c>
      <c r="G5270" s="0" t="n">
        <v>24.1224</v>
      </c>
      <c r="H5270" s="0" t="n">
        <v>0</v>
      </c>
      <c r="I5270" s="7" t="n">
        <f aca="false">YEAR(B5270)</f>
        <v>2017</v>
      </c>
      <c r="J5270" s="0" t="str">
        <f aca="false">I5270&amp;"-Q"&amp;ROUNDUP(MONTH(B5270)/3,0)</f>
        <v>2017-Q4</v>
      </c>
    </row>
    <row r="5271" customFormat="false" ht="15" hidden="false" customHeight="false" outlineLevel="0" collapsed="false">
      <c r="A5271" s="0" t="s">
        <v>2697</v>
      </c>
      <c r="B5271" s="6" t="n">
        <v>42989</v>
      </c>
      <c r="C5271" s="7" t="s">
        <v>33</v>
      </c>
      <c r="D5271" s="7" t="s">
        <v>34</v>
      </c>
      <c r="E5271" s="7" t="s">
        <v>31</v>
      </c>
      <c r="F5271" s="0" t="n">
        <v>32.36</v>
      </c>
      <c r="G5271" s="0" t="n">
        <v>11.6496</v>
      </c>
      <c r="H5271" s="0" t="n">
        <v>0</v>
      </c>
      <c r="I5271" s="7" t="n">
        <f aca="false">YEAR(B5271)</f>
        <v>2017</v>
      </c>
      <c r="J5271" s="0" t="str">
        <f aca="false">I5271&amp;"-Q"&amp;ROUNDUP(MONTH(B5271)/3,0)</f>
        <v>2017-Q3</v>
      </c>
    </row>
    <row r="5272" customFormat="false" ht="15" hidden="false" customHeight="false" outlineLevel="0" collapsed="false">
      <c r="A5272" s="0" t="s">
        <v>2697</v>
      </c>
      <c r="B5272" s="6" t="n">
        <v>42989</v>
      </c>
      <c r="C5272" s="7" t="s">
        <v>33</v>
      </c>
      <c r="D5272" s="7" t="s">
        <v>34</v>
      </c>
      <c r="E5272" s="7" t="s">
        <v>35</v>
      </c>
      <c r="F5272" s="0" t="n">
        <v>406.6</v>
      </c>
      <c r="G5272" s="0" t="n">
        <v>113.848</v>
      </c>
      <c r="H5272" s="0" t="n">
        <v>0</v>
      </c>
      <c r="I5272" s="7" t="n">
        <f aca="false">YEAR(B5272)</f>
        <v>2017</v>
      </c>
      <c r="J5272" s="0" t="str">
        <f aca="false">I5272&amp;"-Q"&amp;ROUNDUP(MONTH(B5272)/3,0)</f>
        <v>2017-Q3</v>
      </c>
    </row>
    <row r="5273" customFormat="false" ht="15" hidden="false" customHeight="false" outlineLevel="0" collapsed="false">
      <c r="A5273" s="0" t="s">
        <v>2698</v>
      </c>
      <c r="B5273" s="6" t="n">
        <v>42751</v>
      </c>
      <c r="C5273" s="7" t="s">
        <v>33</v>
      </c>
      <c r="D5273" s="7" t="s">
        <v>34</v>
      </c>
      <c r="E5273" s="7" t="s">
        <v>31</v>
      </c>
      <c r="F5273" s="0" t="n">
        <v>27.92</v>
      </c>
      <c r="G5273" s="0" t="n">
        <v>8.0968</v>
      </c>
      <c r="H5273" s="0" t="n">
        <v>0</v>
      </c>
      <c r="I5273" s="7" t="n">
        <f aca="false">YEAR(B5273)</f>
        <v>2017</v>
      </c>
      <c r="J5273" s="0" t="str">
        <f aca="false">I5273&amp;"-Q"&amp;ROUNDUP(MONTH(B5273)/3,0)</f>
        <v>2017-Q1</v>
      </c>
    </row>
    <row r="5274" customFormat="false" ht="15" hidden="false" customHeight="false" outlineLevel="0" collapsed="false">
      <c r="A5274" s="0" t="s">
        <v>2698</v>
      </c>
      <c r="B5274" s="6" t="n">
        <v>42751</v>
      </c>
      <c r="C5274" s="7" t="s">
        <v>33</v>
      </c>
      <c r="D5274" s="7" t="s">
        <v>34</v>
      </c>
      <c r="E5274" s="7" t="s">
        <v>31</v>
      </c>
      <c r="F5274" s="0" t="n">
        <v>399.672</v>
      </c>
      <c r="G5274" s="0" t="n">
        <v>-14.9877</v>
      </c>
      <c r="H5274" s="0" t="n">
        <v>0.2</v>
      </c>
      <c r="I5274" s="7" t="n">
        <f aca="false">YEAR(B5274)</f>
        <v>2017</v>
      </c>
      <c r="J5274" s="0" t="str">
        <f aca="false">I5274&amp;"-Q"&amp;ROUNDUP(MONTH(B5274)/3,0)</f>
        <v>2017-Q1</v>
      </c>
    </row>
    <row r="5275" customFormat="false" ht="15" hidden="false" customHeight="false" outlineLevel="0" collapsed="false">
      <c r="A5275" s="0" t="s">
        <v>2699</v>
      </c>
      <c r="B5275" s="6" t="n">
        <v>42700</v>
      </c>
      <c r="C5275" s="7" t="s">
        <v>29</v>
      </c>
      <c r="D5275" s="7" t="s">
        <v>37</v>
      </c>
      <c r="E5275" s="7" t="s">
        <v>35</v>
      </c>
      <c r="F5275" s="0" t="n">
        <v>3.744</v>
      </c>
      <c r="G5275" s="0" t="n">
        <v>-2.6208</v>
      </c>
      <c r="H5275" s="0" t="n">
        <v>0.7</v>
      </c>
      <c r="I5275" s="7" t="n">
        <f aca="false">YEAR(B5275)</f>
        <v>2016</v>
      </c>
      <c r="J5275" s="0" t="str">
        <f aca="false">I5275&amp;"-Q"&amp;ROUNDUP(MONTH(B5275)/3,0)</f>
        <v>2016-Q4</v>
      </c>
    </row>
    <row r="5276" customFormat="false" ht="15" hidden="false" customHeight="false" outlineLevel="0" collapsed="false">
      <c r="A5276" s="0" t="s">
        <v>2700</v>
      </c>
      <c r="B5276" s="6" t="n">
        <v>42315</v>
      </c>
      <c r="C5276" s="7" t="s">
        <v>55</v>
      </c>
      <c r="D5276" s="7" t="s">
        <v>1173</v>
      </c>
      <c r="E5276" s="7" t="s">
        <v>31</v>
      </c>
      <c r="F5276" s="0" t="n">
        <v>715.2</v>
      </c>
      <c r="G5276" s="0" t="n">
        <v>178.8</v>
      </c>
      <c r="H5276" s="0" t="n">
        <v>0</v>
      </c>
      <c r="I5276" s="7" t="n">
        <f aca="false">YEAR(B5276)</f>
        <v>2015</v>
      </c>
      <c r="J5276" s="0" t="str">
        <f aca="false">I5276&amp;"-Q"&amp;ROUNDUP(MONTH(B5276)/3,0)</f>
        <v>2015-Q4</v>
      </c>
    </row>
    <row r="5277" customFormat="false" ht="15" hidden="false" customHeight="false" outlineLevel="0" collapsed="false">
      <c r="A5277" s="0" t="s">
        <v>2701</v>
      </c>
      <c r="B5277" s="6" t="n">
        <v>43083</v>
      </c>
      <c r="C5277" s="7" t="s">
        <v>29</v>
      </c>
      <c r="D5277" s="7" t="s">
        <v>301</v>
      </c>
      <c r="E5277" s="7" t="s">
        <v>39</v>
      </c>
      <c r="F5277" s="0" t="n">
        <v>159.8</v>
      </c>
      <c r="G5277" s="0" t="n">
        <v>70.312</v>
      </c>
      <c r="H5277" s="0" t="n">
        <v>0</v>
      </c>
      <c r="I5277" s="7" t="n">
        <f aca="false">YEAR(B5277)</f>
        <v>2017</v>
      </c>
      <c r="J5277" s="0" t="str">
        <f aca="false">I5277&amp;"-Q"&amp;ROUNDUP(MONTH(B5277)/3,0)</f>
        <v>2017-Q4</v>
      </c>
    </row>
    <row r="5278" customFormat="false" ht="15" hidden="false" customHeight="false" outlineLevel="0" collapsed="false">
      <c r="A5278" s="0" t="s">
        <v>2701</v>
      </c>
      <c r="B5278" s="6" t="n">
        <v>43083</v>
      </c>
      <c r="C5278" s="7" t="s">
        <v>29</v>
      </c>
      <c r="D5278" s="7" t="s">
        <v>301</v>
      </c>
      <c r="E5278" s="7" t="s">
        <v>39</v>
      </c>
      <c r="F5278" s="0" t="n">
        <v>44.75</v>
      </c>
      <c r="G5278" s="0" t="n">
        <v>8.5025</v>
      </c>
      <c r="H5278" s="0" t="n">
        <v>0</v>
      </c>
      <c r="I5278" s="7" t="n">
        <f aca="false">YEAR(B5278)</f>
        <v>2017</v>
      </c>
      <c r="J5278" s="0" t="str">
        <f aca="false">I5278&amp;"-Q"&amp;ROUNDUP(MONTH(B5278)/3,0)</f>
        <v>2017-Q4</v>
      </c>
    </row>
    <row r="5279" customFormat="false" ht="15" hidden="false" customHeight="false" outlineLevel="0" collapsed="false">
      <c r="A5279" s="0" t="s">
        <v>2702</v>
      </c>
      <c r="B5279" s="6" t="n">
        <v>41895</v>
      </c>
      <c r="C5279" s="7" t="s">
        <v>45</v>
      </c>
      <c r="D5279" s="7" t="s">
        <v>46</v>
      </c>
      <c r="E5279" s="7" t="s">
        <v>31</v>
      </c>
      <c r="F5279" s="0" t="n">
        <v>340.116</v>
      </c>
      <c r="G5279" s="0" t="n">
        <v>-9.7176</v>
      </c>
      <c r="H5279" s="0" t="n">
        <v>0.3</v>
      </c>
      <c r="I5279" s="7" t="n">
        <f aca="false">YEAR(B5279)</f>
        <v>2014</v>
      </c>
      <c r="J5279" s="0" t="str">
        <f aca="false">I5279&amp;"-Q"&amp;ROUNDUP(MONTH(B5279)/3,0)</f>
        <v>2014-Q3</v>
      </c>
    </row>
    <row r="5280" customFormat="false" ht="15" hidden="false" customHeight="false" outlineLevel="0" collapsed="false">
      <c r="A5280" s="0" t="s">
        <v>2703</v>
      </c>
      <c r="B5280" s="6" t="n">
        <v>41980</v>
      </c>
      <c r="C5280" s="7" t="s">
        <v>29</v>
      </c>
      <c r="D5280" s="7" t="s">
        <v>83</v>
      </c>
      <c r="E5280" s="7" t="s">
        <v>35</v>
      </c>
      <c r="F5280" s="0" t="n">
        <v>105.52</v>
      </c>
      <c r="G5280" s="0" t="n">
        <v>48.5392</v>
      </c>
      <c r="H5280" s="0" t="n">
        <v>0</v>
      </c>
      <c r="I5280" s="7" t="n">
        <f aca="false">YEAR(B5280)</f>
        <v>2014</v>
      </c>
      <c r="J5280" s="0" t="str">
        <f aca="false">I5280&amp;"-Q"&amp;ROUNDUP(MONTH(B5280)/3,0)</f>
        <v>2014-Q4</v>
      </c>
    </row>
    <row r="5281" customFormat="false" ht="15" hidden="false" customHeight="false" outlineLevel="0" collapsed="false">
      <c r="A5281" s="0" t="s">
        <v>2704</v>
      </c>
      <c r="B5281" s="6" t="n">
        <v>42985</v>
      </c>
      <c r="C5281" s="7" t="s">
        <v>45</v>
      </c>
      <c r="D5281" s="7" t="s">
        <v>48</v>
      </c>
      <c r="E5281" s="7" t="s">
        <v>39</v>
      </c>
      <c r="F5281" s="0" t="n">
        <v>13.48</v>
      </c>
      <c r="G5281" s="0" t="n">
        <v>1.8872</v>
      </c>
      <c r="H5281" s="0" t="n">
        <v>0</v>
      </c>
      <c r="I5281" s="7" t="n">
        <f aca="false">YEAR(B5281)</f>
        <v>2017</v>
      </c>
      <c r="J5281" s="0" t="str">
        <f aca="false">I5281&amp;"-Q"&amp;ROUNDUP(MONTH(B5281)/3,0)</f>
        <v>2017-Q3</v>
      </c>
    </row>
    <row r="5282" customFormat="false" ht="15" hidden="false" customHeight="false" outlineLevel="0" collapsed="false">
      <c r="A5282" s="0" t="s">
        <v>2705</v>
      </c>
      <c r="B5282" s="6" t="n">
        <v>43015</v>
      </c>
      <c r="C5282" s="7" t="s">
        <v>45</v>
      </c>
      <c r="D5282" s="7" t="s">
        <v>70</v>
      </c>
      <c r="E5282" s="7" t="s">
        <v>35</v>
      </c>
      <c r="F5282" s="0" t="n">
        <v>85.52</v>
      </c>
      <c r="G5282" s="0" t="n">
        <v>22.2352</v>
      </c>
      <c r="H5282" s="0" t="n">
        <v>0</v>
      </c>
      <c r="I5282" s="7" t="n">
        <f aca="false">YEAR(B5282)</f>
        <v>2017</v>
      </c>
      <c r="J5282" s="0" t="str">
        <f aca="false">I5282&amp;"-Q"&amp;ROUNDUP(MONTH(B5282)/3,0)</f>
        <v>2017-Q4</v>
      </c>
    </row>
    <row r="5283" customFormat="false" ht="15" hidden="false" customHeight="false" outlineLevel="0" collapsed="false">
      <c r="A5283" s="0" t="s">
        <v>2706</v>
      </c>
      <c r="B5283" s="6" t="n">
        <v>42252</v>
      </c>
      <c r="C5283" s="7" t="s">
        <v>45</v>
      </c>
      <c r="D5283" s="7" t="s">
        <v>68</v>
      </c>
      <c r="E5283" s="7" t="s">
        <v>31</v>
      </c>
      <c r="F5283" s="0" t="n">
        <v>6.16</v>
      </c>
      <c r="G5283" s="0" t="n">
        <v>2.9568</v>
      </c>
      <c r="H5283" s="0" t="n">
        <v>0</v>
      </c>
      <c r="I5283" s="7" t="n">
        <f aca="false">YEAR(B5283)</f>
        <v>2015</v>
      </c>
      <c r="J5283" s="0" t="str">
        <f aca="false">I5283&amp;"-Q"&amp;ROUNDUP(MONTH(B5283)/3,0)</f>
        <v>2015-Q3</v>
      </c>
    </row>
    <row r="5284" customFormat="false" ht="15" hidden="false" customHeight="false" outlineLevel="0" collapsed="false">
      <c r="A5284" s="0" t="s">
        <v>2706</v>
      </c>
      <c r="B5284" s="6" t="n">
        <v>42252</v>
      </c>
      <c r="C5284" s="7" t="s">
        <v>45</v>
      </c>
      <c r="D5284" s="7" t="s">
        <v>68</v>
      </c>
      <c r="E5284" s="7" t="s">
        <v>35</v>
      </c>
      <c r="F5284" s="0" t="n">
        <v>36.84</v>
      </c>
      <c r="G5284" s="0" t="n">
        <v>17.3148</v>
      </c>
      <c r="H5284" s="0" t="n">
        <v>0</v>
      </c>
      <c r="I5284" s="7" t="n">
        <f aca="false">YEAR(B5284)</f>
        <v>2015</v>
      </c>
      <c r="J5284" s="0" t="str">
        <f aca="false">I5284&amp;"-Q"&amp;ROUNDUP(MONTH(B5284)/3,0)</f>
        <v>2015-Q3</v>
      </c>
    </row>
    <row r="5285" customFormat="false" ht="15" hidden="false" customHeight="false" outlineLevel="0" collapsed="false">
      <c r="A5285" s="0" t="s">
        <v>2707</v>
      </c>
      <c r="B5285" s="6" t="n">
        <v>41728</v>
      </c>
      <c r="C5285" s="7" t="s">
        <v>33</v>
      </c>
      <c r="D5285" s="7" t="s">
        <v>43</v>
      </c>
      <c r="E5285" s="7" t="s">
        <v>35</v>
      </c>
      <c r="F5285" s="0" t="n">
        <v>15.84</v>
      </c>
      <c r="G5285" s="0" t="n">
        <v>0</v>
      </c>
      <c r="H5285" s="0" t="n">
        <v>0</v>
      </c>
      <c r="I5285" s="7" t="n">
        <f aca="false">YEAR(B5285)</f>
        <v>2014</v>
      </c>
      <c r="J5285" s="0" t="str">
        <f aca="false">I5285&amp;"-Q"&amp;ROUNDUP(MONTH(B5285)/3,0)</f>
        <v>2014-Q1</v>
      </c>
    </row>
    <row r="5286" customFormat="false" ht="15" hidden="false" customHeight="false" outlineLevel="0" collapsed="false">
      <c r="A5286" s="0" t="s">
        <v>2707</v>
      </c>
      <c r="B5286" s="6" t="n">
        <v>41728</v>
      </c>
      <c r="C5286" s="7" t="s">
        <v>33</v>
      </c>
      <c r="D5286" s="7" t="s">
        <v>43</v>
      </c>
      <c r="E5286" s="7" t="s">
        <v>35</v>
      </c>
      <c r="F5286" s="0" t="n">
        <v>44.4</v>
      </c>
      <c r="G5286" s="0" t="n">
        <v>22.2</v>
      </c>
      <c r="H5286" s="0" t="n">
        <v>0</v>
      </c>
      <c r="I5286" s="7" t="n">
        <f aca="false">YEAR(B5286)</f>
        <v>2014</v>
      </c>
      <c r="J5286" s="0" t="str">
        <f aca="false">I5286&amp;"-Q"&amp;ROUNDUP(MONTH(B5286)/3,0)</f>
        <v>2014-Q1</v>
      </c>
    </row>
    <row r="5287" customFormat="false" ht="15" hidden="false" customHeight="false" outlineLevel="0" collapsed="false">
      <c r="A5287" s="0" t="s">
        <v>2708</v>
      </c>
      <c r="B5287" s="6" t="n">
        <v>42860</v>
      </c>
      <c r="C5287" s="7" t="s">
        <v>33</v>
      </c>
      <c r="D5287" s="7" t="s">
        <v>109</v>
      </c>
      <c r="E5287" s="7" t="s">
        <v>35</v>
      </c>
      <c r="F5287" s="0" t="n">
        <v>21.24</v>
      </c>
      <c r="G5287" s="0" t="n">
        <v>7.434</v>
      </c>
      <c r="H5287" s="0" t="n">
        <v>0.2</v>
      </c>
      <c r="I5287" s="7" t="n">
        <f aca="false">YEAR(B5287)</f>
        <v>2017</v>
      </c>
      <c r="J5287" s="0" t="str">
        <f aca="false">I5287&amp;"-Q"&amp;ROUNDUP(MONTH(B5287)/3,0)</f>
        <v>2017-Q2</v>
      </c>
    </row>
    <row r="5288" customFormat="false" ht="15" hidden="false" customHeight="false" outlineLevel="0" collapsed="false">
      <c r="A5288" s="0" t="s">
        <v>2708</v>
      </c>
      <c r="B5288" s="6" t="n">
        <v>42860</v>
      </c>
      <c r="C5288" s="7" t="s">
        <v>33</v>
      </c>
      <c r="D5288" s="7" t="s">
        <v>109</v>
      </c>
      <c r="E5288" s="7" t="s">
        <v>35</v>
      </c>
      <c r="F5288" s="0" t="n">
        <v>9.552</v>
      </c>
      <c r="G5288" s="0" t="n">
        <v>-7.3232</v>
      </c>
      <c r="H5288" s="0" t="n">
        <v>0.7</v>
      </c>
      <c r="I5288" s="7" t="n">
        <f aca="false">YEAR(B5288)</f>
        <v>2017</v>
      </c>
      <c r="J5288" s="0" t="str">
        <f aca="false">I5288&amp;"-Q"&amp;ROUNDUP(MONTH(B5288)/3,0)</f>
        <v>2017-Q2</v>
      </c>
    </row>
    <row r="5289" customFormat="false" ht="15" hidden="false" customHeight="false" outlineLevel="0" collapsed="false">
      <c r="A5289" s="0" t="s">
        <v>2708</v>
      </c>
      <c r="B5289" s="6" t="n">
        <v>42860</v>
      </c>
      <c r="C5289" s="7" t="s">
        <v>33</v>
      </c>
      <c r="D5289" s="7" t="s">
        <v>109</v>
      </c>
      <c r="E5289" s="7" t="s">
        <v>31</v>
      </c>
      <c r="F5289" s="0" t="n">
        <v>89.991</v>
      </c>
      <c r="G5289" s="0" t="n">
        <v>-152.9847</v>
      </c>
      <c r="H5289" s="0" t="n">
        <v>0.7</v>
      </c>
      <c r="I5289" s="7" t="n">
        <f aca="false">YEAR(B5289)</f>
        <v>2017</v>
      </c>
      <c r="J5289" s="0" t="str">
        <f aca="false">I5289&amp;"-Q"&amp;ROUNDUP(MONTH(B5289)/3,0)</f>
        <v>2017-Q2</v>
      </c>
    </row>
    <row r="5290" customFormat="false" ht="15" hidden="false" customHeight="false" outlineLevel="0" collapsed="false">
      <c r="A5290" s="0" t="s">
        <v>2709</v>
      </c>
      <c r="B5290" s="6" t="n">
        <v>42855</v>
      </c>
      <c r="C5290" s="7" t="s">
        <v>33</v>
      </c>
      <c r="D5290" s="7" t="s">
        <v>34</v>
      </c>
      <c r="E5290" s="7" t="s">
        <v>35</v>
      </c>
      <c r="F5290" s="0" t="n">
        <v>163.96</v>
      </c>
      <c r="G5290" s="0" t="n">
        <v>80.3404</v>
      </c>
      <c r="H5290" s="0" t="n">
        <v>0</v>
      </c>
      <c r="I5290" s="7" t="n">
        <f aca="false">YEAR(B5290)</f>
        <v>2017</v>
      </c>
      <c r="J5290" s="0" t="str">
        <f aca="false">I5290&amp;"-Q"&amp;ROUNDUP(MONTH(B5290)/3,0)</f>
        <v>2017-Q2</v>
      </c>
    </row>
    <row r="5291" customFormat="false" ht="15" hidden="false" customHeight="false" outlineLevel="0" collapsed="false">
      <c r="A5291" s="0" t="s">
        <v>2710</v>
      </c>
      <c r="B5291" s="6" t="n">
        <v>41890</v>
      </c>
      <c r="C5291" s="7" t="s">
        <v>45</v>
      </c>
      <c r="D5291" s="7" t="s">
        <v>46</v>
      </c>
      <c r="E5291" s="7" t="s">
        <v>35</v>
      </c>
      <c r="F5291" s="0" t="n">
        <v>17.904</v>
      </c>
      <c r="G5291" s="0" t="n">
        <v>6.2664</v>
      </c>
      <c r="H5291" s="0" t="n">
        <v>0.2</v>
      </c>
      <c r="I5291" s="7" t="n">
        <f aca="false">YEAR(B5291)</f>
        <v>2014</v>
      </c>
      <c r="J5291" s="0" t="str">
        <f aca="false">I5291&amp;"-Q"&amp;ROUNDUP(MONTH(B5291)/3,0)</f>
        <v>2014-Q3</v>
      </c>
    </row>
    <row r="5292" customFormat="false" ht="15" hidden="false" customHeight="false" outlineLevel="0" collapsed="false">
      <c r="A5292" s="0" t="s">
        <v>2710</v>
      </c>
      <c r="B5292" s="6" t="n">
        <v>41890</v>
      </c>
      <c r="C5292" s="7" t="s">
        <v>45</v>
      </c>
      <c r="D5292" s="7" t="s">
        <v>46</v>
      </c>
      <c r="E5292" s="7" t="s">
        <v>31</v>
      </c>
      <c r="F5292" s="0" t="n">
        <v>966.7</v>
      </c>
      <c r="G5292" s="0" t="n">
        <v>-13.81</v>
      </c>
      <c r="H5292" s="0" t="n">
        <v>0.3</v>
      </c>
      <c r="I5292" s="7" t="n">
        <f aca="false">YEAR(B5292)</f>
        <v>2014</v>
      </c>
      <c r="J5292" s="0" t="str">
        <f aca="false">I5292&amp;"-Q"&amp;ROUNDUP(MONTH(B5292)/3,0)</f>
        <v>2014-Q3</v>
      </c>
    </row>
    <row r="5293" customFormat="false" ht="15" hidden="false" customHeight="false" outlineLevel="0" collapsed="false">
      <c r="A5293" s="0" t="s">
        <v>2710</v>
      </c>
      <c r="B5293" s="6" t="n">
        <v>41890</v>
      </c>
      <c r="C5293" s="7" t="s">
        <v>45</v>
      </c>
      <c r="D5293" s="7" t="s">
        <v>46</v>
      </c>
      <c r="E5293" s="7" t="s">
        <v>35</v>
      </c>
      <c r="F5293" s="0" t="n">
        <v>182.112</v>
      </c>
      <c r="G5293" s="0" t="n">
        <v>61.4628</v>
      </c>
      <c r="H5293" s="0" t="n">
        <v>0.2</v>
      </c>
      <c r="I5293" s="7" t="n">
        <f aca="false">YEAR(B5293)</f>
        <v>2014</v>
      </c>
      <c r="J5293" s="0" t="str">
        <f aca="false">I5293&amp;"-Q"&amp;ROUNDUP(MONTH(B5293)/3,0)</f>
        <v>2014-Q3</v>
      </c>
    </row>
    <row r="5294" customFormat="false" ht="15" hidden="false" customHeight="false" outlineLevel="0" collapsed="false">
      <c r="A5294" s="0" t="s">
        <v>2711</v>
      </c>
      <c r="B5294" s="6" t="n">
        <v>42906</v>
      </c>
      <c r="C5294" s="7" t="s">
        <v>29</v>
      </c>
      <c r="D5294" s="7" t="s">
        <v>37</v>
      </c>
      <c r="E5294" s="7" t="s">
        <v>35</v>
      </c>
      <c r="F5294" s="0" t="n">
        <v>4.464</v>
      </c>
      <c r="G5294" s="0" t="n">
        <v>0.3348</v>
      </c>
      <c r="H5294" s="0" t="n">
        <v>0.2</v>
      </c>
      <c r="I5294" s="7" t="n">
        <f aca="false">YEAR(B5294)</f>
        <v>2017</v>
      </c>
      <c r="J5294" s="0" t="str">
        <f aca="false">I5294&amp;"-Q"&amp;ROUNDUP(MONTH(B5294)/3,0)</f>
        <v>2017-Q2</v>
      </c>
    </row>
    <row r="5295" customFormat="false" ht="15" hidden="false" customHeight="false" outlineLevel="0" collapsed="false">
      <c r="A5295" s="0" t="s">
        <v>2712</v>
      </c>
      <c r="B5295" s="6" t="n">
        <v>42364</v>
      </c>
      <c r="C5295" s="7" t="s">
        <v>55</v>
      </c>
      <c r="D5295" s="7" t="s">
        <v>116</v>
      </c>
      <c r="E5295" s="7" t="s">
        <v>31</v>
      </c>
      <c r="F5295" s="0" t="n">
        <v>51.588</v>
      </c>
      <c r="G5295" s="0" t="n">
        <v>-15.4764</v>
      </c>
      <c r="H5295" s="0" t="n">
        <v>0.4</v>
      </c>
      <c r="I5295" s="7" t="n">
        <f aca="false">YEAR(B5295)</f>
        <v>2015</v>
      </c>
      <c r="J5295" s="0" t="str">
        <f aca="false">I5295&amp;"-Q"&amp;ROUNDUP(MONTH(B5295)/3,0)</f>
        <v>2015-Q4</v>
      </c>
    </row>
    <row r="5296" customFormat="false" ht="15" hidden="false" customHeight="false" outlineLevel="0" collapsed="false">
      <c r="A5296" s="0" t="s">
        <v>2713</v>
      </c>
      <c r="B5296" s="6" t="n">
        <v>42962</v>
      </c>
      <c r="C5296" s="7" t="s">
        <v>45</v>
      </c>
      <c r="D5296" s="7" t="s">
        <v>68</v>
      </c>
      <c r="E5296" s="7" t="s">
        <v>35</v>
      </c>
      <c r="F5296" s="0" t="n">
        <v>50.4</v>
      </c>
      <c r="G5296" s="0" t="n">
        <v>23.184</v>
      </c>
      <c r="H5296" s="0" t="n">
        <v>0</v>
      </c>
      <c r="I5296" s="7" t="n">
        <f aca="false">YEAR(B5296)</f>
        <v>2017</v>
      </c>
      <c r="J5296" s="0" t="str">
        <f aca="false">I5296&amp;"-Q"&amp;ROUNDUP(MONTH(B5296)/3,0)</f>
        <v>2017-Q3</v>
      </c>
    </row>
    <row r="5297" customFormat="false" ht="15" hidden="false" customHeight="false" outlineLevel="0" collapsed="false">
      <c r="A5297" s="0" t="s">
        <v>2714</v>
      </c>
      <c r="B5297" s="6" t="n">
        <v>42798</v>
      </c>
      <c r="C5297" s="7" t="s">
        <v>45</v>
      </c>
      <c r="D5297" s="7" t="s">
        <v>46</v>
      </c>
      <c r="E5297" s="7" t="s">
        <v>35</v>
      </c>
      <c r="F5297" s="0" t="n">
        <v>89.568</v>
      </c>
      <c r="G5297" s="0" t="n">
        <v>32.4684</v>
      </c>
      <c r="H5297" s="0" t="n">
        <v>0.2</v>
      </c>
      <c r="I5297" s="7" t="n">
        <f aca="false">YEAR(B5297)</f>
        <v>2017</v>
      </c>
      <c r="J5297" s="0" t="str">
        <f aca="false">I5297&amp;"-Q"&amp;ROUNDUP(MONTH(B5297)/3,0)</f>
        <v>2017-Q1</v>
      </c>
    </row>
    <row r="5298" customFormat="false" ht="15" hidden="false" customHeight="false" outlineLevel="0" collapsed="false">
      <c r="A5298" s="0" t="s">
        <v>2715</v>
      </c>
      <c r="B5298" s="6" t="n">
        <v>42943</v>
      </c>
      <c r="C5298" s="7" t="s">
        <v>55</v>
      </c>
      <c r="D5298" s="7" t="s">
        <v>76</v>
      </c>
      <c r="E5298" s="7" t="s">
        <v>31</v>
      </c>
      <c r="F5298" s="0" t="n">
        <v>14.89</v>
      </c>
      <c r="G5298" s="0" t="n">
        <v>4.0203</v>
      </c>
      <c r="H5298" s="0" t="n">
        <v>0</v>
      </c>
      <c r="I5298" s="7" t="n">
        <f aca="false">YEAR(B5298)</f>
        <v>2017</v>
      </c>
      <c r="J5298" s="0" t="str">
        <f aca="false">I5298&amp;"-Q"&amp;ROUNDUP(MONTH(B5298)/3,0)</f>
        <v>2017-Q3</v>
      </c>
    </row>
    <row r="5299" customFormat="false" ht="15" hidden="false" customHeight="false" outlineLevel="0" collapsed="false">
      <c r="A5299" s="0" t="s">
        <v>2715</v>
      </c>
      <c r="B5299" s="6" t="n">
        <v>42943</v>
      </c>
      <c r="C5299" s="7" t="s">
        <v>55</v>
      </c>
      <c r="D5299" s="7" t="s">
        <v>76</v>
      </c>
      <c r="E5299" s="7" t="s">
        <v>39</v>
      </c>
      <c r="F5299" s="0" t="n">
        <v>543.92</v>
      </c>
      <c r="G5299" s="0" t="n">
        <v>135.98</v>
      </c>
      <c r="H5299" s="0" t="n">
        <v>0</v>
      </c>
      <c r="I5299" s="7" t="n">
        <f aca="false">YEAR(B5299)</f>
        <v>2017</v>
      </c>
      <c r="J5299" s="0" t="str">
        <f aca="false">I5299&amp;"-Q"&amp;ROUNDUP(MONTH(B5299)/3,0)</f>
        <v>2017-Q3</v>
      </c>
    </row>
    <row r="5300" customFormat="false" ht="15" hidden="false" customHeight="false" outlineLevel="0" collapsed="false">
      <c r="A5300" s="0" t="s">
        <v>2716</v>
      </c>
      <c r="B5300" s="6" t="n">
        <v>42636</v>
      </c>
      <c r="C5300" s="7" t="s">
        <v>33</v>
      </c>
      <c r="D5300" s="7" t="s">
        <v>34</v>
      </c>
      <c r="E5300" s="7" t="s">
        <v>35</v>
      </c>
      <c r="F5300" s="0" t="n">
        <v>4.08</v>
      </c>
      <c r="G5300" s="0" t="n">
        <v>1.9176</v>
      </c>
      <c r="H5300" s="0" t="n">
        <v>0</v>
      </c>
      <c r="I5300" s="7" t="n">
        <f aca="false">YEAR(B5300)</f>
        <v>2016</v>
      </c>
      <c r="J5300" s="0" t="str">
        <f aca="false">I5300&amp;"-Q"&amp;ROUNDUP(MONTH(B5300)/3,0)</f>
        <v>2016-Q3</v>
      </c>
    </row>
    <row r="5301" customFormat="false" ht="15" hidden="false" customHeight="false" outlineLevel="0" collapsed="false">
      <c r="A5301" s="0" t="s">
        <v>2716</v>
      </c>
      <c r="B5301" s="6" t="n">
        <v>42636</v>
      </c>
      <c r="C5301" s="7" t="s">
        <v>33</v>
      </c>
      <c r="D5301" s="7" t="s">
        <v>34</v>
      </c>
      <c r="E5301" s="7" t="s">
        <v>35</v>
      </c>
      <c r="F5301" s="0" t="n">
        <v>18.9</v>
      </c>
      <c r="G5301" s="0" t="n">
        <v>8.694</v>
      </c>
      <c r="H5301" s="0" t="n">
        <v>0</v>
      </c>
      <c r="I5301" s="7" t="n">
        <f aca="false">YEAR(B5301)</f>
        <v>2016</v>
      </c>
      <c r="J5301" s="0" t="str">
        <f aca="false">I5301&amp;"-Q"&amp;ROUNDUP(MONTH(B5301)/3,0)</f>
        <v>2016-Q3</v>
      </c>
    </row>
    <row r="5302" customFormat="false" ht="15" hidden="false" customHeight="false" outlineLevel="0" collapsed="false">
      <c r="A5302" s="0" t="s">
        <v>2717</v>
      </c>
      <c r="B5302" s="6" t="n">
        <v>42520</v>
      </c>
      <c r="C5302" s="7" t="s">
        <v>29</v>
      </c>
      <c r="D5302" s="7" t="s">
        <v>83</v>
      </c>
      <c r="E5302" s="7" t="s">
        <v>31</v>
      </c>
      <c r="F5302" s="0" t="n">
        <v>2275.5</v>
      </c>
      <c r="G5302" s="0" t="n">
        <v>386.835</v>
      </c>
      <c r="H5302" s="0" t="n">
        <v>0</v>
      </c>
      <c r="I5302" s="7" t="n">
        <f aca="false">YEAR(B5302)</f>
        <v>2016</v>
      </c>
      <c r="J5302" s="0" t="str">
        <f aca="false">I5302&amp;"-Q"&amp;ROUNDUP(MONTH(B5302)/3,0)</f>
        <v>2016-Q2</v>
      </c>
    </row>
    <row r="5303" customFormat="false" ht="15" hidden="false" customHeight="false" outlineLevel="0" collapsed="false">
      <c r="A5303" s="0" t="s">
        <v>2717</v>
      </c>
      <c r="B5303" s="6" t="n">
        <v>42520</v>
      </c>
      <c r="C5303" s="7" t="s">
        <v>29</v>
      </c>
      <c r="D5303" s="7" t="s">
        <v>83</v>
      </c>
      <c r="E5303" s="7" t="s">
        <v>39</v>
      </c>
      <c r="F5303" s="0" t="n">
        <v>1979.7</v>
      </c>
      <c r="G5303" s="0" t="n">
        <v>653.301</v>
      </c>
      <c r="H5303" s="0" t="n">
        <v>0</v>
      </c>
      <c r="I5303" s="7" t="n">
        <f aca="false">YEAR(B5303)</f>
        <v>2016</v>
      </c>
      <c r="J5303" s="0" t="str">
        <f aca="false">I5303&amp;"-Q"&amp;ROUNDUP(MONTH(B5303)/3,0)</f>
        <v>2016-Q2</v>
      </c>
    </row>
    <row r="5304" customFormat="false" ht="15" hidden="false" customHeight="false" outlineLevel="0" collapsed="false">
      <c r="A5304" s="0" t="s">
        <v>2717</v>
      </c>
      <c r="B5304" s="6" t="n">
        <v>42520</v>
      </c>
      <c r="C5304" s="7" t="s">
        <v>29</v>
      </c>
      <c r="D5304" s="7" t="s">
        <v>83</v>
      </c>
      <c r="E5304" s="7" t="s">
        <v>35</v>
      </c>
      <c r="F5304" s="0" t="n">
        <v>62.1</v>
      </c>
      <c r="G5304" s="0" t="n">
        <v>29.808</v>
      </c>
      <c r="H5304" s="0" t="n">
        <v>0</v>
      </c>
      <c r="I5304" s="7" t="n">
        <f aca="false">YEAR(B5304)</f>
        <v>2016</v>
      </c>
      <c r="J5304" s="0" t="str">
        <f aca="false">I5304&amp;"-Q"&amp;ROUNDUP(MONTH(B5304)/3,0)</f>
        <v>2016-Q2</v>
      </c>
    </row>
    <row r="5305" customFormat="false" ht="15" hidden="false" customHeight="false" outlineLevel="0" collapsed="false">
      <c r="A5305" s="0" t="s">
        <v>2718</v>
      </c>
      <c r="B5305" s="6" t="n">
        <v>41959</v>
      </c>
      <c r="C5305" s="7" t="s">
        <v>45</v>
      </c>
      <c r="D5305" s="7" t="s">
        <v>64</v>
      </c>
      <c r="E5305" s="7" t="s">
        <v>31</v>
      </c>
      <c r="F5305" s="0" t="n">
        <v>37.296</v>
      </c>
      <c r="G5305" s="0" t="n">
        <v>-1.0656</v>
      </c>
      <c r="H5305" s="0" t="n">
        <v>0.3</v>
      </c>
      <c r="I5305" s="7" t="n">
        <f aca="false">YEAR(B5305)</f>
        <v>2014</v>
      </c>
      <c r="J5305" s="0" t="str">
        <f aca="false">I5305&amp;"-Q"&amp;ROUNDUP(MONTH(B5305)/3,0)</f>
        <v>2014-Q4</v>
      </c>
    </row>
    <row r="5306" customFormat="false" ht="15" hidden="false" customHeight="false" outlineLevel="0" collapsed="false">
      <c r="A5306" s="0" t="s">
        <v>2719</v>
      </c>
      <c r="B5306" s="6" t="n">
        <v>41903</v>
      </c>
      <c r="C5306" s="7" t="s">
        <v>45</v>
      </c>
      <c r="D5306" s="7" t="s">
        <v>46</v>
      </c>
      <c r="E5306" s="7" t="s">
        <v>31</v>
      </c>
      <c r="F5306" s="0" t="n">
        <v>8.544</v>
      </c>
      <c r="G5306" s="0" t="n">
        <v>-7.476</v>
      </c>
      <c r="H5306" s="0" t="n">
        <v>0.6</v>
      </c>
      <c r="I5306" s="7" t="n">
        <f aca="false">YEAR(B5306)</f>
        <v>2014</v>
      </c>
      <c r="J5306" s="0" t="str">
        <f aca="false">I5306&amp;"-Q"&amp;ROUNDUP(MONTH(B5306)/3,0)</f>
        <v>2014-Q3</v>
      </c>
    </row>
    <row r="5307" customFormat="false" ht="15" hidden="false" customHeight="false" outlineLevel="0" collapsed="false">
      <c r="A5307" s="0" t="s">
        <v>2720</v>
      </c>
      <c r="B5307" s="6" t="n">
        <v>42421</v>
      </c>
      <c r="C5307" s="7" t="s">
        <v>55</v>
      </c>
      <c r="D5307" s="7" t="s">
        <v>76</v>
      </c>
      <c r="E5307" s="7" t="s">
        <v>31</v>
      </c>
      <c r="F5307" s="0" t="n">
        <v>68.95</v>
      </c>
      <c r="G5307" s="0" t="n">
        <v>28.959</v>
      </c>
      <c r="H5307" s="0" t="n">
        <v>0</v>
      </c>
      <c r="I5307" s="7" t="n">
        <f aca="false">YEAR(B5307)</f>
        <v>2016</v>
      </c>
      <c r="J5307" s="0" t="str">
        <f aca="false">I5307&amp;"-Q"&amp;ROUNDUP(MONTH(B5307)/3,0)</f>
        <v>2016-Q1</v>
      </c>
    </row>
    <row r="5308" customFormat="false" ht="15" hidden="false" customHeight="false" outlineLevel="0" collapsed="false">
      <c r="A5308" s="0" t="s">
        <v>2720</v>
      </c>
      <c r="B5308" s="6" t="n">
        <v>42421</v>
      </c>
      <c r="C5308" s="7" t="s">
        <v>55</v>
      </c>
      <c r="D5308" s="7" t="s">
        <v>76</v>
      </c>
      <c r="E5308" s="7" t="s">
        <v>35</v>
      </c>
      <c r="F5308" s="0" t="n">
        <v>296.37</v>
      </c>
      <c r="G5308" s="0" t="n">
        <v>80.0199</v>
      </c>
      <c r="H5308" s="0" t="n">
        <v>0</v>
      </c>
      <c r="I5308" s="7" t="n">
        <f aca="false">YEAR(B5308)</f>
        <v>2016</v>
      </c>
      <c r="J5308" s="0" t="str">
        <f aca="false">I5308&amp;"-Q"&amp;ROUNDUP(MONTH(B5308)/3,0)</f>
        <v>2016-Q1</v>
      </c>
    </row>
    <row r="5309" customFormat="false" ht="15" hidden="false" customHeight="false" outlineLevel="0" collapsed="false">
      <c r="A5309" s="0" t="s">
        <v>2720</v>
      </c>
      <c r="B5309" s="6" t="n">
        <v>42421</v>
      </c>
      <c r="C5309" s="7" t="s">
        <v>55</v>
      </c>
      <c r="D5309" s="7" t="s">
        <v>76</v>
      </c>
      <c r="E5309" s="7" t="s">
        <v>39</v>
      </c>
      <c r="F5309" s="0" t="n">
        <v>39.98</v>
      </c>
      <c r="G5309" s="0" t="n">
        <v>1.999</v>
      </c>
      <c r="H5309" s="0" t="n">
        <v>0</v>
      </c>
      <c r="I5309" s="7" t="n">
        <f aca="false">YEAR(B5309)</f>
        <v>2016</v>
      </c>
      <c r="J5309" s="0" t="str">
        <f aca="false">I5309&amp;"-Q"&amp;ROUNDUP(MONTH(B5309)/3,0)</f>
        <v>2016-Q1</v>
      </c>
    </row>
    <row r="5310" customFormat="false" ht="15" hidden="false" customHeight="false" outlineLevel="0" collapsed="false">
      <c r="A5310" s="0" t="s">
        <v>2721</v>
      </c>
      <c r="B5310" s="6" t="n">
        <v>43058</v>
      </c>
      <c r="C5310" s="7" t="s">
        <v>45</v>
      </c>
      <c r="D5310" s="7" t="s">
        <v>46</v>
      </c>
      <c r="E5310" s="7" t="s">
        <v>31</v>
      </c>
      <c r="F5310" s="0" t="n">
        <v>191.058</v>
      </c>
      <c r="G5310" s="0" t="n">
        <v>-46.3998</v>
      </c>
      <c r="H5310" s="0" t="n">
        <v>0.3</v>
      </c>
      <c r="I5310" s="7" t="n">
        <f aca="false">YEAR(B5310)</f>
        <v>2017</v>
      </c>
      <c r="J5310" s="0" t="str">
        <f aca="false">I5310&amp;"-Q"&amp;ROUNDUP(MONTH(B5310)/3,0)</f>
        <v>2017-Q4</v>
      </c>
    </row>
    <row r="5311" customFormat="false" ht="15" hidden="false" customHeight="false" outlineLevel="0" collapsed="false">
      <c r="A5311" s="0" t="s">
        <v>2721</v>
      </c>
      <c r="B5311" s="6" t="n">
        <v>43058</v>
      </c>
      <c r="C5311" s="7" t="s">
        <v>45</v>
      </c>
      <c r="D5311" s="7" t="s">
        <v>46</v>
      </c>
      <c r="E5311" s="7" t="s">
        <v>35</v>
      </c>
      <c r="F5311" s="0" t="n">
        <v>13.04</v>
      </c>
      <c r="G5311" s="0" t="n">
        <v>3.912</v>
      </c>
      <c r="H5311" s="0" t="n">
        <v>0.2</v>
      </c>
      <c r="I5311" s="7" t="n">
        <f aca="false">YEAR(B5311)</f>
        <v>2017</v>
      </c>
      <c r="J5311" s="0" t="str">
        <f aca="false">I5311&amp;"-Q"&amp;ROUNDUP(MONTH(B5311)/3,0)</f>
        <v>2017-Q4</v>
      </c>
    </row>
    <row r="5312" customFormat="false" ht="15" hidden="false" customHeight="false" outlineLevel="0" collapsed="false">
      <c r="A5312" s="0" t="s">
        <v>2721</v>
      </c>
      <c r="B5312" s="6" t="n">
        <v>43058</v>
      </c>
      <c r="C5312" s="7" t="s">
        <v>45</v>
      </c>
      <c r="D5312" s="7" t="s">
        <v>46</v>
      </c>
      <c r="E5312" s="7" t="s">
        <v>35</v>
      </c>
      <c r="F5312" s="0" t="n">
        <v>1525.188</v>
      </c>
      <c r="G5312" s="0" t="n">
        <v>-2287.782</v>
      </c>
      <c r="H5312" s="0" t="n">
        <v>0.8</v>
      </c>
      <c r="I5312" s="7" t="n">
        <f aca="false">YEAR(B5312)</f>
        <v>2017</v>
      </c>
      <c r="J5312" s="0" t="str">
        <f aca="false">I5312&amp;"-Q"&amp;ROUNDUP(MONTH(B5312)/3,0)</f>
        <v>2017-Q4</v>
      </c>
    </row>
    <row r="5313" customFormat="false" ht="15" hidden="false" customHeight="false" outlineLevel="0" collapsed="false">
      <c r="A5313" s="0" t="s">
        <v>2722</v>
      </c>
      <c r="B5313" s="6" t="n">
        <v>42603</v>
      </c>
      <c r="C5313" s="7" t="s">
        <v>29</v>
      </c>
      <c r="D5313" s="7" t="s">
        <v>41</v>
      </c>
      <c r="E5313" s="7" t="s">
        <v>35</v>
      </c>
      <c r="F5313" s="0" t="n">
        <v>9.216</v>
      </c>
      <c r="G5313" s="0" t="n">
        <v>3.3408</v>
      </c>
      <c r="H5313" s="0" t="n">
        <v>0.2</v>
      </c>
      <c r="I5313" s="7" t="n">
        <f aca="false">YEAR(B5313)</f>
        <v>2016</v>
      </c>
      <c r="J5313" s="0" t="str">
        <f aca="false">I5313&amp;"-Q"&amp;ROUNDUP(MONTH(B5313)/3,0)</f>
        <v>2016-Q3</v>
      </c>
    </row>
    <row r="5314" customFormat="false" ht="15" hidden="false" customHeight="false" outlineLevel="0" collapsed="false">
      <c r="A5314" s="0" t="s">
        <v>2722</v>
      </c>
      <c r="B5314" s="6" t="n">
        <v>42603</v>
      </c>
      <c r="C5314" s="7" t="s">
        <v>29</v>
      </c>
      <c r="D5314" s="7" t="s">
        <v>41</v>
      </c>
      <c r="E5314" s="7" t="s">
        <v>35</v>
      </c>
      <c r="F5314" s="0" t="n">
        <v>28.048</v>
      </c>
      <c r="G5314" s="0" t="n">
        <v>3.506</v>
      </c>
      <c r="H5314" s="0" t="n">
        <v>0.2</v>
      </c>
      <c r="I5314" s="7" t="n">
        <f aca="false">YEAR(B5314)</f>
        <v>2016</v>
      </c>
      <c r="J5314" s="0" t="str">
        <f aca="false">I5314&amp;"-Q"&amp;ROUNDUP(MONTH(B5314)/3,0)</f>
        <v>2016-Q3</v>
      </c>
    </row>
    <row r="5315" customFormat="false" ht="15" hidden="false" customHeight="false" outlineLevel="0" collapsed="false">
      <c r="A5315" s="0" t="s">
        <v>2723</v>
      </c>
      <c r="B5315" s="6" t="n">
        <v>42855</v>
      </c>
      <c r="C5315" s="7" t="s">
        <v>33</v>
      </c>
      <c r="D5315" s="7" t="s">
        <v>34</v>
      </c>
      <c r="E5315" s="7" t="s">
        <v>31</v>
      </c>
      <c r="F5315" s="0" t="n">
        <v>64.96</v>
      </c>
      <c r="G5315" s="0" t="n">
        <v>21.4368</v>
      </c>
      <c r="H5315" s="0" t="n">
        <v>0</v>
      </c>
      <c r="I5315" s="7" t="n">
        <f aca="false">YEAR(B5315)</f>
        <v>2017</v>
      </c>
      <c r="J5315" s="0" t="str">
        <f aca="false">I5315&amp;"-Q"&amp;ROUNDUP(MONTH(B5315)/3,0)</f>
        <v>2017-Q2</v>
      </c>
    </row>
    <row r="5316" customFormat="false" ht="15" hidden="false" customHeight="false" outlineLevel="0" collapsed="false">
      <c r="A5316" s="0" t="s">
        <v>2723</v>
      </c>
      <c r="B5316" s="6" t="n">
        <v>42855</v>
      </c>
      <c r="C5316" s="7" t="s">
        <v>33</v>
      </c>
      <c r="D5316" s="7" t="s">
        <v>34</v>
      </c>
      <c r="E5316" s="7" t="s">
        <v>35</v>
      </c>
      <c r="F5316" s="0" t="n">
        <v>30.56</v>
      </c>
      <c r="G5316" s="0" t="n">
        <v>14.9744</v>
      </c>
      <c r="H5316" s="0" t="n">
        <v>0</v>
      </c>
      <c r="I5316" s="7" t="n">
        <f aca="false">YEAR(B5316)</f>
        <v>2017</v>
      </c>
      <c r="J5316" s="0" t="str">
        <f aca="false">I5316&amp;"-Q"&amp;ROUNDUP(MONTH(B5316)/3,0)</f>
        <v>2017-Q2</v>
      </c>
    </row>
    <row r="5317" customFormat="false" ht="15" hidden="false" customHeight="false" outlineLevel="0" collapsed="false">
      <c r="A5317" s="0" t="s">
        <v>2724</v>
      </c>
      <c r="B5317" s="6" t="n">
        <v>42492</v>
      </c>
      <c r="C5317" s="7" t="s">
        <v>29</v>
      </c>
      <c r="D5317" s="7" t="s">
        <v>41</v>
      </c>
      <c r="E5317" s="7" t="s">
        <v>31</v>
      </c>
      <c r="F5317" s="0" t="n">
        <v>187.056</v>
      </c>
      <c r="G5317" s="0" t="n">
        <v>11.691</v>
      </c>
      <c r="H5317" s="0" t="n">
        <v>0.2</v>
      </c>
      <c r="I5317" s="7" t="n">
        <f aca="false">YEAR(B5317)</f>
        <v>2016</v>
      </c>
      <c r="J5317" s="0" t="str">
        <f aca="false">I5317&amp;"-Q"&amp;ROUNDUP(MONTH(B5317)/3,0)</f>
        <v>2016-Q2</v>
      </c>
    </row>
    <row r="5318" customFormat="false" ht="15" hidden="false" customHeight="false" outlineLevel="0" collapsed="false">
      <c r="A5318" s="0" t="s">
        <v>2725</v>
      </c>
      <c r="B5318" s="6" t="n">
        <v>43010</v>
      </c>
      <c r="C5318" s="7" t="s">
        <v>29</v>
      </c>
      <c r="D5318" s="7" t="s">
        <v>87</v>
      </c>
      <c r="E5318" s="7" t="s">
        <v>31</v>
      </c>
      <c r="F5318" s="0" t="n">
        <v>11.808</v>
      </c>
      <c r="G5318" s="0" t="n">
        <v>1.3284</v>
      </c>
      <c r="H5318" s="0" t="n">
        <v>0.2</v>
      </c>
      <c r="I5318" s="7" t="n">
        <f aca="false">YEAR(B5318)</f>
        <v>2017</v>
      </c>
      <c r="J5318" s="0" t="str">
        <f aca="false">I5318&amp;"-Q"&amp;ROUNDUP(MONTH(B5318)/3,0)</f>
        <v>2017-Q4</v>
      </c>
    </row>
    <row r="5319" customFormat="false" ht="15" hidden="false" customHeight="false" outlineLevel="0" collapsed="false">
      <c r="A5319" s="0" t="s">
        <v>2725</v>
      </c>
      <c r="B5319" s="6" t="n">
        <v>43010</v>
      </c>
      <c r="C5319" s="7" t="s">
        <v>29</v>
      </c>
      <c r="D5319" s="7" t="s">
        <v>87</v>
      </c>
      <c r="E5319" s="7" t="s">
        <v>31</v>
      </c>
      <c r="F5319" s="0" t="n">
        <v>9.656</v>
      </c>
      <c r="G5319" s="0" t="n">
        <v>1.5691</v>
      </c>
      <c r="H5319" s="0" t="n">
        <v>0.2</v>
      </c>
      <c r="I5319" s="7" t="n">
        <f aca="false">YEAR(B5319)</f>
        <v>2017</v>
      </c>
      <c r="J5319" s="0" t="str">
        <f aca="false">I5319&amp;"-Q"&amp;ROUNDUP(MONTH(B5319)/3,0)</f>
        <v>2017-Q4</v>
      </c>
    </row>
    <row r="5320" customFormat="false" ht="15" hidden="false" customHeight="false" outlineLevel="0" collapsed="false">
      <c r="A5320" s="0" t="s">
        <v>2725</v>
      </c>
      <c r="B5320" s="6" t="n">
        <v>43010</v>
      </c>
      <c r="C5320" s="7" t="s">
        <v>29</v>
      </c>
      <c r="D5320" s="7" t="s">
        <v>87</v>
      </c>
      <c r="E5320" s="7" t="s">
        <v>35</v>
      </c>
      <c r="F5320" s="0" t="n">
        <v>20.736</v>
      </c>
      <c r="G5320" s="0" t="n">
        <v>7.2576</v>
      </c>
      <c r="H5320" s="0" t="n">
        <v>0.2</v>
      </c>
      <c r="I5320" s="7" t="n">
        <f aca="false">YEAR(B5320)</f>
        <v>2017</v>
      </c>
      <c r="J5320" s="0" t="str">
        <f aca="false">I5320&amp;"-Q"&amp;ROUNDUP(MONTH(B5320)/3,0)</f>
        <v>2017-Q4</v>
      </c>
    </row>
    <row r="5321" customFormat="false" ht="15" hidden="false" customHeight="false" outlineLevel="0" collapsed="false">
      <c r="A5321" s="0" t="s">
        <v>2725</v>
      </c>
      <c r="B5321" s="6" t="n">
        <v>43010</v>
      </c>
      <c r="C5321" s="7" t="s">
        <v>29</v>
      </c>
      <c r="D5321" s="7" t="s">
        <v>87</v>
      </c>
      <c r="E5321" s="7" t="s">
        <v>35</v>
      </c>
      <c r="F5321" s="0" t="n">
        <v>27.36</v>
      </c>
      <c r="G5321" s="0" t="n">
        <v>-21.888</v>
      </c>
      <c r="H5321" s="0" t="n">
        <v>0.7</v>
      </c>
      <c r="I5321" s="7" t="n">
        <f aca="false">YEAR(B5321)</f>
        <v>2017</v>
      </c>
      <c r="J5321" s="0" t="str">
        <f aca="false">I5321&amp;"-Q"&amp;ROUNDUP(MONTH(B5321)/3,0)</f>
        <v>2017-Q4</v>
      </c>
    </row>
    <row r="5322" customFormat="false" ht="15" hidden="false" customHeight="false" outlineLevel="0" collapsed="false">
      <c r="A5322" s="0" t="s">
        <v>2725</v>
      </c>
      <c r="B5322" s="6" t="n">
        <v>43010</v>
      </c>
      <c r="C5322" s="7" t="s">
        <v>29</v>
      </c>
      <c r="D5322" s="7" t="s">
        <v>87</v>
      </c>
      <c r="E5322" s="7" t="s">
        <v>31</v>
      </c>
      <c r="F5322" s="0" t="n">
        <v>2314.116</v>
      </c>
      <c r="G5322" s="0" t="n">
        <v>-1002.7836</v>
      </c>
      <c r="H5322" s="0" t="n">
        <v>0.4</v>
      </c>
      <c r="I5322" s="7" t="n">
        <f aca="false">YEAR(B5322)</f>
        <v>2017</v>
      </c>
      <c r="J5322" s="0" t="str">
        <f aca="false">I5322&amp;"-Q"&amp;ROUNDUP(MONTH(B5322)/3,0)</f>
        <v>2017-Q4</v>
      </c>
    </row>
    <row r="5323" customFormat="false" ht="15" hidden="false" customHeight="false" outlineLevel="0" collapsed="false">
      <c r="A5323" s="0" t="s">
        <v>2725</v>
      </c>
      <c r="B5323" s="6" t="n">
        <v>43010</v>
      </c>
      <c r="C5323" s="7" t="s">
        <v>29</v>
      </c>
      <c r="D5323" s="7" t="s">
        <v>87</v>
      </c>
      <c r="E5323" s="7" t="s">
        <v>35</v>
      </c>
      <c r="F5323" s="0" t="n">
        <v>34.236</v>
      </c>
      <c r="G5323" s="0" t="n">
        <v>-26.2476</v>
      </c>
      <c r="H5323" s="0" t="n">
        <v>0.7</v>
      </c>
      <c r="I5323" s="7" t="n">
        <f aca="false">YEAR(B5323)</f>
        <v>2017</v>
      </c>
      <c r="J5323" s="0" t="str">
        <f aca="false">I5323&amp;"-Q"&amp;ROUNDUP(MONTH(B5323)/3,0)</f>
        <v>2017-Q4</v>
      </c>
    </row>
    <row r="5324" customFormat="false" ht="15" hidden="false" customHeight="false" outlineLevel="0" collapsed="false">
      <c r="A5324" s="0" t="s">
        <v>2725</v>
      </c>
      <c r="B5324" s="6" t="n">
        <v>43010</v>
      </c>
      <c r="C5324" s="7" t="s">
        <v>29</v>
      </c>
      <c r="D5324" s="7" t="s">
        <v>87</v>
      </c>
      <c r="E5324" s="7" t="s">
        <v>31</v>
      </c>
      <c r="F5324" s="0" t="n">
        <v>19.76</v>
      </c>
      <c r="G5324" s="0" t="n">
        <v>5.928</v>
      </c>
      <c r="H5324" s="0" t="n">
        <v>0.2</v>
      </c>
      <c r="I5324" s="7" t="n">
        <f aca="false">YEAR(B5324)</f>
        <v>2017</v>
      </c>
      <c r="J5324" s="0" t="str">
        <f aca="false">I5324&amp;"-Q"&amp;ROUNDUP(MONTH(B5324)/3,0)</f>
        <v>2017-Q4</v>
      </c>
    </row>
    <row r="5325" customFormat="false" ht="15" hidden="false" customHeight="false" outlineLevel="0" collapsed="false">
      <c r="A5325" s="0" t="s">
        <v>2726</v>
      </c>
      <c r="B5325" s="6" t="n">
        <v>42996</v>
      </c>
      <c r="C5325" s="7" t="s">
        <v>45</v>
      </c>
      <c r="D5325" s="7" t="s">
        <v>53</v>
      </c>
      <c r="E5325" s="7" t="s">
        <v>35</v>
      </c>
      <c r="F5325" s="0" t="n">
        <v>15.96</v>
      </c>
      <c r="G5325" s="0" t="n">
        <v>7.98</v>
      </c>
      <c r="H5325" s="0" t="n">
        <v>0</v>
      </c>
      <c r="I5325" s="7" t="n">
        <f aca="false">YEAR(B5325)</f>
        <v>2017</v>
      </c>
      <c r="J5325" s="0" t="str">
        <f aca="false">I5325&amp;"-Q"&amp;ROUNDUP(MONTH(B5325)/3,0)</f>
        <v>2017-Q3</v>
      </c>
    </row>
    <row r="5326" customFormat="false" ht="15" hidden="false" customHeight="false" outlineLevel="0" collapsed="false">
      <c r="A5326" s="0" t="s">
        <v>2727</v>
      </c>
      <c r="B5326" s="6" t="n">
        <v>42342</v>
      </c>
      <c r="C5326" s="7" t="s">
        <v>33</v>
      </c>
      <c r="D5326" s="7" t="s">
        <v>34</v>
      </c>
      <c r="E5326" s="7" t="s">
        <v>35</v>
      </c>
      <c r="F5326" s="0" t="n">
        <v>16.9</v>
      </c>
      <c r="G5326" s="0" t="n">
        <v>6.253</v>
      </c>
      <c r="H5326" s="0" t="n">
        <v>0</v>
      </c>
      <c r="I5326" s="7" t="n">
        <f aca="false">YEAR(B5326)</f>
        <v>2015</v>
      </c>
      <c r="J5326" s="0" t="str">
        <f aca="false">I5326&amp;"-Q"&amp;ROUNDUP(MONTH(B5326)/3,0)</f>
        <v>2015-Q4</v>
      </c>
    </row>
    <row r="5327" customFormat="false" ht="15" hidden="false" customHeight="false" outlineLevel="0" collapsed="false">
      <c r="A5327" s="0" t="s">
        <v>2727</v>
      </c>
      <c r="B5327" s="6" t="n">
        <v>42342</v>
      </c>
      <c r="C5327" s="7" t="s">
        <v>33</v>
      </c>
      <c r="D5327" s="7" t="s">
        <v>34</v>
      </c>
      <c r="E5327" s="7" t="s">
        <v>31</v>
      </c>
      <c r="F5327" s="0" t="n">
        <v>25.08</v>
      </c>
      <c r="G5327" s="0" t="n">
        <v>9.0288</v>
      </c>
      <c r="H5327" s="0" t="n">
        <v>0</v>
      </c>
      <c r="I5327" s="7" t="n">
        <f aca="false">YEAR(B5327)</f>
        <v>2015</v>
      </c>
      <c r="J5327" s="0" t="str">
        <f aca="false">I5327&amp;"-Q"&amp;ROUNDUP(MONTH(B5327)/3,0)</f>
        <v>2015-Q4</v>
      </c>
    </row>
    <row r="5328" customFormat="false" ht="15" hidden="false" customHeight="false" outlineLevel="0" collapsed="false">
      <c r="A5328" s="0" t="s">
        <v>2728</v>
      </c>
      <c r="B5328" s="6" t="n">
        <v>42021</v>
      </c>
      <c r="C5328" s="7" t="s">
        <v>55</v>
      </c>
      <c r="D5328" s="7" t="s">
        <v>225</v>
      </c>
      <c r="E5328" s="7" t="s">
        <v>35</v>
      </c>
      <c r="F5328" s="0" t="n">
        <v>6.68</v>
      </c>
      <c r="G5328" s="0" t="n">
        <v>2.004</v>
      </c>
      <c r="H5328" s="0" t="n">
        <v>0</v>
      </c>
      <c r="I5328" s="7" t="n">
        <f aca="false">YEAR(B5328)</f>
        <v>2015</v>
      </c>
      <c r="J5328" s="0" t="str">
        <f aca="false">I5328&amp;"-Q"&amp;ROUNDUP(MONTH(B5328)/3,0)</f>
        <v>2015-Q1</v>
      </c>
    </row>
    <row r="5329" customFormat="false" ht="15" hidden="false" customHeight="false" outlineLevel="0" collapsed="false">
      <c r="A5329" s="0" t="s">
        <v>2729</v>
      </c>
      <c r="B5329" s="6" t="n">
        <v>41645</v>
      </c>
      <c r="C5329" s="7" t="s">
        <v>33</v>
      </c>
      <c r="D5329" s="7" t="s">
        <v>34</v>
      </c>
      <c r="E5329" s="7" t="s">
        <v>35</v>
      </c>
      <c r="F5329" s="0" t="n">
        <v>19.44</v>
      </c>
      <c r="G5329" s="0" t="n">
        <v>9.3312</v>
      </c>
      <c r="H5329" s="0" t="n">
        <v>0</v>
      </c>
      <c r="I5329" s="7" t="n">
        <f aca="false">YEAR(B5329)</f>
        <v>2014</v>
      </c>
      <c r="J5329" s="0" t="str">
        <f aca="false">I5329&amp;"-Q"&amp;ROUNDUP(MONTH(B5329)/3,0)</f>
        <v>2014-Q1</v>
      </c>
    </row>
    <row r="5330" customFormat="false" ht="15" hidden="false" customHeight="false" outlineLevel="0" collapsed="false">
      <c r="A5330" s="0" t="s">
        <v>2730</v>
      </c>
      <c r="B5330" s="6" t="n">
        <v>42068</v>
      </c>
      <c r="C5330" s="7" t="s">
        <v>45</v>
      </c>
      <c r="D5330" s="7" t="s">
        <v>46</v>
      </c>
      <c r="E5330" s="7" t="s">
        <v>39</v>
      </c>
      <c r="F5330" s="0" t="n">
        <v>31.92</v>
      </c>
      <c r="G5330" s="0" t="n">
        <v>2.394</v>
      </c>
      <c r="H5330" s="0" t="n">
        <v>0.2</v>
      </c>
      <c r="I5330" s="7" t="n">
        <f aca="false">YEAR(B5330)</f>
        <v>2015</v>
      </c>
      <c r="J5330" s="0" t="str">
        <f aca="false">I5330&amp;"-Q"&amp;ROUNDUP(MONTH(B5330)/3,0)</f>
        <v>2015-Q1</v>
      </c>
    </row>
    <row r="5331" customFormat="false" ht="15" hidden="false" customHeight="false" outlineLevel="0" collapsed="false">
      <c r="A5331" s="0" t="s">
        <v>2731</v>
      </c>
      <c r="B5331" s="6" t="n">
        <v>42729</v>
      </c>
      <c r="C5331" s="7" t="s">
        <v>55</v>
      </c>
      <c r="D5331" s="7" t="s">
        <v>76</v>
      </c>
      <c r="E5331" s="7" t="s">
        <v>35</v>
      </c>
      <c r="F5331" s="0" t="n">
        <v>33.568</v>
      </c>
      <c r="G5331" s="0" t="n">
        <v>11.7488</v>
      </c>
      <c r="H5331" s="0" t="n">
        <v>0.2</v>
      </c>
      <c r="I5331" s="7" t="n">
        <f aca="false">YEAR(B5331)</f>
        <v>2016</v>
      </c>
      <c r="J5331" s="0" t="str">
        <f aca="false">I5331&amp;"-Q"&amp;ROUNDUP(MONTH(B5331)/3,0)</f>
        <v>2016-Q4</v>
      </c>
    </row>
    <row r="5332" customFormat="false" ht="15" hidden="false" customHeight="false" outlineLevel="0" collapsed="false">
      <c r="A5332" s="0" t="s">
        <v>2732</v>
      </c>
      <c r="B5332" s="6" t="n">
        <v>42617</v>
      </c>
      <c r="C5332" s="7" t="s">
        <v>55</v>
      </c>
      <c r="D5332" s="7" t="s">
        <v>76</v>
      </c>
      <c r="E5332" s="7" t="s">
        <v>31</v>
      </c>
      <c r="F5332" s="0" t="n">
        <v>63.94</v>
      </c>
      <c r="G5332" s="0" t="n">
        <v>24.9366</v>
      </c>
      <c r="H5332" s="0" t="n">
        <v>0</v>
      </c>
      <c r="I5332" s="7" t="n">
        <f aca="false">YEAR(B5332)</f>
        <v>2016</v>
      </c>
      <c r="J5332" s="0" t="str">
        <f aca="false">I5332&amp;"-Q"&amp;ROUNDUP(MONTH(B5332)/3,0)</f>
        <v>2016-Q3</v>
      </c>
    </row>
    <row r="5333" customFormat="false" ht="15" hidden="false" customHeight="false" outlineLevel="0" collapsed="false">
      <c r="A5333" s="0" t="s">
        <v>2732</v>
      </c>
      <c r="B5333" s="6" t="n">
        <v>42617</v>
      </c>
      <c r="C5333" s="7" t="s">
        <v>55</v>
      </c>
      <c r="D5333" s="7" t="s">
        <v>76</v>
      </c>
      <c r="E5333" s="7" t="s">
        <v>35</v>
      </c>
      <c r="F5333" s="0" t="n">
        <v>60.6</v>
      </c>
      <c r="G5333" s="0" t="n">
        <v>20.4525</v>
      </c>
      <c r="H5333" s="0" t="n">
        <v>0.2</v>
      </c>
      <c r="I5333" s="7" t="n">
        <f aca="false">YEAR(B5333)</f>
        <v>2016</v>
      </c>
      <c r="J5333" s="0" t="str">
        <f aca="false">I5333&amp;"-Q"&amp;ROUNDUP(MONTH(B5333)/3,0)</f>
        <v>2016-Q3</v>
      </c>
    </row>
    <row r="5334" customFormat="false" ht="15" hidden="false" customHeight="false" outlineLevel="0" collapsed="false">
      <c r="A5334" s="0" t="s">
        <v>2732</v>
      </c>
      <c r="B5334" s="6" t="n">
        <v>42617</v>
      </c>
      <c r="C5334" s="7" t="s">
        <v>55</v>
      </c>
      <c r="D5334" s="7" t="s">
        <v>76</v>
      </c>
      <c r="E5334" s="7" t="s">
        <v>35</v>
      </c>
      <c r="F5334" s="0" t="n">
        <v>22.72</v>
      </c>
      <c r="G5334" s="0" t="n">
        <v>6.5888</v>
      </c>
      <c r="H5334" s="0" t="n">
        <v>0</v>
      </c>
      <c r="I5334" s="7" t="n">
        <f aca="false">YEAR(B5334)</f>
        <v>2016</v>
      </c>
      <c r="J5334" s="0" t="str">
        <f aca="false">I5334&amp;"-Q"&amp;ROUNDUP(MONTH(B5334)/3,0)</f>
        <v>2016-Q3</v>
      </c>
    </row>
    <row r="5335" customFormat="false" ht="15" hidden="false" customHeight="false" outlineLevel="0" collapsed="false">
      <c r="A5335" s="0" t="s">
        <v>2733</v>
      </c>
      <c r="B5335" s="6" t="n">
        <v>41877</v>
      </c>
      <c r="C5335" s="7" t="s">
        <v>55</v>
      </c>
      <c r="D5335" s="7" t="s">
        <v>72</v>
      </c>
      <c r="E5335" s="7" t="s">
        <v>31</v>
      </c>
      <c r="F5335" s="0" t="n">
        <v>10.68</v>
      </c>
      <c r="G5335" s="0" t="n">
        <v>4.0584</v>
      </c>
      <c r="H5335" s="0" t="n">
        <v>0</v>
      </c>
      <c r="I5335" s="7" t="n">
        <f aca="false">YEAR(B5335)</f>
        <v>2014</v>
      </c>
      <c r="J5335" s="0" t="str">
        <f aca="false">I5335&amp;"-Q"&amp;ROUNDUP(MONTH(B5335)/3,0)</f>
        <v>2014-Q3</v>
      </c>
    </row>
    <row r="5336" customFormat="false" ht="15" hidden="false" customHeight="false" outlineLevel="0" collapsed="false">
      <c r="A5336" s="0" t="s">
        <v>2733</v>
      </c>
      <c r="B5336" s="6" t="n">
        <v>41877</v>
      </c>
      <c r="C5336" s="7" t="s">
        <v>55</v>
      </c>
      <c r="D5336" s="7" t="s">
        <v>72</v>
      </c>
      <c r="E5336" s="7" t="s">
        <v>35</v>
      </c>
      <c r="F5336" s="0" t="n">
        <v>17.34</v>
      </c>
      <c r="G5336" s="0" t="n">
        <v>8.4966</v>
      </c>
      <c r="H5336" s="0" t="n">
        <v>0</v>
      </c>
      <c r="I5336" s="7" t="n">
        <f aca="false">YEAR(B5336)</f>
        <v>2014</v>
      </c>
      <c r="J5336" s="0" t="str">
        <f aca="false">I5336&amp;"-Q"&amp;ROUNDUP(MONTH(B5336)/3,0)</f>
        <v>2014-Q3</v>
      </c>
    </row>
    <row r="5337" customFormat="false" ht="15" hidden="false" customHeight="false" outlineLevel="0" collapsed="false">
      <c r="A5337" s="0" t="s">
        <v>2733</v>
      </c>
      <c r="B5337" s="6" t="n">
        <v>41877</v>
      </c>
      <c r="C5337" s="7" t="s">
        <v>55</v>
      </c>
      <c r="D5337" s="7" t="s">
        <v>72</v>
      </c>
      <c r="E5337" s="7" t="s">
        <v>35</v>
      </c>
      <c r="F5337" s="0" t="n">
        <v>3.38</v>
      </c>
      <c r="G5337" s="0" t="n">
        <v>1.5548</v>
      </c>
      <c r="H5337" s="0" t="n">
        <v>0</v>
      </c>
      <c r="I5337" s="7" t="n">
        <f aca="false">YEAR(B5337)</f>
        <v>2014</v>
      </c>
      <c r="J5337" s="0" t="str">
        <f aca="false">I5337&amp;"-Q"&amp;ROUNDUP(MONTH(B5337)/3,0)</f>
        <v>2014-Q3</v>
      </c>
    </row>
    <row r="5338" customFormat="false" ht="15" hidden="false" customHeight="false" outlineLevel="0" collapsed="false">
      <c r="A5338" s="0" t="s">
        <v>2734</v>
      </c>
      <c r="B5338" s="6" t="n">
        <v>42145</v>
      </c>
      <c r="C5338" s="7" t="s">
        <v>33</v>
      </c>
      <c r="D5338" s="7" t="s">
        <v>43</v>
      </c>
      <c r="E5338" s="7" t="s">
        <v>35</v>
      </c>
      <c r="F5338" s="0" t="n">
        <v>26.976</v>
      </c>
      <c r="G5338" s="0" t="n">
        <v>8.7672</v>
      </c>
      <c r="H5338" s="0" t="n">
        <v>0.2</v>
      </c>
      <c r="I5338" s="7" t="n">
        <f aca="false">YEAR(B5338)</f>
        <v>2015</v>
      </c>
      <c r="J5338" s="0" t="str">
        <f aca="false">I5338&amp;"-Q"&amp;ROUNDUP(MONTH(B5338)/3,0)</f>
        <v>2015-Q2</v>
      </c>
    </row>
    <row r="5339" customFormat="false" ht="15" hidden="false" customHeight="false" outlineLevel="0" collapsed="false">
      <c r="A5339" s="0" t="s">
        <v>2735</v>
      </c>
      <c r="B5339" s="6" t="n">
        <v>43024</v>
      </c>
      <c r="C5339" s="7" t="s">
        <v>33</v>
      </c>
      <c r="D5339" s="7" t="s">
        <v>81</v>
      </c>
      <c r="E5339" s="7" t="s">
        <v>35</v>
      </c>
      <c r="F5339" s="0" t="n">
        <v>307.776</v>
      </c>
      <c r="G5339" s="0" t="n">
        <v>111.5688</v>
      </c>
      <c r="H5339" s="0" t="n">
        <v>0.2</v>
      </c>
      <c r="I5339" s="7" t="n">
        <f aca="false">YEAR(B5339)</f>
        <v>2017</v>
      </c>
      <c r="J5339" s="0" t="str">
        <f aca="false">I5339&amp;"-Q"&amp;ROUNDUP(MONTH(B5339)/3,0)</f>
        <v>2017-Q4</v>
      </c>
    </row>
    <row r="5340" customFormat="false" ht="15" hidden="false" customHeight="false" outlineLevel="0" collapsed="false">
      <c r="A5340" s="0" t="s">
        <v>2736</v>
      </c>
      <c r="B5340" s="6" t="n">
        <v>42317</v>
      </c>
      <c r="C5340" s="7" t="s">
        <v>55</v>
      </c>
      <c r="D5340" s="7" t="s">
        <v>76</v>
      </c>
      <c r="E5340" s="7" t="s">
        <v>35</v>
      </c>
      <c r="F5340" s="0" t="n">
        <v>244.55</v>
      </c>
      <c r="G5340" s="0" t="n">
        <v>4.891</v>
      </c>
      <c r="H5340" s="0" t="n">
        <v>0</v>
      </c>
      <c r="I5340" s="7" t="n">
        <f aca="false">YEAR(B5340)</f>
        <v>2015</v>
      </c>
      <c r="J5340" s="0" t="str">
        <f aca="false">I5340&amp;"-Q"&amp;ROUNDUP(MONTH(B5340)/3,0)</f>
        <v>2015-Q4</v>
      </c>
    </row>
    <row r="5341" customFormat="false" ht="15" hidden="false" customHeight="false" outlineLevel="0" collapsed="false">
      <c r="A5341" s="0" t="s">
        <v>2736</v>
      </c>
      <c r="B5341" s="6" t="n">
        <v>42317</v>
      </c>
      <c r="C5341" s="7" t="s">
        <v>55</v>
      </c>
      <c r="D5341" s="7" t="s">
        <v>76</v>
      </c>
      <c r="E5341" s="7" t="s">
        <v>35</v>
      </c>
      <c r="F5341" s="0" t="n">
        <v>12.24</v>
      </c>
      <c r="G5341" s="0" t="n">
        <v>5.7528</v>
      </c>
      <c r="H5341" s="0" t="n">
        <v>0</v>
      </c>
      <c r="I5341" s="7" t="n">
        <f aca="false">YEAR(B5341)</f>
        <v>2015</v>
      </c>
      <c r="J5341" s="0" t="str">
        <f aca="false">I5341&amp;"-Q"&amp;ROUNDUP(MONTH(B5341)/3,0)</f>
        <v>2015-Q4</v>
      </c>
    </row>
    <row r="5342" customFormat="false" ht="15" hidden="false" customHeight="false" outlineLevel="0" collapsed="false">
      <c r="A5342" s="0" t="s">
        <v>2736</v>
      </c>
      <c r="B5342" s="6" t="n">
        <v>42317</v>
      </c>
      <c r="C5342" s="7" t="s">
        <v>55</v>
      </c>
      <c r="D5342" s="7" t="s">
        <v>76</v>
      </c>
      <c r="E5342" s="7" t="s">
        <v>39</v>
      </c>
      <c r="F5342" s="0" t="n">
        <v>13.98</v>
      </c>
      <c r="G5342" s="0" t="n">
        <v>6.0114</v>
      </c>
      <c r="H5342" s="0" t="n">
        <v>0</v>
      </c>
      <c r="I5342" s="7" t="n">
        <f aca="false">YEAR(B5342)</f>
        <v>2015</v>
      </c>
      <c r="J5342" s="0" t="str">
        <f aca="false">I5342&amp;"-Q"&amp;ROUNDUP(MONTH(B5342)/3,0)</f>
        <v>2015-Q4</v>
      </c>
    </row>
    <row r="5343" customFormat="false" ht="15" hidden="false" customHeight="false" outlineLevel="0" collapsed="false">
      <c r="A5343" s="0" t="s">
        <v>2736</v>
      </c>
      <c r="B5343" s="6" t="n">
        <v>42317</v>
      </c>
      <c r="C5343" s="7" t="s">
        <v>55</v>
      </c>
      <c r="D5343" s="7" t="s">
        <v>76</v>
      </c>
      <c r="E5343" s="7" t="s">
        <v>39</v>
      </c>
      <c r="F5343" s="0" t="n">
        <v>899.95</v>
      </c>
      <c r="G5343" s="0" t="n">
        <v>53.997</v>
      </c>
      <c r="H5343" s="0" t="n">
        <v>0</v>
      </c>
      <c r="I5343" s="7" t="n">
        <f aca="false">YEAR(B5343)</f>
        <v>2015</v>
      </c>
      <c r="J5343" s="0" t="str">
        <f aca="false">I5343&amp;"-Q"&amp;ROUNDUP(MONTH(B5343)/3,0)</f>
        <v>2015-Q4</v>
      </c>
    </row>
    <row r="5344" customFormat="false" ht="15" hidden="false" customHeight="false" outlineLevel="0" collapsed="false">
      <c r="A5344" s="0" t="s">
        <v>2737</v>
      </c>
      <c r="B5344" s="6" t="n">
        <v>41964</v>
      </c>
      <c r="C5344" s="7" t="s">
        <v>45</v>
      </c>
      <c r="D5344" s="7" t="s">
        <v>46</v>
      </c>
      <c r="E5344" s="7" t="s">
        <v>35</v>
      </c>
      <c r="F5344" s="0" t="n">
        <v>1.632</v>
      </c>
      <c r="G5344" s="0" t="n">
        <v>0.5508</v>
      </c>
      <c r="H5344" s="0" t="n">
        <v>0.2</v>
      </c>
      <c r="I5344" s="7" t="n">
        <f aca="false">YEAR(B5344)</f>
        <v>2014</v>
      </c>
      <c r="J5344" s="0" t="str">
        <f aca="false">I5344&amp;"-Q"&amp;ROUNDUP(MONTH(B5344)/3,0)</f>
        <v>2014-Q4</v>
      </c>
    </row>
    <row r="5345" customFormat="false" ht="15" hidden="false" customHeight="false" outlineLevel="0" collapsed="false">
      <c r="A5345" s="0" t="s">
        <v>2737</v>
      </c>
      <c r="B5345" s="6" t="n">
        <v>41964</v>
      </c>
      <c r="C5345" s="7" t="s">
        <v>45</v>
      </c>
      <c r="D5345" s="7" t="s">
        <v>46</v>
      </c>
      <c r="E5345" s="7" t="s">
        <v>39</v>
      </c>
      <c r="F5345" s="0" t="n">
        <v>267.96</v>
      </c>
      <c r="G5345" s="0" t="n">
        <v>16.7475</v>
      </c>
      <c r="H5345" s="0" t="n">
        <v>0.2</v>
      </c>
      <c r="I5345" s="7" t="n">
        <f aca="false">YEAR(B5345)</f>
        <v>2014</v>
      </c>
      <c r="J5345" s="0" t="str">
        <f aca="false">I5345&amp;"-Q"&amp;ROUNDUP(MONTH(B5345)/3,0)</f>
        <v>2014-Q4</v>
      </c>
    </row>
    <row r="5346" customFormat="false" ht="15" hidden="false" customHeight="false" outlineLevel="0" collapsed="false">
      <c r="A5346" s="0" t="s">
        <v>2738</v>
      </c>
      <c r="B5346" s="6" t="n">
        <v>42288</v>
      </c>
      <c r="C5346" s="7" t="s">
        <v>55</v>
      </c>
      <c r="D5346" s="7" t="s">
        <v>76</v>
      </c>
      <c r="E5346" s="7" t="s">
        <v>39</v>
      </c>
      <c r="F5346" s="0" t="n">
        <v>31.95</v>
      </c>
      <c r="G5346" s="0" t="n">
        <v>2.2365</v>
      </c>
      <c r="H5346" s="0" t="n">
        <v>0</v>
      </c>
      <c r="I5346" s="7" t="n">
        <f aca="false">YEAR(B5346)</f>
        <v>2015</v>
      </c>
      <c r="J5346" s="0" t="str">
        <f aca="false">I5346&amp;"-Q"&amp;ROUNDUP(MONTH(B5346)/3,0)</f>
        <v>2015-Q4</v>
      </c>
    </row>
    <row r="5347" customFormat="false" ht="15" hidden="false" customHeight="false" outlineLevel="0" collapsed="false">
      <c r="A5347" s="0" t="s">
        <v>2739</v>
      </c>
      <c r="B5347" s="6" t="n">
        <v>42815</v>
      </c>
      <c r="C5347" s="7" t="s">
        <v>33</v>
      </c>
      <c r="D5347" s="7" t="s">
        <v>34</v>
      </c>
      <c r="E5347" s="7" t="s">
        <v>35</v>
      </c>
      <c r="F5347" s="0" t="n">
        <v>725.84</v>
      </c>
      <c r="G5347" s="0" t="n">
        <v>210.4936</v>
      </c>
      <c r="H5347" s="0" t="n">
        <v>0</v>
      </c>
      <c r="I5347" s="7" t="n">
        <f aca="false">YEAR(B5347)</f>
        <v>2017</v>
      </c>
      <c r="J5347" s="0" t="str">
        <f aca="false">I5347&amp;"-Q"&amp;ROUNDUP(MONTH(B5347)/3,0)</f>
        <v>2017-Q1</v>
      </c>
    </row>
    <row r="5348" customFormat="false" ht="15" hidden="false" customHeight="false" outlineLevel="0" collapsed="false">
      <c r="A5348" s="0" t="s">
        <v>2739</v>
      </c>
      <c r="B5348" s="6" t="n">
        <v>42815</v>
      </c>
      <c r="C5348" s="7" t="s">
        <v>33</v>
      </c>
      <c r="D5348" s="7" t="s">
        <v>34</v>
      </c>
      <c r="E5348" s="7" t="s">
        <v>35</v>
      </c>
      <c r="F5348" s="0" t="n">
        <v>10.896</v>
      </c>
      <c r="G5348" s="0" t="n">
        <v>3.9498</v>
      </c>
      <c r="H5348" s="0" t="n">
        <v>0.2</v>
      </c>
      <c r="I5348" s="7" t="n">
        <f aca="false">YEAR(B5348)</f>
        <v>2017</v>
      </c>
      <c r="J5348" s="0" t="str">
        <f aca="false">I5348&amp;"-Q"&amp;ROUNDUP(MONTH(B5348)/3,0)</f>
        <v>2017-Q1</v>
      </c>
    </row>
    <row r="5349" customFormat="false" ht="15" hidden="false" customHeight="false" outlineLevel="0" collapsed="false">
      <c r="A5349" s="0" t="s">
        <v>2739</v>
      </c>
      <c r="B5349" s="6" t="n">
        <v>42815</v>
      </c>
      <c r="C5349" s="7" t="s">
        <v>33</v>
      </c>
      <c r="D5349" s="7" t="s">
        <v>34</v>
      </c>
      <c r="E5349" s="7" t="s">
        <v>35</v>
      </c>
      <c r="F5349" s="0" t="n">
        <v>8.544</v>
      </c>
      <c r="G5349" s="0" t="n">
        <v>2.8836</v>
      </c>
      <c r="H5349" s="0" t="n">
        <v>0.2</v>
      </c>
      <c r="I5349" s="7" t="n">
        <f aca="false">YEAR(B5349)</f>
        <v>2017</v>
      </c>
      <c r="J5349" s="0" t="str">
        <f aca="false">I5349&amp;"-Q"&amp;ROUNDUP(MONTH(B5349)/3,0)</f>
        <v>2017-Q1</v>
      </c>
    </row>
    <row r="5350" customFormat="false" ht="15" hidden="false" customHeight="false" outlineLevel="0" collapsed="false">
      <c r="A5350" s="0" t="s">
        <v>2740</v>
      </c>
      <c r="B5350" s="6" t="n">
        <v>42008</v>
      </c>
      <c r="C5350" s="7" t="s">
        <v>45</v>
      </c>
      <c r="D5350" s="7" t="s">
        <v>68</v>
      </c>
      <c r="E5350" s="7" t="s">
        <v>35</v>
      </c>
      <c r="F5350" s="0" t="n">
        <v>32.34</v>
      </c>
      <c r="G5350" s="0" t="n">
        <v>15.5232</v>
      </c>
      <c r="H5350" s="0" t="n">
        <v>0</v>
      </c>
      <c r="I5350" s="7" t="n">
        <f aca="false">YEAR(B5350)</f>
        <v>2015</v>
      </c>
      <c r="J5350" s="0" t="str">
        <f aca="false">I5350&amp;"-Q"&amp;ROUNDUP(MONTH(B5350)/3,0)</f>
        <v>2015-Q1</v>
      </c>
    </row>
    <row r="5351" customFormat="false" ht="15" hidden="false" customHeight="false" outlineLevel="0" collapsed="false">
      <c r="A5351" s="0" t="s">
        <v>2740</v>
      </c>
      <c r="B5351" s="6" t="n">
        <v>42008</v>
      </c>
      <c r="C5351" s="7" t="s">
        <v>45</v>
      </c>
      <c r="D5351" s="7" t="s">
        <v>68</v>
      </c>
      <c r="E5351" s="7" t="s">
        <v>35</v>
      </c>
      <c r="F5351" s="0" t="n">
        <v>39.9</v>
      </c>
      <c r="G5351" s="0" t="n">
        <v>19.95</v>
      </c>
      <c r="H5351" s="0" t="n">
        <v>0</v>
      </c>
      <c r="I5351" s="7" t="n">
        <f aca="false">YEAR(B5351)</f>
        <v>2015</v>
      </c>
      <c r="J5351" s="0" t="str">
        <f aca="false">I5351&amp;"-Q"&amp;ROUNDUP(MONTH(B5351)/3,0)</f>
        <v>2015-Q1</v>
      </c>
    </row>
    <row r="5352" customFormat="false" ht="15" hidden="false" customHeight="false" outlineLevel="0" collapsed="false">
      <c r="A5352" s="0" t="s">
        <v>2741</v>
      </c>
      <c r="B5352" s="6" t="n">
        <v>43078</v>
      </c>
      <c r="C5352" s="7" t="s">
        <v>45</v>
      </c>
      <c r="D5352" s="7" t="s">
        <v>64</v>
      </c>
      <c r="E5352" s="7" t="s">
        <v>35</v>
      </c>
      <c r="F5352" s="0" t="n">
        <v>143.856</v>
      </c>
      <c r="G5352" s="0" t="n">
        <v>48.5514</v>
      </c>
      <c r="H5352" s="0" t="n">
        <v>0.2</v>
      </c>
      <c r="I5352" s="7" t="n">
        <f aca="false">YEAR(B5352)</f>
        <v>2017</v>
      </c>
      <c r="J5352" s="0" t="str">
        <f aca="false">I5352&amp;"-Q"&amp;ROUNDUP(MONTH(B5352)/3,0)</f>
        <v>2017-Q4</v>
      </c>
    </row>
    <row r="5353" customFormat="false" ht="15" hidden="false" customHeight="false" outlineLevel="0" collapsed="false">
      <c r="A5353" s="0" t="s">
        <v>2742</v>
      </c>
      <c r="B5353" s="6" t="n">
        <v>42619</v>
      </c>
      <c r="C5353" s="7" t="s">
        <v>45</v>
      </c>
      <c r="D5353" s="7" t="s">
        <v>46</v>
      </c>
      <c r="E5353" s="7" t="s">
        <v>35</v>
      </c>
      <c r="F5353" s="0" t="n">
        <v>41.92</v>
      </c>
      <c r="G5353" s="0" t="n">
        <v>15.196</v>
      </c>
      <c r="H5353" s="0" t="n">
        <v>0.2</v>
      </c>
      <c r="I5353" s="7" t="n">
        <f aca="false">YEAR(B5353)</f>
        <v>2016</v>
      </c>
      <c r="J5353" s="0" t="str">
        <f aca="false">I5353&amp;"-Q"&amp;ROUNDUP(MONTH(B5353)/3,0)</f>
        <v>2016-Q3</v>
      </c>
    </row>
    <row r="5354" customFormat="false" ht="15" hidden="false" customHeight="false" outlineLevel="0" collapsed="false">
      <c r="A5354" s="0" t="s">
        <v>2742</v>
      </c>
      <c r="B5354" s="6" t="n">
        <v>42619</v>
      </c>
      <c r="C5354" s="7" t="s">
        <v>45</v>
      </c>
      <c r="D5354" s="7" t="s">
        <v>46</v>
      </c>
      <c r="E5354" s="7" t="s">
        <v>39</v>
      </c>
      <c r="F5354" s="0" t="n">
        <v>329.584</v>
      </c>
      <c r="G5354" s="0" t="n">
        <v>37.0782</v>
      </c>
      <c r="H5354" s="0" t="n">
        <v>0.2</v>
      </c>
      <c r="I5354" s="7" t="n">
        <f aca="false">YEAR(B5354)</f>
        <v>2016</v>
      </c>
      <c r="J5354" s="0" t="str">
        <f aca="false">I5354&amp;"-Q"&amp;ROUNDUP(MONTH(B5354)/3,0)</f>
        <v>2016-Q3</v>
      </c>
    </row>
    <row r="5355" customFormat="false" ht="15" hidden="false" customHeight="false" outlineLevel="0" collapsed="false">
      <c r="A5355" s="0" t="s">
        <v>2743</v>
      </c>
      <c r="B5355" s="6" t="n">
        <v>42616</v>
      </c>
      <c r="C5355" s="7" t="s">
        <v>29</v>
      </c>
      <c r="D5355" s="7" t="s">
        <v>152</v>
      </c>
      <c r="E5355" s="7" t="s">
        <v>35</v>
      </c>
      <c r="F5355" s="0" t="n">
        <v>87.28</v>
      </c>
      <c r="G5355" s="0" t="n">
        <v>41.0216</v>
      </c>
      <c r="H5355" s="0" t="n">
        <v>0</v>
      </c>
      <c r="I5355" s="7" t="n">
        <f aca="false">YEAR(B5355)</f>
        <v>2016</v>
      </c>
      <c r="J5355" s="0" t="str">
        <f aca="false">I5355&amp;"-Q"&amp;ROUNDUP(MONTH(B5355)/3,0)</f>
        <v>2016-Q3</v>
      </c>
    </row>
    <row r="5356" customFormat="false" ht="15" hidden="false" customHeight="false" outlineLevel="0" collapsed="false">
      <c r="A5356" s="0" t="s">
        <v>2744</v>
      </c>
      <c r="B5356" s="6" t="n">
        <v>41772</v>
      </c>
      <c r="C5356" s="7" t="s">
        <v>33</v>
      </c>
      <c r="D5356" s="7" t="s">
        <v>34</v>
      </c>
      <c r="E5356" s="7" t="s">
        <v>31</v>
      </c>
      <c r="F5356" s="0" t="n">
        <v>279.456</v>
      </c>
      <c r="G5356" s="0" t="n">
        <v>20.9592</v>
      </c>
      <c r="H5356" s="0" t="n">
        <v>0.2</v>
      </c>
      <c r="I5356" s="7" t="n">
        <f aca="false">YEAR(B5356)</f>
        <v>2014</v>
      </c>
      <c r="J5356" s="0" t="str">
        <f aca="false">I5356&amp;"-Q"&amp;ROUNDUP(MONTH(B5356)/3,0)</f>
        <v>2014-Q2</v>
      </c>
    </row>
    <row r="5357" customFormat="false" ht="15" hidden="false" customHeight="false" outlineLevel="0" collapsed="false">
      <c r="A5357" s="0" t="s">
        <v>2744</v>
      </c>
      <c r="B5357" s="6" t="n">
        <v>41772</v>
      </c>
      <c r="C5357" s="7" t="s">
        <v>33</v>
      </c>
      <c r="D5357" s="7" t="s">
        <v>34</v>
      </c>
      <c r="E5357" s="7" t="s">
        <v>35</v>
      </c>
      <c r="F5357" s="0" t="n">
        <v>8</v>
      </c>
      <c r="G5357" s="0" t="n">
        <v>3.84</v>
      </c>
      <c r="H5357" s="0" t="n">
        <v>0</v>
      </c>
      <c r="I5357" s="7" t="n">
        <f aca="false">YEAR(B5357)</f>
        <v>2014</v>
      </c>
      <c r="J5357" s="0" t="str">
        <f aca="false">I5357&amp;"-Q"&amp;ROUNDUP(MONTH(B5357)/3,0)</f>
        <v>2014-Q2</v>
      </c>
    </row>
    <row r="5358" customFormat="false" ht="15" hidden="false" customHeight="false" outlineLevel="0" collapsed="false">
      <c r="A5358" s="0" t="s">
        <v>2745</v>
      </c>
      <c r="B5358" s="6" t="n">
        <v>42642</v>
      </c>
      <c r="C5358" s="7" t="s">
        <v>33</v>
      </c>
      <c r="D5358" s="7" t="s">
        <v>34</v>
      </c>
      <c r="E5358" s="7" t="s">
        <v>35</v>
      </c>
      <c r="F5358" s="0" t="n">
        <v>27.24</v>
      </c>
      <c r="G5358" s="0" t="n">
        <v>9.534</v>
      </c>
      <c r="H5358" s="0" t="n">
        <v>0.2</v>
      </c>
      <c r="I5358" s="7" t="n">
        <f aca="false">YEAR(B5358)</f>
        <v>2016</v>
      </c>
      <c r="J5358" s="0" t="str">
        <f aca="false">I5358&amp;"-Q"&amp;ROUNDUP(MONTH(B5358)/3,0)</f>
        <v>2016-Q3</v>
      </c>
    </row>
    <row r="5359" customFormat="false" ht="15" hidden="false" customHeight="false" outlineLevel="0" collapsed="false">
      <c r="A5359" s="0" t="s">
        <v>2746</v>
      </c>
      <c r="B5359" s="6" t="n">
        <v>41856</v>
      </c>
      <c r="C5359" s="7" t="s">
        <v>33</v>
      </c>
      <c r="D5359" s="7" t="s">
        <v>34</v>
      </c>
      <c r="E5359" s="7" t="s">
        <v>39</v>
      </c>
      <c r="F5359" s="0" t="n">
        <v>16.36</v>
      </c>
      <c r="G5359" s="0" t="n">
        <v>1.636</v>
      </c>
      <c r="H5359" s="0" t="n">
        <v>0</v>
      </c>
      <c r="I5359" s="7" t="n">
        <f aca="false">YEAR(B5359)</f>
        <v>2014</v>
      </c>
      <c r="J5359" s="0" t="str">
        <f aca="false">I5359&amp;"-Q"&amp;ROUNDUP(MONTH(B5359)/3,0)</f>
        <v>2014-Q3</v>
      </c>
    </row>
    <row r="5360" customFormat="false" ht="15" hidden="false" customHeight="false" outlineLevel="0" collapsed="false">
      <c r="A5360" s="0" t="s">
        <v>2746</v>
      </c>
      <c r="B5360" s="6" t="n">
        <v>41856</v>
      </c>
      <c r="C5360" s="7" t="s">
        <v>33</v>
      </c>
      <c r="D5360" s="7" t="s">
        <v>34</v>
      </c>
      <c r="E5360" s="7" t="s">
        <v>35</v>
      </c>
      <c r="F5360" s="0" t="n">
        <v>15.78</v>
      </c>
      <c r="G5360" s="0" t="n">
        <v>0.6312</v>
      </c>
      <c r="H5360" s="0" t="n">
        <v>0</v>
      </c>
      <c r="I5360" s="7" t="n">
        <f aca="false">YEAR(B5360)</f>
        <v>2014</v>
      </c>
      <c r="J5360" s="0" t="str">
        <f aca="false">I5360&amp;"-Q"&amp;ROUNDUP(MONTH(B5360)/3,0)</f>
        <v>2014-Q3</v>
      </c>
    </row>
    <row r="5361" customFormat="false" ht="15" hidden="false" customHeight="false" outlineLevel="0" collapsed="false">
      <c r="A5361" s="0" t="s">
        <v>2746</v>
      </c>
      <c r="B5361" s="6" t="n">
        <v>41856</v>
      </c>
      <c r="C5361" s="7" t="s">
        <v>33</v>
      </c>
      <c r="D5361" s="7" t="s">
        <v>34</v>
      </c>
      <c r="E5361" s="7" t="s">
        <v>35</v>
      </c>
      <c r="F5361" s="0" t="n">
        <v>45.98</v>
      </c>
      <c r="G5361" s="0" t="n">
        <v>12.8744</v>
      </c>
      <c r="H5361" s="0" t="n">
        <v>0</v>
      </c>
      <c r="I5361" s="7" t="n">
        <f aca="false">YEAR(B5361)</f>
        <v>2014</v>
      </c>
      <c r="J5361" s="0" t="str">
        <f aca="false">I5361&amp;"-Q"&amp;ROUNDUP(MONTH(B5361)/3,0)</f>
        <v>2014-Q3</v>
      </c>
    </row>
    <row r="5362" customFormat="false" ht="15" hidden="false" customHeight="false" outlineLevel="0" collapsed="false">
      <c r="A5362" s="0" t="s">
        <v>2747</v>
      </c>
      <c r="B5362" s="6" t="n">
        <v>42839</v>
      </c>
      <c r="C5362" s="7" t="s">
        <v>29</v>
      </c>
      <c r="D5362" s="7" t="s">
        <v>41</v>
      </c>
      <c r="E5362" s="7" t="s">
        <v>31</v>
      </c>
      <c r="F5362" s="0" t="n">
        <v>198.272</v>
      </c>
      <c r="G5362" s="0" t="n">
        <v>-32.2192</v>
      </c>
      <c r="H5362" s="0" t="n">
        <v>0.2</v>
      </c>
      <c r="I5362" s="7" t="n">
        <f aca="false">YEAR(B5362)</f>
        <v>2017</v>
      </c>
      <c r="J5362" s="0" t="str">
        <f aca="false">I5362&amp;"-Q"&amp;ROUNDUP(MONTH(B5362)/3,0)</f>
        <v>2017-Q2</v>
      </c>
    </row>
    <row r="5363" customFormat="false" ht="15" hidden="false" customHeight="false" outlineLevel="0" collapsed="false">
      <c r="A5363" s="0" t="s">
        <v>2748</v>
      </c>
      <c r="B5363" s="6" t="n">
        <v>42895</v>
      </c>
      <c r="C5363" s="7" t="s">
        <v>45</v>
      </c>
      <c r="D5363" s="7" t="s">
        <v>46</v>
      </c>
      <c r="E5363" s="7" t="s">
        <v>35</v>
      </c>
      <c r="F5363" s="0" t="n">
        <v>720.76</v>
      </c>
      <c r="G5363" s="0" t="n">
        <v>54.057</v>
      </c>
      <c r="H5363" s="0" t="n">
        <v>0.2</v>
      </c>
      <c r="I5363" s="7" t="n">
        <f aca="false">YEAR(B5363)</f>
        <v>2017</v>
      </c>
      <c r="J5363" s="0" t="str">
        <f aca="false">I5363&amp;"-Q"&amp;ROUNDUP(MONTH(B5363)/3,0)</f>
        <v>2017-Q2</v>
      </c>
    </row>
    <row r="5364" customFormat="false" ht="15" hidden="false" customHeight="false" outlineLevel="0" collapsed="false">
      <c r="A5364" s="0" t="s">
        <v>2749</v>
      </c>
      <c r="B5364" s="6" t="n">
        <v>42733</v>
      </c>
      <c r="C5364" s="7" t="s">
        <v>45</v>
      </c>
      <c r="D5364" s="7" t="s">
        <v>946</v>
      </c>
      <c r="E5364" s="7" t="s">
        <v>31</v>
      </c>
      <c r="F5364" s="0" t="n">
        <v>70.56</v>
      </c>
      <c r="G5364" s="0" t="n">
        <v>23.9904</v>
      </c>
      <c r="H5364" s="0" t="n">
        <v>0</v>
      </c>
      <c r="I5364" s="7" t="n">
        <f aca="false">YEAR(B5364)</f>
        <v>2016</v>
      </c>
      <c r="J5364" s="0" t="str">
        <f aca="false">I5364&amp;"-Q"&amp;ROUNDUP(MONTH(B5364)/3,0)</f>
        <v>2016-Q4</v>
      </c>
    </row>
    <row r="5365" customFormat="false" ht="15" hidden="false" customHeight="false" outlineLevel="0" collapsed="false">
      <c r="A5365" s="0" t="s">
        <v>2749</v>
      </c>
      <c r="B5365" s="6" t="n">
        <v>42733</v>
      </c>
      <c r="C5365" s="7" t="s">
        <v>45</v>
      </c>
      <c r="D5365" s="7" t="s">
        <v>946</v>
      </c>
      <c r="E5365" s="7" t="s">
        <v>35</v>
      </c>
      <c r="F5365" s="0" t="n">
        <v>81.96</v>
      </c>
      <c r="G5365" s="0" t="n">
        <v>22.9488</v>
      </c>
      <c r="H5365" s="0" t="n">
        <v>0</v>
      </c>
      <c r="I5365" s="7" t="n">
        <f aca="false">YEAR(B5365)</f>
        <v>2016</v>
      </c>
      <c r="J5365" s="0" t="str">
        <f aca="false">I5365&amp;"-Q"&amp;ROUNDUP(MONTH(B5365)/3,0)</f>
        <v>2016-Q4</v>
      </c>
    </row>
    <row r="5366" customFormat="false" ht="15" hidden="false" customHeight="false" outlineLevel="0" collapsed="false">
      <c r="A5366" s="0" t="s">
        <v>2750</v>
      </c>
      <c r="B5366" s="6" t="n">
        <v>41657</v>
      </c>
      <c r="C5366" s="7" t="s">
        <v>33</v>
      </c>
      <c r="D5366" s="7" t="s">
        <v>102</v>
      </c>
      <c r="E5366" s="7" t="s">
        <v>35</v>
      </c>
      <c r="F5366" s="0" t="n">
        <v>64.864</v>
      </c>
      <c r="G5366" s="0" t="n">
        <v>6.4864</v>
      </c>
      <c r="H5366" s="0" t="n">
        <v>0.2</v>
      </c>
      <c r="I5366" s="7" t="n">
        <f aca="false">YEAR(B5366)</f>
        <v>2014</v>
      </c>
      <c r="J5366" s="0" t="str">
        <f aca="false">I5366&amp;"-Q"&amp;ROUNDUP(MONTH(B5366)/3,0)</f>
        <v>2014-Q1</v>
      </c>
    </row>
    <row r="5367" customFormat="false" ht="15" hidden="false" customHeight="false" outlineLevel="0" collapsed="false">
      <c r="A5367" s="0" t="s">
        <v>2751</v>
      </c>
      <c r="B5367" s="6" t="n">
        <v>42694</v>
      </c>
      <c r="C5367" s="7" t="s">
        <v>45</v>
      </c>
      <c r="D5367" s="7" t="s">
        <v>46</v>
      </c>
      <c r="E5367" s="7" t="s">
        <v>39</v>
      </c>
      <c r="F5367" s="0" t="n">
        <v>151.192</v>
      </c>
      <c r="G5367" s="0" t="n">
        <v>13.2293</v>
      </c>
      <c r="H5367" s="0" t="n">
        <v>0.2</v>
      </c>
      <c r="I5367" s="7" t="n">
        <f aca="false">YEAR(B5367)</f>
        <v>2016</v>
      </c>
      <c r="J5367" s="0" t="str">
        <f aca="false">I5367&amp;"-Q"&amp;ROUNDUP(MONTH(B5367)/3,0)</f>
        <v>2016-Q4</v>
      </c>
    </row>
    <row r="5368" customFormat="false" ht="15" hidden="false" customHeight="false" outlineLevel="0" collapsed="false">
      <c r="A5368" s="0" t="s">
        <v>2752</v>
      </c>
      <c r="B5368" s="6" t="n">
        <v>42896</v>
      </c>
      <c r="C5368" s="7" t="s">
        <v>33</v>
      </c>
      <c r="D5368" s="7" t="s">
        <v>43</v>
      </c>
      <c r="E5368" s="7" t="s">
        <v>39</v>
      </c>
      <c r="F5368" s="0" t="n">
        <v>88.776</v>
      </c>
      <c r="G5368" s="0" t="n">
        <v>7.7679</v>
      </c>
      <c r="H5368" s="0" t="n">
        <v>0.2</v>
      </c>
      <c r="I5368" s="7" t="n">
        <f aca="false">YEAR(B5368)</f>
        <v>2017</v>
      </c>
      <c r="J5368" s="0" t="str">
        <f aca="false">I5368&amp;"-Q"&amp;ROUNDUP(MONTH(B5368)/3,0)</f>
        <v>2017-Q2</v>
      </c>
    </row>
    <row r="5369" customFormat="false" ht="15" hidden="false" customHeight="false" outlineLevel="0" collapsed="false">
      <c r="A5369" s="0" t="s">
        <v>2752</v>
      </c>
      <c r="B5369" s="6" t="n">
        <v>42896</v>
      </c>
      <c r="C5369" s="7" t="s">
        <v>33</v>
      </c>
      <c r="D5369" s="7" t="s">
        <v>43</v>
      </c>
      <c r="E5369" s="7" t="s">
        <v>35</v>
      </c>
      <c r="F5369" s="0" t="n">
        <v>11.56</v>
      </c>
      <c r="G5369" s="0" t="n">
        <v>5.4332</v>
      </c>
      <c r="H5369" s="0" t="n">
        <v>0</v>
      </c>
      <c r="I5369" s="7" t="n">
        <f aca="false">YEAR(B5369)</f>
        <v>2017</v>
      </c>
      <c r="J5369" s="0" t="str">
        <f aca="false">I5369&amp;"-Q"&amp;ROUNDUP(MONTH(B5369)/3,0)</f>
        <v>2017-Q2</v>
      </c>
    </row>
    <row r="5370" customFormat="false" ht="15" hidden="false" customHeight="false" outlineLevel="0" collapsed="false">
      <c r="A5370" s="0" t="s">
        <v>2752</v>
      </c>
      <c r="B5370" s="6" t="n">
        <v>42896</v>
      </c>
      <c r="C5370" s="7" t="s">
        <v>33</v>
      </c>
      <c r="D5370" s="7" t="s">
        <v>43</v>
      </c>
      <c r="E5370" s="7" t="s">
        <v>35</v>
      </c>
      <c r="F5370" s="0" t="n">
        <v>15.58</v>
      </c>
      <c r="G5370" s="0" t="n">
        <v>3.895</v>
      </c>
      <c r="H5370" s="0" t="n">
        <v>0</v>
      </c>
      <c r="I5370" s="7" t="n">
        <f aca="false">YEAR(B5370)</f>
        <v>2017</v>
      </c>
      <c r="J5370" s="0" t="str">
        <f aca="false">I5370&amp;"-Q"&amp;ROUNDUP(MONTH(B5370)/3,0)</f>
        <v>2017-Q2</v>
      </c>
    </row>
    <row r="5371" customFormat="false" ht="15" hidden="false" customHeight="false" outlineLevel="0" collapsed="false">
      <c r="A5371" s="0" t="s">
        <v>2753</v>
      </c>
      <c r="B5371" s="6" t="n">
        <v>42988</v>
      </c>
      <c r="C5371" s="7" t="s">
        <v>55</v>
      </c>
      <c r="D5371" s="7" t="s">
        <v>116</v>
      </c>
      <c r="E5371" s="7" t="s">
        <v>35</v>
      </c>
      <c r="F5371" s="0" t="n">
        <v>85.056</v>
      </c>
      <c r="G5371" s="0" t="n">
        <v>28.7064</v>
      </c>
      <c r="H5371" s="0" t="n">
        <v>0.2</v>
      </c>
      <c r="I5371" s="7" t="n">
        <f aca="false">YEAR(B5371)</f>
        <v>2017</v>
      </c>
      <c r="J5371" s="0" t="str">
        <f aca="false">I5371&amp;"-Q"&amp;ROUNDUP(MONTH(B5371)/3,0)</f>
        <v>2017-Q3</v>
      </c>
    </row>
    <row r="5372" customFormat="false" ht="15" hidden="false" customHeight="false" outlineLevel="0" collapsed="false">
      <c r="A5372" s="0" t="s">
        <v>2754</v>
      </c>
      <c r="B5372" s="6" t="n">
        <v>42833</v>
      </c>
      <c r="C5372" s="7" t="s">
        <v>45</v>
      </c>
      <c r="D5372" s="7" t="s">
        <v>70</v>
      </c>
      <c r="E5372" s="7" t="s">
        <v>31</v>
      </c>
      <c r="F5372" s="0" t="n">
        <v>273.96</v>
      </c>
      <c r="G5372" s="0" t="n">
        <v>71.2296</v>
      </c>
      <c r="H5372" s="0" t="n">
        <v>0</v>
      </c>
      <c r="I5372" s="7" t="n">
        <f aca="false">YEAR(B5372)</f>
        <v>2017</v>
      </c>
      <c r="J5372" s="0" t="str">
        <f aca="false">I5372&amp;"-Q"&amp;ROUNDUP(MONTH(B5372)/3,0)</f>
        <v>2017-Q2</v>
      </c>
    </row>
    <row r="5373" customFormat="false" ht="15" hidden="false" customHeight="false" outlineLevel="0" collapsed="false">
      <c r="A5373" s="0" t="s">
        <v>2754</v>
      </c>
      <c r="B5373" s="6" t="n">
        <v>42833</v>
      </c>
      <c r="C5373" s="7" t="s">
        <v>45</v>
      </c>
      <c r="D5373" s="7" t="s">
        <v>70</v>
      </c>
      <c r="E5373" s="7" t="s">
        <v>31</v>
      </c>
      <c r="F5373" s="0" t="n">
        <v>306.9</v>
      </c>
      <c r="G5373" s="0" t="n">
        <v>79.794</v>
      </c>
      <c r="H5373" s="0" t="n">
        <v>0</v>
      </c>
      <c r="I5373" s="7" t="n">
        <f aca="false">YEAR(B5373)</f>
        <v>2017</v>
      </c>
      <c r="J5373" s="0" t="str">
        <f aca="false">I5373&amp;"-Q"&amp;ROUNDUP(MONTH(B5373)/3,0)</f>
        <v>2017-Q2</v>
      </c>
    </row>
    <row r="5374" customFormat="false" ht="15" hidden="false" customHeight="false" outlineLevel="0" collapsed="false">
      <c r="A5374" s="0" t="s">
        <v>2755</v>
      </c>
      <c r="B5374" s="6" t="n">
        <v>42301</v>
      </c>
      <c r="C5374" s="7" t="s">
        <v>45</v>
      </c>
      <c r="D5374" s="7" t="s">
        <v>46</v>
      </c>
      <c r="E5374" s="7" t="s">
        <v>35</v>
      </c>
      <c r="F5374" s="0" t="n">
        <v>15.552</v>
      </c>
      <c r="G5374" s="0" t="n">
        <v>5.4432</v>
      </c>
      <c r="H5374" s="0" t="n">
        <v>0.2</v>
      </c>
      <c r="I5374" s="7" t="n">
        <f aca="false">YEAR(B5374)</f>
        <v>2015</v>
      </c>
      <c r="J5374" s="0" t="str">
        <f aca="false">I5374&amp;"-Q"&amp;ROUNDUP(MONTH(B5374)/3,0)</f>
        <v>2015-Q4</v>
      </c>
    </row>
    <row r="5375" customFormat="false" ht="15" hidden="false" customHeight="false" outlineLevel="0" collapsed="false">
      <c r="A5375" s="0" t="s">
        <v>2755</v>
      </c>
      <c r="B5375" s="6" t="n">
        <v>42301</v>
      </c>
      <c r="C5375" s="7" t="s">
        <v>45</v>
      </c>
      <c r="D5375" s="7" t="s">
        <v>46</v>
      </c>
      <c r="E5375" s="7" t="s">
        <v>31</v>
      </c>
      <c r="F5375" s="0" t="n">
        <v>347.361</v>
      </c>
      <c r="G5375" s="0" t="n">
        <v>-69.4722</v>
      </c>
      <c r="H5375" s="0" t="n">
        <v>0.3</v>
      </c>
      <c r="I5375" s="7" t="n">
        <f aca="false">YEAR(B5375)</f>
        <v>2015</v>
      </c>
      <c r="J5375" s="0" t="str">
        <f aca="false">I5375&amp;"-Q"&amp;ROUNDUP(MONTH(B5375)/3,0)</f>
        <v>2015-Q4</v>
      </c>
    </row>
    <row r="5376" customFormat="false" ht="15" hidden="false" customHeight="false" outlineLevel="0" collapsed="false">
      <c r="A5376" s="0" t="s">
        <v>2755</v>
      </c>
      <c r="B5376" s="6" t="n">
        <v>42301</v>
      </c>
      <c r="C5376" s="7" t="s">
        <v>45</v>
      </c>
      <c r="D5376" s="7" t="s">
        <v>46</v>
      </c>
      <c r="E5376" s="7" t="s">
        <v>35</v>
      </c>
      <c r="F5376" s="0" t="n">
        <v>10.368</v>
      </c>
      <c r="G5376" s="0" t="n">
        <v>3.6288</v>
      </c>
      <c r="H5376" s="0" t="n">
        <v>0.2</v>
      </c>
      <c r="I5376" s="7" t="n">
        <f aca="false">YEAR(B5376)</f>
        <v>2015</v>
      </c>
      <c r="J5376" s="0" t="str">
        <f aca="false">I5376&amp;"-Q"&amp;ROUNDUP(MONTH(B5376)/3,0)</f>
        <v>2015-Q4</v>
      </c>
    </row>
    <row r="5377" customFormat="false" ht="15" hidden="false" customHeight="false" outlineLevel="0" collapsed="false">
      <c r="A5377" s="0" t="s">
        <v>2756</v>
      </c>
      <c r="B5377" s="6" t="n">
        <v>42882</v>
      </c>
      <c r="C5377" s="7" t="s">
        <v>33</v>
      </c>
      <c r="D5377" s="7" t="s">
        <v>43</v>
      </c>
      <c r="E5377" s="7" t="s">
        <v>39</v>
      </c>
      <c r="F5377" s="0" t="n">
        <v>98.16</v>
      </c>
      <c r="G5377" s="0" t="n">
        <v>9.816</v>
      </c>
      <c r="H5377" s="0" t="n">
        <v>0</v>
      </c>
      <c r="I5377" s="7" t="n">
        <f aca="false">YEAR(B5377)</f>
        <v>2017</v>
      </c>
      <c r="J5377" s="0" t="str">
        <f aca="false">I5377&amp;"-Q"&amp;ROUNDUP(MONTH(B5377)/3,0)</f>
        <v>2017-Q2</v>
      </c>
    </row>
    <row r="5378" customFormat="false" ht="15" hidden="false" customHeight="false" outlineLevel="0" collapsed="false">
      <c r="A5378" s="0" t="s">
        <v>2756</v>
      </c>
      <c r="B5378" s="6" t="n">
        <v>42882</v>
      </c>
      <c r="C5378" s="7" t="s">
        <v>33</v>
      </c>
      <c r="D5378" s="7" t="s">
        <v>43</v>
      </c>
      <c r="E5378" s="7" t="s">
        <v>35</v>
      </c>
      <c r="F5378" s="0" t="n">
        <v>31.44</v>
      </c>
      <c r="G5378" s="0" t="n">
        <v>7.86</v>
      </c>
      <c r="H5378" s="0" t="n">
        <v>0</v>
      </c>
      <c r="I5378" s="7" t="n">
        <f aca="false">YEAR(B5378)</f>
        <v>2017</v>
      </c>
      <c r="J5378" s="0" t="str">
        <f aca="false">I5378&amp;"-Q"&amp;ROUNDUP(MONTH(B5378)/3,0)</f>
        <v>2017-Q2</v>
      </c>
    </row>
    <row r="5379" customFormat="false" ht="15" hidden="false" customHeight="false" outlineLevel="0" collapsed="false">
      <c r="A5379" s="0" t="s">
        <v>2757</v>
      </c>
      <c r="B5379" s="6" t="n">
        <v>41978</v>
      </c>
      <c r="C5379" s="7" t="s">
        <v>55</v>
      </c>
      <c r="D5379" s="7" t="s">
        <v>56</v>
      </c>
      <c r="E5379" s="7" t="s">
        <v>35</v>
      </c>
      <c r="F5379" s="0" t="n">
        <v>348.488</v>
      </c>
      <c r="G5379" s="0" t="n">
        <v>117.6147</v>
      </c>
      <c r="H5379" s="0" t="n">
        <v>0.2</v>
      </c>
      <c r="I5379" s="7" t="n">
        <f aca="false">YEAR(B5379)</f>
        <v>2014</v>
      </c>
      <c r="J5379" s="0" t="str">
        <f aca="false">I5379&amp;"-Q"&amp;ROUNDUP(MONTH(B5379)/3,0)</f>
        <v>2014-Q4</v>
      </c>
    </row>
    <row r="5380" customFormat="false" ht="15" hidden="false" customHeight="false" outlineLevel="0" collapsed="false">
      <c r="A5380" s="0" t="s">
        <v>2757</v>
      </c>
      <c r="B5380" s="6" t="n">
        <v>41978</v>
      </c>
      <c r="C5380" s="7" t="s">
        <v>55</v>
      </c>
      <c r="D5380" s="7" t="s">
        <v>56</v>
      </c>
      <c r="E5380" s="7" t="s">
        <v>35</v>
      </c>
      <c r="F5380" s="0" t="n">
        <v>172.736</v>
      </c>
      <c r="G5380" s="0" t="n">
        <v>-30.2288</v>
      </c>
      <c r="H5380" s="0" t="n">
        <v>0.2</v>
      </c>
      <c r="I5380" s="7" t="n">
        <f aca="false">YEAR(B5380)</f>
        <v>2014</v>
      </c>
      <c r="J5380" s="0" t="str">
        <f aca="false">I5380&amp;"-Q"&amp;ROUNDUP(MONTH(B5380)/3,0)</f>
        <v>2014-Q4</v>
      </c>
    </row>
    <row r="5381" customFormat="false" ht="15" hidden="false" customHeight="false" outlineLevel="0" collapsed="false">
      <c r="A5381" s="0" t="s">
        <v>2758</v>
      </c>
      <c r="B5381" s="6" t="n">
        <v>42596</v>
      </c>
      <c r="C5381" s="7" t="s">
        <v>33</v>
      </c>
      <c r="D5381" s="7" t="s">
        <v>34</v>
      </c>
      <c r="E5381" s="7" t="s">
        <v>35</v>
      </c>
      <c r="F5381" s="0" t="n">
        <v>15.54</v>
      </c>
      <c r="G5381" s="0" t="n">
        <v>7.6146</v>
      </c>
      <c r="H5381" s="0" t="n">
        <v>0</v>
      </c>
      <c r="I5381" s="7" t="n">
        <f aca="false">YEAR(B5381)</f>
        <v>2016</v>
      </c>
      <c r="J5381" s="0" t="str">
        <f aca="false">I5381&amp;"-Q"&amp;ROUNDUP(MONTH(B5381)/3,0)</f>
        <v>2016-Q3</v>
      </c>
    </row>
    <row r="5382" customFormat="false" ht="15" hidden="false" customHeight="false" outlineLevel="0" collapsed="false">
      <c r="A5382" s="0" t="s">
        <v>2758</v>
      </c>
      <c r="B5382" s="6" t="n">
        <v>42596</v>
      </c>
      <c r="C5382" s="7" t="s">
        <v>33</v>
      </c>
      <c r="D5382" s="7" t="s">
        <v>34</v>
      </c>
      <c r="E5382" s="7" t="s">
        <v>39</v>
      </c>
      <c r="F5382" s="0" t="n">
        <v>105.552</v>
      </c>
      <c r="G5382" s="0" t="n">
        <v>35.6238</v>
      </c>
      <c r="H5382" s="0" t="n">
        <v>0.2</v>
      </c>
      <c r="I5382" s="7" t="n">
        <f aca="false">YEAR(B5382)</f>
        <v>2016</v>
      </c>
      <c r="J5382" s="0" t="str">
        <f aca="false">I5382&amp;"-Q"&amp;ROUNDUP(MONTH(B5382)/3,0)</f>
        <v>2016-Q3</v>
      </c>
    </row>
    <row r="5383" customFormat="false" ht="15" hidden="false" customHeight="false" outlineLevel="0" collapsed="false">
      <c r="A5383" s="0" t="s">
        <v>2759</v>
      </c>
      <c r="B5383" s="6" t="n">
        <v>42618</v>
      </c>
      <c r="C5383" s="7" t="s">
        <v>45</v>
      </c>
      <c r="D5383" s="7" t="s">
        <v>46</v>
      </c>
      <c r="E5383" s="7" t="s">
        <v>35</v>
      </c>
      <c r="F5383" s="0" t="n">
        <v>25.92</v>
      </c>
      <c r="G5383" s="0" t="n">
        <v>9.072</v>
      </c>
      <c r="H5383" s="0" t="n">
        <v>0.2</v>
      </c>
      <c r="I5383" s="7" t="n">
        <f aca="false">YEAR(B5383)</f>
        <v>2016</v>
      </c>
      <c r="J5383" s="0" t="str">
        <f aca="false">I5383&amp;"-Q"&amp;ROUNDUP(MONTH(B5383)/3,0)</f>
        <v>2016-Q3</v>
      </c>
    </row>
    <row r="5384" customFormat="false" ht="15" hidden="false" customHeight="false" outlineLevel="0" collapsed="false">
      <c r="A5384" s="0" t="s">
        <v>2759</v>
      </c>
      <c r="B5384" s="6" t="n">
        <v>42618</v>
      </c>
      <c r="C5384" s="7" t="s">
        <v>45</v>
      </c>
      <c r="D5384" s="7" t="s">
        <v>46</v>
      </c>
      <c r="E5384" s="7" t="s">
        <v>35</v>
      </c>
      <c r="F5384" s="0" t="n">
        <v>15.808</v>
      </c>
      <c r="G5384" s="0" t="n">
        <v>5.3352</v>
      </c>
      <c r="H5384" s="0" t="n">
        <v>0.2</v>
      </c>
      <c r="I5384" s="7" t="n">
        <f aca="false">YEAR(B5384)</f>
        <v>2016</v>
      </c>
      <c r="J5384" s="0" t="str">
        <f aca="false">I5384&amp;"-Q"&amp;ROUNDUP(MONTH(B5384)/3,0)</f>
        <v>2016-Q3</v>
      </c>
    </row>
    <row r="5385" customFormat="false" ht="15" hidden="false" customHeight="false" outlineLevel="0" collapsed="false">
      <c r="A5385" s="0" t="s">
        <v>2759</v>
      </c>
      <c r="B5385" s="6" t="n">
        <v>42618</v>
      </c>
      <c r="C5385" s="7" t="s">
        <v>45</v>
      </c>
      <c r="D5385" s="7" t="s">
        <v>46</v>
      </c>
      <c r="E5385" s="7" t="s">
        <v>35</v>
      </c>
      <c r="F5385" s="0" t="n">
        <v>10.368</v>
      </c>
      <c r="G5385" s="0" t="n">
        <v>3.7584</v>
      </c>
      <c r="H5385" s="0" t="n">
        <v>0.2</v>
      </c>
      <c r="I5385" s="7" t="n">
        <f aca="false">YEAR(B5385)</f>
        <v>2016</v>
      </c>
      <c r="J5385" s="0" t="str">
        <f aca="false">I5385&amp;"-Q"&amp;ROUNDUP(MONTH(B5385)/3,0)</f>
        <v>2016-Q3</v>
      </c>
    </row>
    <row r="5386" customFormat="false" ht="15" hidden="false" customHeight="false" outlineLevel="0" collapsed="false">
      <c r="A5386" s="0" t="s">
        <v>2760</v>
      </c>
      <c r="B5386" s="6" t="n">
        <v>42912</v>
      </c>
      <c r="C5386" s="7" t="s">
        <v>55</v>
      </c>
      <c r="D5386" s="7" t="s">
        <v>56</v>
      </c>
      <c r="E5386" s="7" t="s">
        <v>39</v>
      </c>
      <c r="F5386" s="0" t="n">
        <v>358.2</v>
      </c>
      <c r="G5386" s="0" t="n">
        <v>41.79</v>
      </c>
      <c r="H5386" s="0" t="n">
        <v>0.4</v>
      </c>
      <c r="I5386" s="7" t="n">
        <f aca="false">YEAR(B5386)</f>
        <v>2017</v>
      </c>
      <c r="J5386" s="0" t="str">
        <f aca="false">I5386&amp;"-Q"&amp;ROUNDUP(MONTH(B5386)/3,0)</f>
        <v>2017-Q2</v>
      </c>
    </row>
    <row r="5387" customFormat="false" ht="15" hidden="false" customHeight="false" outlineLevel="0" collapsed="false">
      <c r="A5387" s="0" t="s">
        <v>2760</v>
      </c>
      <c r="B5387" s="6" t="n">
        <v>42912</v>
      </c>
      <c r="C5387" s="7" t="s">
        <v>55</v>
      </c>
      <c r="D5387" s="7" t="s">
        <v>56</v>
      </c>
      <c r="E5387" s="7" t="s">
        <v>39</v>
      </c>
      <c r="F5387" s="0" t="n">
        <v>545.916</v>
      </c>
      <c r="G5387" s="0" t="n">
        <v>72.7888</v>
      </c>
      <c r="H5387" s="0" t="n">
        <v>0.4</v>
      </c>
      <c r="I5387" s="7" t="n">
        <f aca="false">YEAR(B5387)</f>
        <v>2017</v>
      </c>
      <c r="J5387" s="0" t="str">
        <f aca="false">I5387&amp;"-Q"&amp;ROUNDUP(MONTH(B5387)/3,0)</f>
        <v>2017-Q2</v>
      </c>
    </row>
    <row r="5388" customFormat="false" ht="15" hidden="false" customHeight="false" outlineLevel="0" collapsed="false">
      <c r="A5388" s="0" t="s">
        <v>2761</v>
      </c>
      <c r="B5388" s="6" t="n">
        <v>42806</v>
      </c>
      <c r="C5388" s="7" t="s">
        <v>29</v>
      </c>
      <c r="D5388" s="7" t="s">
        <v>301</v>
      </c>
      <c r="E5388" s="7" t="s">
        <v>35</v>
      </c>
      <c r="F5388" s="0" t="n">
        <v>40.41</v>
      </c>
      <c r="G5388" s="0" t="n">
        <v>18.5886</v>
      </c>
      <c r="H5388" s="0" t="n">
        <v>0</v>
      </c>
      <c r="I5388" s="7" t="n">
        <f aca="false">YEAR(B5388)</f>
        <v>2017</v>
      </c>
      <c r="J5388" s="0" t="str">
        <f aca="false">I5388&amp;"-Q"&amp;ROUNDUP(MONTH(B5388)/3,0)</f>
        <v>2017-Q1</v>
      </c>
    </row>
    <row r="5389" customFormat="false" ht="15" hidden="false" customHeight="false" outlineLevel="0" collapsed="false">
      <c r="A5389" s="0" t="s">
        <v>2762</v>
      </c>
      <c r="B5389" s="6" t="n">
        <v>42784</v>
      </c>
      <c r="C5389" s="7" t="s">
        <v>33</v>
      </c>
      <c r="D5389" s="7" t="s">
        <v>34</v>
      </c>
      <c r="E5389" s="7" t="s">
        <v>39</v>
      </c>
      <c r="F5389" s="0" t="n">
        <v>167.976</v>
      </c>
      <c r="G5389" s="0" t="n">
        <v>10.4985</v>
      </c>
      <c r="H5389" s="0" t="n">
        <v>0.2</v>
      </c>
      <c r="I5389" s="7" t="n">
        <f aca="false">YEAR(B5389)</f>
        <v>2017</v>
      </c>
      <c r="J5389" s="0" t="str">
        <f aca="false">I5389&amp;"-Q"&amp;ROUNDUP(MONTH(B5389)/3,0)</f>
        <v>2017-Q1</v>
      </c>
    </row>
    <row r="5390" customFormat="false" ht="15" hidden="false" customHeight="false" outlineLevel="0" collapsed="false">
      <c r="A5390" s="0" t="s">
        <v>2762</v>
      </c>
      <c r="B5390" s="6" t="n">
        <v>42784</v>
      </c>
      <c r="C5390" s="7" t="s">
        <v>33</v>
      </c>
      <c r="D5390" s="7" t="s">
        <v>34</v>
      </c>
      <c r="E5390" s="7" t="s">
        <v>39</v>
      </c>
      <c r="F5390" s="0" t="n">
        <v>109.53</v>
      </c>
      <c r="G5390" s="0" t="n">
        <v>47.0979</v>
      </c>
      <c r="H5390" s="0" t="n">
        <v>0</v>
      </c>
      <c r="I5390" s="7" t="n">
        <f aca="false">YEAR(B5390)</f>
        <v>2017</v>
      </c>
      <c r="J5390" s="0" t="str">
        <f aca="false">I5390&amp;"-Q"&amp;ROUNDUP(MONTH(B5390)/3,0)</f>
        <v>2017-Q1</v>
      </c>
    </row>
    <row r="5391" customFormat="false" ht="15" hidden="false" customHeight="false" outlineLevel="0" collapsed="false">
      <c r="A5391" s="0" t="s">
        <v>2762</v>
      </c>
      <c r="B5391" s="6" t="n">
        <v>42784</v>
      </c>
      <c r="C5391" s="7" t="s">
        <v>33</v>
      </c>
      <c r="D5391" s="7" t="s">
        <v>34</v>
      </c>
      <c r="E5391" s="7" t="s">
        <v>35</v>
      </c>
      <c r="F5391" s="0" t="n">
        <v>9.82</v>
      </c>
      <c r="G5391" s="0" t="n">
        <v>4.8118</v>
      </c>
      <c r="H5391" s="0" t="n">
        <v>0</v>
      </c>
      <c r="I5391" s="7" t="n">
        <f aca="false">YEAR(B5391)</f>
        <v>2017</v>
      </c>
      <c r="J5391" s="0" t="str">
        <f aca="false">I5391&amp;"-Q"&amp;ROUNDUP(MONTH(B5391)/3,0)</f>
        <v>2017-Q1</v>
      </c>
    </row>
    <row r="5392" customFormat="false" ht="15" hidden="false" customHeight="false" outlineLevel="0" collapsed="false">
      <c r="A5392" s="0" t="s">
        <v>2763</v>
      </c>
      <c r="B5392" s="6" t="n">
        <v>43049</v>
      </c>
      <c r="C5392" s="7" t="s">
        <v>33</v>
      </c>
      <c r="D5392" s="7" t="s">
        <v>43</v>
      </c>
      <c r="E5392" s="7" t="s">
        <v>35</v>
      </c>
      <c r="F5392" s="0" t="n">
        <v>26.352</v>
      </c>
      <c r="G5392" s="0" t="n">
        <v>9.5526</v>
      </c>
      <c r="H5392" s="0" t="n">
        <v>0.2</v>
      </c>
      <c r="I5392" s="7" t="n">
        <f aca="false">YEAR(B5392)</f>
        <v>2017</v>
      </c>
      <c r="J5392" s="0" t="str">
        <f aca="false">I5392&amp;"-Q"&amp;ROUNDUP(MONTH(B5392)/3,0)</f>
        <v>2017-Q4</v>
      </c>
    </row>
    <row r="5393" customFormat="false" ht="15" hidden="false" customHeight="false" outlineLevel="0" collapsed="false">
      <c r="A5393" s="0" t="s">
        <v>2764</v>
      </c>
      <c r="B5393" s="6" t="n">
        <v>41962</v>
      </c>
      <c r="C5393" s="7" t="s">
        <v>55</v>
      </c>
      <c r="D5393" s="7" t="s">
        <v>72</v>
      </c>
      <c r="E5393" s="7" t="s">
        <v>35</v>
      </c>
      <c r="F5393" s="0" t="n">
        <v>22.5</v>
      </c>
      <c r="G5393" s="0" t="n">
        <v>10.8</v>
      </c>
      <c r="H5393" s="0" t="n">
        <v>0</v>
      </c>
      <c r="I5393" s="7" t="n">
        <f aca="false">YEAR(B5393)</f>
        <v>2014</v>
      </c>
      <c r="J5393" s="0" t="str">
        <f aca="false">I5393&amp;"-Q"&amp;ROUNDUP(MONTH(B5393)/3,0)</f>
        <v>2014-Q4</v>
      </c>
    </row>
    <row r="5394" customFormat="false" ht="15" hidden="false" customHeight="false" outlineLevel="0" collapsed="false">
      <c r="A5394" s="0" t="s">
        <v>2764</v>
      </c>
      <c r="B5394" s="6" t="n">
        <v>41962</v>
      </c>
      <c r="C5394" s="7" t="s">
        <v>55</v>
      </c>
      <c r="D5394" s="7" t="s">
        <v>72</v>
      </c>
      <c r="E5394" s="7" t="s">
        <v>35</v>
      </c>
      <c r="F5394" s="0" t="n">
        <v>9.96</v>
      </c>
      <c r="G5394" s="0" t="n">
        <v>4.5816</v>
      </c>
      <c r="H5394" s="0" t="n">
        <v>0</v>
      </c>
      <c r="I5394" s="7" t="n">
        <f aca="false">YEAR(B5394)</f>
        <v>2014</v>
      </c>
      <c r="J5394" s="0" t="str">
        <f aca="false">I5394&amp;"-Q"&amp;ROUNDUP(MONTH(B5394)/3,0)</f>
        <v>2014-Q4</v>
      </c>
    </row>
    <row r="5395" customFormat="false" ht="15" hidden="false" customHeight="false" outlineLevel="0" collapsed="false">
      <c r="A5395" s="0" t="s">
        <v>2764</v>
      </c>
      <c r="B5395" s="6" t="n">
        <v>41962</v>
      </c>
      <c r="C5395" s="7" t="s">
        <v>55</v>
      </c>
      <c r="D5395" s="7" t="s">
        <v>72</v>
      </c>
      <c r="E5395" s="7" t="s">
        <v>35</v>
      </c>
      <c r="F5395" s="0" t="n">
        <v>213.08</v>
      </c>
      <c r="G5395" s="0" t="n">
        <v>102.2784</v>
      </c>
      <c r="H5395" s="0" t="n">
        <v>0</v>
      </c>
      <c r="I5395" s="7" t="n">
        <f aca="false">YEAR(B5395)</f>
        <v>2014</v>
      </c>
      <c r="J5395" s="0" t="str">
        <f aca="false">I5395&amp;"-Q"&amp;ROUNDUP(MONTH(B5395)/3,0)</f>
        <v>2014-Q4</v>
      </c>
    </row>
    <row r="5396" customFormat="false" ht="15" hidden="false" customHeight="false" outlineLevel="0" collapsed="false">
      <c r="A5396" s="0" t="s">
        <v>2764</v>
      </c>
      <c r="B5396" s="6" t="n">
        <v>41962</v>
      </c>
      <c r="C5396" s="7" t="s">
        <v>55</v>
      </c>
      <c r="D5396" s="7" t="s">
        <v>72</v>
      </c>
      <c r="E5396" s="7" t="s">
        <v>31</v>
      </c>
      <c r="F5396" s="0" t="n">
        <v>1025.88</v>
      </c>
      <c r="G5396" s="0" t="n">
        <v>235.9524</v>
      </c>
      <c r="H5396" s="0" t="n">
        <v>0</v>
      </c>
      <c r="I5396" s="7" t="n">
        <f aca="false">YEAR(B5396)</f>
        <v>2014</v>
      </c>
      <c r="J5396" s="0" t="str">
        <f aca="false">I5396&amp;"-Q"&amp;ROUNDUP(MONTH(B5396)/3,0)</f>
        <v>2014-Q4</v>
      </c>
    </row>
    <row r="5397" customFormat="false" ht="15" hidden="false" customHeight="false" outlineLevel="0" collapsed="false">
      <c r="A5397" s="0" t="s">
        <v>2765</v>
      </c>
      <c r="B5397" s="6" t="n">
        <v>41961</v>
      </c>
      <c r="C5397" s="7" t="s">
        <v>33</v>
      </c>
      <c r="D5397" s="7" t="s">
        <v>50</v>
      </c>
      <c r="E5397" s="7" t="s">
        <v>35</v>
      </c>
      <c r="F5397" s="0" t="n">
        <v>21.98</v>
      </c>
      <c r="G5397" s="0" t="n">
        <v>9.891</v>
      </c>
      <c r="H5397" s="0" t="n">
        <v>0</v>
      </c>
      <c r="I5397" s="7" t="n">
        <f aca="false">YEAR(B5397)</f>
        <v>2014</v>
      </c>
      <c r="J5397" s="0" t="str">
        <f aca="false">I5397&amp;"-Q"&amp;ROUNDUP(MONTH(B5397)/3,0)</f>
        <v>2014-Q4</v>
      </c>
    </row>
    <row r="5398" customFormat="false" ht="15" hidden="false" customHeight="false" outlineLevel="0" collapsed="false">
      <c r="A5398" s="0" t="s">
        <v>2766</v>
      </c>
      <c r="B5398" s="6" t="n">
        <v>42637</v>
      </c>
      <c r="C5398" s="7" t="s">
        <v>33</v>
      </c>
      <c r="D5398" s="7" t="s">
        <v>34</v>
      </c>
      <c r="E5398" s="7" t="s">
        <v>31</v>
      </c>
      <c r="F5398" s="0" t="n">
        <v>63.2</v>
      </c>
      <c r="G5398" s="0" t="n">
        <v>23.384</v>
      </c>
      <c r="H5398" s="0" t="n">
        <v>0</v>
      </c>
      <c r="I5398" s="7" t="n">
        <f aca="false">YEAR(B5398)</f>
        <v>2016</v>
      </c>
      <c r="J5398" s="0" t="str">
        <f aca="false">I5398&amp;"-Q"&amp;ROUNDUP(MONTH(B5398)/3,0)</f>
        <v>2016-Q3</v>
      </c>
    </row>
    <row r="5399" customFormat="false" ht="15" hidden="false" customHeight="false" outlineLevel="0" collapsed="false">
      <c r="A5399" s="0" t="s">
        <v>2767</v>
      </c>
      <c r="B5399" s="6" t="n">
        <v>42694</v>
      </c>
      <c r="C5399" s="7" t="s">
        <v>33</v>
      </c>
      <c r="D5399" s="7" t="s">
        <v>34</v>
      </c>
      <c r="E5399" s="7" t="s">
        <v>35</v>
      </c>
      <c r="F5399" s="0" t="n">
        <v>39</v>
      </c>
      <c r="G5399" s="0" t="n">
        <v>11.31</v>
      </c>
      <c r="H5399" s="0" t="n">
        <v>0</v>
      </c>
      <c r="I5399" s="7" t="n">
        <f aca="false">YEAR(B5399)</f>
        <v>2016</v>
      </c>
      <c r="J5399" s="0" t="str">
        <f aca="false">I5399&amp;"-Q"&amp;ROUNDUP(MONTH(B5399)/3,0)</f>
        <v>2016-Q4</v>
      </c>
    </row>
    <row r="5400" customFormat="false" ht="15" hidden="false" customHeight="false" outlineLevel="0" collapsed="false">
      <c r="A5400" s="0" t="s">
        <v>2768</v>
      </c>
      <c r="B5400" s="6" t="n">
        <v>42640</v>
      </c>
      <c r="C5400" s="7" t="s">
        <v>55</v>
      </c>
      <c r="D5400" s="7" t="s">
        <v>116</v>
      </c>
      <c r="E5400" s="7" t="s">
        <v>35</v>
      </c>
      <c r="F5400" s="0" t="n">
        <v>2.907</v>
      </c>
      <c r="G5400" s="0" t="n">
        <v>-2.0349</v>
      </c>
      <c r="H5400" s="0" t="n">
        <v>0.7</v>
      </c>
      <c r="I5400" s="7" t="n">
        <f aca="false">YEAR(B5400)</f>
        <v>2016</v>
      </c>
      <c r="J5400" s="0" t="str">
        <f aca="false">I5400&amp;"-Q"&amp;ROUNDUP(MONTH(B5400)/3,0)</f>
        <v>2016-Q3</v>
      </c>
    </row>
    <row r="5401" customFormat="false" ht="15" hidden="false" customHeight="false" outlineLevel="0" collapsed="false">
      <c r="A5401" s="0" t="s">
        <v>2769</v>
      </c>
      <c r="B5401" s="6" t="n">
        <v>42469</v>
      </c>
      <c r="C5401" s="7" t="s">
        <v>33</v>
      </c>
      <c r="D5401" s="7" t="s">
        <v>34</v>
      </c>
      <c r="E5401" s="7" t="s">
        <v>31</v>
      </c>
      <c r="F5401" s="0" t="n">
        <v>556.665</v>
      </c>
      <c r="G5401" s="0" t="n">
        <v>6.549</v>
      </c>
      <c r="H5401" s="0" t="n">
        <v>0.15</v>
      </c>
      <c r="I5401" s="7" t="n">
        <f aca="false">YEAR(B5401)</f>
        <v>2016</v>
      </c>
      <c r="J5401" s="0" t="str">
        <f aca="false">I5401&amp;"-Q"&amp;ROUNDUP(MONTH(B5401)/3,0)</f>
        <v>2016-Q2</v>
      </c>
    </row>
    <row r="5402" customFormat="false" ht="15" hidden="false" customHeight="false" outlineLevel="0" collapsed="false">
      <c r="A5402" s="0" t="s">
        <v>2770</v>
      </c>
      <c r="B5402" s="6" t="n">
        <v>42999</v>
      </c>
      <c r="C5402" s="7" t="s">
        <v>33</v>
      </c>
      <c r="D5402" s="7" t="s">
        <v>43</v>
      </c>
      <c r="E5402" s="7" t="s">
        <v>39</v>
      </c>
      <c r="F5402" s="0" t="n">
        <v>71.98</v>
      </c>
      <c r="G5402" s="0" t="n">
        <v>15.1158</v>
      </c>
      <c r="H5402" s="0" t="n">
        <v>0</v>
      </c>
      <c r="I5402" s="7" t="n">
        <f aca="false">YEAR(B5402)</f>
        <v>2017</v>
      </c>
      <c r="J5402" s="0" t="str">
        <f aca="false">I5402&amp;"-Q"&amp;ROUNDUP(MONTH(B5402)/3,0)</f>
        <v>2017-Q3</v>
      </c>
    </row>
    <row r="5403" customFormat="false" ht="15" hidden="false" customHeight="false" outlineLevel="0" collapsed="false">
      <c r="A5403" s="0" t="s">
        <v>2770</v>
      </c>
      <c r="B5403" s="6" t="n">
        <v>42999</v>
      </c>
      <c r="C5403" s="7" t="s">
        <v>33</v>
      </c>
      <c r="D5403" s="7" t="s">
        <v>43</v>
      </c>
      <c r="E5403" s="7" t="s">
        <v>39</v>
      </c>
      <c r="F5403" s="0" t="n">
        <v>79.98</v>
      </c>
      <c r="G5403" s="0" t="n">
        <v>26.3934</v>
      </c>
      <c r="H5403" s="0" t="n">
        <v>0</v>
      </c>
      <c r="I5403" s="7" t="n">
        <f aca="false">YEAR(B5403)</f>
        <v>2017</v>
      </c>
      <c r="J5403" s="0" t="str">
        <f aca="false">I5403&amp;"-Q"&amp;ROUNDUP(MONTH(B5403)/3,0)</f>
        <v>2017-Q3</v>
      </c>
    </row>
    <row r="5404" customFormat="false" ht="15" hidden="false" customHeight="false" outlineLevel="0" collapsed="false">
      <c r="A5404" s="0" t="s">
        <v>2771</v>
      </c>
      <c r="B5404" s="6" t="n">
        <v>42971</v>
      </c>
      <c r="C5404" s="7" t="s">
        <v>55</v>
      </c>
      <c r="D5404" s="7" t="s">
        <v>76</v>
      </c>
      <c r="E5404" s="7" t="s">
        <v>35</v>
      </c>
      <c r="F5404" s="0" t="n">
        <v>24.672</v>
      </c>
      <c r="G5404" s="0" t="n">
        <v>7.71</v>
      </c>
      <c r="H5404" s="0" t="n">
        <v>0.2</v>
      </c>
      <c r="I5404" s="7" t="n">
        <f aca="false">YEAR(B5404)</f>
        <v>2017</v>
      </c>
      <c r="J5404" s="0" t="str">
        <f aca="false">I5404&amp;"-Q"&amp;ROUNDUP(MONTH(B5404)/3,0)</f>
        <v>2017-Q3</v>
      </c>
    </row>
    <row r="5405" customFormat="false" ht="15" hidden="false" customHeight="false" outlineLevel="0" collapsed="false">
      <c r="A5405" s="0" t="s">
        <v>2771</v>
      </c>
      <c r="B5405" s="6" t="n">
        <v>42971</v>
      </c>
      <c r="C5405" s="7" t="s">
        <v>55</v>
      </c>
      <c r="D5405" s="7" t="s">
        <v>76</v>
      </c>
      <c r="E5405" s="7" t="s">
        <v>35</v>
      </c>
      <c r="F5405" s="0" t="n">
        <v>3.744</v>
      </c>
      <c r="G5405" s="0" t="n">
        <v>1.3104</v>
      </c>
      <c r="H5405" s="0" t="n">
        <v>0.2</v>
      </c>
      <c r="I5405" s="7" t="n">
        <f aca="false">YEAR(B5405)</f>
        <v>2017</v>
      </c>
      <c r="J5405" s="0" t="str">
        <f aca="false">I5405&amp;"-Q"&amp;ROUNDUP(MONTH(B5405)/3,0)</f>
        <v>2017-Q3</v>
      </c>
    </row>
    <row r="5406" customFormat="false" ht="15" hidden="false" customHeight="false" outlineLevel="0" collapsed="false">
      <c r="A5406" s="0" t="s">
        <v>2772</v>
      </c>
      <c r="B5406" s="6" t="n">
        <v>42422</v>
      </c>
      <c r="C5406" s="7" t="s">
        <v>33</v>
      </c>
      <c r="D5406" s="7" t="s">
        <v>34</v>
      </c>
      <c r="E5406" s="7" t="s">
        <v>39</v>
      </c>
      <c r="F5406" s="0" t="n">
        <v>445.96</v>
      </c>
      <c r="G5406" s="0" t="n">
        <v>55.745</v>
      </c>
      <c r="H5406" s="0" t="n">
        <v>0.2</v>
      </c>
      <c r="I5406" s="7" t="n">
        <f aca="false">YEAR(B5406)</f>
        <v>2016</v>
      </c>
      <c r="J5406" s="0" t="str">
        <f aca="false">I5406&amp;"-Q"&amp;ROUNDUP(MONTH(B5406)/3,0)</f>
        <v>2016-Q1</v>
      </c>
    </row>
    <row r="5407" customFormat="false" ht="15" hidden="false" customHeight="false" outlineLevel="0" collapsed="false">
      <c r="A5407" s="0" t="s">
        <v>2772</v>
      </c>
      <c r="B5407" s="6" t="n">
        <v>42422</v>
      </c>
      <c r="C5407" s="7" t="s">
        <v>33</v>
      </c>
      <c r="D5407" s="7" t="s">
        <v>34</v>
      </c>
      <c r="E5407" s="7" t="s">
        <v>39</v>
      </c>
      <c r="F5407" s="0" t="n">
        <v>36.24</v>
      </c>
      <c r="G5407" s="0" t="n">
        <v>15.2208</v>
      </c>
      <c r="H5407" s="0" t="n">
        <v>0</v>
      </c>
      <c r="I5407" s="7" t="n">
        <f aca="false">YEAR(B5407)</f>
        <v>2016</v>
      </c>
      <c r="J5407" s="0" t="str">
        <f aca="false">I5407&amp;"-Q"&amp;ROUNDUP(MONTH(B5407)/3,0)</f>
        <v>2016-Q1</v>
      </c>
    </row>
    <row r="5408" customFormat="false" ht="15" hidden="false" customHeight="false" outlineLevel="0" collapsed="false">
      <c r="A5408" s="0" t="s">
        <v>2772</v>
      </c>
      <c r="B5408" s="6" t="n">
        <v>42422</v>
      </c>
      <c r="C5408" s="7" t="s">
        <v>33</v>
      </c>
      <c r="D5408" s="7" t="s">
        <v>34</v>
      </c>
      <c r="E5408" s="7" t="s">
        <v>35</v>
      </c>
      <c r="F5408" s="0" t="n">
        <v>10.65</v>
      </c>
      <c r="G5408" s="0" t="n">
        <v>5.0055</v>
      </c>
      <c r="H5408" s="0" t="n">
        <v>0</v>
      </c>
      <c r="I5408" s="7" t="n">
        <f aca="false">YEAR(B5408)</f>
        <v>2016</v>
      </c>
      <c r="J5408" s="0" t="str">
        <f aca="false">I5408&amp;"-Q"&amp;ROUNDUP(MONTH(B5408)/3,0)</f>
        <v>2016-Q1</v>
      </c>
    </row>
    <row r="5409" customFormat="false" ht="15" hidden="false" customHeight="false" outlineLevel="0" collapsed="false">
      <c r="A5409" s="0" t="s">
        <v>2773</v>
      </c>
      <c r="B5409" s="6" t="n">
        <v>43077</v>
      </c>
      <c r="C5409" s="7" t="s">
        <v>33</v>
      </c>
      <c r="D5409" s="7" t="s">
        <v>34</v>
      </c>
      <c r="E5409" s="7" t="s">
        <v>35</v>
      </c>
      <c r="F5409" s="0" t="n">
        <v>87.92</v>
      </c>
      <c r="G5409" s="0" t="n">
        <v>40.4432</v>
      </c>
      <c r="H5409" s="0" t="n">
        <v>0</v>
      </c>
      <c r="I5409" s="7" t="n">
        <f aca="false">YEAR(B5409)</f>
        <v>2017</v>
      </c>
      <c r="J5409" s="0" t="str">
        <f aca="false">I5409&amp;"-Q"&amp;ROUNDUP(MONTH(B5409)/3,0)</f>
        <v>2017-Q4</v>
      </c>
    </row>
    <row r="5410" customFormat="false" ht="15" hidden="false" customHeight="false" outlineLevel="0" collapsed="false">
      <c r="A5410" s="0" t="s">
        <v>2773</v>
      </c>
      <c r="B5410" s="6" t="n">
        <v>43077</v>
      </c>
      <c r="C5410" s="7" t="s">
        <v>33</v>
      </c>
      <c r="D5410" s="7" t="s">
        <v>34</v>
      </c>
      <c r="E5410" s="7" t="s">
        <v>35</v>
      </c>
      <c r="F5410" s="0" t="n">
        <v>22.424</v>
      </c>
      <c r="G5410" s="0" t="n">
        <v>8.409</v>
      </c>
      <c r="H5410" s="0" t="n">
        <v>0.2</v>
      </c>
      <c r="I5410" s="7" t="n">
        <f aca="false">YEAR(B5410)</f>
        <v>2017</v>
      </c>
      <c r="J5410" s="0" t="str">
        <f aca="false">I5410&amp;"-Q"&amp;ROUNDUP(MONTH(B5410)/3,0)</f>
        <v>2017-Q4</v>
      </c>
    </row>
    <row r="5411" customFormat="false" ht="15" hidden="false" customHeight="false" outlineLevel="0" collapsed="false">
      <c r="A5411" s="0" t="s">
        <v>2773</v>
      </c>
      <c r="B5411" s="6" t="n">
        <v>43077</v>
      </c>
      <c r="C5411" s="7" t="s">
        <v>33</v>
      </c>
      <c r="D5411" s="7" t="s">
        <v>34</v>
      </c>
      <c r="E5411" s="7" t="s">
        <v>35</v>
      </c>
      <c r="F5411" s="0" t="n">
        <v>90.48</v>
      </c>
      <c r="G5411" s="0" t="n">
        <v>33.93</v>
      </c>
      <c r="H5411" s="0" t="n">
        <v>0.2</v>
      </c>
      <c r="I5411" s="7" t="n">
        <f aca="false">YEAR(B5411)</f>
        <v>2017</v>
      </c>
      <c r="J5411" s="0" t="str">
        <f aca="false">I5411&amp;"-Q"&amp;ROUNDUP(MONTH(B5411)/3,0)</f>
        <v>2017-Q4</v>
      </c>
    </row>
    <row r="5412" customFormat="false" ht="15" hidden="false" customHeight="false" outlineLevel="0" collapsed="false">
      <c r="A5412" s="0" t="s">
        <v>2773</v>
      </c>
      <c r="B5412" s="6" t="n">
        <v>43077</v>
      </c>
      <c r="C5412" s="7" t="s">
        <v>33</v>
      </c>
      <c r="D5412" s="7" t="s">
        <v>34</v>
      </c>
      <c r="E5412" s="7" t="s">
        <v>35</v>
      </c>
      <c r="F5412" s="0" t="n">
        <v>42.76</v>
      </c>
      <c r="G5412" s="0" t="n">
        <v>11.1176</v>
      </c>
      <c r="H5412" s="0" t="n">
        <v>0</v>
      </c>
      <c r="I5412" s="7" t="n">
        <f aca="false">YEAR(B5412)</f>
        <v>2017</v>
      </c>
      <c r="J5412" s="0" t="str">
        <f aca="false">I5412&amp;"-Q"&amp;ROUNDUP(MONTH(B5412)/3,0)</f>
        <v>2017-Q4</v>
      </c>
    </row>
    <row r="5413" customFormat="false" ht="15" hidden="false" customHeight="false" outlineLevel="0" collapsed="false">
      <c r="A5413" s="0" t="s">
        <v>2774</v>
      </c>
      <c r="B5413" s="6" t="n">
        <v>42996</v>
      </c>
      <c r="C5413" s="7" t="s">
        <v>33</v>
      </c>
      <c r="D5413" s="7" t="s">
        <v>142</v>
      </c>
      <c r="E5413" s="7" t="s">
        <v>35</v>
      </c>
      <c r="F5413" s="0" t="n">
        <v>10.08</v>
      </c>
      <c r="G5413" s="0" t="n">
        <v>3.528</v>
      </c>
      <c r="H5413" s="0" t="n">
        <v>0.2</v>
      </c>
      <c r="I5413" s="7" t="n">
        <f aca="false">YEAR(B5413)</f>
        <v>2017</v>
      </c>
      <c r="J5413" s="0" t="str">
        <f aca="false">I5413&amp;"-Q"&amp;ROUNDUP(MONTH(B5413)/3,0)</f>
        <v>2017-Q3</v>
      </c>
    </row>
    <row r="5414" customFormat="false" ht="15" hidden="false" customHeight="false" outlineLevel="0" collapsed="false">
      <c r="A5414" s="0" t="s">
        <v>2774</v>
      </c>
      <c r="B5414" s="6" t="n">
        <v>42996</v>
      </c>
      <c r="C5414" s="7" t="s">
        <v>33</v>
      </c>
      <c r="D5414" s="7" t="s">
        <v>142</v>
      </c>
      <c r="E5414" s="7" t="s">
        <v>39</v>
      </c>
      <c r="F5414" s="0" t="n">
        <v>101.34</v>
      </c>
      <c r="G5414" s="0" t="n">
        <v>8.1072</v>
      </c>
      <c r="H5414" s="0" t="n">
        <v>0</v>
      </c>
      <c r="I5414" s="7" t="n">
        <f aca="false">YEAR(B5414)</f>
        <v>2017</v>
      </c>
      <c r="J5414" s="0" t="str">
        <f aca="false">I5414&amp;"-Q"&amp;ROUNDUP(MONTH(B5414)/3,0)</f>
        <v>2017-Q3</v>
      </c>
    </row>
    <row r="5415" customFormat="false" ht="15" hidden="false" customHeight="false" outlineLevel="0" collapsed="false">
      <c r="A5415" s="0" t="s">
        <v>2775</v>
      </c>
      <c r="B5415" s="6" t="n">
        <v>42624</v>
      </c>
      <c r="C5415" s="7" t="s">
        <v>45</v>
      </c>
      <c r="D5415" s="7" t="s">
        <v>946</v>
      </c>
      <c r="E5415" s="7" t="s">
        <v>39</v>
      </c>
      <c r="F5415" s="0" t="n">
        <v>224.75</v>
      </c>
      <c r="G5415" s="0" t="n">
        <v>62.93</v>
      </c>
      <c r="H5415" s="0" t="n">
        <v>0</v>
      </c>
      <c r="I5415" s="7" t="n">
        <f aca="false">YEAR(B5415)</f>
        <v>2016</v>
      </c>
      <c r="J5415" s="0" t="str">
        <f aca="false">I5415&amp;"-Q"&amp;ROUNDUP(MONTH(B5415)/3,0)</f>
        <v>2016-Q3</v>
      </c>
    </row>
    <row r="5416" customFormat="false" ht="15" hidden="false" customHeight="false" outlineLevel="0" collapsed="false">
      <c r="A5416" s="0" t="s">
        <v>2776</v>
      </c>
      <c r="B5416" s="6" t="n">
        <v>43001</v>
      </c>
      <c r="C5416" s="7" t="s">
        <v>45</v>
      </c>
      <c r="D5416" s="7" t="s">
        <v>64</v>
      </c>
      <c r="E5416" s="7" t="s">
        <v>35</v>
      </c>
      <c r="F5416" s="0" t="n">
        <v>73.176</v>
      </c>
      <c r="G5416" s="0" t="n">
        <v>-197.5752</v>
      </c>
      <c r="H5416" s="0" t="n">
        <v>0.8</v>
      </c>
      <c r="I5416" s="7" t="n">
        <f aca="false">YEAR(B5416)</f>
        <v>2017</v>
      </c>
      <c r="J5416" s="0" t="str">
        <f aca="false">I5416&amp;"-Q"&amp;ROUNDUP(MONTH(B5416)/3,0)</f>
        <v>2017-Q3</v>
      </c>
    </row>
    <row r="5417" customFormat="false" ht="15" hidden="false" customHeight="false" outlineLevel="0" collapsed="false">
      <c r="A5417" s="0" t="s">
        <v>2776</v>
      </c>
      <c r="B5417" s="6" t="n">
        <v>43001</v>
      </c>
      <c r="C5417" s="7" t="s">
        <v>45</v>
      </c>
      <c r="D5417" s="7" t="s">
        <v>64</v>
      </c>
      <c r="E5417" s="7" t="s">
        <v>35</v>
      </c>
      <c r="F5417" s="0" t="n">
        <v>20.736</v>
      </c>
      <c r="G5417" s="0" t="n">
        <v>7.2576</v>
      </c>
      <c r="H5417" s="0" t="n">
        <v>0.2</v>
      </c>
      <c r="I5417" s="7" t="n">
        <f aca="false">YEAR(B5417)</f>
        <v>2017</v>
      </c>
      <c r="J5417" s="0" t="str">
        <f aca="false">I5417&amp;"-Q"&amp;ROUNDUP(MONTH(B5417)/3,0)</f>
        <v>2017-Q3</v>
      </c>
    </row>
    <row r="5418" customFormat="false" ht="15" hidden="false" customHeight="false" outlineLevel="0" collapsed="false">
      <c r="A5418" s="0" t="s">
        <v>2776</v>
      </c>
      <c r="B5418" s="6" t="n">
        <v>43001</v>
      </c>
      <c r="C5418" s="7" t="s">
        <v>45</v>
      </c>
      <c r="D5418" s="7" t="s">
        <v>64</v>
      </c>
      <c r="E5418" s="7" t="s">
        <v>39</v>
      </c>
      <c r="F5418" s="0" t="n">
        <v>39.984</v>
      </c>
      <c r="G5418" s="0" t="n">
        <v>-8.9964</v>
      </c>
      <c r="H5418" s="0" t="n">
        <v>0.2</v>
      </c>
      <c r="I5418" s="7" t="n">
        <f aca="false">YEAR(B5418)</f>
        <v>2017</v>
      </c>
      <c r="J5418" s="0" t="str">
        <f aca="false">I5418&amp;"-Q"&amp;ROUNDUP(MONTH(B5418)/3,0)</f>
        <v>2017-Q3</v>
      </c>
    </row>
    <row r="5419" customFormat="false" ht="15" hidden="false" customHeight="false" outlineLevel="0" collapsed="false">
      <c r="A5419" s="0" t="s">
        <v>2777</v>
      </c>
      <c r="B5419" s="6" t="n">
        <v>41918</v>
      </c>
      <c r="C5419" s="7" t="s">
        <v>45</v>
      </c>
      <c r="D5419" s="7" t="s">
        <v>53</v>
      </c>
      <c r="E5419" s="7" t="s">
        <v>35</v>
      </c>
      <c r="F5419" s="0" t="n">
        <v>15.36</v>
      </c>
      <c r="G5419" s="0" t="n">
        <v>7.68</v>
      </c>
      <c r="H5419" s="0" t="n">
        <v>0</v>
      </c>
      <c r="I5419" s="7" t="n">
        <f aca="false">YEAR(B5419)</f>
        <v>2014</v>
      </c>
      <c r="J5419" s="0" t="str">
        <f aca="false">I5419&amp;"-Q"&amp;ROUNDUP(MONTH(B5419)/3,0)</f>
        <v>2014-Q4</v>
      </c>
    </row>
    <row r="5420" customFormat="false" ht="15" hidden="false" customHeight="false" outlineLevel="0" collapsed="false">
      <c r="A5420" s="0" t="s">
        <v>2778</v>
      </c>
      <c r="B5420" s="6" t="n">
        <v>42300</v>
      </c>
      <c r="C5420" s="7" t="s">
        <v>45</v>
      </c>
      <c r="D5420" s="7" t="s">
        <v>46</v>
      </c>
      <c r="E5420" s="7" t="s">
        <v>35</v>
      </c>
      <c r="F5420" s="0" t="n">
        <v>36.288</v>
      </c>
      <c r="G5420" s="0" t="n">
        <v>12.7008</v>
      </c>
      <c r="H5420" s="0" t="n">
        <v>0.2</v>
      </c>
      <c r="I5420" s="7" t="n">
        <f aca="false">YEAR(B5420)</f>
        <v>2015</v>
      </c>
      <c r="J5420" s="0" t="str">
        <f aca="false">I5420&amp;"-Q"&amp;ROUNDUP(MONTH(B5420)/3,0)</f>
        <v>2015-Q4</v>
      </c>
    </row>
    <row r="5421" customFormat="false" ht="15" hidden="false" customHeight="false" outlineLevel="0" collapsed="false">
      <c r="A5421" s="0" t="s">
        <v>2778</v>
      </c>
      <c r="B5421" s="6" t="n">
        <v>42300</v>
      </c>
      <c r="C5421" s="7" t="s">
        <v>45</v>
      </c>
      <c r="D5421" s="7" t="s">
        <v>46</v>
      </c>
      <c r="E5421" s="7" t="s">
        <v>39</v>
      </c>
      <c r="F5421" s="0" t="n">
        <v>150.384</v>
      </c>
      <c r="G5421" s="0" t="n">
        <v>15.0384</v>
      </c>
      <c r="H5421" s="0" t="n">
        <v>0.2</v>
      </c>
      <c r="I5421" s="7" t="n">
        <f aca="false">YEAR(B5421)</f>
        <v>2015</v>
      </c>
      <c r="J5421" s="0" t="str">
        <f aca="false">I5421&amp;"-Q"&amp;ROUNDUP(MONTH(B5421)/3,0)</f>
        <v>2015-Q4</v>
      </c>
    </row>
    <row r="5422" customFormat="false" ht="15" hidden="false" customHeight="false" outlineLevel="0" collapsed="false">
      <c r="A5422" s="0" t="s">
        <v>2779</v>
      </c>
      <c r="B5422" s="6" t="n">
        <v>42460</v>
      </c>
      <c r="C5422" s="7" t="s">
        <v>55</v>
      </c>
      <c r="D5422" s="7" t="s">
        <v>56</v>
      </c>
      <c r="E5422" s="7" t="s">
        <v>39</v>
      </c>
      <c r="F5422" s="0" t="n">
        <v>280.782</v>
      </c>
      <c r="G5422" s="0" t="n">
        <v>-60.8361</v>
      </c>
      <c r="H5422" s="0" t="n">
        <v>0.4</v>
      </c>
      <c r="I5422" s="7" t="n">
        <f aca="false">YEAR(B5422)</f>
        <v>2016</v>
      </c>
      <c r="J5422" s="0" t="str">
        <f aca="false">I5422&amp;"-Q"&amp;ROUNDUP(MONTH(B5422)/3,0)</f>
        <v>2016-Q1</v>
      </c>
    </row>
    <row r="5423" customFormat="false" ht="15" hidden="false" customHeight="false" outlineLevel="0" collapsed="false">
      <c r="A5423" s="0" t="s">
        <v>2779</v>
      </c>
      <c r="B5423" s="6" t="n">
        <v>42460</v>
      </c>
      <c r="C5423" s="7" t="s">
        <v>55</v>
      </c>
      <c r="D5423" s="7" t="s">
        <v>56</v>
      </c>
      <c r="E5423" s="7" t="s">
        <v>39</v>
      </c>
      <c r="F5423" s="0" t="n">
        <v>31.984</v>
      </c>
      <c r="G5423" s="0" t="n">
        <v>1.1994</v>
      </c>
      <c r="H5423" s="0" t="n">
        <v>0.2</v>
      </c>
      <c r="I5423" s="7" t="n">
        <f aca="false">YEAR(B5423)</f>
        <v>2016</v>
      </c>
      <c r="J5423" s="0" t="str">
        <f aca="false">I5423&amp;"-Q"&amp;ROUNDUP(MONTH(B5423)/3,0)</f>
        <v>2016-Q1</v>
      </c>
    </row>
    <row r="5424" customFormat="false" ht="15" hidden="false" customHeight="false" outlineLevel="0" collapsed="false">
      <c r="A5424" s="0" t="s">
        <v>2780</v>
      </c>
      <c r="B5424" s="6" t="n">
        <v>42733</v>
      </c>
      <c r="C5424" s="7" t="s">
        <v>33</v>
      </c>
      <c r="D5424" s="7" t="s">
        <v>34</v>
      </c>
      <c r="E5424" s="7" t="s">
        <v>35</v>
      </c>
      <c r="F5424" s="0" t="n">
        <v>11.232</v>
      </c>
      <c r="G5424" s="0" t="n">
        <v>3.9312</v>
      </c>
      <c r="H5424" s="0" t="n">
        <v>0.2</v>
      </c>
      <c r="I5424" s="7" t="n">
        <f aca="false">YEAR(B5424)</f>
        <v>2016</v>
      </c>
      <c r="J5424" s="0" t="str">
        <f aca="false">I5424&amp;"-Q"&amp;ROUNDUP(MONTH(B5424)/3,0)</f>
        <v>2016-Q4</v>
      </c>
    </row>
    <row r="5425" customFormat="false" ht="15" hidden="false" customHeight="false" outlineLevel="0" collapsed="false">
      <c r="A5425" s="0" t="s">
        <v>2781</v>
      </c>
      <c r="B5425" s="6" t="n">
        <v>43042</v>
      </c>
      <c r="C5425" s="7" t="s">
        <v>29</v>
      </c>
      <c r="D5425" s="7" t="s">
        <v>30</v>
      </c>
      <c r="E5425" s="7" t="s">
        <v>35</v>
      </c>
      <c r="F5425" s="0" t="n">
        <v>26.4</v>
      </c>
      <c r="G5425" s="0" t="n">
        <v>11.88</v>
      </c>
      <c r="H5425" s="0" t="n">
        <v>0</v>
      </c>
      <c r="I5425" s="7" t="n">
        <f aca="false">YEAR(B5425)</f>
        <v>2017</v>
      </c>
      <c r="J5425" s="0" t="str">
        <f aca="false">I5425&amp;"-Q"&amp;ROUNDUP(MONTH(B5425)/3,0)</f>
        <v>2017-Q4</v>
      </c>
    </row>
    <row r="5426" customFormat="false" ht="15" hidden="false" customHeight="false" outlineLevel="0" collapsed="false">
      <c r="A5426" s="0" t="s">
        <v>2782</v>
      </c>
      <c r="B5426" s="6" t="n">
        <v>42755</v>
      </c>
      <c r="C5426" s="7" t="s">
        <v>55</v>
      </c>
      <c r="D5426" s="7" t="s">
        <v>154</v>
      </c>
      <c r="E5426" s="7" t="s">
        <v>35</v>
      </c>
      <c r="F5426" s="0" t="n">
        <v>3.52</v>
      </c>
      <c r="G5426" s="0" t="n">
        <v>1.0208</v>
      </c>
      <c r="H5426" s="0" t="n">
        <v>0</v>
      </c>
      <c r="I5426" s="7" t="n">
        <f aca="false">YEAR(B5426)</f>
        <v>2017</v>
      </c>
      <c r="J5426" s="0" t="str">
        <f aca="false">I5426&amp;"-Q"&amp;ROUNDUP(MONTH(B5426)/3,0)</f>
        <v>2017-Q1</v>
      </c>
    </row>
    <row r="5427" customFormat="false" ht="15" hidden="false" customHeight="false" outlineLevel="0" collapsed="false">
      <c r="A5427" s="0" t="s">
        <v>2783</v>
      </c>
      <c r="B5427" s="6" t="n">
        <v>42707</v>
      </c>
      <c r="C5427" s="7" t="s">
        <v>33</v>
      </c>
      <c r="D5427" s="7" t="s">
        <v>34</v>
      </c>
      <c r="E5427" s="7" t="s">
        <v>39</v>
      </c>
      <c r="F5427" s="0" t="n">
        <v>1649.95</v>
      </c>
      <c r="G5427" s="0" t="n">
        <v>659.98</v>
      </c>
      <c r="H5427" s="0" t="n">
        <v>0</v>
      </c>
      <c r="I5427" s="7" t="n">
        <f aca="false">YEAR(B5427)</f>
        <v>2016</v>
      </c>
      <c r="J5427" s="0" t="str">
        <f aca="false">I5427&amp;"-Q"&amp;ROUNDUP(MONTH(B5427)/3,0)</f>
        <v>2016-Q4</v>
      </c>
    </row>
    <row r="5428" customFormat="false" ht="15" hidden="false" customHeight="false" outlineLevel="0" collapsed="false">
      <c r="A5428" s="0" t="s">
        <v>2783</v>
      </c>
      <c r="B5428" s="6" t="n">
        <v>42707</v>
      </c>
      <c r="C5428" s="7" t="s">
        <v>33</v>
      </c>
      <c r="D5428" s="7" t="s">
        <v>34</v>
      </c>
      <c r="E5428" s="7" t="s">
        <v>31</v>
      </c>
      <c r="F5428" s="0" t="n">
        <v>111.9</v>
      </c>
      <c r="G5428" s="0" t="n">
        <v>51.474</v>
      </c>
      <c r="H5428" s="0" t="n">
        <v>0</v>
      </c>
      <c r="I5428" s="7" t="n">
        <f aca="false">YEAR(B5428)</f>
        <v>2016</v>
      </c>
      <c r="J5428" s="0" t="str">
        <f aca="false">I5428&amp;"-Q"&amp;ROUNDUP(MONTH(B5428)/3,0)</f>
        <v>2016-Q4</v>
      </c>
    </row>
    <row r="5429" customFormat="false" ht="15" hidden="false" customHeight="false" outlineLevel="0" collapsed="false">
      <c r="A5429" s="0" t="s">
        <v>2784</v>
      </c>
      <c r="B5429" s="6" t="n">
        <v>42535</v>
      </c>
      <c r="C5429" s="7" t="s">
        <v>33</v>
      </c>
      <c r="D5429" s="7" t="s">
        <v>34</v>
      </c>
      <c r="E5429" s="7" t="s">
        <v>31</v>
      </c>
      <c r="F5429" s="0" t="n">
        <v>599.165</v>
      </c>
      <c r="G5429" s="0" t="n">
        <v>35.245</v>
      </c>
      <c r="H5429" s="0" t="n">
        <v>0.15</v>
      </c>
      <c r="I5429" s="7" t="n">
        <f aca="false">YEAR(B5429)</f>
        <v>2016</v>
      </c>
      <c r="J5429" s="0" t="str">
        <f aca="false">I5429&amp;"-Q"&amp;ROUNDUP(MONTH(B5429)/3,0)</f>
        <v>2016-Q2</v>
      </c>
    </row>
    <row r="5430" customFormat="false" ht="15" hidden="false" customHeight="false" outlineLevel="0" collapsed="false">
      <c r="A5430" s="0" t="s">
        <v>2785</v>
      </c>
      <c r="B5430" s="6" t="n">
        <v>42615</v>
      </c>
      <c r="C5430" s="7" t="s">
        <v>33</v>
      </c>
      <c r="D5430" s="7" t="s">
        <v>34</v>
      </c>
      <c r="E5430" s="7" t="s">
        <v>35</v>
      </c>
      <c r="F5430" s="0" t="n">
        <v>46.53</v>
      </c>
      <c r="G5430" s="0" t="n">
        <v>12.0978</v>
      </c>
      <c r="H5430" s="0" t="n">
        <v>0</v>
      </c>
      <c r="I5430" s="7" t="n">
        <f aca="false">YEAR(B5430)</f>
        <v>2016</v>
      </c>
      <c r="J5430" s="0" t="str">
        <f aca="false">I5430&amp;"-Q"&amp;ROUNDUP(MONTH(B5430)/3,0)</f>
        <v>2016-Q3</v>
      </c>
    </row>
    <row r="5431" customFormat="false" ht="15" hidden="false" customHeight="false" outlineLevel="0" collapsed="false">
      <c r="A5431" s="0" t="s">
        <v>2786</v>
      </c>
      <c r="B5431" s="6" t="n">
        <v>41887</v>
      </c>
      <c r="C5431" s="7" t="s">
        <v>29</v>
      </c>
      <c r="D5431" s="7" t="s">
        <v>37</v>
      </c>
      <c r="E5431" s="7" t="s">
        <v>31</v>
      </c>
      <c r="F5431" s="0" t="n">
        <v>31.984</v>
      </c>
      <c r="G5431" s="0" t="n">
        <v>1.999</v>
      </c>
      <c r="H5431" s="0" t="n">
        <v>0.2</v>
      </c>
      <c r="I5431" s="7" t="n">
        <f aca="false">YEAR(B5431)</f>
        <v>2014</v>
      </c>
      <c r="J5431" s="0" t="str">
        <f aca="false">I5431&amp;"-Q"&amp;ROUNDUP(MONTH(B5431)/3,0)</f>
        <v>2014-Q3</v>
      </c>
    </row>
    <row r="5432" customFormat="false" ht="15" hidden="false" customHeight="false" outlineLevel="0" collapsed="false">
      <c r="A5432" s="0" t="s">
        <v>2787</v>
      </c>
      <c r="B5432" s="6" t="n">
        <v>43029</v>
      </c>
      <c r="C5432" s="7" t="s">
        <v>55</v>
      </c>
      <c r="D5432" s="7" t="s">
        <v>116</v>
      </c>
      <c r="E5432" s="7" t="s">
        <v>35</v>
      </c>
      <c r="F5432" s="0" t="n">
        <v>161.568</v>
      </c>
      <c r="G5432" s="0" t="n">
        <v>16.1568</v>
      </c>
      <c r="H5432" s="0" t="n">
        <v>0.2</v>
      </c>
      <c r="I5432" s="7" t="n">
        <f aca="false">YEAR(B5432)</f>
        <v>2017</v>
      </c>
      <c r="J5432" s="0" t="str">
        <f aca="false">I5432&amp;"-Q"&amp;ROUNDUP(MONTH(B5432)/3,0)</f>
        <v>2017-Q4</v>
      </c>
    </row>
    <row r="5433" customFormat="false" ht="15" hidden="false" customHeight="false" outlineLevel="0" collapsed="false">
      <c r="A5433" s="0" t="s">
        <v>2787</v>
      </c>
      <c r="B5433" s="6" t="n">
        <v>43029</v>
      </c>
      <c r="C5433" s="7" t="s">
        <v>55</v>
      </c>
      <c r="D5433" s="7" t="s">
        <v>116</v>
      </c>
      <c r="E5433" s="7" t="s">
        <v>35</v>
      </c>
      <c r="F5433" s="0" t="n">
        <v>4.064</v>
      </c>
      <c r="G5433" s="0" t="n">
        <v>1.3716</v>
      </c>
      <c r="H5433" s="0" t="n">
        <v>0.2</v>
      </c>
      <c r="I5433" s="7" t="n">
        <f aca="false">YEAR(B5433)</f>
        <v>2017</v>
      </c>
      <c r="J5433" s="0" t="str">
        <f aca="false">I5433&amp;"-Q"&amp;ROUNDUP(MONTH(B5433)/3,0)</f>
        <v>2017-Q4</v>
      </c>
    </row>
    <row r="5434" customFormat="false" ht="15" hidden="false" customHeight="false" outlineLevel="0" collapsed="false">
      <c r="A5434" s="0" t="s">
        <v>2787</v>
      </c>
      <c r="B5434" s="6" t="n">
        <v>43029</v>
      </c>
      <c r="C5434" s="7" t="s">
        <v>55</v>
      </c>
      <c r="D5434" s="7" t="s">
        <v>116</v>
      </c>
      <c r="E5434" s="7" t="s">
        <v>35</v>
      </c>
      <c r="F5434" s="0" t="n">
        <v>6.216</v>
      </c>
      <c r="G5434" s="0" t="n">
        <v>-4.9728</v>
      </c>
      <c r="H5434" s="0" t="n">
        <v>0.7</v>
      </c>
      <c r="I5434" s="7" t="n">
        <f aca="false">YEAR(B5434)</f>
        <v>2017</v>
      </c>
      <c r="J5434" s="0" t="str">
        <f aca="false">I5434&amp;"-Q"&amp;ROUNDUP(MONTH(B5434)/3,0)</f>
        <v>2017-Q4</v>
      </c>
    </row>
    <row r="5435" customFormat="false" ht="15" hidden="false" customHeight="false" outlineLevel="0" collapsed="false">
      <c r="A5435" s="0" t="s">
        <v>2788</v>
      </c>
      <c r="B5435" s="6" t="n">
        <v>42850</v>
      </c>
      <c r="C5435" s="7" t="s">
        <v>33</v>
      </c>
      <c r="D5435" s="7" t="s">
        <v>81</v>
      </c>
      <c r="E5435" s="7" t="s">
        <v>35</v>
      </c>
      <c r="F5435" s="0" t="n">
        <v>8.896</v>
      </c>
      <c r="G5435" s="0" t="n">
        <v>0.6672</v>
      </c>
      <c r="H5435" s="0" t="n">
        <v>0.2</v>
      </c>
      <c r="I5435" s="7" t="n">
        <f aca="false">YEAR(B5435)</f>
        <v>2017</v>
      </c>
      <c r="J5435" s="0" t="str">
        <f aca="false">I5435&amp;"-Q"&amp;ROUNDUP(MONTH(B5435)/3,0)</f>
        <v>2017-Q2</v>
      </c>
    </row>
    <row r="5436" customFormat="false" ht="15" hidden="false" customHeight="false" outlineLevel="0" collapsed="false">
      <c r="A5436" s="0" t="s">
        <v>2789</v>
      </c>
      <c r="B5436" s="6" t="n">
        <v>42296</v>
      </c>
      <c r="C5436" s="7" t="s">
        <v>33</v>
      </c>
      <c r="D5436" s="7" t="s">
        <v>34</v>
      </c>
      <c r="E5436" s="7" t="s">
        <v>35</v>
      </c>
      <c r="F5436" s="0" t="n">
        <v>1640.7</v>
      </c>
      <c r="G5436" s="0" t="n">
        <v>459.396</v>
      </c>
      <c r="H5436" s="0" t="n">
        <v>0</v>
      </c>
      <c r="I5436" s="7" t="n">
        <f aca="false">YEAR(B5436)</f>
        <v>2015</v>
      </c>
      <c r="J5436" s="0" t="str">
        <f aca="false">I5436&amp;"-Q"&amp;ROUNDUP(MONTH(B5436)/3,0)</f>
        <v>2015-Q4</v>
      </c>
    </row>
    <row r="5437" customFormat="false" ht="15" hidden="false" customHeight="false" outlineLevel="0" collapsed="false">
      <c r="A5437" s="0" t="s">
        <v>2789</v>
      </c>
      <c r="B5437" s="6" t="n">
        <v>42296</v>
      </c>
      <c r="C5437" s="7" t="s">
        <v>33</v>
      </c>
      <c r="D5437" s="7" t="s">
        <v>34</v>
      </c>
      <c r="E5437" s="7" t="s">
        <v>39</v>
      </c>
      <c r="F5437" s="0" t="n">
        <v>270</v>
      </c>
      <c r="G5437" s="0" t="n">
        <v>97.2</v>
      </c>
      <c r="H5437" s="0" t="n">
        <v>0</v>
      </c>
      <c r="I5437" s="7" t="n">
        <f aca="false">YEAR(B5437)</f>
        <v>2015</v>
      </c>
      <c r="J5437" s="0" t="str">
        <f aca="false">I5437&amp;"-Q"&amp;ROUNDUP(MONTH(B5437)/3,0)</f>
        <v>2015-Q4</v>
      </c>
    </row>
    <row r="5438" customFormat="false" ht="15" hidden="false" customHeight="false" outlineLevel="0" collapsed="false">
      <c r="A5438" s="0" t="s">
        <v>2790</v>
      </c>
      <c r="B5438" s="6" t="n">
        <v>41825</v>
      </c>
      <c r="C5438" s="7" t="s">
        <v>29</v>
      </c>
      <c r="D5438" s="7" t="s">
        <v>37</v>
      </c>
      <c r="E5438" s="7" t="s">
        <v>31</v>
      </c>
      <c r="F5438" s="0" t="n">
        <v>19.52</v>
      </c>
      <c r="G5438" s="0" t="n">
        <v>5.368</v>
      </c>
      <c r="H5438" s="0" t="n">
        <v>0.2</v>
      </c>
      <c r="I5438" s="7" t="n">
        <f aca="false">YEAR(B5438)</f>
        <v>2014</v>
      </c>
      <c r="J5438" s="0" t="str">
        <f aca="false">I5438&amp;"-Q"&amp;ROUNDUP(MONTH(B5438)/3,0)</f>
        <v>2014-Q3</v>
      </c>
    </row>
    <row r="5439" customFormat="false" ht="15" hidden="false" customHeight="false" outlineLevel="0" collapsed="false">
      <c r="A5439" s="0" t="s">
        <v>2790</v>
      </c>
      <c r="B5439" s="6" t="n">
        <v>41825</v>
      </c>
      <c r="C5439" s="7" t="s">
        <v>29</v>
      </c>
      <c r="D5439" s="7" t="s">
        <v>37</v>
      </c>
      <c r="E5439" s="7" t="s">
        <v>35</v>
      </c>
      <c r="F5439" s="0" t="n">
        <v>9.81</v>
      </c>
      <c r="G5439" s="0" t="n">
        <v>-6.867</v>
      </c>
      <c r="H5439" s="0" t="n">
        <v>0.7</v>
      </c>
      <c r="I5439" s="7" t="n">
        <f aca="false">YEAR(B5439)</f>
        <v>2014</v>
      </c>
      <c r="J5439" s="0" t="str">
        <f aca="false">I5439&amp;"-Q"&amp;ROUNDUP(MONTH(B5439)/3,0)</f>
        <v>2014-Q3</v>
      </c>
    </row>
    <row r="5440" customFormat="false" ht="15" hidden="false" customHeight="false" outlineLevel="0" collapsed="false">
      <c r="A5440" s="0" t="s">
        <v>2790</v>
      </c>
      <c r="B5440" s="6" t="n">
        <v>41825</v>
      </c>
      <c r="C5440" s="7" t="s">
        <v>29</v>
      </c>
      <c r="D5440" s="7" t="s">
        <v>37</v>
      </c>
      <c r="E5440" s="7" t="s">
        <v>31</v>
      </c>
      <c r="F5440" s="0" t="n">
        <v>213.216</v>
      </c>
      <c r="G5440" s="0" t="n">
        <v>15.9912</v>
      </c>
      <c r="H5440" s="0" t="n">
        <v>0.2</v>
      </c>
      <c r="I5440" s="7" t="n">
        <f aca="false">YEAR(B5440)</f>
        <v>2014</v>
      </c>
      <c r="J5440" s="0" t="str">
        <f aca="false">I5440&amp;"-Q"&amp;ROUNDUP(MONTH(B5440)/3,0)</f>
        <v>2014-Q3</v>
      </c>
    </row>
    <row r="5441" customFormat="false" ht="15" hidden="false" customHeight="false" outlineLevel="0" collapsed="false">
      <c r="A5441" s="0" t="s">
        <v>2791</v>
      </c>
      <c r="B5441" s="6" t="n">
        <v>42464</v>
      </c>
      <c r="C5441" s="7" t="s">
        <v>55</v>
      </c>
      <c r="D5441" s="7" t="s">
        <v>76</v>
      </c>
      <c r="E5441" s="7" t="s">
        <v>35</v>
      </c>
      <c r="F5441" s="0" t="n">
        <v>588.784</v>
      </c>
      <c r="G5441" s="0" t="n">
        <v>183.995</v>
      </c>
      <c r="H5441" s="0" t="n">
        <v>0.2</v>
      </c>
      <c r="I5441" s="7" t="n">
        <f aca="false">YEAR(B5441)</f>
        <v>2016</v>
      </c>
      <c r="J5441" s="0" t="str">
        <f aca="false">I5441&amp;"-Q"&amp;ROUNDUP(MONTH(B5441)/3,0)</f>
        <v>2016-Q2</v>
      </c>
    </row>
    <row r="5442" customFormat="false" ht="15" hidden="false" customHeight="false" outlineLevel="0" collapsed="false">
      <c r="A5442" s="0" t="s">
        <v>2792</v>
      </c>
      <c r="B5442" s="6" t="n">
        <v>43052</v>
      </c>
      <c r="C5442" s="7" t="s">
        <v>29</v>
      </c>
      <c r="D5442" s="7" t="s">
        <v>37</v>
      </c>
      <c r="E5442" s="7" t="s">
        <v>35</v>
      </c>
      <c r="F5442" s="0" t="n">
        <v>2.064</v>
      </c>
      <c r="G5442" s="0" t="n">
        <v>0.1548</v>
      </c>
      <c r="H5442" s="0" t="n">
        <v>0.2</v>
      </c>
      <c r="I5442" s="7" t="n">
        <f aca="false">YEAR(B5442)</f>
        <v>2017</v>
      </c>
      <c r="J5442" s="0" t="str">
        <f aca="false">I5442&amp;"-Q"&amp;ROUNDUP(MONTH(B5442)/3,0)</f>
        <v>2017-Q4</v>
      </c>
    </row>
    <row r="5443" customFormat="false" ht="15" hidden="false" customHeight="false" outlineLevel="0" collapsed="false">
      <c r="A5443" s="0" t="s">
        <v>2793</v>
      </c>
      <c r="B5443" s="6" t="n">
        <v>42987</v>
      </c>
      <c r="C5443" s="7" t="s">
        <v>33</v>
      </c>
      <c r="D5443" s="7" t="s">
        <v>81</v>
      </c>
      <c r="E5443" s="7" t="s">
        <v>35</v>
      </c>
      <c r="F5443" s="0" t="n">
        <v>6.368</v>
      </c>
      <c r="G5443" s="0" t="n">
        <v>2.388</v>
      </c>
      <c r="H5443" s="0" t="n">
        <v>0.2</v>
      </c>
      <c r="I5443" s="7" t="n">
        <f aca="false">YEAR(B5443)</f>
        <v>2017</v>
      </c>
      <c r="J5443" s="0" t="str">
        <f aca="false">I5443&amp;"-Q"&amp;ROUNDUP(MONTH(B5443)/3,0)</f>
        <v>2017-Q3</v>
      </c>
    </row>
    <row r="5444" customFormat="false" ht="15" hidden="false" customHeight="false" outlineLevel="0" collapsed="false">
      <c r="A5444" s="0" t="s">
        <v>2794</v>
      </c>
      <c r="B5444" s="6" t="n">
        <v>42111</v>
      </c>
      <c r="C5444" s="7" t="s">
        <v>55</v>
      </c>
      <c r="D5444" s="7" t="s">
        <v>76</v>
      </c>
      <c r="E5444" s="7" t="s">
        <v>39</v>
      </c>
      <c r="F5444" s="0" t="n">
        <v>99.6</v>
      </c>
      <c r="G5444" s="0" t="n">
        <v>36.852</v>
      </c>
      <c r="H5444" s="0" t="n">
        <v>0</v>
      </c>
      <c r="I5444" s="7" t="n">
        <f aca="false">YEAR(B5444)</f>
        <v>2015</v>
      </c>
      <c r="J5444" s="0" t="str">
        <f aca="false">I5444&amp;"-Q"&amp;ROUNDUP(MONTH(B5444)/3,0)</f>
        <v>2015-Q2</v>
      </c>
    </row>
    <row r="5445" customFormat="false" ht="15" hidden="false" customHeight="false" outlineLevel="0" collapsed="false">
      <c r="A5445" s="0" t="s">
        <v>2794</v>
      </c>
      <c r="B5445" s="6" t="n">
        <v>42111</v>
      </c>
      <c r="C5445" s="7" t="s">
        <v>55</v>
      </c>
      <c r="D5445" s="7" t="s">
        <v>76</v>
      </c>
      <c r="E5445" s="7" t="s">
        <v>35</v>
      </c>
      <c r="F5445" s="0" t="n">
        <v>62.296</v>
      </c>
      <c r="G5445" s="0" t="n">
        <v>21.0249</v>
      </c>
      <c r="H5445" s="0" t="n">
        <v>0.2</v>
      </c>
      <c r="I5445" s="7" t="n">
        <f aca="false">YEAR(B5445)</f>
        <v>2015</v>
      </c>
      <c r="J5445" s="0" t="str">
        <f aca="false">I5445&amp;"-Q"&amp;ROUNDUP(MONTH(B5445)/3,0)</f>
        <v>2015-Q2</v>
      </c>
    </row>
    <row r="5446" customFormat="false" ht="15" hidden="false" customHeight="false" outlineLevel="0" collapsed="false">
      <c r="A5446" s="0" t="s">
        <v>2794</v>
      </c>
      <c r="B5446" s="6" t="n">
        <v>42111</v>
      </c>
      <c r="C5446" s="7" t="s">
        <v>55</v>
      </c>
      <c r="D5446" s="7" t="s">
        <v>76</v>
      </c>
      <c r="E5446" s="7" t="s">
        <v>35</v>
      </c>
      <c r="F5446" s="0" t="n">
        <v>10.71</v>
      </c>
      <c r="G5446" s="0" t="n">
        <v>2.7846</v>
      </c>
      <c r="H5446" s="0" t="n">
        <v>0</v>
      </c>
      <c r="I5446" s="7" t="n">
        <f aca="false">YEAR(B5446)</f>
        <v>2015</v>
      </c>
      <c r="J5446" s="0" t="str">
        <f aca="false">I5446&amp;"-Q"&amp;ROUNDUP(MONTH(B5446)/3,0)</f>
        <v>2015-Q2</v>
      </c>
    </row>
    <row r="5447" customFormat="false" ht="15" hidden="false" customHeight="false" outlineLevel="0" collapsed="false">
      <c r="A5447" s="0" t="s">
        <v>2795</v>
      </c>
      <c r="B5447" s="6" t="n">
        <v>42576</v>
      </c>
      <c r="C5447" s="7" t="s">
        <v>45</v>
      </c>
      <c r="D5447" s="7" t="s">
        <v>46</v>
      </c>
      <c r="E5447" s="7" t="s">
        <v>35</v>
      </c>
      <c r="F5447" s="0" t="n">
        <v>20.936</v>
      </c>
      <c r="G5447" s="0" t="n">
        <v>7.0659</v>
      </c>
      <c r="H5447" s="0" t="n">
        <v>0.2</v>
      </c>
      <c r="I5447" s="7" t="n">
        <f aca="false">YEAR(B5447)</f>
        <v>2016</v>
      </c>
      <c r="J5447" s="0" t="str">
        <f aca="false">I5447&amp;"-Q"&amp;ROUNDUP(MONTH(B5447)/3,0)</f>
        <v>2016-Q3</v>
      </c>
    </row>
    <row r="5448" customFormat="false" ht="15" hidden="false" customHeight="false" outlineLevel="0" collapsed="false">
      <c r="A5448" s="0" t="s">
        <v>2796</v>
      </c>
      <c r="B5448" s="6" t="n">
        <v>42608</v>
      </c>
      <c r="C5448" s="7" t="s">
        <v>55</v>
      </c>
      <c r="D5448" s="7" t="s">
        <v>76</v>
      </c>
      <c r="E5448" s="7" t="s">
        <v>39</v>
      </c>
      <c r="F5448" s="0" t="n">
        <v>33</v>
      </c>
      <c r="G5448" s="0" t="n">
        <v>8.25</v>
      </c>
      <c r="H5448" s="0" t="n">
        <v>0</v>
      </c>
      <c r="I5448" s="7" t="n">
        <f aca="false">YEAR(B5448)</f>
        <v>2016</v>
      </c>
      <c r="J5448" s="0" t="str">
        <f aca="false">I5448&amp;"-Q"&amp;ROUNDUP(MONTH(B5448)/3,0)</f>
        <v>2016-Q3</v>
      </c>
    </row>
    <row r="5449" customFormat="false" ht="15" hidden="false" customHeight="false" outlineLevel="0" collapsed="false">
      <c r="A5449" s="0" t="s">
        <v>2796</v>
      </c>
      <c r="B5449" s="6" t="n">
        <v>42608</v>
      </c>
      <c r="C5449" s="7" t="s">
        <v>55</v>
      </c>
      <c r="D5449" s="7" t="s">
        <v>76</v>
      </c>
      <c r="E5449" s="7" t="s">
        <v>39</v>
      </c>
      <c r="F5449" s="0" t="n">
        <v>249.95</v>
      </c>
      <c r="G5449" s="0" t="n">
        <v>87.4825</v>
      </c>
      <c r="H5449" s="0" t="n">
        <v>0</v>
      </c>
      <c r="I5449" s="7" t="n">
        <f aca="false">YEAR(B5449)</f>
        <v>2016</v>
      </c>
      <c r="J5449" s="0" t="str">
        <f aca="false">I5449&amp;"-Q"&amp;ROUNDUP(MONTH(B5449)/3,0)</f>
        <v>2016-Q3</v>
      </c>
    </row>
    <row r="5450" customFormat="false" ht="15" hidden="false" customHeight="false" outlineLevel="0" collapsed="false">
      <c r="A5450" s="0" t="s">
        <v>2797</v>
      </c>
      <c r="B5450" s="6" t="n">
        <v>41894</v>
      </c>
      <c r="C5450" s="7" t="s">
        <v>45</v>
      </c>
      <c r="D5450" s="7" t="s">
        <v>946</v>
      </c>
      <c r="E5450" s="7" t="s">
        <v>35</v>
      </c>
      <c r="F5450" s="0" t="n">
        <v>357.93</v>
      </c>
      <c r="G5450" s="0" t="n">
        <v>7.1586</v>
      </c>
      <c r="H5450" s="0" t="n">
        <v>0</v>
      </c>
      <c r="I5450" s="7" t="n">
        <f aca="false">YEAR(B5450)</f>
        <v>2014</v>
      </c>
      <c r="J5450" s="0" t="str">
        <f aca="false">I5450&amp;"-Q"&amp;ROUNDUP(MONTH(B5450)/3,0)</f>
        <v>2014-Q3</v>
      </c>
    </row>
    <row r="5451" customFormat="false" ht="15" hidden="false" customHeight="false" outlineLevel="0" collapsed="false">
      <c r="A5451" s="0" t="s">
        <v>2797</v>
      </c>
      <c r="B5451" s="6" t="n">
        <v>41894</v>
      </c>
      <c r="C5451" s="7" t="s">
        <v>45</v>
      </c>
      <c r="D5451" s="7" t="s">
        <v>946</v>
      </c>
      <c r="E5451" s="7" t="s">
        <v>39</v>
      </c>
      <c r="F5451" s="0" t="n">
        <v>57.4</v>
      </c>
      <c r="G5451" s="0" t="n">
        <v>10.906</v>
      </c>
      <c r="H5451" s="0" t="n">
        <v>0</v>
      </c>
      <c r="I5451" s="7" t="n">
        <f aca="false">YEAR(B5451)</f>
        <v>2014</v>
      </c>
      <c r="J5451" s="0" t="str">
        <f aca="false">I5451&amp;"-Q"&amp;ROUNDUP(MONTH(B5451)/3,0)</f>
        <v>2014-Q3</v>
      </c>
    </row>
    <row r="5452" customFormat="false" ht="15" hidden="false" customHeight="false" outlineLevel="0" collapsed="false">
      <c r="A5452" s="0" t="s">
        <v>2797</v>
      </c>
      <c r="B5452" s="6" t="n">
        <v>41894</v>
      </c>
      <c r="C5452" s="7" t="s">
        <v>45</v>
      </c>
      <c r="D5452" s="7" t="s">
        <v>946</v>
      </c>
      <c r="E5452" s="7" t="s">
        <v>35</v>
      </c>
      <c r="F5452" s="0" t="n">
        <v>331.96</v>
      </c>
      <c r="G5452" s="0" t="n">
        <v>149.382</v>
      </c>
      <c r="H5452" s="0" t="n">
        <v>0</v>
      </c>
      <c r="I5452" s="7" t="n">
        <f aca="false">YEAR(B5452)</f>
        <v>2014</v>
      </c>
      <c r="J5452" s="0" t="str">
        <f aca="false">I5452&amp;"-Q"&amp;ROUNDUP(MONTH(B5452)/3,0)</f>
        <v>2014-Q3</v>
      </c>
    </row>
    <row r="5453" customFormat="false" ht="15" hidden="false" customHeight="false" outlineLevel="0" collapsed="false">
      <c r="A5453" s="0" t="s">
        <v>2797</v>
      </c>
      <c r="B5453" s="6" t="n">
        <v>41894</v>
      </c>
      <c r="C5453" s="7" t="s">
        <v>45</v>
      </c>
      <c r="D5453" s="7" t="s">
        <v>946</v>
      </c>
      <c r="E5453" s="7" t="s">
        <v>31</v>
      </c>
      <c r="F5453" s="0" t="n">
        <v>40.56</v>
      </c>
      <c r="G5453" s="0" t="n">
        <v>12.9792</v>
      </c>
      <c r="H5453" s="0" t="n">
        <v>0</v>
      </c>
      <c r="I5453" s="7" t="n">
        <f aca="false">YEAR(B5453)</f>
        <v>2014</v>
      </c>
      <c r="J5453" s="0" t="str">
        <f aca="false">I5453&amp;"-Q"&amp;ROUNDUP(MONTH(B5453)/3,0)</f>
        <v>2014-Q3</v>
      </c>
    </row>
    <row r="5454" customFormat="false" ht="15" hidden="false" customHeight="false" outlineLevel="0" collapsed="false">
      <c r="A5454" s="0" t="s">
        <v>2798</v>
      </c>
      <c r="B5454" s="6" t="n">
        <v>42573</v>
      </c>
      <c r="C5454" s="7" t="s">
        <v>33</v>
      </c>
      <c r="D5454" s="7" t="s">
        <v>248</v>
      </c>
      <c r="E5454" s="7" t="s">
        <v>35</v>
      </c>
      <c r="F5454" s="0" t="n">
        <v>86.2</v>
      </c>
      <c r="G5454" s="0" t="n">
        <v>24.998</v>
      </c>
      <c r="H5454" s="0" t="n">
        <v>0</v>
      </c>
      <c r="I5454" s="7" t="n">
        <f aca="false">YEAR(B5454)</f>
        <v>2016</v>
      </c>
      <c r="J5454" s="0" t="str">
        <f aca="false">I5454&amp;"-Q"&amp;ROUNDUP(MONTH(B5454)/3,0)</f>
        <v>2016-Q3</v>
      </c>
    </row>
    <row r="5455" customFormat="false" ht="15" hidden="false" customHeight="false" outlineLevel="0" collapsed="false">
      <c r="A5455" s="0" t="s">
        <v>2799</v>
      </c>
      <c r="B5455" s="6" t="n">
        <v>42874</v>
      </c>
      <c r="C5455" s="7" t="s">
        <v>45</v>
      </c>
      <c r="D5455" s="7" t="s">
        <v>64</v>
      </c>
      <c r="E5455" s="7" t="s">
        <v>35</v>
      </c>
      <c r="F5455" s="0" t="n">
        <v>38.016</v>
      </c>
      <c r="G5455" s="0" t="n">
        <v>13.7808</v>
      </c>
      <c r="H5455" s="0" t="n">
        <v>0.2</v>
      </c>
      <c r="I5455" s="7" t="n">
        <f aca="false">YEAR(B5455)</f>
        <v>2017</v>
      </c>
      <c r="J5455" s="0" t="str">
        <f aca="false">I5455&amp;"-Q"&amp;ROUNDUP(MONTH(B5455)/3,0)</f>
        <v>2017-Q2</v>
      </c>
    </row>
    <row r="5456" customFormat="false" ht="15" hidden="false" customHeight="false" outlineLevel="0" collapsed="false">
      <c r="A5456" s="0" t="s">
        <v>2800</v>
      </c>
      <c r="B5456" s="6" t="n">
        <v>42853</v>
      </c>
      <c r="C5456" s="7" t="s">
        <v>55</v>
      </c>
      <c r="D5456" s="7" t="s">
        <v>56</v>
      </c>
      <c r="E5456" s="7" t="s">
        <v>35</v>
      </c>
      <c r="F5456" s="0" t="n">
        <v>8.384</v>
      </c>
      <c r="G5456" s="0" t="n">
        <v>0.7336</v>
      </c>
      <c r="H5456" s="0" t="n">
        <v>0.2</v>
      </c>
      <c r="I5456" s="7" t="n">
        <f aca="false">YEAR(B5456)</f>
        <v>2017</v>
      </c>
      <c r="J5456" s="0" t="str">
        <f aca="false">I5456&amp;"-Q"&amp;ROUNDUP(MONTH(B5456)/3,0)</f>
        <v>2017-Q2</v>
      </c>
    </row>
    <row r="5457" customFormat="false" ht="15" hidden="false" customHeight="false" outlineLevel="0" collapsed="false">
      <c r="A5457" s="0" t="s">
        <v>2800</v>
      </c>
      <c r="B5457" s="6" t="n">
        <v>42853</v>
      </c>
      <c r="C5457" s="7" t="s">
        <v>55</v>
      </c>
      <c r="D5457" s="7" t="s">
        <v>56</v>
      </c>
      <c r="E5457" s="7" t="s">
        <v>35</v>
      </c>
      <c r="F5457" s="0" t="n">
        <v>6.848</v>
      </c>
      <c r="G5457" s="0" t="n">
        <v>0.7704</v>
      </c>
      <c r="H5457" s="0" t="n">
        <v>0.2</v>
      </c>
      <c r="I5457" s="7" t="n">
        <f aca="false">YEAR(B5457)</f>
        <v>2017</v>
      </c>
      <c r="J5457" s="0" t="str">
        <f aca="false">I5457&amp;"-Q"&amp;ROUNDUP(MONTH(B5457)/3,0)</f>
        <v>2017-Q2</v>
      </c>
    </row>
    <row r="5458" customFormat="false" ht="15" hidden="false" customHeight="false" outlineLevel="0" collapsed="false">
      <c r="A5458" s="0" t="s">
        <v>2801</v>
      </c>
      <c r="B5458" s="6" t="n">
        <v>43098</v>
      </c>
      <c r="C5458" s="7" t="s">
        <v>33</v>
      </c>
      <c r="D5458" s="7" t="s">
        <v>43</v>
      </c>
      <c r="E5458" s="7" t="s">
        <v>35</v>
      </c>
      <c r="F5458" s="0" t="n">
        <v>19.6</v>
      </c>
      <c r="G5458" s="0" t="n">
        <v>9.604</v>
      </c>
      <c r="H5458" s="0" t="n">
        <v>0</v>
      </c>
      <c r="I5458" s="7" t="n">
        <f aca="false">YEAR(B5458)</f>
        <v>2017</v>
      </c>
      <c r="J5458" s="0" t="str">
        <f aca="false">I5458&amp;"-Q"&amp;ROUNDUP(MONTH(B5458)/3,0)</f>
        <v>2017-Q4</v>
      </c>
    </row>
    <row r="5459" customFormat="false" ht="15" hidden="false" customHeight="false" outlineLevel="0" collapsed="false">
      <c r="A5459" s="0" t="s">
        <v>2801</v>
      </c>
      <c r="B5459" s="6" t="n">
        <v>43098</v>
      </c>
      <c r="C5459" s="7" t="s">
        <v>33</v>
      </c>
      <c r="D5459" s="7" t="s">
        <v>43</v>
      </c>
      <c r="E5459" s="7" t="s">
        <v>31</v>
      </c>
      <c r="F5459" s="0" t="n">
        <v>68.46</v>
      </c>
      <c r="G5459" s="0" t="n">
        <v>20.538</v>
      </c>
      <c r="H5459" s="0" t="n">
        <v>0</v>
      </c>
      <c r="I5459" s="7" t="n">
        <f aca="false">YEAR(B5459)</f>
        <v>2017</v>
      </c>
      <c r="J5459" s="0" t="str">
        <f aca="false">I5459&amp;"-Q"&amp;ROUNDUP(MONTH(B5459)/3,0)</f>
        <v>2017-Q4</v>
      </c>
    </row>
    <row r="5460" customFormat="false" ht="15" hidden="false" customHeight="false" outlineLevel="0" collapsed="false">
      <c r="A5460" s="0" t="s">
        <v>2802</v>
      </c>
      <c r="B5460" s="6" t="n">
        <v>42982</v>
      </c>
      <c r="C5460" s="7" t="s">
        <v>33</v>
      </c>
      <c r="D5460" s="7" t="s">
        <v>34</v>
      </c>
      <c r="E5460" s="7" t="s">
        <v>35</v>
      </c>
      <c r="F5460" s="0" t="n">
        <v>13.344</v>
      </c>
      <c r="G5460" s="0" t="n">
        <v>4.3368</v>
      </c>
      <c r="H5460" s="0" t="n">
        <v>0.2</v>
      </c>
      <c r="I5460" s="7" t="n">
        <f aca="false">YEAR(B5460)</f>
        <v>2017</v>
      </c>
      <c r="J5460" s="0" t="str">
        <f aca="false">I5460&amp;"-Q"&amp;ROUNDUP(MONTH(B5460)/3,0)</f>
        <v>2017-Q3</v>
      </c>
    </row>
    <row r="5461" customFormat="false" ht="15" hidden="false" customHeight="false" outlineLevel="0" collapsed="false">
      <c r="A5461" s="0" t="s">
        <v>2802</v>
      </c>
      <c r="B5461" s="6" t="n">
        <v>42982</v>
      </c>
      <c r="C5461" s="7" t="s">
        <v>33</v>
      </c>
      <c r="D5461" s="7" t="s">
        <v>34</v>
      </c>
      <c r="E5461" s="7" t="s">
        <v>31</v>
      </c>
      <c r="F5461" s="0" t="n">
        <v>1478.272</v>
      </c>
      <c r="G5461" s="0" t="n">
        <v>92.392</v>
      </c>
      <c r="H5461" s="0" t="n">
        <v>0.2</v>
      </c>
      <c r="I5461" s="7" t="n">
        <f aca="false">YEAR(B5461)</f>
        <v>2017</v>
      </c>
      <c r="J5461" s="0" t="str">
        <f aca="false">I5461&amp;"-Q"&amp;ROUNDUP(MONTH(B5461)/3,0)</f>
        <v>2017-Q3</v>
      </c>
    </row>
    <row r="5462" customFormat="false" ht="15" hidden="false" customHeight="false" outlineLevel="0" collapsed="false">
      <c r="A5462" s="0" t="s">
        <v>2803</v>
      </c>
      <c r="B5462" s="6" t="n">
        <v>41719</v>
      </c>
      <c r="C5462" s="7" t="s">
        <v>29</v>
      </c>
      <c r="D5462" s="7" t="s">
        <v>41</v>
      </c>
      <c r="E5462" s="7" t="s">
        <v>35</v>
      </c>
      <c r="F5462" s="0" t="n">
        <v>16.272</v>
      </c>
      <c r="G5462" s="0" t="n">
        <v>-3.8646</v>
      </c>
      <c r="H5462" s="0" t="n">
        <v>0.2</v>
      </c>
      <c r="I5462" s="7" t="n">
        <f aca="false">YEAR(B5462)</f>
        <v>2014</v>
      </c>
      <c r="J5462" s="0" t="str">
        <f aca="false">I5462&amp;"-Q"&amp;ROUNDUP(MONTH(B5462)/3,0)</f>
        <v>2014-Q1</v>
      </c>
    </row>
    <row r="5463" customFormat="false" ht="15" hidden="false" customHeight="false" outlineLevel="0" collapsed="false">
      <c r="A5463" s="0" t="s">
        <v>2804</v>
      </c>
      <c r="B5463" s="6" t="n">
        <v>43006</v>
      </c>
      <c r="C5463" s="7" t="s">
        <v>33</v>
      </c>
      <c r="D5463" s="7" t="s">
        <v>34</v>
      </c>
      <c r="E5463" s="7" t="s">
        <v>31</v>
      </c>
      <c r="F5463" s="0" t="n">
        <v>9.24</v>
      </c>
      <c r="G5463" s="0" t="n">
        <v>4.4352</v>
      </c>
      <c r="H5463" s="0" t="n">
        <v>0</v>
      </c>
      <c r="I5463" s="7" t="n">
        <f aca="false">YEAR(B5463)</f>
        <v>2017</v>
      </c>
      <c r="J5463" s="0" t="str">
        <f aca="false">I5463&amp;"-Q"&amp;ROUNDUP(MONTH(B5463)/3,0)</f>
        <v>2017-Q3</v>
      </c>
    </row>
    <row r="5464" customFormat="false" ht="15" hidden="false" customHeight="false" outlineLevel="0" collapsed="false">
      <c r="A5464" s="0" t="s">
        <v>2805</v>
      </c>
      <c r="B5464" s="6" t="n">
        <v>41658</v>
      </c>
      <c r="C5464" s="7" t="s">
        <v>33</v>
      </c>
      <c r="D5464" s="7" t="s">
        <v>81</v>
      </c>
      <c r="E5464" s="7" t="s">
        <v>35</v>
      </c>
      <c r="F5464" s="0" t="n">
        <v>32.34</v>
      </c>
      <c r="G5464" s="0" t="n">
        <v>-23.716</v>
      </c>
      <c r="H5464" s="0" t="n">
        <v>0.7</v>
      </c>
      <c r="I5464" s="7" t="n">
        <f aca="false">YEAR(B5464)</f>
        <v>2014</v>
      </c>
      <c r="J5464" s="0" t="str">
        <f aca="false">I5464&amp;"-Q"&amp;ROUNDUP(MONTH(B5464)/3,0)</f>
        <v>2014-Q1</v>
      </c>
    </row>
    <row r="5465" customFormat="false" ht="15" hidden="false" customHeight="false" outlineLevel="0" collapsed="false">
      <c r="A5465" s="0" t="s">
        <v>2805</v>
      </c>
      <c r="B5465" s="6" t="n">
        <v>41658</v>
      </c>
      <c r="C5465" s="7" t="s">
        <v>33</v>
      </c>
      <c r="D5465" s="7" t="s">
        <v>81</v>
      </c>
      <c r="E5465" s="7" t="s">
        <v>35</v>
      </c>
      <c r="F5465" s="0" t="n">
        <v>56.064</v>
      </c>
      <c r="G5465" s="0" t="n">
        <v>19.6224</v>
      </c>
      <c r="H5465" s="0" t="n">
        <v>0.2</v>
      </c>
      <c r="I5465" s="7" t="n">
        <f aca="false">YEAR(B5465)</f>
        <v>2014</v>
      </c>
      <c r="J5465" s="0" t="str">
        <f aca="false">I5465&amp;"-Q"&amp;ROUNDUP(MONTH(B5465)/3,0)</f>
        <v>2014-Q1</v>
      </c>
    </row>
    <row r="5466" customFormat="false" ht="15" hidden="false" customHeight="false" outlineLevel="0" collapsed="false">
      <c r="A5466" s="0" t="s">
        <v>2805</v>
      </c>
      <c r="B5466" s="6" t="n">
        <v>41658</v>
      </c>
      <c r="C5466" s="7" t="s">
        <v>33</v>
      </c>
      <c r="D5466" s="7" t="s">
        <v>81</v>
      </c>
      <c r="E5466" s="7" t="s">
        <v>35</v>
      </c>
      <c r="F5466" s="0" t="n">
        <v>108.72</v>
      </c>
      <c r="G5466" s="0" t="n">
        <v>36.693</v>
      </c>
      <c r="H5466" s="0" t="n">
        <v>0.2</v>
      </c>
      <c r="I5466" s="7" t="n">
        <f aca="false">YEAR(B5466)</f>
        <v>2014</v>
      </c>
      <c r="J5466" s="0" t="str">
        <f aca="false">I5466&amp;"-Q"&amp;ROUNDUP(MONTH(B5466)/3,0)</f>
        <v>2014-Q1</v>
      </c>
    </row>
    <row r="5467" customFormat="false" ht="15" hidden="false" customHeight="false" outlineLevel="0" collapsed="false">
      <c r="A5467" s="0" t="s">
        <v>2805</v>
      </c>
      <c r="B5467" s="6" t="n">
        <v>41658</v>
      </c>
      <c r="C5467" s="7" t="s">
        <v>33</v>
      </c>
      <c r="D5467" s="7" t="s">
        <v>81</v>
      </c>
      <c r="E5467" s="7" t="s">
        <v>31</v>
      </c>
      <c r="F5467" s="0" t="n">
        <v>181.47</v>
      </c>
      <c r="G5467" s="0" t="n">
        <v>-320.597</v>
      </c>
      <c r="H5467" s="0" t="n">
        <v>0.7</v>
      </c>
      <c r="I5467" s="7" t="n">
        <f aca="false">YEAR(B5467)</f>
        <v>2014</v>
      </c>
      <c r="J5467" s="0" t="str">
        <f aca="false">I5467&amp;"-Q"&amp;ROUNDUP(MONTH(B5467)/3,0)</f>
        <v>2014-Q1</v>
      </c>
    </row>
    <row r="5468" customFormat="false" ht="15" hidden="false" customHeight="false" outlineLevel="0" collapsed="false">
      <c r="A5468" s="0" t="s">
        <v>2806</v>
      </c>
      <c r="B5468" s="6" t="n">
        <v>41684</v>
      </c>
      <c r="C5468" s="7" t="s">
        <v>45</v>
      </c>
      <c r="D5468" s="7" t="s">
        <v>46</v>
      </c>
      <c r="E5468" s="7" t="s">
        <v>35</v>
      </c>
      <c r="F5468" s="0" t="n">
        <v>16.176</v>
      </c>
      <c r="G5468" s="0" t="n">
        <v>6.066</v>
      </c>
      <c r="H5468" s="0" t="n">
        <v>0.2</v>
      </c>
      <c r="I5468" s="7" t="n">
        <f aca="false">YEAR(B5468)</f>
        <v>2014</v>
      </c>
      <c r="J5468" s="0" t="str">
        <f aca="false">I5468&amp;"-Q"&amp;ROUNDUP(MONTH(B5468)/3,0)</f>
        <v>2014-Q1</v>
      </c>
    </row>
    <row r="5469" customFormat="false" ht="15" hidden="false" customHeight="false" outlineLevel="0" collapsed="false">
      <c r="A5469" s="0" t="s">
        <v>2807</v>
      </c>
      <c r="B5469" s="6" t="n">
        <v>42530</v>
      </c>
      <c r="C5469" s="7" t="s">
        <v>33</v>
      </c>
      <c r="D5469" s="7" t="s">
        <v>34</v>
      </c>
      <c r="E5469" s="7" t="s">
        <v>31</v>
      </c>
      <c r="F5469" s="0" t="n">
        <v>122.352</v>
      </c>
      <c r="G5469" s="0" t="n">
        <v>13.7646</v>
      </c>
      <c r="H5469" s="0" t="n">
        <v>0.2</v>
      </c>
      <c r="I5469" s="7" t="n">
        <f aca="false">YEAR(B5469)</f>
        <v>2016</v>
      </c>
      <c r="J5469" s="0" t="str">
        <f aca="false">I5469&amp;"-Q"&amp;ROUNDUP(MONTH(B5469)/3,0)</f>
        <v>2016-Q2</v>
      </c>
    </row>
    <row r="5470" customFormat="false" ht="15" hidden="false" customHeight="false" outlineLevel="0" collapsed="false">
      <c r="A5470" s="0" t="s">
        <v>2808</v>
      </c>
      <c r="B5470" s="6" t="n">
        <v>41908</v>
      </c>
      <c r="C5470" s="7" t="s">
        <v>33</v>
      </c>
      <c r="D5470" s="7" t="s">
        <v>34</v>
      </c>
      <c r="E5470" s="7" t="s">
        <v>31</v>
      </c>
      <c r="F5470" s="0" t="n">
        <v>585.552</v>
      </c>
      <c r="G5470" s="0" t="n">
        <v>73.194</v>
      </c>
      <c r="H5470" s="0" t="n">
        <v>0.2</v>
      </c>
      <c r="I5470" s="7" t="n">
        <f aca="false">YEAR(B5470)</f>
        <v>2014</v>
      </c>
      <c r="J5470" s="0" t="str">
        <f aca="false">I5470&amp;"-Q"&amp;ROUNDUP(MONTH(B5470)/3,0)</f>
        <v>2014-Q3</v>
      </c>
    </row>
    <row r="5471" customFormat="false" ht="15" hidden="false" customHeight="false" outlineLevel="0" collapsed="false">
      <c r="A5471" s="0" t="s">
        <v>2808</v>
      </c>
      <c r="B5471" s="6" t="n">
        <v>41908</v>
      </c>
      <c r="C5471" s="7" t="s">
        <v>33</v>
      </c>
      <c r="D5471" s="7" t="s">
        <v>34</v>
      </c>
      <c r="E5471" s="7" t="s">
        <v>35</v>
      </c>
      <c r="F5471" s="0" t="n">
        <v>19.44</v>
      </c>
      <c r="G5471" s="0" t="n">
        <v>9.3312</v>
      </c>
      <c r="H5471" s="0" t="n">
        <v>0</v>
      </c>
      <c r="I5471" s="7" t="n">
        <f aca="false">YEAR(B5471)</f>
        <v>2014</v>
      </c>
      <c r="J5471" s="0" t="str">
        <f aca="false">I5471&amp;"-Q"&amp;ROUNDUP(MONTH(B5471)/3,0)</f>
        <v>2014-Q3</v>
      </c>
    </row>
    <row r="5472" customFormat="false" ht="15" hidden="false" customHeight="false" outlineLevel="0" collapsed="false">
      <c r="A5472" s="0" t="s">
        <v>2809</v>
      </c>
      <c r="B5472" s="6" t="n">
        <v>42520</v>
      </c>
      <c r="C5472" s="7" t="s">
        <v>55</v>
      </c>
      <c r="D5472" s="7" t="s">
        <v>116</v>
      </c>
      <c r="E5472" s="7" t="s">
        <v>35</v>
      </c>
      <c r="F5472" s="0" t="n">
        <v>123.92</v>
      </c>
      <c r="G5472" s="0" t="n">
        <v>9.294</v>
      </c>
      <c r="H5472" s="0" t="n">
        <v>0.2</v>
      </c>
      <c r="I5472" s="7" t="n">
        <f aca="false">YEAR(B5472)</f>
        <v>2016</v>
      </c>
      <c r="J5472" s="0" t="str">
        <f aca="false">I5472&amp;"-Q"&amp;ROUNDUP(MONTH(B5472)/3,0)</f>
        <v>2016-Q2</v>
      </c>
    </row>
    <row r="5473" customFormat="false" ht="15" hidden="false" customHeight="false" outlineLevel="0" collapsed="false">
      <c r="A5473" s="0" t="s">
        <v>2810</v>
      </c>
      <c r="B5473" s="6" t="n">
        <v>43088</v>
      </c>
      <c r="C5473" s="7" t="s">
        <v>33</v>
      </c>
      <c r="D5473" s="7" t="s">
        <v>109</v>
      </c>
      <c r="E5473" s="7" t="s">
        <v>31</v>
      </c>
      <c r="F5473" s="0" t="n">
        <v>13.36</v>
      </c>
      <c r="G5473" s="0" t="n">
        <v>4.008</v>
      </c>
      <c r="H5473" s="0" t="n">
        <v>0.2</v>
      </c>
      <c r="I5473" s="7" t="n">
        <f aca="false">YEAR(B5473)</f>
        <v>2017</v>
      </c>
      <c r="J5473" s="0" t="str">
        <f aca="false">I5473&amp;"-Q"&amp;ROUNDUP(MONTH(B5473)/3,0)</f>
        <v>2017-Q4</v>
      </c>
    </row>
    <row r="5474" customFormat="false" ht="15" hidden="false" customHeight="false" outlineLevel="0" collapsed="false">
      <c r="A5474" s="0" t="s">
        <v>2810</v>
      </c>
      <c r="B5474" s="6" t="n">
        <v>43088</v>
      </c>
      <c r="C5474" s="7" t="s">
        <v>33</v>
      </c>
      <c r="D5474" s="7" t="s">
        <v>109</v>
      </c>
      <c r="E5474" s="7" t="s">
        <v>35</v>
      </c>
      <c r="F5474" s="0" t="n">
        <v>78.256</v>
      </c>
      <c r="G5474" s="0" t="n">
        <v>-17.6076</v>
      </c>
      <c r="H5474" s="0" t="n">
        <v>0.2</v>
      </c>
      <c r="I5474" s="7" t="n">
        <f aca="false">YEAR(B5474)</f>
        <v>2017</v>
      </c>
      <c r="J5474" s="0" t="str">
        <f aca="false">I5474&amp;"-Q"&amp;ROUNDUP(MONTH(B5474)/3,0)</f>
        <v>2017-Q4</v>
      </c>
    </row>
    <row r="5475" customFormat="false" ht="15" hidden="false" customHeight="false" outlineLevel="0" collapsed="false">
      <c r="A5475" s="0" t="s">
        <v>2810</v>
      </c>
      <c r="B5475" s="6" t="n">
        <v>43088</v>
      </c>
      <c r="C5475" s="7" t="s">
        <v>33</v>
      </c>
      <c r="D5475" s="7" t="s">
        <v>109</v>
      </c>
      <c r="E5475" s="7" t="s">
        <v>31</v>
      </c>
      <c r="F5475" s="0" t="n">
        <v>102.018</v>
      </c>
      <c r="G5475" s="0" t="n">
        <v>-183.6324</v>
      </c>
      <c r="H5475" s="0" t="n">
        <v>0.7</v>
      </c>
      <c r="I5475" s="7" t="n">
        <f aca="false">YEAR(B5475)</f>
        <v>2017</v>
      </c>
      <c r="J5475" s="0" t="str">
        <f aca="false">I5475&amp;"-Q"&amp;ROUNDUP(MONTH(B5475)/3,0)</f>
        <v>2017-Q4</v>
      </c>
    </row>
    <row r="5476" customFormat="false" ht="15" hidden="false" customHeight="false" outlineLevel="0" collapsed="false">
      <c r="A5476" s="0" t="s">
        <v>2811</v>
      </c>
      <c r="B5476" s="6" t="n">
        <v>43095</v>
      </c>
      <c r="C5476" s="7" t="s">
        <v>45</v>
      </c>
      <c r="D5476" s="7" t="s">
        <v>53</v>
      </c>
      <c r="E5476" s="7" t="s">
        <v>35</v>
      </c>
      <c r="F5476" s="0" t="n">
        <v>750.68</v>
      </c>
      <c r="G5476" s="0" t="n">
        <v>37.534</v>
      </c>
      <c r="H5476" s="0" t="n">
        <v>0</v>
      </c>
      <c r="I5476" s="7" t="n">
        <f aca="false">YEAR(B5476)</f>
        <v>2017</v>
      </c>
      <c r="J5476" s="0" t="str">
        <f aca="false">I5476&amp;"-Q"&amp;ROUNDUP(MONTH(B5476)/3,0)</f>
        <v>2017-Q4</v>
      </c>
    </row>
    <row r="5477" customFormat="false" ht="15" hidden="false" customHeight="false" outlineLevel="0" collapsed="false">
      <c r="A5477" s="0" t="s">
        <v>2812</v>
      </c>
      <c r="B5477" s="6" t="n">
        <v>42901</v>
      </c>
      <c r="C5477" s="7" t="s">
        <v>45</v>
      </c>
      <c r="D5477" s="7" t="s">
        <v>68</v>
      </c>
      <c r="E5477" s="7" t="s">
        <v>35</v>
      </c>
      <c r="F5477" s="0" t="n">
        <v>44.4</v>
      </c>
      <c r="G5477" s="0" t="n">
        <v>22.2</v>
      </c>
      <c r="H5477" s="0" t="n">
        <v>0</v>
      </c>
      <c r="I5477" s="7" t="n">
        <f aca="false">YEAR(B5477)</f>
        <v>2017</v>
      </c>
      <c r="J5477" s="0" t="str">
        <f aca="false">I5477&amp;"-Q"&amp;ROUNDUP(MONTH(B5477)/3,0)</f>
        <v>2017-Q2</v>
      </c>
    </row>
    <row r="5478" customFormat="false" ht="15" hidden="false" customHeight="false" outlineLevel="0" collapsed="false">
      <c r="A5478" s="0" t="s">
        <v>2812</v>
      </c>
      <c r="B5478" s="6" t="n">
        <v>42901</v>
      </c>
      <c r="C5478" s="7" t="s">
        <v>45</v>
      </c>
      <c r="D5478" s="7" t="s">
        <v>68</v>
      </c>
      <c r="E5478" s="7" t="s">
        <v>35</v>
      </c>
      <c r="F5478" s="0" t="n">
        <v>84.55</v>
      </c>
      <c r="G5478" s="0" t="n">
        <v>22.8285</v>
      </c>
      <c r="H5478" s="0" t="n">
        <v>0</v>
      </c>
      <c r="I5478" s="7" t="n">
        <f aca="false">YEAR(B5478)</f>
        <v>2017</v>
      </c>
      <c r="J5478" s="0" t="str">
        <f aca="false">I5478&amp;"-Q"&amp;ROUNDUP(MONTH(B5478)/3,0)</f>
        <v>2017-Q2</v>
      </c>
    </row>
    <row r="5479" customFormat="false" ht="15" hidden="false" customHeight="false" outlineLevel="0" collapsed="false">
      <c r="A5479" s="0" t="s">
        <v>2812</v>
      </c>
      <c r="B5479" s="6" t="n">
        <v>42901</v>
      </c>
      <c r="C5479" s="7" t="s">
        <v>45</v>
      </c>
      <c r="D5479" s="7" t="s">
        <v>68</v>
      </c>
      <c r="E5479" s="7" t="s">
        <v>35</v>
      </c>
      <c r="F5479" s="0" t="n">
        <v>17.94</v>
      </c>
      <c r="G5479" s="0" t="n">
        <v>8.7906</v>
      </c>
      <c r="H5479" s="0" t="n">
        <v>0</v>
      </c>
      <c r="I5479" s="7" t="n">
        <f aca="false">YEAR(B5479)</f>
        <v>2017</v>
      </c>
      <c r="J5479" s="0" t="str">
        <f aca="false">I5479&amp;"-Q"&amp;ROUNDUP(MONTH(B5479)/3,0)</f>
        <v>2017-Q2</v>
      </c>
    </row>
    <row r="5480" customFormat="false" ht="15" hidden="false" customHeight="false" outlineLevel="0" collapsed="false">
      <c r="A5480" s="0" t="s">
        <v>2813</v>
      </c>
      <c r="B5480" s="6" t="n">
        <v>42694</v>
      </c>
      <c r="C5480" s="7" t="s">
        <v>55</v>
      </c>
      <c r="D5480" s="7" t="s">
        <v>72</v>
      </c>
      <c r="E5480" s="7" t="s">
        <v>35</v>
      </c>
      <c r="F5480" s="0" t="n">
        <v>128.4</v>
      </c>
      <c r="G5480" s="0" t="n">
        <v>62.916</v>
      </c>
      <c r="H5480" s="0" t="n">
        <v>0</v>
      </c>
      <c r="I5480" s="7" t="n">
        <f aca="false">YEAR(B5480)</f>
        <v>2016</v>
      </c>
      <c r="J5480" s="0" t="str">
        <f aca="false">I5480&amp;"-Q"&amp;ROUNDUP(MONTH(B5480)/3,0)</f>
        <v>2016-Q4</v>
      </c>
    </row>
    <row r="5481" customFormat="false" ht="15" hidden="false" customHeight="false" outlineLevel="0" collapsed="false">
      <c r="A5481" s="0" t="s">
        <v>2814</v>
      </c>
      <c r="B5481" s="6" t="n">
        <v>41729</v>
      </c>
      <c r="C5481" s="7" t="s">
        <v>29</v>
      </c>
      <c r="D5481" s="7" t="s">
        <v>37</v>
      </c>
      <c r="E5481" s="7" t="s">
        <v>35</v>
      </c>
      <c r="F5481" s="0" t="n">
        <v>1.869</v>
      </c>
      <c r="G5481" s="0" t="n">
        <v>-1.3083</v>
      </c>
      <c r="H5481" s="0" t="n">
        <v>0.7</v>
      </c>
      <c r="I5481" s="7" t="n">
        <f aca="false">YEAR(B5481)</f>
        <v>2014</v>
      </c>
      <c r="J5481" s="0" t="str">
        <f aca="false">I5481&amp;"-Q"&amp;ROUNDUP(MONTH(B5481)/3,0)</f>
        <v>2014-Q1</v>
      </c>
    </row>
    <row r="5482" customFormat="false" ht="15" hidden="false" customHeight="false" outlineLevel="0" collapsed="false">
      <c r="A5482" s="0" t="s">
        <v>2815</v>
      </c>
      <c r="B5482" s="6" t="n">
        <v>43016</v>
      </c>
      <c r="C5482" s="7" t="s">
        <v>33</v>
      </c>
      <c r="D5482" s="7" t="s">
        <v>34</v>
      </c>
      <c r="E5482" s="7" t="s">
        <v>39</v>
      </c>
      <c r="F5482" s="0" t="n">
        <v>103.192</v>
      </c>
      <c r="G5482" s="0" t="n">
        <v>11.6091</v>
      </c>
      <c r="H5482" s="0" t="n">
        <v>0.2</v>
      </c>
      <c r="I5482" s="7" t="n">
        <f aca="false">YEAR(B5482)</f>
        <v>2017</v>
      </c>
      <c r="J5482" s="0" t="str">
        <f aca="false">I5482&amp;"-Q"&amp;ROUNDUP(MONTH(B5482)/3,0)</f>
        <v>2017-Q4</v>
      </c>
    </row>
    <row r="5483" customFormat="false" ht="15" hidden="false" customHeight="false" outlineLevel="0" collapsed="false">
      <c r="A5483" s="0" t="s">
        <v>2815</v>
      </c>
      <c r="B5483" s="6" t="n">
        <v>43016</v>
      </c>
      <c r="C5483" s="7" t="s">
        <v>33</v>
      </c>
      <c r="D5483" s="7" t="s">
        <v>34</v>
      </c>
      <c r="E5483" s="7" t="s">
        <v>39</v>
      </c>
      <c r="F5483" s="0" t="n">
        <v>36</v>
      </c>
      <c r="G5483" s="0" t="n">
        <v>6.48</v>
      </c>
      <c r="H5483" s="0" t="n">
        <v>0</v>
      </c>
      <c r="I5483" s="7" t="n">
        <f aca="false">YEAR(B5483)</f>
        <v>2017</v>
      </c>
      <c r="J5483" s="0" t="str">
        <f aca="false">I5483&amp;"-Q"&amp;ROUNDUP(MONTH(B5483)/3,0)</f>
        <v>2017-Q4</v>
      </c>
    </row>
    <row r="5484" customFormat="false" ht="15" hidden="false" customHeight="false" outlineLevel="0" collapsed="false">
      <c r="A5484" s="0" t="s">
        <v>2815</v>
      </c>
      <c r="B5484" s="6" t="n">
        <v>43016</v>
      </c>
      <c r="C5484" s="7" t="s">
        <v>33</v>
      </c>
      <c r="D5484" s="7" t="s">
        <v>34</v>
      </c>
      <c r="E5484" s="7" t="s">
        <v>39</v>
      </c>
      <c r="F5484" s="0" t="n">
        <v>239.96</v>
      </c>
      <c r="G5484" s="0" t="n">
        <v>115.1808</v>
      </c>
      <c r="H5484" s="0" t="n">
        <v>0</v>
      </c>
      <c r="I5484" s="7" t="n">
        <f aca="false">YEAR(B5484)</f>
        <v>2017</v>
      </c>
      <c r="J5484" s="0" t="str">
        <f aca="false">I5484&amp;"-Q"&amp;ROUNDUP(MONTH(B5484)/3,0)</f>
        <v>2017-Q4</v>
      </c>
    </row>
    <row r="5485" customFormat="false" ht="15" hidden="false" customHeight="false" outlineLevel="0" collapsed="false">
      <c r="A5485" s="0" t="s">
        <v>2815</v>
      </c>
      <c r="B5485" s="6" t="n">
        <v>43016</v>
      </c>
      <c r="C5485" s="7" t="s">
        <v>33</v>
      </c>
      <c r="D5485" s="7" t="s">
        <v>34</v>
      </c>
      <c r="E5485" s="7" t="s">
        <v>35</v>
      </c>
      <c r="F5485" s="0" t="n">
        <v>40.68</v>
      </c>
      <c r="G5485" s="0" t="n">
        <v>0.4068</v>
      </c>
      <c r="H5485" s="0" t="n">
        <v>0</v>
      </c>
      <c r="I5485" s="7" t="n">
        <f aca="false">YEAR(B5485)</f>
        <v>2017</v>
      </c>
      <c r="J5485" s="0" t="str">
        <f aca="false">I5485&amp;"-Q"&amp;ROUNDUP(MONTH(B5485)/3,0)</f>
        <v>2017-Q4</v>
      </c>
    </row>
    <row r="5486" customFormat="false" ht="15" hidden="false" customHeight="false" outlineLevel="0" collapsed="false">
      <c r="A5486" s="0" t="s">
        <v>2816</v>
      </c>
      <c r="B5486" s="6" t="n">
        <v>42765</v>
      </c>
      <c r="C5486" s="7" t="s">
        <v>29</v>
      </c>
      <c r="D5486" s="7" t="s">
        <v>37</v>
      </c>
      <c r="E5486" s="7" t="s">
        <v>31</v>
      </c>
      <c r="F5486" s="0" t="n">
        <v>419.136</v>
      </c>
      <c r="G5486" s="0" t="n">
        <v>-68.1096</v>
      </c>
      <c r="H5486" s="0" t="n">
        <v>0.2</v>
      </c>
      <c r="I5486" s="7" t="n">
        <f aca="false">YEAR(B5486)</f>
        <v>2017</v>
      </c>
      <c r="J5486" s="0" t="str">
        <f aca="false">I5486&amp;"-Q"&amp;ROUNDUP(MONTH(B5486)/3,0)</f>
        <v>2017-Q1</v>
      </c>
    </row>
    <row r="5487" customFormat="false" ht="15" hidden="false" customHeight="false" outlineLevel="0" collapsed="false">
      <c r="A5487" s="0" t="s">
        <v>2817</v>
      </c>
      <c r="B5487" s="6" t="n">
        <v>41985</v>
      </c>
      <c r="C5487" s="7" t="s">
        <v>29</v>
      </c>
      <c r="D5487" s="7" t="s">
        <v>37</v>
      </c>
      <c r="E5487" s="7" t="s">
        <v>35</v>
      </c>
      <c r="F5487" s="0" t="n">
        <v>23.472</v>
      </c>
      <c r="G5487" s="0" t="n">
        <v>7.6284</v>
      </c>
      <c r="H5487" s="0" t="n">
        <v>0.2</v>
      </c>
      <c r="I5487" s="7" t="n">
        <f aca="false">YEAR(B5487)</f>
        <v>2014</v>
      </c>
      <c r="J5487" s="0" t="str">
        <f aca="false">I5487&amp;"-Q"&amp;ROUNDUP(MONTH(B5487)/3,0)</f>
        <v>2014-Q4</v>
      </c>
    </row>
    <row r="5488" customFormat="false" ht="15" hidden="false" customHeight="false" outlineLevel="0" collapsed="false">
      <c r="A5488" s="0" t="s">
        <v>2818</v>
      </c>
      <c r="B5488" s="6" t="n">
        <v>42301</v>
      </c>
      <c r="C5488" s="7" t="s">
        <v>45</v>
      </c>
      <c r="D5488" s="7" t="s">
        <v>46</v>
      </c>
      <c r="E5488" s="7" t="s">
        <v>35</v>
      </c>
      <c r="F5488" s="0" t="n">
        <v>3.592</v>
      </c>
      <c r="G5488" s="0" t="n">
        <v>-6.286</v>
      </c>
      <c r="H5488" s="0" t="n">
        <v>0.8</v>
      </c>
      <c r="I5488" s="7" t="n">
        <f aca="false">YEAR(B5488)</f>
        <v>2015</v>
      </c>
      <c r="J5488" s="0" t="str">
        <f aca="false">I5488&amp;"-Q"&amp;ROUNDUP(MONTH(B5488)/3,0)</f>
        <v>2015-Q4</v>
      </c>
    </row>
    <row r="5489" customFormat="false" ht="15" hidden="false" customHeight="false" outlineLevel="0" collapsed="false">
      <c r="A5489" s="0" t="s">
        <v>2819</v>
      </c>
      <c r="B5489" s="6" t="n">
        <v>42826</v>
      </c>
      <c r="C5489" s="7" t="s">
        <v>29</v>
      </c>
      <c r="D5489" s="7" t="s">
        <v>37</v>
      </c>
      <c r="E5489" s="7" t="s">
        <v>39</v>
      </c>
      <c r="F5489" s="0" t="n">
        <v>23.976</v>
      </c>
      <c r="G5489" s="0" t="n">
        <v>-5.6943</v>
      </c>
      <c r="H5489" s="0" t="n">
        <v>0.2</v>
      </c>
      <c r="I5489" s="7" t="n">
        <f aca="false">YEAR(B5489)</f>
        <v>2017</v>
      </c>
      <c r="J5489" s="0" t="str">
        <f aca="false">I5489&amp;"-Q"&amp;ROUNDUP(MONTH(B5489)/3,0)</f>
        <v>2017-Q2</v>
      </c>
    </row>
    <row r="5490" customFormat="false" ht="15" hidden="false" customHeight="false" outlineLevel="0" collapsed="false">
      <c r="A5490" s="0" t="s">
        <v>2819</v>
      </c>
      <c r="B5490" s="6" t="n">
        <v>42826</v>
      </c>
      <c r="C5490" s="7" t="s">
        <v>29</v>
      </c>
      <c r="D5490" s="7" t="s">
        <v>37</v>
      </c>
      <c r="E5490" s="7" t="s">
        <v>35</v>
      </c>
      <c r="F5490" s="0" t="n">
        <v>6.264</v>
      </c>
      <c r="G5490" s="0" t="n">
        <v>2.0358</v>
      </c>
      <c r="H5490" s="0" t="n">
        <v>0.2</v>
      </c>
      <c r="I5490" s="7" t="n">
        <f aca="false">YEAR(B5490)</f>
        <v>2017</v>
      </c>
      <c r="J5490" s="0" t="str">
        <f aca="false">I5490&amp;"-Q"&amp;ROUNDUP(MONTH(B5490)/3,0)</f>
        <v>2017-Q2</v>
      </c>
    </row>
    <row r="5491" customFormat="false" ht="15" hidden="false" customHeight="false" outlineLevel="0" collapsed="false">
      <c r="A5491" s="0" t="s">
        <v>2819</v>
      </c>
      <c r="B5491" s="6" t="n">
        <v>42826</v>
      </c>
      <c r="C5491" s="7" t="s">
        <v>29</v>
      </c>
      <c r="D5491" s="7" t="s">
        <v>37</v>
      </c>
      <c r="E5491" s="7" t="s">
        <v>35</v>
      </c>
      <c r="F5491" s="0" t="n">
        <v>20.808</v>
      </c>
      <c r="G5491" s="0" t="n">
        <v>1.8207</v>
      </c>
      <c r="H5491" s="0" t="n">
        <v>0.2</v>
      </c>
      <c r="I5491" s="7" t="n">
        <f aca="false">YEAR(B5491)</f>
        <v>2017</v>
      </c>
      <c r="J5491" s="0" t="str">
        <f aca="false">I5491&amp;"-Q"&amp;ROUNDUP(MONTH(B5491)/3,0)</f>
        <v>2017-Q2</v>
      </c>
    </row>
    <row r="5492" customFormat="false" ht="15" hidden="false" customHeight="false" outlineLevel="0" collapsed="false">
      <c r="A5492" s="0" t="s">
        <v>2819</v>
      </c>
      <c r="B5492" s="6" t="n">
        <v>42826</v>
      </c>
      <c r="C5492" s="7" t="s">
        <v>29</v>
      </c>
      <c r="D5492" s="7" t="s">
        <v>37</v>
      </c>
      <c r="E5492" s="7" t="s">
        <v>31</v>
      </c>
      <c r="F5492" s="0" t="n">
        <v>218.352</v>
      </c>
      <c r="G5492" s="0" t="n">
        <v>-19.1058</v>
      </c>
      <c r="H5492" s="0" t="n">
        <v>0.2</v>
      </c>
      <c r="I5492" s="7" t="n">
        <f aca="false">YEAR(B5492)</f>
        <v>2017</v>
      </c>
      <c r="J5492" s="0" t="str">
        <f aca="false">I5492&amp;"-Q"&amp;ROUNDUP(MONTH(B5492)/3,0)</f>
        <v>2017-Q2</v>
      </c>
    </row>
    <row r="5493" customFormat="false" ht="15" hidden="false" customHeight="false" outlineLevel="0" collapsed="false">
      <c r="A5493" s="0" t="s">
        <v>2820</v>
      </c>
      <c r="B5493" s="6" t="n">
        <v>42761</v>
      </c>
      <c r="C5493" s="7" t="s">
        <v>45</v>
      </c>
      <c r="D5493" s="7" t="s">
        <v>46</v>
      </c>
      <c r="E5493" s="7" t="s">
        <v>35</v>
      </c>
      <c r="F5493" s="0" t="n">
        <v>18.16</v>
      </c>
      <c r="G5493" s="0" t="n">
        <v>1.816</v>
      </c>
      <c r="H5493" s="0" t="n">
        <v>0.2</v>
      </c>
      <c r="I5493" s="7" t="n">
        <f aca="false">YEAR(B5493)</f>
        <v>2017</v>
      </c>
      <c r="J5493" s="0" t="str">
        <f aca="false">I5493&amp;"-Q"&amp;ROUNDUP(MONTH(B5493)/3,0)</f>
        <v>2017-Q1</v>
      </c>
    </row>
    <row r="5494" customFormat="false" ht="15" hidden="false" customHeight="false" outlineLevel="0" collapsed="false">
      <c r="A5494" s="0" t="s">
        <v>2821</v>
      </c>
      <c r="B5494" s="6" t="n">
        <v>41971</v>
      </c>
      <c r="C5494" s="7" t="s">
        <v>33</v>
      </c>
      <c r="D5494" s="7" t="s">
        <v>34</v>
      </c>
      <c r="E5494" s="7" t="s">
        <v>35</v>
      </c>
      <c r="F5494" s="0" t="n">
        <v>7.36</v>
      </c>
      <c r="G5494" s="0" t="n">
        <v>0.1472</v>
      </c>
      <c r="H5494" s="0" t="n">
        <v>0</v>
      </c>
      <c r="I5494" s="7" t="n">
        <f aca="false">YEAR(B5494)</f>
        <v>2014</v>
      </c>
      <c r="J5494" s="0" t="str">
        <f aca="false">I5494&amp;"-Q"&amp;ROUNDUP(MONTH(B5494)/3,0)</f>
        <v>2014-Q4</v>
      </c>
    </row>
    <row r="5495" customFormat="false" ht="15" hidden="false" customHeight="false" outlineLevel="0" collapsed="false">
      <c r="A5495" s="0" t="s">
        <v>2821</v>
      </c>
      <c r="B5495" s="6" t="n">
        <v>41971</v>
      </c>
      <c r="C5495" s="7" t="s">
        <v>33</v>
      </c>
      <c r="D5495" s="7" t="s">
        <v>34</v>
      </c>
      <c r="E5495" s="7" t="s">
        <v>35</v>
      </c>
      <c r="F5495" s="0" t="n">
        <v>41.4</v>
      </c>
      <c r="G5495" s="0" t="n">
        <v>19.872</v>
      </c>
      <c r="H5495" s="0" t="n">
        <v>0</v>
      </c>
      <c r="I5495" s="7" t="n">
        <f aca="false">YEAR(B5495)</f>
        <v>2014</v>
      </c>
      <c r="J5495" s="0" t="str">
        <f aca="false">I5495&amp;"-Q"&amp;ROUNDUP(MONTH(B5495)/3,0)</f>
        <v>2014-Q4</v>
      </c>
    </row>
    <row r="5496" customFormat="false" ht="15" hidden="false" customHeight="false" outlineLevel="0" collapsed="false">
      <c r="A5496" s="0" t="s">
        <v>2821</v>
      </c>
      <c r="B5496" s="6" t="n">
        <v>41971</v>
      </c>
      <c r="C5496" s="7" t="s">
        <v>33</v>
      </c>
      <c r="D5496" s="7" t="s">
        <v>34</v>
      </c>
      <c r="E5496" s="7" t="s">
        <v>31</v>
      </c>
      <c r="F5496" s="0" t="n">
        <v>411.332</v>
      </c>
      <c r="G5496" s="0" t="n">
        <v>-4.8392</v>
      </c>
      <c r="H5496" s="0" t="n">
        <v>0.15</v>
      </c>
      <c r="I5496" s="7" t="n">
        <f aca="false">YEAR(B5496)</f>
        <v>2014</v>
      </c>
      <c r="J5496" s="0" t="str">
        <f aca="false">I5496&amp;"-Q"&amp;ROUNDUP(MONTH(B5496)/3,0)</f>
        <v>2014-Q4</v>
      </c>
    </row>
    <row r="5497" customFormat="false" ht="15" hidden="false" customHeight="false" outlineLevel="0" collapsed="false">
      <c r="A5497" s="0" t="s">
        <v>2822</v>
      </c>
      <c r="B5497" s="6" t="n">
        <v>42251</v>
      </c>
      <c r="C5497" s="7" t="s">
        <v>55</v>
      </c>
      <c r="D5497" s="7" t="s">
        <v>56</v>
      </c>
      <c r="E5497" s="7" t="s">
        <v>35</v>
      </c>
      <c r="F5497" s="0" t="n">
        <v>7.656</v>
      </c>
      <c r="G5497" s="0" t="n">
        <v>-6.1248</v>
      </c>
      <c r="H5497" s="0" t="n">
        <v>0.7</v>
      </c>
      <c r="I5497" s="7" t="n">
        <f aca="false">YEAR(B5497)</f>
        <v>2015</v>
      </c>
      <c r="J5497" s="0" t="str">
        <f aca="false">I5497&amp;"-Q"&amp;ROUNDUP(MONTH(B5497)/3,0)</f>
        <v>2015-Q3</v>
      </c>
    </row>
    <row r="5498" customFormat="false" ht="15" hidden="false" customHeight="false" outlineLevel="0" collapsed="false">
      <c r="A5498" s="0" t="s">
        <v>2823</v>
      </c>
      <c r="B5498" s="6" t="n">
        <v>42898</v>
      </c>
      <c r="C5498" s="7" t="s">
        <v>55</v>
      </c>
      <c r="D5498" s="7" t="s">
        <v>116</v>
      </c>
      <c r="E5498" s="7" t="s">
        <v>39</v>
      </c>
      <c r="F5498" s="0" t="n">
        <v>63.92</v>
      </c>
      <c r="G5498" s="0" t="n">
        <v>19.176</v>
      </c>
      <c r="H5498" s="0" t="n">
        <v>0.2</v>
      </c>
      <c r="I5498" s="7" t="n">
        <f aca="false">YEAR(B5498)</f>
        <v>2017</v>
      </c>
      <c r="J5498" s="0" t="str">
        <f aca="false">I5498&amp;"-Q"&amp;ROUNDUP(MONTH(B5498)/3,0)</f>
        <v>2017-Q2</v>
      </c>
    </row>
    <row r="5499" customFormat="false" ht="15" hidden="false" customHeight="false" outlineLevel="0" collapsed="false">
      <c r="A5499" s="0" t="s">
        <v>2824</v>
      </c>
      <c r="B5499" s="6" t="n">
        <v>42931</v>
      </c>
      <c r="C5499" s="7" t="s">
        <v>55</v>
      </c>
      <c r="D5499" s="7" t="s">
        <v>76</v>
      </c>
      <c r="E5499" s="7" t="s">
        <v>35</v>
      </c>
      <c r="F5499" s="0" t="n">
        <v>6.56</v>
      </c>
      <c r="G5499" s="0" t="n">
        <v>1.9024</v>
      </c>
      <c r="H5499" s="0" t="n">
        <v>0</v>
      </c>
      <c r="I5499" s="7" t="n">
        <f aca="false">YEAR(B5499)</f>
        <v>2017</v>
      </c>
      <c r="J5499" s="0" t="str">
        <f aca="false">I5499&amp;"-Q"&amp;ROUNDUP(MONTH(B5499)/3,0)</f>
        <v>2017-Q3</v>
      </c>
    </row>
    <row r="5500" customFormat="false" ht="15" hidden="false" customHeight="false" outlineLevel="0" collapsed="false">
      <c r="A5500" s="0" t="s">
        <v>2824</v>
      </c>
      <c r="B5500" s="6" t="n">
        <v>42931</v>
      </c>
      <c r="C5500" s="7" t="s">
        <v>55</v>
      </c>
      <c r="D5500" s="7" t="s">
        <v>76</v>
      </c>
      <c r="E5500" s="7" t="s">
        <v>35</v>
      </c>
      <c r="F5500" s="0" t="n">
        <v>7.83</v>
      </c>
      <c r="G5500" s="0" t="n">
        <v>3.6018</v>
      </c>
      <c r="H5500" s="0" t="n">
        <v>0</v>
      </c>
      <c r="I5500" s="7" t="n">
        <f aca="false">YEAR(B5500)</f>
        <v>2017</v>
      </c>
      <c r="J5500" s="0" t="str">
        <f aca="false">I5500&amp;"-Q"&amp;ROUNDUP(MONTH(B5500)/3,0)</f>
        <v>2017-Q3</v>
      </c>
    </row>
    <row r="5501" customFormat="false" ht="15" hidden="false" customHeight="false" outlineLevel="0" collapsed="false">
      <c r="A5501" s="0" t="s">
        <v>2824</v>
      </c>
      <c r="B5501" s="6" t="n">
        <v>42931</v>
      </c>
      <c r="C5501" s="7" t="s">
        <v>55</v>
      </c>
      <c r="D5501" s="7" t="s">
        <v>76</v>
      </c>
      <c r="E5501" s="7" t="s">
        <v>39</v>
      </c>
      <c r="F5501" s="0" t="n">
        <v>41.9</v>
      </c>
      <c r="G5501" s="0" t="n">
        <v>8.799</v>
      </c>
      <c r="H5501" s="0" t="n">
        <v>0</v>
      </c>
      <c r="I5501" s="7" t="n">
        <f aca="false">YEAR(B5501)</f>
        <v>2017</v>
      </c>
      <c r="J5501" s="0" t="str">
        <f aca="false">I5501&amp;"-Q"&amp;ROUNDUP(MONTH(B5501)/3,0)</f>
        <v>2017-Q3</v>
      </c>
    </row>
    <row r="5502" customFormat="false" ht="15" hidden="false" customHeight="false" outlineLevel="0" collapsed="false">
      <c r="A5502" s="0" t="s">
        <v>2824</v>
      </c>
      <c r="B5502" s="6" t="n">
        <v>42931</v>
      </c>
      <c r="C5502" s="7" t="s">
        <v>55</v>
      </c>
      <c r="D5502" s="7" t="s">
        <v>76</v>
      </c>
      <c r="E5502" s="7" t="s">
        <v>31</v>
      </c>
      <c r="F5502" s="0" t="n">
        <v>664.146</v>
      </c>
      <c r="G5502" s="0" t="n">
        <v>88.5528</v>
      </c>
      <c r="H5502" s="0" t="n">
        <v>0.1</v>
      </c>
      <c r="I5502" s="7" t="n">
        <f aca="false">YEAR(B5502)</f>
        <v>2017</v>
      </c>
      <c r="J5502" s="0" t="str">
        <f aca="false">I5502&amp;"-Q"&amp;ROUNDUP(MONTH(B5502)/3,0)</f>
        <v>2017-Q3</v>
      </c>
    </row>
    <row r="5503" customFormat="false" ht="15" hidden="false" customHeight="false" outlineLevel="0" collapsed="false">
      <c r="A5503" s="0" t="s">
        <v>2824</v>
      </c>
      <c r="B5503" s="6" t="n">
        <v>42931</v>
      </c>
      <c r="C5503" s="7" t="s">
        <v>55</v>
      </c>
      <c r="D5503" s="7" t="s">
        <v>76</v>
      </c>
      <c r="E5503" s="7" t="s">
        <v>35</v>
      </c>
      <c r="F5503" s="0" t="n">
        <v>8.96</v>
      </c>
      <c r="G5503" s="0" t="n">
        <v>4.3904</v>
      </c>
      <c r="H5503" s="0" t="n">
        <v>0</v>
      </c>
      <c r="I5503" s="7" t="n">
        <f aca="false">YEAR(B5503)</f>
        <v>2017</v>
      </c>
      <c r="J5503" s="0" t="str">
        <f aca="false">I5503&amp;"-Q"&amp;ROUNDUP(MONTH(B5503)/3,0)</f>
        <v>2017-Q3</v>
      </c>
    </row>
    <row r="5504" customFormat="false" ht="15" hidden="false" customHeight="false" outlineLevel="0" collapsed="false">
      <c r="A5504" s="0" t="s">
        <v>2825</v>
      </c>
      <c r="B5504" s="6" t="n">
        <v>43041</v>
      </c>
      <c r="C5504" s="7" t="s">
        <v>55</v>
      </c>
      <c r="D5504" s="7" t="s">
        <v>56</v>
      </c>
      <c r="E5504" s="7" t="s">
        <v>31</v>
      </c>
      <c r="F5504" s="0" t="n">
        <v>3.312</v>
      </c>
      <c r="G5504" s="0" t="n">
        <v>0.6624</v>
      </c>
      <c r="H5504" s="0" t="n">
        <v>0.2</v>
      </c>
      <c r="I5504" s="7" t="n">
        <f aca="false">YEAR(B5504)</f>
        <v>2017</v>
      </c>
      <c r="J5504" s="0" t="str">
        <f aca="false">I5504&amp;"-Q"&amp;ROUNDUP(MONTH(B5504)/3,0)</f>
        <v>2017-Q4</v>
      </c>
    </row>
    <row r="5505" customFormat="false" ht="15" hidden="false" customHeight="false" outlineLevel="0" collapsed="false">
      <c r="A5505" s="0" t="s">
        <v>2825</v>
      </c>
      <c r="B5505" s="6" t="n">
        <v>43041</v>
      </c>
      <c r="C5505" s="7" t="s">
        <v>55</v>
      </c>
      <c r="D5505" s="7" t="s">
        <v>56</v>
      </c>
      <c r="E5505" s="7" t="s">
        <v>35</v>
      </c>
      <c r="F5505" s="0" t="n">
        <v>20.136</v>
      </c>
      <c r="G5505" s="0" t="n">
        <v>1.2585</v>
      </c>
      <c r="H5505" s="0" t="n">
        <v>0.2</v>
      </c>
      <c r="I5505" s="7" t="n">
        <f aca="false">YEAR(B5505)</f>
        <v>2017</v>
      </c>
      <c r="J5505" s="0" t="str">
        <f aca="false">I5505&amp;"-Q"&amp;ROUNDUP(MONTH(B5505)/3,0)</f>
        <v>2017-Q4</v>
      </c>
    </row>
    <row r="5506" customFormat="false" ht="15" hidden="false" customHeight="false" outlineLevel="0" collapsed="false">
      <c r="A5506" s="0" t="s">
        <v>2825</v>
      </c>
      <c r="B5506" s="6" t="n">
        <v>43041</v>
      </c>
      <c r="C5506" s="7" t="s">
        <v>55</v>
      </c>
      <c r="D5506" s="7" t="s">
        <v>56</v>
      </c>
      <c r="E5506" s="7" t="s">
        <v>35</v>
      </c>
      <c r="F5506" s="0" t="n">
        <v>8.856</v>
      </c>
      <c r="G5506" s="0" t="n">
        <v>2.8782</v>
      </c>
      <c r="H5506" s="0" t="n">
        <v>0.2</v>
      </c>
      <c r="I5506" s="7" t="n">
        <f aca="false">YEAR(B5506)</f>
        <v>2017</v>
      </c>
      <c r="J5506" s="0" t="str">
        <f aca="false">I5506&amp;"-Q"&amp;ROUNDUP(MONTH(B5506)/3,0)</f>
        <v>2017-Q4</v>
      </c>
    </row>
    <row r="5507" customFormat="false" ht="15" hidden="false" customHeight="false" outlineLevel="0" collapsed="false">
      <c r="A5507" s="0" t="s">
        <v>2825</v>
      </c>
      <c r="B5507" s="6" t="n">
        <v>43041</v>
      </c>
      <c r="C5507" s="7" t="s">
        <v>55</v>
      </c>
      <c r="D5507" s="7" t="s">
        <v>56</v>
      </c>
      <c r="E5507" s="7" t="s">
        <v>39</v>
      </c>
      <c r="F5507" s="0" t="n">
        <v>859.2</v>
      </c>
      <c r="G5507" s="0" t="n">
        <v>-186.16</v>
      </c>
      <c r="H5507" s="0" t="n">
        <v>0.4</v>
      </c>
      <c r="I5507" s="7" t="n">
        <f aca="false">YEAR(B5507)</f>
        <v>2017</v>
      </c>
      <c r="J5507" s="0" t="str">
        <f aca="false">I5507&amp;"-Q"&amp;ROUNDUP(MONTH(B5507)/3,0)</f>
        <v>2017-Q4</v>
      </c>
    </row>
    <row r="5508" customFormat="false" ht="15" hidden="false" customHeight="false" outlineLevel="0" collapsed="false">
      <c r="A5508" s="0" t="s">
        <v>2826</v>
      </c>
      <c r="B5508" s="6" t="n">
        <v>42651</v>
      </c>
      <c r="C5508" s="7" t="s">
        <v>33</v>
      </c>
      <c r="D5508" s="7" t="s">
        <v>34</v>
      </c>
      <c r="E5508" s="7" t="s">
        <v>35</v>
      </c>
      <c r="F5508" s="0" t="n">
        <v>61.96</v>
      </c>
      <c r="G5508" s="0" t="n">
        <v>27.882</v>
      </c>
      <c r="H5508" s="0" t="n">
        <v>0</v>
      </c>
      <c r="I5508" s="7" t="n">
        <f aca="false">YEAR(B5508)</f>
        <v>2016</v>
      </c>
      <c r="J5508" s="0" t="str">
        <f aca="false">I5508&amp;"-Q"&amp;ROUNDUP(MONTH(B5508)/3,0)</f>
        <v>2016-Q4</v>
      </c>
    </row>
    <row r="5509" customFormat="false" ht="15" hidden="false" customHeight="false" outlineLevel="0" collapsed="false">
      <c r="A5509" s="0" t="s">
        <v>2827</v>
      </c>
      <c r="B5509" s="6" t="n">
        <v>42468</v>
      </c>
      <c r="C5509" s="7" t="s">
        <v>29</v>
      </c>
      <c r="D5509" s="7" t="s">
        <v>230</v>
      </c>
      <c r="E5509" s="7" t="s">
        <v>35</v>
      </c>
      <c r="F5509" s="0" t="n">
        <v>17.92</v>
      </c>
      <c r="G5509" s="0" t="n">
        <v>8.6016</v>
      </c>
      <c r="H5509" s="0" t="n">
        <v>0</v>
      </c>
      <c r="I5509" s="7" t="n">
        <f aca="false">YEAR(B5509)</f>
        <v>2016</v>
      </c>
      <c r="J5509" s="0" t="str">
        <f aca="false">I5509&amp;"-Q"&amp;ROUNDUP(MONTH(B5509)/3,0)</f>
        <v>2016-Q2</v>
      </c>
    </row>
    <row r="5510" customFormat="false" ht="15" hidden="false" customHeight="false" outlineLevel="0" collapsed="false">
      <c r="A5510" s="0" t="s">
        <v>2828</v>
      </c>
      <c r="B5510" s="6" t="n">
        <v>42285</v>
      </c>
      <c r="C5510" s="7" t="s">
        <v>33</v>
      </c>
      <c r="D5510" s="7" t="s">
        <v>34</v>
      </c>
      <c r="E5510" s="7" t="s">
        <v>31</v>
      </c>
      <c r="F5510" s="0" t="n">
        <v>145.9</v>
      </c>
      <c r="G5510" s="0" t="n">
        <v>62.737</v>
      </c>
      <c r="H5510" s="0" t="n">
        <v>0</v>
      </c>
      <c r="I5510" s="7" t="n">
        <f aca="false">YEAR(B5510)</f>
        <v>2015</v>
      </c>
      <c r="J5510" s="0" t="str">
        <f aca="false">I5510&amp;"-Q"&amp;ROUNDUP(MONTH(B5510)/3,0)</f>
        <v>2015-Q4</v>
      </c>
    </row>
    <row r="5511" customFormat="false" ht="15" hidden="false" customHeight="false" outlineLevel="0" collapsed="false">
      <c r="A5511" s="0" t="s">
        <v>2829</v>
      </c>
      <c r="B5511" s="6" t="n">
        <v>42870</v>
      </c>
      <c r="C5511" s="7" t="s">
        <v>45</v>
      </c>
      <c r="D5511" s="7" t="s">
        <v>64</v>
      </c>
      <c r="E5511" s="7" t="s">
        <v>35</v>
      </c>
      <c r="F5511" s="0" t="n">
        <v>56.704</v>
      </c>
      <c r="G5511" s="0" t="n">
        <v>19.1376</v>
      </c>
      <c r="H5511" s="0" t="n">
        <v>0.2</v>
      </c>
      <c r="I5511" s="7" t="n">
        <f aca="false">YEAR(B5511)</f>
        <v>2017</v>
      </c>
      <c r="J5511" s="0" t="str">
        <f aca="false">I5511&amp;"-Q"&amp;ROUNDUP(MONTH(B5511)/3,0)</f>
        <v>2017-Q2</v>
      </c>
    </row>
    <row r="5512" customFormat="false" ht="15" hidden="false" customHeight="false" outlineLevel="0" collapsed="false">
      <c r="A5512" s="0" t="s">
        <v>2829</v>
      </c>
      <c r="B5512" s="6" t="n">
        <v>42870</v>
      </c>
      <c r="C5512" s="7" t="s">
        <v>45</v>
      </c>
      <c r="D5512" s="7" t="s">
        <v>64</v>
      </c>
      <c r="E5512" s="7" t="s">
        <v>39</v>
      </c>
      <c r="F5512" s="0" t="n">
        <v>11.12</v>
      </c>
      <c r="G5512" s="0" t="n">
        <v>3.475</v>
      </c>
      <c r="H5512" s="0" t="n">
        <v>0.2</v>
      </c>
      <c r="I5512" s="7" t="n">
        <f aca="false">YEAR(B5512)</f>
        <v>2017</v>
      </c>
      <c r="J5512" s="0" t="str">
        <f aca="false">I5512&amp;"-Q"&amp;ROUNDUP(MONTH(B5512)/3,0)</f>
        <v>2017-Q2</v>
      </c>
    </row>
    <row r="5513" customFormat="false" ht="15" hidden="false" customHeight="false" outlineLevel="0" collapsed="false">
      <c r="A5513" s="0" t="s">
        <v>2830</v>
      </c>
      <c r="B5513" s="6" t="n">
        <v>41694</v>
      </c>
      <c r="C5513" s="7" t="s">
        <v>33</v>
      </c>
      <c r="D5513" s="7" t="s">
        <v>102</v>
      </c>
      <c r="E5513" s="7" t="s">
        <v>35</v>
      </c>
      <c r="F5513" s="0" t="n">
        <v>32.896</v>
      </c>
      <c r="G5513" s="0" t="n">
        <v>11.1024</v>
      </c>
      <c r="H5513" s="0" t="n">
        <v>0.2</v>
      </c>
      <c r="I5513" s="7" t="n">
        <f aca="false">YEAR(B5513)</f>
        <v>2014</v>
      </c>
      <c r="J5513" s="0" t="str">
        <f aca="false">I5513&amp;"-Q"&amp;ROUNDUP(MONTH(B5513)/3,0)</f>
        <v>2014-Q1</v>
      </c>
    </row>
    <row r="5514" customFormat="false" ht="15" hidden="false" customHeight="false" outlineLevel="0" collapsed="false">
      <c r="A5514" s="0" t="s">
        <v>2830</v>
      </c>
      <c r="B5514" s="6" t="n">
        <v>41694</v>
      </c>
      <c r="C5514" s="7" t="s">
        <v>33</v>
      </c>
      <c r="D5514" s="7" t="s">
        <v>102</v>
      </c>
      <c r="E5514" s="7" t="s">
        <v>35</v>
      </c>
      <c r="F5514" s="0" t="n">
        <v>22.776</v>
      </c>
      <c r="G5514" s="0" t="n">
        <v>7.6869</v>
      </c>
      <c r="H5514" s="0" t="n">
        <v>0.2</v>
      </c>
      <c r="I5514" s="7" t="n">
        <f aca="false">YEAR(B5514)</f>
        <v>2014</v>
      </c>
      <c r="J5514" s="0" t="str">
        <f aca="false">I5514&amp;"-Q"&amp;ROUNDUP(MONTH(B5514)/3,0)</f>
        <v>2014-Q1</v>
      </c>
    </row>
    <row r="5515" customFormat="false" ht="15" hidden="false" customHeight="false" outlineLevel="0" collapsed="false">
      <c r="A5515" s="0" t="s">
        <v>2831</v>
      </c>
      <c r="B5515" s="6" t="n">
        <v>42154</v>
      </c>
      <c r="C5515" s="7" t="s">
        <v>55</v>
      </c>
      <c r="D5515" s="7" t="s">
        <v>76</v>
      </c>
      <c r="E5515" s="7" t="s">
        <v>39</v>
      </c>
      <c r="F5515" s="0" t="n">
        <v>239.97</v>
      </c>
      <c r="G5515" s="0" t="n">
        <v>2.3997</v>
      </c>
      <c r="H5515" s="0" t="n">
        <v>0</v>
      </c>
      <c r="I5515" s="7" t="n">
        <f aca="false">YEAR(B5515)</f>
        <v>2015</v>
      </c>
      <c r="J5515" s="0" t="str">
        <f aca="false">I5515&amp;"-Q"&amp;ROUNDUP(MONTH(B5515)/3,0)</f>
        <v>2015-Q2</v>
      </c>
    </row>
    <row r="5516" customFormat="false" ht="15" hidden="false" customHeight="false" outlineLevel="0" collapsed="false">
      <c r="A5516" s="0" t="s">
        <v>2831</v>
      </c>
      <c r="B5516" s="6" t="n">
        <v>42154</v>
      </c>
      <c r="C5516" s="7" t="s">
        <v>55</v>
      </c>
      <c r="D5516" s="7" t="s">
        <v>76</v>
      </c>
      <c r="E5516" s="7" t="s">
        <v>35</v>
      </c>
      <c r="F5516" s="0" t="n">
        <v>160.32</v>
      </c>
      <c r="G5516" s="0" t="n">
        <v>44.8896</v>
      </c>
      <c r="H5516" s="0" t="n">
        <v>0</v>
      </c>
      <c r="I5516" s="7" t="n">
        <f aca="false">YEAR(B5516)</f>
        <v>2015</v>
      </c>
      <c r="J5516" s="0" t="str">
        <f aca="false">I5516&amp;"-Q"&amp;ROUNDUP(MONTH(B5516)/3,0)</f>
        <v>2015-Q2</v>
      </c>
    </row>
    <row r="5517" customFormat="false" ht="15" hidden="false" customHeight="false" outlineLevel="0" collapsed="false">
      <c r="A5517" s="0" t="s">
        <v>2831</v>
      </c>
      <c r="B5517" s="6" t="n">
        <v>42154</v>
      </c>
      <c r="C5517" s="7" t="s">
        <v>55</v>
      </c>
      <c r="D5517" s="7" t="s">
        <v>76</v>
      </c>
      <c r="E5517" s="7" t="s">
        <v>39</v>
      </c>
      <c r="F5517" s="0" t="n">
        <v>128.85</v>
      </c>
      <c r="G5517" s="0" t="n">
        <v>3.8655</v>
      </c>
      <c r="H5517" s="0" t="n">
        <v>0</v>
      </c>
      <c r="I5517" s="7" t="n">
        <f aca="false">YEAR(B5517)</f>
        <v>2015</v>
      </c>
      <c r="J5517" s="0" t="str">
        <f aca="false">I5517&amp;"-Q"&amp;ROUNDUP(MONTH(B5517)/3,0)</f>
        <v>2015-Q2</v>
      </c>
    </row>
    <row r="5518" customFormat="false" ht="15" hidden="false" customHeight="false" outlineLevel="0" collapsed="false">
      <c r="A5518" s="0" t="s">
        <v>2832</v>
      </c>
      <c r="B5518" s="6" t="n">
        <v>42692</v>
      </c>
      <c r="C5518" s="7" t="s">
        <v>29</v>
      </c>
      <c r="D5518" s="7" t="s">
        <v>91</v>
      </c>
      <c r="E5518" s="7" t="s">
        <v>39</v>
      </c>
      <c r="F5518" s="0" t="n">
        <v>1319.96</v>
      </c>
      <c r="G5518" s="0" t="n">
        <v>527.984</v>
      </c>
      <c r="H5518" s="0" t="n">
        <v>0</v>
      </c>
      <c r="I5518" s="7" t="n">
        <f aca="false">YEAR(B5518)</f>
        <v>2016</v>
      </c>
      <c r="J5518" s="0" t="str">
        <f aca="false">I5518&amp;"-Q"&amp;ROUNDUP(MONTH(B5518)/3,0)</f>
        <v>2016-Q4</v>
      </c>
    </row>
    <row r="5519" customFormat="false" ht="15" hidden="false" customHeight="false" outlineLevel="0" collapsed="false">
      <c r="A5519" s="0" t="s">
        <v>2833</v>
      </c>
      <c r="B5519" s="6" t="n">
        <v>43073</v>
      </c>
      <c r="C5519" s="7" t="s">
        <v>55</v>
      </c>
      <c r="D5519" s="7" t="s">
        <v>56</v>
      </c>
      <c r="E5519" s="7" t="s">
        <v>31</v>
      </c>
      <c r="F5519" s="0" t="n">
        <v>239.96</v>
      </c>
      <c r="G5519" s="0" t="n">
        <v>-10.284</v>
      </c>
      <c r="H5519" s="0" t="n">
        <v>0.3</v>
      </c>
      <c r="I5519" s="7" t="n">
        <f aca="false">YEAR(B5519)</f>
        <v>2017</v>
      </c>
      <c r="J5519" s="0" t="str">
        <f aca="false">I5519&amp;"-Q"&amp;ROUNDUP(MONTH(B5519)/3,0)</f>
        <v>2017-Q4</v>
      </c>
    </row>
    <row r="5520" customFormat="false" ht="15" hidden="false" customHeight="false" outlineLevel="0" collapsed="false">
      <c r="A5520" s="0" t="s">
        <v>2833</v>
      </c>
      <c r="B5520" s="6" t="n">
        <v>43073</v>
      </c>
      <c r="C5520" s="7" t="s">
        <v>55</v>
      </c>
      <c r="D5520" s="7" t="s">
        <v>56</v>
      </c>
      <c r="E5520" s="7" t="s">
        <v>31</v>
      </c>
      <c r="F5520" s="0" t="n">
        <v>54.768</v>
      </c>
      <c r="G5520" s="0" t="n">
        <v>6.846</v>
      </c>
      <c r="H5520" s="0" t="n">
        <v>0.2</v>
      </c>
      <c r="I5520" s="7" t="n">
        <f aca="false">YEAR(B5520)</f>
        <v>2017</v>
      </c>
      <c r="J5520" s="0" t="str">
        <f aca="false">I5520&amp;"-Q"&amp;ROUNDUP(MONTH(B5520)/3,0)</f>
        <v>2017-Q4</v>
      </c>
    </row>
    <row r="5521" customFormat="false" ht="15" hidden="false" customHeight="false" outlineLevel="0" collapsed="false">
      <c r="A5521" s="0" t="s">
        <v>2833</v>
      </c>
      <c r="B5521" s="6" t="n">
        <v>43073</v>
      </c>
      <c r="C5521" s="7" t="s">
        <v>55</v>
      </c>
      <c r="D5521" s="7" t="s">
        <v>56</v>
      </c>
      <c r="E5521" s="7" t="s">
        <v>35</v>
      </c>
      <c r="F5521" s="0" t="n">
        <v>13.392</v>
      </c>
      <c r="G5521" s="0" t="n">
        <v>3.1806</v>
      </c>
      <c r="H5521" s="0" t="n">
        <v>0.2</v>
      </c>
      <c r="I5521" s="7" t="n">
        <f aca="false">YEAR(B5521)</f>
        <v>2017</v>
      </c>
      <c r="J5521" s="0" t="str">
        <f aca="false">I5521&amp;"-Q"&amp;ROUNDUP(MONTH(B5521)/3,0)</f>
        <v>2017-Q4</v>
      </c>
    </row>
    <row r="5522" customFormat="false" ht="15" hidden="false" customHeight="false" outlineLevel="0" collapsed="false">
      <c r="A5522" s="0" t="s">
        <v>2833</v>
      </c>
      <c r="B5522" s="6" t="n">
        <v>43073</v>
      </c>
      <c r="C5522" s="7" t="s">
        <v>55</v>
      </c>
      <c r="D5522" s="7" t="s">
        <v>56</v>
      </c>
      <c r="E5522" s="7" t="s">
        <v>35</v>
      </c>
      <c r="F5522" s="0" t="n">
        <v>23.92</v>
      </c>
      <c r="G5522" s="0" t="n">
        <v>8.671</v>
      </c>
      <c r="H5522" s="0" t="n">
        <v>0.2</v>
      </c>
      <c r="I5522" s="7" t="n">
        <f aca="false">YEAR(B5522)</f>
        <v>2017</v>
      </c>
      <c r="J5522" s="0" t="str">
        <f aca="false">I5522&amp;"-Q"&amp;ROUNDUP(MONTH(B5522)/3,0)</f>
        <v>2017-Q4</v>
      </c>
    </row>
    <row r="5523" customFormat="false" ht="15" hidden="false" customHeight="false" outlineLevel="0" collapsed="false">
      <c r="A5523" s="0" t="s">
        <v>2833</v>
      </c>
      <c r="B5523" s="6" t="n">
        <v>43073</v>
      </c>
      <c r="C5523" s="7" t="s">
        <v>55</v>
      </c>
      <c r="D5523" s="7" t="s">
        <v>56</v>
      </c>
      <c r="E5523" s="7" t="s">
        <v>39</v>
      </c>
      <c r="F5523" s="0" t="n">
        <v>255.968</v>
      </c>
      <c r="G5523" s="0" t="n">
        <v>-28.7964</v>
      </c>
      <c r="H5523" s="0" t="n">
        <v>0.2</v>
      </c>
      <c r="I5523" s="7" t="n">
        <f aca="false">YEAR(B5523)</f>
        <v>2017</v>
      </c>
      <c r="J5523" s="0" t="str">
        <f aca="false">I5523&amp;"-Q"&amp;ROUNDUP(MONTH(B5523)/3,0)</f>
        <v>2017-Q4</v>
      </c>
    </row>
    <row r="5524" customFormat="false" ht="15" hidden="false" customHeight="false" outlineLevel="0" collapsed="false">
      <c r="A5524" s="0" t="s">
        <v>2834</v>
      </c>
      <c r="B5524" s="6" t="n">
        <v>42526</v>
      </c>
      <c r="C5524" s="7" t="s">
        <v>33</v>
      </c>
      <c r="D5524" s="7" t="s">
        <v>34</v>
      </c>
      <c r="E5524" s="7" t="s">
        <v>35</v>
      </c>
      <c r="F5524" s="0" t="n">
        <v>21.552</v>
      </c>
      <c r="G5524" s="0" t="n">
        <v>7.0044</v>
      </c>
      <c r="H5524" s="0" t="n">
        <v>0.2</v>
      </c>
      <c r="I5524" s="7" t="n">
        <f aca="false">YEAR(B5524)</f>
        <v>2016</v>
      </c>
      <c r="J5524" s="0" t="str">
        <f aca="false">I5524&amp;"-Q"&amp;ROUNDUP(MONTH(B5524)/3,0)</f>
        <v>2016-Q2</v>
      </c>
    </row>
    <row r="5525" customFormat="false" ht="15" hidden="false" customHeight="false" outlineLevel="0" collapsed="false">
      <c r="A5525" s="0" t="s">
        <v>2834</v>
      </c>
      <c r="B5525" s="6" t="n">
        <v>42526</v>
      </c>
      <c r="C5525" s="7" t="s">
        <v>33</v>
      </c>
      <c r="D5525" s="7" t="s">
        <v>34</v>
      </c>
      <c r="E5525" s="7" t="s">
        <v>35</v>
      </c>
      <c r="F5525" s="0" t="n">
        <v>58.24</v>
      </c>
      <c r="G5525" s="0" t="n">
        <v>15.7248</v>
      </c>
      <c r="H5525" s="0" t="n">
        <v>0</v>
      </c>
      <c r="I5525" s="7" t="n">
        <f aca="false">YEAR(B5525)</f>
        <v>2016</v>
      </c>
      <c r="J5525" s="0" t="str">
        <f aca="false">I5525&amp;"-Q"&amp;ROUNDUP(MONTH(B5525)/3,0)</f>
        <v>2016-Q2</v>
      </c>
    </row>
    <row r="5526" customFormat="false" ht="15" hidden="false" customHeight="false" outlineLevel="0" collapsed="false">
      <c r="A5526" s="0" t="s">
        <v>2835</v>
      </c>
      <c r="B5526" s="6" t="n">
        <v>42714</v>
      </c>
      <c r="C5526" s="7" t="s">
        <v>33</v>
      </c>
      <c r="D5526" s="7" t="s">
        <v>34</v>
      </c>
      <c r="E5526" s="7" t="s">
        <v>35</v>
      </c>
      <c r="F5526" s="0" t="n">
        <v>80.28</v>
      </c>
      <c r="G5526" s="0" t="n">
        <v>36.9288</v>
      </c>
      <c r="H5526" s="0" t="n">
        <v>0</v>
      </c>
      <c r="I5526" s="7" t="n">
        <f aca="false">YEAR(B5526)</f>
        <v>2016</v>
      </c>
      <c r="J5526" s="0" t="str">
        <f aca="false">I5526&amp;"-Q"&amp;ROUNDUP(MONTH(B5526)/3,0)</f>
        <v>2016-Q4</v>
      </c>
    </row>
    <row r="5527" customFormat="false" ht="15" hidden="false" customHeight="false" outlineLevel="0" collapsed="false">
      <c r="A5527" s="0" t="s">
        <v>2836</v>
      </c>
      <c r="B5527" s="6" t="n">
        <v>42855</v>
      </c>
      <c r="C5527" s="7" t="s">
        <v>33</v>
      </c>
      <c r="D5527" s="7" t="s">
        <v>34</v>
      </c>
      <c r="E5527" s="7" t="s">
        <v>35</v>
      </c>
      <c r="F5527" s="0" t="n">
        <v>9.78</v>
      </c>
      <c r="G5527" s="0" t="n">
        <v>4.0098</v>
      </c>
      <c r="H5527" s="0" t="n">
        <v>0</v>
      </c>
      <c r="I5527" s="7" t="n">
        <f aca="false">YEAR(B5527)</f>
        <v>2017</v>
      </c>
      <c r="J5527" s="0" t="str">
        <f aca="false">I5527&amp;"-Q"&amp;ROUNDUP(MONTH(B5527)/3,0)</f>
        <v>2017-Q2</v>
      </c>
    </row>
    <row r="5528" customFormat="false" ht="15" hidden="false" customHeight="false" outlineLevel="0" collapsed="false">
      <c r="A5528" s="0" t="s">
        <v>2837</v>
      </c>
      <c r="B5528" s="6" t="n">
        <v>42849</v>
      </c>
      <c r="C5528" s="7" t="s">
        <v>33</v>
      </c>
      <c r="D5528" s="7" t="s">
        <v>34</v>
      </c>
      <c r="E5528" s="7" t="s">
        <v>35</v>
      </c>
      <c r="F5528" s="0" t="n">
        <v>1.81</v>
      </c>
      <c r="G5528" s="0" t="n">
        <v>0.6516</v>
      </c>
      <c r="H5528" s="0" t="n">
        <v>0</v>
      </c>
      <c r="I5528" s="7" t="n">
        <f aca="false">YEAR(B5528)</f>
        <v>2017</v>
      </c>
      <c r="J5528" s="0" t="str">
        <f aca="false">I5528&amp;"-Q"&amp;ROUNDUP(MONTH(B5528)/3,0)</f>
        <v>2017-Q2</v>
      </c>
    </row>
    <row r="5529" customFormat="false" ht="15" hidden="false" customHeight="false" outlineLevel="0" collapsed="false">
      <c r="A5529" s="0" t="s">
        <v>2838</v>
      </c>
      <c r="B5529" s="6" t="n">
        <v>42132</v>
      </c>
      <c r="C5529" s="7" t="s">
        <v>55</v>
      </c>
      <c r="D5529" s="7" t="s">
        <v>76</v>
      </c>
      <c r="E5529" s="7" t="s">
        <v>35</v>
      </c>
      <c r="F5529" s="0" t="n">
        <v>37.94</v>
      </c>
      <c r="G5529" s="0" t="n">
        <v>18.2112</v>
      </c>
      <c r="H5529" s="0" t="n">
        <v>0</v>
      </c>
      <c r="I5529" s="7" t="n">
        <f aca="false">YEAR(B5529)</f>
        <v>2015</v>
      </c>
      <c r="J5529" s="0" t="str">
        <f aca="false">I5529&amp;"-Q"&amp;ROUNDUP(MONTH(B5529)/3,0)</f>
        <v>2015-Q2</v>
      </c>
    </row>
    <row r="5530" customFormat="false" ht="15" hidden="false" customHeight="false" outlineLevel="0" collapsed="false">
      <c r="A5530" s="0" t="s">
        <v>2839</v>
      </c>
      <c r="B5530" s="6" t="n">
        <v>42094</v>
      </c>
      <c r="C5530" s="7" t="s">
        <v>29</v>
      </c>
      <c r="D5530" s="7" t="s">
        <v>37</v>
      </c>
      <c r="E5530" s="7" t="s">
        <v>39</v>
      </c>
      <c r="F5530" s="0" t="n">
        <v>79.96</v>
      </c>
      <c r="G5530" s="0" t="n">
        <v>27.986</v>
      </c>
      <c r="H5530" s="0" t="n">
        <v>0.2</v>
      </c>
      <c r="I5530" s="7" t="n">
        <f aca="false">YEAR(B5530)</f>
        <v>2015</v>
      </c>
      <c r="J5530" s="0" t="str">
        <f aca="false">I5530&amp;"-Q"&amp;ROUNDUP(MONTH(B5530)/3,0)</f>
        <v>2015-Q1</v>
      </c>
    </row>
    <row r="5531" customFormat="false" ht="15" hidden="false" customHeight="false" outlineLevel="0" collapsed="false">
      <c r="A5531" s="0" t="s">
        <v>2840</v>
      </c>
      <c r="B5531" s="6" t="n">
        <v>42953</v>
      </c>
      <c r="C5531" s="7" t="s">
        <v>45</v>
      </c>
      <c r="D5531" s="7" t="s">
        <v>46</v>
      </c>
      <c r="E5531" s="7" t="s">
        <v>35</v>
      </c>
      <c r="F5531" s="0" t="n">
        <v>115.296</v>
      </c>
      <c r="G5531" s="0" t="n">
        <v>40.3536</v>
      </c>
      <c r="H5531" s="0" t="n">
        <v>0.2</v>
      </c>
      <c r="I5531" s="7" t="n">
        <f aca="false">YEAR(B5531)</f>
        <v>2017</v>
      </c>
      <c r="J5531" s="0" t="str">
        <f aca="false">I5531&amp;"-Q"&amp;ROUNDUP(MONTH(B5531)/3,0)</f>
        <v>2017-Q3</v>
      </c>
    </row>
    <row r="5532" customFormat="false" ht="15" hidden="false" customHeight="false" outlineLevel="0" collapsed="false">
      <c r="A5532" s="0" t="s">
        <v>2841</v>
      </c>
      <c r="B5532" s="6" t="n">
        <v>43071</v>
      </c>
      <c r="C5532" s="7" t="s">
        <v>45</v>
      </c>
      <c r="D5532" s="7" t="s">
        <v>53</v>
      </c>
      <c r="E5532" s="7" t="s">
        <v>39</v>
      </c>
      <c r="F5532" s="0" t="n">
        <v>2479.96</v>
      </c>
      <c r="G5532" s="0" t="n">
        <v>743.988</v>
      </c>
      <c r="H5532" s="0" t="n">
        <v>0</v>
      </c>
      <c r="I5532" s="7" t="n">
        <f aca="false">YEAR(B5532)</f>
        <v>2017</v>
      </c>
      <c r="J5532" s="0" t="str">
        <f aca="false">I5532&amp;"-Q"&amp;ROUNDUP(MONTH(B5532)/3,0)</f>
        <v>2017-Q4</v>
      </c>
    </row>
    <row r="5533" customFormat="false" ht="15" hidden="false" customHeight="false" outlineLevel="0" collapsed="false">
      <c r="A5533" s="0" t="s">
        <v>2842</v>
      </c>
      <c r="B5533" s="6" t="n">
        <v>42527</v>
      </c>
      <c r="C5533" s="7" t="s">
        <v>29</v>
      </c>
      <c r="D5533" s="7" t="s">
        <v>301</v>
      </c>
      <c r="E5533" s="7" t="s">
        <v>39</v>
      </c>
      <c r="F5533" s="0" t="n">
        <v>179.94</v>
      </c>
      <c r="G5533" s="0" t="n">
        <v>75.5748</v>
      </c>
      <c r="H5533" s="0" t="n">
        <v>0</v>
      </c>
      <c r="I5533" s="7" t="n">
        <f aca="false">YEAR(B5533)</f>
        <v>2016</v>
      </c>
      <c r="J5533" s="0" t="str">
        <f aca="false">I5533&amp;"-Q"&amp;ROUNDUP(MONTH(B5533)/3,0)</f>
        <v>2016-Q2</v>
      </c>
    </row>
    <row r="5534" customFormat="false" ht="15" hidden="false" customHeight="false" outlineLevel="0" collapsed="false">
      <c r="A5534" s="0" t="s">
        <v>2842</v>
      </c>
      <c r="B5534" s="6" t="n">
        <v>42527</v>
      </c>
      <c r="C5534" s="7" t="s">
        <v>29</v>
      </c>
      <c r="D5534" s="7" t="s">
        <v>301</v>
      </c>
      <c r="E5534" s="7" t="s">
        <v>39</v>
      </c>
      <c r="F5534" s="0" t="n">
        <v>26.85</v>
      </c>
      <c r="G5534" s="0" t="n">
        <v>5.1015</v>
      </c>
      <c r="H5534" s="0" t="n">
        <v>0</v>
      </c>
      <c r="I5534" s="7" t="n">
        <f aca="false">YEAR(B5534)</f>
        <v>2016</v>
      </c>
      <c r="J5534" s="0" t="str">
        <f aca="false">I5534&amp;"-Q"&amp;ROUNDUP(MONTH(B5534)/3,0)</f>
        <v>2016-Q2</v>
      </c>
    </row>
    <row r="5535" customFormat="false" ht="15" hidden="false" customHeight="false" outlineLevel="0" collapsed="false">
      <c r="A5535" s="0" t="s">
        <v>2842</v>
      </c>
      <c r="B5535" s="6" t="n">
        <v>42527</v>
      </c>
      <c r="C5535" s="7" t="s">
        <v>29</v>
      </c>
      <c r="D5535" s="7" t="s">
        <v>301</v>
      </c>
      <c r="E5535" s="7" t="s">
        <v>39</v>
      </c>
      <c r="F5535" s="0" t="n">
        <v>323.37</v>
      </c>
      <c r="G5535" s="0" t="n">
        <v>129.348</v>
      </c>
      <c r="H5535" s="0" t="n">
        <v>0</v>
      </c>
      <c r="I5535" s="7" t="n">
        <f aca="false">YEAR(B5535)</f>
        <v>2016</v>
      </c>
      <c r="J5535" s="0" t="str">
        <f aca="false">I5535&amp;"-Q"&amp;ROUNDUP(MONTH(B5535)/3,0)</f>
        <v>2016-Q2</v>
      </c>
    </row>
    <row r="5536" customFormat="false" ht="15" hidden="false" customHeight="false" outlineLevel="0" collapsed="false">
      <c r="A5536" s="0" t="s">
        <v>2842</v>
      </c>
      <c r="B5536" s="6" t="n">
        <v>42527</v>
      </c>
      <c r="C5536" s="7" t="s">
        <v>29</v>
      </c>
      <c r="D5536" s="7" t="s">
        <v>301</v>
      </c>
      <c r="E5536" s="7" t="s">
        <v>35</v>
      </c>
      <c r="F5536" s="0" t="n">
        <v>59.94</v>
      </c>
      <c r="G5536" s="0" t="n">
        <v>28.1718</v>
      </c>
      <c r="H5536" s="0" t="n">
        <v>0</v>
      </c>
      <c r="I5536" s="7" t="n">
        <f aca="false">YEAR(B5536)</f>
        <v>2016</v>
      </c>
      <c r="J5536" s="0" t="str">
        <f aca="false">I5536&amp;"-Q"&amp;ROUNDUP(MONTH(B5536)/3,0)</f>
        <v>2016-Q2</v>
      </c>
    </row>
    <row r="5537" customFormat="false" ht="15" hidden="false" customHeight="false" outlineLevel="0" collapsed="false">
      <c r="A5537" s="0" t="s">
        <v>2842</v>
      </c>
      <c r="B5537" s="6" t="n">
        <v>42527</v>
      </c>
      <c r="C5537" s="7" t="s">
        <v>29</v>
      </c>
      <c r="D5537" s="7" t="s">
        <v>301</v>
      </c>
      <c r="E5537" s="7" t="s">
        <v>35</v>
      </c>
      <c r="F5537" s="0" t="n">
        <v>64.14</v>
      </c>
      <c r="G5537" s="0" t="n">
        <v>30.7872</v>
      </c>
      <c r="H5537" s="0" t="n">
        <v>0</v>
      </c>
      <c r="I5537" s="7" t="n">
        <f aca="false">YEAR(B5537)</f>
        <v>2016</v>
      </c>
      <c r="J5537" s="0" t="str">
        <f aca="false">I5537&amp;"-Q"&amp;ROUNDUP(MONTH(B5537)/3,0)</f>
        <v>2016-Q2</v>
      </c>
    </row>
    <row r="5538" customFormat="false" ht="15" hidden="false" customHeight="false" outlineLevel="0" collapsed="false">
      <c r="A5538" s="0" t="s">
        <v>2842</v>
      </c>
      <c r="B5538" s="6" t="n">
        <v>42527</v>
      </c>
      <c r="C5538" s="7" t="s">
        <v>29</v>
      </c>
      <c r="D5538" s="7" t="s">
        <v>301</v>
      </c>
      <c r="E5538" s="7" t="s">
        <v>35</v>
      </c>
      <c r="F5538" s="0" t="n">
        <v>11.67</v>
      </c>
      <c r="G5538" s="0" t="n">
        <v>5.6016</v>
      </c>
      <c r="H5538" s="0" t="n">
        <v>0</v>
      </c>
      <c r="I5538" s="7" t="n">
        <f aca="false">YEAR(B5538)</f>
        <v>2016</v>
      </c>
      <c r="J5538" s="0" t="str">
        <f aca="false">I5538&amp;"-Q"&amp;ROUNDUP(MONTH(B5538)/3,0)</f>
        <v>2016-Q2</v>
      </c>
    </row>
    <row r="5539" customFormat="false" ht="15" hidden="false" customHeight="false" outlineLevel="0" collapsed="false">
      <c r="A5539" s="0" t="s">
        <v>2842</v>
      </c>
      <c r="B5539" s="6" t="n">
        <v>42527</v>
      </c>
      <c r="C5539" s="7" t="s">
        <v>29</v>
      </c>
      <c r="D5539" s="7" t="s">
        <v>301</v>
      </c>
      <c r="E5539" s="7" t="s">
        <v>35</v>
      </c>
      <c r="F5539" s="0" t="n">
        <v>12.96</v>
      </c>
      <c r="G5539" s="0" t="n">
        <v>6.2208</v>
      </c>
      <c r="H5539" s="0" t="n">
        <v>0</v>
      </c>
      <c r="I5539" s="7" t="n">
        <f aca="false">YEAR(B5539)</f>
        <v>2016</v>
      </c>
      <c r="J5539" s="0" t="str">
        <f aca="false">I5539&amp;"-Q"&amp;ROUNDUP(MONTH(B5539)/3,0)</f>
        <v>2016-Q2</v>
      </c>
    </row>
    <row r="5540" customFormat="false" ht="15" hidden="false" customHeight="false" outlineLevel="0" collapsed="false">
      <c r="A5540" s="0" t="s">
        <v>2843</v>
      </c>
      <c r="B5540" s="6" t="n">
        <v>42107</v>
      </c>
      <c r="C5540" s="7" t="s">
        <v>45</v>
      </c>
      <c r="D5540" s="7" t="s">
        <v>53</v>
      </c>
      <c r="E5540" s="7" t="s">
        <v>35</v>
      </c>
      <c r="F5540" s="0" t="n">
        <v>17.43</v>
      </c>
      <c r="G5540" s="0" t="n">
        <v>8.0178</v>
      </c>
      <c r="H5540" s="0" t="n">
        <v>0</v>
      </c>
      <c r="I5540" s="7" t="n">
        <f aca="false">YEAR(B5540)</f>
        <v>2015</v>
      </c>
      <c r="J5540" s="0" t="str">
        <f aca="false">I5540&amp;"-Q"&amp;ROUNDUP(MONTH(B5540)/3,0)</f>
        <v>2015-Q2</v>
      </c>
    </row>
    <row r="5541" customFormat="false" ht="15" hidden="false" customHeight="false" outlineLevel="0" collapsed="false">
      <c r="A5541" s="0" t="s">
        <v>2844</v>
      </c>
      <c r="B5541" s="6" t="n">
        <v>42877</v>
      </c>
      <c r="C5541" s="7" t="s">
        <v>45</v>
      </c>
      <c r="D5541" s="7" t="s">
        <v>64</v>
      </c>
      <c r="E5541" s="7" t="s">
        <v>31</v>
      </c>
      <c r="F5541" s="0" t="n">
        <v>181.986</v>
      </c>
      <c r="G5541" s="0" t="n">
        <v>-54.5958</v>
      </c>
      <c r="H5541" s="0" t="n">
        <v>0.3</v>
      </c>
      <c r="I5541" s="7" t="n">
        <f aca="false">YEAR(B5541)</f>
        <v>2017</v>
      </c>
      <c r="J5541" s="0" t="str">
        <f aca="false">I5541&amp;"-Q"&amp;ROUNDUP(MONTH(B5541)/3,0)</f>
        <v>2017-Q2</v>
      </c>
    </row>
    <row r="5542" customFormat="false" ht="15" hidden="false" customHeight="false" outlineLevel="0" collapsed="false">
      <c r="A5542" s="0" t="s">
        <v>2844</v>
      </c>
      <c r="B5542" s="6" t="n">
        <v>42877</v>
      </c>
      <c r="C5542" s="7" t="s">
        <v>45</v>
      </c>
      <c r="D5542" s="7" t="s">
        <v>64</v>
      </c>
      <c r="E5542" s="7" t="s">
        <v>35</v>
      </c>
      <c r="F5542" s="0" t="n">
        <v>1.592</v>
      </c>
      <c r="G5542" s="0" t="n">
        <v>-2.6268</v>
      </c>
      <c r="H5542" s="0" t="n">
        <v>0.8</v>
      </c>
      <c r="I5542" s="7" t="n">
        <f aca="false">YEAR(B5542)</f>
        <v>2017</v>
      </c>
      <c r="J5542" s="0" t="str">
        <f aca="false">I5542&amp;"-Q"&amp;ROUNDUP(MONTH(B5542)/3,0)</f>
        <v>2017-Q2</v>
      </c>
    </row>
    <row r="5543" customFormat="false" ht="15" hidden="false" customHeight="false" outlineLevel="0" collapsed="false">
      <c r="A5543" s="0" t="s">
        <v>2844</v>
      </c>
      <c r="B5543" s="6" t="n">
        <v>42877</v>
      </c>
      <c r="C5543" s="7" t="s">
        <v>45</v>
      </c>
      <c r="D5543" s="7" t="s">
        <v>64</v>
      </c>
      <c r="E5543" s="7" t="s">
        <v>35</v>
      </c>
      <c r="F5543" s="0" t="n">
        <v>22.344</v>
      </c>
      <c r="G5543" s="0" t="n">
        <v>2.5137</v>
      </c>
      <c r="H5543" s="0" t="n">
        <v>0.2</v>
      </c>
      <c r="I5543" s="7" t="n">
        <f aca="false">YEAR(B5543)</f>
        <v>2017</v>
      </c>
      <c r="J5543" s="0" t="str">
        <f aca="false">I5543&amp;"-Q"&amp;ROUNDUP(MONTH(B5543)/3,0)</f>
        <v>2017-Q2</v>
      </c>
    </row>
    <row r="5544" customFormat="false" ht="15" hidden="false" customHeight="false" outlineLevel="0" collapsed="false">
      <c r="A5544" s="0" t="s">
        <v>2845</v>
      </c>
      <c r="B5544" s="6" t="n">
        <v>42723</v>
      </c>
      <c r="C5544" s="7" t="s">
        <v>33</v>
      </c>
      <c r="D5544" s="7" t="s">
        <v>81</v>
      </c>
      <c r="E5544" s="7" t="s">
        <v>31</v>
      </c>
      <c r="F5544" s="0" t="n">
        <v>455.97</v>
      </c>
      <c r="G5544" s="0" t="n">
        <v>-218.8656</v>
      </c>
      <c r="H5544" s="0" t="n">
        <v>0.5</v>
      </c>
      <c r="I5544" s="7" t="n">
        <f aca="false">YEAR(B5544)</f>
        <v>2016</v>
      </c>
      <c r="J5544" s="0" t="str">
        <f aca="false">I5544&amp;"-Q"&amp;ROUNDUP(MONTH(B5544)/3,0)</f>
        <v>2016-Q4</v>
      </c>
    </row>
    <row r="5545" customFormat="false" ht="15" hidden="false" customHeight="false" outlineLevel="0" collapsed="false">
      <c r="A5545" s="0" t="s">
        <v>2845</v>
      </c>
      <c r="B5545" s="6" t="n">
        <v>42723</v>
      </c>
      <c r="C5545" s="7" t="s">
        <v>33</v>
      </c>
      <c r="D5545" s="7" t="s">
        <v>81</v>
      </c>
      <c r="E5545" s="7" t="s">
        <v>35</v>
      </c>
      <c r="F5545" s="0" t="n">
        <v>10.44</v>
      </c>
      <c r="G5545" s="0" t="n">
        <v>-7.656</v>
      </c>
      <c r="H5545" s="0" t="n">
        <v>0.7</v>
      </c>
      <c r="I5545" s="7" t="n">
        <f aca="false">YEAR(B5545)</f>
        <v>2016</v>
      </c>
      <c r="J5545" s="0" t="str">
        <f aca="false">I5545&amp;"-Q"&amp;ROUNDUP(MONTH(B5545)/3,0)</f>
        <v>2016-Q4</v>
      </c>
    </row>
    <row r="5546" customFormat="false" ht="15" hidden="false" customHeight="false" outlineLevel="0" collapsed="false">
      <c r="A5546" s="0" t="s">
        <v>2845</v>
      </c>
      <c r="B5546" s="6" t="n">
        <v>42723</v>
      </c>
      <c r="C5546" s="7" t="s">
        <v>33</v>
      </c>
      <c r="D5546" s="7" t="s">
        <v>81</v>
      </c>
      <c r="E5546" s="7" t="s">
        <v>35</v>
      </c>
      <c r="F5546" s="0" t="n">
        <v>5.214</v>
      </c>
      <c r="G5546" s="0" t="n">
        <v>-4.1712</v>
      </c>
      <c r="H5546" s="0" t="n">
        <v>0.7</v>
      </c>
      <c r="I5546" s="7" t="n">
        <f aca="false">YEAR(B5546)</f>
        <v>2016</v>
      </c>
      <c r="J5546" s="0" t="str">
        <f aca="false">I5546&amp;"-Q"&amp;ROUNDUP(MONTH(B5546)/3,0)</f>
        <v>2016-Q4</v>
      </c>
    </row>
    <row r="5547" customFormat="false" ht="15" hidden="false" customHeight="false" outlineLevel="0" collapsed="false">
      <c r="A5547" s="0" t="s">
        <v>2846</v>
      </c>
      <c r="B5547" s="6" t="n">
        <v>43000</v>
      </c>
      <c r="C5547" s="7" t="s">
        <v>55</v>
      </c>
      <c r="D5547" s="7" t="s">
        <v>482</v>
      </c>
      <c r="E5547" s="7" t="s">
        <v>35</v>
      </c>
      <c r="F5547" s="0" t="n">
        <v>67.4</v>
      </c>
      <c r="G5547" s="0" t="n">
        <v>17.524</v>
      </c>
      <c r="H5547" s="0" t="n">
        <v>0</v>
      </c>
      <c r="I5547" s="7" t="n">
        <f aca="false">YEAR(B5547)</f>
        <v>2017</v>
      </c>
      <c r="J5547" s="0" t="str">
        <f aca="false">I5547&amp;"-Q"&amp;ROUNDUP(MONTH(B5547)/3,0)</f>
        <v>2017-Q3</v>
      </c>
    </row>
    <row r="5548" customFormat="false" ht="15" hidden="false" customHeight="false" outlineLevel="0" collapsed="false">
      <c r="A5548" s="0" t="s">
        <v>2847</v>
      </c>
      <c r="B5548" s="6" t="n">
        <v>42985</v>
      </c>
      <c r="C5548" s="7" t="s">
        <v>33</v>
      </c>
      <c r="D5548" s="7" t="s">
        <v>50</v>
      </c>
      <c r="E5548" s="7" t="s">
        <v>31</v>
      </c>
      <c r="F5548" s="0" t="n">
        <v>25.16</v>
      </c>
      <c r="G5548" s="0" t="n">
        <v>10.5672</v>
      </c>
      <c r="H5548" s="0" t="n">
        <v>0</v>
      </c>
      <c r="I5548" s="7" t="n">
        <f aca="false">YEAR(B5548)</f>
        <v>2017</v>
      </c>
      <c r="J5548" s="0" t="str">
        <f aca="false">I5548&amp;"-Q"&amp;ROUNDUP(MONTH(B5548)/3,0)</f>
        <v>2017-Q3</v>
      </c>
    </row>
    <row r="5549" customFormat="false" ht="15" hidden="false" customHeight="false" outlineLevel="0" collapsed="false">
      <c r="A5549" s="0" t="s">
        <v>2847</v>
      </c>
      <c r="B5549" s="6" t="n">
        <v>42985</v>
      </c>
      <c r="C5549" s="7" t="s">
        <v>33</v>
      </c>
      <c r="D5549" s="7" t="s">
        <v>50</v>
      </c>
      <c r="E5549" s="7" t="s">
        <v>39</v>
      </c>
      <c r="F5549" s="0" t="n">
        <v>126.56</v>
      </c>
      <c r="G5549" s="0" t="n">
        <v>47.46</v>
      </c>
      <c r="H5549" s="0" t="n">
        <v>0.2</v>
      </c>
      <c r="I5549" s="7" t="n">
        <f aca="false">YEAR(B5549)</f>
        <v>2017</v>
      </c>
      <c r="J5549" s="0" t="str">
        <f aca="false">I5549&amp;"-Q"&amp;ROUNDUP(MONTH(B5549)/3,0)</f>
        <v>2017-Q3</v>
      </c>
    </row>
    <row r="5550" customFormat="false" ht="15" hidden="false" customHeight="false" outlineLevel="0" collapsed="false">
      <c r="A5550" s="0" t="s">
        <v>2848</v>
      </c>
      <c r="B5550" s="6" t="n">
        <v>41971</v>
      </c>
      <c r="C5550" s="7" t="s">
        <v>33</v>
      </c>
      <c r="D5550" s="7" t="s">
        <v>34</v>
      </c>
      <c r="E5550" s="7" t="s">
        <v>35</v>
      </c>
      <c r="F5550" s="0" t="n">
        <v>43.68</v>
      </c>
      <c r="G5550" s="0" t="n">
        <v>11.7936</v>
      </c>
      <c r="H5550" s="0" t="n">
        <v>0</v>
      </c>
      <c r="I5550" s="7" t="n">
        <f aca="false">YEAR(B5550)</f>
        <v>2014</v>
      </c>
      <c r="J5550" s="0" t="str">
        <f aca="false">I5550&amp;"-Q"&amp;ROUNDUP(MONTH(B5550)/3,0)</f>
        <v>2014-Q4</v>
      </c>
    </row>
    <row r="5551" customFormat="false" ht="15" hidden="false" customHeight="false" outlineLevel="0" collapsed="false">
      <c r="A5551" s="0" t="s">
        <v>2848</v>
      </c>
      <c r="B5551" s="6" t="n">
        <v>41971</v>
      </c>
      <c r="C5551" s="7" t="s">
        <v>33</v>
      </c>
      <c r="D5551" s="7" t="s">
        <v>34</v>
      </c>
      <c r="E5551" s="7" t="s">
        <v>39</v>
      </c>
      <c r="F5551" s="0" t="n">
        <v>139.93</v>
      </c>
      <c r="G5551" s="0" t="n">
        <v>34.9825</v>
      </c>
      <c r="H5551" s="0" t="n">
        <v>0</v>
      </c>
      <c r="I5551" s="7" t="n">
        <f aca="false">YEAR(B5551)</f>
        <v>2014</v>
      </c>
      <c r="J5551" s="0" t="str">
        <f aca="false">I5551&amp;"-Q"&amp;ROUNDUP(MONTH(B5551)/3,0)</f>
        <v>2014-Q4</v>
      </c>
    </row>
    <row r="5552" customFormat="false" ht="15" hidden="false" customHeight="false" outlineLevel="0" collapsed="false">
      <c r="A5552" s="0" t="s">
        <v>2849</v>
      </c>
      <c r="B5552" s="6" t="n">
        <v>41955</v>
      </c>
      <c r="C5552" s="7" t="s">
        <v>45</v>
      </c>
      <c r="D5552" s="7" t="s">
        <v>46</v>
      </c>
      <c r="E5552" s="7" t="s">
        <v>35</v>
      </c>
      <c r="F5552" s="0" t="n">
        <v>2.672</v>
      </c>
      <c r="G5552" s="0" t="n">
        <v>0.334</v>
      </c>
      <c r="H5552" s="0" t="n">
        <v>0.2</v>
      </c>
      <c r="I5552" s="7" t="n">
        <f aca="false">YEAR(B5552)</f>
        <v>2014</v>
      </c>
      <c r="J5552" s="0" t="str">
        <f aca="false">I5552&amp;"-Q"&amp;ROUNDUP(MONTH(B5552)/3,0)</f>
        <v>2014-Q4</v>
      </c>
    </row>
    <row r="5553" customFormat="false" ht="15" hidden="false" customHeight="false" outlineLevel="0" collapsed="false">
      <c r="A5553" s="0" t="s">
        <v>2849</v>
      </c>
      <c r="B5553" s="6" t="n">
        <v>41955</v>
      </c>
      <c r="C5553" s="7" t="s">
        <v>45</v>
      </c>
      <c r="D5553" s="7" t="s">
        <v>46</v>
      </c>
      <c r="E5553" s="7" t="s">
        <v>35</v>
      </c>
      <c r="F5553" s="0" t="n">
        <v>16.656</v>
      </c>
      <c r="G5553" s="0" t="n">
        <v>-3.123</v>
      </c>
      <c r="H5553" s="0" t="n">
        <v>0.2</v>
      </c>
      <c r="I5553" s="7" t="n">
        <f aca="false">YEAR(B5553)</f>
        <v>2014</v>
      </c>
      <c r="J5553" s="0" t="str">
        <f aca="false">I5553&amp;"-Q"&amp;ROUNDUP(MONTH(B5553)/3,0)</f>
        <v>2014-Q4</v>
      </c>
    </row>
    <row r="5554" customFormat="false" ht="15" hidden="false" customHeight="false" outlineLevel="0" collapsed="false">
      <c r="A5554" s="0" t="s">
        <v>2849</v>
      </c>
      <c r="B5554" s="6" t="n">
        <v>41955</v>
      </c>
      <c r="C5554" s="7" t="s">
        <v>45</v>
      </c>
      <c r="D5554" s="7" t="s">
        <v>46</v>
      </c>
      <c r="E5554" s="7" t="s">
        <v>39</v>
      </c>
      <c r="F5554" s="0" t="n">
        <v>79.512</v>
      </c>
      <c r="G5554" s="0" t="n">
        <v>20.8719</v>
      </c>
      <c r="H5554" s="0" t="n">
        <v>0.2</v>
      </c>
      <c r="I5554" s="7" t="n">
        <f aca="false">YEAR(B5554)</f>
        <v>2014</v>
      </c>
      <c r="J5554" s="0" t="str">
        <f aca="false">I5554&amp;"-Q"&amp;ROUNDUP(MONTH(B5554)/3,0)</f>
        <v>2014-Q4</v>
      </c>
    </row>
    <row r="5555" customFormat="false" ht="15" hidden="false" customHeight="false" outlineLevel="0" collapsed="false">
      <c r="A5555" s="0" t="s">
        <v>2849</v>
      </c>
      <c r="B5555" s="6" t="n">
        <v>41955</v>
      </c>
      <c r="C5555" s="7" t="s">
        <v>45</v>
      </c>
      <c r="D5555" s="7" t="s">
        <v>46</v>
      </c>
      <c r="E5555" s="7" t="s">
        <v>35</v>
      </c>
      <c r="F5555" s="0" t="n">
        <v>36.288</v>
      </c>
      <c r="G5555" s="0" t="n">
        <v>12.7008</v>
      </c>
      <c r="H5555" s="0" t="n">
        <v>0.2</v>
      </c>
      <c r="I5555" s="7" t="n">
        <f aca="false">YEAR(B5555)</f>
        <v>2014</v>
      </c>
      <c r="J5555" s="0" t="str">
        <f aca="false">I5555&amp;"-Q"&amp;ROUNDUP(MONTH(B5555)/3,0)</f>
        <v>2014-Q4</v>
      </c>
    </row>
    <row r="5556" customFormat="false" ht="15" hidden="false" customHeight="false" outlineLevel="0" collapsed="false">
      <c r="A5556" s="0" t="s">
        <v>2849</v>
      </c>
      <c r="B5556" s="6" t="n">
        <v>41955</v>
      </c>
      <c r="C5556" s="7" t="s">
        <v>45</v>
      </c>
      <c r="D5556" s="7" t="s">
        <v>46</v>
      </c>
      <c r="E5556" s="7" t="s">
        <v>31</v>
      </c>
      <c r="F5556" s="0" t="n">
        <v>67.9932</v>
      </c>
      <c r="G5556" s="0" t="n">
        <v>-12.9987</v>
      </c>
      <c r="H5556" s="0" t="n">
        <v>0.32</v>
      </c>
      <c r="I5556" s="7" t="n">
        <f aca="false">YEAR(B5556)</f>
        <v>2014</v>
      </c>
      <c r="J5556" s="0" t="str">
        <f aca="false">I5556&amp;"-Q"&amp;ROUNDUP(MONTH(B5556)/3,0)</f>
        <v>2014-Q4</v>
      </c>
    </row>
    <row r="5557" customFormat="false" ht="15" hidden="false" customHeight="false" outlineLevel="0" collapsed="false">
      <c r="A5557" s="0" t="s">
        <v>2850</v>
      </c>
      <c r="B5557" s="6" t="n">
        <v>43010</v>
      </c>
      <c r="C5557" s="7" t="s">
        <v>29</v>
      </c>
      <c r="D5557" s="7" t="s">
        <v>91</v>
      </c>
      <c r="E5557" s="7" t="s">
        <v>31</v>
      </c>
      <c r="F5557" s="0" t="n">
        <v>10.16</v>
      </c>
      <c r="G5557" s="0" t="n">
        <v>3.4544</v>
      </c>
      <c r="H5557" s="0" t="n">
        <v>0</v>
      </c>
      <c r="I5557" s="7" t="n">
        <f aca="false">YEAR(B5557)</f>
        <v>2017</v>
      </c>
      <c r="J5557" s="0" t="str">
        <f aca="false">I5557&amp;"-Q"&amp;ROUNDUP(MONTH(B5557)/3,0)</f>
        <v>2017-Q4</v>
      </c>
    </row>
    <row r="5558" customFormat="false" ht="15" hidden="false" customHeight="false" outlineLevel="0" collapsed="false">
      <c r="A5558" s="0" t="s">
        <v>2851</v>
      </c>
      <c r="B5558" s="6" t="n">
        <v>42352</v>
      </c>
      <c r="C5558" s="7" t="s">
        <v>29</v>
      </c>
      <c r="D5558" s="7" t="s">
        <v>265</v>
      </c>
      <c r="E5558" s="7" t="s">
        <v>31</v>
      </c>
      <c r="F5558" s="0" t="n">
        <v>6.16</v>
      </c>
      <c r="G5558" s="0" t="n">
        <v>1.9712</v>
      </c>
      <c r="H5558" s="0" t="n">
        <v>0</v>
      </c>
      <c r="I5558" s="7" t="n">
        <f aca="false">YEAR(B5558)</f>
        <v>2015</v>
      </c>
      <c r="J5558" s="0" t="str">
        <f aca="false">I5558&amp;"-Q"&amp;ROUNDUP(MONTH(B5558)/3,0)</f>
        <v>2015-Q4</v>
      </c>
    </row>
    <row r="5559" customFormat="false" ht="15" hidden="false" customHeight="false" outlineLevel="0" collapsed="false">
      <c r="A5559" s="0" t="s">
        <v>2851</v>
      </c>
      <c r="B5559" s="6" t="n">
        <v>42352</v>
      </c>
      <c r="C5559" s="7" t="s">
        <v>29</v>
      </c>
      <c r="D5559" s="7" t="s">
        <v>265</v>
      </c>
      <c r="E5559" s="7" t="s">
        <v>35</v>
      </c>
      <c r="F5559" s="0" t="n">
        <v>56.3</v>
      </c>
      <c r="G5559" s="0" t="n">
        <v>15.764</v>
      </c>
      <c r="H5559" s="0" t="n">
        <v>0</v>
      </c>
      <c r="I5559" s="7" t="n">
        <f aca="false">YEAR(B5559)</f>
        <v>2015</v>
      </c>
      <c r="J5559" s="0" t="str">
        <f aca="false">I5559&amp;"-Q"&amp;ROUNDUP(MONTH(B5559)/3,0)</f>
        <v>2015-Q4</v>
      </c>
    </row>
    <row r="5560" customFormat="false" ht="15" hidden="false" customHeight="false" outlineLevel="0" collapsed="false">
      <c r="A5560" s="0" t="s">
        <v>2852</v>
      </c>
      <c r="B5560" s="6" t="n">
        <v>42344</v>
      </c>
      <c r="C5560" s="7" t="s">
        <v>33</v>
      </c>
      <c r="D5560" s="7" t="s">
        <v>248</v>
      </c>
      <c r="E5560" s="7" t="s">
        <v>35</v>
      </c>
      <c r="F5560" s="0" t="n">
        <v>6.48</v>
      </c>
      <c r="G5560" s="0" t="n">
        <v>3.1104</v>
      </c>
      <c r="H5560" s="0" t="n">
        <v>0</v>
      </c>
      <c r="I5560" s="7" t="n">
        <f aca="false">YEAR(B5560)</f>
        <v>2015</v>
      </c>
      <c r="J5560" s="0" t="str">
        <f aca="false">I5560&amp;"-Q"&amp;ROUNDUP(MONTH(B5560)/3,0)</f>
        <v>2015-Q4</v>
      </c>
    </row>
    <row r="5561" customFormat="false" ht="15" hidden="false" customHeight="false" outlineLevel="0" collapsed="false">
      <c r="A5561" s="0" t="s">
        <v>2852</v>
      </c>
      <c r="B5561" s="6" t="n">
        <v>42344</v>
      </c>
      <c r="C5561" s="7" t="s">
        <v>33</v>
      </c>
      <c r="D5561" s="7" t="s">
        <v>248</v>
      </c>
      <c r="E5561" s="7" t="s">
        <v>35</v>
      </c>
      <c r="F5561" s="0" t="n">
        <v>1325.85</v>
      </c>
      <c r="G5561" s="0" t="n">
        <v>238.653</v>
      </c>
      <c r="H5561" s="0" t="n">
        <v>0</v>
      </c>
      <c r="I5561" s="7" t="n">
        <f aca="false">YEAR(B5561)</f>
        <v>2015</v>
      </c>
      <c r="J5561" s="0" t="str">
        <f aca="false">I5561&amp;"-Q"&amp;ROUNDUP(MONTH(B5561)/3,0)</f>
        <v>2015-Q4</v>
      </c>
    </row>
    <row r="5562" customFormat="false" ht="15" hidden="false" customHeight="false" outlineLevel="0" collapsed="false">
      <c r="A5562" s="0" t="s">
        <v>2852</v>
      </c>
      <c r="B5562" s="6" t="n">
        <v>42344</v>
      </c>
      <c r="C5562" s="7" t="s">
        <v>33</v>
      </c>
      <c r="D5562" s="7" t="s">
        <v>248</v>
      </c>
      <c r="E5562" s="7" t="s">
        <v>35</v>
      </c>
      <c r="F5562" s="0" t="n">
        <v>14.94</v>
      </c>
      <c r="G5562" s="0" t="n">
        <v>6.8724</v>
      </c>
      <c r="H5562" s="0" t="n">
        <v>0</v>
      </c>
      <c r="I5562" s="7" t="n">
        <f aca="false">YEAR(B5562)</f>
        <v>2015</v>
      </c>
      <c r="J5562" s="0" t="str">
        <f aca="false">I5562&amp;"-Q"&amp;ROUNDUP(MONTH(B5562)/3,0)</f>
        <v>2015-Q4</v>
      </c>
    </row>
    <row r="5563" customFormat="false" ht="15" hidden="false" customHeight="false" outlineLevel="0" collapsed="false">
      <c r="A5563" s="0" t="s">
        <v>2853</v>
      </c>
      <c r="B5563" s="6" t="n">
        <v>42825</v>
      </c>
      <c r="C5563" s="7" t="s">
        <v>29</v>
      </c>
      <c r="D5563" s="7" t="s">
        <v>230</v>
      </c>
      <c r="E5563" s="7" t="s">
        <v>35</v>
      </c>
      <c r="F5563" s="0" t="n">
        <v>34.54</v>
      </c>
      <c r="G5563" s="0" t="n">
        <v>17.27</v>
      </c>
      <c r="H5563" s="0" t="n">
        <v>0</v>
      </c>
      <c r="I5563" s="7" t="n">
        <f aca="false">YEAR(B5563)</f>
        <v>2017</v>
      </c>
      <c r="J5563" s="0" t="str">
        <f aca="false">I5563&amp;"-Q"&amp;ROUNDUP(MONTH(B5563)/3,0)</f>
        <v>2017-Q1</v>
      </c>
    </row>
    <row r="5564" customFormat="false" ht="15" hidden="false" customHeight="false" outlineLevel="0" collapsed="false">
      <c r="A5564" s="0" t="s">
        <v>2853</v>
      </c>
      <c r="B5564" s="6" t="n">
        <v>42825</v>
      </c>
      <c r="C5564" s="7" t="s">
        <v>29</v>
      </c>
      <c r="D5564" s="7" t="s">
        <v>230</v>
      </c>
      <c r="E5564" s="7" t="s">
        <v>39</v>
      </c>
      <c r="F5564" s="0" t="n">
        <v>2999.95</v>
      </c>
      <c r="G5564" s="0" t="n">
        <v>1439.976</v>
      </c>
      <c r="H5564" s="0" t="n">
        <v>0</v>
      </c>
      <c r="I5564" s="7" t="n">
        <f aca="false">YEAR(B5564)</f>
        <v>2017</v>
      </c>
      <c r="J5564" s="0" t="str">
        <f aca="false">I5564&amp;"-Q"&amp;ROUNDUP(MONTH(B5564)/3,0)</f>
        <v>2017-Q1</v>
      </c>
    </row>
    <row r="5565" customFormat="false" ht="15" hidden="false" customHeight="false" outlineLevel="0" collapsed="false">
      <c r="A5565" s="0" t="s">
        <v>2853</v>
      </c>
      <c r="B5565" s="6" t="n">
        <v>42825</v>
      </c>
      <c r="C5565" s="7" t="s">
        <v>29</v>
      </c>
      <c r="D5565" s="7" t="s">
        <v>230</v>
      </c>
      <c r="E5565" s="7" t="s">
        <v>35</v>
      </c>
      <c r="F5565" s="0" t="n">
        <v>64.12</v>
      </c>
      <c r="G5565" s="0" t="n">
        <v>30.7776</v>
      </c>
      <c r="H5565" s="0" t="n">
        <v>0</v>
      </c>
      <c r="I5565" s="7" t="n">
        <f aca="false">YEAR(B5565)</f>
        <v>2017</v>
      </c>
      <c r="J5565" s="0" t="str">
        <f aca="false">I5565&amp;"-Q"&amp;ROUNDUP(MONTH(B5565)/3,0)</f>
        <v>2017-Q1</v>
      </c>
    </row>
    <row r="5566" customFormat="false" ht="15" hidden="false" customHeight="false" outlineLevel="0" collapsed="false">
      <c r="A5566" s="0" t="s">
        <v>2854</v>
      </c>
      <c r="B5566" s="6" t="n">
        <v>42807</v>
      </c>
      <c r="C5566" s="7" t="s">
        <v>45</v>
      </c>
      <c r="D5566" s="7" t="s">
        <v>64</v>
      </c>
      <c r="E5566" s="7" t="s">
        <v>35</v>
      </c>
      <c r="F5566" s="0" t="n">
        <v>19.456</v>
      </c>
      <c r="G5566" s="0" t="n">
        <v>2.1888</v>
      </c>
      <c r="H5566" s="0" t="n">
        <v>0.2</v>
      </c>
      <c r="I5566" s="7" t="n">
        <f aca="false">YEAR(B5566)</f>
        <v>2017</v>
      </c>
      <c r="J5566" s="0" t="str">
        <f aca="false">I5566&amp;"-Q"&amp;ROUNDUP(MONTH(B5566)/3,0)</f>
        <v>2017-Q1</v>
      </c>
    </row>
    <row r="5567" customFormat="false" ht="15" hidden="false" customHeight="false" outlineLevel="0" collapsed="false">
      <c r="A5567" s="0" t="s">
        <v>2854</v>
      </c>
      <c r="B5567" s="6" t="n">
        <v>42807</v>
      </c>
      <c r="C5567" s="7" t="s">
        <v>45</v>
      </c>
      <c r="D5567" s="7" t="s">
        <v>64</v>
      </c>
      <c r="E5567" s="7" t="s">
        <v>39</v>
      </c>
      <c r="F5567" s="0" t="n">
        <v>209.986</v>
      </c>
      <c r="G5567" s="0" t="n">
        <v>8.9994</v>
      </c>
      <c r="H5567" s="0" t="n">
        <v>0.3</v>
      </c>
      <c r="I5567" s="7" t="n">
        <f aca="false">YEAR(B5567)</f>
        <v>2017</v>
      </c>
      <c r="J5567" s="0" t="str">
        <f aca="false">I5567&amp;"-Q"&amp;ROUNDUP(MONTH(B5567)/3,0)</f>
        <v>2017-Q1</v>
      </c>
    </row>
    <row r="5568" customFormat="false" ht="15" hidden="false" customHeight="false" outlineLevel="0" collapsed="false">
      <c r="A5568" s="0" t="s">
        <v>2854</v>
      </c>
      <c r="B5568" s="6" t="n">
        <v>42807</v>
      </c>
      <c r="C5568" s="7" t="s">
        <v>45</v>
      </c>
      <c r="D5568" s="7" t="s">
        <v>64</v>
      </c>
      <c r="E5568" s="7" t="s">
        <v>35</v>
      </c>
      <c r="F5568" s="0" t="n">
        <v>29.76</v>
      </c>
      <c r="G5568" s="0" t="n">
        <v>1.86</v>
      </c>
      <c r="H5568" s="0" t="n">
        <v>0.2</v>
      </c>
      <c r="I5568" s="7" t="n">
        <f aca="false">YEAR(B5568)</f>
        <v>2017</v>
      </c>
      <c r="J5568" s="0" t="str">
        <f aca="false">I5568&amp;"-Q"&amp;ROUNDUP(MONTH(B5568)/3,0)</f>
        <v>2017-Q1</v>
      </c>
    </row>
    <row r="5569" customFormat="false" ht="15" hidden="false" customHeight="false" outlineLevel="0" collapsed="false">
      <c r="A5569" s="0" t="s">
        <v>2854</v>
      </c>
      <c r="B5569" s="6" t="n">
        <v>42807</v>
      </c>
      <c r="C5569" s="7" t="s">
        <v>45</v>
      </c>
      <c r="D5569" s="7" t="s">
        <v>64</v>
      </c>
      <c r="E5569" s="7" t="s">
        <v>31</v>
      </c>
      <c r="F5569" s="0" t="n">
        <v>89.768</v>
      </c>
      <c r="G5569" s="0" t="n">
        <v>-2.5648</v>
      </c>
      <c r="H5569" s="0" t="n">
        <v>0.3</v>
      </c>
      <c r="I5569" s="7" t="n">
        <f aca="false">YEAR(B5569)</f>
        <v>2017</v>
      </c>
      <c r="J5569" s="0" t="str">
        <f aca="false">I5569&amp;"-Q"&amp;ROUNDUP(MONTH(B5569)/3,0)</f>
        <v>2017-Q1</v>
      </c>
    </row>
    <row r="5570" customFormat="false" ht="15" hidden="false" customHeight="false" outlineLevel="0" collapsed="false">
      <c r="A5570" s="0" t="s">
        <v>2854</v>
      </c>
      <c r="B5570" s="6" t="n">
        <v>42807</v>
      </c>
      <c r="C5570" s="7" t="s">
        <v>45</v>
      </c>
      <c r="D5570" s="7" t="s">
        <v>64</v>
      </c>
      <c r="E5570" s="7" t="s">
        <v>39</v>
      </c>
      <c r="F5570" s="0" t="n">
        <v>959.984</v>
      </c>
      <c r="G5570" s="0" t="n">
        <v>335.9944</v>
      </c>
      <c r="H5570" s="0" t="n">
        <v>0.2</v>
      </c>
      <c r="I5570" s="7" t="n">
        <f aca="false">YEAR(B5570)</f>
        <v>2017</v>
      </c>
      <c r="J5570" s="0" t="str">
        <f aca="false">I5570&amp;"-Q"&amp;ROUNDUP(MONTH(B5570)/3,0)</f>
        <v>2017-Q1</v>
      </c>
    </row>
    <row r="5571" customFormat="false" ht="15" hidden="false" customHeight="false" outlineLevel="0" collapsed="false">
      <c r="A5571" s="0" t="s">
        <v>2854</v>
      </c>
      <c r="B5571" s="6" t="n">
        <v>42807</v>
      </c>
      <c r="C5571" s="7" t="s">
        <v>45</v>
      </c>
      <c r="D5571" s="7" t="s">
        <v>64</v>
      </c>
      <c r="E5571" s="7" t="s">
        <v>35</v>
      </c>
      <c r="F5571" s="0" t="n">
        <v>15.552</v>
      </c>
      <c r="G5571" s="0" t="n">
        <v>5.6376</v>
      </c>
      <c r="H5571" s="0" t="n">
        <v>0.2</v>
      </c>
      <c r="I5571" s="7" t="n">
        <f aca="false">YEAR(B5571)</f>
        <v>2017</v>
      </c>
      <c r="J5571" s="0" t="str">
        <f aca="false">I5571&amp;"-Q"&amp;ROUNDUP(MONTH(B5571)/3,0)</f>
        <v>2017-Q1</v>
      </c>
    </row>
    <row r="5572" customFormat="false" ht="15" hidden="false" customHeight="false" outlineLevel="0" collapsed="false">
      <c r="A5572" s="0" t="s">
        <v>2854</v>
      </c>
      <c r="B5572" s="6" t="n">
        <v>42807</v>
      </c>
      <c r="C5572" s="7" t="s">
        <v>45</v>
      </c>
      <c r="D5572" s="7" t="s">
        <v>64</v>
      </c>
      <c r="E5572" s="7" t="s">
        <v>39</v>
      </c>
      <c r="F5572" s="0" t="n">
        <v>34.36</v>
      </c>
      <c r="G5572" s="0" t="n">
        <v>-7.3015</v>
      </c>
      <c r="H5572" s="0" t="n">
        <v>0.2</v>
      </c>
      <c r="I5572" s="7" t="n">
        <f aca="false">YEAR(B5572)</f>
        <v>2017</v>
      </c>
      <c r="J5572" s="0" t="str">
        <f aca="false">I5572&amp;"-Q"&amp;ROUNDUP(MONTH(B5572)/3,0)</f>
        <v>2017-Q1</v>
      </c>
    </row>
    <row r="5573" customFormat="false" ht="15" hidden="false" customHeight="false" outlineLevel="0" collapsed="false">
      <c r="A5573" s="0" t="s">
        <v>2855</v>
      </c>
      <c r="B5573" s="6" t="n">
        <v>41978</v>
      </c>
      <c r="C5573" s="7" t="s">
        <v>55</v>
      </c>
      <c r="D5573" s="7" t="s">
        <v>116</v>
      </c>
      <c r="E5573" s="7" t="s">
        <v>35</v>
      </c>
      <c r="F5573" s="0" t="n">
        <v>98.376</v>
      </c>
      <c r="G5573" s="0" t="n">
        <v>35.6613</v>
      </c>
      <c r="H5573" s="0" t="n">
        <v>0.2</v>
      </c>
      <c r="I5573" s="7" t="n">
        <f aca="false">YEAR(B5573)</f>
        <v>2014</v>
      </c>
      <c r="J5573" s="0" t="str">
        <f aca="false">I5573&amp;"-Q"&amp;ROUNDUP(MONTH(B5573)/3,0)</f>
        <v>2014-Q4</v>
      </c>
    </row>
    <row r="5574" customFormat="false" ht="15" hidden="false" customHeight="false" outlineLevel="0" collapsed="false">
      <c r="A5574" s="0" t="s">
        <v>2855</v>
      </c>
      <c r="B5574" s="6" t="n">
        <v>41978</v>
      </c>
      <c r="C5574" s="7" t="s">
        <v>55</v>
      </c>
      <c r="D5574" s="7" t="s">
        <v>116</v>
      </c>
      <c r="E5574" s="7" t="s">
        <v>35</v>
      </c>
      <c r="F5574" s="0" t="n">
        <v>29.94</v>
      </c>
      <c r="G5574" s="0" t="n">
        <v>-23.952</v>
      </c>
      <c r="H5574" s="0" t="n">
        <v>0.7</v>
      </c>
      <c r="I5574" s="7" t="n">
        <f aca="false">YEAR(B5574)</f>
        <v>2014</v>
      </c>
      <c r="J5574" s="0" t="str">
        <f aca="false">I5574&amp;"-Q"&amp;ROUNDUP(MONTH(B5574)/3,0)</f>
        <v>2014-Q4</v>
      </c>
    </row>
    <row r="5575" customFormat="false" ht="15" hidden="false" customHeight="false" outlineLevel="0" collapsed="false">
      <c r="A5575" s="0" t="s">
        <v>2855</v>
      </c>
      <c r="B5575" s="6" t="n">
        <v>41978</v>
      </c>
      <c r="C5575" s="7" t="s">
        <v>55</v>
      </c>
      <c r="D5575" s="7" t="s">
        <v>116</v>
      </c>
      <c r="E5575" s="7" t="s">
        <v>35</v>
      </c>
      <c r="F5575" s="0" t="n">
        <v>17.472</v>
      </c>
      <c r="G5575" s="0" t="n">
        <v>5.6784</v>
      </c>
      <c r="H5575" s="0" t="n">
        <v>0.2</v>
      </c>
      <c r="I5575" s="7" t="n">
        <f aca="false">YEAR(B5575)</f>
        <v>2014</v>
      </c>
      <c r="J5575" s="0" t="str">
        <f aca="false">I5575&amp;"-Q"&amp;ROUNDUP(MONTH(B5575)/3,0)</f>
        <v>2014-Q4</v>
      </c>
    </row>
    <row r="5576" customFormat="false" ht="15" hidden="false" customHeight="false" outlineLevel="0" collapsed="false">
      <c r="A5576" s="0" t="s">
        <v>2855</v>
      </c>
      <c r="B5576" s="6" t="n">
        <v>41978</v>
      </c>
      <c r="C5576" s="7" t="s">
        <v>55</v>
      </c>
      <c r="D5576" s="7" t="s">
        <v>116</v>
      </c>
      <c r="E5576" s="7" t="s">
        <v>39</v>
      </c>
      <c r="F5576" s="0" t="n">
        <v>36.738</v>
      </c>
      <c r="G5576" s="0" t="n">
        <v>-9.1845</v>
      </c>
      <c r="H5576" s="0" t="n">
        <v>0.4</v>
      </c>
      <c r="I5576" s="7" t="n">
        <f aca="false">YEAR(B5576)</f>
        <v>2014</v>
      </c>
      <c r="J5576" s="0" t="str">
        <f aca="false">I5576&amp;"-Q"&amp;ROUNDUP(MONTH(B5576)/3,0)</f>
        <v>2014-Q4</v>
      </c>
    </row>
    <row r="5577" customFormat="false" ht="15" hidden="false" customHeight="false" outlineLevel="0" collapsed="false">
      <c r="A5577" s="0" t="s">
        <v>2855</v>
      </c>
      <c r="B5577" s="6" t="n">
        <v>41978</v>
      </c>
      <c r="C5577" s="7" t="s">
        <v>55</v>
      </c>
      <c r="D5577" s="7" t="s">
        <v>116</v>
      </c>
      <c r="E5577" s="7" t="s">
        <v>39</v>
      </c>
      <c r="F5577" s="0" t="n">
        <v>179.94</v>
      </c>
      <c r="G5577" s="0" t="n">
        <v>-44.985</v>
      </c>
      <c r="H5577" s="0" t="n">
        <v>0.4</v>
      </c>
      <c r="I5577" s="7" t="n">
        <f aca="false">YEAR(B5577)</f>
        <v>2014</v>
      </c>
      <c r="J5577" s="0" t="str">
        <f aca="false">I5577&amp;"-Q"&amp;ROUNDUP(MONTH(B5577)/3,0)</f>
        <v>2014-Q4</v>
      </c>
    </row>
    <row r="5578" customFormat="false" ht="15" hidden="false" customHeight="false" outlineLevel="0" collapsed="false">
      <c r="A5578" s="0" t="s">
        <v>2856</v>
      </c>
      <c r="B5578" s="6" t="n">
        <v>42716</v>
      </c>
      <c r="C5578" s="7" t="s">
        <v>33</v>
      </c>
      <c r="D5578" s="7" t="s">
        <v>34</v>
      </c>
      <c r="E5578" s="7" t="s">
        <v>31</v>
      </c>
      <c r="F5578" s="0" t="n">
        <v>383.64</v>
      </c>
      <c r="G5578" s="0" t="n">
        <v>122.7648</v>
      </c>
      <c r="H5578" s="0" t="n">
        <v>0</v>
      </c>
      <c r="I5578" s="7" t="n">
        <f aca="false">YEAR(B5578)</f>
        <v>2016</v>
      </c>
      <c r="J5578" s="0" t="str">
        <f aca="false">I5578&amp;"-Q"&amp;ROUNDUP(MONTH(B5578)/3,0)</f>
        <v>2016-Q4</v>
      </c>
    </row>
    <row r="5579" customFormat="false" ht="15" hidden="false" customHeight="false" outlineLevel="0" collapsed="false">
      <c r="A5579" s="0" t="s">
        <v>2856</v>
      </c>
      <c r="B5579" s="6" t="n">
        <v>42716</v>
      </c>
      <c r="C5579" s="7" t="s">
        <v>33</v>
      </c>
      <c r="D5579" s="7" t="s">
        <v>34</v>
      </c>
      <c r="E5579" s="7" t="s">
        <v>35</v>
      </c>
      <c r="F5579" s="0" t="n">
        <v>56.52</v>
      </c>
      <c r="G5579" s="0" t="n">
        <v>15.8256</v>
      </c>
      <c r="H5579" s="0" t="n">
        <v>0</v>
      </c>
      <c r="I5579" s="7" t="n">
        <f aca="false">YEAR(B5579)</f>
        <v>2016</v>
      </c>
      <c r="J5579" s="0" t="str">
        <f aca="false">I5579&amp;"-Q"&amp;ROUNDUP(MONTH(B5579)/3,0)</f>
        <v>2016-Q4</v>
      </c>
    </row>
    <row r="5580" customFormat="false" ht="15" hidden="false" customHeight="false" outlineLevel="0" collapsed="false">
      <c r="A5580" s="0" t="s">
        <v>2857</v>
      </c>
      <c r="B5580" s="6" t="n">
        <v>42987</v>
      </c>
      <c r="C5580" s="7" t="s">
        <v>33</v>
      </c>
      <c r="D5580" s="7" t="s">
        <v>34</v>
      </c>
      <c r="E5580" s="7" t="s">
        <v>35</v>
      </c>
      <c r="F5580" s="0" t="n">
        <v>6.56</v>
      </c>
      <c r="G5580" s="0" t="n">
        <v>1.9024</v>
      </c>
      <c r="H5580" s="0" t="n">
        <v>0</v>
      </c>
      <c r="I5580" s="7" t="n">
        <f aca="false">YEAR(B5580)</f>
        <v>2017</v>
      </c>
      <c r="J5580" s="0" t="str">
        <f aca="false">I5580&amp;"-Q"&amp;ROUNDUP(MONTH(B5580)/3,0)</f>
        <v>2017-Q3</v>
      </c>
    </row>
    <row r="5581" customFormat="false" ht="15" hidden="false" customHeight="false" outlineLevel="0" collapsed="false">
      <c r="A5581" s="0" t="s">
        <v>2857</v>
      </c>
      <c r="B5581" s="6" t="n">
        <v>42987</v>
      </c>
      <c r="C5581" s="7" t="s">
        <v>33</v>
      </c>
      <c r="D5581" s="7" t="s">
        <v>34</v>
      </c>
      <c r="E5581" s="7" t="s">
        <v>31</v>
      </c>
      <c r="F5581" s="0" t="n">
        <v>243.92</v>
      </c>
      <c r="G5581" s="0" t="n">
        <v>-15.245</v>
      </c>
      <c r="H5581" s="0" t="n">
        <v>0.2</v>
      </c>
      <c r="I5581" s="7" t="n">
        <f aca="false">YEAR(B5581)</f>
        <v>2017</v>
      </c>
      <c r="J5581" s="0" t="str">
        <f aca="false">I5581&amp;"-Q"&amp;ROUNDUP(MONTH(B5581)/3,0)</f>
        <v>2017-Q3</v>
      </c>
    </row>
    <row r="5582" customFormat="false" ht="15" hidden="false" customHeight="false" outlineLevel="0" collapsed="false">
      <c r="A5582" s="0" t="s">
        <v>2857</v>
      </c>
      <c r="B5582" s="6" t="n">
        <v>42987</v>
      </c>
      <c r="C5582" s="7" t="s">
        <v>33</v>
      </c>
      <c r="D5582" s="7" t="s">
        <v>34</v>
      </c>
      <c r="E5582" s="7" t="s">
        <v>35</v>
      </c>
      <c r="F5582" s="0" t="n">
        <v>47.52</v>
      </c>
      <c r="G5582" s="0" t="n">
        <v>22.8096</v>
      </c>
      <c r="H5582" s="0" t="n">
        <v>0</v>
      </c>
      <c r="I5582" s="7" t="n">
        <f aca="false">YEAR(B5582)</f>
        <v>2017</v>
      </c>
      <c r="J5582" s="0" t="str">
        <f aca="false">I5582&amp;"-Q"&amp;ROUNDUP(MONTH(B5582)/3,0)</f>
        <v>2017-Q3</v>
      </c>
    </row>
    <row r="5583" customFormat="false" ht="15" hidden="false" customHeight="false" outlineLevel="0" collapsed="false">
      <c r="A5583" s="0" t="s">
        <v>2858</v>
      </c>
      <c r="B5583" s="6" t="n">
        <v>43012</v>
      </c>
      <c r="C5583" s="7" t="s">
        <v>55</v>
      </c>
      <c r="D5583" s="7" t="s">
        <v>495</v>
      </c>
      <c r="E5583" s="7" t="s">
        <v>31</v>
      </c>
      <c r="F5583" s="0" t="n">
        <v>19.98</v>
      </c>
      <c r="G5583" s="0" t="n">
        <v>8.5914</v>
      </c>
      <c r="H5583" s="0" t="n">
        <v>0</v>
      </c>
      <c r="I5583" s="7" t="n">
        <f aca="false">YEAR(B5583)</f>
        <v>2017</v>
      </c>
      <c r="J5583" s="0" t="str">
        <f aca="false">I5583&amp;"-Q"&amp;ROUNDUP(MONTH(B5583)/3,0)</f>
        <v>2017-Q4</v>
      </c>
    </row>
    <row r="5584" customFormat="false" ht="15" hidden="false" customHeight="false" outlineLevel="0" collapsed="false">
      <c r="A5584" s="0" t="s">
        <v>2859</v>
      </c>
      <c r="B5584" s="6" t="n">
        <v>42499</v>
      </c>
      <c r="C5584" s="7" t="s">
        <v>55</v>
      </c>
      <c r="D5584" s="7" t="s">
        <v>76</v>
      </c>
      <c r="E5584" s="7" t="s">
        <v>35</v>
      </c>
      <c r="F5584" s="0" t="n">
        <v>8</v>
      </c>
      <c r="G5584" s="0" t="n">
        <v>3.44</v>
      </c>
      <c r="H5584" s="0" t="n">
        <v>0</v>
      </c>
      <c r="I5584" s="7" t="n">
        <f aca="false">YEAR(B5584)</f>
        <v>2016</v>
      </c>
      <c r="J5584" s="0" t="str">
        <f aca="false">I5584&amp;"-Q"&amp;ROUNDUP(MONTH(B5584)/3,0)</f>
        <v>2016-Q2</v>
      </c>
    </row>
    <row r="5585" customFormat="false" ht="15" hidden="false" customHeight="false" outlineLevel="0" collapsed="false">
      <c r="A5585" s="0" t="s">
        <v>2860</v>
      </c>
      <c r="B5585" s="6" t="n">
        <v>41988</v>
      </c>
      <c r="C5585" s="7" t="s">
        <v>33</v>
      </c>
      <c r="D5585" s="7" t="s">
        <v>34</v>
      </c>
      <c r="E5585" s="7" t="s">
        <v>31</v>
      </c>
      <c r="F5585" s="0" t="n">
        <v>6.16</v>
      </c>
      <c r="G5585" s="0" t="n">
        <v>1.9712</v>
      </c>
      <c r="H5585" s="0" t="n">
        <v>0</v>
      </c>
      <c r="I5585" s="7" t="n">
        <f aca="false">YEAR(B5585)</f>
        <v>2014</v>
      </c>
      <c r="J5585" s="0" t="str">
        <f aca="false">I5585&amp;"-Q"&amp;ROUNDUP(MONTH(B5585)/3,0)</f>
        <v>2014-Q4</v>
      </c>
    </row>
    <row r="5586" customFormat="false" ht="15" hidden="false" customHeight="false" outlineLevel="0" collapsed="false">
      <c r="A5586" s="0" t="s">
        <v>2861</v>
      </c>
      <c r="B5586" s="6" t="n">
        <v>43069</v>
      </c>
      <c r="C5586" s="7" t="s">
        <v>55</v>
      </c>
      <c r="D5586" s="7" t="s">
        <v>76</v>
      </c>
      <c r="E5586" s="7" t="s">
        <v>35</v>
      </c>
      <c r="F5586" s="0" t="n">
        <v>83.56</v>
      </c>
      <c r="G5586" s="0" t="n">
        <v>1.6712</v>
      </c>
      <c r="H5586" s="0" t="n">
        <v>0</v>
      </c>
      <c r="I5586" s="7" t="n">
        <f aca="false">YEAR(B5586)</f>
        <v>2017</v>
      </c>
      <c r="J5586" s="0" t="str">
        <f aca="false">I5586&amp;"-Q"&amp;ROUNDUP(MONTH(B5586)/3,0)</f>
        <v>2017-Q4</v>
      </c>
    </row>
    <row r="5587" customFormat="false" ht="15" hidden="false" customHeight="false" outlineLevel="0" collapsed="false">
      <c r="A5587" s="0" t="s">
        <v>2861</v>
      </c>
      <c r="B5587" s="6" t="n">
        <v>43069</v>
      </c>
      <c r="C5587" s="7" t="s">
        <v>55</v>
      </c>
      <c r="D5587" s="7" t="s">
        <v>76</v>
      </c>
      <c r="E5587" s="7" t="s">
        <v>39</v>
      </c>
      <c r="F5587" s="0" t="n">
        <v>546.06</v>
      </c>
      <c r="G5587" s="0" t="n">
        <v>163.818</v>
      </c>
      <c r="H5587" s="0" t="n">
        <v>0</v>
      </c>
      <c r="I5587" s="7" t="n">
        <f aca="false">YEAR(B5587)</f>
        <v>2017</v>
      </c>
      <c r="J5587" s="0" t="str">
        <f aca="false">I5587&amp;"-Q"&amp;ROUNDUP(MONTH(B5587)/3,0)</f>
        <v>2017-Q4</v>
      </c>
    </row>
    <row r="5588" customFormat="false" ht="15" hidden="false" customHeight="false" outlineLevel="0" collapsed="false">
      <c r="A5588" s="0" t="s">
        <v>2861</v>
      </c>
      <c r="B5588" s="6" t="n">
        <v>43069</v>
      </c>
      <c r="C5588" s="7" t="s">
        <v>55</v>
      </c>
      <c r="D5588" s="7" t="s">
        <v>76</v>
      </c>
      <c r="E5588" s="7" t="s">
        <v>35</v>
      </c>
      <c r="F5588" s="0" t="n">
        <v>269.49</v>
      </c>
      <c r="G5588" s="0" t="n">
        <v>5.3898</v>
      </c>
      <c r="H5588" s="0" t="n">
        <v>0</v>
      </c>
      <c r="I5588" s="7" t="n">
        <f aca="false">YEAR(B5588)</f>
        <v>2017</v>
      </c>
      <c r="J5588" s="0" t="str">
        <f aca="false">I5588&amp;"-Q"&amp;ROUNDUP(MONTH(B5588)/3,0)</f>
        <v>2017-Q4</v>
      </c>
    </row>
    <row r="5589" customFormat="false" ht="15" hidden="false" customHeight="false" outlineLevel="0" collapsed="false">
      <c r="A5589" s="0" t="s">
        <v>2862</v>
      </c>
      <c r="B5589" s="6" t="n">
        <v>42082</v>
      </c>
      <c r="C5589" s="7" t="s">
        <v>33</v>
      </c>
      <c r="D5589" s="7" t="s">
        <v>34</v>
      </c>
      <c r="E5589" s="7" t="s">
        <v>35</v>
      </c>
      <c r="F5589" s="0" t="n">
        <v>10.9</v>
      </c>
      <c r="G5589" s="0" t="n">
        <v>3.597</v>
      </c>
      <c r="H5589" s="0" t="n">
        <v>0</v>
      </c>
      <c r="I5589" s="7" t="n">
        <f aca="false">YEAR(B5589)</f>
        <v>2015</v>
      </c>
      <c r="J5589" s="0" t="str">
        <f aca="false">I5589&amp;"-Q"&amp;ROUNDUP(MONTH(B5589)/3,0)</f>
        <v>2015-Q1</v>
      </c>
    </row>
    <row r="5590" customFormat="false" ht="15" hidden="false" customHeight="false" outlineLevel="0" collapsed="false">
      <c r="A5590" s="0" t="s">
        <v>2863</v>
      </c>
      <c r="B5590" s="6" t="n">
        <v>41839</v>
      </c>
      <c r="C5590" s="7" t="s">
        <v>33</v>
      </c>
      <c r="D5590" s="7" t="s">
        <v>310</v>
      </c>
      <c r="E5590" s="7" t="s">
        <v>35</v>
      </c>
      <c r="F5590" s="0" t="n">
        <v>6.096</v>
      </c>
      <c r="G5590" s="0" t="n">
        <v>2.2098</v>
      </c>
      <c r="H5590" s="0" t="n">
        <v>0.2</v>
      </c>
      <c r="I5590" s="7" t="n">
        <f aca="false">YEAR(B5590)</f>
        <v>2014</v>
      </c>
      <c r="J5590" s="0" t="str">
        <f aca="false">I5590&amp;"-Q"&amp;ROUNDUP(MONTH(B5590)/3,0)</f>
        <v>2014-Q3</v>
      </c>
    </row>
    <row r="5591" customFormat="false" ht="15" hidden="false" customHeight="false" outlineLevel="0" collapsed="false">
      <c r="A5591" s="0" t="s">
        <v>2864</v>
      </c>
      <c r="B5591" s="6" t="n">
        <v>42712</v>
      </c>
      <c r="C5591" s="7" t="s">
        <v>33</v>
      </c>
      <c r="D5591" s="7" t="s">
        <v>34</v>
      </c>
      <c r="E5591" s="7" t="s">
        <v>35</v>
      </c>
      <c r="F5591" s="0" t="n">
        <v>34.05</v>
      </c>
      <c r="G5591" s="0" t="n">
        <v>9.534</v>
      </c>
      <c r="H5591" s="0" t="n">
        <v>0</v>
      </c>
      <c r="I5591" s="7" t="n">
        <f aca="false">YEAR(B5591)</f>
        <v>2016</v>
      </c>
      <c r="J5591" s="0" t="str">
        <f aca="false">I5591&amp;"-Q"&amp;ROUNDUP(MONTH(B5591)/3,0)</f>
        <v>2016-Q4</v>
      </c>
    </row>
    <row r="5592" customFormat="false" ht="15" hidden="false" customHeight="false" outlineLevel="0" collapsed="false">
      <c r="A5592" s="0" t="s">
        <v>2864</v>
      </c>
      <c r="B5592" s="6" t="n">
        <v>42712</v>
      </c>
      <c r="C5592" s="7" t="s">
        <v>33</v>
      </c>
      <c r="D5592" s="7" t="s">
        <v>34</v>
      </c>
      <c r="E5592" s="7" t="s">
        <v>35</v>
      </c>
      <c r="F5592" s="0" t="n">
        <v>352.38</v>
      </c>
      <c r="G5592" s="0" t="n">
        <v>81.0474</v>
      </c>
      <c r="H5592" s="0" t="n">
        <v>0</v>
      </c>
      <c r="I5592" s="7" t="n">
        <f aca="false">YEAR(B5592)</f>
        <v>2016</v>
      </c>
      <c r="J5592" s="0" t="str">
        <f aca="false">I5592&amp;"-Q"&amp;ROUNDUP(MONTH(B5592)/3,0)</f>
        <v>2016-Q4</v>
      </c>
    </row>
    <row r="5593" customFormat="false" ht="15" hidden="false" customHeight="false" outlineLevel="0" collapsed="false">
      <c r="A5593" s="0" t="s">
        <v>2865</v>
      </c>
      <c r="B5593" s="6" t="n">
        <v>41925</v>
      </c>
      <c r="C5593" s="7" t="s">
        <v>55</v>
      </c>
      <c r="D5593" s="7" t="s">
        <v>161</v>
      </c>
      <c r="E5593" s="7" t="s">
        <v>31</v>
      </c>
      <c r="F5593" s="0" t="n">
        <v>245.98</v>
      </c>
      <c r="G5593" s="0" t="n">
        <v>27.0578</v>
      </c>
      <c r="H5593" s="0" t="n">
        <v>0</v>
      </c>
      <c r="I5593" s="7" t="n">
        <f aca="false">YEAR(B5593)</f>
        <v>2014</v>
      </c>
      <c r="J5593" s="0" t="str">
        <f aca="false">I5593&amp;"-Q"&amp;ROUNDUP(MONTH(B5593)/3,0)</f>
        <v>2014-Q4</v>
      </c>
    </row>
    <row r="5594" customFormat="false" ht="15" hidden="false" customHeight="false" outlineLevel="0" collapsed="false">
      <c r="A5594" s="0" t="s">
        <v>2865</v>
      </c>
      <c r="B5594" s="6" t="n">
        <v>41925</v>
      </c>
      <c r="C5594" s="7" t="s">
        <v>55</v>
      </c>
      <c r="D5594" s="7" t="s">
        <v>161</v>
      </c>
      <c r="E5594" s="7" t="s">
        <v>35</v>
      </c>
      <c r="F5594" s="0" t="n">
        <v>18.94</v>
      </c>
      <c r="G5594" s="0" t="n">
        <v>9.47</v>
      </c>
      <c r="H5594" s="0" t="n">
        <v>0</v>
      </c>
      <c r="I5594" s="7" t="n">
        <f aca="false">YEAR(B5594)</f>
        <v>2014</v>
      </c>
      <c r="J5594" s="0" t="str">
        <f aca="false">I5594&amp;"-Q"&amp;ROUNDUP(MONTH(B5594)/3,0)</f>
        <v>2014-Q4</v>
      </c>
    </row>
    <row r="5595" customFormat="false" ht="15" hidden="false" customHeight="false" outlineLevel="0" collapsed="false">
      <c r="A5595" s="0" t="s">
        <v>2866</v>
      </c>
      <c r="B5595" s="6" t="n">
        <v>43058</v>
      </c>
      <c r="C5595" s="7" t="s">
        <v>55</v>
      </c>
      <c r="D5595" s="7" t="s">
        <v>116</v>
      </c>
      <c r="E5595" s="7" t="s">
        <v>35</v>
      </c>
      <c r="F5595" s="0" t="n">
        <v>59.913</v>
      </c>
      <c r="G5595" s="0" t="n">
        <v>-45.9333</v>
      </c>
      <c r="H5595" s="0" t="n">
        <v>0.7</v>
      </c>
      <c r="I5595" s="7" t="n">
        <f aca="false">YEAR(B5595)</f>
        <v>2017</v>
      </c>
      <c r="J5595" s="0" t="str">
        <f aca="false">I5595&amp;"-Q"&amp;ROUNDUP(MONTH(B5595)/3,0)</f>
        <v>2017-Q4</v>
      </c>
    </row>
    <row r="5596" customFormat="false" ht="15" hidden="false" customHeight="false" outlineLevel="0" collapsed="false">
      <c r="A5596" s="0" t="s">
        <v>2867</v>
      </c>
      <c r="B5596" s="6" t="n">
        <v>43002</v>
      </c>
      <c r="C5596" s="7" t="s">
        <v>55</v>
      </c>
      <c r="D5596" s="7" t="s">
        <v>225</v>
      </c>
      <c r="E5596" s="7" t="s">
        <v>39</v>
      </c>
      <c r="F5596" s="0" t="n">
        <v>391.98</v>
      </c>
      <c r="G5596" s="0" t="n">
        <v>109.7544</v>
      </c>
      <c r="H5596" s="0" t="n">
        <v>0</v>
      </c>
      <c r="I5596" s="7" t="n">
        <f aca="false">YEAR(B5596)</f>
        <v>2017</v>
      </c>
      <c r="J5596" s="0" t="str">
        <f aca="false">I5596&amp;"-Q"&amp;ROUNDUP(MONTH(B5596)/3,0)</f>
        <v>2017-Q3</v>
      </c>
    </row>
    <row r="5597" customFormat="false" ht="15" hidden="false" customHeight="false" outlineLevel="0" collapsed="false">
      <c r="A5597" s="0" t="s">
        <v>2867</v>
      </c>
      <c r="B5597" s="6" t="n">
        <v>43002</v>
      </c>
      <c r="C5597" s="7" t="s">
        <v>55</v>
      </c>
      <c r="D5597" s="7" t="s">
        <v>225</v>
      </c>
      <c r="E5597" s="7" t="s">
        <v>39</v>
      </c>
      <c r="F5597" s="0" t="n">
        <v>437.85</v>
      </c>
      <c r="G5597" s="0" t="n">
        <v>131.355</v>
      </c>
      <c r="H5597" s="0" t="n">
        <v>0</v>
      </c>
      <c r="I5597" s="7" t="n">
        <f aca="false">YEAR(B5597)</f>
        <v>2017</v>
      </c>
      <c r="J5597" s="0" t="str">
        <f aca="false">I5597&amp;"-Q"&amp;ROUNDUP(MONTH(B5597)/3,0)</f>
        <v>2017-Q3</v>
      </c>
    </row>
    <row r="5598" customFormat="false" ht="15" hidden="false" customHeight="false" outlineLevel="0" collapsed="false">
      <c r="A5598" s="0" t="s">
        <v>2868</v>
      </c>
      <c r="B5598" s="6" t="n">
        <v>42272</v>
      </c>
      <c r="C5598" s="7" t="s">
        <v>55</v>
      </c>
      <c r="D5598" s="7" t="s">
        <v>482</v>
      </c>
      <c r="E5598" s="7" t="s">
        <v>35</v>
      </c>
      <c r="F5598" s="0" t="n">
        <v>68.62</v>
      </c>
      <c r="G5598" s="0" t="n">
        <v>32.2514</v>
      </c>
      <c r="H5598" s="0" t="n">
        <v>0</v>
      </c>
      <c r="I5598" s="7" t="n">
        <f aca="false">YEAR(B5598)</f>
        <v>2015</v>
      </c>
      <c r="J5598" s="0" t="str">
        <f aca="false">I5598&amp;"-Q"&amp;ROUNDUP(MONTH(B5598)/3,0)</f>
        <v>2015-Q3</v>
      </c>
    </row>
    <row r="5599" customFormat="false" ht="15" hidden="false" customHeight="false" outlineLevel="0" collapsed="false">
      <c r="A5599" s="0" t="s">
        <v>2869</v>
      </c>
      <c r="B5599" s="6" t="n">
        <v>42779</v>
      </c>
      <c r="C5599" s="7" t="s">
        <v>55</v>
      </c>
      <c r="D5599" s="7" t="s">
        <v>495</v>
      </c>
      <c r="E5599" s="7" t="s">
        <v>35</v>
      </c>
      <c r="F5599" s="0" t="n">
        <v>25.02</v>
      </c>
      <c r="G5599" s="0" t="n">
        <v>6.5052</v>
      </c>
      <c r="H5599" s="0" t="n">
        <v>0</v>
      </c>
      <c r="I5599" s="7" t="n">
        <f aca="false">YEAR(B5599)</f>
        <v>2017</v>
      </c>
      <c r="J5599" s="0" t="str">
        <f aca="false">I5599&amp;"-Q"&amp;ROUNDUP(MONTH(B5599)/3,0)</f>
        <v>2017-Q1</v>
      </c>
    </row>
    <row r="5600" customFormat="false" ht="15" hidden="false" customHeight="false" outlineLevel="0" collapsed="false">
      <c r="A5600" s="0" t="s">
        <v>2869</v>
      </c>
      <c r="B5600" s="6" t="n">
        <v>42779</v>
      </c>
      <c r="C5600" s="7" t="s">
        <v>55</v>
      </c>
      <c r="D5600" s="7" t="s">
        <v>495</v>
      </c>
      <c r="E5600" s="7" t="s">
        <v>35</v>
      </c>
      <c r="F5600" s="0" t="n">
        <v>10.71</v>
      </c>
      <c r="G5600" s="0" t="n">
        <v>2.7846</v>
      </c>
      <c r="H5600" s="0" t="n">
        <v>0</v>
      </c>
      <c r="I5600" s="7" t="n">
        <f aca="false">YEAR(B5600)</f>
        <v>2017</v>
      </c>
      <c r="J5600" s="0" t="str">
        <f aca="false">I5600&amp;"-Q"&amp;ROUNDUP(MONTH(B5600)/3,0)</f>
        <v>2017-Q1</v>
      </c>
    </row>
    <row r="5601" customFormat="false" ht="15" hidden="false" customHeight="false" outlineLevel="0" collapsed="false">
      <c r="A5601" s="0" t="s">
        <v>2870</v>
      </c>
      <c r="B5601" s="6" t="n">
        <v>41915</v>
      </c>
      <c r="C5601" s="7" t="s">
        <v>55</v>
      </c>
      <c r="D5601" s="7" t="s">
        <v>116</v>
      </c>
      <c r="E5601" s="7" t="s">
        <v>35</v>
      </c>
      <c r="F5601" s="0" t="n">
        <v>55.984</v>
      </c>
      <c r="G5601" s="0" t="n">
        <v>4.1988</v>
      </c>
      <c r="H5601" s="0" t="n">
        <v>0.2</v>
      </c>
      <c r="I5601" s="7" t="n">
        <f aca="false">YEAR(B5601)</f>
        <v>2014</v>
      </c>
      <c r="J5601" s="0" t="str">
        <f aca="false">I5601&amp;"-Q"&amp;ROUNDUP(MONTH(B5601)/3,0)</f>
        <v>2014-Q4</v>
      </c>
    </row>
    <row r="5602" customFormat="false" ht="15" hidden="false" customHeight="false" outlineLevel="0" collapsed="false">
      <c r="A5602" s="0" t="s">
        <v>2870</v>
      </c>
      <c r="B5602" s="6" t="n">
        <v>41915</v>
      </c>
      <c r="C5602" s="7" t="s">
        <v>55</v>
      </c>
      <c r="D5602" s="7" t="s">
        <v>116</v>
      </c>
      <c r="E5602" s="7" t="s">
        <v>35</v>
      </c>
      <c r="F5602" s="0" t="n">
        <v>14.48</v>
      </c>
      <c r="G5602" s="0" t="n">
        <v>4.887</v>
      </c>
      <c r="H5602" s="0" t="n">
        <v>0.2</v>
      </c>
      <c r="I5602" s="7" t="n">
        <f aca="false">YEAR(B5602)</f>
        <v>2014</v>
      </c>
      <c r="J5602" s="0" t="str">
        <f aca="false">I5602&amp;"-Q"&amp;ROUNDUP(MONTH(B5602)/3,0)</f>
        <v>2014-Q4</v>
      </c>
    </row>
    <row r="5603" customFormat="false" ht="15" hidden="false" customHeight="false" outlineLevel="0" collapsed="false">
      <c r="A5603" s="0" t="s">
        <v>2870</v>
      </c>
      <c r="B5603" s="6" t="n">
        <v>41915</v>
      </c>
      <c r="C5603" s="7" t="s">
        <v>55</v>
      </c>
      <c r="D5603" s="7" t="s">
        <v>116</v>
      </c>
      <c r="E5603" s="7" t="s">
        <v>39</v>
      </c>
      <c r="F5603" s="0" t="n">
        <v>142.488</v>
      </c>
      <c r="G5603" s="0" t="n">
        <v>-3.5622</v>
      </c>
      <c r="H5603" s="0" t="n">
        <v>0.2</v>
      </c>
      <c r="I5603" s="7" t="n">
        <f aca="false">YEAR(B5603)</f>
        <v>2014</v>
      </c>
      <c r="J5603" s="0" t="str">
        <f aca="false">I5603&amp;"-Q"&amp;ROUNDUP(MONTH(B5603)/3,0)</f>
        <v>2014-Q4</v>
      </c>
    </row>
    <row r="5604" customFormat="false" ht="15" hidden="false" customHeight="false" outlineLevel="0" collapsed="false">
      <c r="A5604" s="0" t="s">
        <v>2871</v>
      </c>
      <c r="B5604" s="6" t="n">
        <v>42609</v>
      </c>
      <c r="C5604" s="7" t="s">
        <v>45</v>
      </c>
      <c r="D5604" s="7" t="s">
        <v>46</v>
      </c>
      <c r="E5604" s="7" t="s">
        <v>35</v>
      </c>
      <c r="F5604" s="0" t="n">
        <v>14.16</v>
      </c>
      <c r="G5604" s="0" t="n">
        <v>1.062</v>
      </c>
      <c r="H5604" s="0" t="n">
        <v>0.2</v>
      </c>
      <c r="I5604" s="7" t="n">
        <f aca="false">YEAR(B5604)</f>
        <v>2016</v>
      </c>
      <c r="J5604" s="0" t="str">
        <f aca="false">I5604&amp;"-Q"&amp;ROUNDUP(MONTH(B5604)/3,0)</f>
        <v>2016-Q3</v>
      </c>
    </row>
    <row r="5605" customFormat="false" ht="15" hidden="false" customHeight="false" outlineLevel="0" collapsed="false">
      <c r="A5605" s="0" t="s">
        <v>2871</v>
      </c>
      <c r="B5605" s="6" t="n">
        <v>42609</v>
      </c>
      <c r="C5605" s="7" t="s">
        <v>45</v>
      </c>
      <c r="D5605" s="7" t="s">
        <v>46</v>
      </c>
      <c r="E5605" s="7" t="s">
        <v>35</v>
      </c>
      <c r="F5605" s="0" t="n">
        <v>79.92</v>
      </c>
      <c r="G5605" s="0" t="n">
        <v>27.972</v>
      </c>
      <c r="H5605" s="0" t="n">
        <v>0.2</v>
      </c>
      <c r="I5605" s="7" t="n">
        <f aca="false">YEAR(B5605)</f>
        <v>2016</v>
      </c>
      <c r="J5605" s="0" t="str">
        <f aca="false">I5605&amp;"-Q"&amp;ROUNDUP(MONTH(B5605)/3,0)</f>
        <v>2016-Q3</v>
      </c>
    </row>
    <row r="5606" customFormat="false" ht="15" hidden="false" customHeight="false" outlineLevel="0" collapsed="false">
      <c r="A5606" s="0" t="s">
        <v>2872</v>
      </c>
      <c r="B5606" s="6" t="n">
        <v>42341</v>
      </c>
      <c r="C5606" s="7" t="s">
        <v>55</v>
      </c>
      <c r="D5606" s="7" t="s">
        <v>76</v>
      </c>
      <c r="E5606" s="7" t="s">
        <v>35</v>
      </c>
      <c r="F5606" s="0" t="n">
        <v>590.352</v>
      </c>
      <c r="G5606" s="0" t="n">
        <v>206.6232</v>
      </c>
      <c r="H5606" s="0" t="n">
        <v>0.2</v>
      </c>
      <c r="I5606" s="7" t="n">
        <f aca="false">YEAR(B5606)</f>
        <v>2015</v>
      </c>
      <c r="J5606" s="0" t="str">
        <f aca="false">I5606&amp;"-Q"&amp;ROUNDUP(MONTH(B5606)/3,0)</f>
        <v>2015-Q4</v>
      </c>
    </row>
    <row r="5607" customFormat="false" ht="15" hidden="false" customHeight="false" outlineLevel="0" collapsed="false">
      <c r="A5607" s="0" t="s">
        <v>2873</v>
      </c>
      <c r="B5607" s="6" t="n">
        <v>42633</v>
      </c>
      <c r="C5607" s="7" t="s">
        <v>29</v>
      </c>
      <c r="D5607" s="7" t="s">
        <v>41</v>
      </c>
      <c r="E5607" s="7" t="s">
        <v>31</v>
      </c>
      <c r="F5607" s="0" t="n">
        <v>17.088</v>
      </c>
      <c r="G5607" s="0" t="n">
        <v>1.068</v>
      </c>
      <c r="H5607" s="0" t="n">
        <v>0.2</v>
      </c>
      <c r="I5607" s="7" t="n">
        <f aca="false">YEAR(B5607)</f>
        <v>2016</v>
      </c>
      <c r="J5607" s="0" t="str">
        <f aca="false">I5607&amp;"-Q"&amp;ROUNDUP(MONTH(B5607)/3,0)</f>
        <v>2016-Q3</v>
      </c>
    </row>
    <row r="5608" customFormat="false" ht="15" hidden="false" customHeight="false" outlineLevel="0" collapsed="false">
      <c r="A5608" s="0" t="s">
        <v>2873</v>
      </c>
      <c r="B5608" s="6" t="n">
        <v>42633</v>
      </c>
      <c r="C5608" s="7" t="s">
        <v>29</v>
      </c>
      <c r="D5608" s="7" t="s">
        <v>41</v>
      </c>
      <c r="E5608" s="7" t="s">
        <v>31</v>
      </c>
      <c r="F5608" s="0" t="n">
        <v>98.392</v>
      </c>
      <c r="G5608" s="0" t="n">
        <v>-11.0691</v>
      </c>
      <c r="H5608" s="0" t="n">
        <v>0.2</v>
      </c>
      <c r="I5608" s="7" t="n">
        <f aca="false">YEAR(B5608)</f>
        <v>2016</v>
      </c>
      <c r="J5608" s="0" t="str">
        <f aca="false">I5608&amp;"-Q"&amp;ROUNDUP(MONTH(B5608)/3,0)</f>
        <v>2016-Q3</v>
      </c>
    </row>
    <row r="5609" customFormat="false" ht="15" hidden="false" customHeight="false" outlineLevel="0" collapsed="false">
      <c r="A5609" s="0" t="s">
        <v>2874</v>
      </c>
      <c r="B5609" s="6" t="n">
        <v>42819</v>
      </c>
      <c r="C5609" s="7" t="s">
        <v>55</v>
      </c>
      <c r="D5609" s="7" t="s">
        <v>76</v>
      </c>
      <c r="E5609" s="7" t="s">
        <v>35</v>
      </c>
      <c r="F5609" s="0" t="n">
        <v>11.05</v>
      </c>
      <c r="G5609" s="0" t="n">
        <v>2.9835</v>
      </c>
      <c r="H5609" s="0" t="n">
        <v>0</v>
      </c>
      <c r="I5609" s="7" t="n">
        <f aca="false">YEAR(B5609)</f>
        <v>2017</v>
      </c>
      <c r="J5609" s="0" t="str">
        <f aca="false">I5609&amp;"-Q"&amp;ROUNDUP(MONTH(B5609)/3,0)</f>
        <v>2017-Q1</v>
      </c>
    </row>
    <row r="5610" customFormat="false" ht="15" hidden="false" customHeight="false" outlineLevel="0" collapsed="false">
      <c r="A5610" s="0" t="s">
        <v>2875</v>
      </c>
      <c r="B5610" s="6" t="n">
        <v>42344</v>
      </c>
      <c r="C5610" s="7" t="s">
        <v>33</v>
      </c>
      <c r="D5610" s="7" t="s">
        <v>34</v>
      </c>
      <c r="E5610" s="7" t="s">
        <v>35</v>
      </c>
      <c r="F5610" s="0" t="n">
        <v>7.78</v>
      </c>
      <c r="G5610" s="0" t="n">
        <v>2.0228</v>
      </c>
      <c r="H5610" s="0" t="n">
        <v>0</v>
      </c>
      <c r="I5610" s="7" t="n">
        <f aca="false">YEAR(B5610)</f>
        <v>2015</v>
      </c>
      <c r="J5610" s="0" t="str">
        <f aca="false">I5610&amp;"-Q"&amp;ROUNDUP(MONTH(B5610)/3,0)</f>
        <v>2015-Q4</v>
      </c>
    </row>
    <row r="5611" customFormat="false" ht="15" hidden="false" customHeight="false" outlineLevel="0" collapsed="false">
      <c r="A5611" s="0" t="s">
        <v>2876</v>
      </c>
      <c r="B5611" s="6" t="n">
        <v>42978</v>
      </c>
      <c r="C5611" s="7" t="s">
        <v>29</v>
      </c>
      <c r="D5611" s="7" t="s">
        <v>152</v>
      </c>
      <c r="E5611" s="7" t="s">
        <v>39</v>
      </c>
      <c r="F5611" s="0" t="n">
        <v>659.9</v>
      </c>
      <c r="G5611" s="0" t="n">
        <v>217.767</v>
      </c>
      <c r="H5611" s="0" t="n">
        <v>0</v>
      </c>
      <c r="I5611" s="7" t="n">
        <f aca="false">YEAR(B5611)</f>
        <v>2017</v>
      </c>
      <c r="J5611" s="0" t="str">
        <f aca="false">I5611&amp;"-Q"&amp;ROUNDUP(MONTH(B5611)/3,0)</f>
        <v>2017-Q3</v>
      </c>
    </row>
    <row r="5612" customFormat="false" ht="15" hidden="false" customHeight="false" outlineLevel="0" collapsed="false">
      <c r="A5612" s="0" t="s">
        <v>2877</v>
      </c>
      <c r="B5612" s="6" t="n">
        <v>42282</v>
      </c>
      <c r="C5612" s="7" t="s">
        <v>55</v>
      </c>
      <c r="D5612" s="7" t="s">
        <v>116</v>
      </c>
      <c r="E5612" s="7" t="s">
        <v>39</v>
      </c>
      <c r="F5612" s="0" t="n">
        <v>53.04</v>
      </c>
      <c r="G5612" s="0" t="n">
        <v>-4.641</v>
      </c>
      <c r="H5612" s="0" t="n">
        <v>0.2</v>
      </c>
      <c r="I5612" s="7" t="n">
        <f aca="false">YEAR(B5612)</f>
        <v>2015</v>
      </c>
      <c r="J5612" s="0" t="str">
        <f aca="false">I5612&amp;"-Q"&amp;ROUNDUP(MONTH(B5612)/3,0)</f>
        <v>2015-Q4</v>
      </c>
    </row>
    <row r="5613" customFormat="false" ht="15" hidden="false" customHeight="false" outlineLevel="0" collapsed="false">
      <c r="A5613" s="0" t="s">
        <v>2878</v>
      </c>
      <c r="B5613" s="6" t="n">
        <v>42965</v>
      </c>
      <c r="C5613" s="7" t="s">
        <v>33</v>
      </c>
      <c r="D5613" s="7" t="s">
        <v>43</v>
      </c>
      <c r="E5613" s="7" t="s">
        <v>39</v>
      </c>
      <c r="F5613" s="0" t="n">
        <v>843.9</v>
      </c>
      <c r="G5613" s="0" t="n">
        <v>371.316</v>
      </c>
      <c r="H5613" s="0" t="n">
        <v>0</v>
      </c>
      <c r="I5613" s="7" t="n">
        <f aca="false">YEAR(B5613)</f>
        <v>2017</v>
      </c>
      <c r="J5613" s="0" t="str">
        <f aca="false">I5613&amp;"-Q"&amp;ROUNDUP(MONTH(B5613)/3,0)</f>
        <v>2017-Q3</v>
      </c>
    </row>
    <row r="5614" customFormat="false" ht="15" hidden="false" customHeight="false" outlineLevel="0" collapsed="false">
      <c r="A5614" s="0" t="s">
        <v>2878</v>
      </c>
      <c r="B5614" s="6" t="n">
        <v>42965</v>
      </c>
      <c r="C5614" s="7" t="s">
        <v>33</v>
      </c>
      <c r="D5614" s="7" t="s">
        <v>43</v>
      </c>
      <c r="E5614" s="7" t="s">
        <v>39</v>
      </c>
      <c r="F5614" s="0" t="n">
        <v>1496.16</v>
      </c>
      <c r="G5614" s="0" t="n">
        <v>224.424</v>
      </c>
      <c r="H5614" s="0" t="n">
        <v>0</v>
      </c>
      <c r="I5614" s="7" t="n">
        <f aca="false">YEAR(B5614)</f>
        <v>2017</v>
      </c>
      <c r="J5614" s="0" t="str">
        <f aca="false">I5614&amp;"-Q"&amp;ROUNDUP(MONTH(B5614)/3,0)</f>
        <v>2017-Q3</v>
      </c>
    </row>
    <row r="5615" customFormat="false" ht="15" hidden="false" customHeight="false" outlineLevel="0" collapsed="false">
      <c r="A5615" s="0" t="s">
        <v>2879</v>
      </c>
      <c r="B5615" s="6" t="n">
        <v>42402</v>
      </c>
      <c r="C5615" s="7" t="s">
        <v>55</v>
      </c>
      <c r="D5615" s="7" t="s">
        <v>76</v>
      </c>
      <c r="E5615" s="7" t="s">
        <v>35</v>
      </c>
      <c r="F5615" s="0" t="n">
        <v>117.96</v>
      </c>
      <c r="G5615" s="0" t="n">
        <v>5.898</v>
      </c>
      <c r="H5615" s="0" t="n">
        <v>0</v>
      </c>
      <c r="I5615" s="7" t="n">
        <f aca="false">YEAR(B5615)</f>
        <v>2016</v>
      </c>
      <c r="J5615" s="0" t="str">
        <f aca="false">I5615&amp;"-Q"&amp;ROUNDUP(MONTH(B5615)/3,0)</f>
        <v>2016-Q1</v>
      </c>
    </row>
    <row r="5616" customFormat="false" ht="15" hidden="false" customHeight="false" outlineLevel="0" collapsed="false">
      <c r="A5616" s="0" t="s">
        <v>2880</v>
      </c>
      <c r="B5616" s="6" t="n">
        <v>42605</v>
      </c>
      <c r="C5616" s="7" t="s">
        <v>55</v>
      </c>
      <c r="D5616" s="7" t="s">
        <v>76</v>
      </c>
      <c r="E5616" s="7" t="s">
        <v>35</v>
      </c>
      <c r="F5616" s="0" t="n">
        <v>21.3</v>
      </c>
      <c r="G5616" s="0" t="n">
        <v>8.733</v>
      </c>
      <c r="H5616" s="0" t="n">
        <v>0</v>
      </c>
      <c r="I5616" s="7" t="n">
        <f aca="false">YEAR(B5616)</f>
        <v>2016</v>
      </c>
      <c r="J5616" s="0" t="str">
        <f aca="false">I5616&amp;"-Q"&amp;ROUNDUP(MONTH(B5616)/3,0)</f>
        <v>2016-Q3</v>
      </c>
    </row>
    <row r="5617" customFormat="false" ht="15" hidden="false" customHeight="false" outlineLevel="0" collapsed="false">
      <c r="A5617" s="0" t="s">
        <v>2880</v>
      </c>
      <c r="B5617" s="6" t="n">
        <v>42605</v>
      </c>
      <c r="C5617" s="7" t="s">
        <v>55</v>
      </c>
      <c r="D5617" s="7" t="s">
        <v>76</v>
      </c>
      <c r="E5617" s="7" t="s">
        <v>35</v>
      </c>
      <c r="F5617" s="0" t="n">
        <v>1040.8</v>
      </c>
      <c r="G5617" s="0" t="n">
        <v>281.016</v>
      </c>
      <c r="H5617" s="0" t="n">
        <v>0</v>
      </c>
      <c r="I5617" s="7" t="n">
        <f aca="false">YEAR(B5617)</f>
        <v>2016</v>
      </c>
      <c r="J5617" s="0" t="str">
        <f aca="false">I5617&amp;"-Q"&amp;ROUNDUP(MONTH(B5617)/3,0)</f>
        <v>2016-Q3</v>
      </c>
    </row>
    <row r="5618" customFormat="false" ht="15" hidden="false" customHeight="false" outlineLevel="0" collapsed="false">
      <c r="A5618" s="0" t="s">
        <v>2880</v>
      </c>
      <c r="B5618" s="6" t="n">
        <v>42605</v>
      </c>
      <c r="C5618" s="7" t="s">
        <v>55</v>
      </c>
      <c r="D5618" s="7" t="s">
        <v>76</v>
      </c>
      <c r="E5618" s="7" t="s">
        <v>35</v>
      </c>
      <c r="F5618" s="0" t="n">
        <v>29.34</v>
      </c>
      <c r="G5618" s="0" t="n">
        <v>7.9218</v>
      </c>
      <c r="H5618" s="0" t="n">
        <v>0</v>
      </c>
      <c r="I5618" s="7" t="n">
        <f aca="false">YEAR(B5618)</f>
        <v>2016</v>
      </c>
      <c r="J5618" s="0" t="str">
        <f aca="false">I5618&amp;"-Q"&amp;ROUNDUP(MONTH(B5618)/3,0)</f>
        <v>2016-Q3</v>
      </c>
    </row>
    <row r="5619" customFormat="false" ht="15" hidden="false" customHeight="false" outlineLevel="0" collapsed="false">
      <c r="A5619" s="0" t="s">
        <v>2881</v>
      </c>
      <c r="B5619" s="6" t="n">
        <v>42916</v>
      </c>
      <c r="C5619" s="7" t="s">
        <v>29</v>
      </c>
      <c r="D5619" s="7" t="s">
        <v>87</v>
      </c>
      <c r="E5619" s="7" t="s">
        <v>31</v>
      </c>
      <c r="F5619" s="0" t="n">
        <v>19.52</v>
      </c>
      <c r="G5619" s="0" t="n">
        <v>5.368</v>
      </c>
      <c r="H5619" s="0" t="n">
        <v>0.2</v>
      </c>
      <c r="I5619" s="7" t="n">
        <f aca="false">YEAR(B5619)</f>
        <v>2017</v>
      </c>
      <c r="J5619" s="0" t="str">
        <f aca="false">I5619&amp;"-Q"&amp;ROUNDUP(MONTH(B5619)/3,0)</f>
        <v>2017-Q2</v>
      </c>
    </row>
    <row r="5620" customFormat="false" ht="15" hidden="false" customHeight="false" outlineLevel="0" collapsed="false">
      <c r="A5620" s="0" t="s">
        <v>2882</v>
      </c>
      <c r="B5620" s="6" t="n">
        <v>42265</v>
      </c>
      <c r="C5620" s="7" t="s">
        <v>33</v>
      </c>
      <c r="D5620" s="7" t="s">
        <v>34</v>
      </c>
      <c r="E5620" s="7" t="s">
        <v>35</v>
      </c>
      <c r="F5620" s="0" t="n">
        <v>443.92</v>
      </c>
      <c r="G5620" s="0" t="n">
        <v>8.8784</v>
      </c>
      <c r="H5620" s="0" t="n">
        <v>0</v>
      </c>
      <c r="I5620" s="7" t="n">
        <f aca="false">YEAR(B5620)</f>
        <v>2015</v>
      </c>
      <c r="J5620" s="0" t="str">
        <f aca="false">I5620&amp;"-Q"&amp;ROUNDUP(MONTH(B5620)/3,0)</f>
        <v>2015-Q3</v>
      </c>
    </row>
    <row r="5621" customFormat="false" ht="15" hidden="false" customHeight="false" outlineLevel="0" collapsed="false">
      <c r="A5621" s="0" t="s">
        <v>2883</v>
      </c>
      <c r="B5621" s="6" t="n">
        <v>42638</v>
      </c>
      <c r="C5621" s="7" t="s">
        <v>45</v>
      </c>
      <c r="D5621" s="7" t="s">
        <v>48</v>
      </c>
      <c r="E5621" s="7" t="s">
        <v>39</v>
      </c>
      <c r="F5621" s="0" t="n">
        <v>499.95</v>
      </c>
      <c r="G5621" s="0" t="n">
        <v>174.9825</v>
      </c>
      <c r="H5621" s="0" t="n">
        <v>0</v>
      </c>
      <c r="I5621" s="7" t="n">
        <f aca="false">YEAR(B5621)</f>
        <v>2016</v>
      </c>
      <c r="J5621" s="0" t="str">
        <f aca="false">I5621&amp;"-Q"&amp;ROUNDUP(MONTH(B5621)/3,0)</f>
        <v>2016-Q3</v>
      </c>
    </row>
    <row r="5622" customFormat="false" ht="15" hidden="false" customHeight="false" outlineLevel="0" collapsed="false">
      <c r="A5622" s="0" t="s">
        <v>2883</v>
      </c>
      <c r="B5622" s="6" t="n">
        <v>42638</v>
      </c>
      <c r="C5622" s="7" t="s">
        <v>45</v>
      </c>
      <c r="D5622" s="7" t="s">
        <v>48</v>
      </c>
      <c r="E5622" s="7" t="s">
        <v>35</v>
      </c>
      <c r="F5622" s="0" t="n">
        <v>3.04</v>
      </c>
      <c r="G5622" s="0" t="n">
        <v>1.0336</v>
      </c>
      <c r="H5622" s="0" t="n">
        <v>0</v>
      </c>
      <c r="I5622" s="7" t="n">
        <f aca="false">YEAR(B5622)</f>
        <v>2016</v>
      </c>
      <c r="J5622" s="0" t="str">
        <f aca="false">I5622&amp;"-Q"&amp;ROUNDUP(MONTH(B5622)/3,0)</f>
        <v>2016-Q3</v>
      </c>
    </row>
    <row r="5623" customFormat="false" ht="15" hidden="false" customHeight="false" outlineLevel="0" collapsed="false">
      <c r="A5623" s="0" t="s">
        <v>2883</v>
      </c>
      <c r="B5623" s="6" t="n">
        <v>42638</v>
      </c>
      <c r="C5623" s="7" t="s">
        <v>45</v>
      </c>
      <c r="D5623" s="7" t="s">
        <v>48</v>
      </c>
      <c r="E5623" s="7" t="s">
        <v>31</v>
      </c>
      <c r="F5623" s="0" t="n">
        <v>201.96</v>
      </c>
      <c r="G5623" s="0" t="n">
        <v>50.49</v>
      </c>
      <c r="H5623" s="0" t="n">
        <v>0</v>
      </c>
      <c r="I5623" s="7" t="n">
        <f aca="false">YEAR(B5623)</f>
        <v>2016</v>
      </c>
      <c r="J5623" s="0" t="str">
        <f aca="false">I5623&amp;"-Q"&amp;ROUNDUP(MONTH(B5623)/3,0)</f>
        <v>2016-Q3</v>
      </c>
    </row>
    <row r="5624" customFormat="false" ht="15" hidden="false" customHeight="false" outlineLevel="0" collapsed="false">
      <c r="A5624" s="0" t="s">
        <v>2883</v>
      </c>
      <c r="B5624" s="6" t="n">
        <v>42638</v>
      </c>
      <c r="C5624" s="7" t="s">
        <v>45</v>
      </c>
      <c r="D5624" s="7" t="s">
        <v>48</v>
      </c>
      <c r="E5624" s="7" t="s">
        <v>31</v>
      </c>
      <c r="F5624" s="0" t="n">
        <v>68.64</v>
      </c>
      <c r="G5624" s="0" t="n">
        <v>17.16</v>
      </c>
      <c r="H5624" s="0" t="n">
        <v>0</v>
      </c>
      <c r="I5624" s="7" t="n">
        <f aca="false">YEAR(B5624)</f>
        <v>2016</v>
      </c>
      <c r="J5624" s="0" t="str">
        <f aca="false">I5624&amp;"-Q"&amp;ROUNDUP(MONTH(B5624)/3,0)</f>
        <v>2016-Q3</v>
      </c>
    </row>
    <row r="5625" customFormat="false" ht="15" hidden="false" customHeight="false" outlineLevel="0" collapsed="false">
      <c r="A5625" s="0" t="s">
        <v>2884</v>
      </c>
      <c r="B5625" s="6" t="n">
        <v>42667</v>
      </c>
      <c r="C5625" s="7" t="s">
        <v>33</v>
      </c>
      <c r="D5625" s="7" t="s">
        <v>34</v>
      </c>
      <c r="E5625" s="7" t="s">
        <v>39</v>
      </c>
      <c r="F5625" s="0" t="n">
        <v>100</v>
      </c>
      <c r="G5625" s="0" t="n">
        <v>21</v>
      </c>
      <c r="H5625" s="0" t="n">
        <v>0</v>
      </c>
      <c r="I5625" s="7" t="n">
        <f aca="false">YEAR(B5625)</f>
        <v>2016</v>
      </c>
      <c r="J5625" s="0" t="str">
        <f aca="false">I5625&amp;"-Q"&amp;ROUNDUP(MONTH(B5625)/3,0)</f>
        <v>2016-Q4</v>
      </c>
    </row>
    <row r="5626" customFormat="false" ht="15" hidden="false" customHeight="false" outlineLevel="0" collapsed="false">
      <c r="A5626" s="0" t="s">
        <v>2884</v>
      </c>
      <c r="B5626" s="6" t="n">
        <v>42667</v>
      </c>
      <c r="C5626" s="7" t="s">
        <v>33</v>
      </c>
      <c r="D5626" s="7" t="s">
        <v>34</v>
      </c>
      <c r="E5626" s="7" t="s">
        <v>39</v>
      </c>
      <c r="F5626" s="0" t="n">
        <v>359.98</v>
      </c>
      <c r="G5626" s="0" t="n">
        <v>21.5988</v>
      </c>
      <c r="H5626" s="0" t="n">
        <v>0</v>
      </c>
      <c r="I5626" s="7" t="n">
        <f aca="false">YEAR(B5626)</f>
        <v>2016</v>
      </c>
      <c r="J5626" s="0" t="str">
        <f aca="false">I5626&amp;"-Q"&amp;ROUNDUP(MONTH(B5626)/3,0)</f>
        <v>2016-Q4</v>
      </c>
    </row>
    <row r="5627" customFormat="false" ht="15" hidden="false" customHeight="false" outlineLevel="0" collapsed="false">
      <c r="A5627" s="0" t="s">
        <v>2885</v>
      </c>
      <c r="B5627" s="6" t="n">
        <v>41911</v>
      </c>
      <c r="C5627" s="7" t="s">
        <v>33</v>
      </c>
      <c r="D5627" s="7" t="s">
        <v>43</v>
      </c>
      <c r="E5627" s="7" t="s">
        <v>31</v>
      </c>
      <c r="F5627" s="0" t="n">
        <v>6.16</v>
      </c>
      <c r="G5627" s="0" t="n">
        <v>2.9568</v>
      </c>
      <c r="H5627" s="0" t="n">
        <v>0</v>
      </c>
      <c r="I5627" s="7" t="n">
        <f aca="false">YEAR(B5627)</f>
        <v>2014</v>
      </c>
      <c r="J5627" s="0" t="str">
        <f aca="false">I5627&amp;"-Q"&amp;ROUNDUP(MONTH(B5627)/3,0)</f>
        <v>2014-Q3</v>
      </c>
    </row>
    <row r="5628" customFormat="false" ht="15" hidden="false" customHeight="false" outlineLevel="0" collapsed="false">
      <c r="A5628" s="0" t="s">
        <v>2885</v>
      </c>
      <c r="B5628" s="6" t="n">
        <v>41911</v>
      </c>
      <c r="C5628" s="7" t="s">
        <v>33</v>
      </c>
      <c r="D5628" s="7" t="s">
        <v>43</v>
      </c>
      <c r="E5628" s="7" t="s">
        <v>31</v>
      </c>
      <c r="F5628" s="0" t="n">
        <v>2348.82</v>
      </c>
      <c r="G5628" s="0" t="n">
        <v>399.2994</v>
      </c>
      <c r="H5628" s="0" t="n">
        <v>0</v>
      </c>
      <c r="I5628" s="7" t="n">
        <f aca="false">YEAR(B5628)</f>
        <v>2014</v>
      </c>
      <c r="J5628" s="0" t="str">
        <f aca="false">I5628&amp;"-Q"&amp;ROUNDUP(MONTH(B5628)/3,0)</f>
        <v>2014-Q3</v>
      </c>
    </row>
    <row r="5629" customFormat="false" ht="15" hidden="false" customHeight="false" outlineLevel="0" collapsed="false">
      <c r="A5629" s="0" t="s">
        <v>2886</v>
      </c>
      <c r="B5629" s="6" t="n">
        <v>42912</v>
      </c>
      <c r="C5629" s="7" t="s">
        <v>29</v>
      </c>
      <c r="D5629" s="7" t="s">
        <v>37</v>
      </c>
      <c r="E5629" s="7" t="s">
        <v>35</v>
      </c>
      <c r="F5629" s="0" t="n">
        <v>13.872</v>
      </c>
      <c r="G5629" s="0" t="n">
        <v>4.6818</v>
      </c>
      <c r="H5629" s="0" t="n">
        <v>0.2</v>
      </c>
      <c r="I5629" s="7" t="n">
        <f aca="false">YEAR(B5629)</f>
        <v>2017</v>
      </c>
      <c r="J5629" s="0" t="str">
        <f aca="false">I5629&amp;"-Q"&amp;ROUNDUP(MONTH(B5629)/3,0)</f>
        <v>2017-Q2</v>
      </c>
    </row>
    <row r="5630" customFormat="false" ht="15" hidden="false" customHeight="false" outlineLevel="0" collapsed="false">
      <c r="A5630" s="0" t="s">
        <v>2886</v>
      </c>
      <c r="B5630" s="6" t="n">
        <v>42912</v>
      </c>
      <c r="C5630" s="7" t="s">
        <v>29</v>
      </c>
      <c r="D5630" s="7" t="s">
        <v>37</v>
      </c>
      <c r="E5630" s="7" t="s">
        <v>31</v>
      </c>
      <c r="F5630" s="0" t="n">
        <v>273.552</v>
      </c>
      <c r="G5630" s="0" t="n">
        <v>-13.6776</v>
      </c>
      <c r="H5630" s="0" t="n">
        <v>0.2</v>
      </c>
      <c r="I5630" s="7" t="n">
        <f aca="false">YEAR(B5630)</f>
        <v>2017</v>
      </c>
      <c r="J5630" s="0" t="str">
        <f aca="false">I5630&amp;"-Q"&amp;ROUNDUP(MONTH(B5630)/3,0)</f>
        <v>2017-Q2</v>
      </c>
    </row>
    <row r="5631" customFormat="false" ht="15" hidden="false" customHeight="false" outlineLevel="0" collapsed="false">
      <c r="A5631" s="0" t="s">
        <v>2887</v>
      </c>
      <c r="B5631" s="6" t="n">
        <v>42603</v>
      </c>
      <c r="C5631" s="7" t="s">
        <v>55</v>
      </c>
      <c r="D5631" s="7" t="s">
        <v>56</v>
      </c>
      <c r="E5631" s="7" t="s">
        <v>31</v>
      </c>
      <c r="F5631" s="0" t="n">
        <v>815.292</v>
      </c>
      <c r="G5631" s="0" t="n">
        <v>-339.705</v>
      </c>
      <c r="H5631" s="0" t="n">
        <v>0.4</v>
      </c>
      <c r="I5631" s="7" t="n">
        <f aca="false">YEAR(B5631)</f>
        <v>2016</v>
      </c>
      <c r="J5631" s="0" t="str">
        <f aca="false">I5631&amp;"-Q"&amp;ROUNDUP(MONTH(B5631)/3,0)</f>
        <v>2016-Q3</v>
      </c>
    </row>
    <row r="5632" customFormat="false" ht="15" hidden="false" customHeight="false" outlineLevel="0" collapsed="false">
      <c r="A5632" s="0" t="s">
        <v>2888</v>
      </c>
      <c r="B5632" s="6" t="n">
        <v>41681</v>
      </c>
      <c r="C5632" s="7" t="s">
        <v>29</v>
      </c>
      <c r="D5632" s="7" t="s">
        <v>83</v>
      </c>
      <c r="E5632" s="7" t="s">
        <v>39</v>
      </c>
      <c r="F5632" s="0" t="n">
        <v>234.45</v>
      </c>
      <c r="G5632" s="0" t="n">
        <v>103.158</v>
      </c>
      <c r="H5632" s="0" t="n">
        <v>0</v>
      </c>
      <c r="I5632" s="7" t="n">
        <f aca="false">YEAR(B5632)</f>
        <v>2014</v>
      </c>
      <c r="J5632" s="0" t="str">
        <f aca="false">I5632&amp;"-Q"&amp;ROUNDUP(MONTH(B5632)/3,0)</f>
        <v>2014-Q1</v>
      </c>
    </row>
    <row r="5633" customFormat="false" ht="15" hidden="false" customHeight="false" outlineLevel="0" collapsed="false">
      <c r="A5633" s="0" t="s">
        <v>2888</v>
      </c>
      <c r="B5633" s="6" t="n">
        <v>41681</v>
      </c>
      <c r="C5633" s="7" t="s">
        <v>29</v>
      </c>
      <c r="D5633" s="7" t="s">
        <v>83</v>
      </c>
      <c r="E5633" s="7" t="s">
        <v>31</v>
      </c>
      <c r="F5633" s="0" t="n">
        <v>1256.22</v>
      </c>
      <c r="G5633" s="0" t="n">
        <v>75.3732</v>
      </c>
      <c r="H5633" s="0" t="n">
        <v>0</v>
      </c>
      <c r="I5633" s="7" t="n">
        <f aca="false">YEAR(B5633)</f>
        <v>2014</v>
      </c>
      <c r="J5633" s="0" t="str">
        <f aca="false">I5633&amp;"-Q"&amp;ROUNDUP(MONTH(B5633)/3,0)</f>
        <v>2014-Q1</v>
      </c>
    </row>
    <row r="5634" customFormat="false" ht="15" hidden="false" customHeight="false" outlineLevel="0" collapsed="false">
      <c r="A5634" s="0" t="s">
        <v>2888</v>
      </c>
      <c r="B5634" s="6" t="n">
        <v>41681</v>
      </c>
      <c r="C5634" s="7" t="s">
        <v>29</v>
      </c>
      <c r="D5634" s="7" t="s">
        <v>83</v>
      </c>
      <c r="E5634" s="7" t="s">
        <v>35</v>
      </c>
      <c r="F5634" s="0" t="n">
        <v>17.46</v>
      </c>
      <c r="G5634" s="0" t="n">
        <v>8.2062</v>
      </c>
      <c r="H5634" s="0" t="n">
        <v>0</v>
      </c>
      <c r="I5634" s="7" t="n">
        <f aca="false">YEAR(B5634)</f>
        <v>2014</v>
      </c>
      <c r="J5634" s="0" t="str">
        <f aca="false">I5634&amp;"-Q"&amp;ROUNDUP(MONTH(B5634)/3,0)</f>
        <v>2014-Q1</v>
      </c>
    </row>
    <row r="5635" customFormat="false" ht="15" hidden="false" customHeight="false" outlineLevel="0" collapsed="false">
      <c r="A5635" s="0" t="s">
        <v>2889</v>
      </c>
      <c r="B5635" s="6" t="n">
        <v>42636</v>
      </c>
      <c r="C5635" s="7" t="s">
        <v>55</v>
      </c>
      <c r="D5635" s="7" t="s">
        <v>76</v>
      </c>
      <c r="E5635" s="7" t="s">
        <v>35</v>
      </c>
      <c r="F5635" s="0" t="n">
        <v>10.528</v>
      </c>
      <c r="G5635" s="0" t="n">
        <v>3.6848</v>
      </c>
      <c r="H5635" s="0" t="n">
        <v>0.2</v>
      </c>
      <c r="I5635" s="7" t="n">
        <f aca="false">YEAR(B5635)</f>
        <v>2016</v>
      </c>
      <c r="J5635" s="0" t="str">
        <f aca="false">I5635&amp;"-Q"&amp;ROUNDUP(MONTH(B5635)/3,0)</f>
        <v>2016-Q3</v>
      </c>
    </row>
    <row r="5636" customFormat="false" ht="15" hidden="false" customHeight="false" outlineLevel="0" collapsed="false">
      <c r="A5636" s="0" t="s">
        <v>2890</v>
      </c>
      <c r="B5636" s="6" t="n">
        <v>42343</v>
      </c>
      <c r="C5636" s="7" t="s">
        <v>45</v>
      </c>
      <c r="D5636" s="7" t="s">
        <v>70</v>
      </c>
      <c r="E5636" s="7" t="s">
        <v>35</v>
      </c>
      <c r="F5636" s="0" t="n">
        <v>152.8</v>
      </c>
      <c r="G5636" s="0" t="n">
        <v>76.4</v>
      </c>
      <c r="H5636" s="0" t="n">
        <v>0</v>
      </c>
      <c r="I5636" s="7" t="n">
        <f aca="false">YEAR(B5636)</f>
        <v>2015</v>
      </c>
      <c r="J5636" s="0" t="str">
        <f aca="false">I5636&amp;"-Q"&amp;ROUNDUP(MONTH(B5636)/3,0)</f>
        <v>2015-Q4</v>
      </c>
    </row>
    <row r="5637" customFormat="false" ht="15" hidden="false" customHeight="false" outlineLevel="0" collapsed="false">
      <c r="A5637" s="0" t="s">
        <v>2891</v>
      </c>
      <c r="B5637" s="6" t="n">
        <v>42981</v>
      </c>
      <c r="C5637" s="7" t="s">
        <v>33</v>
      </c>
      <c r="D5637" s="7" t="s">
        <v>34</v>
      </c>
      <c r="E5637" s="7" t="s">
        <v>35</v>
      </c>
      <c r="F5637" s="0" t="n">
        <v>82.56</v>
      </c>
      <c r="G5637" s="0" t="n">
        <v>28.896</v>
      </c>
      <c r="H5637" s="0" t="n">
        <v>0.2</v>
      </c>
      <c r="I5637" s="7" t="n">
        <f aca="false">YEAR(B5637)</f>
        <v>2017</v>
      </c>
      <c r="J5637" s="0" t="str">
        <f aca="false">I5637&amp;"-Q"&amp;ROUNDUP(MONTH(B5637)/3,0)</f>
        <v>2017-Q3</v>
      </c>
    </row>
    <row r="5638" customFormat="false" ht="15" hidden="false" customHeight="false" outlineLevel="0" collapsed="false">
      <c r="A5638" s="0" t="s">
        <v>2891</v>
      </c>
      <c r="B5638" s="6" t="n">
        <v>42981</v>
      </c>
      <c r="C5638" s="7" t="s">
        <v>33</v>
      </c>
      <c r="D5638" s="7" t="s">
        <v>34</v>
      </c>
      <c r="E5638" s="7" t="s">
        <v>39</v>
      </c>
      <c r="F5638" s="0" t="n">
        <v>284.97</v>
      </c>
      <c r="G5638" s="0" t="n">
        <v>85.491</v>
      </c>
      <c r="H5638" s="0" t="n">
        <v>0</v>
      </c>
      <c r="I5638" s="7" t="n">
        <f aca="false">YEAR(B5638)</f>
        <v>2017</v>
      </c>
      <c r="J5638" s="0" t="str">
        <f aca="false">I5638&amp;"-Q"&amp;ROUNDUP(MONTH(B5638)/3,0)</f>
        <v>2017-Q3</v>
      </c>
    </row>
    <row r="5639" customFormat="false" ht="15" hidden="false" customHeight="false" outlineLevel="0" collapsed="false">
      <c r="A5639" s="0" t="s">
        <v>2892</v>
      </c>
      <c r="B5639" s="6" t="n">
        <v>42820</v>
      </c>
      <c r="C5639" s="7" t="s">
        <v>45</v>
      </c>
      <c r="D5639" s="7" t="s">
        <v>70</v>
      </c>
      <c r="E5639" s="7" t="s">
        <v>31</v>
      </c>
      <c r="F5639" s="0" t="n">
        <v>60.84</v>
      </c>
      <c r="G5639" s="0" t="n">
        <v>23.1192</v>
      </c>
      <c r="H5639" s="0" t="n">
        <v>0</v>
      </c>
      <c r="I5639" s="7" t="n">
        <f aca="false">YEAR(B5639)</f>
        <v>2017</v>
      </c>
      <c r="J5639" s="0" t="str">
        <f aca="false">I5639&amp;"-Q"&amp;ROUNDUP(MONTH(B5639)/3,0)</f>
        <v>2017-Q1</v>
      </c>
    </row>
    <row r="5640" customFormat="false" ht="15" hidden="false" customHeight="false" outlineLevel="0" collapsed="false">
      <c r="A5640" s="0" t="s">
        <v>2893</v>
      </c>
      <c r="B5640" s="6" t="n">
        <v>41994</v>
      </c>
      <c r="C5640" s="7" t="s">
        <v>33</v>
      </c>
      <c r="D5640" s="7" t="s">
        <v>34</v>
      </c>
      <c r="E5640" s="7" t="s">
        <v>31</v>
      </c>
      <c r="F5640" s="0" t="n">
        <v>1325.76</v>
      </c>
      <c r="G5640" s="0" t="n">
        <v>149.148</v>
      </c>
      <c r="H5640" s="0" t="n">
        <v>0.2</v>
      </c>
      <c r="I5640" s="7" t="n">
        <f aca="false">YEAR(B5640)</f>
        <v>2014</v>
      </c>
      <c r="J5640" s="0" t="str">
        <f aca="false">I5640&amp;"-Q"&amp;ROUNDUP(MONTH(B5640)/3,0)</f>
        <v>2014-Q4</v>
      </c>
    </row>
    <row r="5641" customFormat="false" ht="15" hidden="false" customHeight="false" outlineLevel="0" collapsed="false">
      <c r="A5641" s="0" t="s">
        <v>2893</v>
      </c>
      <c r="B5641" s="6" t="n">
        <v>41994</v>
      </c>
      <c r="C5641" s="7" t="s">
        <v>33</v>
      </c>
      <c r="D5641" s="7" t="s">
        <v>34</v>
      </c>
      <c r="E5641" s="7" t="s">
        <v>31</v>
      </c>
      <c r="F5641" s="0" t="n">
        <v>572.16</v>
      </c>
      <c r="G5641" s="0" t="n">
        <v>35.76</v>
      </c>
      <c r="H5641" s="0" t="n">
        <v>0.2</v>
      </c>
      <c r="I5641" s="7" t="n">
        <f aca="false">YEAR(B5641)</f>
        <v>2014</v>
      </c>
      <c r="J5641" s="0" t="str">
        <f aca="false">I5641&amp;"-Q"&amp;ROUNDUP(MONTH(B5641)/3,0)</f>
        <v>2014-Q4</v>
      </c>
    </row>
    <row r="5642" customFormat="false" ht="15" hidden="false" customHeight="false" outlineLevel="0" collapsed="false">
      <c r="A5642" s="0" t="s">
        <v>2894</v>
      </c>
      <c r="B5642" s="6" t="n">
        <v>41905</v>
      </c>
      <c r="C5642" s="7" t="s">
        <v>55</v>
      </c>
      <c r="D5642" s="7" t="s">
        <v>116</v>
      </c>
      <c r="E5642" s="7" t="s">
        <v>35</v>
      </c>
      <c r="F5642" s="0" t="n">
        <v>28.8</v>
      </c>
      <c r="G5642" s="0" t="n">
        <v>10.08</v>
      </c>
      <c r="H5642" s="0" t="n">
        <v>0.2</v>
      </c>
      <c r="I5642" s="7" t="n">
        <f aca="false">YEAR(B5642)</f>
        <v>2014</v>
      </c>
      <c r="J5642" s="0" t="str">
        <f aca="false">I5642&amp;"-Q"&amp;ROUNDUP(MONTH(B5642)/3,0)</f>
        <v>2014-Q3</v>
      </c>
    </row>
    <row r="5643" customFormat="false" ht="15" hidden="false" customHeight="false" outlineLevel="0" collapsed="false">
      <c r="A5643" s="0" t="s">
        <v>2895</v>
      </c>
      <c r="B5643" s="6" t="n">
        <v>42827</v>
      </c>
      <c r="C5643" s="7" t="s">
        <v>55</v>
      </c>
      <c r="D5643" s="7" t="s">
        <v>154</v>
      </c>
      <c r="E5643" s="7" t="s">
        <v>35</v>
      </c>
      <c r="F5643" s="0" t="n">
        <v>11.12</v>
      </c>
      <c r="G5643" s="0" t="n">
        <v>2.8912</v>
      </c>
      <c r="H5643" s="0" t="n">
        <v>0</v>
      </c>
      <c r="I5643" s="7" t="n">
        <f aca="false">YEAR(B5643)</f>
        <v>2017</v>
      </c>
      <c r="J5643" s="0" t="str">
        <f aca="false">I5643&amp;"-Q"&amp;ROUNDUP(MONTH(B5643)/3,0)</f>
        <v>2017-Q2</v>
      </c>
    </row>
    <row r="5644" customFormat="false" ht="15" hidden="false" customHeight="false" outlineLevel="0" collapsed="false">
      <c r="A5644" s="0" t="s">
        <v>2896</v>
      </c>
      <c r="B5644" s="6" t="n">
        <v>42461</v>
      </c>
      <c r="C5644" s="7" t="s">
        <v>29</v>
      </c>
      <c r="D5644" s="7" t="s">
        <v>230</v>
      </c>
      <c r="E5644" s="7" t="s">
        <v>31</v>
      </c>
      <c r="F5644" s="0" t="n">
        <v>7.04</v>
      </c>
      <c r="G5644" s="0" t="n">
        <v>3.0976</v>
      </c>
      <c r="H5644" s="0" t="n">
        <v>0</v>
      </c>
      <c r="I5644" s="7" t="n">
        <f aca="false">YEAR(B5644)</f>
        <v>2016</v>
      </c>
      <c r="J5644" s="0" t="str">
        <f aca="false">I5644&amp;"-Q"&amp;ROUNDUP(MONTH(B5644)/3,0)</f>
        <v>2016-Q2</v>
      </c>
    </row>
    <row r="5645" customFormat="false" ht="15" hidden="false" customHeight="false" outlineLevel="0" collapsed="false">
      <c r="A5645" s="0" t="s">
        <v>2897</v>
      </c>
      <c r="B5645" s="6" t="n">
        <v>42139</v>
      </c>
      <c r="C5645" s="7" t="s">
        <v>29</v>
      </c>
      <c r="D5645" s="7" t="s">
        <v>230</v>
      </c>
      <c r="E5645" s="7" t="s">
        <v>35</v>
      </c>
      <c r="F5645" s="0" t="n">
        <v>17.94</v>
      </c>
      <c r="G5645" s="0" t="n">
        <v>8.7906</v>
      </c>
      <c r="H5645" s="0" t="n">
        <v>0</v>
      </c>
      <c r="I5645" s="7" t="n">
        <f aca="false">YEAR(B5645)</f>
        <v>2015</v>
      </c>
      <c r="J5645" s="0" t="str">
        <f aca="false">I5645&amp;"-Q"&amp;ROUNDUP(MONTH(B5645)/3,0)</f>
        <v>2015-Q2</v>
      </c>
    </row>
    <row r="5646" customFormat="false" ht="15" hidden="false" customHeight="false" outlineLevel="0" collapsed="false">
      <c r="A5646" s="0" t="s">
        <v>2898</v>
      </c>
      <c r="B5646" s="6" t="n">
        <v>42817</v>
      </c>
      <c r="C5646" s="7" t="s">
        <v>33</v>
      </c>
      <c r="D5646" s="7" t="s">
        <v>43</v>
      </c>
      <c r="E5646" s="7" t="s">
        <v>35</v>
      </c>
      <c r="F5646" s="0" t="n">
        <v>34.76</v>
      </c>
      <c r="G5646" s="0" t="n">
        <v>11.297</v>
      </c>
      <c r="H5646" s="0" t="n">
        <v>0.2</v>
      </c>
      <c r="I5646" s="7" t="n">
        <f aca="false">YEAR(B5646)</f>
        <v>2017</v>
      </c>
      <c r="J5646" s="0" t="str">
        <f aca="false">I5646&amp;"-Q"&amp;ROUNDUP(MONTH(B5646)/3,0)</f>
        <v>2017-Q1</v>
      </c>
    </row>
    <row r="5647" customFormat="false" ht="15" hidden="false" customHeight="false" outlineLevel="0" collapsed="false">
      <c r="A5647" s="0" t="s">
        <v>2899</v>
      </c>
      <c r="B5647" s="6" t="n">
        <v>42839</v>
      </c>
      <c r="C5647" s="7" t="s">
        <v>55</v>
      </c>
      <c r="D5647" s="7" t="s">
        <v>161</v>
      </c>
      <c r="E5647" s="7" t="s">
        <v>31</v>
      </c>
      <c r="F5647" s="0" t="n">
        <v>74.45</v>
      </c>
      <c r="G5647" s="0" t="n">
        <v>20.1015</v>
      </c>
      <c r="H5647" s="0" t="n">
        <v>0</v>
      </c>
      <c r="I5647" s="7" t="n">
        <f aca="false">YEAR(B5647)</f>
        <v>2017</v>
      </c>
      <c r="J5647" s="0" t="str">
        <f aca="false">I5647&amp;"-Q"&amp;ROUNDUP(MONTH(B5647)/3,0)</f>
        <v>2017-Q2</v>
      </c>
    </row>
    <row r="5648" customFormat="false" ht="15" hidden="false" customHeight="false" outlineLevel="0" collapsed="false">
      <c r="A5648" s="0" t="s">
        <v>2900</v>
      </c>
      <c r="B5648" s="6" t="n">
        <v>42008</v>
      </c>
      <c r="C5648" s="7" t="s">
        <v>29</v>
      </c>
      <c r="D5648" s="7" t="s">
        <v>83</v>
      </c>
      <c r="E5648" s="7" t="s">
        <v>31</v>
      </c>
      <c r="F5648" s="0" t="n">
        <v>192.22</v>
      </c>
      <c r="G5648" s="0" t="n">
        <v>69.1992</v>
      </c>
      <c r="H5648" s="0" t="n">
        <v>0</v>
      </c>
      <c r="I5648" s="7" t="n">
        <f aca="false">YEAR(B5648)</f>
        <v>2015</v>
      </c>
      <c r="J5648" s="0" t="str">
        <f aca="false">I5648&amp;"-Q"&amp;ROUNDUP(MONTH(B5648)/3,0)</f>
        <v>2015-Q1</v>
      </c>
    </row>
    <row r="5649" customFormat="false" ht="15" hidden="false" customHeight="false" outlineLevel="0" collapsed="false">
      <c r="A5649" s="0" t="s">
        <v>2901</v>
      </c>
      <c r="B5649" s="6" t="n">
        <v>43041</v>
      </c>
      <c r="C5649" s="7" t="s">
        <v>33</v>
      </c>
      <c r="D5649" s="7" t="s">
        <v>50</v>
      </c>
      <c r="E5649" s="7" t="s">
        <v>35</v>
      </c>
      <c r="F5649" s="0" t="n">
        <v>19.44</v>
      </c>
      <c r="G5649" s="0" t="n">
        <v>9.3312</v>
      </c>
      <c r="H5649" s="0" t="n">
        <v>0</v>
      </c>
      <c r="I5649" s="7" t="n">
        <f aca="false">YEAR(B5649)</f>
        <v>2017</v>
      </c>
      <c r="J5649" s="0" t="str">
        <f aca="false">I5649&amp;"-Q"&amp;ROUNDUP(MONTH(B5649)/3,0)</f>
        <v>2017-Q4</v>
      </c>
    </row>
    <row r="5650" customFormat="false" ht="15" hidden="false" customHeight="false" outlineLevel="0" collapsed="false">
      <c r="A5650" s="0" t="s">
        <v>2902</v>
      </c>
      <c r="B5650" s="6" t="n">
        <v>42933</v>
      </c>
      <c r="C5650" s="7" t="s">
        <v>33</v>
      </c>
      <c r="D5650" s="7" t="s">
        <v>34</v>
      </c>
      <c r="E5650" s="7" t="s">
        <v>35</v>
      </c>
      <c r="F5650" s="0" t="n">
        <v>32.4</v>
      </c>
      <c r="G5650" s="0" t="n">
        <v>15.552</v>
      </c>
      <c r="H5650" s="0" t="n">
        <v>0</v>
      </c>
      <c r="I5650" s="7" t="n">
        <f aca="false">YEAR(B5650)</f>
        <v>2017</v>
      </c>
      <c r="J5650" s="0" t="str">
        <f aca="false">I5650&amp;"-Q"&amp;ROUNDUP(MONTH(B5650)/3,0)</f>
        <v>2017-Q3</v>
      </c>
    </row>
    <row r="5651" customFormat="false" ht="15" hidden="false" customHeight="false" outlineLevel="0" collapsed="false">
      <c r="A5651" s="0" t="s">
        <v>2902</v>
      </c>
      <c r="B5651" s="6" t="n">
        <v>42933</v>
      </c>
      <c r="C5651" s="7" t="s">
        <v>33</v>
      </c>
      <c r="D5651" s="7" t="s">
        <v>34</v>
      </c>
      <c r="E5651" s="7" t="s">
        <v>35</v>
      </c>
      <c r="F5651" s="0" t="n">
        <v>57.9</v>
      </c>
      <c r="G5651" s="0" t="n">
        <v>28.95</v>
      </c>
      <c r="H5651" s="0" t="n">
        <v>0</v>
      </c>
      <c r="I5651" s="7" t="n">
        <f aca="false">YEAR(B5651)</f>
        <v>2017</v>
      </c>
      <c r="J5651" s="0" t="str">
        <f aca="false">I5651&amp;"-Q"&amp;ROUNDUP(MONTH(B5651)/3,0)</f>
        <v>2017-Q3</v>
      </c>
    </row>
    <row r="5652" customFormat="false" ht="15" hidden="false" customHeight="false" outlineLevel="0" collapsed="false">
      <c r="A5652" s="0" t="s">
        <v>2902</v>
      </c>
      <c r="B5652" s="6" t="n">
        <v>42933</v>
      </c>
      <c r="C5652" s="7" t="s">
        <v>33</v>
      </c>
      <c r="D5652" s="7" t="s">
        <v>34</v>
      </c>
      <c r="E5652" s="7" t="s">
        <v>35</v>
      </c>
      <c r="F5652" s="0" t="n">
        <v>10.56</v>
      </c>
      <c r="G5652" s="0" t="n">
        <v>0</v>
      </c>
      <c r="H5652" s="0" t="n">
        <v>0</v>
      </c>
      <c r="I5652" s="7" t="n">
        <f aca="false">YEAR(B5652)</f>
        <v>2017</v>
      </c>
      <c r="J5652" s="0" t="str">
        <f aca="false">I5652&amp;"-Q"&amp;ROUNDUP(MONTH(B5652)/3,0)</f>
        <v>2017-Q3</v>
      </c>
    </row>
    <row r="5653" customFormat="false" ht="15" hidden="false" customHeight="false" outlineLevel="0" collapsed="false">
      <c r="A5653" s="0" t="s">
        <v>2902</v>
      </c>
      <c r="B5653" s="6" t="n">
        <v>42933</v>
      </c>
      <c r="C5653" s="7" t="s">
        <v>33</v>
      </c>
      <c r="D5653" s="7" t="s">
        <v>34</v>
      </c>
      <c r="E5653" s="7" t="s">
        <v>31</v>
      </c>
      <c r="F5653" s="0" t="n">
        <v>1194.165</v>
      </c>
      <c r="G5653" s="0" t="n">
        <v>210.735</v>
      </c>
      <c r="H5653" s="0" t="n">
        <v>0.15</v>
      </c>
      <c r="I5653" s="7" t="n">
        <f aca="false">YEAR(B5653)</f>
        <v>2017</v>
      </c>
      <c r="J5653" s="0" t="str">
        <f aca="false">I5653&amp;"-Q"&amp;ROUNDUP(MONTH(B5653)/3,0)</f>
        <v>2017-Q3</v>
      </c>
    </row>
    <row r="5654" customFormat="false" ht="15" hidden="false" customHeight="false" outlineLevel="0" collapsed="false">
      <c r="A5654" s="0" t="s">
        <v>2903</v>
      </c>
      <c r="B5654" s="6" t="n">
        <v>43014</v>
      </c>
      <c r="C5654" s="7" t="s">
        <v>55</v>
      </c>
      <c r="D5654" s="7" t="s">
        <v>76</v>
      </c>
      <c r="E5654" s="7" t="s">
        <v>35</v>
      </c>
      <c r="F5654" s="0" t="n">
        <v>40.99</v>
      </c>
      <c r="G5654" s="0" t="n">
        <v>20.0851</v>
      </c>
      <c r="H5654" s="0" t="n">
        <v>0</v>
      </c>
      <c r="I5654" s="7" t="n">
        <f aca="false">YEAR(B5654)</f>
        <v>2017</v>
      </c>
      <c r="J5654" s="0" t="str">
        <f aca="false">I5654&amp;"-Q"&amp;ROUNDUP(MONTH(B5654)/3,0)</f>
        <v>2017-Q4</v>
      </c>
    </row>
    <row r="5655" customFormat="false" ht="15" hidden="false" customHeight="false" outlineLevel="0" collapsed="false">
      <c r="A5655" s="0" t="s">
        <v>2904</v>
      </c>
      <c r="B5655" s="6" t="n">
        <v>41947</v>
      </c>
      <c r="C5655" s="7" t="s">
        <v>33</v>
      </c>
      <c r="D5655" s="7" t="s">
        <v>34</v>
      </c>
      <c r="E5655" s="7" t="s">
        <v>35</v>
      </c>
      <c r="F5655" s="0" t="n">
        <v>2.94</v>
      </c>
      <c r="G5655" s="0" t="n">
        <v>0.7938</v>
      </c>
      <c r="H5655" s="0" t="n">
        <v>0</v>
      </c>
      <c r="I5655" s="7" t="n">
        <f aca="false">YEAR(B5655)</f>
        <v>2014</v>
      </c>
      <c r="J5655" s="0" t="str">
        <f aca="false">I5655&amp;"-Q"&amp;ROUNDUP(MONTH(B5655)/3,0)</f>
        <v>2014-Q4</v>
      </c>
    </row>
    <row r="5656" customFormat="false" ht="15" hidden="false" customHeight="false" outlineLevel="0" collapsed="false">
      <c r="A5656" s="0" t="s">
        <v>2905</v>
      </c>
      <c r="B5656" s="6" t="n">
        <v>42722</v>
      </c>
      <c r="C5656" s="7" t="s">
        <v>33</v>
      </c>
      <c r="D5656" s="7" t="s">
        <v>102</v>
      </c>
      <c r="E5656" s="7" t="s">
        <v>35</v>
      </c>
      <c r="F5656" s="0" t="n">
        <v>45.24</v>
      </c>
      <c r="G5656" s="0" t="n">
        <v>-30.16</v>
      </c>
      <c r="H5656" s="0" t="n">
        <v>0.7</v>
      </c>
      <c r="I5656" s="7" t="n">
        <f aca="false">YEAR(B5656)</f>
        <v>2016</v>
      </c>
      <c r="J5656" s="0" t="str">
        <f aca="false">I5656&amp;"-Q"&amp;ROUNDUP(MONTH(B5656)/3,0)</f>
        <v>2016-Q4</v>
      </c>
    </row>
    <row r="5657" customFormat="false" ht="15" hidden="false" customHeight="false" outlineLevel="0" collapsed="false">
      <c r="A5657" s="0" t="s">
        <v>2905</v>
      </c>
      <c r="B5657" s="6" t="n">
        <v>42722</v>
      </c>
      <c r="C5657" s="7" t="s">
        <v>33</v>
      </c>
      <c r="D5657" s="7" t="s">
        <v>102</v>
      </c>
      <c r="E5657" s="7" t="s">
        <v>35</v>
      </c>
      <c r="F5657" s="0" t="n">
        <v>18.688</v>
      </c>
      <c r="G5657" s="0" t="n">
        <v>2.336</v>
      </c>
      <c r="H5657" s="0" t="n">
        <v>0.2</v>
      </c>
      <c r="I5657" s="7" t="n">
        <f aca="false">YEAR(B5657)</f>
        <v>2016</v>
      </c>
      <c r="J5657" s="0" t="str">
        <f aca="false">I5657&amp;"-Q"&amp;ROUNDUP(MONTH(B5657)/3,0)</f>
        <v>2016-Q4</v>
      </c>
    </row>
    <row r="5658" customFormat="false" ht="15" hidden="false" customHeight="false" outlineLevel="0" collapsed="false">
      <c r="A5658" s="0" t="s">
        <v>2905</v>
      </c>
      <c r="B5658" s="6" t="n">
        <v>42722</v>
      </c>
      <c r="C5658" s="7" t="s">
        <v>33</v>
      </c>
      <c r="D5658" s="7" t="s">
        <v>102</v>
      </c>
      <c r="E5658" s="7" t="s">
        <v>35</v>
      </c>
      <c r="F5658" s="0" t="n">
        <v>11.648</v>
      </c>
      <c r="G5658" s="0" t="n">
        <v>3.7856</v>
      </c>
      <c r="H5658" s="0" t="n">
        <v>0.2</v>
      </c>
      <c r="I5658" s="7" t="n">
        <f aca="false">YEAR(B5658)</f>
        <v>2016</v>
      </c>
      <c r="J5658" s="0" t="str">
        <f aca="false">I5658&amp;"-Q"&amp;ROUNDUP(MONTH(B5658)/3,0)</f>
        <v>2016-Q4</v>
      </c>
    </row>
    <row r="5659" customFormat="false" ht="15" hidden="false" customHeight="false" outlineLevel="0" collapsed="false">
      <c r="A5659" s="0" t="s">
        <v>2905</v>
      </c>
      <c r="B5659" s="6" t="n">
        <v>42722</v>
      </c>
      <c r="C5659" s="7" t="s">
        <v>33</v>
      </c>
      <c r="D5659" s="7" t="s">
        <v>102</v>
      </c>
      <c r="E5659" s="7" t="s">
        <v>39</v>
      </c>
      <c r="F5659" s="0" t="n">
        <v>112.776</v>
      </c>
      <c r="G5659" s="0" t="n">
        <v>-8.4582</v>
      </c>
      <c r="H5659" s="0" t="n">
        <v>0.2</v>
      </c>
      <c r="I5659" s="7" t="n">
        <f aca="false">YEAR(B5659)</f>
        <v>2016</v>
      </c>
      <c r="J5659" s="0" t="str">
        <f aca="false">I5659&amp;"-Q"&amp;ROUNDUP(MONTH(B5659)/3,0)</f>
        <v>2016-Q4</v>
      </c>
    </row>
    <row r="5660" customFormat="false" ht="15" hidden="false" customHeight="false" outlineLevel="0" collapsed="false">
      <c r="A5660" s="0" t="s">
        <v>2905</v>
      </c>
      <c r="B5660" s="6" t="n">
        <v>42722</v>
      </c>
      <c r="C5660" s="7" t="s">
        <v>33</v>
      </c>
      <c r="D5660" s="7" t="s">
        <v>102</v>
      </c>
      <c r="E5660" s="7" t="s">
        <v>31</v>
      </c>
      <c r="F5660" s="0" t="n">
        <v>377.45</v>
      </c>
      <c r="G5660" s="0" t="n">
        <v>-264.215</v>
      </c>
      <c r="H5660" s="0" t="n">
        <v>0.5</v>
      </c>
      <c r="I5660" s="7" t="n">
        <f aca="false">YEAR(B5660)</f>
        <v>2016</v>
      </c>
      <c r="J5660" s="0" t="str">
        <f aca="false">I5660&amp;"-Q"&amp;ROUNDUP(MONTH(B5660)/3,0)</f>
        <v>2016-Q4</v>
      </c>
    </row>
    <row r="5661" customFormat="false" ht="15" hidden="false" customHeight="false" outlineLevel="0" collapsed="false">
      <c r="A5661" s="0" t="s">
        <v>2905</v>
      </c>
      <c r="B5661" s="6" t="n">
        <v>42722</v>
      </c>
      <c r="C5661" s="7" t="s">
        <v>33</v>
      </c>
      <c r="D5661" s="7" t="s">
        <v>102</v>
      </c>
      <c r="E5661" s="7" t="s">
        <v>35</v>
      </c>
      <c r="F5661" s="0" t="n">
        <v>15.936</v>
      </c>
      <c r="G5661" s="0" t="n">
        <v>5.1792</v>
      </c>
      <c r="H5661" s="0" t="n">
        <v>0.2</v>
      </c>
      <c r="I5661" s="7" t="n">
        <f aca="false">YEAR(B5661)</f>
        <v>2016</v>
      </c>
      <c r="J5661" s="0" t="str">
        <f aca="false">I5661&amp;"-Q"&amp;ROUNDUP(MONTH(B5661)/3,0)</f>
        <v>2016-Q4</v>
      </c>
    </row>
    <row r="5662" customFormat="false" ht="15" hidden="false" customHeight="false" outlineLevel="0" collapsed="false">
      <c r="A5662" s="0" t="s">
        <v>2905</v>
      </c>
      <c r="B5662" s="6" t="n">
        <v>42722</v>
      </c>
      <c r="C5662" s="7" t="s">
        <v>33</v>
      </c>
      <c r="D5662" s="7" t="s">
        <v>102</v>
      </c>
      <c r="E5662" s="7" t="s">
        <v>39</v>
      </c>
      <c r="F5662" s="0" t="n">
        <v>28.68</v>
      </c>
      <c r="G5662" s="0" t="n">
        <v>-7.17</v>
      </c>
      <c r="H5662" s="0" t="n">
        <v>0.2</v>
      </c>
      <c r="I5662" s="7" t="n">
        <f aca="false">YEAR(B5662)</f>
        <v>2016</v>
      </c>
      <c r="J5662" s="0" t="str">
        <f aca="false">I5662&amp;"-Q"&amp;ROUNDUP(MONTH(B5662)/3,0)</f>
        <v>2016-Q4</v>
      </c>
    </row>
    <row r="5663" customFormat="false" ht="15" hidden="false" customHeight="false" outlineLevel="0" collapsed="false">
      <c r="A5663" s="0" t="s">
        <v>2906</v>
      </c>
      <c r="B5663" s="6" t="n">
        <v>42637</v>
      </c>
      <c r="C5663" s="7" t="s">
        <v>33</v>
      </c>
      <c r="D5663" s="7" t="s">
        <v>109</v>
      </c>
      <c r="E5663" s="7" t="s">
        <v>31</v>
      </c>
      <c r="F5663" s="0" t="n">
        <v>21.44</v>
      </c>
      <c r="G5663" s="0" t="n">
        <v>7.504</v>
      </c>
      <c r="H5663" s="0" t="n">
        <v>0.2</v>
      </c>
      <c r="I5663" s="7" t="n">
        <f aca="false">YEAR(B5663)</f>
        <v>2016</v>
      </c>
      <c r="J5663" s="0" t="str">
        <f aca="false">I5663&amp;"-Q"&amp;ROUNDUP(MONTH(B5663)/3,0)</f>
        <v>2016-Q3</v>
      </c>
    </row>
    <row r="5664" customFormat="false" ht="15" hidden="false" customHeight="false" outlineLevel="0" collapsed="false">
      <c r="A5664" s="0" t="s">
        <v>2906</v>
      </c>
      <c r="B5664" s="6" t="n">
        <v>42637</v>
      </c>
      <c r="C5664" s="7" t="s">
        <v>33</v>
      </c>
      <c r="D5664" s="7" t="s">
        <v>109</v>
      </c>
      <c r="E5664" s="7" t="s">
        <v>35</v>
      </c>
      <c r="F5664" s="0" t="n">
        <v>511.056</v>
      </c>
      <c r="G5664" s="0" t="n">
        <v>-95.823</v>
      </c>
      <c r="H5664" s="0" t="n">
        <v>0.2</v>
      </c>
      <c r="I5664" s="7" t="n">
        <f aca="false">YEAR(B5664)</f>
        <v>2016</v>
      </c>
      <c r="J5664" s="0" t="str">
        <f aca="false">I5664&amp;"-Q"&amp;ROUNDUP(MONTH(B5664)/3,0)</f>
        <v>2016-Q3</v>
      </c>
    </row>
    <row r="5665" customFormat="false" ht="15" hidden="false" customHeight="false" outlineLevel="0" collapsed="false">
      <c r="A5665" s="0" t="s">
        <v>2907</v>
      </c>
      <c r="B5665" s="6" t="n">
        <v>42572</v>
      </c>
      <c r="C5665" s="7" t="s">
        <v>55</v>
      </c>
      <c r="D5665" s="7" t="s">
        <v>116</v>
      </c>
      <c r="E5665" s="7" t="s">
        <v>35</v>
      </c>
      <c r="F5665" s="0" t="n">
        <v>18.656</v>
      </c>
      <c r="G5665" s="0" t="n">
        <v>1.3992</v>
      </c>
      <c r="H5665" s="0" t="n">
        <v>0.2</v>
      </c>
      <c r="I5665" s="7" t="n">
        <f aca="false">YEAR(B5665)</f>
        <v>2016</v>
      </c>
      <c r="J5665" s="0" t="str">
        <f aca="false">I5665&amp;"-Q"&amp;ROUNDUP(MONTH(B5665)/3,0)</f>
        <v>2016-Q3</v>
      </c>
    </row>
    <row r="5666" customFormat="false" ht="15" hidden="false" customHeight="false" outlineLevel="0" collapsed="false">
      <c r="A5666" s="0" t="s">
        <v>2907</v>
      </c>
      <c r="B5666" s="6" t="n">
        <v>42572</v>
      </c>
      <c r="C5666" s="7" t="s">
        <v>55</v>
      </c>
      <c r="D5666" s="7" t="s">
        <v>116</v>
      </c>
      <c r="E5666" s="7" t="s">
        <v>35</v>
      </c>
      <c r="F5666" s="0" t="n">
        <v>11.088</v>
      </c>
      <c r="G5666" s="0" t="n">
        <v>-8.1312</v>
      </c>
      <c r="H5666" s="0" t="n">
        <v>0.7</v>
      </c>
      <c r="I5666" s="7" t="n">
        <f aca="false">YEAR(B5666)</f>
        <v>2016</v>
      </c>
      <c r="J5666" s="0" t="str">
        <f aca="false">I5666&amp;"-Q"&amp;ROUNDUP(MONTH(B5666)/3,0)</f>
        <v>2016-Q3</v>
      </c>
    </row>
    <row r="5667" customFormat="false" ht="15" hidden="false" customHeight="false" outlineLevel="0" collapsed="false">
      <c r="A5667" s="0" t="s">
        <v>2907</v>
      </c>
      <c r="B5667" s="6" t="n">
        <v>42572</v>
      </c>
      <c r="C5667" s="7" t="s">
        <v>55</v>
      </c>
      <c r="D5667" s="7" t="s">
        <v>116</v>
      </c>
      <c r="E5667" s="7" t="s">
        <v>35</v>
      </c>
      <c r="F5667" s="0" t="n">
        <v>66.688</v>
      </c>
      <c r="G5667" s="0" t="n">
        <v>4.168</v>
      </c>
      <c r="H5667" s="0" t="n">
        <v>0.2</v>
      </c>
      <c r="I5667" s="7" t="n">
        <f aca="false">YEAR(B5667)</f>
        <v>2016</v>
      </c>
      <c r="J5667" s="0" t="str">
        <f aca="false">I5667&amp;"-Q"&amp;ROUNDUP(MONTH(B5667)/3,0)</f>
        <v>2016-Q3</v>
      </c>
    </row>
    <row r="5668" customFormat="false" ht="15" hidden="false" customHeight="false" outlineLevel="0" collapsed="false">
      <c r="A5668" s="0" t="s">
        <v>2907</v>
      </c>
      <c r="B5668" s="6" t="n">
        <v>42572</v>
      </c>
      <c r="C5668" s="7" t="s">
        <v>55</v>
      </c>
      <c r="D5668" s="7" t="s">
        <v>116</v>
      </c>
      <c r="E5668" s="7" t="s">
        <v>35</v>
      </c>
      <c r="F5668" s="0" t="n">
        <v>99.488</v>
      </c>
      <c r="G5668" s="0" t="n">
        <v>8.7052</v>
      </c>
      <c r="H5668" s="0" t="n">
        <v>0.2</v>
      </c>
      <c r="I5668" s="7" t="n">
        <f aca="false">YEAR(B5668)</f>
        <v>2016</v>
      </c>
      <c r="J5668" s="0" t="str">
        <f aca="false">I5668&amp;"-Q"&amp;ROUNDUP(MONTH(B5668)/3,0)</f>
        <v>2016-Q3</v>
      </c>
    </row>
    <row r="5669" customFormat="false" ht="15" hidden="false" customHeight="false" outlineLevel="0" collapsed="false">
      <c r="A5669" s="0" t="s">
        <v>2908</v>
      </c>
      <c r="B5669" s="6" t="n">
        <v>42532</v>
      </c>
      <c r="C5669" s="7" t="s">
        <v>33</v>
      </c>
      <c r="D5669" s="7" t="s">
        <v>43</v>
      </c>
      <c r="E5669" s="7" t="s">
        <v>35</v>
      </c>
      <c r="F5669" s="0" t="n">
        <v>14.62</v>
      </c>
      <c r="G5669" s="0" t="n">
        <v>6.8714</v>
      </c>
      <c r="H5669" s="0" t="n">
        <v>0</v>
      </c>
      <c r="I5669" s="7" t="n">
        <f aca="false">YEAR(B5669)</f>
        <v>2016</v>
      </c>
      <c r="J5669" s="0" t="str">
        <f aca="false">I5669&amp;"-Q"&amp;ROUNDUP(MONTH(B5669)/3,0)</f>
        <v>2016-Q2</v>
      </c>
    </row>
    <row r="5670" customFormat="false" ht="15" hidden="false" customHeight="false" outlineLevel="0" collapsed="false">
      <c r="A5670" s="0" t="s">
        <v>2908</v>
      </c>
      <c r="B5670" s="6" t="n">
        <v>42532</v>
      </c>
      <c r="C5670" s="7" t="s">
        <v>33</v>
      </c>
      <c r="D5670" s="7" t="s">
        <v>43</v>
      </c>
      <c r="E5670" s="7" t="s">
        <v>35</v>
      </c>
      <c r="F5670" s="0" t="n">
        <v>53.984</v>
      </c>
      <c r="G5670" s="0" t="n">
        <v>17.5448</v>
      </c>
      <c r="H5670" s="0" t="n">
        <v>0.2</v>
      </c>
      <c r="I5670" s="7" t="n">
        <f aca="false">YEAR(B5670)</f>
        <v>2016</v>
      </c>
      <c r="J5670" s="0" t="str">
        <f aca="false">I5670&amp;"-Q"&amp;ROUNDUP(MONTH(B5670)/3,0)</f>
        <v>2016-Q2</v>
      </c>
    </row>
    <row r="5671" customFormat="false" ht="15" hidden="false" customHeight="false" outlineLevel="0" collapsed="false">
      <c r="A5671" s="0" t="s">
        <v>2908</v>
      </c>
      <c r="B5671" s="6" t="n">
        <v>42532</v>
      </c>
      <c r="C5671" s="7" t="s">
        <v>33</v>
      </c>
      <c r="D5671" s="7" t="s">
        <v>43</v>
      </c>
      <c r="E5671" s="7" t="s">
        <v>39</v>
      </c>
      <c r="F5671" s="0" t="n">
        <v>389.97</v>
      </c>
      <c r="G5671" s="0" t="n">
        <v>132.5898</v>
      </c>
      <c r="H5671" s="0" t="n">
        <v>0</v>
      </c>
      <c r="I5671" s="7" t="n">
        <f aca="false">YEAR(B5671)</f>
        <v>2016</v>
      </c>
      <c r="J5671" s="0" t="str">
        <f aca="false">I5671&amp;"-Q"&amp;ROUNDUP(MONTH(B5671)/3,0)</f>
        <v>2016-Q2</v>
      </c>
    </row>
    <row r="5672" customFormat="false" ht="15" hidden="false" customHeight="false" outlineLevel="0" collapsed="false">
      <c r="A5672" s="0" t="s">
        <v>2909</v>
      </c>
      <c r="B5672" s="6" t="n">
        <v>42164</v>
      </c>
      <c r="C5672" s="7" t="s">
        <v>33</v>
      </c>
      <c r="D5672" s="7" t="s">
        <v>1599</v>
      </c>
      <c r="E5672" s="7" t="s">
        <v>31</v>
      </c>
      <c r="F5672" s="0" t="n">
        <v>355.36</v>
      </c>
      <c r="G5672" s="0" t="n">
        <v>92.3936</v>
      </c>
      <c r="H5672" s="0" t="n">
        <v>0</v>
      </c>
      <c r="I5672" s="7" t="n">
        <f aca="false">YEAR(B5672)</f>
        <v>2015</v>
      </c>
      <c r="J5672" s="0" t="str">
        <f aca="false">I5672&amp;"-Q"&amp;ROUNDUP(MONTH(B5672)/3,0)</f>
        <v>2015-Q2</v>
      </c>
    </row>
    <row r="5673" customFormat="false" ht="15" hidden="false" customHeight="false" outlineLevel="0" collapsed="false">
      <c r="A5673" s="0" t="s">
        <v>2909</v>
      </c>
      <c r="B5673" s="6" t="n">
        <v>42164</v>
      </c>
      <c r="C5673" s="7" t="s">
        <v>33</v>
      </c>
      <c r="D5673" s="7" t="s">
        <v>1599</v>
      </c>
      <c r="E5673" s="7" t="s">
        <v>39</v>
      </c>
      <c r="F5673" s="0" t="n">
        <v>140.376</v>
      </c>
      <c r="G5673" s="0" t="n">
        <v>8.7735</v>
      </c>
      <c r="H5673" s="0" t="n">
        <v>0.2</v>
      </c>
      <c r="I5673" s="7" t="n">
        <f aca="false">YEAR(B5673)</f>
        <v>2015</v>
      </c>
      <c r="J5673" s="0" t="str">
        <f aca="false">I5673&amp;"-Q"&amp;ROUNDUP(MONTH(B5673)/3,0)</f>
        <v>2015-Q2</v>
      </c>
    </row>
    <row r="5674" customFormat="false" ht="15" hidden="false" customHeight="false" outlineLevel="0" collapsed="false">
      <c r="A5674" s="0" t="s">
        <v>2910</v>
      </c>
      <c r="B5674" s="6" t="n">
        <v>43035</v>
      </c>
      <c r="C5674" s="7" t="s">
        <v>45</v>
      </c>
      <c r="D5674" s="7" t="s">
        <v>46</v>
      </c>
      <c r="E5674" s="7" t="s">
        <v>35</v>
      </c>
      <c r="F5674" s="0" t="n">
        <v>15.84</v>
      </c>
      <c r="G5674" s="0" t="n">
        <v>5.544</v>
      </c>
      <c r="H5674" s="0" t="n">
        <v>0.2</v>
      </c>
      <c r="I5674" s="7" t="n">
        <f aca="false">YEAR(B5674)</f>
        <v>2017</v>
      </c>
      <c r="J5674" s="0" t="str">
        <f aca="false">I5674&amp;"-Q"&amp;ROUNDUP(MONTH(B5674)/3,0)</f>
        <v>2017-Q4</v>
      </c>
    </row>
    <row r="5675" customFormat="false" ht="15" hidden="false" customHeight="false" outlineLevel="0" collapsed="false">
      <c r="A5675" s="0" t="s">
        <v>2910</v>
      </c>
      <c r="B5675" s="6" t="n">
        <v>43035</v>
      </c>
      <c r="C5675" s="7" t="s">
        <v>45</v>
      </c>
      <c r="D5675" s="7" t="s">
        <v>46</v>
      </c>
      <c r="E5675" s="7" t="s">
        <v>35</v>
      </c>
      <c r="F5675" s="0" t="n">
        <v>8.448</v>
      </c>
      <c r="G5675" s="0" t="n">
        <v>2.64</v>
      </c>
      <c r="H5675" s="0" t="n">
        <v>0.2</v>
      </c>
      <c r="I5675" s="7" t="n">
        <f aca="false">YEAR(B5675)</f>
        <v>2017</v>
      </c>
      <c r="J5675" s="0" t="str">
        <f aca="false">I5675&amp;"-Q"&amp;ROUNDUP(MONTH(B5675)/3,0)</f>
        <v>2017-Q4</v>
      </c>
    </row>
    <row r="5676" customFormat="false" ht="15" hidden="false" customHeight="false" outlineLevel="0" collapsed="false">
      <c r="A5676" s="0" t="s">
        <v>2911</v>
      </c>
      <c r="B5676" s="6" t="n">
        <v>42391</v>
      </c>
      <c r="C5676" s="7" t="s">
        <v>33</v>
      </c>
      <c r="D5676" s="7" t="s">
        <v>43</v>
      </c>
      <c r="E5676" s="7" t="s">
        <v>35</v>
      </c>
      <c r="F5676" s="0" t="n">
        <v>12.96</v>
      </c>
      <c r="G5676" s="0" t="n">
        <v>6.2208</v>
      </c>
      <c r="H5676" s="0" t="n">
        <v>0</v>
      </c>
      <c r="I5676" s="7" t="n">
        <f aca="false">YEAR(B5676)</f>
        <v>2016</v>
      </c>
      <c r="J5676" s="0" t="str">
        <f aca="false">I5676&amp;"-Q"&amp;ROUNDUP(MONTH(B5676)/3,0)</f>
        <v>2016-Q1</v>
      </c>
    </row>
    <row r="5677" customFormat="false" ht="15" hidden="false" customHeight="false" outlineLevel="0" collapsed="false">
      <c r="A5677" s="0" t="s">
        <v>2912</v>
      </c>
      <c r="B5677" s="6" t="n">
        <v>41787</v>
      </c>
      <c r="C5677" s="7" t="s">
        <v>33</v>
      </c>
      <c r="D5677" s="7" t="s">
        <v>43</v>
      </c>
      <c r="E5677" s="7" t="s">
        <v>39</v>
      </c>
      <c r="F5677" s="0" t="n">
        <v>57.408</v>
      </c>
      <c r="G5677" s="0" t="n">
        <v>5.7408</v>
      </c>
      <c r="H5677" s="0" t="n">
        <v>0.2</v>
      </c>
      <c r="I5677" s="7" t="n">
        <f aca="false">YEAR(B5677)</f>
        <v>2014</v>
      </c>
      <c r="J5677" s="0" t="str">
        <f aca="false">I5677&amp;"-Q"&amp;ROUNDUP(MONTH(B5677)/3,0)</f>
        <v>2014-Q2</v>
      </c>
    </row>
    <row r="5678" customFormat="false" ht="15" hidden="false" customHeight="false" outlineLevel="0" collapsed="false">
      <c r="A5678" s="0" t="s">
        <v>2912</v>
      </c>
      <c r="B5678" s="6" t="n">
        <v>41787</v>
      </c>
      <c r="C5678" s="7" t="s">
        <v>33</v>
      </c>
      <c r="D5678" s="7" t="s">
        <v>43</v>
      </c>
      <c r="E5678" s="7" t="s">
        <v>39</v>
      </c>
      <c r="F5678" s="0" t="n">
        <v>27.6</v>
      </c>
      <c r="G5678" s="0" t="n">
        <v>2.208</v>
      </c>
      <c r="H5678" s="0" t="n">
        <v>0</v>
      </c>
      <c r="I5678" s="7" t="n">
        <f aca="false">YEAR(B5678)</f>
        <v>2014</v>
      </c>
      <c r="J5678" s="0" t="str">
        <f aca="false">I5678&amp;"-Q"&amp;ROUNDUP(MONTH(B5678)/3,0)</f>
        <v>2014-Q2</v>
      </c>
    </row>
    <row r="5679" customFormat="false" ht="15" hidden="false" customHeight="false" outlineLevel="0" collapsed="false">
      <c r="A5679" s="0" t="s">
        <v>2913</v>
      </c>
      <c r="B5679" s="6" t="n">
        <v>42002</v>
      </c>
      <c r="C5679" s="7" t="s">
        <v>45</v>
      </c>
      <c r="D5679" s="7" t="s">
        <v>64</v>
      </c>
      <c r="E5679" s="7" t="s">
        <v>31</v>
      </c>
      <c r="F5679" s="0" t="n">
        <v>38.976</v>
      </c>
      <c r="G5679" s="0" t="n">
        <v>-50.6688</v>
      </c>
      <c r="H5679" s="0" t="n">
        <v>0.6</v>
      </c>
      <c r="I5679" s="7" t="n">
        <f aca="false">YEAR(B5679)</f>
        <v>2014</v>
      </c>
      <c r="J5679" s="0" t="str">
        <f aca="false">I5679&amp;"-Q"&amp;ROUNDUP(MONTH(B5679)/3,0)</f>
        <v>2014-Q4</v>
      </c>
    </row>
    <row r="5680" customFormat="false" ht="15" hidden="false" customHeight="false" outlineLevel="0" collapsed="false">
      <c r="A5680" s="0" t="s">
        <v>2914</v>
      </c>
      <c r="B5680" s="6" t="n">
        <v>42579</v>
      </c>
      <c r="C5680" s="7" t="s">
        <v>45</v>
      </c>
      <c r="D5680" s="7" t="s">
        <v>70</v>
      </c>
      <c r="E5680" s="7" t="s">
        <v>35</v>
      </c>
      <c r="F5680" s="0" t="n">
        <v>20.44</v>
      </c>
      <c r="G5680" s="0" t="n">
        <v>9.198</v>
      </c>
      <c r="H5680" s="0" t="n">
        <v>0</v>
      </c>
      <c r="I5680" s="7" t="n">
        <f aca="false">YEAR(B5680)</f>
        <v>2016</v>
      </c>
      <c r="J5680" s="0" t="str">
        <f aca="false">I5680&amp;"-Q"&amp;ROUNDUP(MONTH(B5680)/3,0)</f>
        <v>2016-Q3</v>
      </c>
    </row>
    <row r="5681" customFormat="false" ht="15" hidden="false" customHeight="false" outlineLevel="0" collapsed="false">
      <c r="A5681" s="0" t="s">
        <v>2914</v>
      </c>
      <c r="B5681" s="6" t="n">
        <v>42579</v>
      </c>
      <c r="C5681" s="7" t="s">
        <v>45</v>
      </c>
      <c r="D5681" s="7" t="s">
        <v>70</v>
      </c>
      <c r="E5681" s="7" t="s">
        <v>35</v>
      </c>
      <c r="F5681" s="0" t="n">
        <v>109.92</v>
      </c>
      <c r="G5681" s="0" t="n">
        <v>53.8608</v>
      </c>
      <c r="H5681" s="0" t="n">
        <v>0</v>
      </c>
      <c r="I5681" s="7" t="n">
        <f aca="false">YEAR(B5681)</f>
        <v>2016</v>
      </c>
      <c r="J5681" s="0" t="str">
        <f aca="false">I5681&amp;"-Q"&amp;ROUNDUP(MONTH(B5681)/3,0)</f>
        <v>2016-Q3</v>
      </c>
    </row>
    <row r="5682" customFormat="false" ht="15" hidden="false" customHeight="false" outlineLevel="0" collapsed="false">
      <c r="A5682" s="0" t="s">
        <v>2915</v>
      </c>
      <c r="B5682" s="6" t="n">
        <v>42637</v>
      </c>
      <c r="C5682" s="7" t="s">
        <v>45</v>
      </c>
      <c r="D5682" s="7" t="s">
        <v>138</v>
      </c>
      <c r="E5682" s="7" t="s">
        <v>35</v>
      </c>
      <c r="F5682" s="0" t="n">
        <v>6.38</v>
      </c>
      <c r="G5682" s="0" t="n">
        <v>2.9348</v>
      </c>
      <c r="H5682" s="0" t="n">
        <v>0</v>
      </c>
      <c r="I5682" s="7" t="n">
        <f aca="false">YEAR(B5682)</f>
        <v>2016</v>
      </c>
      <c r="J5682" s="0" t="str">
        <f aca="false">I5682&amp;"-Q"&amp;ROUNDUP(MONTH(B5682)/3,0)</f>
        <v>2016-Q3</v>
      </c>
    </row>
    <row r="5683" customFormat="false" ht="15" hidden="false" customHeight="false" outlineLevel="0" collapsed="false">
      <c r="A5683" s="0" t="s">
        <v>2915</v>
      </c>
      <c r="B5683" s="6" t="n">
        <v>42637</v>
      </c>
      <c r="C5683" s="7" t="s">
        <v>45</v>
      </c>
      <c r="D5683" s="7" t="s">
        <v>138</v>
      </c>
      <c r="E5683" s="7" t="s">
        <v>35</v>
      </c>
      <c r="F5683" s="0" t="n">
        <v>6.48</v>
      </c>
      <c r="G5683" s="0" t="n">
        <v>3.1104</v>
      </c>
      <c r="H5683" s="0" t="n">
        <v>0</v>
      </c>
      <c r="I5683" s="7" t="n">
        <f aca="false">YEAR(B5683)</f>
        <v>2016</v>
      </c>
      <c r="J5683" s="0" t="str">
        <f aca="false">I5683&amp;"-Q"&amp;ROUNDUP(MONTH(B5683)/3,0)</f>
        <v>2016-Q3</v>
      </c>
    </row>
    <row r="5684" customFormat="false" ht="15" hidden="false" customHeight="false" outlineLevel="0" collapsed="false">
      <c r="A5684" s="0" t="s">
        <v>2916</v>
      </c>
      <c r="B5684" s="6" t="n">
        <v>41731</v>
      </c>
      <c r="C5684" s="7" t="s">
        <v>29</v>
      </c>
      <c r="D5684" s="7" t="s">
        <v>230</v>
      </c>
      <c r="E5684" s="7" t="s">
        <v>35</v>
      </c>
      <c r="F5684" s="0" t="n">
        <v>15.84</v>
      </c>
      <c r="G5684" s="0" t="n">
        <v>7.128</v>
      </c>
      <c r="H5684" s="0" t="n">
        <v>0</v>
      </c>
      <c r="I5684" s="7" t="n">
        <f aca="false">YEAR(B5684)</f>
        <v>2014</v>
      </c>
      <c r="J5684" s="0" t="str">
        <f aca="false">I5684&amp;"-Q"&amp;ROUNDUP(MONTH(B5684)/3,0)</f>
        <v>2014-Q2</v>
      </c>
    </row>
    <row r="5685" customFormat="false" ht="15" hidden="false" customHeight="false" outlineLevel="0" collapsed="false">
      <c r="A5685" s="0" t="s">
        <v>2916</v>
      </c>
      <c r="B5685" s="6" t="n">
        <v>41731</v>
      </c>
      <c r="C5685" s="7" t="s">
        <v>29</v>
      </c>
      <c r="D5685" s="7" t="s">
        <v>230</v>
      </c>
      <c r="E5685" s="7" t="s">
        <v>39</v>
      </c>
      <c r="F5685" s="0" t="n">
        <v>1049.93</v>
      </c>
      <c r="G5685" s="0" t="n">
        <v>293.9804</v>
      </c>
      <c r="H5685" s="0" t="n">
        <v>0</v>
      </c>
      <c r="I5685" s="7" t="n">
        <f aca="false">YEAR(B5685)</f>
        <v>2014</v>
      </c>
      <c r="J5685" s="0" t="str">
        <f aca="false">I5685&amp;"-Q"&amp;ROUNDUP(MONTH(B5685)/3,0)</f>
        <v>2014-Q2</v>
      </c>
    </row>
    <row r="5686" customFormat="false" ht="15" hidden="false" customHeight="false" outlineLevel="0" collapsed="false">
      <c r="A5686" s="0" t="s">
        <v>2916</v>
      </c>
      <c r="B5686" s="6" t="n">
        <v>41731</v>
      </c>
      <c r="C5686" s="7" t="s">
        <v>29</v>
      </c>
      <c r="D5686" s="7" t="s">
        <v>230</v>
      </c>
      <c r="E5686" s="7" t="s">
        <v>35</v>
      </c>
      <c r="F5686" s="0" t="n">
        <v>154.9</v>
      </c>
      <c r="G5686" s="0" t="n">
        <v>40.274</v>
      </c>
      <c r="H5686" s="0" t="n">
        <v>0</v>
      </c>
      <c r="I5686" s="7" t="n">
        <f aca="false">YEAR(B5686)</f>
        <v>2014</v>
      </c>
      <c r="J5686" s="0" t="str">
        <f aca="false">I5686&amp;"-Q"&amp;ROUNDUP(MONTH(B5686)/3,0)</f>
        <v>2014-Q2</v>
      </c>
    </row>
    <row r="5687" customFormat="false" ht="15" hidden="false" customHeight="false" outlineLevel="0" collapsed="false">
      <c r="A5687" s="0" t="s">
        <v>2917</v>
      </c>
      <c r="B5687" s="6" t="n">
        <v>42313</v>
      </c>
      <c r="C5687" s="7" t="s">
        <v>33</v>
      </c>
      <c r="D5687" s="7" t="s">
        <v>43</v>
      </c>
      <c r="E5687" s="7" t="s">
        <v>35</v>
      </c>
      <c r="F5687" s="0" t="n">
        <v>98.352</v>
      </c>
      <c r="G5687" s="0" t="n">
        <v>35.6526</v>
      </c>
      <c r="H5687" s="0" t="n">
        <v>0.2</v>
      </c>
      <c r="I5687" s="7" t="n">
        <f aca="false">YEAR(B5687)</f>
        <v>2015</v>
      </c>
      <c r="J5687" s="0" t="str">
        <f aca="false">I5687&amp;"-Q"&amp;ROUNDUP(MONTH(B5687)/3,0)</f>
        <v>2015-Q4</v>
      </c>
    </row>
    <row r="5688" customFormat="false" ht="15" hidden="false" customHeight="false" outlineLevel="0" collapsed="false">
      <c r="A5688" s="0" t="s">
        <v>2918</v>
      </c>
      <c r="B5688" s="6" t="n">
        <v>41848</v>
      </c>
      <c r="C5688" s="7" t="s">
        <v>29</v>
      </c>
      <c r="D5688" s="7" t="s">
        <v>37</v>
      </c>
      <c r="E5688" s="7" t="s">
        <v>35</v>
      </c>
      <c r="F5688" s="0" t="n">
        <v>14.32</v>
      </c>
      <c r="G5688" s="0" t="n">
        <v>5.191</v>
      </c>
      <c r="H5688" s="0" t="n">
        <v>0.2</v>
      </c>
      <c r="I5688" s="7" t="n">
        <f aca="false">YEAR(B5688)</f>
        <v>2014</v>
      </c>
      <c r="J5688" s="0" t="str">
        <f aca="false">I5688&amp;"-Q"&amp;ROUNDUP(MONTH(B5688)/3,0)</f>
        <v>2014-Q3</v>
      </c>
    </row>
    <row r="5689" customFormat="false" ht="15" hidden="false" customHeight="false" outlineLevel="0" collapsed="false">
      <c r="A5689" s="0" t="s">
        <v>2918</v>
      </c>
      <c r="B5689" s="6" t="n">
        <v>41848</v>
      </c>
      <c r="C5689" s="7" t="s">
        <v>29</v>
      </c>
      <c r="D5689" s="7" t="s">
        <v>37</v>
      </c>
      <c r="E5689" s="7" t="s">
        <v>31</v>
      </c>
      <c r="F5689" s="0" t="n">
        <v>129.888</v>
      </c>
      <c r="G5689" s="0" t="n">
        <v>12.9888</v>
      </c>
      <c r="H5689" s="0" t="n">
        <v>0.2</v>
      </c>
      <c r="I5689" s="7" t="n">
        <f aca="false">YEAR(B5689)</f>
        <v>2014</v>
      </c>
      <c r="J5689" s="0" t="str">
        <f aca="false">I5689&amp;"-Q"&amp;ROUNDUP(MONTH(B5689)/3,0)</f>
        <v>2014-Q3</v>
      </c>
    </row>
    <row r="5690" customFormat="false" ht="15" hidden="false" customHeight="false" outlineLevel="0" collapsed="false">
      <c r="A5690" s="0" t="s">
        <v>2918</v>
      </c>
      <c r="B5690" s="6" t="n">
        <v>41848</v>
      </c>
      <c r="C5690" s="7" t="s">
        <v>29</v>
      </c>
      <c r="D5690" s="7" t="s">
        <v>37</v>
      </c>
      <c r="E5690" s="7" t="s">
        <v>35</v>
      </c>
      <c r="F5690" s="0" t="n">
        <v>48.944</v>
      </c>
      <c r="G5690" s="0" t="n">
        <v>16.5186</v>
      </c>
      <c r="H5690" s="0" t="n">
        <v>0.2</v>
      </c>
      <c r="I5690" s="7" t="n">
        <f aca="false">YEAR(B5690)</f>
        <v>2014</v>
      </c>
      <c r="J5690" s="0" t="str">
        <f aca="false">I5690&amp;"-Q"&amp;ROUNDUP(MONTH(B5690)/3,0)</f>
        <v>2014-Q3</v>
      </c>
    </row>
    <row r="5691" customFormat="false" ht="15" hidden="false" customHeight="false" outlineLevel="0" collapsed="false">
      <c r="A5691" s="0" t="s">
        <v>2919</v>
      </c>
      <c r="B5691" s="6" t="n">
        <v>42364</v>
      </c>
      <c r="C5691" s="7" t="s">
        <v>45</v>
      </c>
      <c r="D5691" s="7" t="s">
        <v>46</v>
      </c>
      <c r="E5691" s="7" t="s">
        <v>31</v>
      </c>
      <c r="F5691" s="0" t="n">
        <v>275.058</v>
      </c>
      <c r="G5691" s="0" t="n">
        <v>-90.3762</v>
      </c>
      <c r="H5691" s="0" t="n">
        <v>0.3</v>
      </c>
      <c r="I5691" s="7" t="n">
        <f aca="false">YEAR(B5691)</f>
        <v>2015</v>
      </c>
      <c r="J5691" s="0" t="str">
        <f aca="false">I5691&amp;"-Q"&amp;ROUNDUP(MONTH(B5691)/3,0)</f>
        <v>2015-Q4</v>
      </c>
    </row>
    <row r="5692" customFormat="false" ht="15" hidden="false" customHeight="false" outlineLevel="0" collapsed="false">
      <c r="A5692" s="0" t="s">
        <v>2920</v>
      </c>
      <c r="B5692" s="6" t="n">
        <v>42348</v>
      </c>
      <c r="C5692" s="7" t="s">
        <v>55</v>
      </c>
      <c r="D5692" s="7" t="s">
        <v>495</v>
      </c>
      <c r="E5692" s="7" t="s">
        <v>35</v>
      </c>
      <c r="F5692" s="0" t="n">
        <v>27.36</v>
      </c>
      <c r="G5692" s="0" t="n">
        <v>9.3024</v>
      </c>
      <c r="H5692" s="0" t="n">
        <v>0</v>
      </c>
      <c r="I5692" s="7" t="n">
        <f aca="false">YEAR(B5692)</f>
        <v>2015</v>
      </c>
      <c r="J5692" s="0" t="str">
        <f aca="false">I5692&amp;"-Q"&amp;ROUNDUP(MONTH(B5692)/3,0)</f>
        <v>2015-Q4</v>
      </c>
    </row>
    <row r="5693" customFormat="false" ht="15" hidden="false" customHeight="false" outlineLevel="0" collapsed="false">
      <c r="A5693" s="0" t="s">
        <v>2920</v>
      </c>
      <c r="B5693" s="6" t="n">
        <v>42348</v>
      </c>
      <c r="C5693" s="7" t="s">
        <v>55</v>
      </c>
      <c r="D5693" s="7" t="s">
        <v>495</v>
      </c>
      <c r="E5693" s="7" t="s">
        <v>35</v>
      </c>
      <c r="F5693" s="0" t="n">
        <v>44.75</v>
      </c>
      <c r="G5693" s="0" t="n">
        <v>20.585</v>
      </c>
      <c r="H5693" s="0" t="n">
        <v>0</v>
      </c>
      <c r="I5693" s="7" t="n">
        <f aca="false">YEAR(B5693)</f>
        <v>2015</v>
      </c>
      <c r="J5693" s="0" t="str">
        <f aca="false">I5693&amp;"-Q"&amp;ROUNDUP(MONTH(B5693)/3,0)</f>
        <v>2015-Q4</v>
      </c>
    </row>
    <row r="5694" customFormat="false" ht="15" hidden="false" customHeight="false" outlineLevel="0" collapsed="false">
      <c r="A5694" s="0" t="s">
        <v>2920</v>
      </c>
      <c r="B5694" s="6" t="n">
        <v>42348</v>
      </c>
      <c r="C5694" s="7" t="s">
        <v>55</v>
      </c>
      <c r="D5694" s="7" t="s">
        <v>495</v>
      </c>
      <c r="E5694" s="7" t="s">
        <v>39</v>
      </c>
      <c r="F5694" s="0" t="n">
        <v>134.99</v>
      </c>
      <c r="G5694" s="0" t="n">
        <v>36.4473</v>
      </c>
      <c r="H5694" s="0" t="n">
        <v>0</v>
      </c>
      <c r="I5694" s="7" t="n">
        <f aca="false">YEAR(B5694)</f>
        <v>2015</v>
      </c>
      <c r="J5694" s="0" t="str">
        <f aca="false">I5694&amp;"-Q"&amp;ROUNDUP(MONTH(B5694)/3,0)</f>
        <v>2015-Q4</v>
      </c>
    </row>
    <row r="5695" customFormat="false" ht="15" hidden="false" customHeight="false" outlineLevel="0" collapsed="false">
      <c r="A5695" s="0" t="s">
        <v>2920</v>
      </c>
      <c r="B5695" s="6" t="n">
        <v>42348</v>
      </c>
      <c r="C5695" s="7" t="s">
        <v>55</v>
      </c>
      <c r="D5695" s="7" t="s">
        <v>495</v>
      </c>
      <c r="E5695" s="7" t="s">
        <v>35</v>
      </c>
      <c r="F5695" s="0" t="n">
        <v>26.4</v>
      </c>
      <c r="G5695" s="0" t="n">
        <v>12.672</v>
      </c>
      <c r="H5695" s="0" t="n">
        <v>0</v>
      </c>
      <c r="I5695" s="7" t="n">
        <f aca="false">YEAR(B5695)</f>
        <v>2015</v>
      </c>
      <c r="J5695" s="0" t="str">
        <f aca="false">I5695&amp;"-Q"&amp;ROUNDUP(MONTH(B5695)/3,0)</f>
        <v>2015-Q4</v>
      </c>
    </row>
    <row r="5696" customFormat="false" ht="15" hidden="false" customHeight="false" outlineLevel="0" collapsed="false">
      <c r="A5696" s="0" t="s">
        <v>2920</v>
      </c>
      <c r="B5696" s="6" t="n">
        <v>42348</v>
      </c>
      <c r="C5696" s="7" t="s">
        <v>55</v>
      </c>
      <c r="D5696" s="7" t="s">
        <v>495</v>
      </c>
      <c r="E5696" s="7" t="s">
        <v>31</v>
      </c>
      <c r="F5696" s="0" t="n">
        <v>542.94</v>
      </c>
      <c r="G5696" s="0" t="n">
        <v>141.1644</v>
      </c>
      <c r="H5696" s="0" t="n">
        <v>0</v>
      </c>
      <c r="I5696" s="7" t="n">
        <f aca="false">YEAR(B5696)</f>
        <v>2015</v>
      </c>
      <c r="J5696" s="0" t="str">
        <f aca="false">I5696&amp;"-Q"&amp;ROUNDUP(MONTH(B5696)/3,0)</f>
        <v>2015-Q4</v>
      </c>
    </row>
    <row r="5697" customFormat="false" ht="15" hidden="false" customHeight="false" outlineLevel="0" collapsed="false">
      <c r="A5697" s="0" t="s">
        <v>2921</v>
      </c>
      <c r="B5697" s="6" t="n">
        <v>42495</v>
      </c>
      <c r="C5697" s="7" t="s">
        <v>33</v>
      </c>
      <c r="D5697" s="7" t="s">
        <v>34</v>
      </c>
      <c r="E5697" s="7" t="s">
        <v>31</v>
      </c>
      <c r="F5697" s="0" t="n">
        <v>71.088</v>
      </c>
      <c r="G5697" s="0" t="n">
        <v>-1.7772</v>
      </c>
      <c r="H5697" s="0" t="n">
        <v>0.2</v>
      </c>
      <c r="I5697" s="7" t="n">
        <f aca="false">YEAR(B5697)</f>
        <v>2016</v>
      </c>
      <c r="J5697" s="0" t="str">
        <f aca="false">I5697&amp;"-Q"&amp;ROUNDUP(MONTH(B5697)/3,0)</f>
        <v>2016-Q2</v>
      </c>
    </row>
    <row r="5698" customFormat="false" ht="15" hidden="false" customHeight="false" outlineLevel="0" collapsed="false">
      <c r="A5698" s="0" t="s">
        <v>2922</v>
      </c>
      <c r="B5698" s="6" t="n">
        <v>43022</v>
      </c>
      <c r="C5698" s="7" t="s">
        <v>45</v>
      </c>
      <c r="D5698" s="7" t="s">
        <v>64</v>
      </c>
      <c r="E5698" s="7" t="s">
        <v>35</v>
      </c>
      <c r="F5698" s="0" t="n">
        <v>27.396</v>
      </c>
      <c r="G5698" s="0" t="n">
        <v>-42.4638</v>
      </c>
      <c r="H5698" s="0" t="n">
        <v>0.8</v>
      </c>
      <c r="I5698" s="7" t="n">
        <f aca="false">YEAR(B5698)</f>
        <v>2017</v>
      </c>
      <c r="J5698" s="0" t="str">
        <f aca="false">I5698&amp;"-Q"&amp;ROUNDUP(MONTH(B5698)/3,0)</f>
        <v>2017-Q4</v>
      </c>
    </row>
    <row r="5699" customFormat="false" ht="15" hidden="false" customHeight="false" outlineLevel="0" collapsed="false">
      <c r="A5699" s="0" t="s">
        <v>2922</v>
      </c>
      <c r="B5699" s="6" t="n">
        <v>43022</v>
      </c>
      <c r="C5699" s="7" t="s">
        <v>45</v>
      </c>
      <c r="D5699" s="7" t="s">
        <v>64</v>
      </c>
      <c r="E5699" s="7" t="s">
        <v>35</v>
      </c>
      <c r="F5699" s="0" t="n">
        <v>13.456</v>
      </c>
      <c r="G5699" s="0" t="n">
        <v>-23.548</v>
      </c>
      <c r="H5699" s="0" t="n">
        <v>0.8</v>
      </c>
      <c r="I5699" s="7" t="n">
        <f aca="false">YEAR(B5699)</f>
        <v>2017</v>
      </c>
      <c r="J5699" s="0" t="str">
        <f aca="false">I5699&amp;"-Q"&amp;ROUNDUP(MONTH(B5699)/3,0)</f>
        <v>2017-Q4</v>
      </c>
    </row>
    <row r="5700" customFormat="false" ht="15" hidden="false" customHeight="false" outlineLevel="0" collapsed="false">
      <c r="A5700" s="0" t="s">
        <v>2923</v>
      </c>
      <c r="B5700" s="6" t="n">
        <v>42679</v>
      </c>
      <c r="C5700" s="7" t="s">
        <v>45</v>
      </c>
      <c r="D5700" s="7" t="s">
        <v>46</v>
      </c>
      <c r="E5700" s="7" t="s">
        <v>35</v>
      </c>
      <c r="F5700" s="0" t="n">
        <v>11.84</v>
      </c>
      <c r="G5700" s="0" t="n">
        <v>4.44</v>
      </c>
      <c r="H5700" s="0" t="n">
        <v>0.2</v>
      </c>
      <c r="I5700" s="7" t="n">
        <f aca="false">YEAR(B5700)</f>
        <v>2016</v>
      </c>
      <c r="J5700" s="0" t="str">
        <f aca="false">I5700&amp;"-Q"&amp;ROUNDUP(MONTH(B5700)/3,0)</f>
        <v>2016-Q4</v>
      </c>
    </row>
    <row r="5701" customFormat="false" ht="15" hidden="false" customHeight="false" outlineLevel="0" collapsed="false">
      <c r="A5701" s="0" t="s">
        <v>2924</v>
      </c>
      <c r="B5701" s="6" t="n">
        <v>43042</v>
      </c>
      <c r="C5701" s="7" t="s">
        <v>33</v>
      </c>
      <c r="D5701" s="7" t="s">
        <v>34</v>
      </c>
      <c r="E5701" s="7" t="s">
        <v>35</v>
      </c>
      <c r="F5701" s="0" t="n">
        <v>35.88</v>
      </c>
      <c r="G5701" s="0" t="n">
        <v>17.5812</v>
      </c>
      <c r="H5701" s="0" t="n">
        <v>0</v>
      </c>
      <c r="I5701" s="7" t="n">
        <f aca="false">YEAR(B5701)</f>
        <v>2017</v>
      </c>
      <c r="J5701" s="0" t="str">
        <f aca="false">I5701&amp;"-Q"&amp;ROUNDUP(MONTH(B5701)/3,0)</f>
        <v>2017-Q4</v>
      </c>
    </row>
    <row r="5702" customFormat="false" ht="15" hidden="false" customHeight="false" outlineLevel="0" collapsed="false">
      <c r="A5702" s="0" t="s">
        <v>2925</v>
      </c>
      <c r="B5702" s="6" t="n">
        <v>42698</v>
      </c>
      <c r="C5702" s="7" t="s">
        <v>55</v>
      </c>
      <c r="D5702" s="7" t="s">
        <v>116</v>
      </c>
      <c r="E5702" s="7" t="s">
        <v>35</v>
      </c>
      <c r="F5702" s="0" t="n">
        <v>40.752</v>
      </c>
      <c r="G5702" s="0" t="n">
        <v>15.282</v>
      </c>
      <c r="H5702" s="0" t="n">
        <v>0.2</v>
      </c>
      <c r="I5702" s="7" t="n">
        <f aca="false">YEAR(B5702)</f>
        <v>2016</v>
      </c>
      <c r="J5702" s="0" t="str">
        <f aca="false">I5702&amp;"-Q"&amp;ROUNDUP(MONTH(B5702)/3,0)</f>
        <v>2016-Q4</v>
      </c>
    </row>
    <row r="5703" customFormat="false" ht="15" hidden="false" customHeight="false" outlineLevel="0" collapsed="false">
      <c r="A5703" s="0" t="s">
        <v>2925</v>
      </c>
      <c r="B5703" s="6" t="n">
        <v>42698</v>
      </c>
      <c r="C5703" s="7" t="s">
        <v>55</v>
      </c>
      <c r="D5703" s="7" t="s">
        <v>116</v>
      </c>
      <c r="E5703" s="7" t="s">
        <v>39</v>
      </c>
      <c r="F5703" s="0" t="n">
        <v>139.96</v>
      </c>
      <c r="G5703" s="0" t="n">
        <v>-22.7435</v>
      </c>
      <c r="H5703" s="0" t="n">
        <v>0.2</v>
      </c>
      <c r="I5703" s="7" t="n">
        <f aca="false">YEAR(B5703)</f>
        <v>2016</v>
      </c>
      <c r="J5703" s="0" t="str">
        <f aca="false">I5703&amp;"-Q"&amp;ROUNDUP(MONTH(B5703)/3,0)</f>
        <v>2016-Q4</v>
      </c>
    </row>
    <row r="5704" customFormat="false" ht="15" hidden="false" customHeight="false" outlineLevel="0" collapsed="false">
      <c r="A5704" s="0" t="s">
        <v>2926</v>
      </c>
      <c r="B5704" s="6" t="n">
        <v>41987</v>
      </c>
      <c r="C5704" s="7" t="s">
        <v>55</v>
      </c>
      <c r="D5704" s="7" t="s">
        <v>116</v>
      </c>
      <c r="E5704" s="7" t="s">
        <v>35</v>
      </c>
      <c r="F5704" s="0" t="n">
        <v>2.624</v>
      </c>
      <c r="G5704" s="0" t="n">
        <v>0.2952</v>
      </c>
      <c r="H5704" s="0" t="n">
        <v>0.2</v>
      </c>
      <c r="I5704" s="7" t="n">
        <f aca="false">YEAR(B5704)</f>
        <v>2014</v>
      </c>
      <c r="J5704" s="0" t="str">
        <f aca="false">I5704&amp;"-Q"&amp;ROUNDUP(MONTH(B5704)/3,0)</f>
        <v>2014-Q4</v>
      </c>
    </row>
    <row r="5705" customFormat="false" ht="15" hidden="false" customHeight="false" outlineLevel="0" collapsed="false">
      <c r="A5705" s="0" t="s">
        <v>2926</v>
      </c>
      <c r="B5705" s="6" t="n">
        <v>41987</v>
      </c>
      <c r="C5705" s="7" t="s">
        <v>55</v>
      </c>
      <c r="D5705" s="7" t="s">
        <v>116</v>
      </c>
      <c r="E5705" s="7" t="s">
        <v>31</v>
      </c>
      <c r="F5705" s="0" t="n">
        <v>136.53</v>
      </c>
      <c r="G5705" s="0" t="n">
        <v>-52.3365</v>
      </c>
      <c r="H5705" s="0" t="n">
        <v>0.4</v>
      </c>
      <c r="I5705" s="7" t="n">
        <f aca="false">YEAR(B5705)</f>
        <v>2014</v>
      </c>
      <c r="J5705" s="0" t="str">
        <f aca="false">I5705&amp;"-Q"&amp;ROUNDUP(MONTH(B5705)/3,0)</f>
        <v>2014-Q4</v>
      </c>
    </row>
    <row r="5706" customFormat="false" ht="15" hidden="false" customHeight="false" outlineLevel="0" collapsed="false">
      <c r="A5706" s="0" t="s">
        <v>2926</v>
      </c>
      <c r="B5706" s="6" t="n">
        <v>41987</v>
      </c>
      <c r="C5706" s="7" t="s">
        <v>55</v>
      </c>
      <c r="D5706" s="7" t="s">
        <v>116</v>
      </c>
      <c r="E5706" s="7" t="s">
        <v>39</v>
      </c>
      <c r="F5706" s="0" t="n">
        <v>263.96</v>
      </c>
      <c r="G5706" s="0" t="n">
        <v>42.8935</v>
      </c>
      <c r="H5706" s="0" t="n">
        <v>0.2</v>
      </c>
      <c r="I5706" s="7" t="n">
        <f aca="false">YEAR(B5706)</f>
        <v>2014</v>
      </c>
      <c r="J5706" s="0" t="str">
        <f aca="false">I5706&amp;"-Q"&amp;ROUNDUP(MONTH(B5706)/3,0)</f>
        <v>2014-Q4</v>
      </c>
    </row>
    <row r="5707" customFormat="false" ht="15" hidden="false" customHeight="false" outlineLevel="0" collapsed="false">
      <c r="A5707" s="0" t="s">
        <v>2927</v>
      </c>
      <c r="B5707" s="6" t="n">
        <v>41946</v>
      </c>
      <c r="C5707" s="7" t="s">
        <v>55</v>
      </c>
      <c r="D5707" s="7" t="s">
        <v>154</v>
      </c>
      <c r="E5707" s="7" t="s">
        <v>35</v>
      </c>
      <c r="F5707" s="0" t="n">
        <v>11.64</v>
      </c>
      <c r="G5707" s="0" t="n">
        <v>3.3756</v>
      </c>
      <c r="H5707" s="0" t="n">
        <v>0</v>
      </c>
      <c r="I5707" s="7" t="n">
        <f aca="false">YEAR(B5707)</f>
        <v>2014</v>
      </c>
      <c r="J5707" s="0" t="str">
        <f aca="false">I5707&amp;"-Q"&amp;ROUNDUP(MONTH(B5707)/3,0)</f>
        <v>2014-Q4</v>
      </c>
    </row>
    <row r="5708" customFormat="false" ht="15" hidden="false" customHeight="false" outlineLevel="0" collapsed="false">
      <c r="A5708" s="0" t="s">
        <v>2928</v>
      </c>
      <c r="B5708" s="6" t="n">
        <v>43000</v>
      </c>
      <c r="C5708" s="7" t="s">
        <v>55</v>
      </c>
      <c r="D5708" s="7" t="s">
        <v>76</v>
      </c>
      <c r="E5708" s="7" t="s">
        <v>35</v>
      </c>
      <c r="F5708" s="0" t="n">
        <v>40.176</v>
      </c>
      <c r="G5708" s="0" t="n">
        <v>14.5638</v>
      </c>
      <c r="H5708" s="0" t="n">
        <v>0.2</v>
      </c>
      <c r="I5708" s="7" t="n">
        <f aca="false">YEAR(B5708)</f>
        <v>2017</v>
      </c>
      <c r="J5708" s="0" t="str">
        <f aca="false">I5708&amp;"-Q"&amp;ROUNDUP(MONTH(B5708)/3,0)</f>
        <v>2017-Q3</v>
      </c>
    </row>
    <row r="5709" customFormat="false" ht="15" hidden="false" customHeight="false" outlineLevel="0" collapsed="false">
      <c r="A5709" s="0" t="s">
        <v>2929</v>
      </c>
      <c r="B5709" s="6" t="n">
        <v>42132</v>
      </c>
      <c r="C5709" s="7" t="s">
        <v>55</v>
      </c>
      <c r="D5709" s="7" t="s">
        <v>76</v>
      </c>
      <c r="E5709" s="7" t="s">
        <v>31</v>
      </c>
      <c r="F5709" s="0" t="n">
        <v>79.44</v>
      </c>
      <c r="G5709" s="0" t="n">
        <v>30.1872</v>
      </c>
      <c r="H5709" s="0" t="n">
        <v>0</v>
      </c>
      <c r="I5709" s="7" t="n">
        <f aca="false">YEAR(B5709)</f>
        <v>2015</v>
      </c>
      <c r="J5709" s="0" t="str">
        <f aca="false">I5709&amp;"-Q"&amp;ROUNDUP(MONTH(B5709)/3,0)</f>
        <v>2015-Q2</v>
      </c>
    </row>
    <row r="5710" customFormat="false" ht="15" hidden="false" customHeight="false" outlineLevel="0" collapsed="false">
      <c r="A5710" s="0" t="s">
        <v>2929</v>
      </c>
      <c r="B5710" s="6" t="n">
        <v>42132</v>
      </c>
      <c r="C5710" s="7" t="s">
        <v>55</v>
      </c>
      <c r="D5710" s="7" t="s">
        <v>76</v>
      </c>
      <c r="E5710" s="7" t="s">
        <v>35</v>
      </c>
      <c r="F5710" s="0" t="n">
        <v>357.93</v>
      </c>
      <c r="G5710" s="0" t="n">
        <v>7.1586</v>
      </c>
      <c r="H5710" s="0" t="n">
        <v>0</v>
      </c>
      <c r="I5710" s="7" t="n">
        <f aca="false">YEAR(B5710)</f>
        <v>2015</v>
      </c>
      <c r="J5710" s="0" t="str">
        <f aca="false">I5710&amp;"-Q"&amp;ROUNDUP(MONTH(B5710)/3,0)</f>
        <v>2015-Q2</v>
      </c>
    </row>
    <row r="5711" customFormat="false" ht="15" hidden="false" customHeight="false" outlineLevel="0" collapsed="false">
      <c r="A5711" s="0" t="s">
        <v>2929</v>
      </c>
      <c r="B5711" s="6" t="n">
        <v>42132</v>
      </c>
      <c r="C5711" s="7" t="s">
        <v>55</v>
      </c>
      <c r="D5711" s="7" t="s">
        <v>76</v>
      </c>
      <c r="E5711" s="7" t="s">
        <v>31</v>
      </c>
      <c r="F5711" s="0" t="n">
        <v>127.764</v>
      </c>
      <c r="G5711" s="0" t="n">
        <v>21.294</v>
      </c>
      <c r="H5711" s="0" t="n">
        <v>0.1</v>
      </c>
      <c r="I5711" s="7" t="n">
        <f aca="false">YEAR(B5711)</f>
        <v>2015</v>
      </c>
      <c r="J5711" s="0" t="str">
        <f aca="false">I5711&amp;"-Q"&amp;ROUNDUP(MONTH(B5711)/3,0)</f>
        <v>2015-Q2</v>
      </c>
    </row>
    <row r="5712" customFormat="false" ht="15" hidden="false" customHeight="false" outlineLevel="0" collapsed="false">
      <c r="A5712" s="0" t="s">
        <v>2929</v>
      </c>
      <c r="B5712" s="6" t="n">
        <v>42132</v>
      </c>
      <c r="C5712" s="7" t="s">
        <v>55</v>
      </c>
      <c r="D5712" s="7" t="s">
        <v>76</v>
      </c>
      <c r="E5712" s="7" t="s">
        <v>39</v>
      </c>
      <c r="F5712" s="0" t="n">
        <v>2799.944</v>
      </c>
      <c r="G5712" s="0" t="n">
        <v>1014.9797</v>
      </c>
      <c r="H5712" s="0" t="n">
        <v>0.2</v>
      </c>
      <c r="I5712" s="7" t="n">
        <f aca="false">YEAR(B5712)</f>
        <v>2015</v>
      </c>
      <c r="J5712" s="0" t="str">
        <f aca="false">I5712&amp;"-Q"&amp;ROUNDUP(MONTH(B5712)/3,0)</f>
        <v>2015-Q2</v>
      </c>
    </row>
    <row r="5713" customFormat="false" ht="15" hidden="false" customHeight="false" outlineLevel="0" collapsed="false">
      <c r="A5713" s="0" t="s">
        <v>2929</v>
      </c>
      <c r="B5713" s="6" t="n">
        <v>42132</v>
      </c>
      <c r="C5713" s="7" t="s">
        <v>55</v>
      </c>
      <c r="D5713" s="7" t="s">
        <v>76</v>
      </c>
      <c r="E5713" s="7" t="s">
        <v>35</v>
      </c>
      <c r="F5713" s="0" t="n">
        <v>19.44</v>
      </c>
      <c r="G5713" s="0" t="n">
        <v>9.3312</v>
      </c>
      <c r="H5713" s="0" t="n">
        <v>0</v>
      </c>
      <c r="I5713" s="7" t="n">
        <f aca="false">YEAR(B5713)</f>
        <v>2015</v>
      </c>
      <c r="J5713" s="0" t="str">
        <f aca="false">I5713&amp;"-Q"&amp;ROUNDUP(MONTH(B5713)/3,0)</f>
        <v>2015-Q2</v>
      </c>
    </row>
    <row r="5714" customFormat="false" ht="15" hidden="false" customHeight="false" outlineLevel="0" collapsed="false">
      <c r="A5714" s="0" t="s">
        <v>2930</v>
      </c>
      <c r="B5714" s="6" t="n">
        <v>42947</v>
      </c>
      <c r="C5714" s="7" t="s">
        <v>45</v>
      </c>
      <c r="D5714" s="7" t="s">
        <v>64</v>
      </c>
      <c r="E5714" s="7" t="s">
        <v>39</v>
      </c>
      <c r="F5714" s="0" t="n">
        <v>36.792</v>
      </c>
      <c r="G5714" s="0" t="n">
        <v>4.1391</v>
      </c>
      <c r="H5714" s="0" t="n">
        <v>0.2</v>
      </c>
      <c r="I5714" s="7" t="n">
        <f aca="false">YEAR(B5714)</f>
        <v>2017</v>
      </c>
      <c r="J5714" s="0" t="str">
        <f aca="false">I5714&amp;"-Q"&amp;ROUNDUP(MONTH(B5714)/3,0)</f>
        <v>2017-Q3</v>
      </c>
    </row>
    <row r="5715" customFormat="false" ht="15" hidden="false" customHeight="false" outlineLevel="0" collapsed="false">
      <c r="A5715" s="0" t="s">
        <v>2931</v>
      </c>
      <c r="B5715" s="6" t="n">
        <v>41699</v>
      </c>
      <c r="C5715" s="7" t="s">
        <v>55</v>
      </c>
      <c r="D5715" s="7" t="s">
        <v>76</v>
      </c>
      <c r="E5715" s="7" t="s">
        <v>39</v>
      </c>
      <c r="F5715" s="0" t="n">
        <v>5.94</v>
      </c>
      <c r="G5715" s="0" t="n">
        <v>1.6038</v>
      </c>
      <c r="H5715" s="0" t="n">
        <v>0</v>
      </c>
      <c r="I5715" s="7" t="n">
        <f aca="false">YEAR(B5715)</f>
        <v>2014</v>
      </c>
      <c r="J5715" s="0" t="str">
        <f aca="false">I5715&amp;"-Q"&amp;ROUNDUP(MONTH(B5715)/3,0)</f>
        <v>2014-Q1</v>
      </c>
    </row>
    <row r="5716" customFormat="false" ht="15" hidden="false" customHeight="false" outlineLevel="0" collapsed="false">
      <c r="A5716" s="0" t="s">
        <v>2932</v>
      </c>
      <c r="B5716" s="6" t="n">
        <v>43003</v>
      </c>
      <c r="C5716" s="7" t="s">
        <v>29</v>
      </c>
      <c r="D5716" s="7" t="s">
        <v>83</v>
      </c>
      <c r="E5716" s="7" t="s">
        <v>35</v>
      </c>
      <c r="F5716" s="0" t="n">
        <v>177.55</v>
      </c>
      <c r="G5716" s="0" t="n">
        <v>47.9385</v>
      </c>
      <c r="H5716" s="0" t="n">
        <v>0</v>
      </c>
      <c r="I5716" s="7" t="n">
        <f aca="false">YEAR(B5716)</f>
        <v>2017</v>
      </c>
      <c r="J5716" s="0" t="str">
        <f aca="false">I5716&amp;"-Q"&amp;ROUNDUP(MONTH(B5716)/3,0)</f>
        <v>2017-Q3</v>
      </c>
    </row>
    <row r="5717" customFormat="false" ht="15" hidden="false" customHeight="false" outlineLevel="0" collapsed="false">
      <c r="A5717" s="0" t="s">
        <v>2933</v>
      </c>
      <c r="B5717" s="6" t="n">
        <v>42286</v>
      </c>
      <c r="C5717" s="7" t="s">
        <v>45</v>
      </c>
      <c r="D5717" s="7" t="s">
        <v>70</v>
      </c>
      <c r="E5717" s="7" t="s">
        <v>39</v>
      </c>
      <c r="F5717" s="0" t="n">
        <v>619.95</v>
      </c>
      <c r="G5717" s="0" t="n">
        <v>111.591</v>
      </c>
      <c r="H5717" s="0" t="n">
        <v>0</v>
      </c>
      <c r="I5717" s="7" t="n">
        <f aca="false">YEAR(B5717)</f>
        <v>2015</v>
      </c>
      <c r="J5717" s="0" t="str">
        <f aca="false">I5717&amp;"-Q"&amp;ROUNDUP(MONTH(B5717)/3,0)</f>
        <v>2015-Q4</v>
      </c>
    </row>
    <row r="5718" customFormat="false" ht="15" hidden="false" customHeight="false" outlineLevel="0" collapsed="false">
      <c r="A5718" s="0" t="s">
        <v>2933</v>
      </c>
      <c r="B5718" s="6" t="n">
        <v>42286</v>
      </c>
      <c r="C5718" s="7" t="s">
        <v>45</v>
      </c>
      <c r="D5718" s="7" t="s">
        <v>70</v>
      </c>
      <c r="E5718" s="7" t="s">
        <v>39</v>
      </c>
      <c r="F5718" s="0" t="n">
        <v>29.16</v>
      </c>
      <c r="G5718" s="0" t="n">
        <v>8.4564</v>
      </c>
      <c r="H5718" s="0" t="n">
        <v>0</v>
      </c>
      <c r="I5718" s="7" t="n">
        <f aca="false">YEAR(B5718)</f>
        <v>2015</v>
      </c>
      <c r="J5718" s="0" t="str">
        <f aca="false">I5718&amp;"-Q"&amp;ROUNDUP(MONTH(B5718)/3,0)</f>
        <v>2015-Q4</v>
      </c>
    </row>
    <row r="5719" customFormat="false" ht="15" hidden="false" customHeight="false" outlineLevel="0" collapsed="false">
      <c r="A5719" s="0" t="s">
        <v>2933</v>
      </c>
      <c r="B5719" s="6" t="n">
        <v>42286</v>
      </c>
      <c r="C5719" s="7" t="s">
        <v>45</v>
      </c>
      <c r="D5719" s="7" t="s">
        <v>70</v>
      </c>
      <c r="E5719" s="7" t="s">
        <v>35</v>
      </c>
      <c r="F5719" s="0" t="n">
        <v>57.96</v>
      </c>
      <c r="G5719" s="0" t="n">
        <v>27.2412</v>
      </c>
      <c r="H5719" s="0" t="n">
        <v>0</v>
      </c>
      <c r="I5719" s="7" t="n">
        <f aca="false">YEAR(B5719)</f>
        <v>2015</v>
      </c>
      <c r="J5719" s="0" t="str">
        <f aca="false">I5719&amp;"-Q"&amp;ROUNDUP(MONTH(B5719)/3,0)</f>
        <v>2015-Q4</v>
      </c>
    </row>
    <row r="5720" customFormat="false" ht="15" hidden="false" customHeight="false" outlineLevel="0" collapsed="false">
      <c r="A5720" s="0" t="s">
        <v>2933</v>
      </c>
      <c r="B5720" s="6" t="n">
        <v>42286</v>
      </c>
      <c r="C5720" s="7" t="s">
        <v>45</v>
      </c>
      <c r="D5720" s="7" t="s">
        <v>70</v>
      </c>
      <c r="E5720" s="7" t="s">
        <v>35</v>
      </c>
      <c r="F5720" s="0" t="n">
        <v>29.403</v>
      </c>
      <c r="G5720" s="0" t="n">
        <v>5.2272</v>
      </c>
      <c r="H5720" s="0" t="n">
        <v>0.1</v>
      </c>
      <c r="I5720" s="7" t="n">
        <f aca="false">YEAR(B5720)</f>
        <v>2015</v>
      </c>
      <c r="J5720" s="0" t="str">
        <f aca="false">I5720&amp;"-Q"&amp;ROUNDUP(MONTH(B5720)/3,0)</f>
        <v>2015-Q4</v>
      </c>
    </row>
    <row r="5721" customFormat="false" ht="15" hidden="false" customHeight="false" outlineLevel="0" collapsed="false">
      <c r="A5721" s="0" t="s">
        <v>2934</v>
      </c>
      <c r="B5721" s="6" t="n">
        <v>42823</v>
      </c>
      <c r="C5721" s="7" t="s">
        <v>45</v>
      </c>
      <c r="D5721" s="7" t="s">
        <v>74</v>
      </c>
      <c r="E5721" s="7" t="s">
        <v>35</v>
      </c>
      <c r="F5721" s="0" t="n">
        <v>81.4</v>
      </c>
      <c r="G5721" s="0" t="n">
        <v>21.164</v>
      </c>
      <c r="H5721" s="0" t="n">
        <v>0</v>
      </c>
      <c r="I5721" s="7" t="n">
        <f aca="false">YEAR(B5721)</f>
        <v>2017</v>
      </c>
      <c r="J5721" s="0" t="str">
        <f aca="false">I5721&amp;"-Q"&amp;ROUNDUP(MONTH(B5721)/3,0)</f>
        <v>2017-Q1</v>
      </c>
    </row>
    <row r="5722" customFormat="false" ht="15" hidden="false" customHeight="false" outlineLevel="0" collapsed="false">
      <c r="A5722" s="0" t="s">
        <v>2935</v>
      </c>
      <c r="B5722" s="6" t="n">
        <v>42322</v>
      </c>
      <c r="C5722" s="7" t="s">
        <v>33</v>
      </c>
      <c r="D5722" s="7" t="s">
        <v>102</v>
      </c>
      <c r="E5722" s="7" t="s">
        <v>35</v>
      </c>
      <c r="F5722" s="0" t="n">
        <v>8.72</v>
      </c>
      <c r="G5722" s="0" t="n">
        <v>2.289</v>
      </c>
      <c r="H5722" s="0" t="n">
        <v>0.2</v>
      </c>
      <c r="I5722" s="7" t="n">
        <f aca="false">YEAR(B5722)</f>
        <v>2015</v>
      </c>
      <c r="J5722" s="0" t="str">
        <f aca="false">I5722&amp;"-Q"&amp;ROUNDUP(MONTH(B5722)/3,0)</f>
        <v>2015-Q4</v>
      </c>
    </row>
    <row r="5723" customFormat="false" ht="15" hidden="false" customHeight="false" outlineLevel="0" collapsed="false">
      <c r="A5723" s="0" t="s">
        <v>2935</v>
      </c>
      <c r="B5723" s="6" t="n">
        <v>42322</v>
      </c>
      <c r="C5723" s="7" t="s">
        <v>33</v>
      </c>
      <c r="D5723" s="7" t="s">
        <v>102</v>
      </c>
      <c r="E5723" s="7" t="s">
        <v>39</v>
      </c>
      <c r="F5723" s="0" t="n">
        <v>91.176</v>
      </c>
      <c r="G5723" s="0" t="n">
        <v>4.5588</v>
      </c>
      <c r="H5723" s="0" t="n">
        <v>0.2</v>
      </c>
      <c r="I5723" s="7" t="n">
        <f aca="false">YEAR(B5723)</f>
        <v>2015</v>
      </c>
      <c r="J5723" s="0" t="str">
        <f aca="false">I5723&amp;"-Q"&amp;ROUNDUP(MONTH(B5723)/3,0)</f>
        <v>2015-Q4</v>
      </c>
    </row>
    <row r="5724" customFormat="false" ht="15" hidden="false" customHeight="false" outlineLevel="0" collapsed="false">
      <c r="A5724" s="0" t="s">
        <v>2935</v>
      </c>
      <c r="B5724" s="6" t="n">
        <v>42322</v>
      </c>
      <c r="C5724" s="7" t="s">
        <v>33</v>
      </c>
      <c r="D5724" s="7" t="s">
        <v>102</v>
      </c>
      <c r="E5724" s="7" t="s">
        <v>39</v>
      </c>
      <c r="F5724" s="0" t="n">
        <v>159.968</v>
      </c>
      <c r="G5724" s="0" t="n">
        <v>29.994</v>
      </c>
      <c r="H5724" s="0" t="n">
        <v>0.2</v>
      </c>
      <c r="I5724" s="7" t="n">
        <f aca="false">YEAR(B5724)</f>
        <v>2015</v>
      </c>
      <c r="J5724" s="0" t="str">
        <f aca="false">I5724&amp;"-Q"&amp;ROUNDUP(MONTH(B5724)/3,0)</f>
        <v>2015-Q4</v>
      </c>
    </row>
    <row r="5725" customFormat="false" ht="15" hidden="false" customHeight="false" outlineLevel="0" collapsed="false">
      <c r="A5725" s="0" t="s">
        <v>2936</v>
      </c>
      <c r="B5725" s="6" t="n">
        <v>42639</v>
      </c>
      <c r="C5725" s="7" t="s">
        <v>33</v>
      </c>
      <c r="D5725" s="7" t="s">
        <v>34</v>
      </c>
      <c r="E5725" s="7" t="s">
        <v>35</v>
      </c>
      <c r="F5725" s="0" t="n">
        <v>12.96</v>
      </c>
      <c r="G5725" s="0" t="n">
        <v>6.2208</v>
      </c>
      <c r="H5725" s="0" t="n">
        <v>0</v>
      </c>
      <c r="I5725" s="7" t="n">
        <f aca="false">YEAR(B5725)</f>
        <v>2016</v>
      </c>
      <c r="J5725" s="0" t="str">
        <f aca="false">I5725&amp;"-Q"&amp;ROUNDUP(MONTH(B5725)/3,0)</f>
        <v>2016-Q3</v>
      </c>
    </row>
    <row r="5726" customFormat="false" ht="15" hidden="false" customHeight="false" outlineLevel="0" collapsed="false">
      <c r="A5726" s="0" t="s">
        <v>2937</v>
      </c>
      <c r="B5726" s="6" t="n">
        <v>41904</v>
      </c>
      <c r="C5726" s="7" t="s">
        <v>45</v>
      </c>
      <c r="D5726" s="7" t="s">
        <v>64</v>
      </c>
      <c r="E5726" s="7" t="s">
        <v>35</v>
      </c>
      <c r="F5726" s="0" t="n">
        <v>331.536</v>
      </c>
      <c r="G5726" s="0" t="n">
        <v>-82.884</v>
      </c>
      <c r="H5726" s="0" t="n">
        <v>0.2</v>
      </c>
      <c r="I5726" s="7" t="n">
        <f aca="false">YEAR(B5726)</f>
        <v>2014</v>
      </c>
      <c r="J5726" s="0" t="str">
        <f aca="false">I5726&amp;"-Q"&amp;ROUNDUP(MONTH(B5726)/3,0)</f>
        <v>2014-Q3</v>
      </c>
    </row>
    <row r="5727" customFormat="false" ht="15" hidden="false" customHeight="false" outlineLevel="0" collapsed="false">
      <c r="A5727" s="0" t="s">
        <v>2938</v>
      </c>
      <c r="B5727" s="6" t="n">
        <v>42272</v>
      </c>
      <c r="C5727" s="7" t="s">
        <v>55</v>
      </c>
      <c r="D5727" s="7" t="s">
        <v>76</v>
      </c>
      <c r="E5727" s="7" t="s">
        <v>39</v>
      </c>
      <c r="F5727" s="0" t="n">
        <v>899.91</v>
      </c>
      <c r="G5727" s="0" t="n">
        <v>395.9604</v>
      </c>
      <c r="H5727" s="0" t="n">
        <v>0</v>
      </c>
      <c r="I5727" s="7" t="n">
        <f aca="false">YEAR(B5727)</f>
        <v>2015</v>
      </c>
      <c r="J5727" s="0" t="str">
        <f aca="false">I5727&amp;"-Q"&amp;ROUNDUP(MONTH(B5727)/3,0)</f>
        <v>2015-Q3</v>
      </c>
    </row>
    <row r="5728" customFormat="false" ht="15" hidden="false" customHeight="false" outlineLevel="0" collapsed="false">
      <c r="A5728" s="0" t="s">
        <v>2939</v>
      </c>
      <c r="B5728" s="6" t="n">
        <v>42128</v>
      </c>
      <c r="C5728" s="7" t="s">
        <v>45</v>
      </c>
      <c r="D5728" s="7" t="s">
        <v>46</v>
      </c>
      <c r="E5728" s="7" t="s">
        <v>39</v>
      </c>
      <c r="F5728" s="0" t="n">
        <v>946.344</v>
      </c>
      <c r="G5728" s="0" t="n">
        <v>118.293</v>
      </c>
      <c r="H5728" s="0" t="n">
        <v>0.2</v>
      </c>
      <c r="I5728" s="7" t="n">
        <f aca="false">YEAR(B5728)</f>
        <v>2015</v>
      </c>
      <c r="J5728" s="0" t="str">
        <f aca="false">I5728&amp;"-Q"&amp;ROUNDUP(MONTH(B5728)/3,0)</f>
        <v>2015-Q2</v>
      </c>
    </row>
    <row r="5729" customFormat="false" ht="15" hidden="false" customHeight="false" outlineLevel="0" collapsed="false">
      <c r="A5729" s="0" t="s">
        <v>2940</v>
      </c>
      <c r="B5729" s="6" t="n">
        <v>43077</v>
      </c>
      <c r="C5729" s="7" t="s">
        <v>45</v>
      </c>
      <c r="D5729" s="7" t="s">
        <v>48</v>
      </c>
      <c r="E5729" s="7" t="s">
        <v>39</v>
      </c>
      <c r="F5729" s="0" t="n">
        <v>178.11</v>
      </c>
      <c r="G5729" s="0" t="n">
        <v>32.0598</v>
      </c>
      <c r="H5729" s="0" t="n">
        <v>0</v>
      </c>
      <c r="I5729" s="7" t="n">
        <f aca="false">YEAR(B5729)</f>
        <v>2017</v>
      </c>
      <c r="J5729" s="0" t="str">
        <f aca="false">I5729&amp;"-Q"&amp;ROUNDUP(MONTH(B5729)/3,0)</f>
        <v>2017-Q4</v>
      </c>
    </row>
    <row r="5730" customFormat="false" ht="15" hidden="false" customHeight="false" outlineLevel="0" collapsed="false">
      <c r="A5730" s="0" t="s">
        <v>2940</v>
      </c>
      <c r="B5730" s="6" t="n">
        <v>43077</v>
      </c>
      <c r="C5730" s="7" t="s">
        <v>45</v>
      </c>
      <c r="D5730" s="7" t="s">
        <v>48</v>
      </c>
      <c r="E5730" s="7" t="s">
        <v>35</v>
      </c>
      <c r="F5730" s="0" t="n">
        <v>1089.75</v>
      </c>
      <c r="G5730" s="0" t="n">
        <v>305.13</v>
      </c>
      <c r="H5730" s="0" t="n">
        <v>0</v>
      </c>
      <c r="I5730" s="7" t="n">
        <f aca="false">YEAR(B5730)</f>
        <v>2017</v>
      </c>
      <c r="J5730" s="0" t="str">
        <f aca="false">I5730&amp;"-Q"&amp;ROUNDUP(MONTH(B5730)/3,0)</f>
        <v>2017-Q4</v>
      </c>
    </row>
    <row r="5731" customFormat="false" ht="15" hidden="false" customHeight="false" outlineLevel="0" collapsed="false">
      <c r="A5731" s="0" t="s">
        <v>2940</v>
      </c>
      <c r="B5731" s="6" t="n">
        <v>43077</v>
      </c>
      <c r="C5731" s="7" t="s">
        <v>45</v>
      </c>
      <c r="D5731" s="7" t="s">
        <v>48</v>
      </c>
      <c r="E5731" s="7" t="s">
        <v>35</v>
      </c>
      <c r="F5731" s="0" t="n">
        <v>61.06</v>
      </c>
      <c r="G5731" s="0" t="n">
        <v>28.0876</v>
      </c>
      <c r="H5731" s="0" t="n">
        <v>0</v>
      </c>
      <c r="I5731" s="7" t="n">
        <f aca="false">YEAR(B5731)</f>
        <v>2017</v>
      </c>
      <c r="J5731" s="0" t="str">
        <f aca="false">I5731&amp;"-Q"&amp;ROUNDUP(MONTH(B5731)/3,0)</f>
        <v>2017-Q4</v>
      </c>
    </row>
    <row r="5732" customFormat="false" ht="15" hidden="false" customHeight="false" outlineLevel="0" collapsed="false">
      <c r="A5732" s="0" t="s">
        <v>2940</v>
      </c>
      <c r="B5732" s="6" t="n">
        <v>43077</v>
      </c>
      <c r="C5732" s="7" t="s">
        <v>45</v>
      </c>
      <c r="D5732" s="7" t="s">
        <v>48</v>
      </c>
      <c r="E5732" s="7" t="s">
        <v>31</v>
      </c>
      <c r="F5732" s="0" t="n">
        <v>459.92</v>
      </c>
      <c r="G5732" s="0" t="n">
        <v>41.3928</v>
      </c>
      <c r="H5732" s="0" t="n">
        <v>0</v>
      </c>
      <c r="I5732" s="7" t="n">
        <f aca="false">YEAR(B5732)</f>
        <v>2017</v>
      </c>
      <c r="J5732" s="0" t="str">
        <f aca="false">I5732&amp;"-Q"&amp;ROUNDUP(MONTH(B5732)/3,0)</f>
        <v>2017-Q4</v>
      </c>
    </row>
    <row r="5733" customFormat="false" ht="15" hidden="false" customHeight="false" outlineLevel="0" collapsed="false">
      <c r="A5733" s="0" t="s">
        <v>2940</v>
      </c>
      <c r="B5733" s="6" t="n">
        <v>43077</v>
      </c>
      <c r="C5733" s="7" t="s">
        <v>45</v>
      </c>
      <c r="D5733" s="7" t="s">
        <v>48</v>
      </c>
      <c r="E5733" s="7" t="s">
        <v>35</v>
      </c>
      <c r="F5733" s="0" t="n">
        <v>27.52</v>
      </c>
      <c r="G5733" s="0" t="n">
        <v>12.6592</v>
      </c>
      <c r="H5733" s="0" t="n">
        <v>0</v>
      </c>
      <c r="I5733" s="7" t="n">
        <f aca="false">YEAR(B5733)</f>
        <v>2017</v>
      </c>
      <c r="J5733" s="0" t="str">
        <f aca="false">I5733&amp;"-Q"&amp;ROUNDUP(MONTH(B5733)/3,0)</f>
        <v>2017-Q4</v>
      </c>
    </row>
    <row r="5734" customFormat="false" ht="15" hidden="false" customHeight="false" outlineLevel="0" collapsed="false">
      <c r="A5734" s="0" t="s">
        <v>2941</v>
      </c>
      <c r="B5734" s="6" t="n">
        <v>42915</v>
      </c>
      <c r="C5734" s="7" t="s">
        <v>55</v>
      </c>
      <c r="D5734" s="7" t="s">
        <v>154</v>
      </c>
      <c r="E5734" s="7" t="s">
        <v>31</v>
      </c>
      <c r="F5734" s="0" t="n">
        <v>638.82</v>
      </c>
      <c r="G5734" s="0" t="n">
        <v>185.2578</v>
      </c>
      <c r="H5734" s="0" t="n">
        <v>0</v>
      </c>
      <c r="I5734" s="7" t="n">
        <f aca="false">YEAR(B5734)</f>
        <v>2017</v>
      </c>
      <c r="J5734" s="0" t="str">
        <f aca="false">I5734&amp;"-Q"&amp;ROUNDUP(MONTH(B5734)/3,0)</f>
        <v>2017-Q2</v>
      </c>
    </row>
    <row r="5735" customFormat="false" ht="15" hidden="false" customHeight="false" outlineLevel="0" collapsed="false">
      <c r="A5735" s="0" t="s">
        <v>2941</v>
      </c>
      <c r="B5735" s="6" t="n">
        <v>42915</v>
      </c>
      <c r="C5735" s="7" t="s">
        <v>55</v>
      </c>
      <c r="D5735" s="7" t="s">
        <v>154</v>
      </c>
      <c r="E5735" s="7" t="s">
        <v>35</v>
      </c>
      <c r="F5735" s="0" t="n">
        <v>30.69</v>
      </c>
      <c r="G5735" s="0" t="n">
        <v>7.9794</v>
      </c>
      <c r="H5735" s="0" t="n">
        <v>0</v>
      </c>
      <c r="I5735" s="7" t="n">
        <f aca="false">YEAR(B5735)</f>
        <v>2017</v>
      </c>
      <c r="J5735" s="0" t="str">
        <f aca="false">I5735&amp;"-Q"&amp;ROUNDUP(MONTH(B5735)/3,0)</f>
        <v>2017-Q2</v>
      </c>
    </row>
    <row r="5736" customFormat="false" ht="15" hidden="false" customHeight="false" outlineLevel="0" collapsed="false">
      <c r="A5736" s="0" t="s">
        <v>2941</v>
      </c>
      <c r="B5736" s="6" t="n">
        <v>42915</v>
      </c>
      <c r="C5736" s="7" t="s">
        <v>55</v>
      </c>
      <c r="D5736" s="7" t="s">
        <v>154</v>
      </c>
      <c r="E5736" s="7" t="s">
        <v>31</v>
      </c>
      <c r="F5736" s="0" t="n">
        <v>25.16</v>
      </c>
      <c r="G5736" s="0" t="n">
        <v>8.5544</v>
      </c>
      <c r="H5736" s="0" t="n">
        <v>0</v>
      </c>
      <c r="I5736" s="7" t="n">
        <f aca="false">YEAR(B5736)</f>
        <v>2017</v>
      </c>
      <c r="J5736" s="0" t="str">
        <f aca="false">I5736&amp;"-Q"&amp;ROUNDUP(MONTH(B5736)/3,0)</f>
        <v>2017-Q2</v>
      </c>
    </row>
    <row r="5737" customFormat="false" ht="15" hidden="false" customHeight="false" outlineLevel="0" collapsed="false">
      <c r="A5737" s="0" t="s">
        <v>2942</v>
      </c>
      <c r="B5737" s="6" t="n">
        <v>41819</v>
      </c>
      <c r="C5737" s="7" t="s">
        <v>55</v>
      </c>
      <c r="D5737" s="7" t="s">
        <v>76</v>
      </c>
      <c r="E5737" s="7" t="s">
        <v>35</v>
      </c>
      <c r="F5737" s="0" t="n">
        <v>13.92</v>
      </c>
      <c r="G5737" s="0" t="n">
        <v>4.872</v>
      </c>
      <c r="H5737" s="0" t="n">
        <v>0.2</v>
      </c>
      <c r="I5737" s="7" t="n">
        <f aca="false">YEAR(B5737)</f>
        <v>2014</v>
      </c>
      <c r="J5737" s="0" t="str">
        <f aca="false">I5737&amp;"-Q"&amp;ROUNDUP(MONTH(B5737)/3,0)</f>
        <v>2014-Q2</v>
      </c>
    </row>
    <row r="5738" customFormat="false" ht="15" hidden="false" customHeight="false" outlineLevel="0" collapsed="false">
      <c r="A5738" s="0" t="s">
        <v>2943</v>
      </c>
      <c r="B5738" s="6" t="n">
        <v>41659</v>
      </c>
      <c r="C5738" s="7" t="s">
        <v>33</v>
      </c>
      <c r="D5738" s="7" t="s">
        <v>34</v>
      </c>
      <c r="E5738" s="7" t="s">
        <v>35</v>
      </c>
      <c r="F5738" s="0" t="n">
        <v>19.36</v>
      </c>
      <c r="G5738" s="0" t="n">
        <v>9.2928</v>
      </c>
      <c r="H5738" s="0" t="n">
        <v>0</v>
      </c>
      <c r="I5738" s="7" t="n">
        <f aca="false">YEAR(B5738)</f>
        <v>2014</v>
      </c>
      <c r="J5738" s="0" t="str">
        <f aca="false">I5738&amp;"-Q"&amp;ROUNDUP(MONTH(B5738)/3,0)</f>
        <v>2014-Q1</v>
      </c>
    </row>
    <row r="5739" customFormat="false" ht="15" hidden="false" customHeight="false" outlineLevel="0" collapsed="false">
      <c r="A5739" s="0" t="s">
        <v>2943</v>
      </c>
      <c r="B5739" s="6" t="n">
        <v>41659</v>
      </c>
      <c r="C5739" s="7" t="s">
        <v>33</v>
      </c>
      <c r="D5739" s="7" t="s">
        <v>34</v>
      </c>
      <c r="E5739" s="7" t="s">
        <v>31</v>
      </c>
      <c r="F5739" s="0" t="n">
        <v>19.3</v>
      </c>
      <c r="G5739" s="0" t="n">
        <v>5.79</v>
      </c>
      <c r="H5739" s="0" t="n">
        <v>0</v>
      </c>
      <c r="I5739" s="7" t="n">
        <f aca="false">YEAR(B5739)</f>
        <v>2014</v>
      </c>
      <c r="J5739" s="0" t="str">
        <f aca="false">I5739&amp;"-Q"&amp;ROUNDUP(MONTH(B5739)/3,0)</f>
        <v>2014-Q1</v>
      </c>
    </row>
    <row r="5740" customFormat="false" ht="15" hidden="false" customHeight="false" outlineLevel="0" collapsed="false">
      <c r="A5740" s="0" t="s">
        <v>2944</v>
      </c>
      <c r="B5740" s="6" t="n">
        <v>42735</v>
      </c>
      <c r="C5740" s="7" t="s">
        <v>33</v>
      </c>
      <c r="D5740" s="7" t="s">
        <v>34</v>
      </c>
      <c r="E5740" s="7" t="s">
        <v>35</v>
      </c>
      <c r="F5740" s="0" t="n">
        <v>38.376</v>
      </c>
      <c r="G5740" s="0" t="n">
        <v>13.4316</v>
      </c>
      <c r="H5740" s="0" t="n">
        <v>0.2</v>
      </c>
      <c r="I5740" s="7" t="n">
        <f aca="false">YEAR(B5740)</f>
        <v>2016</v>
      </c>
      <c r="J5740" s="0" t="str">
        <f aca="false">I5740&amp;"-Q"&amp;ROUNDUP(MONTH(B5740)/3,0)</f>
        <v>2016-Q4</v>
      </c>
    </row>
    <row r="5741" customFormat="false" ht="15" hidden="false" customHeight="false" outlineLevel="0" collapsed="false">
      <c r="A5741" s="0" t="s">
        <v>2945</v>
      </c>
      <c r="B5741" s="6" t="n">
        <v>42822</v>
      </c>
      <c r="C5741" s="7" t="s">
        <v>33</v>
      </c>
      <c r="D5741" s="7" t="s">
        <v>34</v>
      </c>
      <c r="E5741" s="7" t="s">
        <v>35</v>
      </c>
      <c r="F5741" s="0" t="n">
        <v>12.96</v>
      </c>
      <c r="G5741" s="0" t="n">
        <v>6.3504</v>
      </c>
      <c r="H5741" s="0" t="n">
        <v>0</v>
      </c>
      <c r="I5741" s="7" t="n">
        <f aca="false">YEAR(B5741)</f>
        <v>2017</v>
      </c>
      <c r="J5741" s="0" t="str">
        <f aca="false">I5741&amp;"-Q"&amp;ROUNDUP(MONTH(B5741)/3,0)</f>
        <v>2017-Q1</v>
      </c>
    </row>
    <row r="5742" customFormat="false" ht="15" hidden="false" customHeight="false" outlineLevel="0" collapsed="false">
      <c r="A5742" s="0" t="s">
        <v>2945</v>
      </c>
      <c r="B5742" s="6" t="n">
        <v>42822</v>
      </c>
      <c r="C5742" s="7" t="s">
        <v>33</v>
      </c>
      <c r="D5742" s="7" t="s">
        <v>34</v>
      </c>
      <c r="E5742" s="7" t="s">
        <v>31</v>
      </c>
      <c r="F5742" s="0" t="n">
        <v>26.48</v>
      </c>
      <c r="G5742" s="0" t="n">
        <v>10.0624</v>
      </c>
      <c r="H5742" s="0" t="n">
        <v>0</v>
      </c>
      <c r="I5742" s="7" t="n">
        <f aca="false">YEAR(B5742)</f>
        <v>2017</v>
      </c>
      <c r="J5742" s="0" t="str">
        <f aca="false">I5742&amp;"-Q"&amp;ROUNDUP(MONTH(B5742)/3,0)</f>
        <v>2017-Q1</v>
      </c>
    </row>
    <row r="5743" customFormat="false" ht="15" hidden="false" customHeight="false" outlineLevel="0" collapsed="false">
      <c r="A5743" s="0" t="s">
        <v>2945</v>
      </c>
      <c r="B5743" s="6" t="n">
        <v>42822</v>
      </c>
      <c r="C5743" s="7" t="s">
        <v>33</v>
      </c>
      <c r="D5743" s="7" t="s">
        <v>34</v>
      </c>
      <c r="E5743" s="7" t="s">
        <v>39</v>
      </c>
      <c r="F5743" s="0" t="n">
        <v>532.72</v>
      </c>
      <c r="G5743" s="0" t="n">
        <v>53.272</v>
      </c>
      <c r="H5743" s="0" t="n">
        <v>0.2</v>
      </c>
      <c r="I5743" s="7" t="n">
        <f aca="false">YEAR(B5743)</f>
        <v>2017</v>
      </c>
      <c r="J5743" s="0" t="str">
        <f aca="false">I5743&amp;"-Q"&amp;ROUNDUP(MONTH(B5743)/3,0)</f>
        <v>2017-Q1</v>
      </c>
    </row>
    <row r="5744" customFormat="false" ht="15" hidden="false" customHeight="false" outlineLevel="0" collapsed="false">
      <c r="A5744" s="0" t="s">
        <v>2945</v>
      </c>
      <c r="B5744" s="6" t="n">
        <v>42822</v>
      </c>
      <c r="C5744" s="7" t="s">
        <v>33</v>
      </c>
      <c r="D5744" s="7" t="s">
        <v>34</v>
      </c>
      <c r="E5744" s="7" t="s">
        <v>35</v>
      </c>
      <c r="F5744" s="0" t="n">
        <v>26.72</v>
      </c>
      <c r="G5744" s="0" t="n">
        <v>12.8256</v>
      </c>
      <c r="H5744" s="0" t="n">
        <v>0</v>
      </c>
      <c r="I5744" s="7" t="n">
        <f aca="false">YEAR(B5744)</f>
        <v>2017</v>
      </c>
      <c r="J5744" s="0" t="str">
        <f aca="false">I5744&amp;"-Q"&amp;ROUNDUP(MONTH(B5744)/3,0)</f>
        <v>2017-Q1</v>
      </c>
    </row>
    <row r="5745" customFormat="false" ht="15" hidden="false" customHeight="false" outlineLevel="0" collapsed="false">
      <c r="A5745" s="0" t="s">
        <v>2945</v>
      </c>
      <c r="B5745" s="6" t="n">
        <v>42822</v>
      </c>
      <c r="C5745" s="7" t="s">
        <v>33</v>
      </c>
      <c r="D5745" s="7" t="s">
        <v>34</v>
      </c>
      <c r="E5745" s="7" t="s">
        <v>35</v>
      </c>
      <c r="F5745" s="0" t="n">
        <v>20.04</v>
      </c>
      <c r="G5745" s="0" t="n">
        <v>9.6192</v>
      </c>
      <c r="H5745" s="0" t="n">
        <v>0</v>
      </c>
      <c r="I5745" s="7" t="n">
        <f aca="false">YEAR(B5745)</f>
        <v>2017</v>
      </c>
      <c r="J5745" s="0" t="str">
        <f aca="false">I5745&amp;"-Q"&amp;ROUNDUP(MONTH(B5745)/3,0)</f>
        <v>2017-Q1</v>
      </c>
    </row>
    <row r="5746" customFormat="false" ht="15" hidden="false" customHeight="false" outlineLevel="0" collapsed="false">
      <c r="A5746" s="0" t="s">
        <v>2945</v>
      </c>
      <c r="B5746" s="6" t="n">
        <v>42822</v>
      </c>
      <c r="C5746" s="7" t="s">
        <v>33</v>
      </c>
      <c r="D5746" s="7" t="s">
        <v>34</v>
      </c>
      <c r="E5746" s="7" t="s">
        <v>35</v>
      </c>
      <c r="F5746" s="0" t="n">
        <v>795.48</v>
      </c>
      <c r="G5746" s="0" t="n">
        <v>7.9548</v>
      </c>
      <c r="H5746" s="0" t="n">
        <v>0</v>
      </c>
      <c r="I5746" s="7" t="n">
        <f aca="false">YEAR(B5746)</f>
        <v>2017</v>
      </c>
      <c r="J5746" s="0" t="str">
        <f aca="false">I5746&amp;"-Q"&amp;ROUNDUP(MONTH(B5746)/3,0)</f>
        <v>2017-Q1</v>
      </c>
    </row>
    <row r="5747" customFormat="false" ht="15" hidden="false" customHeight="false" outlineLevel="0" collapsed="false">
      <c r="A5747" s="0" t="s">
        <v>2945</v>
      </c>
      <c r="B5747" s="6" t="n">
        <v>42822</v>
      </c>
      <c r="C5747" s="7" t="s">
        <v>33</v>
      </c>
      <c r="D5747" s="7" t="s">
        <v>34</v>
      </c>
      <c r="E5747" s="7" t="s">
        <v>31</v>
      </c>
      <c r="F5747" s="0" t="n">
        <v>21.56</v>
      </c>
      <c r="G5747" s="0" t="n">
        <v>6.8992</v>
      </c>
      <c r="H5747" s="0" t="n">
        <v>0</v>
      </c>
      <c r="I5747" s="7" t="n">
        <f aca="false">YEAR(B5747)</f>
        <v>2017</v>
      </c>
      <c r="J5747" s="0" t="str">
        <f aca="false">I5747&amp;"-Q"&amp;ROUNDUP(MONTH(B5747)/3,0)</f>
        <v>2017-Q1</v>
      </c>
    </row>
    <row r="5748" customFormat="false" ht="15" hidden="false" customHeight="false" outlineLevel="0" collapsed="false">
      <c r="A5748" s="0" t="s">
        <v>2946</v>
      </c>
      <c r="B5748" s="6" t="n">
        <v>42712</v>
      </c>
      <c r="C5748" s="7" t="s">
        <v>29</v>
      </c>
      <c r="D5748" s="7" t="s">
        <v>41</v>
      </c>
      <c r="E5748" s="7" t="s">
        <v>39</v>
      </c>
      <c r="F5748" s="0" t="n">
        <v>249.584</v>
      </c>
      <c r="G5748" s="0" t="n">
        <v>31.198</v>
      </c>
      <c r="H5748" s="0" t="n">
        <v>0.2</v>
      </c>
      <c r="I5748" s="7" t="n">
        <f aca="false">YEAR(B5748)</f>
        <v>2016</v>
      </c>
      <c r="J5748" s="0" t="str">
        <f aca="false">I5748&amp;"-Q"&amp;ROUNDUP(MONTH(B5748)/3,0)</f>
        <v>2016-Q4</v>
      </c>
    </row>
    <row r="5749" customFormat="false" ht="15" hidden="false" customHeight="false" outlineLevel="0" collapsed="false">
      <c r="A5749" s="0" t="s">
        <v>2946</v>
      </c>
      <c r="B5749" s="6" t="n">
        <v>42712</v>
      </c>
      <c r="C5749" s="7" t="s">
        <v>29</v>
      </c>
      <c r="D5749" s="7" t="s">
        <v>41</v>
      </c>
      <c r="E5749" s="7" t="s">
        <v>39</v>
      </c>
      <c r="F5749" s="0" t="n">
        <v>68.112</v>
      </c>
      <c r="G5749" s="0" t="n">
        <v>17.8794</v>
      </c>
      <c r="H5749" s="0" t="n">
        <v>0.2</v>
      </c>
      <c r="I5749" s="7" t="n">
        <f aca="false">YEAR(B5749)</f>
        <v>2016</v>
      </c>
      <c r="J5749" s="0" t="str">
        <f aca="false">I5749&amp;"-Q"&amp;ROUNDUP(MONTH(B5749)/3,0)</f>
        <v>2016-Q4</v>
      </c>
    </row>
    <row r="5750" customFormat="false" ht="15" hidden="false" customHeight="false" outlineLevel="0" collapsed="false">
      <c r="A5750" s="0" t="s">
        <v>2946</v>
      </c>
      <c r="B5750" s="6" t="n">
        <v>42712</v>
      </c>
      <c r="C5750" s="7" t="s">
        <v>29</v>
      </c>
      <c r="D5750" s="7" t="s">
        <v>41</v>
      </c>
      <c r="E5750" s="7" t="s">
        <v>39</v>
      </c>
      <c r="F5750" s="0" t="n">
        <v>16.56</v>
      </c>
      <c r="G5750" s="0" t="n">
        <v>-2.484</v>
      </c>
      <c r="H5750" s="0" t="n">
        <v>0.2</v>
      </c>
      <c r="I5750" s="7" t="n">
        <f aca="false">YEAR(B5750)</f>
        <v>2016</v>
      </c>
      <c r="J5750" s="0" t="str">
        <f aca="false">I5750&amp;"-Q"&amp;ROUNDUP(MONTH(B5750)/3,0)</f>
        <v>2016-Q4</v>
      </c>
    </row>
    <row r="5751" customFormat="false" ht="15" hidden="false" customHeight="false" outlineLevel="0" collapsed="false">
      <c r="A5751" s="0" t="s">
        <v>2947</v>
      </c>
      <c r="B5751" s="6" t="n">
        <v>43057</v>
      </c>
      <c r="C5751" s="7" t="s">
        <v>55</v>
      </c>
      <c r="D5751" s="7" t="s">
        <v>76</v>
      </c>
      <c r="E5751" s="7" t="s">
        <v>39</v>
      </c>
      <c r="F5751" s="0" t="n">
        <v>74.95</v>
      </c>
      <c r="G5751" s="0" t="n">
        <v>36.7255</v>
      </c>
      <c r="H5751" s="0" t="n">
        <v>0</v>
      </c>
      <c r="I5751" s="7" t="n">
        <f aca="false">YEAR(B5751)</f>
        <v>2017</v>
      </c>
      <c r="J5751" s="0" t="str">
        <f aca="false">I5751&amp;"-Q"&amp;ROUNDUP(MONTH(B5751)/3,0)</f>
        <v>2017-Q4</v>
      </c>
    </row>
    <row r="5752" customFormat="false" ht="15" hidden="false" customHeight="false" outlineLevel="0" collapsed="false">
      <c r="A5752" s="0" t="s">
        <v>2948</v>
      </c>
      <c r="B5752" s="6" t="n">
        <v>41789</v>
      </c>
      <c r="C5752" s="7" t="s">
        <v>45</v>
      </c>
      <c r="D5752" s="7" t="s">
        <v>64</v>
      </c>
      <c r="E5752" s="7" t="s">
        <v>31</v>
      </c>
      <c r="F5752" s="0" t="n">
        <v>355.455</v>
      </c>
      <c r="G5752" s="0" t="n">
        <v>-184.8366</v>
      </c>
      <c r="H5752" s="0" t="n">
        <v>0.5</v>
      </c>
      <c r="I5752" s="7" t="n">
        <f aca="false">YEAR(B5752)</f>
        <v>2014</v>
      </c>
      <c r="J5752" s="0" t="str">
        <f aca="false">I5752&amp;"-Q"&amp;ROUNDUP(MONTH(B5752)/3,0)</f>
        <v>2014-Q2</v>
      </c>
    </row>
    <row r="5753" customFormat="false" ht="15" hidden="false" customHeight="false" outlineLevel="0" collapsed="false">
      <c r="A5753" s="0" t="s">
        <v>2949</v>
      </c>
      <c r="B5753" s="6" t="n">
        <v>42391</v>
      </c>
      <c r="C5753" s="7" t="s">
        <v>33</v>
      </c>
      <c r="D5753" s="7" t="s">
        <v>34</v>
      </c>
      <c r="E5753" s="7" t="s">
        <v>35</v>
      </c>
      <c r="F5753" s="0" t="n">
        <v>44.4</v>
      </c>
      <c r="G5753" s="0" t="n">
        <v>22.2</v>
      </c>
      <c r="H5753" s="0" t="n">
        <v>0</v>
      </c>
      <c r="I5753" s="7" t="n">
        <f aca="false">YEAR(B5753)</f>
        <v>2016</v>
      </c>
      <c r="J5753" s="0" t="str">
        <f aca="false">I5753&amp;"-Q"&amp;ROUNDUP(MONTH(B5753)/3,0)</f>
        <v>2016-Q1</v>
      </c>
    </row>
    <row r="5754" customFormat="false" ht="15" hidden="false" customHeight="false" outlineLevel="0" collapsed="false">
      <c r="A5754" s="0" t="s">
        <v>2949</v>
      </c>
      <c r="B5754" s="6" t="n">
        <v>42391</v>
      </c>
      <c r="C5754" s="7" t="s">
        <v>33</v>
      </c>
      <c r="D5754" s="7" t="s">
        <v>34</v>
      </c>
      <c r="E5754" s="7" t="s">
        <v>35</v>
      </c>
      <c r="F5754" s="0" t="n">
        <v>20.65</v>
      </c>
      <c r="G5754" s="0" t="n">
        <v>9.499</v>
      </c>
      <c r="H5754" s="0" t="n">
        <v>0</v>
      </c>
      <c r="I5754" s="7" t="n">
        <f aca="false">YEAR(B5754)</f>
        <v>2016</v>
      </c>
      <c r="J5754" s="0" t="str">
        <f aca="false">I5754&amp;"-Q"&amp;ROUNDUP(MONTH(B5754)/3,0)</f>
        <v>2016-Q1</v>
      </c>
    </row>
    <row r="5755" customFormat="false" ht="15" hidden="false" customHeight="false" outlineLevel="0" collapsed="false">
      <c r="A5755" s="0" t="s">
        <v>2950</v>
      </c>
      <c r="B5755" s="6" t="n">
        <v>42403</v>
      </c>
      <c r="C5755" s="7" t="s">
        <v>29</v>
      </c>
      <c r="D5755" s="7" t="s">
        <v>30</v>
      </c>
      <c r="E5755" s="7" t="s">
        <v>31</v>
      </c>
      <c r="F5755" s="0" t="n">
        <v>866.4</v>
      </c>
      <c r="G5755" s="0" t="n">
        <v>225.264</v>
      </c>
      <c r="H5755" s="0" t="n">
        <v>0</v>
      </c>
      <c r="I5755" s="7" t="n">
        <f aca="false">YEAR(B5755)</f>
        <v>2016</v>
      </c>
      <c r="J5755" s="0" t="str">
        <f aca="false">I5755&amp;"-Q"&amp;ROUNDUP(MONTH(B5755)/3,0)</f>
        <v>2016-Q1</v>
      </c>
    </row>
    <row r="5756" customFormat="false" ht="15" hidden="false" customHeight="false" outlineLevel="0" collapsed="false">
      <c r="A5756" s="0" t="s">
        <v>2951</v>
      </c>
      <c r="B5756" s="6" t="n">
        <v>42092</v>
      </c>
      <c r="C5756" s="7" t="s">
        <v>29</v>
      </c>
      <c r="D5756" s="7" t="s">
        <v>83</v>
      </c>
      <c r="E5756" s="7" t="s">
        <v>35</v>
      </c>
      <c r="F5756" s="0" t="n">
        <v>5.56</v>
      </c>
      <c r="G5756" s="0" t="n">
        <v>1.4456</v>
      </c>
      <c r="H5756" s="0" t="n">
        <v>0</v>
      </c>
      <c r="I5756" s="7" t="n">
        <f aca="false">YEAR(B5756)</f>
        <v>2015</v>
      </c>
      <c r="J5756" s="0" t="str">
        <f aca="false">I5756&amp;"-Q"&amp;ROUNDUP(MONTH(B5756)/3,0)</f>
        <v>2015-Q1</v>
      </c>
    </row>
    <row r="5757" customFormat="false" ht="15" hidden="false" customHeight="false" outlineLevel="0" collapsed="false">
      <c r="A5757" s="0" t="s">
        <v>2952</v>
      </c>
      <c r="B5757" s="6" t="n">
        <v>41926</v>
      </c>
      <c r="C5757" s="7" t="s">
        <v>45</v>
      </c>
      <c r="D5757" s="7" t="s">
        <v>46</v>
      </c>
      <c r="E5757" s="7" t="s">
        <v>35</v>
      </c>
      <c r="F5757" s="0" t="n">
        <v>3.16</v>
      </c>
      <c r="G5757" s="0" t="n">
        <v>-8.532</v>
      </c>
      <c r="H5757" s="0" t="n">
        <v>0.8</v>
      </c>
      <c r="I5757" s="7" t="n">
        <f aca="false">YEAR(B5757)</f>
        <v>2014</v>
      </c>
      <c r="J5757" s="0" t="str">
        <f aca="false">I5757&amp;"-Q"&amp;ROUNDUP(MONTH(B5757)/3,0)</f>
        <v>2014-Q4</v>
      </c>
    </row>
    <row r="5758" customFormat="false" ht="15" hidden="false" customHeight="false" outlineLevel="0" collapsed="false">
      <c r="A5758" s="0" t="s">
        <v>2952</v>
      </c>
      <c r="B5758" s="6" t="n">
        <v>41926</v>
      </c>
      <c r="C5758" s="7" t="s">
        <v>45</v>
      </c>
      <c r="D5758" s="7" t="s">
        <v>46</v>
      </c>
      <c r="E5758" s="7" t="s">
        <v>39</v>
      </c>
      <c r="F5758" s="0" t="n">
        <v>1999.96</v>
      </c>
      <c r="G5758" s="0" t="n">
        <v>624.9875</v>
      </c>
      <c r="H5758" s="0" t="n">
        <v>0.2</v>
      </c>
      <c r="I5758" s="7" t="n">
        <f aca="false">YEAR(B5758)</f>
        <v>2014</v>
      </c>
      <c r="J5758" s="0" t="str">
        <f aca="false">I5758&amp;"-Q"&amp;ROUNDUP(MONTH(B5758)/3,0)</f>
        <v>2014-Q4</v>
      </c>
    </row>
    <row r="5759" customFormat="false" ht="15" hidden="false" customHeight="false" outlineLevel="0" collapsed="false">
      <c r="A5759" s="0" t="s">
        <v>2953</v>
      </c>
      <c r="B5759" s="6" t="n">
        <v>42227</v>
      </c>
      <c r="C5759" s="7" t="s">
        <v>29</v>
      </c>
      <c r="D5759" s="7" t="s">
        <v>41</v>
      </c>
      <c r="E5759" s="7" t="s">
        <v>31</v>
      </c>
      <c r="F5759" s="0" t="n">
        <v>46.152</v>
      </c>
      <c r="G5759" s="0" t="n">
        <v>12.1149</v>
      </c>
      <c r="H5759" s="0" t="n">
        <v>0.2</v>
      </c>
      <c r="I5759" s="7" t="n">
        <f aca="false">YEAR(B5759)</f>
        <v>2015</v>
      </c>
      <c r="J5759" s="0" t="str">
        <f aca="false">I5759&amp;"-Q"&amp;ROUNDUP(MONTH(B5759)/3,0)</f>
        <v>2015-Q3</v>
      </c>
    </row>
    <row r="5760" customFormat="false" ht="15" hidden="false" customHeight="false" outlineLevel="0" collapsed="false">
      <c r="A5760" s="0" t="s">
        <v>2954</v>
      </c>
      <c r="B5760" s="6" t="n">
        <v>42330</v>
      </c>
      <c r="C5760" s="7" t="s">
        <v>29</v>
      </c>
      <c r="D5760" s="7" t="s">
        <v>37</v>
      </c>
      <c r="E5760" s="7" t="s">
        <v>39</v>
      </c>
      <c r="F5760" s="0" t="n">
        <v>32.985</v>
      </c>
      <c r="G5760" s="0" t="n">
        <v>-1.9791</v>
      </c>
      <c r="H5760" s="0" t="n">
        <v>0.5</v>
      </c>
      <c r="I5760" s="7" t="n">
        <f aca="false">YEAR(B5760)</f>
        <v>2015</v>
      </c>
      <c r="J5760" s="0" t="str">
        <f aca="false">I5760&amp;"-Q"&amp;ROUNDUP(MONTH(B5760)/3,0)</f>
        <v>2015-Q4</v>
      </c>
    </row>
    <row r="5761" customFormat="false" ht="15" hidden="false" customHeight="false" outlineLevel="0" collapsed="false">
      <c r="A5761" s="0" t="s">
        <v>2955</v>
      </c>
      <c r="B5761" s="6" t="n">
        <v>42734</v>
      </c>
      <c r="C5761" s="7" t="s">
        <v>33</v>
      </c>
      <c r="D5761" s="7" t="s">
        <v>34</v>
      </c>
      <c r="E5761" s="7" t="s">
        <v>35</v>
      </c>
      <c r="F5761" s="0" t="n">
        <v>481.32</v>
      </c>
      <c r="G5761" s="0" t="n">
        <v>125.1432</v>
      </c>
      <c r="H5761" s="0" t="n">
        <v>0</v>
      </c>
      <c r="I5761" s="7" t="n">
        <f aca="false">YEAR(B5761)</f>
        <v>2016</v>
      </c>
      <c r="J5761" s="0" t="str">
        <f aca="false">I5761&amp;"-Q"&amp;ROUNDUP(MONTH(B5761)/3,0)</f>
        <v>2016-Q4</v>
      </c>
    </row>
    <row r="5762" customFormat="false" ht="15" hidden="false" customHeight="false" outlineLevel="0" collapsed="false">
      <c r="A5762" s="0" t="s">
        <v>2955</v>
      </c>
      <c r="B5762" s="6" t="n">
        <v>42734</v>
      </c>
      <c r="C5762" s="7" t="s">
        <v>33</v>
      </c>
      <c r="D5762" s="7" t="s">
        <v>34</v>
      </c>
      <c r="E5762" s="7" t="s">
        <v>35</v>
      </c>
      <c r="F5762" s="0" t="n">
        <v>6.384</v>
      </c>
      <c r="G5762" s="0" t="n">
        <v>2.1546</v>
      </c>
      <c r="H5762" s="0" t="n">
        <v>0.2</v>
      </c>
      <c r="I5762" s="7" t="n">
        <f aca="false">YEAR(B5762)</f>
        <v>2016</v>
      </c>
      <c r="J5762" s="0" t="str">
        <f aca="false">I5762&amp;"-Q"&amp;ROUNDUP(MONTH(B5762)/3,0)</f>
        <v>2016-Q4</v>
      </c>
    </row>
    <row r="5763" customFormat="false" ht="15" hidden="false" customHeight="false" outlineLevel="0" collapsed="false">
      <c r="A5763" s="0" t="s">
        <v>2956</v>
      </c>
      <c r="B5763" s="6" t="n">
        <v>42959</v>
      </c>
      <c r="C5763" s="7" t="s">
        <v>33</v>
      </c>
      <c r="D5763" s="7" t="s">
        <v>34</v>
      </c>
      <c r="E5763" s="7" t="s">
        <v>35</v>
      </c>
      <c r="F5763" s="0" t="n">
        <v>542.94</v>
      </c>
      <c r="G5763" s="0" t="n">
        <v>152.0232</v>
      </c>
      <c r="H5763" s="0" t="n">
        <v>0</v>
      </c>
      <c r="I5763" s="7" t="n">
        <f aca="false">YEAR(B5763)</f>
        <v>2017</v>
      </c>
      <c r="J5763" s="0" t="str">
        <f aca="false">I5763&amp;"-Q"&amp;ROUNDUP(MONTH(B5763)/3,0)</f>
        <v>2017-Q3</v>
      </c>
    </row>
    <row r="5764" customFormat="false" ht="15" hidden="false" customHeight="false" outlineLevel="0" collapsed="false">
      <c r="A5764" s="0" t="s">
        <v>2956</v>
      </c>
      <c r="B5764" s="6" t="n">
        <v>42959</v>
      </c>
      <c r="C5764" s="7" t="s">
        <v>33</v>
      </c>
      <c r="D5764" s="7" t="s">
        <v>34</v>
      </c>
      <c r="E5764" s="7" t="s">
        <v>31</v>
      </c>
      <c r="F5764" s="0" t="n">
        <v>54.92</v>
      </c>
      <c r="G5764" s="0" t="n">
        <v>19.7712</v>
      </c>
      <c r="H5764" s="0" t="n">
        <v>0</v>
      </c>
      <c r="I5764" s="7" t="n">
        <f aca="false">YEAR(B5764)</f>
        <v>2017</v>
      </c>
      <c r="J5764" s="0" t="str">
        <f aca="false">I5764&amp;"-Q"&amp;ROUNDUP(MONTH(B5764)/3,0)</f>
        <v>2017-Q3</v>
      </c>
    </row>
    <row r="5765" customFormat="false" ht="15" hidden="false" customHeight="false" outlineLevel="0" collapsed="false">
      <c r="A5765" s="0" t="s">
        <v>2957</v>
      </c>
      <c r="B5765" s="6" t="n">
        <v>42311</v>
      </c>
      <c r="C5765" s="7" t="s">
        <v>55</v>
      </c>
      <c r="D5765" s="7" t="s">
        <v>76</v>
      </c>
      <c r="E5765" s="7" t="s">
        <v>31</v>
      </c>
      <c r="F5765" s="0" t="n">
        <v>1448.82</v>
      </c>
      <c r="G5765" s="0" t="n">
        <v>209.274</v>
      </c>
      <c r="H5765" s="0" t="n">
        <v>0.1</v>
      </c>
      <c r="I5765" s="7" t="n">
        <f aca="false">YEAR(B5765)</f>
        <v>2015</v>
      </c>
      <c r="J5765" s="0" t="str">
        <f aca="false">I5765&amp;"-Q"&amp;ROUNDUP(MONTH(B5765)/3,0)</f>
        <v>2015-Q4</v>
      </c>
    </row>
    <row r="5766" customFormat="false" ht="15" hidden="false" customHeight="false" outlineLevel="0" collapsed="false">
      <c r="A5766" s="0" t="s">
        <v>2958</v>
      </c>
      <c r="B5766" s="6" t="n">
        <v>42257</v>
      </c>
      <c r="C5766" s="7" t="s">
        <v>33</v>
      </c>
      <c r="D5766" s="7" t="s">
        <v>43</v>
      </c>
      <c r="E5766" s="7" t="s">
        <v>35</v>
      </c>
      <c r="F5766" s="0" t="n">
        <v>353.88</v>
      </c>
      <c r="G5766" s="0" t="n">
        <v>17.694</v>
      </c>
      <c r="H5766" s="0" t="n">
        <v>0</v>
      </c>
      <c r="I5766" s="7" t="n">
        <f aca="false">YEAR(B5766)</f>
        <v>2015</v>
      </c>
      <c r="J5766" s="0" t="str">
        <f aca="false">I5766&amp;"-Q"&amp;ROUNDUP(MONTH(B5766)/3,0)</f>
        <v>2015-Q3</v>
      </c>
    </row>
    <row r="5767" customFormat="false" ht="15" hidden="false" customHeight="false" outlineLevel="0" collapsed="false">
      <c r="A5767" s="0" t="s">
        <v>2959</v>
      </c>
      <c r="B5767" s="6" t="n">
        <v>41951</v>
      </c>
      <c r="C5767" s="7" t="s">
        <v>33</v>
      </c>
      <c r="D5767" s="7" t="s">
        <v>34</v>
      </c>
      <c r="E5767" s="7" t="s">
        <v>39</v>
      </c>
      <c r="F5767" s="0" t="n">
        <v>333.576</v>
      </c>
      <c r="G5767" s="0" t="n">
        <v>25.0182</v>
      </c>
      <c r="H5767" s="0" t="n">
        <v>0.2</v>
      </c>
      <c r="I5767" s="7" t="n">
        <f aca="false">YEAR(B5767)</f>
        <v>2014</v>
      </c>
      <c r="J5767" s="0" t="str">
        <f aca="false">I5767&amp;"-Q"&amp;ROUNDUP(MONTH(B5767)/3,0)</f>
        <v>2014-Q4</v>
      </c>
    </row>
    <row r="5768" customFormat="false" ht="15" hidden="false" customHeight="false" outlineLevel="0" collapsed="false">
      <c r="A5768" s="0" t="s">
        <v>2960</v>
      </c>
      <c r="B5768" s="6" t="n">
        <v>42651</v>
      </c>
      <c r="C5768" s="7" t="s">
        <v>45</v>
      </c>
      <c r="D5768" s="7" t="s">
        <v>46</v>
      </c>
      <c r="E5768" s="7" t="s">
        <v>35</v>
      </c>
      <c r="F5768" s="0" t="n">
        <v>60.144</v>
      </c>
      <c r="G5768" s="0" t="n">
        <v>20.2986</v>
      </c>
      <c r="H5768" s="0" t="n">
        <v>0.2</v>
      </c>
      <c r="I5768" s="7" t="n">
        <f aca="false">YEAR(B5768)</f>
        <v>2016</v>
      </c>
      <c r="J5768" s="0" t="str">
        <f aca="false">I5768&amp;"-Q"&amp;ROUNDUP(MONTH(B5768)/3,0)</f>
        <v>2016-Q4</v>
      </c>
    </row>
    <row r="5769" customFormat="false" ht="15" hidden="false" customHeight="false" outlineLevel="0" collapsed="false">
      <c r="A5769" s="0" t="s">
        <v>2961</v>
      </c>
      <c r="B5769" s="6" t="n">
        <v>42986</v>
      </c>
      <c r="C5769" s="7" t="s">
        <v>45</v>
      </c>
      <c r="D5769" s="7" t="s">
        <v>46</v>
      </c>
      <c r="E5769" s="7" t="s">
        <v>39</v>
      </c>
      <c r="F5769" s="0" t="n">
        <v>85.2</v>
      </c>
      <c r="G5769" s="0" t="n">
        <v>20.235</v>
      </c>
      <c r="H5769" s="0" t="n">
        <v>0.2</v>
      </c>
      <c r="I5769" s="7" t="n">
        <f aca="false">YEAR(B5769)</f>
        <v>2017</v>
      </c>
      <c r="J5769" s="0" t="str">
        <f aca="false">I5769&amp;"-Q"&amp;ROUNDUP(MONTH(B5769)/3,0)</f>
        <v>2017-Q3</v>
      </c>
    </row>
    <row r="5770" customFormat="false" ht="15" hidden="false" customHeight="false" outlineLevel="0" collapsed="false">
      <c r="A5770" s="0" t="s">
        <v>2962</v>
      </c>
      <c r="B5770" s="6" t="n">
        <v>42060</v>
      </c>
      <c r="C5770" s="7" t="s">
        <v>55</v>
      </c>
      <c r="D5770" s="7" t="s">
        <v>225</v>
      </c>
      <c r="E5770" s="7" t="s">
        <v>35</v>
      </c>
      <c r="F5770" s="0" t="n">
        <v>3.15</v>
      </c>
      <c r="G5770" s="0" t="n">
        <v>1.512</v>
      </c>
      <c r="H5770" s="0" t="n">
        <v>0</v>
      </c>
      <c r="I5770" s="7" t="n">
        <f aca="false">YEAR(B5770)</f>
        <v>2015</v>
      </c>
      <c r="J5770" s="0" t="str">
        <f aca="false">I5770&amp;"-Q"&amp;ROUNDUP(MONTH(B5770)/3,0)</f>
        <v>2015-Q1</v>
      </c>
    </row>
    <row r="5771" customFormat="false" ht="15" hidden="false" customHeight="false" outlineLevel="0" collapsed="false">
      <c r="A5771" s="0" t="s">
        <v>2962</v>
      </c>
      <c r="B5771" s="6" t="n">
        <v>42060</v>
      </c>
      <c r="C5771" s="7" t="s">
        <v>55</v>
      </c>
      <c r="D5771" s="7" t="s">
        <v>225</v>
      </c>
      <c r="E5771" s="7" t="s">
        <v>35</v>
      </c>
      <c r="F5771" s="0" t="n">
        <v>22.72</v>
      </c>
      <c r="G5771" s="0" t="n">
        <v>10.224</v>
      </c>
      <c r="H5771" s="0" t="n">
        <v>0</v>
      </c>
      <c r="I5771" s="7" t="n">
        <f aca="false">YEAR(B5771)</f>
        <v>2015</v>
      </c>
      <c r="J5771" s="0" t="str">
        <f aca="false">I5771&amp;"-Q"&amp;ROUNDUP(MONTH(B5771)/3,0)</f>
        <v>2015-Q1</v>
      </c>
    </row>
    <row r="5772" customFormat="false" ht="15" hidden="false" customHeight="false" outlineLevel="0" collapsed="false">
      <c r="A5772" s="0" t="s">
        <v>2963</v>
      </c>
      <c r="B5772" s="6" t="n">
        <v>42271</v>
      </c>
      <c r="C5772" s="7" t="s">
        <v>33</v>
      </c>
      <c r="D5772" s="7" t="s">
        <v>34</v>
      </c>
      <c r="E5772" s="7" t="s">
        <v>31</v>
      </c>
      <c r="F5772" s="0" t="n">
        <v>14.91</v>
      </c>
      <c r="G5772" s="0" t="n">
        <v>4.6221</v>
      </c>
      <c r="H5772" s="0" t="n">
        <v>0</v>
      </c>
      <c r="I5772" s="7" t="n">
        <f aca="false">YEAR(B5772)</f>
        <v>2015</v>
      </c>
      <c r="J5772" s="0" t="str">
        <f aca="false">I5772&amp;"-Q"&amp;ROUNDUP(MONTH(B5772)/3,0)</f>
        <v>2015-Q3</v>
      </c>
    </row>
    <row r="5773" customFormat="false" ht="15" hidden="false" customHeight="false" outlineLevel="0" collapsed="false">
      <c r="A5773" s="0" t="s">
        <v>2963</v>
      </c>
      <c r="B5773" s="6" t="n">
        <v>42271</v>
      </c>
      <c r="C5773" s="7" t="s">
        <v>33</v>
      </c>
      <c r="D5773" s="7" t="s">
        <v>34</v>
      </c>
      <c r="E5773" s="7" t="s">
        <v>35</v>
      </c>
      <c r="F5773" s="0" t="n">
        <v>1158.12</v>
      </c>
      <c r="G5773" s="0" t="n">
        <v>335.8548</v>
      </c>
      <c r="H5773" s="0" t="n">
        <v>0</v>
      </c>
      <c r="I5773" s="7" t="n">
        <f aca="false">YEAR(B5773)</f>
        <v>2015</v>
      </c>
      <c r="J5773" s="0" t="str">
        <f aca="false">I5773&amp;"-Q"&amp;ROUNDUP(MONTH(B5773)/3,0)</f>
        <v>2015-Q3</v>
      </c>
    </row>
    <row r="5774" customFormat="false" ht="15" hidden="false" customHeight="false" outlineLevel="0" collapsed="false">
      <c r="A5774" s="0" t="s">
        <v>2964</v>
      </c>
      <c r="B5774" s="6" t="n">
        <v>42334</v>
      </c>
      <c r="C5774" s="7" t="s">
        <v>45</v>
      </c>
      <c r="D5774" s="7" t="s">
        <v>129</v>
      </c>
      <c r="E5774" s="7" t="s">
        <v>39</v>
      </c>
      <c r="F5774" s="0" t="n">
        <v>599.99</v>
      </c>
      <c r="G5774" s="0" t="n">
        <v>233.9961</v>
      </c>
      <c r="H5774" s="0" t="n">
        <v>0</v>
      </c>
      <c r="I5774" s="7" t="n">
        <f aca="false">YEAR(B5774)</f>
        <v>2015</v>
      </c>
      <c r="J5774" s="0" t="str">
        <f aca="false">I5774&amp;"-Q"&amp;ROUNDUP(MONTH(B5774)/3,0)</f>
        <v>2015-Q4</v>
      </c>
    </row>
    <row r="5775" customFormat="false" ht="15" hidden="false" customHeight="false" outlineLevel="0" collapsed="false">
      <c r="A5775" s="0" t="s">
        <v>2965</v>
      </c>
      <c r="B5775" s="6" t="n">
        <v>42613</v>
      </c>
      <c r="C5775" s="7" t="s">
        <v>45</v>
      </c>
      <c r="D5775" s="7" t="s">
        <v>46</v>
      </c>
      <c r="E5775" s="7" t="s">
        <v>35</v>
      </c>
      <c r="F5775" s="0" t="n">
        <v>23.968</v>
      </c>
      <c r="G5775" s="0" t="n">
        <v>2.3968</v>
      </c>
      <c r="H5775" s="0" t="n">
        <v>0.2</v>
      </c>
      <c r="I5775" s="7" t="n">
        <f aca="false">YEAR(B5775)</f>
        <v>2016</v>
      </c>
      <c r="J5775" s="0" t="str">
        <f aca="false">I5775&amp;"-Q"&amp;ROUNDUP(MONTH(B5775)/3,0)</f>
        <v>2016-Q3</v>
      </c>
    </row>
    <row r="5776" customFormat="false" ht="15" hidden="false" customHeight="false" outlineLevel="0" collapsed="false">
      <c r="A5776" s="0" t="s">
        <v>2966</v>
      </c>
      <c r="B5776" s="6" t="n">
        <v>42472</v>
      </c>
      <c r="C5776" s="7" t="s">
        <v>33</v>
      </c>
      <c r="D5776" s="7" t="s">
        <v>34</v>
      </c>
      <c r="E5776" s="7" t="s">
        <v>31</v>
      </c>
      <c r="F5776" s="0" t="n">
        <v>638.288</v>
      </c>
      <c r="G5776" s="0" t="n">
        <v>-31.9144</v>
      </c>
      <c r="H5776" s="0" t="n">
        <v>0.2</v>
      </c>
      <c r="I5776" s="7" t="n">
        <f aca="false">YEAR(B5776)</f>
        <v>2016</v>
      </c>
      <c r="J5776" s="0" t="str">
        <f aca="false">I5776&amp;"-Q"&amp;ROUNDUP(MONTH(B5776)/3,0)</f>
        <v>2016-Q2</v>
      </c>
    </row>
    <row r="5777" customFormat="false" ht="15" hidden="false" customHeight="false" outlineLevel="0" collapsed="false">
      <c r="A5777" s="0" t="s">
        <v>2966</v>
      </c>
      <c r="B5777" s="6" t="n">
        <v>42472</v>
      </c>
      <c r="C5777" s="7" t="s">
        <v>33</v>
      </c>
      <c r="D5777" s="7" t="s">
        <v>34</v>
      </c>
      <c r="E5777" s="7" t="s">
        <v>35</v>
      </c>
      <c r="F5777" s="0" t="n">
        <v>13.208</v>
      </c>
      <c r="G5777" s="0" t="n">
        <v>4.6228</v>
      </c>
      <c r="H5777" s="0" t="n">
        <v>0.2</v>
      </c>
      <c r="I5777" s="7" t="n">
        <f aca="false">YEAR(B5777)</f>
        <v>2016</v>
      </c>
      <c r="J5777" s="0" t="str">
        <f aca="false">I5777&amp;"-Q"&amp;ROUNDUP(MONTH(B5777)/3,0)</f>
        <v>2016-Q2</v>
      </c>
    </row>
    <row r="5778" customFormat="false" ht="15" hidden="false" customHeight="false" outlineLevel="0" collapsed="false">
      <c r="A5778" s="0" t="s">
        <v>2967</v>
      </c>
      <c r="B5778" s="6" t="n">
        <v>42708</v>
      </c>
      <c r="C5778" s="7" t="s">
        <v>55</v>
      </c>
      <c r="D5778" s="7" t="s">
        <v>76</v>
      </c>
      <c r="E5778" s="7" t="s">
        <v>35</v>
      </c>
      <c r="F5778" s="0" t="n">
        <v>15.528</v>
      </c>
      <c r="G5778" s="0" t="n">
        <v>5.823</v>
      </c>
      <c r="H5778" s="0" t="n">
        <v>0.2</v>
      </c>
      <c r="I5778" s="7" t="n">
        <f aca="false">YEAR(B5778)</f>
        <v>2016</v>
      </c>
      <c r="J5778" s="0" t="str">
        <f aca="false">I5778&amp;"-Q"&amp;ROUNDUP(MONTH(B5778)/3,0)</f>
        <v>2016-Q4</v>
      </c>
    </row>
    <row r="5779" customFormat="false" ht="15" hidden="false" customHeight="false" outlineLevel="0" collapsed="false">
      <c r="A5779" s="0" t="s">
        <v>2968</v>
      </c>
      <c r="B5779" s="6" t="n">
        <v>42708</v>
      </c>
      <c r="C5779" s="7" t="s">
        <v>33</v>
      </c>
      <c r="D5779" s="7" t="s">
        <v>34</v>
      </c>
      <c r="E5779" s="7" t="s">
        <v>35</v>
      </c>
      <c r="F5779" s="0" t="n">
        <v>104.85</v>
      </c>
      <c r="G5779" s="0" t="n">
        <v>50.328</v>
      </c>
      <c r="H5779" s="0" t="n">
        <v>0</v>
      </c>
      <c r="I5779" s="7" t="n">
        <f aca="false">YEAR(B5779)</f>
        <v>2016</v>
      </c>
      <c r="J5779" s="0" t="str">
        <f aca="false">I5779&amp;"-Q"&amp;ROUNDUP(MONTH(B5779)/3,0)</f>
        <v>2016-Q4</v>
      </c>
    </row>
    <row r="5780" customFormat="false" ht="15" hidden="false" customHeight="false" outlineLevel="0" collapsed="false">
      <c r="A5780" s="0" t="s">
        <v>2969</v>
      </c>
      <c r="B5780" s="6" t="n">
        <v>41954</v>
      </c>
      <c r="C5780" s="7" t="s">
        <v>33</v>
      </c>
      <c r="D5780" s="7" t="s">
        <v>34</v>
      </c>
      <c r="E5780" s="7" t="s">
        <v>35</v>
      </c>
      <c r="F5780" s="0" t="n">
        <v>30.48</v>
      </c>
      <c r="G5780" s="0" t="n">
        <v>7.9248</v>
      </c>
      <c r="H5780" s="0" t="n">
        <v>0</v>
      </c>
      <c r="I5780" s="7" t="n">
        <f aca="false">YEAR(B5780)</f>
        <v>2014</v>
      </c>
      <c r="J5780" s="0" t="str">
        <f aca="false">I5780&amp;"-Q"&amp;ROUNDUP(MONTH(B5780)/3,0)</f>
        <v>2014-Q4</v>
      </c>
    </row>
    <row r="5781" customFormat="false" ht="15" hidden="false" customHeight="false" outlineLevel="0" collapsed="false">
      <c r="A5781" s="0" t="s">
        <v>2969</v>
      </c>
      <c r="B5781" s="6" t="n">
        <v>41954</v>
      </c>
      <c r="C5781" s="7" t="s">
        <v>33</v>
      </c>
      <c r="D5781" s="7" t="s">
        <v>34</v>
      </c>
      <c r="E5781" s="7" t="s">
        <v>31</v>
      </c>
      <c r="F5781" s="0" t="n">
        <v>112.648</v>
      </c>
      <c r="G5781" s="0" t="n">
        <v>11.2648</v>
      </c>
      <c r="H5781" s="0" t="n">
        <v>0.2</v>
      </c>
      <c r="I5781" s="7" t="n">
        <f aca="false">YEAR(B5781)</f>
        <v>2014</v>
      </c>
      <c r="J5781" s="0" t="str">
        <f aca="false">I5781&amp;"-Q"&amp;ROUNDUP(MONTH(B5781)/3,0)</f>
        <v>2014-Q4</v>
      </c>
    </row>
    <row r="5782" customFormat="false" ht="15" hidden="false" customHeight="false" outlineLevel="0" collapsed="false">
      <c r="A5782" s="0" t="s">
        <v>2970</v>
      </c>
      <c r="B5782" s="6" t="n">
        <v>42096</v>
      </c>
      <c r="C5782" s="7" t="s">
        <v>33</v>
      </c>
      <c r="D5782" s="7" t="s">
        <v>34</v>
      </c>
      <c r="E5782" s="7" t="s">
        <v>39</v>
      </c>
      <c r="F5782" s="0" t="n">
        <v>71.976</v>
      </c>
      <c r="G5782" s="0" t="n">
        <v>24.2919</v>
      </c>
      <c r="H5782" s="0" t="n">
        <v>0.2</v>
      </c>
      <c r="I5782" s="7" t="n">
        <f aca="false">YEAR(B5782)</f>
        <v>2015</v>
      </c>
      <c r="J5782" s="0" t="str">
        <f aca="false">I5782&amp;"-Q"&amp;ROUNDUP(MONTH(B5782)/3,0)</f>
        <v>2015-Q2</v>
      </c>
    </row>
    <row r="5783" customFormat="false" ht="15" hidden="false" customHeight="false" outlineLevel="0" collapsed="false">
      <c r="A5783" s="0" t="s">
        <v>2971</v>
      </c>
      <c r="B5783" s="6" t="n">
        <v>42350</v>
      </c>
      <c r="C5783" s="7" t="s">
        <v>33</v>
      </c>
      <c r="D5783" s="7" t="s">
        <v>34</v>
      </c>
      <c r="E5783" s="7" t="s">
        <v>35</v>
      </c>
      <c r="F5783" s="0" t="n">
        <v>2.21</v>
      </c>
      <c r="G5783" s="0" t="n">
        <v>0.5967</v>
      </c>
      <c r="H5783" s="0" t="n">
        <v>0</v>
      </c>
      <c r="I5783" s="7" t="n">
        <f aca="false">YEAR(B5783)</f>
        <v>2015</v>
      </c>
      <c r="J5783" s="0" t="str">
        <f aca="false">I5783&amp;"-Q"&amp;ROUNDUP(MONTH(B5783)/3,0)</f>
        <v>2015-Q4</v>
      </c>
    </row>
    <row r="5784" customFormat="false" ht="15" hidden="false" customHeight="false" outlineLevel="0" collapsed="false">
      <c r="A5784" s="0" t="s">
        <v>2971</v>
      </c>
      <c r="B5784" s="6" t="n">
        <v>42350</v>
      </c>
      <c r="C5784" s="7" t="s">
        <v>33</v>
      </c>
      <c r="D5784" s="7" t="s">
        <v>34</v>
      </c>
      <c r="E5784" s="7" t="s">
        <v>35</v>
      </c>
      <c r="F5784" s="0" t="n">
        <v>15.52</v>
      </c>
      <c r="G5784" s="0" t="n">
        <v>7.4496</v>
      </c>
      <c r="H5784" s="0" t="n">
        <v>0</v>
      </c>
      <c r="I5784" s="7" t="n">
        <f aca="false">YEAR(B5784)</f>
        <v>2015</v>
      </c>
      <c r="J5784" s="0" t="str">
        <f aca="false">I5784&amp;"-Q"&amp;ROUNDUP(MONTH(B5784)/3,0)</f>
        <v>2015-Q4</v>
      </c>
    </row>
    <row r="5785" customFormat="false" ht="15" hidden="false" customHeight="false" outlineLevel="0" collapsed="false">
      <c r="A5785" s="0" t="s">
        <v>2971</v>
      </c>
      <c r="B5785" s="6" t="n">
        <v>42350</v>
      </c>
      <c r="C5785" s="7" t="s">
        <v>33</v>
      </c>
      <c r="D5785" s="7" t="s">
        <v>34</v>
      </c>
      <c r="E5785" s="7" t="s">
        <v>35</v>
      </c>
      <c r="F5785" s="0" t="n">
        <v>36.44</v>
      </c>
      <c r="G5785" s="0" t="n">
        <v>16.398</v>
      </c>
      <c r="H5785" s="0" t="n">
        <v>0</v>
      </c>
      <c r="I5785" s="7" t="n">
        <f aca="false">YEAR(B5785)</f>
        <v>2015</v>
      </c>
      <c r="J5785" s="0" t="str">
        <f aca="false">I5785&amp;"-Q"&amp;ROUNDUP(MONTH(B5785)/3,0)</f>
        <v>2015-Q4</v>
      </c>
    </row>
    <row r="5786" customFormat="false" ht="15" hidden="false" customHeight="false" outlineLevel="0" collapsed="false">
      <c r="A5786" s="0" t="s">
        <v>2972</v>
      </c>
      <c r="B5786" s="6" t="n">
        <v>43010</v>
      </c>
      <c r="C5786" s="7" t="s">
        <v>33</v>
      </c>
      <c r="D5786" s="7" t="s">
        <v>102</v>
      </c>
      <c r="E5786" s="7" t="s">
        <v>31</v>
      </c>
      <c r="F5786" s="0" t="n">
        <v>217.764</v>
      </c>
      <c r="G5786" s="0" t="n">
        <v>-384.7164</v>
      </c>
      <c r="H5786" s="0" t="n">
        <v>0.7</v>
      </c>
      <c r="I5786" s="7" t="n">
        <f aca="false">YEAR(B5786)</f>
        <v>2017</v>
      </c>
      <c r="J5786" s="0" t="str">
        <f aca="false">I5786&amp;"-Q"&amp;ROUNDUP(MONTH(B5786)/3,0)</f>
        <v>2017-Q4</v>
      </c>
    </row>
    <row r="5787" customFormat="false" ht="15" hidden="false" customHeight="false" outlineLevel="0" collapsed="false">
      <c r="A5787" s="0" t="s">
        <v>2972</v>
      </c>
      <c r="B5787" s="6" t="n">
        <v>43010</v>
      </c>
      <c r="C5787" s="7" t="s">
        <v>33</v>
      </c>
      <c r="D5787" s="7" t="s">
        <v>102</v>
      </c>
      <c r="E5787" s="7" t="s">
        <v>35</v>
      </c>
      <c r="F5787" s="0" t="n">
        <v>39.072</v>
      </c>
      <c r="G5787" s="0" t="n">
        <v>4.3956</v>
      </c>
      <c r="H5787" s="0" t="n">
        <v>0.2</v>
      </c>
      <c r="I5787" s="7" t="n">
        <f aca="false">YEAR(B5787)</f>
        <v>2017</v>
      </c>
      <c r="J5787" s="0" t="str">
        <f aca="false">I5787&amp;"-Q"&amp;ROUNDUP(MONTH(B5787)/3,0)</f>
        <v>2017-Q4</v>
      </c>
    </row>
    <row r="5788" customFormat="false" ht="15" hidden="false" customHeight="false" outlineLevel="0" collapsed="false">
      <c r="A5788" s="0" t="s">
        <v>2972</v>
      </c>
      <c r="B5788" s="6" t="n">
        <v>43010</v>
      </c>
      <c r="C5788" s="7" t="s">
        <v>33</v>
      </c>
      <c r="D5788" s="7" t="s">
        <v>102</v>
      </c>
      <c r="E5788" s="7" t="s">
        <v>35</v>
      </c>
      <c r="F5788" s="0" t="n">
        <v>22.638</v>
      </c>
      <c r="G5788" s="0" t="n">
        <v>-16.6012</v>
      </c>
      <c r="H5788" s="0" t="n">
        <v>0.7</v>
      </c>
      <c r="I5788" s="7" t="n">
        <f aca="false">YEAR(B5788)</f>
        <v>2017</v>
      </c>
      <c r="J5788" s="0" t="str">
        <f aca="false">I5788&amp;"-Q"&amp;ROUNDUP(MONTH(B5788)/3,0)</f>
        <v>2017-Q4</v>
      </c>
    </row>
    <row r="5789" customFormat="false" ht="15" hidden="false" customHeight="false" outlineLevel="0" collapsed="false">
      <c r="A5789" s="0" t="s">
        <v>2972</v>
      </c>
      <c r="B5789" s="6" t="n">
        <v>43010</v>
      </c>
      <c r="C5789" s="7" t="s">
        <v>33</v>
      </c>
      <c r="D5789" s="7" t="s">
        <v>102</v>
      </c>
      <c r="E5789" s="7" t="s">
        <v>35</v>
      </c>
      <c r="F5789" s="0" t="n">
        <v>95.144</v>
      </c>
      <c r="G5789" s="0" t="n">
        <v>10.7037</v>
      </c>
      <c r="H5789" s="0" t="n">
        <v>0.2</v>
      </c>
      <c r="I5789" s="7" t="n">
        <f aca="false">YEAR(B5789)</f>
        <v>2017</v>
      </c>
      <c r="J5789" s="0" t="str">
        <f aca="false">I5789&amp;"-Q"&amp;ROUNDUP(MONTH(B5789)/3,0)</f>
        <v>2017-Q4</v>
      </c>
    </row>
    <row r="5790" customFormat="false" ht="15" hidden="false" customHeight="false" outlineLevel="0" collapsed="false">
      <c r="A5790" s="0" t="s">
        <v>2973</v>
      </c>
      <c r="B5790" s="6" t="n">
        <v>42835</v>
      </c>
      <c r="C5790" s="7" t="s">
        <v>29</v>
      </c>
      <c r="D5790" s="7" t="s">
        <v>37</v>
      </c>
      <c r="E5790" s="7" t="s">
        <v>31</v>
      </c>
      <c r="F5790" s="0" t="n">
        <v>12.32</v>
      </c>
      <c r="G5790" s="0" t="n">
        <v>1.848</v>
      </c>
      <c r="H5790" s="0" t="n">
        <v>0.2</v>
      </c>
      <c r="I5790" s="7" t="n">
        <f aca="false">YEAR(B5790)</f>
        <v>2017</v>
      </c>
      <c r="J5790" s="0" t="str">
        <f aca="false">I5790&amp;"-Q"&amp;ROUNDUP(MONTH(B5790)/3,0)</f>
        <v>2017-Q2</v>
      </c>
    </row>
    <row r="5791" customFormat="false" ht="15" hidden="false" customHeight="false" outlineLevel="0" collapsed="false">
      <c r="A5791" s="0" t="s">
        <v>2973</v>
      </c>
      <c r="B5791" s="6" t="n">
        <v>42835</v>
      </c>
      <c r="C5791" s="7" t="s">
        <v>29</v>
      </c>
      <c r="D5791" s="7" t="s">
        <v>37</v>
      </c>
      <c r="E5791" s="7" t="s">
        <v>35</v>
      </c>
      <c r="F5791" s="0" t="n">
        <v>4.419</v>
      </c>
      <c r="G5791" s="0" t="n">
        <v>-3.0933</v>
      </c>
      <c r="H5791" s="0" t="n">
        <v>0.7</v>
      </c>
      <c r="I5791" s="7" t="n">
        <f aca="false">YEAR(B5791)</f>
        <v>2017</v>
      </c>
      <c r="J5791" s="0" t="str">
        <f aca="false">I5791&amp;"-Q"&amp;ROUNDUP(MONTH(B5791)/3,0)</f>
        <v>2017-Q2</v>
      </c>
    </row>
    <row r="5792" customFormat="false" ht="15" hidden="false" customHeight="false" outlineLevel="0" collapsed="false">
      <c r="A5792" s="0" t="s">
        <v>2974</v>
      </c>
      <c r="B5792" s="6" t="n">
        <v>43007</v>
      </c>
      <c r="C5792" s="7" t="s">
        <v>33</v>
      </c>
      <c r="D5792" s="7" t="s">
        <v>34</v>
      </c>
      <c r="E5792" s="7" t="s">
        <v>35</v>
      </c>
      <c r="F5792" s="0" t="n">
        <v>35</v>
      </c>
      <c r="G5792" s="0" t="n">
        <v>16.8</v>
      </c>
      <c r="H5792" s="0" t="n">
        <v>0</v>
      </c>
      <c r="I5792" s="7" t="n">
        <f aca="false">YEAR(B5792)</f>
        <v>2017</v>
      </c>
      <c r="J5792" s="0" t="str">
        <f aca="false">I5792&amp;"-Q"&amp;ROUNDUP(MONTH(B5792)/3,0)</f>
        <v>2017-Q3</v>
      </c>
    </row>
    <row r="5793" customFormat="false" ht="15" hidden="false" customHeight="false" outlineLevel="0" collapsed="false">
      <c r="A5793" s="0" t="s">
        <v>2974</v>
      </c>
      <c r="B5793" s="6" t="n">
        <v>43007</v>
      </c>
      <c r="C5793" s="7" t="s">
        <v>33</v>
      </c>
      <c r="D5793" s="7" t="s">
        <v>34</v>
      </c>
      <c r="E5793" s="7" t="s">
        <v>31</v>
      </c>
      <c r="F5793" s="0" t="n">
        <v>72.784</v>
      </c>
      <c r="G5793" s="0" t="n">
        <v>0</v>
      </c>
      <c r="H5793" s="0" t="n">
        <v>0.2</v>
      </c>
      <c r="I5793" s="7" t="n">
        <f aca="false">YEAR(B5793)</f>
        <v>2017</v>
      </c>
      <c r="J5793" s="0" t="str">
        <f aca="false">I5793&amp;"-Q"&amp;ROUNDUP(MONTH(B5793)/3,0)</f>
        <v>2017-Q3</v>
      </c>
    </row>
    <row r="5794" customFormat="false" ht="15" hidden="false" customHeight="false" outlineLevel="0" collapsed="false">
      <c r="A5794" s="0" t="s">
        <v>2974</v>
      </c>
      <c r="B5794" s="6" t="n">
        <v>43007</v>
      </c>
      <c r="C5794" s="7" t="s">
        <v>33</v>
      </c>
      <c r="D5794" s="7" t="s">
        <v>34</v>
      </c>
      <c r="E5794" s="7" t="s">
        <v>35</v>
      </c>
      <c r="F5794" s="0" t="n">
        <v>97.84</v>
      </c>
      <c r="G5794" s="0" t="n">
        <v>25.4384</v>
      </c>
      <c r="H5794" s="0" t="n">
        <v>0</v>
      </c>
      <c r="I5794" s="7" t="n">
        <f aca="false">YEAR(B5794)</f>
        <v>2017</v>
      </c>
      <c r="J5794" s="0" t="str">
        <f aca="false">I5794&amp;"-Q"&amp;ROUNDUP(MONTH(B5794)/3,0)</f>
        <v>2017-Q3</v>
      </c>
    </row>
    <row r="5795" customFormat="false" ht="15" hidden="false" customHeight="false" outlineLevel="0" collapsed="false">
      <c r="A5795" s="0" t="s">
        <v>2974</v>
      </c>
      <c r="B5795" s="6" t="n">
        <v>43007</v>
      </c>
      <c r="C5795" s="7" t="s">
        <v>33</v>
      </c>
      <c r="D5795" s="7" t="s">
        <v>34</v>
      </c>
      <c r="E5795" s="7" t="s">
        <v>31</v>
      </c>
      <c r="F5795" s="0" t="n">
        <v>51.75</v>
      </c>
      <c r="G5795" s="0" t="n">
        <v>15.525</v>
      </c>
      <c r="H5795" s="0" t="n">
        <v>0</v>
      </c>
      <c r="I5795" s="7" t="n">
        <f aca="false">YEAR(B5795)</f>
        <v>2017</v>
      </c>
      <c r="J5795" s="0" t="str">
        <f aca="false">I5795&amp;"-Q"&amp;ROUNDUP(MONTH(B5795)/3,0)</f>
        <v>2017-Q3</v>
      </c>
    </row>
    <row r="5796" customFormat="false" ht="15" hidden="false" customHeight="false" outlineLevel="0" collapsed="false">
      <c r="A5796" s="0" t="s">
        <v>2974</v>
      </c>
      <c r="B5796" s="6" t="n">
        <v>43007</v>
      </c>
      <c r="C5796" s="7" t="s">
        <v>33</v>
      </c>
      <c r="D5796" s="7" t="s">
        <v>34</v>
      </c>
      <c r="E5796" s="7" t="s">
        <v>35</v>
      </c>
      <c r="F5796" s="0" t="n">
        <v>46.672</v>
      </c>
      <c r="G5796" s="0" t="n">
        <v>16.3352</v>
      </c>
      <c r="H5796" s="0" t="n">
        <v>0.2</v>
      </c>
      <c r="I5796" s="7" t="n">
        <f aca="false">YEAR(B5796)</f>
        <v>2017</v>
      </c>
      <c r="J5796" s="0" t="str">
        <f aca="false">I5796&amp;"-Q"&amp;ROUNDUP(MONTH(B5796)/3,0)</f>
        <v>2017-Q3</v>
      </c>
    </row>
    <row r="5797" customFormat="false" ht="15" hidden="false" customHeight="false" outlineLevel="0" collapsed="false">
      <c r="A5797" s="0" t="s">
        <v>2975</v>
      </c>
      <c r="B5797" s="6" t="n">
        <v>41911</v>
      </c>
      <c r="C5797" s="7" t="s">
        <v>55</v>
      </c>
      <c r="D5797" s="7" t="s">
        <v>76</v>
      </c>
      <c r="E5797" s="7" t="s">
        <v>35</v>
      </c>
      <c r="F5797" s="0" t="n">
        <v>1395.54</v>
      </c>
      <c r="G5797" s="0" t="n">
        <v>362.8404</v>
      </c>
      <c r="H5797" s="0" t="n">
        <v>0</v>
      </c>
      <c r="I5797" s="7" t="n">
        <f aca="false">YEAR(B5797)</f>
        <v>2014</v>
      </c>
      <c r="J5797" s="0" t="str">
        <f aca="false">I5797&amp;"-Q"&amp;ROUNDUP(MONTH(B5797)/3,0)</f>
        <v>2014-Q3</v>
      </c>
    </row>
    <row r="5798" customFormat="false" ht="15" hidden="false" customHeight="false" outlineLevel="0" collapsed="false">
      <c r="A5798" s="0" t="s">
        <v>2975</v>
      </c>
      <c r="B5798" s="6" t="n">
        <v>41911</v>
      </c>
      <c r="C5798" s="7" t="s">
        <v>55</v>
      </c>
      <c r="D5798" s="7" t="s">
        <v>76</v>
      </c>
      <c r="E5798" s="7" t="s">
        <v>31</v>
      </c>
      <c r="F5798" s="0" t="n">
        <v>117.36</v>
      </c>
      <c r="G5798" s="0" t="n">
        <v>36.3816</v>
      </c>
      <c r="H5798" s="0" t="n">
        <v>0</v>
      </c>
      <c r="I5798" s="7" t="n">
        <f aca="false">YEAR(B5798)</f>
        <v>2014</v>
      </c>
      <c r="J5798" s="0" t="str">
        <f aca="false">I5798&amp;"-Q"&amp;ROUNDUP(MONTH(B5798)/3,0)</f>
        <v>2014-Q3</v>
      </c>
    </row>
    <row r="5799" customFormat="false" ht="15" hidden="false" customHeight="false" outlineLevel="0" collapsed="false">
      <c r="A5799" s="0" t="s">
        <v>2975</v>
      </c>
      <c r="B5799" s="6" t="n">
        <v>41911</v>
      </c>
      <c r="C5799" s="7" t="s">
        <v>55</v>
      </c>
      <c r="D5799" s="7" t="s">
        <v>76</v>
      </c>
      <c r="E5799" s="7" t="s">
        <v>35</v>
      </c>
      <c r="F5799" s="0" t="n">
        <v>18.9</v>
      </c>
      <c r="G5799" s="0" t="n">
        <v>8.694</v>
      </c>
      <c r="H5799" s="0" t="n">
        <v>0</v>
      </c>
      <c r="I5799" s="7" t="n">
        <f aca="false">YEAR(B5799)</f>
        <v>2014</v>
      </c>
      <c r="J5799" s="0" t="str">
        <f aca="false">I5799&amp;"-Q"&amp;ROUNDUP(MONTH(B5799)/3,0)</f>
        <v>2014-Q3</v>
      </c>
    </row>
    <row r="5800" customFormat="false" ht="15" hidden="false" customHeight="false" outlineLevel="0" collapsed="false">
      <c r="A5800" s="0" t="s">
        <v>2975</v>
      </c>
      <c r="B5800" s="6" t="n">
        <v>41911</v>
      </c>
      <c r="C5800" s="7" t="s">
        <v>55</v>
      </c>
      <c r="D5800" s="7" t="s">
        <v>76</v>
      </c>
      <c r="E5800" s="7" t="s">
        <v>35</v>
      </c>
      <c r="F5800" s="0" t="n">
        <v>77.52</v>
      </c>
      <c r="G5800" s="0" t="n">
        <v>37.9848</v>
      </c>
      <c r="H5800" s="0" t="n">
        <v>0</v>
      </c>
      <c r="I5800" s="7" t="n">
        <f aca="false">YEAR(B5800)</f>
        <v>2014</v>
      </c>
      <c r="J5800" s="0" t="str">
        <f aca="false">I5800&amp;"-Q"&amp;ROUNDUP(MONTH(B5800)/3,0)</f>
        <v>2014-Q3</v>
      </c>
    </row>
    <row r="5801" customFormat="false" ht="15" hidden="false" customHeight="false" outlineLevel="0" collapsed="false">
      <c r="A5801" s="0" t="s">
        <v>2976</v>
      </c>
      <c r="B5801" s="6" t="n">
        <v>41871</v>
      </c>
      <c r="C5801" s="7" t="s">
        <v>45</v>
      </c>
      <c r="D5801" s="7" t="s">
        <v>64</v>
      </c>
      <c r="E5801" s="7" t="s">
        <v>31</v>
      </c>
      <c r="F5801" s="0" t="n">
        <v>421.372</v>
      </c>
      <c r="G5801" s="0" t="n">
        <v>-6.0196</v>
      </c>
      <c r="H5801" s="0" t="n">
        <v>0.3</v>
      </c>
      <c r="I5801" s="7" t="n">
        <f aca="false">YEAR(B5801)</f>
        <v>2014</v>
      </c>
      <c r="J5801" s="0" t="str">
        <f aca="false">I5801&amp;"-Q"&amp;ROUNDUP(MONTH(B5801)/3,0)</f>
        <v>2014-Q3</v>
      </c>
    </row>
    <row r="5802" customFormat="false" ht="15" hidden="false" customHeight="false" outlineLevel="0" collapsed="false">
      <c r="A5802" s="0" t="s">
        <v>2977</v>
      </c>
      <c r="B5802" s="6" t="n">
        <v>41831</v>
      </c>
      <c r="C5802" s="7" t="s">
        <v>45</v>
      </c>
      <c r="D5802" s="7" t="s">
        <v>46</v>
      </c>
      <c r="E5802" s="7" t="s">
        <v>39</v>
      </c>
      <c r="F5802" s="0" t="n">
        <v>575.968</v>
      </c>
      <c r="G5802" s="0" t="n">
        <v>43.1976</v>
      </c>
      <c r="H5802" s="0" t="n">
        <v>0.2</v>
      </c>
      <c r="I5802" s="7" t="n">
        <f aca="false">YEAR(B5802)</f>
        <v>2014</v>
      </c>
      <c r="J5802" s="0" t="str">
        <f aca="false">I5802&amp;"-Q"&amp;ROUNDUP(MONTH(B5802)/3,0)</f>
        <v>2014-Q3</v>
      </c>
    </row>
    <row r="5803" customFormat="false" ht="15" hidden="false" customHeight="false" outlineLevel="0" collapsed="false">
      <c r="A5803" s="0" t="s">
        <v>2977</v>
      </c>
      <c r="B5803" s="6" t="n">
        <v>41831</v>
      </c>
      <c r="C5803" s="7" t="s">
        <v>45</v>
      </c>
      <c r="D5803" s="7" t="s">
        <v>46</v>
      </c>
      <c r="E5803" s="7" t="s">
        <v>35</v>
      </c>
      <c r="F5803" s="0" t="n">
        <v>10.368</v>
      </c>
      <c r="G5803" s="0" t="n">
        <v>3.6288</v>
      </c>
      <c r="H5803" s="0" t="n">
        <v>0.2</v>
      </c>
      <c r="I5803" s="7" t="n">
        <f aca="false">YEAR(B5803)</f>
        <v>2014</v>
      </c>
      <c r="J5803" s="0" t="str">
        <f aca="false">I5803&amp;"-Q"&amp;ROUNDUP(MONTH(B5803)/3,0)</f>
        <v>2014-Q3</v>
      </c>
    </row>
    <row r="5804" customFormat="false" ht="15" hidden="false" customHeight="false" outlineLevel="0" collapsed="false">
      <c r="A5804" s="0" t="s">
        <v>2978</v>
      </c>
      <c r="B5804" s="6" t="n">
        <v>42085</v>
      </c>
      <c r="C5804" s="7" t="s">
        <v>33</v>
      </c>
      <c r="D5804" s="7" t="s">
        <v>34</v>
      </c>
      <c r="E5804" s="7" t="s">
        <v>39</v>
      </c>
      <c r="F5804" s="0" t="n">
        <v>15.984</v>
      </c>
      <c r="G5804" s="0" t="n">
        <v>1.1988</v>
      </c>
      <c r="H5804" s="0" t="n">
        <v>0.2</v>
      </c>
      <c r="I5804" s="7" t="n">
        <f aca="false">YEAR(B5804)</f>
        <v>2015</v>
      </c>
      <c r="J5804" s="0" t="str">
        <f aca="false">I5804&amp;"-Q"&amp;ROUNDUP(MONTH(B5804)/3,0)</f>
        <v>2015-Q1</v>
      </c>
    </row>
    <row r="5805" customFormat="false" ht="15" hidden="false" customHeight="false" outlineLevel="0" collapsed="false">
      <c r="A5805" s="0" t="s">
        <v>2979</v>
      </c>
      <c r="B5805" s="6" t="n">
        <v>42867</v>
      </c>
      <c r="C5805" s="7" t="s">
        <v>55</v>
      </c>
      <c r="D5805" s="7" t="s">
        <v>116</v>
      </c>
      <c r="E5805" s="7" t="s">
        <v>35</v>
      </c>
      <c r="F5805" s="0" t="n">
        <v>10.272</v>
      </c>
      <c r="G5805" s="0" t="n">
        <v>1.1556</v>
      </c>
      <c r="H5805" s="0" t="n">
        <v>0.2</v>
      </c>
      <c r="I5805" s="7" t="n">
        <f aca="false">YEAR(B5805)</f>
        <v>2017</v>
      </c>
      <c r="J5805" s="0" t="str">
        <f aca="false">I5805&amp;"-Q"&amp;ROUNDUP(MONTH(B5805)/3,0)</f>
        <v>2017-Q2</v>
      </c>
    </row>
    <row r="5806" customFormat="false" ht="15" hidden="false" customHeight="false" outlineLevel="0" collapsed="false">
      <c r="A5806" s="0" t="s">
        <v>2980</v>
      </c>
      <c r="B5806" s="6" t="n">
        <v>43052</v>
      </c>
      <c r="C5806" s="7" t="s">
        <v>45</v>
      </c>
      <c r="D5806" s="7" t="s">
        <v>46</v>
      </c>
      <c r="E5806" s="7" t="s">
        <v>35</v>
      </c>
      <c r="F5806" s="0" t="n">
        <v>61.792</v>
      </c>
      <c r="G5806" s="0" t="n">
        <v>6.1792</v>
      </c>
      <c r="H5806" s="0" t="n">
        <v>0.2</v>
      </c>
      <c r="I5806" s="7" t="n">
        <f aca="false">YEAR(B5806)</f>
        <v>2017</v>
      </c>
      <c r="J5806" s="0" t="str">
        <f aca="false">I5806&amp;"-Q"&amp;ROUNDUP(MONTH(B5806)/3,0)</f>
        <v>2017-Q4</v>
      </c>
    </row>
    <row r="5807" customFormat="false" ht="15" hidden="false" customHeight="false" outlineLevel="0" collapsed="false">
      <c r="A5807" s="0" t="s">
        <v>2980</v>
      </c>
      <c r="B5807" s="6" t="n">
        <v>43052</v>
      </c>
      <c r="C5807" s="7" t="s">
        <v>45</v>
      </c>
      <c r="D5807" s="7" t="s">
        <v>46</v>
      </c>
      <c r="E5807" s="7" t="s">
        <v>31</v>
      </c>
      <c r="F5807" s="0" t="n">
        <v>205.9992</v>
      </c>
      <c r="G5807" s="0" t="n">
        <v>-27.2646</v>
      </c>
      <c r="H5807" s="0" t="n">
        <v>0.32</v>
      </c>
      <c r="I5807" s="7" t="n">
        <f aca="false">YEAR(B5807)</f>
        <v>2017</v>
      </c>
      <c r="J5807" s="0" t="str">
        <f aca="false">I5807&amp;"-Q"&amp;ROUNDUP(MONTH(B5807)/3,0)</f>
        <v>2017-Q4</v>
      </c>
    </row>
    <row r="5808" customFormat="false" ht="15" hidden="false" customHeight="false" outlineLevel="0" collapsed="false">
      <c r="A5808" s="0" t="s">
        <v>2981</v>
      </c>
      <c r="B5808" s="6" t="n">
        <v>42617</v>
      </c>
      <c r="C5808" s="7" t="s">
        <v>29</v>
      </c>
      <c r="D5808" s="7" t="s">
        <v>87</v>
      </c>
      <c r="E5808" s="7" t="s">
        <v>35</v>
      </c>
      <c r="F5808" s="0" t="n">
        <v>12.192</v>
      </c>
      <c r="G5808" s="0" t="n">
        <v>4.1148</v>
      </c>
      <c r="H5808" s="0" t="n">
        <v>0.2</v>
      </c>
      <c r="I5808" s="7" t="n">
        <f aca="false">YEAR(B5808)</f>
        <v>2016</v>
      </c>
      <c r="J5808" s="0" t="str">
        <f aca="false">I5808&amp;"-Q"&amp;ROUNDUP(MONTH(B5808)/3,0)</f>
        <v>2016-Q3</v>
      </c>
    </row>
    <row r="5809" customFormat="false" ht="15" hidden="false" customHeight="false" outlineLevel="0" collapsed="false">
      <c r="A5809" s="0" t="s">
        <v>2981</v>
      </c>
      <c r="B5809" s="6" t="n">
        <v>42617</v>
      </c>
      <c r="C5809" s="7" t="s">
        <v>29</v>
      </c>
      <c r="D5809" s="7" t="s">
        <v>87</v>
      </c>
      <c r="E5809" s="7" t="s">
        <v>35</v>
      </c>
      <c r="F5809" s="0" t="n">
        <v>87.168</v>
      </c>
      <c r="G5809" s="0" t="n">
        <v>8.7168</v>
      </c>
      <c r="H5809" s="0" t="n">
        <v>0.2</v>
      </c>
      <c r="I5809" s="7" t="n">
        <f aca="false">YEAR(B5809)</f>
        <v>2016</v>
      </c>
      <c r="J5809" s="0" t="str">
        <f aca="false">I5809&amp;"-Q"&amp;ROUNDUP(MONTH(B5809)/3,0)</f>
        <v>2016-Q3</v>
      </c>
    </row>
    <row r="5810" customFormat="false" ht="15" hidden="false" customHeight="false" outlineLevel="0" collapsed="false">
      <c r="A5810" s="0" t="s">
        <v>2981</v>
      </c>
      <c r="B5810" s="6" t="n">
        <v>42617</v>
      </c>
      <c r="C5810" s="7" t="s">
        <v>29</v>
      </c>
      <c r="D5810" s="7" t="s">
        <v>87</v>
      </c>
      <c r="E5810" s="7" t="s">
        <v>35</v>
      </c>
      <c r="F5810" s="0" t="n">
        <v>31.744</v>
      </c>
      <c r="G5810" s="0" t="n">
        <v>8.3328</v>
      </c>
      <c r="H5810" s="0" t="n">
        <v>0.2</v>
      </c>
      <c r="I5810" s="7" t="n">
        <f aca="false">YEAR(B5810)</f>
        <v>2016</v>
      </c>
      <c r="J5810" s="0" t="str">
        <f aca="false">I5810&amp;"-Q"&amp;ROUNDUP(MONTH(B5810)/3,0)</f>
        <v>2016-Q3</v>
      </c>
    </row>
    <row r="5811" customFormat="false" ht="15" hidden="false" customHeight="false" outlineLevel="0" collapsed="false">
      <c r="A5811" s="0" t="s">
        <v>2982</v>
      </c>
      <c r="B5811" s="6" t="n">
        <v>42406</v>
      </c>
      <c r="C5811" s="7" t="s">
        <v>29</v>
      </c>
      <c r="D5811" s="7" t="s">
        <v>87</v>
      </c>
      <c r="E5811" s="7" t="s">
        <v>31</v>
      </c>
      <c r="F5811" s="0" t="n">
        <v>132.224</v>
      </c>
      <c r="G5811" s="0" t="n">
        <v>-18.1808</v>
      </c>
      <c r="H5811" s="0" t="n">
        <v>0.2</v>
      </c>
      <c r="I5811" s="7" t="n">
        <f aca="false">YEAR(B5811)</f>
        <v>2016</v>
      </c>
      <c r="J5811" s="0" t="str">
        <f aca="false">I5811&amp;"-Q"&amp;ROUNDUP(MONTH(B5811)/3,0)</f>
        <v>2016-Q1</v>
      </c>
    </row>
    <row r="5812" customFormat="false" ht="15" hidden="false" customHeight="false" outlineLevel="0" collapsed="false">
      <c r="A5812" s="0" t="s">
        <v>2983</v>
      </c>
      <c r="B5812" s="6" t="n">
        <v>42085</v>
      </c>
      <c r="C5812" s="7" t="s">
        <v>33</v>
      </c>
      <c r="D5812" s="7" t="s">
        <v>34</v>
      </c>
      <c r="E5812" s="7" t="s">
        <v>35</v>
      </c>
      <c r="F5812" s="0" t="n">
        <v>105.52</v>
      </c>
      <c r="G5812" s="0" t="n">
        <v>48.5392</v>
      </c>
      <c r="H5812" s="0" t="n">
        <v>0</v>
      </c>
      <c r="I5812" s="7" t="n">
        <f aca="false">YEAR(B5812)</f>
        <v>2015</v>
      </c>
      <c r="J5812" s="0" t="str">
        <f aca="false">I5812&amp;"-Q"&amp;ROUNDUP(MONTH(B5812)/3,0)</f>
        <v>2015-Q1</v>
      </c>
    </row>
    <row r="5813" customFormat="false" ht="15" hidden="false" customHeight="false" outlineLevel="0" collapsed="false">
      <c r="A5813" s="0" t="s">
        <v>2983</v>
      </c>
      <c r="B5813" s="6" t="n">
        <v>42085</v>
      </c>
      <c r="C5813" s="7" t="s">
        <v>33</v>
      </c>
      <c r="D5813" s="7" t="s">
        <v>34</v>
      </c>
      <c r="E5813" s="7" t="s">
        <v>31</v>
      </c>
      <c r="F5813" s="0" t="n">
        <v>91.96</v>
      </c>
      <c r="G5813" s="0" t="n">
        <v>15.6332</v>
      </c>
      <c r="H5813" s="0" t="n">
        <v>0</v>
      </c>
      <c r="I5813" s="7" t="n">
        <f aca="false">YEAR(B5813)</f>
        <v>2015</v>
      </c>
      <c r="J5813" s="0" t="str">
        <f aca="false">I5813&amp;"-Q"&amp;ROUNDUP(MONTH(B5813)/3,0)</f>
        <v>2015-Q1</v>
      </c>
    </row>
    <row r="5814" customFormat="false" ht="15" hidden="false" customHeight="false" outlineLevel="0" collapsed="false">
      <c r="A5814" s="0" t="s">
        <v>2983</v>
      </c>
      <c r="B5814" s="6" t="n">
        <v>42085</v>
      </c>
      <c r="C5814" s="7" t="s">
        <v>33</v>
      </c>
      <c r="D5814" s="7" t="s">
        <v>34</v>
      </c>
      <c r="E5814" s="7" t="s">
        <v>39</v>
      </c>
      <c r="F5814" s="0" t="n">
        <v>1487.976</v>
      </c>
      <c r="G5814" s="0" t="n">
        <v>185.997</v>
      </c>
      <c r="H5814" s="0" t="n">
        <v>0.2</v>
      </c>
      <c r="I5814" s="7" t="n">
        <f aca="false">YEAR(B5814)</f>
        <v>2015</v>
      </c>
      <c r="J5814" s="0" t="str">
        <f aca="false">I5814&amp;"-Q"&amp;ROUNDUP(MONTH(B5814)/3,0)</f>
        <v>2015-Q1</v>
      </c>
    </row>
    <row r="5815" customFormat="false" ht="15" hidden="false" customHeight="false" outlineLevel="0" collapsed="false">
      <c r="A5815" s="0" t="s">
        <v>2984</v>
      </c>
      <c r="B5815" s="6" t="n">
        <v>42187</v>
      </c>
      <c r="C5815" s="7" t="s">
        <v>55</v>
      </c>
      <c r="D5815" s="7" t="s">
        <v>76</v>
      </c>
      <c r="E5815" s="7" t="s">
        <v>35</v>
      </c>
      <c r="F5815" s="0" t="n">
        <v>19.44</v>
      </c>
      <c r="G5815" s="0" t="n">
        <v>9.3312</v>
      </c>
      <c r="H5815" s="0" t="n">
        <v>0</v>
      </c>
      <c r="I5815" s="7" t="n">
        <f aca="false">YEAR(B5815)</f>
        <v>2015</v>
      </c>
      <c r="J5815" s="0" t="str">
        <f aca="false">I5815&amp;"-Q"&amp;ROUNDUP(MONTH(B5815)/3,0)</f>
        <v>2015-Q3</v>
      </c>
    </row>
    <row r="5816" customFormat="false" ht="15" hidden="false" customHeight="false" outlineLevel="0" collapsed="false">
      <c r="A5816" s="0" t="s">
        <v>2985</v>
      </c>
      <c r="B5816" s="6" t="n">
        <v>42170</v>
      </c>
      <c r="C5816" s="7" t="s">
        <v>29</v>
      </c>
      <c r="D5816" s="7" t="s">
        <v>37</v>
      </c>
      <c r="E5816" s="7" t="s">
        <v>39</v>
      </c>
      <c r="F5816" s="0" t="n">
        <v>11.672</v>
      </c>
      <c r="G5816" s="0" t="n">
        <v>-0.7295</v>
      </c>
      <c r="H5816" s="0" t="n">
        <v>0.2</v>
      </c>
      <c r="I5816" s="7" t="n">
        <f aca="false">YEAR(B5816)</f>
        <v>2015</v>
      </c>
      <c r="J5816" s="0" t="str">
        <f aca="false">I5816&amp;"-Q"&amp;ROUNDUP(MONTH(B5816)/3,0)</f>
        <v>2015-Q2</v>
      </c>
    </row>
    <row r="5817" customFormat="false" ht="15" hidden="false" customHeight="false" outlineLevel="0" collapsed="false">
      <c r="A5817" s="0" t="s">
        <v>2986</v>
      </c>
      <c r="B5817" s="6" t="n">
        <v>41969</v>
      </c>
      <c r="C5817" s="7" t="s">
        <v>55</v>
      </c>
      <c r="D5817" s="7" t="s">
        <v>76</v>
      </c>
      <c r="E5817" s="7" t="s">
        <v>39</v>
      </c>
      <c r="F5817" s="0" t="n">
        <v>279.96</v>
      </c>
      <c r="G5817" s="0" t="n">
        <v>78.3888</v>
      </c>
      <c r="H5817" s="0" t="n">
        <v>0</v>
      </c>
      <c r="I5817" s="7" t="n">
        <f aca="false">YEAR(B5817)</f>
        <v>2014</v>
      </c>
      <c r="J5817" s="0" t="str">
        <f aca="false">I5817&amp;"-Q"&amp;ROUNDUP(MONTH(B5817)/3,0)</f>
        <v>2014-Q4</v>
      </c>
    </row>
    <row r="5818" customFormat="false" ht="15" hidden="false" customHeight="false" outlineLevel="0" collapsed="false">
      <c r="A5818" s="0" t="s">
        <v>2986</v>
      </c>
      <c r="B5818" s="6" t="n">
        <v>41969</v>
      </c>
      <c r="C5818" s="7" t="s">
        <v>55</v>
      </c>
      <c r="D5818" s="7" t="s">
        <v>76</v>
      </c>
      <c r="E5818" s="7" t="s">
        <v>35</v>
      </c>
      <c r="F5818" s="0" t="n">
        <v>12.912</v>
      </c>
      <c r="G5818" s="0" t="n">
        <v>4.6806</v>
      </c>
      <c r="H5818" s="0" t="n">
        <v>0.2</v>
      </c>
      <c r="I5818" s="7" t="n">
        <f aca="false">YEAR(B5818)</f>
        <v>2014</v>
      </c>
      <c r="J5818" s="0" t="str">
        <f aca="false">I5818&amp;"-Q"&amp;ROUNDUP(MONTH(B5818)/3,0)</f>
        <v>2014-Q4</v>
      </c>
    </row>
    <row r="5819" customFormat="false" ht="15" hidden="false" customHeight="false" outlineLevel="0" collapsed="false">
      <c r="A5819" s="0" t="s">
        <v>2986</v>
      </c>
      <c r="B5819" s="6" t="n">
        <v>41969</v>
      </c>
      <c r="C5819" s="7" t="s">
        <v>55</v>
      </c>
      <c r="D5819" s="7" t="s">
        <v>76</v>
      </c>
      <c r="E5819" s="7" t="s">
        <v>35</v>
      </c>
      <c r="F5819" s="0" t="n">
        <v>17.088</v>
      </c>
      <c r="G5819" s="0" t="n">
        <v>5.7672</v>
      </c>
      <c r="H5819" s="0" t="n">
        <v>0.2</v>
      </c>
      <c r="I5819" s="7" t="n">
        <f aca="false">YEAR(B5819)</f>
        <v>2014</v>
      </c>
      <c r="J5819" s="0" t="str">
        <f aca="false">I5819&amp;"-Q"&amp;ROUNDUP(MONTH(B5819)/3,0)</f>
        <v>2014-Q4</v>
      </c>
    </row>
    <row r="5820" customFormat="false" ht="15" hidden="false" customHeight="false" outlineLevel="0" collapsed="false">
      <c r="A5820" s="0" t="s">
        <v>2986</v>
      </c>
      <c r="B5820" s="6" t="n">
        <v>41969</v>
      </c>
      <c r="C5820" s="7" t="s">
        <v>55</v>
      </c>
      <c r="D5820" s="7" t="s">
        <v>76</v>
      </c>
      <c r="E5820" s="7" t="s">
        <v>35</v>
      </c>
      <c r="F5820" s="0" t="n">
        <v>93.15</v>
      </c>
      <c r="G5820" s="0" t="n">
        <v>44.712</v>
      </c>
      <c r="H5820" s="0" t="n">
        <v>0</v>
      </c>
      <c r="I5820" s="7" t="n">
        <f aca="false">YEAR(B5820)</f>
        <v>2014</v>
      </c>
      <c r="J5820" s="0" t="str">
        <f aca="false">I5820&amp;"-Q"&amp;ROUNDUP(MONTH(B5820)/3,0)</f>
        <v>2014-Q4</v>
      </c>
    </row>
    <row r="5821" customFormat="false" ht="15" hidden="false" customHeight="false" outlineLevel="0" collapsed="false">
      <c r="A5821" s="0" t="s">
        <v>2986</v>
      </c>
      <c r="B5821" s="6" t="n">
        <v>41969</v>
      </c>
      <c r="C5821" s="7" t="s">
        <v>55</v>
      </c>
      <c r="D5821" s="7" t="s">
        <v>76</v>
      </c>
      <c r="E5821" s="7" t="s">
        <v>35</v>
      </c>
      <c r="F5821" s="0" t="n">
        <v>11.52</v>
      </c>
      <c r="G5821" s="0" t="n">
        <v>5.6448</v>
      </c>
      <c r="H5821" s="0" t="n">
        <v>0</v>
      </c>
      <c r="I5821" s="7" t="n">
        <f aca="false">YEAR(B5821)</f>
        <v>2014</v>
      </c>
      <c r="J5821" s="0" t="str">
        <f aca="false">I5821&amp;"-Q"&amp;ROUNDUP(MONTH(B5821)/3,0)</f>
        <v>2014-Q4</v>
      </c>
    </row>
    <row r="5822" customFormat="false" ht="15" hidden="false" customHeight="false" outlineLevel="0" collapsed="false">
      <c r="A5822" s="0" t="s">
        <v>2987</v>
      </c>
      <c r="B5822" s="6" t="n">
        <v>42867</v>
      </c>
      <c r="C5822" s="7" t="s">
        <v>33</v>
      </c>
      <c r="D5822" s="7" t="s">
        <v>34</v>
      </c>
      <c r="E5822" s="7" t="s">
        <v>35</v>
      </c>
      <c r="F5822" s="0" t="n">
        <v>238.62</v>
      </c>
      <c r="G5822" s="0" t="n">
        <v>4.7724</v>
      </c>
      <c r="H5822" s="0" t="n">
        <v>0</v>
      </c>
      <c r="I5822" s="7" t="n">
        <f aca="false">YEAR(B5822)</f>
        <v>2017</v>
      </c>
      <c r="J5822" s="0" t="str">
        <f aca="false">I5822&amp;"-Q"&amp;ROUNDUP(MONTH(B5822)/3,0)</f>
        <v>2017-Q2</v>
      </c>
    </row>
    <row r="5823" customFormat="false" ht="15" hidden="false" customHeight="false" outlineLevel="0" collapsed="false">
      <c r="A5823" s="0" t="s">
        <v>2987</v>
      </c>
      <c r="B5823" s="6" t="n">
        <v>42867</v>
      </c>
      <c r="C5823" s="7" t="s">
        <v>33</v>
      </c>
      <c r="D5823" s="7" t="s">
        <v>34</v>
      </c>
      <c r="E5823" s="7" t="s">
        <v>35</v>
      </c>
      <c r="F5823" s="0" t="n">
        <v>7.77</v>
      </c>
      <c r="G5823" s="0" t="n">
        <v>2.0979</v>
      </c>
      <c r="H5823" s="0" t="n">
        <v>0</v>
      </c>
      <c r="I5823" s="7" t="n">
        <f aca="false">YEAR(B5823)</f>
        <v>2017</v>
      </c>
      <c r="J5823" s="0" t="str">
        <f aca="false">I5823&amp;"-Q"&amp;ROUNDUP(MONTH(B5823)/3,0)</f>
        <v>2017-Q2</v>
      </c>
    </row>
    <row r="5824" customFormat="false" ht="15" hidden="false" customHeight="false" outlineLevel="0" collapsed="false">
      <c r="A5824" s="0" t="s">
        <v>2987</v>
      </c>
      <c r="B5824" s="6" t="n">
        <v>42867</v>
      </c>
      <c r="C5824" s="7" t="s">
        <v>33</v>
      </c>
      <c r="D5824" s="7" t="s">
        <v>34</v>
      </c>
      <c r="E5824" s="7" t="s">
        <v>31</v>
      </c>
      <c r="F5824" s="0" t="n">
        <v>285.48</v>
      </c>
      <c r="G5824" s="0" t="n">
        <v>-10.7055</v>
      </c>
      <c r="H5824" s="0" t="n">
        <v>0.2</v>
      </c>
      <c r="I5824" s="7" t="n">
        <f aca="false">YEAR(B5824)</f>
        <v>2017</v>
      </c>
      <c r="J5824" s="0" t="str">
        <f aca="false">I5824&amp;"-Q"&amp;ROUNDUP(MONTH(B5824)/3,0)</f>
        <v>2017-Q2</v>
      </c>
    </row>
    <row r="5825" customFormat="false" ht="15" hidden="false" customHeight="false" outlineLevel="0" collapsed="false">
      <c r="A5825" s="0" t="s">
        <v>2987</v>
      </c>
      <c r="B5825" s="6" t="n">
        <v>42867</v>
      </c>
      <c r="C5825" s="7" t="s">
        <v>33</v>
      </c>
      <c r="D5825" s="7" t="s">
        <v>34</v>
      </c>
      <c r="E5825" s="7" t="s">
        <v>35</v>
      </c>
      <c r="F5825" s="0" t="n">
        <v>19.168</v>
      </c>
      <c r="G5825" s="0" t="n">
        <v>6.4692</v>
      </c>
      <c r="H5825" s="0" t="n">
        <v>0.2</v>
      </c>
      <c r="I5825" s="7" t="n">
        <f aca="false">YEAR(B5825)</f>
        <v>2017</v>
      </c>
      <c r="J5825" s="0" t="str">
        <f aca="false">I5825&amp;"-Q"&amp;ROUNDUP(MONTH(B5825)/3,0)</f>
        <v>2017-Q2</v>
      </c>
    </row>
    <row r="5826" customFormat="false" ht="15" hidden="false" customHeight="false" outlineLevel="0" collapsed="false">
      <c r="A5826" s="0" t="s">
        <v>2988</v>
      </c>
      <c r="B5826" s="6" t="n">
        <v>41761</v>
      </c>
      <c r="C5826" s="7" t="s">
        <v>55</v>
      </c>
      <c r="D5826" s="7" t="s">
        <v>116</v>
      </c>
      <c r="E5826" s="7" t="s">
        <v>35</v>
      </c>
      <c r="F5826" s="0" t="n">
        <v>26.136</v>
      </c>
      <c r="G5826" s="0" t="n">
        <v>1.9602</v>
      </c>
      <c r="H5826" s="0" t="n">
        <v>0.2</v>
      </c>
      <c r="I5826" s="7" t="n">
        <f aca="false">YEAR(B5826)</f>
        <v>2014</v>
      </c>
      <c r="J5826" s="0" t="str">
        <f aca="false">I5826&amp;"-Q"&amp;ROUNDUP(MONTH(B5826)/3,0)</f>
        <v>2014-Q2</v>
      </c>
    </row>
    <row r="5827" customFormat="false" ht="15" hidden="false" customHeight="false" outlineLevel="0" collapsed="false">
      <c r="A5827" s="0" t="s">
        <v>2989</v>
      </c>
      <c r="B5827" s="6" t="n">
        <v>42981</v>
      </c>
      <c r="C5827" s="7" t="s">
        <v>55</v>
      </c>
      <c r="D5827" s="7" t="s">
        <v>76</v>
      </c>
      <c r="E5827" s="7" t="s">
        <v>35</v>
      </c>
      <c r="F5827" s="0" t="n">
        <v>419.4</v>
      </c>
      <c r="G5827" s="0" t="n">
        <v>201.312</v>
      </c>
      <c r="H5827" s="0" t="n">
        <v>0</v>
      </c>
      <c r="I5827" s="7" t="n">
        <f aca="false">YEAR(B5827)</f>
        <v>2017</v>
      </c>
      <c r="J5827" s="0" t="str">
        <f aca="false">I5827&amp;"-Q"&amp;ROUNDUP(MONTH(B5827)/3,0)</f>
        <v>2017-Q3</v>
      </c>
    </row>
    <row r="5828" customFormat="false" ht="15" hidden="false" customHeight="false" outlineLevel="0" collapsed="false">
      <c r="A5828" s="0" t="s">
        <v>2989</v>
      </c>
      <c r="B5828" s="6" t="n">
        <v>42981</v>
      </c>
      <c r="C5828" s="7" t="s">
        <v>55</v>
      </c>
      <c r="D5828" s="7" t="s">
        <v>76</v>
      </c>
      <c r="E5828" s="7" t="s">
        <v>31</v>
      </c>
      <c r="F5828" s="0" t="n">
        <v>90.801</v>
      </c>
      <c r="G5828" s="0" t="n">
        <v>14.1246</v>
      </c>
      <c r="H5828" s="0" t="n">
        <v>0.1</v>
      </c>
      <c r="I5828" s="7" t="n">
        <f aca="false">YEAR(B5828)</f>
        <v>2017</v>
      </c>
      <c r="J5828" s="0" t="str">
        <f aca="false">I5828&amp;"-Q"&amp;ROUNDUP(MONTH(B5828)/3,0)</f>
        <v>2017-Q3</v>
      </c>
    </row>
    <row r="5829" customFormat="false" ht="15" hidden="false" customHeight="false" outlineLevel="0" collapsed="false">
      <c r="A5829" s="0" t="s">
        <v>2989</v>
      </c>
      <c r="B5829" s="6" t="n">
        <v>42981</v>
      </c>
      <c r="C5829" s="7" t="s">
        <v>55</v>
      </c>
      <c r="D5829" s="7" t="s">
        <v>76</v>
      </c>
      <c r="E5829" s="7" t="s">
        <v>31</v>
      </c>
      <c r="F5829" s="0" t="n">
        <v>181.764</v>
      </c>
      <c r="G5829" s="0" t="n">
        <v>-8.0784</v>
      </c>
      <c r="H5829" s="0" t="n">
        <v>0.1</v>
      </c>
      <c r="I5829" s="7" t="n">
        <f aca="false">YEAR(B5829)</f>
        <v>2017</v>
      </c>
      <c r="J5829" s="0" t="str">
        <f aca="false">I5829&amp;"-Q"&amp;ROUNDUP(MONTH(B5829)/3,0)</f>
        <v>2017-Q3</v>
      </c>
    </row>
    <row r="5830" customFormat="false" ht="15" hidden="false" customHeight="false" outlineLevel="0" collapsed="false">
      <c r="A5830" s="0" t="s">
        <v>2989</v>
      </c>
      <c r="B5830" s="6" t="n">
        <v>42981</v>
      </c>
      <c r="C5830" s="7" t="s">
        <v>55</v>
      </c>
      <c r="D5830" s="7" t="s">
        <v>76</v>
      </c>
      <c r="E5830" s="7" t="s">
        <v>35</v>
      </c>
      <c r="F5830" s="0" t="n">
        <v>5.56</v>
      </c>
      <c r="G5830" s="0" t="n">
        <v>2.224</v>
      </c>
      <c r="H5830" s="0" t="n">
        <v>0</v>
      </c>
      <c r="I5830" s="7" t="n">
        <f aca="false">YEAR(B5830)</f>
        <v>2017</v>
      </c>
      <c r="J5830" s="0" t="str">
        <f aca="false">I5830&amp;"-Q"&amp;ROUNDUP(MONTH(B5830)/3,0)</f>
        <v>2017-Q3</v>
      </c>
    </row>
    <row r="5831" customFormat="false" ht="15" hidden="false" customHeight="false" outlineLevel="0" collapsed="false">
      <c r="A5831" s="0" t="s">
        <v>2990</v>
      </c>
      <c r="B5831" s="6" t="n">
        <v>42707</v>
      </c>
      <c r="C5831" s="7" t="s">
        <v>45</v>
      </c>
      <c r="D5831" s="7" t="s">
        <v>74</v>
      </c>
      <c r="E5831" s="7" t="s">
        <v>31</v>
      </c>
      <c r="F5831" s="0" t="n">
        <v>581.96</v>
      </c>
      <c r="G5831" s="0" t="n">
        <v>104.7528</v>
      </c>
      <c r="H5831" s="0" t="n">
        <v>0</v>
      </c>
      <c r="I5831" s="7" t="n">
        <f aca="false">YEAR(B5831)</f>
        <v>2016</v>
      </c>
      <c r="J5831" s="0" t="str">
        <f aca="false">I5831&amp;"-Q"&amp;ROUNDUP(MONTH(B5831)/3,0)</f>
        <v>2016-Q4</v>
      </c>
    </row>
    <row r="5832" customFormat="false" ht="15" hidden="false" customHeight="false" outlineLevel="0" collapsed="false">
      <c r="A5832" s="0" t="s">
        <v>2990</v>
      </c>
      <c r="B5832" s="6" t="n">
        <v>42707</v>
      </c>
      <c r="C5832" s="7" t="s">
        <v>45</v>
      </c>
      <c r="D5832" s="7" t="s">
        <v>74</v>
      </c>
      <c r="E5832" s="7" t="s">
        <v>31</v>
      </c>
      <c r="F5832" s="0" t="n">
        <v>29.98</v>
      </c>
      <c r="G5832" s="0" t="n">
        <v>8.0946</v>
      </c>
      <c r="H5832" s="0" t="n">
        <v>0</v>
      </c>
      <c r="I5832" s="7" t="n">
        <f aca="false">YEAR(B5832)</f>
        <v>2016</v>
      </c>
      <c r="J5832" s="0" t="str">
        <f aca="false">I5832&amp;"-Q"&amp;ROUNDUP(MONTH(B5832)/3,0)</f>
        <v>2016-Q4</v>
      </c>
    </row>
    <row r="5833" customFormat="false" ht="15" hidden="false" customHeight="false" outlineLevel="0" collapsed="false">
      <c r="A5833" s="0" t="s">
        <v>2991</v>
      </c>
      <c r="B5833" s="6" t="n">
        <v>42203</v>
      </c>
      <c r="C5833" s="7" t="s">
        <v>33</v>
      </c>
      <c r="D5833" s="7" t="s">
        <v>34</v>
      </c>
      <c r="E5833" s="7" t="s">
        <v>39</v>
      </c>
      <c r="F5833" s="0" t="n">
        <v>519.96</v>
      </c>
      <c r="G5833" s="0" t="n">
        <v>176.7864</v>
      </c>
      <c r="H5833" s="0" t="n">
        <v>0</v>
      </c>
      <c r="I5833" s="7" t="n">
        <f aca="false">YEAR(B5833)</f>
        <v>2015</v>
      </c>
      <c r="J5833" s="0" t="str">
        <f aca="false">I5833&amp;"-Q"&amp;ROUNDUP(MONTH(B5833)/3,0)</f>
        <v>2015-Q3</v>
      </c>
    </row>
    <row r="5834" customFormat="false" ht="15" hidden="false" customHeight="false" outlineLevel="0" collapsed="false">
      <c r="A5834" s="0" t="s">
        <v>2992</v>
      </c>
      <c r="B5834" s="6" t="n">
        <v>42572</v>
      </c>
      <c r="C5834" s="7" t="s">
        <v>29</v>
      </c>
      <c r="D5834" s="7" t="s">
        <v>41</v>
      </c>
      <c r="E5834" s="7" t="s">
        <v>35</v>
      </c>
      <c r="F5834" s="0" t="n">
        <v>6.264</v>
      </c>
      <c r="G5834" s="0" t="n">
        <v>2.0358</v>
      </c>
      <c r="H5834" s="0" t="n">
        <v>0.2</v>
      </c>
      <c r="I5834" s="7" t="n">
        <f aca="false">YEAR(B5834)</f>
        <v>2016</v>
      </c>
      <c r="J5834" s="0" t="str">
        <f aca="false">I5834&amp;"-Q"&amp;ROUNDUP(MONTH(B5834)/3,0)</f>
        <v>2016-Q3</v>
      </c>
    </row>
    <row r="5835" customFormat="false" ht="15" hidden="false" customHeight="false" outlineLevel="0" collapsed="false">
      <c r="A5835" s="0" t="s">
        <v>2992</v>
      </c>
      <c r="B5835" s="6" t="n">
        <v>42572</v>
      </c>
      <c r="C5835" s="7" t="s">
        <v>29</v>
      </c>
      <c r="D5835" s="7" t="s">
        <v>41</v>
      </c>
      <c r="E5835" s="7" t="s">
        <v>31</v>
      </c>
      <c r="F5835" s="0" t="n">
        <v>363.92</v>
      </c>
      <c r="G5835" s="0" t="n">
        <v>0</v>
      </c>
      <c r="H5835" s="0" t="n">
        <v>0.2</v>
      </c>
      <c r="I5835" s="7" t="n">
        <f aca="false">YEAR(B5835)</f>
        <v>2016</v>
      </c>
      <c r="J5835" s="0" t="str">
        <f aca="false">I5835&amp;"-Q"&amp;ROUNDUP(MONTH(B5835)/3,0)</f>
        <v>2016-Q3</v>
      </c>
    </row>
    <row r="5836" customFormat="false" ht="15" hidden="false" customHeight="false" outlineLevel="0" collapsed="false">
      <c r="A5836" s="0" t="s">
        <v>2993</v>
      </c>
      <c r="B5836" s="6" t="n">
        <v>42164</v>
      </c>
      <c r="C5836" s="7" t="s">
        <v>29</v>
      </c>
      <c r="D5836" s="7" t="s">
        <v>37</v>
      </c>
      <c r="E5836" s="7" t="s">
        <v>35</v>
      </c>
      <c r="F5836" s="0" t="n">
        <v>64.2</v>
      </c>
      <c r="G5836" s="0" t="n">
        <v>-42.8</v>
      </c>
      <c r="H5836" s="0" t="n">
        <v>0.7</v>
      </c>
      <c r="I5836" s="7" t="n">
        <f aca="false">YEAR(B5836)</f>
        <v>2015</v>
      </c>
      <c r="J5836" s="0" t="str">
        <f aca="false">I5836&amp;"-Q"&amp;ROUNDUP(MONTH(B5836)/3,0)</f>
        <v>2015-Q2</v>
      </c>
    </row>
    <row r="5837" customFormat="false" ht="15" hidden="false" customHeight="false" outlineLevel="0" collapsed="false">
      <c r="A5837" s="0" t="s">
        <v>2993</v>
      </c>
      <c r="B5837" s="6" t="n">
        <v>42164</v>
      </c>
      <c r="C5837" s="7" t="s">
        <v>29</v>
      </c>
      <c r="D5837" s="7" t="s">
        <v>37</v>
      </c>
      <c r="E5837" s="7" t="s">
        <v>35</v>
      </c>
      <c r="F5837" s="0" t="n">
        <v>38.52</v>
      </c>
      <c r="G5837" s="0" t="n">
        <v>-26.964</v>
      </c>
      <c r="H5837" s="0" t="n">
        <v>0.7</v>
      </c>
      <c r="I5837" s="7" t="n">
        <f aca="false">YEAR(B5837)</f>
        <v>2015</v>
      </c>
      <c r="J5837" s="0" t="str">
        <f aca="false">I5837&amp;"-Q"&amp;ROUNDUP(MONTH(B5837)/3,0)</f>
        <v>2015-Q2</v>
      </c>
    </row>
    <row r="5838" customFormat="false" ht="15" hidden="false" customHeight="false" outlineLevel="0" collapsed="false">
      <c r="A5838" s="0" t="s">
        <v>2993</v>
      </c>
      <c r="B5838" s="6" t="n">
        <v>42164</v>
      </c>
      <c r="C5838" s="7" t="s">
        <v>29</v>
      </c>
      <c r="D5838" s="7" t="s">
        <v>37</v>
      </c>
      <c r="E5838" s="7" t="s">
        <v>39</v>
      </c>
      <c r="F5838" s="0" t="n">
        <v>72.6</v>
      </c>
      <c r="G5838" s="0" t="n">
        <v>-8.1675</v>
      </c>
      <c r="H5838" s="0" t="n">
        <v>0.2</v>
      </c>
      <c r="I5838" s="7" t="n">
        <f aca="false">YEAR(B5838)</f>
        <v>2015</v>
      </c>
      <c r="J5838" s="0" t="str">
        <f aca="false">I5838&amp;"-Q"&amp;ROUNDUP(MONTH(B5838)/3,0)</f>
        <v>2015-Q2</v>
      </c>
    </row>
    <row r="5839" customFormat="false" ht="15" hidden="false" customHeight="false" outlineLevel="0" collapsed="false">
      <c r="A5839" s="0" t="s">
        <v>2994</v>
      </c>
      <c r="B5839" s="6" t="n">
        <v>43066</v>
      </c>
      <c r="C5839" s="7" t="s">
        <v>33</v>
      </c>
      <c r="D5839" s="7" t="s">
        <v>34</v>
      </c>
      <c r="E5839" s="7" t="s">
        <v>39</v>
      </c>
      <c r="F5839" s="0" t="n">
        <v>57.568</v>
      </c>
      <c r="G5839" s="0" t="n">
        <v>5.7568</v>
      </c>
      <c r="H5839" s="0" t="n">
        <v>0.2</v>
      </c>
      <c r="I5839" s="7" t="n">
        <f aca="false">YEAR(B5839)</f>
        <v>2017</v>
      </c>
      <c r="J5839" s="0" t="str">
        <f aca="false">I5839&amp;"-Q"&amp;ROUNDUP(MONTH(B5839)/3,0)</f>
        <v>2017-Q4</v>
      </c>
    </row>
    <row r="5840" customFormat="false" ht="15" hidden="false" customHeight="false" outlineLevel="0" collapsed="false">
      <c r="A5840" s="0" t="s">
        <v>2995</v>
      </c>
      <c r="B5840" s="6" t="n">
        <v>42090</v>
      </c>
      <c r="C5840" s="7" t="s">
        <v>33</v>
      </c>
      <c r="D5840" s="7" t="s">
        <v>43</v>
      </c>
      <c r="E5840" s="7" t="s">
        <v>35</v>
      </c>
      <c r="F5840" s="0" t="n">
        <v>83.7</v>
      </c>
      <c r="G5840" s="0" t="n">
        <v>3.348</v>
      </c>
      <c r="H5840" s="0" t="n">
        <v>0</v>
      </c>
      <c r="I5840" s="7" t="n">
        <f aca="false">YEAR(B5840)</f>
        <v>2015</v>
      </c>
      <c r="J5840" s="0" t="str">
        <f aca="false">I5840&amp;"-Q"&amp;ROUNDUP(MONTH(B5840)/3,0)</f>
        <v>2015-Q1</v>
      </c>
    </row>
    <row r="5841" customFormat="false" ht="15" hidden="false" customHeight="false" outlineLevel="0" collapsed="false">
      <c r="A5841" s="0" t="s">
        <v>2996</v>
      </c>
      <c r="B5841" s="6" t="n">
        <v>42269</v>
      </c>
      <c r="C5841" s="7" t="s">
        <v>29</v>
      </c>
      <c r="D5841" s="7" t="s">
        <v>83</v>
      </c>
      <c r="E5841" s="7" t="s">
        <v>35</v>
      </c>
      <c r="F5841" s="0" t="n">
        <v>32.4</v>
      </c>
      <c r="G5841" s="0" t="n">
        <v>15.552</v>
      </c>
      <c r="H5841" s="0" t="n">
        <v>0</v>
      </c>
      <c r="I5841" s="7" t="n">
        <f aca="false">YEAR(B5841)</f>
        <v>2015</v>
      </c>
      <c r="J5841" s="0" t="str">
        <f aca="false">I5841&amp;"-Q"&amp;ROUNDUP(MONTH(B5841)/3,0)</f>
        <v>2015-Q3</v>
      </c>
    </row>
    <row r="5842" customFormat="false" ht="15" hidden="false" customHeight="false" outlineLevel="0" collapsed="false">
      <c r="A5842" s="0" t="s">
        <v>2996</v>
      </c>
      <c r="B5842" s="6" t="n">
        <v>42269</v>
      </c>
      <c r="C5842" s="7" t="s">
        <v>29</v>
      </c>
      <c r="D5842" s="7" t="s">
        <v>83</v>
      </c>
      <c r="E5842" s="7" t="s">
        <v>31</v>
      </c>
      <c r="F5842" s="0" t="n">
        <v>47.98</v>
      </c>
      <c r="G5842" s="0" t="n">
        <v>11.0354</v>
      </c>
      <c r="H5842" s="0" t="n">
        <v>0</v>
      </c>
      <c r="I5842" s="7" t="n">
        <f aca="false">YEAR(B5842)</f>
        <v>2015</v>
      </c>
      <c r="J5842" s="0" t="str">
        <f aca="false">I5842&amp;"-Q"&amp;ROUNDUP(MONTH(B5842)/3,0)</f>
        <v>2015-Q3</v>
      </c>
    </row>
    <row r="5843" customFormat="false" ht="15" hidden="false" customHeight="false" outlineLevel="0" collapsed="false">
      <c r="A5843" s="0" t="s">
        <v>2997</v>
      </c>
      <c r="B5843" s="6" t="n">
        <v>42325</v>
      </c>
      <c r="C5843" s="7" t="s">
        <v>33</v>
      </c>
      <c r="D5843" s="7" t="s">
        <v>34</v>
      </c>
      <c r="E5843" s="7" t="s">
        <v>39</v>
      </c>
      <c r="F5843" s="0" t="n">
        <v>415.968</v>
      </c>
      <c r="G5843" s="0" t="n">
        <v>51.996</v>
      </c>
      <c r="H5843" s="0" t="n">
        <v>0.2</v>
      </c>
      <c r="I5843" s="7" t="n">
        <f aca="false">YEAR(B5843)</f>
        <v>2015</v>
      </c>
      <c r="J5843" s="0" t="str">
        <f aca="false">I5843&amp;"-Q"&amp;ROUNDUP(MONTH(B5843)/3,0)</f>
        <v>2015-Q4</v>
      </c>
    </row>
    <row r="5844" customFormat="false" ht="15" hidden="false" customHeight="false" outlineLevel="0" collapsed="false">
      <c r="A5844" s="0" t="s">
        <v>2997</v>
      </c>
      <c r="B5844" s="6" t="n">
        <v>42325</v>
      </c>
      <c r="C5844" s="7" t="s">
        <v>33</v>
      </c>
      <c r="D5844" s="7" t="s">
        <v>34</v>
      </c>
      <c r="E5844" s="7" t="s">
        <v>35</v>
      </c>
      <c r="F5844" s="0" t="n">
        <v>304.9</v>
      </c>
      <c r="G5844" s="0" t="n">
        <v>6.098</v>
      </c>
      <c r="H5844" s="0" t="n">
        <v>0</v>
      </c>
      <c r="I5844" s="7" t="n">
        <f aca="false">YEAR(B5844)</f>
        <v>2015</v>
      </c>
      <c r="J5844" s="0" t="str">
        <f aca="false">I5844&amp;"-Q"&amp;ROUNDUP(MONTH(B5844)/3,0)</f>
        <v>2015-Q4</v>
      </c>
    </row>
    <row r="5845" customFormat="false" ht="15" hidden="false" customHeight="false" outlineLevel="0" collapsed="false">
      <c r="A5845" s="0" t="s">
        <v>2997</v>
      </c>
      <c r="B5845" s="6" t="n">
        <v>42325</v>
      </c>
      <c r="C5845" s="7" t="s">
        <v>33</v>
      </c>
      <c r="D5845" s="7" t="s">
        <v>34</v>
      </c>
      <c r="E5845" s="7" t="s">
        <v>31</v>
      </c>
      <c r="F5845" s="0" t="n">
        <v>80.96</v>
      </c>
      <c r="G5845" s="0" t="n">
        <v>29.1456</v>
      </c>
      <c r="H5845" s="0" t="n">
        <v>0</v>
      </c>
      <c r="I5845" s="7" t="n">
        <f aca="false">YEAR(B5845)</f>
        <v>2015</v>
      </c>
      <c r="J5845" s="0" t="str">
        <f aca="false">I5845&amp;"-Q"&amp;ROUNDUP(MONTH(B5845)/3,0)</f>
        <v>2015-Q4</v>
      </c>
    </row>
    <row r="5846" customFormat="false" ht="15" hidden="false" customHeight="false" outlineLevel="0" collapsed="false">
      <c r="A5846" s="0" t="s">
        <v>2997</v>
      </c>
      <c r="B5846" s="6" t="n">
        <v>42325</v>
      </c>
      <c r="C5846" s="7" t="s">
        <v>33</v>
      </c>
      <c r="D5846" s="7" t="s">
        <v>34</v>
      </c>
      <c r="E5846" s="7" t="s">
        <v>35</v>
      </c>
      <c r="F5846" s="0" t="n">
        <v>777.21</v>
      </c>
      <c r="G5846" s="0" t="n">
        <v>54.4047</v>
      </c>
      <c r="H5846" s="0" t="n">
        <v>0</v>
      </c>
      <c r="I5846" s="7" t="n">
        <f aca="false">YEAR(B5846)</f>
        <v>2015</v>
      </c>
      <c r="J5846" s="0" t="str">
        <f aca="false">I5846&amp;"-Q"&amp;ROUNDUP(MONTH(B5846)/3,0)</f>
        <v>2015-Q4</v>
      </c>
    </row>
    <row r="5847" customFormat="false" ht="15" hidden="false" customHeight="false" outlineLevel="0" collapsed="false">
      <c r="A5847" s="0" t="s">
        <v>2997</v>
      </c>
      <c r="B5847" s="6" t="n">
        <v>42325</v>
      </c>
      <c r="C5847" s="7" t="s">
        <v>33</v>
      </c>
      <c r="D5847" s="7" t="s">
        <v>34</v>
      </c>
      <c r="E5847" s="7" t="s">
        <v>35</v>
      </c>
      <c r="F5847" s="0" t="n">
        <v>32.4</v>
      </c>
      <c r="G5847" s="0" t="n">
        <v>15.552</v>
      </c>
      <c r="H5847" s="0" t="n">
        <v>0</v>
      </c>
      <c r="I5847" s="7" t="n">
        <f aca="false">YEAR(B5847)</f>
        <v>2015</v>
      </c>
      <c r="J5847" s="0" t="str">
        <f aca="false">I5847&amp;"-Q"&amp;ROUNDUP(MONTH(B5847)/3,0)</f>
        <v>2015-Q4</v>
      </c>
    </row>
    <row r="5848" customFormat="false" ht="15" hidden="false" customHeight="false" outlineLevel="0" collapsed="false">
      <c r="A5848" s="0" t="s">
        <v>2997</v>
      </c>
      <c r="B5848" s="6" t="n">
        <v>42325</v>
      </c>
      <c r="C5848" s="7" t="s">
        <v>33</v>
      </c>
      <c r="D5848" s="7" t="s">
        <v>34</v>
      </c>
      <c r="E5848" s="7" t="s">
        <v>31</v>
      </c>
      <c r="F5848" s="0" t="n">
        <v>225.568</v>
      </c>
      <c r="G5848" s="0" t="n">
        <v>2.8196</v>
      </c>
      <c r="H5848" s="0" t="n">
        <v>0.2</v>
      </c>
      <c r="I5848" s="7" t="n">
        <f aca="false">YEAR(B5848)</f>
        <v>2015</v>
      </c>
      <c r="J5848" s="0" t="str">
        <f aca="false">I5848&amp;"-Q"&amp;ROUNDUP(MONTH(B5848)/3,0)</f>
        <v>2015-Q4</v>
      </c>
    </row>
    <row r="5849" customFormat="false" ht="15" hidden="false" customHeight="false" outlineLevel="0" collapsed="false">
      <c r="A5849" s="0" t="s">
        <v>2997</v>
      </c>
      <c r="B5849" s="6" t="n">
        <v>42325</v>
      </c>
      <c r="C5849" s="7" t="s">
        <v>33</v>
      </c>
      <c r="D5849" s="7" t="s">
        <v>34</v>
      </c>
      <c r="E5849" s="7" t="s">
        <v>31</v>
      </c>
      <c r="F5849" s="0" t="n">
        <v>36.6</v>
      </c>
      <c r="G5849" s="0" t="n">
        <v>15.372</v>
      </c>
      <c r="H5849" s="0" t="n">
        <v>0</v>
      </c>
      <c r="I5849" s="7" t="n">
        <f aca="false">YEAR(B5849)</f>
        <v>2015</v>
      </c>
      <c r="J5849" s="0" t="str">
        <f aca="false">I5849&amp;"-Q"&amp;ROUNDUP(MONTH(B5849)/3,0)</f>
        <v>2015-Q4</v>
      </c>
    </row>
    <row r="5850" customFormat="false" ht="15" hidden="false" customHeight="false" outlineLevel="0" collapsed="false">
      <c r="A5850" s="0" t="s">
        <v>2998</v>
      </c>
      <c r="B5850" s="6" t="n">
        <v>42318</v>
      </c>
      <c r="C5850" s="7" t="s">
        <v>45</v>
      </c>
      <c r="D5850" s="7" t="s">
        <v>68</v>
      </c>
      <c r="E5850" s="7" t="s">
        <v>35</v>
      </c>
      <c r="F5850" s="0" t="n">
        <v>715.64</v>
      </c>
      <c r="G5850" s="0" t="n">
        <v>178.91</v>
      </c>
      <c r="H5850" s="0" t="n">
        <v>0</v>
      </c>
      <c r="I5850" s="7" t="n">
        <f aca="false">YEAR(B5850)</f>
        <v>2015</v>
      </c>
      <c r="J5850" s="0" t="str">
        <f aca="false">I5850&amp;"-Q"&amp;ROUNDUP(MONTH(B5850)/3,0)</f>
        <v>2015-Q4</v>
      </c>
    </row>
    <row r="5851" customFormat="false" ht="15" hidden="false" customHeight="false" outlineLevel="0" collapsed="false">
      <c r="A5851" s="0" t="s">
        <v>2998</v>
      </c>
      <c r="B5851" s="6" t="n">
        <v>42318</v>
      </c>
      <c r="C5851" s="7" t="s">
        <v>45</v>
      </c>
      <c r="D5851" s="7" t="s">
        <v>68</v>
      </c>
      <c r="E5851" s="7" t="s">
        <v>35</v>
      </c>
      <c r="F5851" s="0" t="n">
        <v>795.51</v>
      </c>
      <c r="G5851" s="0" t="n">
        <v>143.1918</v>
      </c>
      <c r="H5851" s="0" t="n">
        <v>0</v>
      </c>
      <c r="I5851" s="7" t="n">
        <f aca="false">YEAR(B5851)</f>
        <v>2015</v>
      </c>
      <c r="J5851" s="0" t="str">
        <f aca="false">I5851&amp;"-Q"&amp;ROUNDUP(MONTH(B5851)/3,0)</f>
        <v>2015-Q4</v>
      </c>
    </row>
    <row r="5852" customFormat="false" ht="15" hidden="false" customHeight="false" outlineLevel="0" collapsed="false">
      <c r="A5852" s="0" t="s">
        <v>2998</v>
      </c>
      <c r="B5852" s="6" t="n">
        <v>42318</v>
      </c>
      <c r="C5852" s="7" t="s">
        <v>45</v>
      </c>
      <c r="D5852" s="7" t="s">
        <v>68</v>
      </c>
      <c r="E5852" s="7" t="s">
        <v>39</v>
      </c>
      <c r="F5852" s="0" t="n">
        <v>549.99</v>
      </c>
      <c r="G5852" s="0" t="n">
        <v>274.995</v>
      </c>
      <c r="H5852" s="0" t="n">
        <v>0</v>
      </c>
      <c r="I5852" s="7" t="n">
        <f aca="false">YEAR(B5852)</f>
        <v>2015</v>
      </c>
      <c r="J5852" s="0" t="str">
        <f aca="false">I5852&amp;"-Q"&amp;ROUNDUP(MONTH(B5852)/3,0)</f>
        <v>2015-Q4</v>
      </c>
    </row>
    <row r="5853" customFormat="false" ht="15" hidden="false" customHeight="false" outlineLevel="0" collapsed="false">
      <c r="A5853" s="0" t="s">
        <v>2998</v>
      </c>
      <c r="B5853" s="6" t="n">
        <v>42318</v>
      </c>
      <c r="C5853" s="7" t="s">
        <v>45</v>
      </c>
      <c r="D5853" s="7" t="s">
        <v>68</v>
      </c>
      <c r="E5853" s="7" t="s">
        <v>35</v>
      </c>
      <c r="F5853" s="0" t="n">
        <v>74.76</v>
      </c>
      <c r="G5853" s="0" t="n">
        <v>34.3896</v>
      </c>
      <c r="H5853" s="0" t="n">
        <v>0</v>
      </c>
      <c r="I5853" s="7" t="n">
        <f aca="false">YEAR(B5853)</f>
        <v>2015</v>
      </c>
      <c r="J5853" s="0" t="str">
        <f aca="false">I5853&amp;"-Q"&amp;ROUNDUP(MONTH(B5853)/3,0)</f>
        <v>2015-Q4</v>
      </c>
    </row>
    <row r="5854" customFormat="false" ht="15" hidden="false" customHeight="false" outlineLevel="0" collapsed="false">
      <c r="A5854" s="0" t="s">
        <v>2998</v>
      </c>
      <c r="B5854" s="6" t="n">
        <v>42318</v>
      </c>
      <c r="C5854" s="7" t="s">
        <v>45</v>
      </c>
      <c r="D5854" s="7" t="s">
        <v>68</v>
      </c>
      <c r="E5854" s="7" t="s">
        <v>31</v>
      </c>
      <c r="F5854" s="0" t="n">
        <v>29.22</v>
      </c>
      <c r="G5854" s="0" t="n">
        <v>12.8568</v>
      </c>
      <c r="H5854" s="0" t="n">
        <v>0</v>
      </c>
      <c r="I5854" s="7" t="n">
        <f aca="false">YEAR(B5854)</f>
        <v>2015</v>
      </c>
      <c r="J5854" s="0" t="str">
        <f aca="false">I5854&amp;"-Q"&amp;ROUNDUP(MONTH(B5854)/3,0)</f>
        <v>2015-Q4</v>
      </c>
    </row>
    <row r="5855" customFormat="false" ht="15" hidden="false" customHeight="false" outlineLevel="0" collapsed="false">
      <c r="A5855" s="0" t="s">
        <v>2999</v>
      </c>
      <c r="B5855" s="6" t="n">
        <v>41892</v>
      </c>
      <c r="C5855" s="7" t="s">
        <v>29</v>
      </c>
      <c r="D5855" s="7" t="s">
        <v>83</v>
      </c>
      <c r="E5855" s="7" t="s">
        <v>35</v>
      </c>
      <c r="F5855" s="0" t="n">
        <v>9.64</v>
      </c>
      <c r="G5855" s="0" t="n">
        <v>4.7236</v>
      </c>
      <c r="H5855" s="0" t="n">
        <v>0</v>
      </c>
      <c r="I5855" s="7" t="n">
        <f aca="false">YEAR(B5855)</f>
        <v>2014</v>
      </c>
      <c r="J5855" s="0" t="str">
        <f aca="false">I5855&amp;"-Q"&amp;ROUNDUP(MONTH(B5855)/3,0)</f>
        <v>2014-Q3</v>
      </c>
    </row>
    <row r="5856" customFormat="false" ht="15" hidden="false" customHeight="false" outlineLevel="0" collapsed="false">
      <c r="A5856" s="0" t="s">
        <v>3000</v>
      </c>
      <c r="B5856" s="6" t="n">
        <v>42221</v>
      </c>
      <c r="C5856" s="7" t="s">
        <v>45</v>
      </c>
      <c r="D5856" s="7" t="s">
        <v>46</v>
      </c>
      <c r="E5856" s="7" t="s">
        <v>35</v>
      </c>
      <c r="F5856" s="0" t="n">
        <v>33.488</v>
      </c>
      <c r="G5856" s="0" t="n">
        <v>-1.2558</v>
      </c>
      <c r="H5856" s="0" t="n">
        <v>0.2</v>
      </c>
      <c r="I5856" s="7" t="n">
        <f aca="false">YEAR(B5856)</f>
        <v>2015</v>
      </c>
      <c r="J5856" s="0" t="str">
        <f aca="false">I5856&amp;"-Q"&amp;ROUNDUP(MONTH(B5856)/3,0)</f>
        <v>2015-Q3</v>
      </c>
    </row>
    <row r="5857" customFormat="false" ht="15" hidden="false" customHeight="false" outlineLevel="0" collapsed="false">
      <c r="A5857" s="0" t="s">
        <v>3000</v>
      </c>
      <c r="B5857" s="6" t="n">
        <v>42221</v>
      </c>
      <c r="C5857" s="7" t="s">
        <v>45</v>
      </c>
      <c r="D5857" s="7" t="s">
        <v>46</v>
      </c>
      <c r="E5857" s="7" t="s">
        <v>35</v>
      </c>
      <c r="F5857" s="0" t="n">
        <v>23.04</v>
      </c>
      <c r="G5857" s="0" t="n">
        <v>-4.896</v>
      </c>
      <c r="H5857" s="0" t="n">
        <v>0.2</v>
      </c>
      <c r="I5857" s="7" t="n">
        <f aca="false">YEAR(B5857)</f>
        <v>2015</v>
      </c>
      <c r="J5857" s="0" t="str">
        <f aca="false">I5857&amp;"-Q"&amp;ROUNDUP(MONTH(B5857)/3,0)</f>
        <v>2015-Q3</v>
      </c>
    </row>
    <row r="5858" customFormat="false" ht="15" hidden="false" customHeight="false" outlineLevel="0" collapsed="false">
      <c r="A5858" s="0" t="s">
        <v>3000</v>
      </c>
      <c r="B5858" s="6" t="n">
        <v>42221</v>
      </c>
      <c r="C5858" s="7" t="s">
        <v>45</v>
      </c>
      <c r="D5858" s="7" t="s">
        <v>46</v>
      </c>
      <c r="E5858" s="7" t="s">
        <v>35</v>
      </c>
      <c r="F5858" s="0" t="n">
        <v>1.362</v>
      </c>
      <c r="G5858" s="0" t="n">
        <v>-2.1792</v>
      </c>
      <c r="H5858" s="0" t="n">
        <v>0.8</v>
      </c>
      <c r="I5858" s="7" t="n">
        <f aca="false">YEAR(B5858)</f>
        <v>2015</v>
      </c>
      <c r="J5858" s="0" t="str">
        <f aca="false">I5858&amp;"-Q"&amp;ROUNDUP(MONTH(B5858)/3,0)</f>
        <v>2015-Q3</v>
      </c>
    </row>
    <row r="5859" customFormat="false" ht="15" hidden="false" customHeight="false" outlineLevel="0" collapsed="false">
      <c r="A5859" s="0" t="s">
        <v>3000</v>
      </c>
      <c r="B5859" s="6" t="n">
        <v>42221</v>
      </c>
      <c r="C5859" s="7" t="s">
        <v>45</v>
      </c>
      <c r="D5859" s="7" t="s">
        <v>46</v>
      </c>
      <c r="E5859" s="7" t="s">
        <v>31</v>
      </c>
      <c r="F5859" s="0" t="n">
        <v>14.76</v>
      </c>
      <c r="G5859" s="0" t="n">
        <v>-11.439</v>
      </c>
      <c r="H5859" s="0" t="n">
        <v>0.6</v>
      </c>
      <c r="I5859" s="7" t="n">
        <f aca="false">YEAR(B5859)</f>
        <v>2015</v>
      </c>
      <c r="J5859" s="0" t="str">
        <f aca="false">I5859&amp;"-Q"&amp;ROUNDUP(MONTH(B5859)/3,0)</f>
        <v>2015-Q3</v>
      </c>
    </row>
    <row r="5860" customFormat="false" ht="15" hidden="false" customHeight="false" outlineLevel="0" collapsed="false">
      <c r="A5860" s="0" t="s">
        <v>3001</v>
      </c>
      <c r="B5860" s="6" t="n">
        <v>42981</v>
      </c>
      <c r="C5860" s="7" t="s">
        <v>33</v>
      </c>
      <c r="D5860" s="7" t="s">
        <v>34</v>
      </c>
      <c r="E5860" s="7" t="s">
        <v>31</v>
      </c>
      <c r="F5860" s="0" t="n">
        <v>239.666</v>
      </c>
      <c r="G5860" s="0" t="n">
        <v>14.098</v>
      </c>
      <c r="H5860" s="0" t="n">
        <v>0.15</v>
      </c>
      <c r="I5860" s="7" t="n">
        <f aca="false">YEAR(B5860)</f>
        <v>2017</v>
      </c>
      <c r="J5860" s="0" t="str">
        <f aca="false">I5860&amp;"-Q"&amp;ROUNDUP(MONTH(B5860)/3,0)</f>
        <v>2017-Q3</v>
      </c>
    </row>
    <row r="5861" customFormat="false" ht="15" hidden="false" customHeight="false" outlineLevel="0" collapsed="false">
      <c r="A5861" s="0" t="s">
        <v>3002</v>
      </c>
      <c r="B5861" s="6" t="n">
        <v>42309</v>
      </c>
      <c r="C5861" s="7" t="s">
        <v>29</v>
      </c>
      <c r="D5861" s="7" t="s">
        <v>301</v>
      </c>
      <c r="E5861" s="7" t="s">
        <v>31</v>
      </c>
      <c r="F5861" s="0" t="n">
        <v>301.96</v>
      </c>
      <c r="G5861" s="0" t="n">
        <v>45.294</v>
      </c>
      <c r="H5861" s="0" t="n">
        <v>0</v>
      </c>
      <c r="I5861" s="7" t="n">
        <f aca="false">YEAR(B5861)</f>
        <v>2015</v>
      </c>
      <c r="J5861" s="0" t="str">
        <f aca="false">I5861&amp;"-Q"&amp;ROUNDUP(MONTH(B5861)/3,0)</f>
        <v>2015-Q4</v>
      </c>
    </row>
    <row r="5862" customFormat="false" ht="15" hidden="false" customHeight="false" outlineLevel="0" collapsed="false">
      <c r="A5862" s="0" t="s">
        <v>3003</v>
      </c>
      <c r="B5862" s="6" t="n">
        <v>42123</v>
      </c>
      <c r="C5862" s="7" t="s">
        <v>55</v>
      </c>
      <c r="D5862" s="7" t="s">
        <v>56</v>
      </c>
      <c r="E5862" s="7" t="s">
        <v>35</v>
      </c>
      <c r="F5862" s="0" t="n">
        <v>7.968</v>
      </c>
      <c r="G5862" s="0" t="n">
        <v>2.8884</v>
      </c>
      <c r="H5862" s="0" t="n">
        <v>0.2</v>
      </c>
      <c r="I5862" s="7" t="n">
        <f aca="false">YEAR(B5862)</f>
        <v>2015</v>
      </c>
      <c r="J5862" s="0" t="str">
        <f aca="false">I5862&amp;"-Q"&amp;ROUNDUP(MONTH(B5862)/3,0)</f>
        <v>2015-Q2</v>
      </c>
    </row>
    <row r="5863" customFormat="false" ht="15" hidden="false" customHeight="false" outlineLevel="0" collapsed="false">
      <c r="A5863" s="0" t="s">
        <v>3004</v>
      </c>
      <c r="B5863" s="6" t="n">
        <v>42491</v>
      </c>
      <c r="C5863" s="7" t="s">
        <v>29</v>
      </c>
      <c r="D5863" s="7" t="s">
        <v>301</v>
      </c>
      <c r="E5863" s="7" t="s">
        <v>35</v>
      </c>
      <c r="F5863" s="0" t="n">
        <v>109.92</v>
      </c>
      <c r="G5863" s="0" t="n">
        <v>53.8608</v>
      </c>
      <c r="H5863" s="0" t="n">
        <v>0</v>
      </c>
      <c r="I5863" s="7" t="n">
        <f aca="false">YEAR(B5863)</f>
        <v>2016</v>
      </c>
      <c r="J5863" s="0" t="str">
        <f aca="false">I5863&amp;"-Q"&amp;ROUNDUP(MONTH(B5863)/3,0)</f>
        <v>2016-Q2</v>
      </c>
    </row>
    <row r="5864" customFormat="false" ht="15" hidden="false" customHeight="false" outlineLevel="0" collapsed="false">
      <c r="A5864" s="0" t="s">
        <v>3004</v>
      </c>
      <c r="B5864" s="6" t="n">
        <v>42491</v>
      </c>
      <c r="C5864" s="7" t="s">
        <v>29</v>
      </c>
      <c r="D5864" s="7" t="s">
        <v>301</v>
      </c>
      <c r="E5864" s="7" t="s">
        <v>35</v>
      </c>
      <c r="F5864" s="0" t="n">
        <v>19.44</v>
      </c>
      <c r="G5864" s="0" t="n">
        <v>9.3312</v>
      </c>
      <c r="H5864" s="0" t="n">
        <v>0</v>
      </c>
      <c r="I5864" s="7" t="n">
        <f aca="false">YEAR(B5864)</f>
        <v>2016</v>
      </c>
      <c r="J5864" s="0" t="str">
        <f aca="false">I5864&amp;"-Q"&amp;ROUNDUP(MONTH(B5864)/3,0)</f>
        <v>2016-Q2</v>
      </c>
    </row>
    <row r="5865" customFormat="false" ht="15" hidden="false" customHeight="false" outlineLevel="0" collapsed="false">
      <c r="A5865" s="0" t="s">
        <v>3004</v>
      </c>
      <c r="B5865" s="6" t="n">
        <v>42491</v>
      </c>
      <c r="C5865" s="7" t="s">
        <v>29</v>
      </c>
      <c r="D5865" s="7" t="s">
        <v>301</v>
      </c>
      <c r="E5865" s="7" t="s">
        <v>35</v>
      </c>
      <c r="F5865" s="0" t="n">
        <v>11.16</v>
      </c>
      <c r="G5865" s="0" t="n">
        <v>4.3524</v>
      </c>
      <c r="H5865" s="0" t="n">
        <v>0</v>
      </c>
      <c r="I5865" s="7" t="n">
        <f aca="false">YEAR(B5865)</f>
        <v>2016</v>
      </c>
      <c r="J5865" s="0" t="str">
        <f aca="false">I5865&amp;"-Q"&amp;ROUNDUP(MONTH(B5865)/3,0)</f>
        <v>2016-Q2</v>
      </c>
    </row>
    <row r="5866" customFormat="false" ht="15" hidden="false" customHeight="false" outlineLevel="0" collapsed="false">
      <c r="A5866" s="0" t="s">
        <v>3005</v>
      </c>
      <c r="B5866" s="6" t="n">
        <v>41856</v>
      </c>
      <c r="C5866" s="7" t="s">
        <v>55</v>
      </c>
      <c r="D5866" s="7" t="s">
        <v>154</v>
      </c>
      <c r="E5866" s="7" t="s">
        <v>35</v>
      </c>
      <c r="F5866" s="0" t="n">
        <v>79.47</v>
      </c>
      <c r="G5866" s="0" t="n">
        <v>22.2516</v>
      </c>
      <c r="H5866" s="0" t="n">
        <v>0</v>
      </c>
      <c r="I5866" s="7" t="n">
        <f aca="false">YEAR(B5866)</f>
        <v>2014</v>
      </c>
      <c r="J5866" s="0" t="str">
        <f aca="false">I5866&amp;"-Q"&amp;ROUNDUP(MONTH(B5866)/3,0)</f>
        <v>2014-Q3</v>
      </c>
    </row>
    <row r="5867" customFormat="false" ht="15" hidden="false" customHeight="false" outlineLevel="0" collapsed="false">
      <c r="A5867" s="0" t="s">
        <v>3005</v>
      </c>
      <c r="B5867" s="6" t="n">
        <v>41856</v>
      </c>
      <c r="C5867" s="7" t="s">
        <v>55</v>
      </c>
      <c r="D5867" s="7" t="s">
        <v>154</v>
      </c>
      <c r="E5867" s="7" t="s">
        <v>35</v>
      </c>
      <c r="F5867" s="0" t="n">
        <v>4.56</v>
      </c>
      <c r="G5867" s="0" t="n">
        <v>2.0064</v>
      </c>
      <c r="H5867" s="0" t="n">
        <v>0</v>
      </c>
      <c r="I5867" s="7" t="n">
        <f aca="false">YEAR(B5867)</f>
        <v>2014</v>
      </c>
      <c r="J5867" s="0" t="str">
        <f aca="false">I5867&amp;"-Q"&amp;ROUNDUP(MONTH(B5867)/3,0)</f>
        <v>2014-Q3</v>
      </c>
    </row>
    <row r="5868" customFormat="false" ht="15" hidden="false" customHeight="false" outlineLevel="0" collapsed="false">
      <c r="A5868" s="0" t="s">
        <v>3005</v>
      </c>
      <c r="B5868" s="6" t="n">
        <v>41856</v>
      </c>
      <c r="C5868" s="7" t="s">
        <v>55</v>
      </c>
      <c r="D5868" s="7" t="s">
        <v>154</v>
      </c>
      <c r="E5868" s="7" t="s">
        <v>31</v>
      </c>
      <c r="F5868" s="0" t="n">
        <v>1133.35</v>
      </c>
      <c r="G5868" s="0" t="n">
        <v>294.671</v>
      </c>
      <c r="H5868" s="0" t="n">
        <v>0</v>
      </c>
      <c r="I5868" s="7" t="n">
        <f aca="false">YEAR(B5868)</f>
        <v>2014</v>
      </c>
      <c r="J5868" s="0" t="str">
        <f aca="false">I5868&amp;"-Q"&amp;ROUNDUP(MONTH(B5868)/3,0)</f>
        <v>2014-Q3</v>
      </c>
    </row>
    <row r="5869" customFormat="false" ht="15" hidden="false" customHeight="false" outlineLevel="0" collapsed="false">
      <c r="A5869" s="0" t="s">
        <v>3006</v>
      </c>
      <c r="B5869" s="6" t="n">
        <v>42373</v>
      </c>
      <c r="C5869" s="7" t="s">
        <v>55</v>
      </c>
      <c r="D5869" s="7" t="s">
        <v>56</v>
      </c>
      <c r="E5869" s="7" t="s">
        <v>35</v>
      </c>
      <c r="F5869" s="0" t="n">
        <v>4.672</v>
      </c>
      <c r="G5869" s="0" t="n">
        <v>0.584</v>
      </c>
      <c r="H5869" s="0" t="n">
        <v>0.2</v>
      </c>
      <c r="I5869" s="7" t="n">
        <f aca="false">YEAR(B5869)</f>
        <v>2016</v>
      </c>
      <c r="J5869" s="0" t="str">
        <f aca="false">I5869&amp;"-Q"&amp;ROUNDUP(MONTH(B5869)/3,0)</f>
        <v>2016-Q1</v>
      </c>
    </row>
    <row r="5870" customFormat="false" ht="15" hidden="false" customHeight="false" outlineLevel="0" collapsed="false">
      <c r="A5870" s="0" t="s">
        <v>3006</v>
      </c>
      <c r="B5870" s="6" t="n">
        <v>42373</v>
      </c>
      <c r="C5870" s="7" t="s">
        <v>55</v>
      </c>
      <c r="D5870" s="7" t="s">
        <v>56</v>
      </c>
      <c r="E5870" s="7" t="s">
        <v>35</v>
      </c>
      <c r="F5870" s="0" t="n">
        <v>104.58</v>
      </c>
      <c r="G5870" s="0" t="n">
        <v>-80.178</v>
      </c>
      <c r="H5870" s="0" t="n">
        <v>0.7</v>
      </c>
      <c r="I5870" s="7" t="n">
        <f aca="false">YEAR(B5870)</f>
        <v>2016</v>
      </c>
      <c r="J5870" s="0" t="str">
        <f aca="false">I5870&amp;"-Q"&amp;ROUNDUP(MONTH(B5870)/3,0)</f>
        <v>2016-Q1</v>
      </c>
    </row>
    <row r="5871" customFormat="false" ht="15" hidden="false" customHeight="false" outlineLevel="0" collapsed="false">
      <c r="A5871" s="0" t="s">
        <v>3007</v>
      </c>
      <c r="B5871" s="6" t="n">
        <v>42681</v>
      </c>
      <c r="C5871" s="7" t="s">
        <v>33</v>
      </c>
      <c r="D5871" s="7" t="s">
        <v>3008</v>
      </c>
      <c r="E5871" s="7" t="s">
        <v>31</v>
      </c>
      <c r="F5871" s="0" t="n">
        <v>1603.136</v>
      </c>
      <c r="G5871" s="0" t="n">
        <v>100.196</v>
      </c>
      <c r="H5871" s="0" t="n">
        <v>0.2</v>
      </c>
      <c r="I5871" s="7" t="n">
        <f aca="false">YEAR(B5871)</f>
        <v>2016</v>
      </c>
      <c r="J5871" s="0" t="str">
        <f aca="false">I5871&amp;"-Q"&amp;ROUNDUP(MONTH(B5871)/3,0)</f>
        <v>2016-Q4</v>
      </c>
    </row>
    <row r="5872" customFormat="false" ht="15" hidden="false" customHeight="false" outlineLevel="0" collapsed="false">
      <c r="A5872" s="0" t="s">
        <v>3009</v>
      </c>
      <c r="B5872" s="6" t="n">
        <v>42535</v>
      </c>
      <c r="C5872" s="7" t="s">
        <v>33</v>
      </c>
      <c r="D5872" s="7" t="s">
        <v>34</v>
      </c>
      <c r="E5872" s="7" t="s">
        <v>31</v>
      </c>
      <c r="F5872" s="0" t="n">
        <v>1293.488</v>
      </c>
      <c r="G5872" s="0" t="n">
        <v>80.843</v>
      </c>
      <c r="H5872" s="0" t="n">
        <v>0.2</v>
      </c>
      <c r="I5872" s="7" t="n">
        <f aca="false">YEAR(B5872)</f>
        <v>2016</v>
      </c>
      <c r="J5872" s="0" t="str">
        <f aca="false">I5872&amp;"-Q"&amp;ROUNDUP(MONTH(B5872)/3,0)</f>
        <v>2016-Q2</v>
      </c>
    </row>
    <row r="5873" customFormat="false" ht="15" hidden="false" customHeight="false" outlineLevel="0" collapsed="false">
      <c r="A5873" s="0" t="s">
        <v>3010</v>
      </c>
      <c r="B5873" s="6" t="n">
        <v>42637</v>
      </c>
      <c r="C5873" s="7" t="s">
        <v>45</v>
      </c>
      <c r="D5873" s="7" t="s">
        <v>74</v>
      </c>
      <c r="E5873" s="7" t="s">
        <v>31</v>
      </c>
      <c r="F5873" s="0" t="n">
        <v>127.95</v>
      </c>
      <c r="G5873" s="0" t="n">
        <v>21.7515</v>
      </c>
      <c r="H5873" s="0" t="n">
        <v>0</v>
      </c>
      <c r="I5873" s="7" t="n">
        <f aca="false">YEAR(B5873)</f>
        <v>2016</v>
      </c>
      <c r="J5873" s="0" t="str">
        <f aca="false">I5873&amp;"-Q"&amp;ROUNDUP(MONTH(B5873)/3,0)</f>
        <v>2016-Q3</v>
      </c>
    </row>
    <row r="5874" customFormat="false" ht="15" hidden="false" customHeight="false" outlineLevel="0" collapsed="false">
      <c r="A5874" s="0" t="s">
        <v>3011</v>
      </c>
      <c r="B5874" s="6" t="n">
        <v>42824</v>
      </c>
      <c r="C5874" s="7" t="s">
        <v>29</v>
      </c>
      <c r="D5874" s="7" t="s">
        <v>230</v>
      </c>
      <c r="E5874" s="7" t="s">
        <v>35</v>
      </c>
      <c r="F5874" s="0" t="n">
        <v>59.76</v>
      </c>
      <c r="G5874" s="0" t="n">
        <v>16.7328</v>
      </c>
      <c r="H5874" s="0" t="n">
        <v>0</v>
      </c>
      <c r="I5874" s="7" t="n">
        <f aca="false">YEAR(B5874)</f>
        <v>2017</v>
      </c>
      <c r="J5874" s="0" t="str">
        <f aca="false">I5874&amp;"-Q"&amp;ROUNDUP(MONTH(B5874)/3,0)</f>
        <v>2017-Q1</v>
      </c>
    </row>
    <row r="5875" customFormat="false" ht="15" hidden="false" customHeight="false" outlineLevel="0" collapsed="false">
      <c r="A5875" s="0" t="s">
        <v>3012</v>
      </c>
      <c r="B5875" s="6" t="n">
        <v>42890</v>
      </c>
      <c r="C5875" s="7" t="s">
        <v>29</v>
      </c>
      <c r="D5875" s="7" t="s">
        <v>301</v>
      </c>
      <c r="E5875" s="7" t="s">
        <v>35</v>
      </c>
      <c r="F5875" s="0" t="n">
        <v>108.08</v>
      </c>
      <c r="G5875" s="0" t="n">
        <v>54.04</v>
      </c>
      <c r="H5875" s="0" t="n">
        <v>0</v>
      </c>
      <c r="I5875" s="7" t="n">
        <f aca="false">YEAR(B5875)</f>
        <v>2017</v>
      </c>
      <c r="J5875" s="0" t="str">
        <f aca="false">I5875&amp;"-Q"&amp;ROUNDUP(MONTH(B5875)/3,0)</f>
        <v>2017-Q2</v>
      </c>
    </row>
    <row r="5876" customFormat="false" ht="15" hidden="false" customHeight="false" outlineLevel="0" collapsed="false">
      <c r="A5876" s="0" t="s">
        <v>3012</v>
      </c>
      <c r="B5876" s="6" t="n">
        <v>42890</v>
      </c>
      <c r="C5876" s="7" t="s">
        <v>29</v>
      </c>
      <c r="D5876" s="7" t="s">
        <v>301</v>
      </c>
      <c r="E5876" s="7" t="s">
        <v>35</v>
      </c>
      <c r="F5876" s="0" t="n">
        <v>9.54</v>
      </c>
      <c r="G5876" s="0" t="n">
        <v>4.3884</v>
      </c>
      <c r="H5876" s="0" t="n">
        <v>0</v>
      </c>
      <c r="I5876" s="7" t="n">
        <f aca="false">YEAR(B5876)</f>
        <v>2017</v>
      </c>
      <c r="J5876" s="0" t="str">
        <f aca="false">I5876&amp;"-Q"&amp;ROUNDUP(MONTH(B5876)/3,0)</f>
        <v>2017-Q2</v>
      </c>
    </row>
    <row r="5877" customFormat="false" ht="15" hidden="false" customHeight="false" outlineLevel="0" collapsed="false">
      <c r="A5877" s="0" t="s">
        <v>3013</v>
      </c>
      <c r="B5877" s="6" t="n">
        <v>42101</v>
      </c>
      <c r="C5877" s="7" t="s">
        <v>55</v>
      </c>
      <c r="D5877" s="7" t="s">
        <v>56</v>
      </c>
      <c r="E5877" s="7" t="s">
        <v>35</v>
      </c>
      <c r="F5877" s="0" t="n">
        <v>11.736</v>
      </c>
      <c r="G5877" s="0" t="n">
        <v>1.0269</v>
      </c>
      <c r="H5877" s="0" t="n">
        <v>0.2</v>
      </c>
      <c r="I5877" s="7" t="n">
        <f aca="false">YEAR(B5877)</f>
        <v>2015</v>
      </c>
      <c r="J5877" s="0" t="str">
        <f aca="false">I5877&amp;"-Q"&amp;ROUNDUP(MONTH(B5877)/3,0)</f>
        <v>2015-Q2</v>
      </c>
    </row>
    <row r="5878" customFormat="false" ht="15" hidden="false" customHeight="false" outlineLevel="0" collapsed="false">
      <c r="A5878" s="0" t="s">
        <v>3014</v>
      </c>
      <c r="B5878" s="6" t="n">
        <v>41780</v>
      </c>
      <c r="C5878" s="7" t="s">
        <v>55</v>
      </c>
      <c r="D5878" s="7" t="s">
        <v>225</v>
      </c>
      <c r="E5878" s="7" t="s">
        <v>35</v>
      </c>
      <c r="F5878" s="0" t="n">
        <v>447.86</v>
      </c>
      <c r="G5878" s="0" t="n">
        <v>219.4514</v>
      </c>
      <c r="H5878" s="0" t="n">
        <v>0</v>
      </c>
      <c r="I5878" s="7" t="n">
        <f aca="false">YEAR(B5878)</f>
        <v>2014</v>
      </c>
      <c r="J5878" s="0" t="str">
        <f aca="false">I5878&amp;"-Q"&amp;ROUNDUP(MONTH(B5878)/3,0)</f>
        <v>2014-Q2</v>
      </c>
    </row>
    <row r="5879" customFormat="false" ht="15" hidden="false" customHeight="false" outlineLevel="0" collapsed="false">
      <c r="A5879" s="0" t="s">
        <v>3014</v>
      </c>
      <c r="B5879" s="6" t="n">
        <v>41780</v>
      </c>
      <c r="C5879" s="7" t="s">
        <v>55</v>
      </c>
      <c r="D5879" s="7" t="s">
        <v>225</v>
      </c>
      <c r="E5879" s="7" t="s">
        <v>35</v>
      </c>
      <c r="F5879" s="0" t="n">
        <v>17.94</v>
      </c>
      <c r="G5879" s="0" t="n">
        <v>8.7906</v>
      </c>
      <c r="H5879" s="0" t="n">
        <v>0</v>
      </c>
      <c r="I5879" s="7" t="n">
        <f aca="false">YEAR(B5879)</f>
        <v>2014</v>
      </c>
      <c r="J5879" s="0" t="str">
        <f aca="false">I5879&amp;"-Q"&amp;ROUNDUP(MONTH(B5879)/3,0)</f>
        <v>2014-Q2</v>
      </c>
    </row>
    <row r="5880" customFormat="false" ht="15" hidden="false" customHeight="false" outlineLevel="0" collapsed="false">
      <c r="A5880" s="0" t="s">
        <v>3014</v>
      </c>
      <c r="B5880" s="6" t="n">
        <v>41780</v>
      </c>
      <c r="C5880" s="7" t="s">
        <v>55</v>
      </c>
      <c r="D5880" s="7" t="s">
        <v>225</v>
      </c>
      <c r="E5880" s="7" t="s">
        <v>35</v>
      </c>
      <c r="F5880" s="0" t="n">
        <v>245.88</v>
      </c>
      <c r="G5880" s="0" t="n">
        <v>68.8464</v>
      </c>
      <c r="H5880" s="0" t="n">
        <v>0</v>
      </c>
      <c r="I5880" s="7" t="n">
        <f aca="false">YEAR(B5880)</f>
        <v>2014</v>
      </c>
      <c r="J5880" s="0" t="str">
        <f aca="false">I5880&amp;"-Q"&amp;ROUNDUP(MONTH(B5880)/3,0)</f>
        <v>2014-Q2</v>
      </c>
    </row>
    <row r="5881" customFormat="false" ht="15" hidden="false" customHeight="false" outlineLevel="0" collapsed="false">
      <c r="A5881" s="0" t="s">
        <v>3015</v>
      </c>
      <c r="B5881" s="6" t="n">
        <v>42618</v>
      </c>
      <c r="C5881" s="7" t="s">
        <v>55</v>
      </c>
      <c r="D5881" s="7" t="s">
        <v>76</v>
      </c>
      <c r="E5881" s="7" t="s">
        <v>35</v>
      </c>
      <c r="F5881" s="0" t="n">
        <v>192.16</v>
      </c>
      <c r="G5881" s="0" t="n">
        <v>92.2368</v>
      </c>
      <c r="H5881" s="0" t="n">
        <v>0</v>
      </c>
      <c r="I5881" s="7" t="n">
        <f aca="false">YEAR(B5881)</f>
        <v>2016</v>
      </c>
      <c r="J5881" s="0" t="str">
        <f aca="false">I5881&amp;"-Q"&amp;ROUNDUP(MONTH(B5881)/3,0)</f>
        <v>2016-Q3</v>
      </c>
    </row>
    <row r="5882" customFormat="false" ht="15" hidden="false" customHeight="false" outlineLevel="0" collapsed="false">
      <c r="A5882" s="0" t="s">
        <v>3016</v>
      </c>
      <c r="B5882" s="6" t="n">
        <v>42631</v>
      </c>
      <c r="C5882" s="7" t="s">
        <v>33</v>
      </c>
      <c r="D5882" s="7" t="s">
        <v>34</v>
      </c>
      <c r="E5882" s="7" t="s">
        <v>31</v>
      </c>
      <c r="F5882" s="0" t="n">
        <v>801.568</v>
      </c>
      <c r="G5882" s="0" t="n">
        <v>50.098</v>
      </c>
      <c r="H5882" s="0" t="n">
        <v>0.2</v>
      </c>
      <c r="I5882" s="7" t="n">
        <f aca="false">YEAR(B5882)</f>
        <v>2016</v>
      </c>
      <c r="J5882" s="0" t="str">
        <f aca="false">I5882&amp;"-Q"&amp;ROUNDUP(MONTH(B5882)/3,0)</f>
        <v>2016-Q3</v>
      </c>
    </row>
    <row r="5883" customFormat="false" ht="15" hidden="false" customHeight="false" outlineLevel="0" collapsed="false">
      <c r="A5883" s="0" t="s">
        <v>3016</v>
      </c>
      <c r="B5883" s="6" t="n">
        <v>42631</v>
      </c>
      <c r="C5883" s="7" t="s">
        <v>33</v>
      </c>
      <c r="D5883" s="7" t="s">
        <v>34</v>
      </c>
      <c r="E5883" s="7" t="s">
        <v>35</v>
      </c>
      <c r="F5883" s="0" t="n">
        <v>368.91</v>
      </c>
      <c r="G5883" s="0" t="n">
        <v>180.7659</v>
      </c>
      <c r="H5883" s="0" t="n">
        <v>0</v>
      </c>
      <c r="I5883" s="7" t="n">
        <f aca="false">YEAR(B5883)</f>
        <v>2016</v>
      </c>
      <c r="J5883" s="0" t="str">
        <f aca="false">I5883&amp;"-Q"&amp;ROUNDUP(MONTH(B5883)/3,0)</f>
        <v>2016-Q3</v>
      </c>
    </row>
    <row r="5884" customFormat="false" ht="15" hidden="false" customHeight="false" outlineLevel="0" collapsed="false">
      <c r="A5884" s="0" t="s">
        <v>3016</v>
      </c>
      <c r="B5884" s="6" t="n">
        <v>42631</v>
      </c>
      <c r="C5884" s="7" t="s">
        <v>33</v>
      </c>
      <c r="D5884" s="7" t="s">
        <v>34</v>
      </c>
      <c r="E5884" s="7" t="s">
        <v>31</v>
      </c>
      <c r="F5884" s="0" t="n">
        <v>885.528</v>
      </c>
      <c r="G5884" s="0" t="n">
        <v>-99.6219</v>
      </c>
      <c r="H5884" s="0" t="n">
        <v>0.2</v>
      </c>
      <c r="I5884" s="7" t="n">
        <f aca="false">YEAR(B5884)</f>
        <v>2016</v>
      </c>
      <c r="J5884" s="0" t="str">
        <f aca="false">I5884&amp;"-Q"&amp;ROUNDUP(MONTH(B5884)/3,0)</f>
        <v>2016-Q3</v>
      </c>
    </row>
    <row r="5885" customFormat="false" ht="15" hidden="false" customHeight="false" outlineLevel="0" collapsed="false">
      <c r="A5885" s="0" t="s">
        <v>3017</v>
      </c>
      <c r="B5885" s="6" t="n">
        <v>42442</v>
      </c>
      <c r="C5885" s="7" t="s">
        <v>33</v>
      </c>
      <c r="D5885" s="7" t="s">
        <v>34</v>
      </c>
      <c r="E5885" s="7" t="s">
        <v>31</v>
      </c>
      <c r="F5885" s="0" t="n">
        <v>28.28</v>
      </c>
      <c r="G5885" s="0" t="n">
        <v>7.3528</v>
      </c>
      <c r="H5885" s="0" t="n">
        <v>0</v>
      </c>
      <c r="I5885" s="7" t="n">
        <f aca="false">YEAR(B5885)</f>
        <v>2016</v>
      </c>
      <c r="J5885" s="0" t="str">
        <f aca="false">I5885&amp;"-Q"&amp;ROUNDUP(MONTH(B5885)/3,0)</f>
        <v>2016-Q1</v>
      </c>
    </row>
    <row r="5886" customFormat="false" ht="15" hidden="false" customHeight="false" outlineLevel="0" collapsed="false">
      <c r="A5886" s="0" t="s">
        <v>3017</v>
      </c>
      <c r="B5886" s="6" t="n">
        <v>42442</v>
      </c>
      <c r="C5886" s="7" t="s">
        <v>33</v>
      </c>
      <c r="D5886" s="7" t="s">
        <v>34</v>
      </c>
      <c r="E5886" s="7" t="s">
        <v>35</v>
      </c>
      <c r="F5886" s="0" t="n">
        <v>4912.59</v>
      </c>
      <c r="G5886" s="0" t="n">
        <v>196.5036</v>
      </c>
      <c r="H5886" s="0" t="n">
        <v>0</v>
      </c>
      <c r="I5886" s="7" t="n">
        <f aca="false">YEAR(B5886)</f>
        <v>2016</v>
      </c>
      <c r="J5886" s="0" t="str">
        <f aca="false">I5886&amp;"-Q"&amp;ROUNDUP(MONTH(B5886)/3,0)</f>
        <v>2016-Q1</v>
      </c>
    </row>
    <row r="5887" customFormat="false" ht="15" hidden="false" customHeight="false" outlineLevel="0" collapsed="false">
      <c r="A5887" s="0" t="s">
        <v>3018</v>
      </c>
      <c r="B5887" s="6" t="n">
        <v>41928</v>
      </c>
      <c r="C5887" s="7" t="s">
        <v>33</v>
      </c>
      <c r="D5887" s="7" t="s">
        <v>34</v>
      </c>
      <c r="E5887" s="7" t="s">
        <v>35</v>
      </c>
      <c r="F5887" s="0" t="n">
        <v>14.352</v>
      </c>
      <c r="G5887" s="0" t="n">
        <v>5.0232</v>
      </c>
      <c r="H5887" s="0" t="n">
        <v>0.2</v>
      </c>
      <c r="I5887" s="7" t="n">
        <f aca="false">YEAR(B5887)</f>
        <v>2014</v>
      </c>
      <c r="J5887" s="0" t="str">
        <f aca="false">I5887&amp;"-Q"&amp;ROUNDUP(MONTH(B5887)/3,0)</f>
        <v>2014-Q4</v>
      </c>
    </row>
    <row r="5888" customFormat="false" ht="15" hidden="false" customHeight="false" outlineLevel="0" collapsed="false">
      <c r="A5888" s="0" t="s">
        <v>3018</v>
      </c>
      <c r="B5888" s="6" t="n">
        <v>41928</v>
      </c>
      <c r="C5888" s="7" t="s">
        <v>33</v>
      </c>
      <c r="D5888" s="7" t="s">
        <v>34</v>
      </c>
      <c r="E5888" s="7" t="s">
        <v>39</v>
      </c>
      <c r="F5888" s="0" t="n">
        <v>179.97</v>
      </c>
      <c r="G5888" s="0" t="n">
        <v>86.3856</v>
      </c>
      <c r="H5888" s="0" t="n">
        <v>0</v>
      </c>
      <c r="I5888" s="7" t="n">
        <f aca="false">YEAR(B5888)</f>
        <v>2014</v>
      </c>
      <c r="J5888" s="0" t="str">
        <f aca="false">I5888&amp;"-Q"&amp;ROUNDUP(MONTH(B5888)/3,0)</f>
        <v>2014-Q4</v>
      </c>
    </row>
    <row r="5889" customFormat="false" ht="15" hidden="false" customHeight="false" outlineLevel="0" collapsed="false">
      <c r="A5889" s="0" t="s">
        <v>3019</v>
      </c>
      <c r="B5889" s="6" t="n">
        <v>43016</v>
      </c>
      <c r="C5889" s="7" t="s">
        <v>55</v>
      </c>
      <c r="D5889" s="7" t="s">
        <v>250</v>
      </c>
      <c r="E5889" s="7" t="s">
        <v>35</v>
      </c>
      <c r="F5889" s="0" t="n">
        <v>42.76</v>
      </c>
      <c r="G5889" s="0" t="n">
        <v>11.1176</v>
      </c>
      <c r="H5889" s="0" t="n">
        <v>0</v>
      </c>
      <c r="I5889" s="7" t="n">
        <f aca="false">YEAR(B5889)</f>
        <v>2017</v>
      </c>
      <c r="J5889" s="0" t="str">
        <f aca="false">I5889&amp;"-Q"&amp;ROUNDUP(MONTH(B5889)/3,0)</f>
        <v>2017-Q4</v>
      </c>
    </row>
    <row r="5890" customFormat="false" ht="15" hidden="false" customHeight="false" outlineLevel="0" collapsed="false">
      <c r="A5890" s="0" t="s">
        <v>3020</v>
      </c>
      <c r="B5890" s="6" t="n">
        <v>42131</v>
      </c>
      <c r="C5890" s="7" t="s">
        <v>29</v>
      </c>
      <c r="D5890" s="7" t="s">
        <v>30</v>
      </c>
      <c r="E5890" s="7" t="s">
        <v>35</v>
      </c>
      <c r="F5890" s="0" t="n">
        <v>45.68</v>
      </c>
      <c r="G5890" s="0" t="n">
        <v>21.0128</v>
      </c>
      <c r="H5890" s="0" t="n">
        <v>0</v>
      </c>
      <c r="I5890" s="7" t="n">
        <f aca="false">YEAR(B5890)</f>
        <v>2015</v>
      </c>
      <c r="J5890" s="0" t="str">
        <f aca="false">I5890&amp;"-Q"&amp;ROUNDUP(MONTH(B5890)/3,0)</f>
        <v>2015-Q2</v>
      </c>
    </row>
    <row r="5891" customFormat="false" ht="15" hidden="false" customHeight="false" outlineLevel="0" collapsed="false">
      <c r="A5891" s="0" t="s">
        <v>3021</v>
      </c>
      <c r="B5891" s="6" t="n">
        <v>42474</v>
      </c>
      <c r="C5891" s="7" t="s">
        <v>55</v>
      </c>
      <c r="D5891" s="7" t="s">
        <v>495</v>
      </c>
      <c r="E5891" s="7" t="s">
        <v>35</v>
      </c>
      <c r="F5891" s="0" t="n">
        <v>25.06</v>
      </c>
      <c r="G5891" s="0" t="n">
        <v>11.7782</v>
      </c>
      <c r="H5891" s="0" t="n">
        <v>0</v>
      </c>
      <c r="I5891" s="7" t="n">
        <f aca="false">YEAR(B5891)</f>
        <v>2016</v>
      </c>
      <c r="J5891" s="0" t="str">
        <f aca="false">I5891&amp;"-Q"&amp;ROUNDUP(MONTH(B5891)/3,0)</f>
        <v>2016-Q2</v>
      </c>
    </row>
    <row r="5892" customFormat="false" ht="15" hidden="false" customHeight="false" outlineLevel="0" collapsed="false">
      <c r="A5892" s="0" t="s">
        <v>3022</v>
      </c>
      <c r="B5892" s="6" t="n">
        <v>42695</v>
      </c>
      <c r="C5892" s="7" t="s">
        <v>45</v>
      </c>
      <c r="D5892" s="7" t="s">
        <v>64</v>
      </c>
      <c r="E5892" s="7" t="s">
        <v>35</v>
      </c>
      <c r="F5892" s="0" t="n">
        <v>38.432</v>
      </c>
      <c r="G5892" s="0" t="n">
        <v>13.4512</v>
      </c>
      <c r="H5892" s="0" t="n">
        <v>0.2</v>
      </c>
      <c r="I5892" s="7" t="n">
        <f aca="false">YEAR(B5892)</f>
        <v>2016</v>
      </c>
      <c r="J5892" s="0" t="str">
        <f aca="false">I5892&amp;"-Q"&amp;ROUNDUP(MONTH(B5892)/3,0)</f>
        <v>2016-Q4</v>
      </c>
    </row>
    <row r="5893" customFormat="false" ht="15" hidden="false" customHeight="false" outlineLevel="0" collapsed="false">
      <c r="A5893" s="0" t="s">
        <v>3022</v>
      </c>
      <c r="B5893" s="6" t="n">
        <v>42695</v>
      </c>
      <c r="C5893" s="7" t="s">
        <v>45</v>
      </c>
      <c r="D5893" s="7" t="s">
        <v>64</v>
      </c>
      <c r="E5893" s="7" t="s">
        <v>35</v>
      </c>
      <c r="F5893" s="0" t="n">
        <v>21.568</v>
      </c>
      <c r="G5893" s="0" t="n">
        <v>1.6176</v>
      </c>
      <c r="H5893" s="0" t="n">
        <v>0.2</v>
      </c>
      <c r="I5893" s="7" t="n">
        <f aca="false">YEAR(B5893)</f>
        <v>2016</v>
      </c>
      <c r="J5893" s="0" t="str">
        <f aca="false">I5893&amp;"-Q"&amp;ROUNDUP(MONTH(B5893)/3,0)</f>
        <v>2016-Q4</v>
      </c>
    </row>
    <row r="5894" customFormat="false" ht="15" hidden="false" customHeight="false" outlineLevel="0" collapsed="false">
      <c r="A5894" s="0" t="s">
        <v>3022</v>
      </c>
      <c r="B5894" s="6" t="n">
        <v>42695</v>
      </c>
      <c r="C5894" s="7" t="s">
        <v>45</v>
      </c>
      <c r="D5894" s="7" t="s">
        <v>64</v>
      </c>
      <c r="E5894" s="7" t="s">
        <v>39</v>
      </c>
      <c r="F5894" s="0" t="n">
        <v>81.576</v>
      </c>
      <c r="G5894" s="0" t="n">
        <v>2.0394</v>
      </c>
      <c r="H5894" s="0" t="n">
        <v>0.2</v>
      </c>
      <c r="I5894" s="7" t="n">
        <f aca="false">YEAR(B5894)</f>
        <v>2016</v>
      </c>
      <c r="J5894" s="0" t="str">
        <f aca="false">I5894&amp;"-Q"&amp;ROUNDUP(MONTH(B5894)/3,0)</f>
        <v>2016-Q4</v>
      </c>
    </row>
    <row r="5895" customFormat="false" ht="15" hidden="false" customHeight="false" outlineLevel="0" collapsed="false">
      <c r="A5895" s="0" t="s">
        <v>3023</v>
      </c>
      <c r="B5895" s="6" t="n">
        <v>42988</v>
      </c>
      <c r="C5895" s="7" t="s">
        <v>29</v>
      </c>
      <c r="D5895" s="7" t="s">
        <v>230</v>
      </c>
      <c r="E5895" s="7" t="s">
        <v>35</v>
      </c>
      <c r="F5895" s="0" t="n">
        <v>2.78</v>
      </c>
      <c r="G5895" s="0" t="n">
        <v>1.3622</v>
      </c>
      <c r="H5895" s="0" t="n">
        <v>0</v>
      </c>
      <c r="I5895" s="7" t="n">
        <f aca="false">YEAR(B5895)</f>
        <v>2017</v>
      </c>
      <c r="J5895" s="0" t="str">
        <f aca="false">I5895&amp;"-Q"&amp;ROUNDUP(MONTH(B5895)/3,0)</f>
        <v>2017-Q3</v>
      </c>
    </row>
    <row r="5896" customFormat="false" ht="15" hidden="false" customHeight="false" outlineLevel="0" collapsed="false">
      <c r="A5896" s="0" t="s">
        <v>3024</v>
      </c>
      <c r="B5896" s="6" t="n">
        <v>42987</v>
      </c>
      <c r="C5896" s="7" t="s">
        <v>33</v>
      </c>
      <c r="D5896" s="7" t="s">
        <v>34</v>
      </c>
      <c r="E5896" s="7" t="s">
        <v>35</v>
      </c>
      <c r="F5896" s="0" t="n">
        <v>99.87</v>
      </c>
      <c r="G5896" s="0" t="n">
        <v>23.9688</v>
      </c>
      <c r="H5896" s="0" t="n">
        <v>0</v>
      </c>
      <c r="I5896" s="7" t="n">
        <f aca="false">YEAR(B5896)</f>
        <v>2017</v>
      </c>
      <c r="J5896" s="0" t="str">
        <f aca="false">I5896&amp;"-Q"&amp;ROUNDUP(MONTH(B5896)/3,0)</f>
        <v>2017-Q3</v>
      </c>
    </row>
    <row r="5897" customFormat="false" ht="15" hidden="false" customHeight="false" outlineLevel="0" collapsed="false">
      <c r="A5897" s="0" t="s">
        <v>3025</v>
      </c>
      <c r="B5897" s="6" t="n">
        <v>41944</v>
      </c>
      <c r="C5897" s="7" t="s">
        <v>33</v>
      </c>
      <c r="D5897" s="7" t="s">
        <v>34</v>
      </c>
      <c r="E5897" s="7" t="s">
        <v>35</v>
      </c>
      <c r="F5897" s="0" t="n">
        <v>44.4</v>
      </c>
      <c r="G5897" s="0" t="n">
        <v>22.2</v>
      </c>
      <c r="H5897" s="0" t="n">
        <v>0</v>
      </c>
      <c r="I5897" s="7" t="n">
        <f aca="false">YEAR(B5897)</f>
        <v>2014</v>
      </c>
      <c r="J5897" s="0" t="str">
        <f aca="false">I5897&amp;"-Q"&amp;ROUNDUP(MONTH(B5897)/3,0)</f>
        <v>2014-Q4</v>
      </c>
    </row>
    <row r="5898" customFormat="false" ht="15" hidden="false" customHeight="false" outlineLevel="0" collapsed="false">
      <c r="A5898" s="0" t="s">
        <v>3025</v>
      </c>
      <c r="B5898" s="6" t="n">
        <v>41944</v>
      </c>
      <c r="C5898" s="7" t="s">
        <v>33</v>
      </c>
      <c r="D5898" s="7" t="s">
        <v>34</v>
      </c>
      <c r="E5898" s="7" t="s">
        <v>35</v>
      </c>
      <c r="F5898" s="0" t="n">
        <v>21.4</v>
      </c>
      <c r="G5898" s="0" t="n">
        <v>9.63</v>
      </c>
      <c r="H5898" s="0" t="n">
        <v>0</v>
      </c>
      <c r="I5898" s="7" t="n">
        <f aca="false">YEAR(B5898)</f>
        <v>2014</v>
      </c>
      <c r="J5898" s="0" t="str">
        <f aca="false">I5898&amp;"-Q"&amp;ROUNDUP(MONTH(B5898)/3,0)</f>
        <v>2014-Q4</v>
      </c>
    </row>
    <row r="5899" customFormat="false" ht="15" hidden="false" customHeight="false" outlineLevel="0" collapsed="false">
      <c r="A5899" s="0" t="s">
        <v>3026</v>
      </c>
      <c r="B5899" s="6" t="n">
        <v>42463</v>
      </c>
      <c r="C5899" s="7" t="s">
        <v>45</v>
      </c>
      <c r="D5899" s="7" t="s">
        <v>74</v>
      </c>
      <c r="E5899" s="7" t="s">
        <v>31</v>
      </c>
      <c r="F5899" s="0" t="n">
        <v>71.12</v>
      </c>
      <c r="G5899" s="0" t="n">
        <v>22.0472</v>
      </c>
      <c r="H5899" s="0" t="n">
        <v>0</v>
      </c>
      <c r="I5899" s="7" t="n">
        <f aca="false">YEAR(B5899)</f>
        <v>2016</v>
      </c>
      <c r="J5899" s="0" t="str">
        <f aca="false">I5899&amp;"-Q"&amp;ROUNDUP(MONTH(B5899)/3,0)</f>
        <v>2016-Q2</v>
      </c>
    </row>
    <row r="5900" customFormat="false" ht="15" hidden="false" customHeight="false" outlineLevel="0" collapsed="false">
      <c r="A5900" s="0" t="s">
        <v>3026</v>
      </c>
      <c r="B5900" s="6" t="n">
        <v>42463</v>
      </c>
      <c r="C5900" s="7" t="s">
        <v>45</v>
      </c>
      <c r="D5900" s="7" t="s">
        <v>74</v>
      </c>
      <c r="E5900" s="7" t="s">
        <v>39</v>
      </c>
      <c r="F5900" s="0" t="n">
        <v>259.96</v>
      </c>
      <c r="G5900" s="0" t="n">
        <v>124.7808</v>
      </c>
      <c r="H5900" s="0" t="n">
        <v>0</v>
      </c>
      <c r="I5900" s="7" t="n">
        <f aca="false">YEAR(B5900)</f>
        <v>2016</v>
      </c>
      <c r="J5900" s="0" t="str">
        <f aca="false">I5900&amp;"-Q"&amp;ROUNDUP(MONTH(B5900)/3,0)</f>
        <v>2016-Q2</v>
      </c>
    </row>
    <row r="5901" customFormat="false" ht="15" hidden="false" customHeight="false" outlineLevel="0" collapsed="false">
      <c r="A5901" s="0" t="s">
        <v>3027</v>
      </c>
      <c r="B5901" s="6" t="n">
        <v>42747</v>
      </c>
      <c r="C5901" s="7" t="s">
        <v>33</v>
      </c>
      <c r="D5901" s="7" t="s">
        <v>34</v>
      </c>
      <c r="E5901" s="7" t="s">
        <v>35</v>
      </c>
      <c r="F5901" s="0" t="n">
        <v>9.78</v>
      </c>
      <c r="G5901" s="0" t="n">
        <v>4.89</v>
      </c>
      <c r="H5901" s="0" t="n">
        <v>0</v>
      </c>
      <c r="I5901" s="7" t="n">
        <f aca="false">YEAR(B5901)</f>
        <v>2017</v>
      </c>
      <c r="J5901" s="0" t="str">
        <f aca="false">I5901&amp;"-Q"&amp;ROUNDUP(MONTH(B5901)/3,0)</f>
        <v>2017-Q1</v>
      </c>
    </row>
    <row r="5902" customFormat="false" ht="15" hidden="false" customHeight="false" outlineLevel="0" collapsed="false">
      <c r="A5902" s="0" t="s">
        <v>3028</v>
      </c>
      <c r="B5902" s="6" t="n">
        <v>42328</v>
      </c>
      <c r="C5902" s="7" t="s">
        <v>33</v>
      </c>
      <c r="D5902" s="7" t="s">
        <v>34</v>
      </c>
      <c r="E5902" s="7" t="s">
        <v>35</v>
      </c>
      <c r="F5902" s="0" t="n">
        <v>24.192</v>
      </c>
      <c r="G5902" s="0" t="n">
        <v>7.56</v>
      </c>
      <c r="H5902" s="0" t="n">
        <v>0.2</v>
      </c>
      <c r="I5902" s="7" t="n">
        <f aca="false">YEAR(B5902)</f>
        <v>2015</v>
      </c>
      <c r="J5902" s="0" t="str">
        <f aca="false">I5902&amp;"-Q"&amp;ROUNDUP(MONTH(B5902)/3,0)</f>
        <v>2015-Q4</v>
      </c>
    </row>
    <row r="5903" customFormat="false" ht="15" hidden="false" customHeight="false" outlineLevel="0" collapsed="false">
      <c r="A5903" s="0" t="s">
        <v>3029</v>
      </c>
      <c r="B5903" s="6" t="n">
        <v>42701</v>
      </c>
      <c r="C5903" s="7" t="s">
        <v>55</v>
      </c>
      <c r="D5903" s="7" t="s">
        <v>161</v>
      </c>
      <c r="E5903" s="7" t="s">
        <v>31</v>
      </c>
      <c r="F5903" s="0" t="n">
        <v>31.56</v>
      </c>
      <c r="G5903" s="0" t="n">
        <v>10.4148</v>
      </c>
      <c r="H5903" s="0" t="n">
        <v>0</v>
      </c>
      <c r="I5903" s="7" t="n">
        <f aca="false">YEAR(B5903)</f>
        <v>2016</v>
      </c>
      <c r="J5903" s="0" t="str">
        <f aca="false">I5903&amp;"-Q"&amp;ROUNDUP(MONTH(B5903)/3,0)</f>
        <v>2016-Q4</v>
      </c>
    </row>
    <row r="5904" customFormat="false" ht="15" hidden="false" customHeight="false" outlineLevel="0" collapsed="false">
      <c r="A5904" s="0" t="s">
        <v>3030</v>
      </c>
      <c r="B5904" s="6" t="n">
        <v>43045</v>
      </c>
      <c r="C5904" s="7" t="s">
        <v>33</v>
      </c>
      <c r="D5904" s="7" t="s">
        <v>34</v>
      </c>
      <c r="E5904" s="7" t="s">
        <v>35</v>
      </c>
      <c r="F5904" s="0" t="n">
        <v>59.94</v>
      </c>
      <c r="G5904" s="0" t="n">
        <v>28.1718</v>
      </c>
      <c r="H5904" s="0" t="n">
        <v>0</v>
      </c>
      <c r="I5904" s="7" t="n">
        <f aca="false">YEAR(B5904)</f>
        <v>2017</v>
      </c>
      <c r="J5904" s="0" t="str">
        <f aca="false">I5904&amp;"-Q"&amp;ROUNDUP(MONTH(B5904)/3,0)</f>
        <v>2017-Q4</v>
      </c>
    </row>
    <row r="5905" customFormat="false" ht="15" hidden="false" customHeight="false" outlineLevel="0" collapsed="false">
      <c r="A5905" s="0" t="s">
        <v>3030</v>
      </c>
      <c r="B5905" s="6" t="n">
        <v>43045</v>
      </c>
      <c r="C5905" s="7" t="s">
        <v>33</v>
      </c>
      <c r="D5905" s="7" t="s">
        <v>34</v>
      </c>
      <c r="E5905" s="7" t="s">
        <v>35</v>
      </c>
      <c r="F5905" s="0" t="n">
        <v>45.36</v>
      </c>
      <c r="G5905" s="0" t="n">
        <v>22.2264</v>
      </c>
      <c r="H5905" s="0" t="n">
        <v>0</v>
      </c>
      <c r="I5905" s="7" t="n">
        <f aca="false">YEAR(B5905)</f>
        <v>2017</v>
      </c>
      <c r="J5905" s="0" t="str">
        <f aca="false">I5905&amp;"-Q"&amp;ROUNDUP(MONTH(B5905)/3,0)</f>
        <v>2017-Q4</v>
      </c>
    </row>
    <row r="5906" customFormat="false" ht="15" hidden="false" customHeight="false" outlineLevel="0" collapsed="false">
      <c r="A5906" s="0" t="s">
        <v>3030</v>
      </c>
      <c r="B5906" s="6" t="n">
        <v>43045</v>
      </c>
      <c r="C5906" s="7" t="s">
        <v>33</v>
      </c>
      <c r="D5906" s="7" t="s">
        <v>34</v>
      </c>
      <c r="E5906" s="7" t="s">
        <v>35</v>
      </c>
      <c r="F5906" s="0" t="n">
        <v>26.4</v>
      </c>
      <c r="G5906" s="0" t="n">
        <v>12.672</v>
      </c>
      <c r="H5906" s="0" t="n">
        <v>0</v>
      </c>
      <c r="I5906" s="7" t="n">
        <f aca="false">YEAR(B5906)</f>
        <v>2017</v>
      </c>
      <c r="J5906" s="0" t="str">
        <f aca="false">I5906&amp;"-Q"&amp;ROUNDUP(MONTH(B5906)/3,0)</f>
        <v>2017-Q4</v>
      </c>
    </row>
    <row r="5907" customFormat="false" ht="15" hidden="false" customHeight="false" outlineLevel="0" collapsed="false">
      <c r="A5907" s="0" t="s">
        <v>3030</v>
      </c>
      <c r="B5907" s="6" t="n">
        <v>43045</v>
      </c>
      <c r="C5907" s="7" t="s">
        <v>33</v>
      </c>
      <c r="D5907" s="7" t="s">
        <v>34</v>
      </c>
      <c r="E5907" s="7" t="s">
        <v>35</v>
      </c>
      <c r="F5907" s="0" t="n">
        <v>41.4</v>
      </c>
      <c r="G5907" s="0" t="n">
        <v>19.872</v>
      </c>
      <c r="H5907" s="0" t="n">
        <v>0</v>
      </c>
      <c r="I5907" s="7" t="n">
        <f aca="false">YEAR(B5907)</f>
        <v>2017</v>
      </c>
      <c r="J5907" s="0" t="str">
        <f aca="false">I5907&amp;"-Q"&amp;ROUNDUP(MONTH(B5907)/3,0)</f>
        <v>2017-Q4</v>
      </c>
    </row>
    <row r="5908" customFormat="false" ht="15" hidden="false" customHeight="false" outlineLevel="0" collapsed="false">
      <c r="A5908" s="0" t="s">
        <v>3030</v>
      </c>
      <c r="B5908" s="6" t="n">
        <v>43045</v>
      </c>
      <c r="C5908" s="7" t="s">
        <v>33</v>
      </c>
      <c r="D5908" s="7" t="s">
        <v>34</v>
      </c>
      <c r="E5908" s="7" t="s">
        <v>39</v>
      </c>
      <c r="F5908" s="0" t="n">
        <v>16.95</v>
      </c>
      <c r="G5908" s="0" t="n">
        <v>1.017</v>
      </c>
      <c r="H5908" s="0" t="n">
        <v>0</v>
      </c>
      <c r="I5908" s="7" t="n">
        <f aca="false">YEAR(B5908)</f>
        <v>2017</v>
      </c>
      <c r="J5908" s="0" t="str">
        <f aca="false">I5908&amp;"-Q"&amp;ROUNDUP(MONTH(B5908)/3,0)</f>
        <v>2017-Q4</v>
      </c>
    </row>
    <row r="5909" customFormat="false" ht="15" hidden="false" customHeight="false" outlineLevel="0" collapsed="false">
      <c r="A5909" s="0" t="s">
        <v>3031</v>
      </c>
      <c r="B5909" s="6" t="n">
        <v>42706</v>
      </c>
      <c r="C5909" s="7" t="s">
        <v>33</v>
      </c>
      <c r="D5909" s="7" t="s">
        <v>34</v>
      </c>
      <c r="E5909" s="7" t="s">
        <v>35</v>
      </c>
      <c r="F5909" s="0" t="n">
        <v>24.704</v>
      </c>
      <c r="G5909" s="0" t="n">
        <v>9.264</v>
      </c>
      <c r="H5909" s="0" t="n">
        <v>0.2</v>
      </c>
      <c r="I5909" s="7" t="n">
        <f aca="false">YEAR(B5909)</f>
        <v>2016</v>
      </c>
      <c r="J5909" s="0" t="str">
        <f aca="false">I5909&amp;"-Q"&amp;ROUNDUP(MONTH(B5909)/3,0)</f>
        <v>2016-Q4</v>
      </c>
    </row>
    <row r="5910" customFormat="false" ht="15" hidden="false" customHeight="false" outlineLevel="0" collapsed="false">
      <c r="A5910" s="0" t="s">
        <v>3031</v>
      </c>
      <c r="B5910" s="6" t="n">
        <v>42706</v>
      </c>
      <c r="C5910" s="7" t="s">
        <v>33</v>
      </c>
      <c r="D5910" s="7" t="s">
        <v>34</v>
      </c>
      <c r="E5910" s="7" t="s">
        <v>35</v>
      </c>
      <c r="F5910" s="0" t="n">
        <v>59.7</v>
      </c>
      <c r="G5910" s="0" t="n">
        <v>26.865</v>
      </c>
      <c r="H5910" s="0" t="n">
        <v>0</v>
      </c>
      <c r="I5910" s="7" t="n">
        <f aca="false">YEAR(B5910)</f>
        <v>2016</v>
      </c>
      <c r="J5910" s="0" t="str">
        <f aca="false">I5910&amp;"-Q"&amp;ROUNDUP(MONTH(B5910)/3,0)</f>
        <v>2016-Q4</v>
      </c>
    </row>
    <row r="5911" customFormat="false" ht="15" hidden="false" customHeight="false" outlineLevel="0" collapsed="false">
      <c r="A5911" s="0" t="s">
        <v>3031</v>
      </c>
      <c r="B5911" s="6" t="n">
        <v>42706</v>
      </c>
      <c r="C5911" s="7" t="s">
        <v>33</v>
      </c>
      <c r="D5911" s="7" t="s">
        <v>34</v>
      </c>
      <c r="E5911" s="7" t="s">
        <v>31</v>
      </c>
      <c r="F5911" s="0" t="n">
        <v>14.52</v>
      </c>
      <c r="G5911" s="0" t="n">
        <v>5.6628</v>
      </c>
      <c r="H5911" s="0" t="n">
        <v>0</v>
      </c>
      <c r="I5911" s="7" t="n">
        <f aca="false">YEAR(B5911)</f>
        <v>2016</v>
      </c>
      <c r="J5911" s="0" t="str">
        <f aca="false">I5911&amp;"-Q"&amp;ROUNDUP(MONTH(B5911)/3,0)</f>
        <v>2016-Q4</v>
      </c>
    </row>
    <row r="5912" customFormat="false" ht="15" hidden="false" customHeight="false" outlineLevel="0" collapsed="false">
      <c r="A5912" s="0" t="s">
        <v>3031</v>
      </c>
      <c r="B5912" s="6" t="n">
        <v>42706</v>
      </c>
      <c r="C5912" s="7" t="s">
        <v>33</v>
      </c>
      <c r="D5912" s="7" t="s">
        <v>34</v>
      </c>
      <c r="E5912" s="7" t="s">
        <v>35</v>
      </c>
      <c r="F5912" s="0" t="n">
        <v>104.184</v>
      </c>
      <c r="G5912" s="0" t="n">
        <v>33.8598</v>
      </c>
      <c r="H5912" s="0" t="n">
        <v>0.2</v>
      </c>
      <c r="I5912" s="7" t="n">
        <f aca="false">YEAR(B5912)</f>
        <v>2016</v>
      </c>
      <c r="J5912" s="0" t="str">
        <f aca="false">I5912&amp;"-Q"&amp;ROUNDUP(MONTH(B5912)/3,0)</f>
        <v>2016-Q4</v>
      </c>
    </row>
    <row r="5913" customFormat="false" ht="15" hidden="false" customHeight="false" outlineLevel="0" collapsed="false">
      <c r="A5913" s="0" t="s">
        <v>3032</v>
      </c>
      <c r="B5913" s="6" t="n">
        <v>42721</v>
      </c>
      <c r="C5913" s="7" t="s">
        <v>33</v>
      </c>
      <c r="D5913" s="7" t="s">
        <v>43</v>
      </c>
      <c r="E5913" s="7" t="s">
        <v>35</v>
      </c>
      <c r="F5913" s="0" t="n">
        <v>46.53</v>
      </c>
      <c r="G5913" s="0" t="n">
        <v>13.0284</v>
      </c>
      <c r="H5913" s="0" t="n">
        <v>0</v>
      </c>
      <c r="I5913" s="7" t="n">
        <f aca="false">YEAR(B5913)</f>
        <v>2016</v>
      </c>
      <c r="J5913" s="0" t="str">
        <f aca="false">I5913&amp;"-Q"&amp;ROUNDUP(MONTH(B5913)/3,0)</f>
        <v>2016-Q4</v>
      </c>
    </row>
    <row r="5914" customFormat="false" ht="15" hidden="false" customHeight="false" outlineLevel="0" collapsed="false">
      <c r="A5914" s="0" t="s">
        <v>3033</v>
      </c>
      <c r="B5914" s="6" t="n">
        <v>41875</v>
      </c>
      <c r="C5914" s="7" t="s">
        <v>29</v>
      </c>
      <c r="D5914" s="7" t="s">
        <v>30</v>
      </c>
      <c r="E5914" s="7" t="s">
        <v>35</v>
      </c>
      <c r="F5914" s="0" t="n">
        <v>25.5</v>
      </c>
      <c r="G5914" s="0" t="n">
        <v>6.63</v>
      </c>
      <c r="H5914" s="0" t="n">
        <v>0</v>
      </c>
      <c r="I5914" s="7" t="n">
        <f aca="false">YEAR(B5914)</f>
        <v>2014</v>
      </c>
      <c r="J5914" s="0" t="str">
        <f aca="false">I5914&amp;"-Q"&amp;ROUNDUP(MONTH(B5914)/3,0)</f>
        <v>2014-Q3</v>
      </c>
    </row>
    <row r="5915" customFormat="false" ht="15" hidden="false" customHeight="false" outlineLevel="0" collapsed="false">
      <c r="A5915" s="0" t="s">
        <v>3034</v>
      </c>
      <c r="B5915" s="6" t="n">
        <v>42264</v>
      </c>
      <c r="C5915" s="7" t="s">
        <v>55</v>
      </c>
      <c r="D5915" s="7" t="s">
        <v>76</v>
      </c>
      <c r="E5915" s="7" t="s">
        <v>35</v>
      </c>
      <c r="F5915" s="0" t="n">
        <v>14.9</v>
      </c>
      <c r="G5915" s="0" t="n">
        <v>1.043</v>
      </c>
      <c r="H5915" s="0" t="n">
        <v>0</v>
      </c>
      <c r="I5915" s="7" t="n">
        <f aca="false">YEAR(B5915)</f>
        <v>2015</v>
      </c>
      <c r="J5915" s="0" t="str">
        <f aca="false">I5915&amp;"-Q"&amp;ROUNDUP(MONTH(B5915)/3,0)</f>
        <v>2015-Q3</v>
      </c>
    </row>
    <row r="5916" customFormat="false" ht="15" hidden="false" customHeight="false" outlineLevel="0" collapsed="false">
      <c r="A5916" s="0" t="s">
        <v>3034</v>
      </c>
      <c r="B5916" s="6" t="n">
        <v>42264</v>
      </c>
      <c r="C5916" s="7" t="s">
        <v>55</v>
      </c>
      <c r="D5916" s="7" t="s">
        <v>76</v>
      </c>
      <c r="E5916" s="7" t="s">
        <v>35</v>
      </c>
      <c r="F5916" s="0" t="n">
        <v>87.71</v>
      </c>
      <c r="G5916" s="0" t="n">
        <v>41.2237</v>
      </c>
      <c r="H5916" s="0" t="n">
        <v>0</v>
      </c>
      <c r="I5916" s="7" t="n">
        <f aca="false">YEAR(B5916)</f>
        <v>2015</v>
      </c>
      <c r="J5916" s="0" t="str">
        <f aca="false">I5916&amp;"-Q"&amp;ROUNDUP(MONTH(B5916)/3,0)</f>
        <v>2015-Q3</v>
      </c>
    </row>
    <row r="5917" customFormat="false" ht="15" hidden="false" customHeight="false" outlineLevel="0" collapsed="false">
      <c r="A5917" s="0" t="s">
        <v>3034</v>
      </c>
      <c r="B5917" s="6" t="n">
        <v>42264</v>
      </c>
      <c r="C5917" s="7" t="s">
        <v>55</v>
      </c>
      <c r="D5917" s="7" t="s">
        <v>76</v>
      </c>
      <c r="E5917" s="7" t="s">
        <v>31</v>
      </c>
      <c r="F5917" s="0" t="n">
        <v>199.764</v>
      </c>
      <c r="G5917" s="0" t="n">
        <v>8.8784</v>
      </c>
      <c r="H5917" s="0" t="n">
        <v>0.1</v>
      </c>
      <c r="I5917" s="7" t="n">
        <f aca="false">YEAR(B5917)</f>
        <v>2015</v>
      </c>
      <c r="J5917" s="0" t="str">
        <f aca="false">I5917&amp;"-Q"&amp;ROUNDUP(MONTH(B5917)/3,0)</f>
        <v>2015-Q3</v>
      </c>
    </row>
    <row r="5918" customFormat="false" ht="15" hidden="false" customHeight="false" outlineLevel="0" collapsed="false">
      <c r="A5918" s="0" t="s">
        <v>3034</v>
      </c>
      <c r="B5918" s="6" t="n">
        <v>42264</v>
      </c>
      <c r="C5918" s="7" t="s">
        <v>55</v>
      </c>
      <c r="D5918" s="7" t="s">
        <v>76</v>
      </c>
      <c r="E5918" s="7" t="s">
        <v>35</v>
      </c>
      <c r="F5918" s="0" t="n">
        <v>94.6</v>
      </c>
      <c r="G5918" s="0" t="n">
        <v>27.434</v>
      </c>
      <c r="H5918" s="0" t="n">
        <v>0</v>
      </c>
      <c r="I5918" s="7" t="n">
        <f aca="false">YEAR(B5918)</f>
        <v>2015</v>
      </c>
      <c r="J5918" s="0" t="str">
        <f aca="false">I5918&amp;"-Q"&amp;ROUNDUP(MONTH(B5918)/3,0)</f>
        <v>2015-Q3</v>
      </c>
    </row>
    <row r="5919" customFormat="false" ht="15" hidden="false" customHeight="false" outlineLevel="0" collapsed="false">
      <c r="A5919" s="0" t="s">
        <v>3034</v>
      </c>
      <c r="B5919" s="6" t="n">
        <v>42264</v>
      </c>
      <c r="C5919" s="7" t="s">
        <v>55</v>
      </c>
      <c r="D5919" s="7" t="s">
        <v>76</v>
      </c>
      <c r="E5919" s="7" t="s">
        <v>31</v>
      </c>
      <c r="F5919" s="0" t="n">
        <v>4228.704</v>
      </c>
      <c r="G5919" s="0" t="n">
        <v>158.5764</v>
      </c>
      <c r="H5919" s="0" t="n">
        <v>0.2</v>
      </c>
      <c r="I5919" s="7" t="n">
        <f aca="false">YEAR(B5919)</f>
        <v>2015</v>
      </c>
      <c r="J5919" s="0" t="str">
        <f aca="false">I5919&amp;"-Q"&amp;ROUNDUP(MONTH(B5919)/3,0)</f>
        <v>2015-Q3</v>
      </c>
    </row>
    <row r="5920" customFormat="false" ht="15" hidden="false" customHeight="false" outlineLevel="0" collapsed="false">
      <c r="A5920" s="0" t="s">
        <v>3034</v>
      </c>
      <c r="B5920" s="6" t="n">
        <v>42264</v>
      </c>
      <c r="C5920" s="7" t="s">
        <v>55</v>
      </c>
      <c r="D5920" s="7" t="s">
        <v>76</v>
      </c>
      <c r="E5920" s="7" t="s">
        <v>31</v>
      </c>
      <c r="F5920" s="0" t="n">
        <v>2003.92</v>
      </c>
      <c r="G5920" s="0" t="n">
        <v>-25.049</v>
      </c>
      <c r="H5920" s="0" t="n">
        <v>0.2</v>
      </c>
      <c r="I5920" s="7" t="n">
        <f aca="false">YEAR(B5920)</f>
        <v>2015</v>
      </c>
      <c r="J5920" s="0" t="str">
        <f aca="false">I5920&amp;"-Q"&amp;ROUNDUP(MONTH(B5920)/3,0)</f>
        <v>2015-Q3</v>
      </c>
    </row>
    <row r="5921" customFormat="false" ht="15" hidden="false" customHeight="false" outlineLevel="0" collapsed="false">
      <c r="A5921" s="0" t="s">
        <v>3034</v>
      </c>
      <c r="B5921" s="6" t="n">
        <v>42264</v>
      </c>
      <c r="C5921" s="7" t="s">
        <v>55</v>
      </c>
      <c r="D5921" s="7" t="s">
        <v>76</v>
      </c>
      <c r="E5921" s="7" t="s">
        <v>39</v>
      </c>
      <c r="F5921" s="0" t="n">
        <v>209.97</v>
      </c>
      <c r="G5921" s="0" t="n">
        <v>58.7916</v>
      </c>
      <c r="H5921" s="0" t="n">
        <v>0</v>
      </c>
      <c r="I5921" s="7" t="n">
        <f aca="false">YEAR(B5921)</f>
        <v>2015</v>
      </c>
      <c r="J5921" s="0" t="str">
        <f aca="false">I5921&amp;"-Q"&amp;ROUNDUP(MONTH(B5921)/3,0)</f>
        <v>2015-Q3</v>
      </c>
    </row>
    <row r="5922" customFormat="false" ht="15" hidden="false" customHeight="false" outlineLevel="0" collapsed="false">
      <c r="A5922" s="0" t="s">
        <v>3034</v>
      </c>
      <c r="B5922" s="6" t="n">
        <v>42264</v>
      </c>
      <c r="C5922" s="7" t="s">
        <v>55</v>
      </c>
      <c r="D5922" s="7" t="s">
        <v>76</v>
      </c>
      <c r="E5922" s="7" t="s">
        <v>39</v>
      </c>
      <c r="F5922" s="0" t="n">
        <v>659.9</v>
      </c>
      <c r="G5922" s="0" t="n">
        <v>217.767</v>
      </c>
      <c r="H5922" s="0" t="n">
        <v>0</v>
      </c>
      <c r="I5922" s="7" t="n">
        <f aca="false">YEAR(B5922)</f>
        <v>2015</v>
      </c>
      <c r="J5922" s="0" t="str">
        <f aca="false">I5922&amp;"-Q"&amp;ROUNDUP(MONTH(B5922)/3,0)</f>
        <v>2015-Q3</v>
      </c>
    </row>
    <row r="5923" customFormat="false" ht="15" hidden="false" customHeight="false" outlineLevel="0" collapsed="false">
      <c r="A5923" s="0" t="s">
        <v>3034</v>
      </c>
      <c r="B5923" s="6" t="n">
        <v>42264</v>
      </c>
      <c r="C5923" s="7" t="s">
        <v>55</v>
      </c>
      <c r="D5923" s="7" t="s">
        <v>76</v>
      </c>
      <c r="E5923" s="7" t="s">
        <v>35</v>
      </c>
      <c r="F5923" s="0" t="n">
        <v>110.96</v>
      </c>
      <c r="G5923" s="0" t="n">
        <v>53.2608</v>
      </c>
      <c r="H5923" s="0" t="n">
        <v>0</v>
      </c>
      <c r="I5923" s="7" t="n">
        <f aca="false">YEAR(B5923)</f>
        <v>2015</v>
      </c>
      <c r="J5923" s="0" t="str">
        <f aca="false">I5923&amp;"-Q"&amp;ROUNDUP(MONTH(B5923)/3,0)</f>
        <v>2015-Q3</v>
      </c>
    </row>
    <row r="5924" customFormat="false" ht="15" hidden="false" customHeight="false" outlineLevel="0" collapsed="false">
      <c r="A5924" s="0" t="s">
        <v>3034</v>
      </c>
      <c r="B5924" s="6" t="n">
        <v>42264</v>
      </c>
      <c r="C5924" s="7" t="s">
        <v>55</v>
      </c>
      <c r="D5924" s="7" t="s">
        <v>76</v>
      </c>
      <c r="E5924" s="7" t="s">
        <v>39</v>
      </c>
      <c r="F5924" s="0" t="n">
        <v>67.8</v>
      </c>
      <c r="G5924" s="0" t="n">
        <v>1.356</v>
      </c>
      <c r="H5924" s="0" t="n">
        <v>0</v>
      </c>
      <c r="I5924" s="7" t="n">
        <f aca="false">YEAR(B5924)</f>
        <v>2015</v>
      </c>
      <c r="J5924" s="0" t="str">
        <f aca="false">I5924&amp;"-Q"&amp;ROUNDUP(MONTH(B5924)/3,0)</f>
        <v>2015-Q3</v>
      </c>
    </row>
    <row r="5925" customFormat="false" ht="15" hidden="false" customHeight="false" outlineLevel="0" collapsed="false">
      <c r="A5925" s="0" t="s">
        <v>3035</v>
      </c>
      <c r="B5925" s="6" t="n">
        <v>42700</v>
      </c>
      <c r="C5925" s="7" t="s">
        <v>55</v>
      </c>
      <c r="D5925" s="7" t="s">
        <v>76</v>
      </c>
      <c r="E5925" s="7" t="s">
        <v>31</v>
      </c>
      <c r="F5925" s="0" t="n">
        <v>313.176</v>
      </c>
      <c r="G5925" s="0" t="n">
        <v>-120.0508</v>
      </c>
      <c r="H5925" s="0" t="n">
        <v>0.4</v>
      </c>
      <c r="I5925" s="7" t="n">
        <f aca="false">YEAR(B5925)</f>
        <v>2016</v>
      </c>
      <c r="J5925" s="0" t="str">
        <f aca="false">I5925&amp;"-Q"&amp;ROUNDUP(MONTH(B5925)/3,0)</f>
        <v>2016-Q4</v>
      </c>
    </row>
    <row r="5926" customFormat="false" ht="15" hidden="false" customHeight="false" outlineLevel="0" collapsed="false">
      <c r="A5926" s="0" t="s">
        <v>3036</v>
      </c>
      <c r="B5926" s="6" t="n">
        <v>43058</v>
      </c>
      <c r="C5926" s="7" t="s">
        <v>29</v>
      </c>
      <c r="D5926" s="7" t="s">
        <v>83</v>
      </c>
      <c r="E5926" s="7" t="s">
        <v>35</v>
      </c>
      <c r="F5926" s="0" t="n">
        <v>22.96</v>
      </c>
      <c r="G5926" s="0" t="n">
        <v>6.6584</v>
      </c>
      <c r="H5926" s="0" t="n">
        <v>0</v>
      </c>
      <c r="I5926" s="7" t="n">
        <f aca="false">YEAR(B5926)</f>
        <v>2017</v>
      </c>
      <c r="J5926" s="0" t="str">
        <f aca="false">I5926&amp;"-Q"&amp;ROUNDUP(MONTH(B5926)/3,0)</f>
        <v>2017-Q4</v>
      </c>
    </row>
    <row r="5927" customFormat="false" ht="15" hidden="false" customHeight="false" outlineLevel="0" collapsed="false">
      <c r="A5927" s="0" t="s">
        <v>3037</v>
      </c>
      <c r="B5927" s="6" t="n">
        <v>42889</v>
      </c>
      <c r="C5927" s="7" t="s">
        <v>33</v>
      </c>
      <c r="D5927" s="7" t="s">
        <v>43</v>
      </c>
      <c r="E5927" s="7" t="s">
        <v>39</v>
      </c>
      <c r="F5927" s="0" t="n">
        <v>1099.5</v>
      </c>
      <c r="G5927" s="0" t="n">
        <v>362.835</v>
      </c>
      <c r="H5927" s="0" t="n">
        <v>0</v>
      </c>
      <c r="I5927" s="7" t="n">
        <f aca="false">YEAR(B5927)</f>
        <v>2017</v>
      </c>
      <c r="J5927" s="0" t="str">
        <f aca="false">I5927&amp;"-Q"&amp;ROUNDUP(MONTH(B5927)/3,0)</f>
        <v>2017-Q2</v>
      </c>
    </row>
    <row r="5928" customFormat="false" ht="15" hidden="false" customHeight="false" outlineLevel="0" collapsed="false">
      <c r="A5928" s="0" t="s">
        <v>3038</v>
      </c>
      <c r="B5928" s="6" t="n">
        <v>41737</v>
      </c>
      <c r="C5928" s="7" t="s">
        <v>29</v>
      </c>
      <c r="D5928" s="7" t="s">
        <v>91</v>
      </c>
      <c r="E5928" s="7" t="s">
        <v>31</v>
      </c>
      <c r="F5928" s="0" t="n">
        <v>1215.92</v>
      </c>
      <c r="G5928" s="0" t="n">
        <v>316.1392</v>
      </c>
      <c r="H5928" s="0" t="n">
        <v>0</v>
      </c>
      <c r="I5928" s="7" t="n">
        <f aca="false">YEAR(B5928)</f>
        <v>2014</v>
      </c>
      <c r="J5928" s="0" t="str">
        <f aca="false">I5928&amp;"-Q"&amp;ROUNDUP(MONTH(B5928)/3,0)</f>
        <v>2014-Q2</v>
      </c>
    </row>
    <row r="5929" customFormat="false" ht="15" hidden="false" customHeight="false" outlineLevel="0" collapsed="false">
      <c r="A5929" s="0" t="s">
        <v>3039</v>
      </c>
      <c r="B5929" s="6" t="n">
        <v>41923</v>
      </c>
      <c r="C5929" s="7" t="s">
        <v>29</v>
      </c>
      <c r="D5929" s="7" t="s">
        <v>301</v>
      </c>
      <c r="E5929" s="7" t="s">
        <v>35</v>
      </c>
      <c r="F5929" s="0" t="n">
        <v>7.31</v>
      </c>
      <c r="G5929" s="0" t="n">
        <v>3.4357</v>
      </c>
      <c r="H5929" s="0" t="n">
        <v>0</v>
      </c>
      <c r="I5929" s="7" t="n">
        <f aca="false">YEAR(B5929)</f>
        <v>2014</v>
      </c>
      <c r="J5929" s="0" t="str">
        <f aca="false">I5929&amp;"-Q"&amp;ROUNDUP(MONTH(B5929)/3,0)</f>
        <v>2014-Q4</v>
      </c>
    </row>
    <row r="5930" customFormat="false" ht="15" hidden="false" customHeight="false" outlineLevel="0" collapsed="false">
      <c r="A5930" s="0" t="s">
        <v>3039</v>
      </c>
      <c r="B5930" s="6" t="n">
        <v>41923</v>
      </c>
      <c r="C5930" s="7" t="s">
        <v>29</v>
      </c>
      <c r="D5930" s="7" t="s">
        <v>301</v>
      </c>
      <c r="E5930" s="7" t="s">
        <v>31</v>
      </c>
      <c r="F5930" s="0" t="n">
        <v>8.92</v>
      </c>
      <c r="G5930" s="0" t="n">
        <v>3.9248</v>
      </c>
      <c r="H5930" s="0" t="n">
        <v>0</v>
      </c>
      <c r="I5930" s="7" t="n">
        <f aca="false">YEAR(B5930)</f>
        <v>2014</v>
      </c>
      <c r="J5930" s="0" t="str">
        <f aca="false">I5930&amp;"-Q"&amp;ROUNDUP(MONTH(B5930)/3,0)</f>
        <v>2014-Q4</v>
      </c>
    </row>
    <row r="5931" customFormat="false" ht="15" hidden="false" customHeight="false" outlineLevel="0" collapsed="false">
      <c r="A5931" s="0" t="s">
        <v>3040</v>
      </c>
      <c r="B5931" s="6" t="n">
        <v>42923</v>
      </c>
      <c r="C5931" s="7" t="s">
        <v>55</v>
      </c>
      <c r="D5931" s="7" t="s">
        <v>56</v>
      </c>
      <c r="E5931" s="7" t="s">
        <v>31</v>
      </c>
      <c r="F5931" s="0" t="n">
        <v>87.21</v>
      </c>
      <c r="G5931" s="0" t="n">
        <v>-45.3492</v>
      </c>
      <c r="H5931" s="0" t="n">
        <v>0.5</v>
      </c>
      <c r="I5931" s="7" t="n">
        <f aca="false">YEAR(B5931)</f>
        <v>2017</v>
      </c>
      <c r="J5931" s="0" t="str">
        <f aca="false">I5931&amp;"-Q"&amp;ROUNDUP(MONTH(B5931)/3,0)</f>
        <v>2017-Q3</v>
      </c>
    </row>
    <row r="5932" customFormat="false" ht="15" hidden="false" customHeight="false" outlineLevel="0" collapsed="false">
      <c r="A5932" s="0" t="s">
        <v>3040</v>
      </c>
      <c r="B5932" s="6" t="n">
        <v>42923</v>
      </c>
      <c r="C5932" s="7" t="s">
        <v>55</v>
      </c>
      <c r="D5932" s="7" t="s">
        <v>56</v>
      </c>
      <c r="E5932" s="7" t="s">
        <v>35</v>
      </c>
      <c r="F5932" s="0" t="n">
        <v>15.552</v>
      </c>
      <c r="G5932" s="0" t="n">
        <v>5.4432</v>
      </c>
      <c r="H5932" s="0" t="n">
        <v>0.2</v>
      </c>
      <c r="I5932" s="7" t="n">
        <f aca="false">YEAR(B5932)</f>
        <v>2017</v>
      </c>
      <c r="J5932" s="0" t="str">
        <f aca="false">I5932&amp;"-Q"&amp;ROUNDUP(MONTH(B5932)/3,0)</f>
        <v>2017-Q3</v>
      </c>
    </row>
    <row r="5933" customFormat="false" ht="15" hidden="false" customHeight="false" outlineLevel="0" collapsed="false">
      <c r="A5933" s="0" t="s">
        <v>3040</v>
      </c>
      <c r="B5933" s="6" t="n">
        <v>42923</v>
      </c>
      <c r="C5933" s="7" t="s">
        <v>55</v>
      </c>
      <c r="D5933" s="7" t="s">
        <v>56</v>
      </c>
      <c r="E5933" s="7" t="s">
        <v>39</v>
      </c>
      <c r="F5933" s="0" t="n">
        <v>683.988</v>
      </c>
      <c r="G5933" s="0" t="n">
        <v>-113.998</v>
      </c>
      <c r="H5933" s="0" t="n">
        <v>0.4</v>
      </c>
      <c r="I5933" s="7" t="n">
        <f aca="false">YEAR(B5933)</f>
        <v>2017</v>
      </c>
      <c r="J5933" s="0" t="str">
        <f aca="false">I5933&amp;"-Q"&amp;ROUNDUP(MONTH(B5933)/3,0)</f>
        <v>2017-Q3</v>
      </c>
    </row>
    <row r="5934" customFormat="false" ht="15" hidden="false" customHeight="false" outlineLevel="0" collapsed="false">
      <c r="A5934" s="0" t="s">
        <v>3040</v>
      </c>
      <c r="B5934" s="6" t="n">
        <v>42923</v>
      </c>
      <c r="C5934" s="7" t="s">
        <v>55</v>
      </c>
      <c r="D5934" s="7" t="s">
        <v>56</v>
      </c>
      <c r="E5934" s="7" t="s">
        <v>35</v>
      </c>
      <c r="F5934" s="0" t="n">
        <v>13.392</v>
      </c>
      <c r="G5934" s="0" t="n">
        <v>1.0044</v>
      </c>
      <c r="H5934" s="0" t="n">
        <v>0.2</v>
      </c>
      <c r="I5934" s="7" t="n">
        <f aca="false">YEAR(B5934)</f>
        <v>2017</v>
      </c>
      <c r="J5934" s="0" t="str">
        <f aca="false">I5934&amp;"-Q"&amp;ROUNDUP(MONTH(B5934)/3,0)</f>
        <v>2017-Q3</v>
      </c>
    </row>
    <row r="5935" customFormat="false" ht="15" hidden="false" customHeight="false" outlineLevel="0" collapsed="false">
      <c r="A5935" s="0" t="s">
        <v>3040</v>
      </c>
      <c r="B5935" s="6" t="n">
        <v>42923</v>
      </c>
      <c r="C5935" s="7" t="s">
        <v>55</v>
      </c>
      <c r="D5935" s="7" t="s">
        <v>56</v>
      </c>
      <c r="E5935" s="7" t="s">
        <v>39</v>
      </c>
      <c r="F5935" s="0" t="n">
        <v>16.776</v>
      </c>
      <c r="G5935" s="0" t="n">
        <v>4.8231</v>
      </c>
      <c r="H5935" s="0" t="n">
        <v>0.2</v>
      </c>
      <c r="I5935" s="7" t="n">
        <f aca="false">YEAR(B5935)</f>
        <v>2017</v>
      </c>
      <c r="J5935" s="0" t="str">
        <f aca="false">I5935&amp;"-Q"&amp;ROUNDUP(MONTH(B5935)/3,0)</f>
        <v>2017-Q3</v>
      </c>
    </row>
    <row r="5936" customFormat="false" ht="15" hidden="false" customHeight="false" outlineLevel="0" collapsed="false">
      <c r="A5936" s="0" t="s">
        <v>3040</v>
      </c>
      <c r="B5936" s="6" t="n">
        <v>42923</v>
      </c>
      <c r="C5936" s="7" t="s">
        <v>55</v>
      </c>
      <c r="D5936" s="7" t="s">
        <v>56</v>
      </c>
      <c r="E5936" s="7" t="s">
        <v>39</v>
      </c>
      <c r="F5936" s="0" t="n">
        <v>527.92</v>
      </c>
      <c r="G5936" s="0" t="n">
        <v>85.787</v>
      </c>
      <c r="H5936" s="0" t="n">
        <v>0.2</v>
      </c>
      <c r="I5936" s="7" t="n">
        <f aca="false">YEAR(B5936)</f>
        <v>2017</v>
      </c>
      <c r="J5936" s="0" t="str">
        <f aca="false">I5936&amp;"-Q"&amp;ROUNDUP(MONTH(B5936)/3,0)</f>
        <v>2017-Q3</v>
      </c>
    </row>
    <row r="5937" customFormat="false" ht="15" hidden="false" customHeight="false" outlineLevel="0" collapsed="false">
      <c r="A5937" s="0" t="s">
        <v>3041</v>
      </c>
      <c r="B5937" s="6" t="n">
        <v>42555</v>
      </c>
      <c r="C5937" s="7" t="s">
        <v>33</v>
      </c>
      <c r="D5937" s="7" t="s">
        <v>43</v>
      </c>
      <c r="E5937" s="7" t="s">
        <v>31</v>
      </c>
      <c r="F5937" s="0" t="n">
        <v>25.4</v>
      </c>
      <c r="G5937" s="0" t="n">
        <v>8.636</v>
      </c>
      <c r="H5937" s="0" t="n">
        <v>0</v>
      </c>
      <c r="I5937" s="7" t="n">
        <f aca="false">YEAR(B5937)</f>
        <v>2016</v>
      </c>
      <c r="J5937" s="0" t="str">
        <f aca="false">I5937&amp;"-Q"&amp;ROUNDUP(MONTH(B5937)/3,0)</f>
        <v>2016-Q3</v>
      </c>
    </row>
    <row r="5938" customFormat="false" ht="15" hidden="false" customHeight="false" outlineLevel="0" collapsed="false">
      <c r="A5938" s="0" t="s">
        <v>3041</v>
      </c>
      <c r="B5938" s="6" t="n">
        <v>42555</v>
      </c>
      <c r="C5938" s="7" t="s">
        <v>33</v>
      </c>
      <c r="D5938" s="7" t="s">
        <v>43</v>
      </c>
      <c r="E5938" s="7" t="s">
        <v>39</v>
      </c>
      <c r="F5938" s="0" t="n">
        <v>177.48</v>
      </c>
      <c r="G5938" s="0" t="n">
        <v>19.9665</v>
      </c>
      <c r="H5938" s="0" t="n">
        <v>0.2</v>
      </c>
      <c r="I5938" s="7" t="n">
        <f aca="false">YEAR(B5938)</f>
        <v>2016</v>
      </c>
      <c r="J5938" s="0" t="str">
        <f aca="false">I5938&amp;"-Q"&amp;ROUNDUP(MONTH(B5938)/3,0)</f>
        <v>2016-Q3</v>
      </c>
    </row>
    <row r="5939" customFormat="false" ht="15" hidden="false" customHeight="false" outlineLevel="0" collapsed="false">
      <c r="A5939" s="0" t="s">
        <v>3041</v>
      </c>
      <c r="B5939" s="6" t="n">
        <v>42555</v>
      </c>
      <c r="C5939" s="7" t="s">
        <v>33</v>
      </c>
      <c r="D5939" s="7" t="s">
        <v>43</v>
      </c>
      <c r="E5939" s="7" t="s">
        <v>39</v>
      </c>
      <c r="F5939" s="0" t="n">
        <v>71.976</v>
      </c>
      <c r="G5939" s="0" t="n">
        <v>8.997</v>
      </c>
      <c r="H5939" s="0" t="n">
        <v>0.2</v>
      </c>
      <c r="I5939" s="7" t="n">
        <f aca="false">YEAR(B5939)</f>
        <v>2016</v>
      </c>
      <c r="J5939" s="0" t="str">
        <f aca="false">I5939&amp;"-Q"&amp;ROUNDUP(MONTH(B5939)/3,0)</f>
        <v>2016-Q3</v>
      </c>
    </row>
    <row r="5940" customFormat="false" ht="15" hidden="false" customHeight="false" outlineLevel="0" collapsed="false">
      <c r="A5940" s="0" t="s">
        <v>3042</v>
      </c>
      <c r="B5940" s="6" t="n">
        <v>42874</v>
      </c>
      <c r="C5940" s="7" t="s">
        <v>45</v>
      </c>
      <c r="D5940" s="7" t="s">
        <v>46</v>
      </c>
      <c r="E5940" s="7" t="s">
        <v>39</v>
      </c>
      <c r="F5940" s="0" t="n">
        <v>95.992</v>
      </c>
      <c r="G5940" s="0" t="n">
        <v>9.5992</v>
      </c>
      <c r="H5940" s="0" t="n">
        <v>0.2</v>
      </c>
      <c r="I5940" s="7" t="n">
        <f aca="false">YEAR(B5940)</f>
        <v>2017</v>
      </c>
      <c r="J5940" s="0" t="str">
        <f aca="false">I5940&amp;"-Q"&amp;ROUNDUP(MONTH(B5940)/3,0)</f>
        <v>2017-Q2</v>
      </c>
    </row>
    <row r="5941" customFormat="false" ht="15" hidden="false" customHeight="false" outlineLevel="0" collapsed="false">
      <c r="A5941" s="0" t="s">
        <v>3042</v>
      </c>
      <c r="B5941" s="6" t="n">
        <v>42874</v>
      </c>
      <c r="C5941" s="7" t="s">
        <v>45</v>
      </c>
      <c r="D5941" s="7" t="s">
        <v>46</v>
      </c>
      <c r="E5941" s="7" t="s">
        <v>35</v>
      </c>
      <c r="F5941" s="0" t="n">
        <v>13.216</v>
      </c>
      <c r="G5941" s="0" t="n">
        <v>4.2952</v>
      </c>
      <c r="H5941" s="0" t="n">
        <v>0.2</v>
      </c>
      <c r="I5941" s="7" t="n">
        <f aca="false">YEAR(B5941)</f>
        <v>2017</v>
      </c>
      <c r="J5941" s="0" t="str">
        <f aca="false">I5941&amp;"-Q"&amp;ROUNDUP(MONTH(B5941)/3,0)</f>
        <v>2017-Q2</v>
      </c>
    </row>
    <row r="5942" customFormat="false" ht="15" hidden="false" customHeight="false" outlineLevel="0" collapsed="false">
      <c r="A5942" s="0" t="s">
        <v>3043</v>
      </c>
      <c r="B5942" s="6" t="n">
        <v>43020</v>
      </c>
      <c r="C5942" s="7" t="s">
        <v>33</v>
      </c>
      <c r="D5942" s="7" t="s">
        <v>34</v>
      </c>
      <c r="E5942" s="7" t="s">
        <v>39</v>
      </c>
      <c r="F5942" s="0" t="n">
        <v>435.84</v>
      </c>
      <c r="G5942" s="0" t="n">
        <v>130.752</v>
      </c>
      <c r="H5942" s="0" t="n">
        <v>0</v>
      </c>
      <c r="I5942" s="7" t="n">
        <f aca="false">YEAR(B5942)</f>
        <v>2017</v>
      </c>
      <c r="J5942" s="0" t="str">
        <f aca="false">I5942&amp;"-Q"&amp;ROUNDUP(MONTH(B5942)/3,0)</f>
        <v>2017-Q4</v>
      </c>
    </row>
    <row r="5943" customFormat="false" ht="15" hidden="false" customHeight="false" outlineLevel="0" collapsed="false">
      <c r="A5943" s="0" t="s">
        <v>3043</v>
      </c>
      <c r="B5943" s="6" t="n">
        <v>43020</v>
      </c>
      <c r="C5943" s="7" t="s">
        <v>33</v>
      </c>
      <c r="D5943" s="7" t="s">
        <v>34</v>
      </c>
      <c r="E5943" s="7" t="s">
        <v>35</v>
      </c>
      <c r="F5943" s="0" t="n">
        <v>5.88</v>
      </c>
      <c r="G5943" s="0" t="n">
        <v>1.5876</v>
      </c>
      <c r="H5943" s="0" t="n">
        <v>0</v>
      </c>
      <c r="I5943" s="7" t="n">
        <f aca="false">YEAR(B5943)</f>
        <v>2017</v>
      </c>
      <c r="J5943" s="0" t="str">
        <f aca="false">I5943&amp;"-Q"&amp;ROUNDUP(MONTH(B5943)/3,0)</f>
        <v>2017-Q4</v>
      </c>
    </row>
    <row r="5944" customFormat="false" ht="15" hidden="false" customHeight="false" outlineLevel="0" collapsed="false">
      <c r="A5944" s="0" t="s">
        <v>3044</v>
      </c>
      <c r="B5944" s="6" t="n">
        <v>42588</v>
      </c>
      <c r="C5944" s="7" t="s">
        <v>33</v>
      </c>
      <c r="D5944" s="7" t="s">
        <v>34</v>
      </c>
      <c r="E5944" s="7" t="s">
        <v>39</v>
      </c>
      <c r="F5944" s="0" t="n">
        <v>211.168</v>
      </c>
      <c r="G5944" s="0" t="n">
        <v>18.4772</v>
      </c>
      <c r="H5944" s="0" t="n">
        <v>0.2</v>
      </c>
      <c r="I5944" s="7" t="n">
        <f aca="false">YEAR(B5944)</f>
        <v>2016</v>
      </c>
      <c r="J5944" s="0" t="str">
        <f aca="false">I5944&amp;"-Q"&amp;ROUNDUP(MONTH(B5944)/3,0)</f>
        <v>2016-Q3</v>
      </c>
    </row>
    <row r="5945" customFormat="false" ht="15" hidden="false" customHeight="false" outlineLevel="0" collapsed="false">
      <c r="A5945" s="0" t="s">
        <v>3045</v>
      </c>
      <c r="B5945" s="6" t="n">
        <v>41876</v>
      </c>
      <c r="C5945" s="7" t="s">
        <v>33</v>
      </c>
      <c r="D5945" s="7" t="s">
        <v>34</v>
      </c>
      <c r="E5945" s="7" t="s">
        <v>31</v>
      </c>
      <c r="F5945" s="0" t="n">
        <v>6.28</v>
      </c>
      <c r="G5945" s="0" t="n">
        <v>2.6376</v>
      </c>
      <c r="H5945" s="0" t="n">
        <v>0</v>
      </c>
      <c r="I5945" s="7" t="n">
        <f aca="false">YEAR(B5945)</f>
        <v>2014</v>
      </c>
      <c r="J5945" s="0" t="str">
        <f aca="false">I5945&amp;"-Q"&amp;ROUNDUP(MONTH(B5945)/3,0)</f>
        <v>2014-Q3</v>
      </c>
    </row>
    <row r="5946" customFormat="false" ht="15" hidden="false" customHeight="false" outlineLevel="0" collapsed="false">
      <c r="A5946" s="0" t="s">
        <v>3045</v>
      </c>
      <c r="B5946" s="6" t="n">
        <v>41876</v>
      </c>
      <c r="C5946" s="7" t="s">
        <v>33</v>
      </c>
      <c r="D5946" s="7" t="s">
        <v>34</v>
      </c>
      <c r="E5946" s="7" t="s">
        <v>39</v>
      </c>
      <c r="F5946" s="0" t="n">
        <v>95.1</v>
      </c>
      <c r="G5946" s="0" t="n">
        <v>30.432</v>
      </c>
      <c r="H5946" s="0" t="n">
        <v>0</v>
      </c>
      <c r="I5946" s="7" t="n">
        <f aca="false">YEAR(B5946)</f>
        <v>2014</v>
      </c>
      <c r="J5946" s="0" t="str">
        <f aca="false">I5946&amp;"-Q"&amp;ROUNDUP(MONTH(B5946)/3,0)</f>
        <v>2014-Q3</v>
      </c>
    </row>
    <row r="5947" customFormat="false" ht="15" hidden="false" customHeight="false" outlineLevel="0" collapsed="false">
      <c r="A5947" s="0" t="s">
        <v>3045</v>
      </c>
      <c r="B5947" s="6" t="n">
        <v>41876</v>
      </c>
      <c r="C5947" s="7" t="s">
        <v>33</v>
      </c>
      <c r="D5947" s="7" t="s">
        <v>34</v>
      </c>
      <c r="E5947" s="7" t="s">
        <v>35</v>
      </c>
      <c r="F5947" s="0" t="n">
        <v>25.92</v>
      </c>
      <c r="G5947" s="0" t="n">
        <v>12.4416</v>
      </c>
      <c r="H5947" s="0" t="n">
        <v>0</v>
      </c>
      <c r="I5947" s="7" t="n">
        <f aca="false">YEAR(B5947)</f>
        <v>2014</v>
      </c>
      <c r="J5947" s="0" t="str">
        <f aca="false">I5947&amp;"-Q"&amp;ROUNDUP(MONTH(B5947)/3,0)</f>
        <v>2014-Q3</v>
      </c>
    </row>
    <row r="5948" customFormat="false" ht="15" hidden="false" customHeight="false" outlineLevel="0" collapsed="false">
      <c r="A5948" s="0" t="s">
        <v>3045</v>
      </c>
      <c r="B5948" s="6" t="n">
        <v>41876</v>
      </c>
      <c r="C5948" s="7" t="s">
        <v>33</v>
      </c>
      <c r="D5948" s="7" t="s">
        <v>34</v>
      </c>
      <c r="E5948" s="7" t="s">
        <v>35</v>
      </c>
      <c r="F5948" s="0" t="n">
        <v>48.84</v>
      </c>
      <c r="G5948" s="0" t="n">
        <v>13.1868</v>
      </c>
      <c r="H5948" s="0" t="n">
        <v>0</v>
      </c>
      <c r="I5948" s="7" t="n">
        <f aca="false">YEAR(B5948)</f>
        <v>2014</v>
      </c>
      <c r="J5948" s="0" t="str">
        <f aca="false">I5948&amp;"-Q"&amp;ROUNDUP(MONTH(B5948)/3,0)</f>
        <v>2014-Q3</v>
      </c>
    </row>
    <row r="5949" customFormat="false" ht="15" hidden="false" customHeight="false" outlineLevel="0" collapsed="false">
      <c r="A5949" s="0" t="s">
        <v>3046</v>
      </c>
      <c r="B5949" s="6" t="n">
        <v>42261</v>
      </c>
      <c r="C5949" s="7" t="s">
        <v>45</v>
      </c>
      <c r="D5949" s="7" t="s">
        <v>114</v>
      </c>
      <c r="E5949" s="7" t="s">
        <v>35</v>
      </c>
      <c r="F5949" s="0" t="n">
        <v>25.9</v>
      </c>
      <c r="G5949" s="0" t="n">
        <v>12.691</v>
      </c>
      <c r="H5949" s="0" t="n">
        <v>0</v>
      </c>
      <c r="I5949" s="7" t="n">
        <f aca="false">YEAR(B5949)</f>
        <v>2015</v>
      </c>
      <c r="J5949" s="0" t="str">
        <f aca="false">I5949&amp;"-Q"&amp;ROUNDUP(MONTH(B5949)/3,0)</f>
        <v>2015-Q3</v>
      </c>
    </row>
    <row r="5950" customFormat="false" ht="15" hidden="false" customHeight="false" outlineLevel="0" collapsed="false">
      <c r="A5950" s="0" t="s">
        <v>3047</v>
      </c>
      <c r="B5950" s="6" t="n">
        <v>42799</v>
      </c>
      <c r="C5950" s="7" t="s">
        <v>29</v>
      </c>
      <c r="D5950" s="7" t="s">
        <v>265</v>
      </c>
      <c r="E5950" s="7" t="s">
        <v>35</v>
      </c>
      <c r="F5950" s="0" t="n">
        <v>42.68</v>
      </c>
      <c r="G5950" s="0" t="n">
        <v>19.6328</v>
      </c>
      <c r="H5950" s="0" t="n">
        <v>0</v>
      </c>
      <c r="I5950" s="7" t="n">
        <f aca="false">YEAR(B5950)</f>
        <v>2017</v>
      </c>
      <c r="J5950" s="0" t="str">
        <f aca="false">I5950&amp;"-Q"&amp;ROUNDUP(MONTH(B5950)/3,0)</f>
        <v>2017-Q1</v>
      </c>
    </row>
    <row r="5951" customFormat="false" ht="15" hidden="false" customHeight="false" outlineLevel="0" collapsed="false">
      <c r="A5951" s="0" t="s">
        <v>3047</v>
      </c>
      <c r="B5951" s="6" t="n">
        <v>42799</v>
      </c>
      <c r="C5951" s="7" t="s">
        <v>29</v>
      </c>
      <c r="D5951" s="7" t="s">
        <v>265</v>
      </c>
      <c r="E5951" s="7" t="s">
        <v>39</v>
      </c>
      <c r="F5951" s="0" t="n">
        <v>299.97</v>
      </c>
      <c r="G5951" s="0" t="n">
        <v>125.9874</v>
      </c>
      <c r="H5951" s="0" t="n">
        <v>0</v>
      </c>
      <c r="I5951" s="7" t="n">
        <f aca="false">YEAR(B5951)</f>
        <v>2017</v>
      </c>
      <c r="J5951" s="0" t="str">
        <f aca="false">I5951&amp;"-Q"&amp;ROUNDUP(MONTH(B5951)/3,0)</f>
        <v>2017-Q1</v>
      </c>
    </row>
    <row r="5952" customFormat="false" ht="15" hidden="false" customHeight="false" outlineLevel="0" collapsed="false">
      <c r="A5952" s="0" t="s">
        <v>3047</v>
      </c>
      <c r="B5952" s="6" t="n">
        <v>42799</v>
      </c>
      <c r="C5952" s="7" t="s">
        <v>29</v>
      </c>
      <c r="D5952" s="7" t="s">
        <v>265</v>
      </c>
      <c r="E5952" s="7" t="s">
        <v>35</v>
      </c>
      <c r="F5952" s="0" t="n">
        <v>262.24</v>
      </c>
      <c r="G5952" s="0" t="n">
        <v>78.672</v>
      </c>
      <c r="H5952" s="0" t="n">
        <v>0</v>
      </c>
      <c r="I5952" s="7" t="n">
        <f aca="false">YEAR(B5952)</f>
        <v>2017</v>
      </c>
      <c r="J5952" s="0" t="str">
        <f aca="false">I5952&amp;"-Q"&amp;ROUNDUP(MONTH(B5952)/3,0)</f>
        <v>2017-Q1</v>
      </c>
    </row>
    <row r="5953" customFormat="false" ht="15" hidden="false" customHeight="false" outlineLevel="0" collapsed="false">
      <c r="A5953" s="0" t="s">
        <v>3047</v>
      </c>
      <c r="B5953" s="6" t="n">
        <v>42799</v>
      </c>
      <c r="C5953" s="7" t="s">
        <v>29</v>
      </c>
      <c r="D5953" s="7" t="s">
        <v>265</v>
      </c>
      <c r="E5953" s="7" t="s">
        <v>35</v>
      </c>
      <c r="F5953" s="0" t="n">
        <v>234.36</v>
      </c>
      <c r="G5953" s="0" t="n">
        <v>112.4928</v>
      </c>
      <c r="H5953" s="0" t="n">
        <v>0</v>
      </c>
      <c r="I5953" s="7" t="n">
        <f aca="false">YEAR(B5953)</f>
        <v>2017</v>
      </c>
      <c r="J5953" s="0" t="str">
        <f aca="false">I5953&amp;"-Q"&amp;ROUNDUP(MONTH(B5953)/3,0)</f>
        <v>2017-Q1</v>
      </c>
    </row>
    <row r="5954" customFormat="false" ht="15" hidden="false" customHeight="false" outlineLevel="0" collapsed="false">
      <c r="A5954" s="0" t="s">
        <v>3048</v>
      </c>
      <c r="B5954" s="6" t="n">
        <v>42840</v>
      </c>
      <c r="C5954" s="7" t="s">
        <v>45</v>
      </c>
      <c r="D5954" s="7" t="s">
        <v>46</v>
      </c>
      <c r="E5954" s="7" t="s">
        <v>35</v>
      </c>
      <c r="F5954" s="0" t="n">
        <v>20.736</v>
      </c>
      <c r="G5954" s="0" t="n">
        <v>7.2576</v>
      </c>
      <c r="H5954" s="0" t="n">
        <v>0.2</v>
      </c>
      <c r="I5954" s="7" t="n">
        <f aca="false">YEAR(B5954)</f>
        <v>2017</v>
      </c>
      <c r="J5954" s="0" t="str">
        <f aca="false">I5954&amp;"-Q"&amp;ROUNDUP(MONTH(B5954)/3,0)</f>
        <v>2017-Q2</v>
      </c>
    </row>
    <row r="5955" customFormat="false" ht="15" hidden="false" customHeight="false" outlineLevel="0" collapsed="false">
      <c r="A5955" s="0" t="s">
        <v>3049</v>
      </c>
      <c r="B5955" s="6" t="n">
        <v>41728</v>
      </c>
      <c r="C5955" s="7" t="s">
        <v>55</v>
      </c>
      <c r="D5955" s="7" t="s">
        <v>76</v>
      </c>
      <c r="E5955" s="7" t="s">
        <v>35</v>
      </c>
      <c r="F5955" s="0" t="n">
        <v>10.5</v>
      </c>
      <c r="G5955" s="0" t="n">
        <v>2.94</v>
      </c>
      <c r="H5955" s="0" t="n">
        <v>0</v>
      </c>
      <c r="I5955" s="7" t="n">
        <f aca="false">YEAR(B5955)</f>
        <v>2014</v>
      </c>
      <c r="J5955" s="0" t="str">
        <f aca="false">I5955&amp;"-Q"&amp;ROUNDUP(MONTH(B5955)/3,0)</f>
        <v>2014-Q1</v>
      </c>
    </row>
    <row r="5956" customFormat="false" ht="15" hidden="false" customHeight="false" outlineLevel="0" collapsed="false">
      <c r="A5956" s="0" t="s">
        <v>3050</v>
      </c>
      <c r="B5956" s="6" t="n">
        <v>41954</v>
      </c>
      <c r="C5956" s="7" t="s">
        <v>55</v>
      </c>
      <c r="D5956" s="7" t="s">
        <v>56</v>
      </c>
      <c r="E5956" s="7" t="s">
        <v>31</v>
      </c>
      <c r="F5956" s="0" t="n">
        <v>23.968</v>
      </c>
      <c r="G5956" s="0" t="n">
        <v>7.7896</v>
      </c>
      <c r="H5956" s="0" t="n">
        <v>0.2</v>
      </c>
      <c r="I5956" s="7" t="n">
        <f aca="false">YEAR(B5956)</f>
        <v>2014</v>
      </c>
      <c r="J5956" s="0" t="str">
        <f aca="false">I5956&amp;"-Q"&amp;ROUNDUP(MONTH(B5956)/3,0)</f>
        <v>2014-Q4</v>
      </c>
    </row>
    <row r="5957" customFormat="false" ht="15" hidden="false" customHeight="false" outlineLevel="0" collapsed="false">
      <c r="A5957" s="0" t="s">
        <v>3050</v>
      </c>
      <c r="B5957" s="6" t="n">
        <v>41954</v>
      </c>
      <c r="C5957" s="7" t="s">
        <v>55</v>
      </c>
      <c r="D5957" s="7" t="s">
        <v>56</v>
      </c>
      <c r="E5957" s="7" t="s">
        <v>31</v>
      </c>
      <c r="F5957" s="0" t="n">
        <v>521.96</v>
      </c>
      <c r="G5957" s="0" t="n">
        <v>-250.5408</v>
      </c>
      <c r="H5957" s="0" t="n">
        <v>0.5</v>
      </c>
      <c r="I5957" s="7" t="n">
        <f aca="false">YEAR(B5957)</f>
        <v>2014</v>
      </c>
      <c r="J5957" s="0" t="str">
        <f aca="false">I5957&amp;"-Q"&amp;ROUNDUP(MONTH(B5957)/3,0)</f>
        <v>2014-Q4</v>
      </c>
    </row>
    <row r="5958" customFormat="false" ht="15" hidden="false" customHeight="false" outlineLevel="0" collapsed="false">
      <c r="A5958" s="0" t="s">
        <v>3051</v>
      </c>
      <c r="B5958" s="6" t="n">
        <v>42441</v>
      </c>
      <c r="C5958" s="7" t="s">
        <v>33</v>
      </c>
      <c r="D5958" s="7" t="s">
        <v>34</v>
      </c>
      <c r="E5958" s="7" t="s">
        <v>35</v>
      </c>
      <c r="F5958" s="0" t="n">
        <v>676.55</v>
      </c>
      <c r="G5958" s="0" t="n">
        <v>6.7655</v>
      </c>
      <c r="H5958" s="0" t="n">
        <v>0</v>
      </c>
      <c r="I5958" s="7" t="n">
        <f aca="false">YEAR(B5958)</f>
        <v>2016</v>
      </c>
      <c r="J5958" s="0" t="str">
        <f aca="false">I5958&amp;"-Q"&amp;ROUNDUP(MONTH(B5958)/3,0)</f>
        <v>2016-Q1</v>
      </c>
    </row>
    <row r="5959" customFormat="false" ht="15" hidden="false" customHeight="false" outlineLevel="0" collapsed="false">
      <c r="A5959" s="0" t="s">
        <v>3051</v>
      </c>
      <c r="B5959" s="6" t="n">
        <v>42441</v>
      </c>
      <c r="C5959" s="7" t="s">
        <v>33</v>
      </c>
      <c r="D5959" s="7" t="s">
        <v>34</v>
      </c>
      <c r="E5959" s="7" t="s">
        <v>35</v>
      </c>
      <c r="F5959" s="0" t="n">
        <v>154.9</v>
      </c>
      <c r="G5959" s="0" t="n">
        <v>40.274</v>
      </c>
      <c r="H5959" s="0" t="n">
        <v>0</v>
      </c>
      <c r="I5959" s="7" t="n">
        <f aca="false">YEAR(B5959)</f>
        <v>2016</v>
      </c>
      <c r="J5959" s="0" t="str">
        <f aca="false">I5959&amp;"-Q"&amp;ROUNDUP(MONTH(B5959)/3,0)</f>
        <v>2016-Q1</v>
      </c>
    </row>
    <row r="5960" customFormat="false" ht="15" hidden="false" customHeight="false" outlineLevel="0" collapsed="false">
      <c r="A5960" s="0" t="s">
        <v>3051</v>
      </c>
      <c r="B5960" s="6" t="n">
        <v>42441</v>
      </c>
      <c r="C5960" s="7" t="s">
        <v>33</v>
      </c>
      <c r="D5960" s="7" t="s">
        <v>34</v>
      </c>
      <c r="E5960" s="7" t="s">
        <v>35</v>
      </c>
      <c r="F5960" s="0" t="n">
        <v>30.56</v>
      </c>
      <c r="G5960" s="0" t="n">
        <v>14.9744</v>
      </c>
      <c r="H5960" s="0" t="n">
        <v>0</v>
      </c>
      <c r="I5960" s="7" t="n">
        <f aca="false">YEAR(B5960)</f>
        <v>2016</v>
      </c>
      <c r="J5960" s="0" t="str">
        <f aca="false">I5960&amp;"-Q"&amp;ROUNDUP(MONTH(B5960)/3,0)</f>
        <v>2016-Q1</v>
      </c>
    </row>
    <row r="5961" customFormat="false" ht="15" hidden="false" customHeight="false" outlineLevel="0" collapsed="false">
      <c r="A5961" s="0" t="s">
        <v>3051</v>
      </c>
      <c r="B5961" s="6" t="n">
        <v>42441</v>
      </c>
      <c r="C5961" s="7" t="s">
        <v>33</v>
      </c>
      <c r="D5961" s="7" t="s">
        <v>34</v>
      </c>
      <c r="E5961" s="7" t="s">
        <v>31</v>
      </c>
      <c r="F5961" s="0" t="n">
        <v>770.352</v>
      </c>
      <c r="G5961" s="0" t="n">
        <v>77.0352</v>
      </c>
      <c r="H5961" s="0" t="n">
        <v>0.2</v>
      </c>
      <c r="I5961" s="7" t="n">
        <f aca="false">YEAR(B5961)</f>
        <v>2016</v>
      </c>
      <c r="J5961" s="0" t="str">
        <f aca="false">I5961&amp;"-Q"&amp;ROUNDUP(MONTH(B5961)/3,0)</f>
        <v>2016-Q1</v>
      </c>
    </row>
    <row r="5962" customFormat="false" ht="15" hidden="false" customHeight="false" outlineLevel="0" collapsed="false">
      <c r="A5962" s="0" t="s">
        <v>3052</v>
      </c>
      <c r="B5962" s="6" t="n">
        <v>42775</v>
      </c>
      <c r="C5962" s="7" t="s">
        <v>33</v>
      </c>
      <c r="D5962" s="7" t="s">
        <v>34</v>
      </c>
      <c r="E5962" s="7" t="s">
        <v>31</v>
      </c>
      <c r="F5962" s="0" t="n">
        <v>21.12</v>
      </c>
      <c r="G5962" s="0" t="n">
        <v>6.5472</v>
      </c>
      <c r="H5962" s="0" t="n">
        <v>0</v>
      </c>
      <c r="I5962" s="7" t="n">
        <f aca="false">YEAR(B5962)</f>
        <v>2017</v>
      </c>
      <c r="J5962" s="0" t="str">
        <f aca="false">I5962&amp;"-Q"&amp;ROUNDUP(MONTH(B5962)/3,0)</f>
        <v>2017-Q1</v>
      </c>
    </row>
    <row r="5963" customFormat="false" ht="15" hidden="false" customHeight="false" outlineLevel="0" collapsed="false">
      <c r="A5963" s="0" t="s">
        <v>3053</v>
      </c>
      <c r="B5963" s="6" t="n">
        <v>41954</v>
      </c>
      <c r="C5963" s="7" t="s">
        <v>33</v>
      </c>
      <c r="D5963" s="7" t="s">
        <v>34</v>
      </c>
      <c r="E5963" s="7" t="s">
        <v>39</v>
      </c>
      <c r="F5963" s="0" t="n">
        <v>575.928</v>
      </c>
      <c r="G5963" s="0" t="n">
        <v>57.5928</v>
      </c>
      <c r="H5963" s="0" t="n">
        <v>0.2</v>
      </c>
      <c r="I5963" s="7" t="n">
        <f aca="false">YEAR(B5963)</f>
        <v>2014</v>
      </c>
      <c r="J5963" s="0" t="str">
        <f aca="false">I5963&amp;"-Q"&amp;ROUNDUP(MONTH(B5963)/3,0)</f>
        <v>2014-Q4</v>
      </c>
    </row>
    <row r="5964" customFormat="false" ht="15" hidden="false" customHeight="false" outlineLevel="0" collapsed="false">
      <c r="A5964" s="0" t="s">
        <v>3053</v>
      </c>
      <c r="B5964" s="6" t="n">
        <v>41954</v>
      </c>
      <c r="C5964" s="7" t="s">
        <v>33</v>
      </c>
      <c r="D5964" s="7" t="s">
        <v>34</v>
      </c>
      <c r="E5964" s="7" t="s">
        <v>35</v>
      </c>
      <c r="F5964" s="0" t="n">
        <v>7.78</v>
      </c>
      <c r="G5964" s="0" t="n">
        <v>2.0228</v>
      </c>
      <c r="H5964" s="0" t="n">
        <v>0</v>
      </c>
      <c r="I5964" s="7" t="n">
        <f aca="false">YEAR(B5964)</f>
        <v>2014</v>
      </c>
      <c r="J5964" s="0" t="str">
        <f aca="false">I5964&amp;"-Q"&amp;ROUNDUP(MONTH(B5964)/3,0)</f>
        <v>2014-Q4</v>
      </c>
    </row>
    <row r="5965" customFormat="false" ht="15" hidden="false" customHeight="false" outlineLevel="0" collapsed="false">
      <c r="A5965" s="0" t="s">
        <v>3053</v>
      </c>
      <c r="B5965" s="6" t="n">
        <v>41954</v>
      </c>
      <c r="C5965" s="7" t="s">
        <v>33</v>
      </c>
      <c r="D5965" s="7" t="s">
        <v>34</v>
      </c>
      <c r="E5965" s="7" t="s">
        <v>35</v>
      </c>
      <c r="F5965" s="0" t="n">
        <v>123.92</v>
      </c>
      <c r="G5965" s="0" t="n">
        <v>55.764</v>
      </c>
      <c r="H5965" s="0" t="n">
        <v>0</v>
      </c>
      <c r="I5965" s="7" t="n">
        <f aca="false">YEAR(B5965)</f>
        <v>2014</v>
      </c>
      <c r="J5965" s="0" t="str">
        <f aca="false">I5965&amp;"-Q"&amp;ROUNDUP(MONTH(B5965)/3,0)</f>
        <v>2014-Q4</v>
      </c>
    </row>
    <row r="5966" customFormat="false" ht="15" hidden="false" customHeight="false" outlineLevel="0" collapsed="false">
      <c r="A5966" s="0" t="s">
        <v>3054</v>
      </c>
      <c r="B5966" s="6" t="n">
        <v>42967</v>
      </c>
      <c r="C5966" s="7" t="s">
        <v>33</v>
      </c>
      <c r="D5966" s="7" t="s">
        <v>34</v>
      </c>
      <c r="E5966" s="7" t="s">
        <v>35</v>
      </c>
      <c r="F5966" s="0" t="n">
        <v>17.22</v>
      </c>
      <c r="G5966" s="0" t="n">
        <v>5.166</v>
      </c>
      <c r="H5966" s="0" t="n">
        <v>0</v>
      </c>
      <c r="I5966" s="7" t="n">
        <f aca="false">YEAR(B5966)</f>
        <v>2017</v>
      </c>
      <c r="J5966" s="0" t="str">
        <f aca="false">I5966&amp;"-Q"&amp;ROUNDUP(MONTH(B5966)/3,0)</f>
        <v>2017-Q3</v>
      </c>
    </row>
    <row r="5967" customFormat="false" ht="15" hidden="false" customHeight="false" outlineLevel="0" collapsed="false">
      <c r="A5967" s="0" t="s">
        <v>3054</v>
      </c>
      <c r="B5967" s="6" t="n">
        <v>42967</v>
      </c>
      <c r="C5967" s="7" t="s">
        <v>33</v>
      </c>
      <c r="D5967" s="7" t="s">
        <v>34</v>
      </c>
      <c r="E5967" s="7" t="s">
        <v>35</v>
      </c>
      <c r="F5967" s="0" t="n">
        <v>226.56</v>
      </c>
      <c r="G5967" s="0" t="n">
        <v>63.4368</v>
      </c>
      <c r="H5967" s="0" t="n">
        <v>0</v>
      </c>
      <c r="I5967" s="7" t="n">
        <f aca="false">YEAR(B5967)</f>
        <v>2017</v>
      </c>
      <c r="J5967" s="0" t="str">
        <f aca="false">I5967&amp;"-Q"&amp;ROUNDUP(MONTH(B5967)/3,0)</f>
        <v>2017-Q3</v>
      </c>
    </row>
    <row r="5968" customFormat="false" ht="15" hidden="false" customHeight="false" outlineLevel="0" collapsed="false">
      <c r="A5968" s="0" t="s">
        <v>3054</v>
      </c>
      <c r="B5968" s="6" t="n">
        <v>42967</v>
      </c>
      <c r="C5968" s="7" t="s">
        <v>33</v>
      </c>
      <c r="D5968" s="7" t="s">
        <v>34</v>
      </c>
      <c r="E5968" s="7" t="s">
        <v>39</v>
      </c>
      <c r="F5968" s="0" t="n">
        <v>107.88</v>
      </c>
      <c r="G5968" s="0" t="n">
        <v>10.788</v>
      </c>
      <c r="H5968" s="0" t="n">
        <v>0.2</v>
      </c>
      <c r="I5968" s="7" t="n">
        <f aca="false">YEAR(B5968)</f>
        <v>2017</v>
      </c>
      <c r="J5968" s="0" t="str">
        <f aca="false">I5968&amp;"-Q"&amp;ROUNDUP(MONTH(B5968)/3,0)</f>
        <v>2017-Q3</v>
      </c>
    </row>
    <row r="5969" customFormat="false" ht="15" hidden="false" customHeight="false" outlineLevel="0" collapsed="false">
      <c r="A5969" s="0" t="s">
        <v>3055</v>
      </c>
      <c r="B5969" s="6" t="n">
        <v>42384</v>
      </c>
      <c r="C5969" s="7" t="s">
        <v>55</v>
      </c>
      <c r="D5969" s="7" t="s">
        <v>76</v>
      </c>
      <c r="E5969" s="7" t="s">
        <v>35</v>
      </c>
      <c r="F5969" s="0" t="n">
        <v>81.98</v>
      </c>
      <c r="G5969" s="0" t="n">
        <v>40.1702</v>
      </c>
      <c r="H5969" s="0" t="n">
        <v>0</v>
      </c>
      <c r="I5969" s="7" t="n">
        <f aca="false">YEAR(B5969)</f>
        <v>2016</v>
      </c>
      <c r="J5969" s="0" t="str">
        <f aca="false">I5969&amp;"-Q"&amp;ROUNDUP(MONTH(B5969)/3,0)</f>
        <v>2016-Q1</v>
      </c>
    </row>
    <row r="5970" customFormat="false" ht="15" hidden="false" customHeight="false" outlineLevel="0" collapsed="false">
      <c r="A5970" s="0" t="s">
        <v>3056</v>
      </c>
      <c r="B5970" s="6" t="n">
        <v>41840</v>
      </c>
      <c r="C5970" s="7" t="s">
        <v>33</v>
      </c>
      <c r="D5970" s="7" t="s">
        <v>34</v>
      </c>
      <c r="E5970" s="7" t="s">
        <v>35</v>
      </c>
      <c r="F5970" s="0" t="n">
        <v>104.85</v>
      </c>
      <c r="G5970" s="0" t="n">
        <v>50.328</v>
      </c>
      <c r="H5970" s="0" t="n">
        <v>0</v>
      </c>
      <c r="I5970" s="7" t="n">
        <f aca="false">YEAR(B5970)</f>
        <v>2014</v>
      </c>
      <c r="J5970" s="0" t="str">
        <f aca="false">I5970&amp;"-Q"&amp;ROUNDUP(MONTH(B5970)/3,0)</f>
        <v>2014-Q3</v>
      </c>
    </row>
    <row r="5971" customFormat="false" ht="15" hidden="false" customHeight="false" outlineLevel="0" collapsed="false">
      <c r="A5971" s="0" t="s">
        <v>3056</v>
      </c>
      <c r="B5971" s="6" t="n">
        <v>41840</v>
      </c>
      <c r="C5971" s="7" t="s">
        <v>33</v>
      </c>
      <c r="D5971" s="7" t="s">
        <v>34</v>
      </c>
      <c r="E5971" s="7" t="s">
        <v>35</v>
      </c>
      <c r="F5971" s="0" t="n">
        <v>8.704</v>
      </c>
      <c r="G5971" s="0" t="n">
        <v>3.1552</v>
      </c>
      <c r="H5971" s="0" t="n">
        <v>0.2</v>
      </c>
      <c r="I5971" s="7" t="n">
        <f aca="false">YEAR(B5971)</f>
        <v>2014</v>
      </c>
      <c r="J5971" s="0" t="str">
        <f aca="false">I5971&amp;"-Q"&amp;ROUNDUP(MONTH(B5971)/3,0)</f>
        <v>2014-Q3</v>
      </c>
    </row>
    <row r="5972" customFormat="false" ht="15" hidden="false" customHeight="false" outlineLevel="0" collapsed="false">
      <c r="A5972" s="0" t="s">
        <v>3056</v>
      </c>
      <c r="B5972" s="6" t="n">
        <v>41840</v>
      </c>
      <c r="C5972" s="7" t="s">
        <v>33</v>
      </c>
      <c r="D5972" s="7" t="s">
        <v>34</v>
      </c>
      <c r="E5972" s="7" t="s">
        <v>35</v>
      </c>
      <c r="F5972" s="0" t="n">
        <v>19.92</v>
      </c>
      <c r="G5972" s="0" t="n">
        <v>9.7608</v>
      </c>
      <c r="H5972" s="0" t="n">
        <v>0</v>
      </c>
      <c r="I5972" s="7" t="n">
        <f aca="false">YEAR(B5972)</f>
        <v>2014</v>
      </c>
      <c r="J5972" s="0" t="str">
        <f aca="false">I5972&amp;"-Q"&amp;ROUNDUP(MONTH(B5972)/3,0)</f>
        <v>2014-Q3</v>
      </c>
    </row>
    <row r="5973" customFormat="false" ht="15" hidden="false" customHeight="false" outlineLevel="0" collapsed="false">
      <c r="A5973" s="0" t="s">
        <v>3056</v>
      </c>
      <c r="B5973" s="6" t="n">
        <v>41840</v>
      </c>
      <c r="C5973" s="7" t="s">
        <v>33</v>
      </c>
      <c r="D5973" s="7" t="s">
        <v>34</v>
      </c>
      <c r="E5973" s="7" t="s">
        <v>31</v>
      </c>
      <c r="F5973" s="0" t="n">
        <v>43.02</v>
      </c>
      <c r="G5973" s="0" t="n">
        <v>15.4872</v>
      </c>
      <c r="H5973" s="0" t="n">
        <v>0</v>
      </c>
      <c r="I5973" s="7" t="n">
        <f aca="false">YEAR(B5973)</f>
        <v>2014</v>
      </c>
      <c r="J5973" s="0" t="str">
        <f aca="false">I5973&amp;"-Q"&amp;ROUNDUP(MONTH(B5973)/3,0)</f>
        <v>2014-Q3</v>
      </c>
    </row>
    <row r="5974" customFormat="false" ht="15" hidden="false" customHeight="false" outlineLevel="0" collapsed="false">
      <c r="A5974" s="0" t="s">
        <v>3057</v>
      </c>
      <c r="B5974" s="6" t="n">
        <v>42772</v>
      </c>
      <c r="C5974" s="7" t="s">
        <v>55</v>
      </c>
      <c r="D5974" s="7" t="s">
        <v>76</v>
      </c>
      <c r="E5974" s="7" t="s">
        <v>31</v>
      </c>
      <c r="F5974" s="0" t="n">
        <v>240.784</v>
      </c>
      <c r="G5974" s="0" t="n">
        <v>30.098</v>
      </c>
      <c r="H5974" s="0" t="n">
        <v>0.2</v>
      </c>
      <c r="I5974" s="7" t="n">
        <f aca="false">YEAR(B5974)</f>
        <v>2017</v>
      </c>
      <c r="J5974" s="0" t="str">
        <f aca="false">I5974&amp;"-Q"&amp;ROUNDUP(MONTH(B5974)/3,0)</f>
        <v>2017-Q1</v>
      </c>
    </row>
    <row r="5975" customFormat="false" ht="15" hidden="false" customHeight="false" outlineLevel="0" collapsed="false">
      <c r="A5975" s="0" t="s">
        <v>3058</v>
      </c>
      <c r="B5975" s="6" t="n">
        <v>42363</v>
      </c>
      <c r="C5975" s="7" t="s">
        <v>55</v>
      </c>
      <c r="D5975" s="7" t="s">
        <v>76</v>
      </c>
      <c r="E5975" s="7" t="s">
        <v>35</v>
      </c>
      <c r="F5975" s="0" t="n">
        <v>414.96</v>
      </c>
      <c r="G5975" s="0" t="n">
        <v>124.488</v>
      </c>
      <c r="H5975" s="0" t="n">
        <v>0</v>
      </c>
      <c r="I5975" s="7" t="n">
        <f aca="false">YEAR(B5975)</f>
        <v>2015</v>
      </c>
      <c r="J5975" s="0" t="str">
        <f aca="false">I5975&amp;"-Q"&amp;ROUNDUP(MONTH(B5975)/3,0)</f>
        <v>2015-Q4</v>
      </c>
    </row>
    <row r="5976" customFormat="false" ht="15" hidden="false" customHeight="false" outlineLevel="0" collapsed="false">
      <c r="A5976" s="0" t="s">
        <v>3059</v>
      </c>
      <c r="B5976" s="6" t="n">
        <v>42651</v>
      </c>
      <c r="C5976" s="7" t="s">
        <v>29</v>
      </c>
      <c r="D5976" s="7" t="s">
        <v>41</v>
      </c>
      <c r="E5976" s="7" t="s">
        <v>35</v>
      </c>
      <c r="F5976" s="0" t="n">
        <v>387.72</v>
      </c>
      <c r="G5976" s="0" t="n">
        <v>-67.851</v>
      </c>
      <c r="H5976" s="0" t="n">
        <v>0.2</v>
      </c>
      <c r="I5976" s="7" t="n">
        <f aca="false">YEAR(B5976)</f>
        <v>2016</v>
      </c>
      <c r="J5976" s="0" t="str">
        <f aca="false">I5976&amp;"-Q"&amp;ROUNDUP(MONTH(B5976)/3,0)</f>
        <v>2016-Q4</v>
      </c>
    </row>
    <row r="5977" customFormat="false" ht="15" hidden="false" customHeight="false" outlineLevel="0" collapsed="false">
      <c r="A5977" s="0" t="s">
        <v>3060</v>
      </c>
      <c r="B5977" s="6" t="n">
        <v>42929</v>
      </c>
      <c r="C5977" s="7" t="s">
        <v>45</v>
      </c>
      <c r="D5977" s="7" t="s">
        <v>946</v>
      </c>
      <c r="E5977" s="7" t="s">
        <v>35</v>
      </c>
      <c r="F5977" s="0" t="n">
        <v>360.38</v>
      </c>
      <c r="G5977" s="0" t="n">
        <v>93.6988</v>
      </c>
      <c r="H5977" s="0" t="n">
        <v>0</v>
      </c>
      <c r="I5977" s="7" t="n">
        <f aca="false">YEAR(B5977)</f>
        <v>2017</v>
      </c>
      <c r="J5977" s="0" t="str">
        <f aca="false">I5977&amp;"-Q"&amp;ROUNDUP(MONTH(B5977)/3,0)</f>
        <v>2017-Q3</v>
      </c>
    </row>
    <row r="5978" customFormat="false" ht="15" hidden="false" customHeight="false" outlineLevel="0" collapsed="false">
      <c r="A5978" s="0" t="s">
        <v>3060</v>
      </c>
      <c r="B5978" s="6" t="n">
        <v>42929</v>
      </c>
      <c r="C5978" s="7" t="s">
        <v>45</v>
      </c>
      <c r="D5978" s="7" t="s">
        <v>946</v>
      </c>
      <c r="E5978" s="7" t="s">
        <v>35</v>
      </c>
      <c r="F5978" s="0" t="n">
        <v>13.56</v>
      </c>
      <c r="G5978" s="0" t="n">
        <v>6.2376</v>
      </c>
      <c r="H5978" s="0" t="n">
        <v>0</v>
      </c>
      <c r="I5978" s="7" t="n">
        <f aca="false">YEAR(B5978)</f>
        <v>2017</v>
      </c>
      <c r="J5978" s="0" t="str">
        <f aca="false">I5978&amp;"-Q"&amp;ROUNDUP(MONTH(B5978)/3,0)</f>
        <v>2017-Q3</v>
      </c>
    </row>
    <row r="5979" customFormat="false" ht="15" hidden="false" customHeight="false" outlineLevel="0" collapsed="false">
      <c r="A5979" s="0" t="s">
        <v>3061</v>
      </c>
      <c r="B5979" s="6" t="n">
        <v>42849</v>
      </c>
      <c r="C5979" s="7" t="s">
        <v>33</v>
      </c>
      <c r="D5979" s="7" t="s">
        <v>81</v>
      </c>
      <c r="E5979" s="7" t="s">
        <v>39</v>
      </c>
      <c r="F5979" s="0" t="n">
        <v>552</v>
      </c>
      <c r="G5979" s="0" t="n">
        <v>34.5</v>
      </c>
      <c r="H5979" s="0" t="n">
        <v>0.2</v>
      </c>
      <c r="I5979" s="7" t="n">
        <f aca="false">YEAR(B5979)</f>
        <v>2017</v>
      </c>
      <c r="J5979" s="0" t="str">
        <f aca="false">I5979&amp;"-Q"&amp;ROUNDUP(MONTH(B5979)/3,0)</f>
        <v>2017-Q2</v>
      </c>
    </row>
    <row r="5980" customFormat="false" ht="15" hidden="false" customHeight="false" outlineLevel="0" collapsed="false">
      <c r="A5980" s="0" t="s">
        <v>3062</v>
      </c>
      <c r="B5980" s="6" t="n">
        <v>41889</v>
      </c>
      <c r="C5980" s="7" t="s">
        <v>45</v>
      </c>
      <c r="D5980" s="7" t="s">
        <v>138</v>
      </c>
      <c r="E5980" s="7" t="s">
        <v>31</v>
      </c>
      <c r="F5980" s="0" t="n">
        <v>429.9</v>
      </c>
      <c r="G5980" s="0" t="n">
        <v>111.774</v>
      </c>
      <c r="H5980" s="0" t="n">
        <v>0</v>
      </c>
      <c r="I5980" s="7" t="n">
        <f aca="false">YEAR(B5980)</f>
        <v>2014</v>
      </c>
      <c r="J5980" s="0" t="str">
        <f aca="false">I5980&amp;"-Q"&amp;ROUNDUP(MONTH(B5980)/3,0)</f>
        <v>2014-Q3</v>
      </c>
    </row>
    <row r="5981" customFormat="false" ht="15" hidden="false" customHeight="false" outlineLevel="0" collapsed="false">
      <c r="A5981" s="0" t="s">
        <v>3062</v>
      </c>
      <c r="B5981" s="6" t="n">
        <v>41889</v>
      </c>
      <c r="C5981" s="7" t="s">
        <v>45</v>
      </c>
      <c r="D5981" s="7" t="s">
        <v>138</v>
      </c>
      <c r="E5981" s="7" t="s">
        <v>35</v>
      </c>
      <c r="F5981" s="0" t="n">
        <v>32.06</v>
      </c>
      <c r="G5981" s="0" t="n">
        <v>15.3888</v>
      </c>
      <c r="H5981" s="0" t="n">
        <v>0</v>
      </c>
      <c r="I5981" s="7" t="n">
        <f aca="false">YEAR(B5981)</f>
        <v>2014</v>
      </c>
      <c r="J5981" s="0" t="str">
        <f aca="false">I5981&amp;"-Q"&amp;ROUNDUP(MONTH(B5981)/3,0)</f>
        <v>2014-Q3</v>
      </c>
    </row>
    <row r="5982" customFormat="false" ht="15" hidden="false" customHeight="false" outlineLevel="0" collapsed="false">
      <c r="A5982" s="0" t="s">
        <v>3062</v>
      </c>
      <c r="B5982" s="6" t="n">
        <v>41889</v>
      </c>
      <c r="C5982" s="7" t="s">
        <v>45</v>
      </c>
      <c r="D5982" s="7" t="s">
        <v>138</v>
      </c>
      <c r="E5982" s="7" t="s">
        <v>31</v>
      </c>
      <c r="F5982" s="0" t="n">
        <v>161.96</v>
      </c>
      <c r="G5982" s="0" t="n">
        <v>45.3488</v>
      </c>
      <c r="H5982" s="0" t="n">
        <v>0</v>
      </c>
      <c r="I5982" s="7" t="n">
        <f aca="false">YEAR(B5982)</f>
        <v>2014</v>
      </c>
      <c r="J5982" s="0" t="str">
        <f aca="false">I5982&amp;"-Q"&amp;ROUNDUP(MONTH(B5982)/3,0)</f>
        <v>2014-Q3</v>
      </c>
    </row>
    <row r="5983" customFormat="false" ht="15" hidden="false" customHeight="false" outlineLevel="0" collapsed="false">
      <c r="A5983" s="0" t="s">
        <v>3062</v>
      </c>
      <c r="B5983" s="6" t="n">
        <v>41889</v>
      </c>
      <c r="C5983" s="7" t="s">
        <v>45</v>
      </c>
      <c r="D5983" s="7" t="s">
        <v>138</v>
      </c>
      <c r="E5983" s="7" t="s">
        <v>35</v>
      </c>
      <c r="F5983" s="0" t="n">
        <v>19.86</v>
      </c>
      <c r="G5983" s="0" t="n">
        <v>5.7594</v>
      </c>
      <c r="H5983" s="0" t="n">
        <v>0</v>
      </c>
      <c r="I5983" s="7" t="n">
        <f aca="false">YEAR(B5983)</f>
        <v>2014</v>
      </c>
      <c r="J5983" s="0" t="str">
        <f aca="false">I5983&amp;"-Q"&amp;ROUNDUP(MONTH(B5983)/3,0)</f>
        <v>2014-Q3</v>
      </c>
    </row>
    <row r="5984" customFormat="false" ht="15" hidden="false" customHeight="false" outlineLevel="0" collapsed="false">
      <c r="A5984" s="0" t="s">
        <v>3063</v>
      </c>
      <c r="B5984" s="6" t="n">
        <v>42695</v>
      </c>
      <c r="C5984" s="7" t="s">
        <v>55</v>
      </c>
      <c r="D5984" s="7" t="s">
        <v>76</v>
      </c>
      <c r="E5984" s="7" t="s">
        <v>35</v>
      </c>
      <c r="F5984" s="0" t="n">
        <v>12.96</v>
      </c>
      <c r="G5984" s="0" t="n">
        <v>6.3504</v>
      </c>
      <c r="H5984" s="0" t="n">
        <v>0</v>
      </c>
      <c r="I5984" s="7" t="n">
        <f aca="false">YEAR(B5984)</f>
        <v>2016</v>
      </c>
      <c r="J5984" s="0" t="str">
        <f aca="false">I5984&amp;"-Q"&amp;ROUNDUP(MONTH(B5984)/3,0)</f>
        <v>2016-Q4</v>
      </c>
    </row>
    <row r="5985" customFormat="false" ht="15" hidden="false" customHeight="false" outlineLevel="0" collapsed="false">
      <c r="A5985" s="0" t="s">
        <v>3064</v>
      </c>
      <c r="B5985" s="6" t="n">
        <v>42994</v>
      </c>
      <c r="C5985" s="7" t="s">
        <v>55</v>
      </c>
      <c r="D5985" s="7" t="s">
        <v>56</v>
      </c>
      <c r="E5985" s="7" t="s">
        <v>35</v>
      </c>
      <c r="F5985" s="0" t="n">
        <v>20.544</v>
      </c>
      <c r="G5985" s="0" t="n">
        <v>6.42</v>
      </c>
      <c r="H5985" s="0" t="n">
        <v>0.2</v>
      </c>
      <c r="I5985" s="7" t="n">
        <f aca="false">YEAR(B5985)</f>
        <v>2017</v>
      </c>
      <c r="J5985" s="0" t="str">
        <f aca="false">I5985&amp;"-Q"&amp;ROUNDUP(MONTH(B5985)/3,0)</f>
        <v>2017-Q3</v>
      </c>
    </row>
    <row r="5986" customFormat="false" ht="15" hidden="false" customHeight="false" outlineLevel="0" collapsed="false">
      <c r="A5986" s="0" t="s">
        <v>3065</v>
      </c>
      <c r="B5986" s="6" t="n">
        <v>42570</v>
      </c>
      <c r="C5986" s="7" t="s">
        <v>29</v>
      </c>
      <c r="D5986" s="7" t="s">
        <v>265</v>
      </c>
      <c r="E5986" s="7" t="s">
        <v>31</v>
      </c>
      <c r="F5986" s="0" t="n">
        <v>185.58</v>
      </c>
      <c r="G5986" s="0" t="n">
        <v>76.0878</v>
      </c>
      <c r="H5986" s="0" t="n">
        <v>0</v>
      </c>
      <c r="I5986" s="7" t="n">
        <f aca="false">YEAR(B5986)</f>
        <v>2016</v>
      </c>
      <c r="J5986" s="0" t="str">
        <f aca="false">I5986&amp;"-Q"&amp;ROUNDUP(MONTH(B5986)/3,0)</f>
        <v>2016-Q3</v>
      </c>
    </row>
    <row r="5987" customFormat="false" ht="15" hidden="false" customHeight="false" outlineLevel="0" collapsed="false">
      <c r="A5987" s="0" t="s">
        <v>3065</v>
      </c>
      <c r="B5987" s="6" t="n">
        <v>42570</v>
      </c>
      <c r="C5987" s="7" t="s">
        <v>29</v>
      </c>
      <c r="D5987" s="7" t="s">
        <v>265</v>
      </c>
      <c r="E5987" s="7" t="s">
        <v>35</v>
      </c>
      <c r="F5987" s="0" t="n">
        <v>77.56</v>
      </c>
      <c r="G5987" s="0" t="n">
        <v>35.6776</v>
      </c>
      <c r="H5987" s="0" t="n">
        <v>0</v>
      </c>
      <c r="I5987" s="7" t="n">
        <f aca="false">YEAR(B5987)</f>
        <v>2016</v>
      </c>
      <c r="J5987" s="0" t="str">
        <f aca="false">I5987&amp;"-Q"&amp;ROUNDUP(MONTH(B5987)/3,0)</f>
        <v>2016-Q3</v>
      </c>
    </row>
    <row r="5988" customFormat="false" ht="15" hidden="false" customHeight="false" outlineLevel="0" collapsed="false">
      <c r="A5988" s="0" t="s">
        <v>3065</v>
      </c>
      <c r="B5988" s="6" t="n">
        <v>42570</v>
      </c>
      <c r="C5988" s="7" t="s">
        <v>29</v>
      </c>
      <c r="D5988" s="7" t="s">
        <v>265</v>
      </c>
      <c r="E5988" s="7" t="s">
        <v>35</v>
      </c>
      <c r="F5988" s="0" t="n">
        <v>87.92</v>
      </c>
      <c r="G5988" s="0" t="n">
        <v>0.8792</v>
      </c>
      <c r="H5988" s="0" t="n">
        <v>0</v>
      </c>
      <c r="I5988" s="7" t="n">
        <f aca="false">YEAR(B5988)</f>
        <v>2016</v>
      </c>
      <c r="J5988" s="0" t="str">
        <f aca="false">I5988&amp;"-Q"&amp;ROUNDUP(MONTH(B5988)/3,0)</f>
        <v>2016-Q3</v>
      </c>
    </row>
    <row r="5989" customFormat="false" ht="15" hidden="false" customHeight="false" outlineLevel="0" collapsed="false">
      <c r="A5989" s="0" t="s">
        <v>3065</v>
      </c>
      <c r="B5989" s="6" t="n">
        <v>42570</v>
      </c>
      <c r="C5989" s="7" t="s">
        <v>29</v>
      </c>
      <c r="D5989" s="7" t="s">
        <v>265</v>
      </c>
      <c r="E5989" s="7" t="s">
        <v>35</v>
      </c>
      <c r="F5989" s="0" t="n">
        <v>245.94</v>
      </c>
      <c r="G5989" s="0" t="n">
        <v>120.5106</v>
      </c>
      <c r="H5989" s="0" t="n">
        <v>0</v>
      </c>
      <c r="I5989" s="7" t="n">
        <f aca="false">YEAR(B5989)</f>
        <v>2016</v>
      </c>
      <c r="J5989" s="0" t="str">
        <f aca="false">I5989&amp;"-Q"&amp;ROUNDUP(MONTH(B5989)/3,0)</f>
        <v>2016-Q3</v>
      </c>
    </row>
    <row r="5990" customFormat="false" ht="15" hidden="false" customHeight="false" outlineLevel="0" collapsed="false">
      <c r="A5990" s="0" t="s">
        <v>3065</v>
      </c>
      <c r="B5990" s="6" t="n">
        <v>42570</v>
      </c>
      <c r="C5990" s="7" t="s">
        <v>29</v>
      </c>
      <c r="D5990" s="7" t="s">
        <v>265</v>
      </c>
      <c r="E5990" s="7" t="s">
        <v>35</v>
      </c>
      <c r="F5990" s="0" t="n">
        <v>8.6</v>
      </c>
      <c r="G5990" s="0" t="n">
        <v>4.042</v>
      </c>
      <c r="H5990" s="0" t="n">
        <v>0</v>
      </c>
      <c r="I5990" s="7" t="n">
        <f aca="false">YEAR(B5990)</f>
        <v>2016</v>
      </c>
      <c r="J5990" s="0" t="str">
        <f aca="false">I5990&amp;"-Q"&amp;ROUNDUP(MONTH(B5990)/3,0)</f>
        <v>2016-Q3</v>
      </c>
    </row>
    <row r="5991" customFormat="false" ht="15" hidden="false" customHeight="false" outlineLevel="0" collapsed="false">
      <c r="A5991" s="0" t="s">
        <v>3065</v>
      </c>
      <c r="B5991" s="6" t="n">
        <v>42570</v>
      </c>
      <c r="C5991" s="7" t="s">
        <v>29</v>
      </c>
      <c r="D5991" s="7" t="s">
        <v>265</v>
      </c>
      <c r="E5991" s="7" t="s">
        <v>31</v>
      </c>
      <c r="F5991" s="0" t="n">
        <v>504.9</v>
      </c>
      <c r="G5991" s="0" t="n">
        <v>126.225</v>
      </c>
      <c r="H5991" s="0" t="n">
        <v>0</v>
      </c>
      <c r="I5991" s="7" t="n">
        <f aca="false">YEAR(B5991)</f>
        <v>2016</v>
      </c>
      <c r="J5991" s="0" t="str">
        <f aca="false">I5991&amp;"-Q"&amp;ROUNDUP(MONTH(B5991)/3,0)</f>
        <v>2016-Q3</v>
      </c>
    </row>
    <row r="5992" customFormat="false" ht="15" hidden="false" customHeight="false" outlineLevel="0" collapsed="false">
      <c r="A5992" s="0" t="s">
        <v>3066</v>
      </c>
      <c r="B5992" s="6" t="n">
        <v>42993</v>
      </c>
      <c r="C5992" s="7" t="s">
        <v>33</v>
      </c>
      <c r="D5992" s="7" t="s">
        <v>34</v>
      </c>
      <c r="E5992" s="7" t="s">
        <v>35</v>
      </c>
      <c r="F5992" s="0" t="n">
        <v>2357.488</v>
      </c>
      <c r="G5992" s="0" t="n">
        <v>884.058</v>
      </c>
      <c r="H5992" s="0" t="n">
        <v>0.2</v>
      </c>
      <c r="I5992" s="7" t="n">
        <f aca="false">YEAR(B5992)</f>
        <v>2017</v>
      </c>
      <c r="J5992" s="0" t="str">
        <f aca="false">I5992&amp;"-Q"&amp;ROUNDUP(MONTH(B5992)/3,0)</f>
        <v>2017-Q3</v>
      </c>
    </row>
    <row r="5993" customFormat="false" ht="15" hidden="false" customHeight="false" outlineLevel="0" collapsed="false">
      <c r="A5993" s="0" t="s">
        <v>3066</v>
      </c>
      <c r="B5993" s="6" t="n">
        <v>42993</v>
      </c>
      <c r="C5993" s="7" t="s">
        <v>33</v>
      </c>
      <c r="D5993" s="7" t="s">
        <v>34</v>
      </c>
      <c r="E5993" s="7" t="s">
        <v>39</v>
      </c>
      <c r="F5993" s="0" t="n">
        <v>369.544</v>
      </c>
      <c r="G5993" s="0" t="n">
        <v>32.3351</v>
      </c>
      <c r="H5993" s="0" t="n">
        <v>0.2</v>
      </c>
      <c r="I5993" s="7" t="n">
        <f aca="false">YEAR(B5993)</f>
        <v>2017</v>
      </c>
      <c r="J5993" s="0" t="str">
        <f aca="false">I5993&amp;"-Q"&amp;ROUNDUP(MONTH(B5993)/3,0)</f>
        <v>2017-Q3</v>
      </c>
    </row>
    <row r="5994" customFormat="false" ht="15" hidden="false" customHeight="false" outlineLevel="0" collapsed="false">
      <c r="A5994" s="0" t="s">
        <v>3066</v>
      </c>
      <c r="B5994" s="6" t="n">
        <v>42993</v>
      </c>
      <c r="C5994" s="7" t="s">
        <v>33</v>
      </c>
      <c r="D5994" s="7" t="s">
        <v>34</v>
      </c>
      <c r="E5994" s="7" t="s">
        <v>31</v>
      </c>
      <c r="F5994" s="0" t="n">
        <v>184.752</v>
      </c>
      <c r="G5994" s="0" t="n">
        <v>-20.7846</v>
      </c>
      <c r="H5994" s="0" t="n">
        <v>0.2</v>
      </c>
      <c r="I5994" s="7" t="n">
        <f aca="false">YEAR(B5994)</f>
        <v>2017</v>
      </c>
      <c r="J5994" s="0" t="str">
        <f aca="false">I5994&amp;"-Q"&amp;ROUNDUP(MONTH(B5994)/3,0)</f>
        <v>2017-Q3</v>
      </c>
    </row>
    <row r="5995" customFormat="false" ht="15" hidden="false" customHeight="false" outlineLevel="0" collapsed="false">
      <c r="A5995" s="0" t="s">
        <v>3067</v>
      </c>
      <c r="B5995" s="6" t="n">
        <v>42715</v>
      </c>
      <c r="C5995" s="7" t="s">
        <v>55</v>
      </c>
      <c r="D5995" s="7" t="s">
        <v>116</v>
      </c>
      <c r="E5995" s="7" t="s">
        <v>35</v>
      </c>
      <c r="F5995" s="0" t="n">
        <v>64.96</v>
      </c>
      <c r="G5995" s="0" t="n">
        <v>-4.06</v>
      </c>
      <c r="H5995" s="0" t="n">
        <v>0.2</v>
      </c>
      <c r="I5995" s="7" t="n">
        <f aca="false">YEAR(B5995)</f>
        <v>2016</v>
      </c>
      <c r="J5995" s="0" t="str">
        <f aca="false">I5995&amp;"-Q"&amp;ROUNDUP(MONTH(B5995)/3,0)</f>
        <v>2016-Q4</v>
      </c>
    </row>
    <row r="5996" customFormat="false" ht="15" hidden="false" customHeight="false" outlineLevel="0" collapsed="false">
      <c r="A5996" s="0" t="s">
        <v>3067</v>
      </c>
      <c r="B5996" s="6" t="n">
        <v>42715</v>
      </c>
      <c r="C5996" s="7" t="s">
        <v>55</v>
      </c>
      <c r="D5996" s="7" t="s">
        <v>116</v>
      </c>
      <c r="E5996" s="7" t="s">
        <v>35</v>
      </c>
      <c r="F5996" s="0" t="n">
        <v>13.52</v>
      </c>
      <c r="G5996" s="0" t="n">
        <v>1.69</v>
      </c>
      <c r="H5996" s="0" t="n">
        <v>0.2</v>
      </c>
      <c r="I5996" s="7" t="n">
        <f aca="false">YEAR(B5996)</f>
        <v>2016</v>
      </c>
      <c r="J5996" s="0" t="str">
        <f aca="false">I5996&amp;"-Q"&amp;ROUNDUP(MONTH(B5996)/3,0)</f>
        <v>2016-Q4</v>
      </c>
    </row>
    <row r="5997" customFormat="false" ht="15" hidden="false" customHeight="false" outlineLevel="0" collapsed="false">
      <c r="A5997" s="0" t="s">
        <v>3067</v>
      </c>
      <c r="B5997" s="6" t="n">
        <v>42715</v>
      </c>
      <c r="C5997" s="7" t="s">
        <v>55</v>
      </c>
      <c r="D5997" s="7" t="s">
        <v>116</v>
      </c>
      <c r="E5997" s="7" t="s">
        <v>31</v>
      </c>
      <c r="F5997" s="0" t="n">
        <v>458.43</v>
      </c>
      <c r="G5997" s="0" t="n">
        <v>-137.529</v>
      </c>
      <c r="H5997" s="0" t="n">
        <v>0.3</v>
      </c>
      <c r="I5997" s="7" t="n">
        <f aca="false">YEAR(B5997)</f>
        <v>2016</v>
      </c>
      <c r="J5997" s="0" t="str">
        <f aca="false">I5997&amp;"-Q"&amp;ROUNDUP(MONTH(B5997)/3,0)</f>
        <v>2016-Q4</v>
      </c>
    </row>
    <row r="5998" customFormat="false" ht="15" hidden="false" customHeight="false" outlineLevel="0" collapsed="false">
      <c r="A5998" s="0" t="s">
        <v>3067</v>
      </c>
      <c r="B5998" s="6" t="n">
        <v>42715</v>
      </c>
      <c r="C5998" s="7" t="s">
        <v>55</v>
      </c>
      <c r="D5998" s="7" t="s">
        <v>116</v>
      </c>
      <c r="E5998" s="7" t="s">
        <v>35</v>
      </c>
      <c r="F5998" s="0" t="n">
        <v>387.136</v>
      </c>
      <c r="G5998" s="0" t="n">
        <v>24.196</v>
      </c>
      <c r="H5998" s="0" t="n">
        <v>0.2</v>
      </c>
      <c r="I5998" s="7" t="n">
        <f aca="false">YEAR(B5998)</f>
        <v>2016</v>
      </c>
      <c r="J5998" s="0" t="str">
        <f aca="false">I5998&amp;"-Q"&amp;ROUNDUP(MONTH(B5998)/3,0)</f>
        <v>2016-Q4</v>
      </c>
    </row>
    <row r="5999" customFormat="false" ht="15" hidden="false" customHeight="false" outlineLevel="0" collapsed="false">
      <c r="A5999" s="0" t="s">
        <v>3067</v>
      </c>
      <c r="B5999" s="6" t="n">
        <v>42715</v>
      </c>
      <c r="C5999" s="7" t="s">
        <v>55</v>
      </c>
      <c r="D5999" s="7" t="s">
        <v>116</v>
      </c>
      <c r="E5999" s="7" t="s">
        <v>31</v>
      </c>
      <c r="F5999" s="0" t="n">
        <v>328.59</v>
      </c>
      <c r="G5999" s="0" t="n">
        <v>-147.8655</v>
      </c>
      <c r="H5999" s="0" t="n">
        <v>0.4</v>
      </c>
      <c r="I5999" s="7" t="n">
        <f aca="false">YEAR(B5999)</f>
        <v>2016</v>
      </c>
      <c r="J5999" s="0" t="str">
        <f aca="false">I5999&amp;"-Q"&amp;ROUNDUP(MONTH(B5999)/3,0)</f>
        <v>2016-Q4</v>
      </c>
    </row>
    <row r="6000" customFormat="false" ht="15" hidden="false" customHeight="false" outlineLevel="0" collapsed="false">
      <c r="A6000" s="0" t="s">
        <v>3068</v>
      </c>
      <c r="B6000" s="6" t="n">
        <v>41983</v>
      </c>
      <c r="C6000" s="7" t="s">
        <v>33</v>
      </c>
      <c r="D6000" s="7" t="s">
        <v>1599</v>
      </c>
      <c r="E6000" s="7" t="s">
        <v>31</v>
      </c>
      <c r="F6000" s="0" t="n">
        <v>338.352</v>
      </c>
      <c r="G6000" s="0" t="n">
        <v>4.2294</v>
      </c>
      <c r="H6000" s="0" t="n">
        <v>0.2</v>
      </c>
      <c r="I6000" s="7" t="n">
        <f aca="false">YEAR(B6000)</f>
        <v>2014</v>
      </c>
      <c r="J6000" s="0" t="str">
        <f aca="false">I6000&amp;"-Q"&amp;ROUNDUP(MONTH(B6000)/3,0)</f>
        <v>2014-Q4</v>
      </c>
    </row>
    <row r="6001" customFormat="false" ht="15" hidden="false" customHeight="false" outlineLevel="0" collapsed="false">
      <c r="A6001" s="0" t="s">
        <v>3068</v>
      </c>
      <c r="B6001" s="6" t="n">
        <v>41983</v>
      </c>
      <c r="C6001" s="7" t="s">
        <v>33</v>
      </c>
      <c r="D6001" s="7" t="s">
        <v>1599</v>
      </c>
      <c r="E6001" s="7" t="s">
        <v>35</v>
      </c>
      <c r="F6001" s="0" t="n">
        <v>25.92</v>
      </c>
      <c r="G6001" s="0" t="n">
        <v>12.4416</v>
      </c>
      <c r="H6001" s="0" t="n">
        <v>0</v>
      </c>
      <c r="I6001" s="7" t="n">
        <f aca="false">YEAR(B6001)</f>
        <v>2014</v>
      </c>
      <c r="J6001" s="0" t="str">
        <f aca="false">I6001&amp;"-Q"&amp;ROUNDUP(MONTH(B6001)/3,0)</f>
        <v>2014-Q4</v>
      </c>
    </row>
    <row r="6002" customFormat="false" ht="15" hidden="false" customHeight="false" outlineLevel="0" collapsed="false">
      <c r="A6002" s="0" t="s">
        <v>3068</v>
      </c>
      <c r="B6002" s="6" t="n">
        <v>41983</v>
      </c>
      <c r="C6002" s="7" t="s">
        <v>33</v>
      </c>
      <c r="D6002" s="7" t="s">
        <v>1599</v>
      </c>
      <c r="E6002" s="7" t="s">
        <v>35</v>
      </c>
      <c r="F6002" s="0" t="n">
        <v>91.36</v>
      </c>
      <c r="G6002" s="0" t="n">
        <v>42.0256</v>
      </c>
      <c r="H6002" s="0" t="n">
        <v>0</v>
      </c>
      <c r="I6002" s="7" t="n">
        <f aca="false">YEAR(B6002)</f>
        <v>2014</v>
      </c>
      <c r="J6002" s="0" t="str">
        <f aca="false">I6002&amp;"-Q"&amp;ROUNDUP(MONTH(B6002)/3,0)</f>
        <v>2014-Q4</v>
      </c>
    </row>
    <row r="6003" customFormat="false" ht="15" hidden="false" customHeight="false" outlineLevel="0" collapsed="false">
      <c r="A6003" s="0" t="s">
        <v>3069</v>
      </c>
      <c r="B6003" s="6" t="n">
        <v>41986</v>
      </c>
      <c r="C6003" s="7" t="s">
        <v>33</v>
      </c>
      <c r="D6003" s="7" t="s">
        <v>81</v>
      </c>
      <c r="E6003" s="7" t="s">
        <v>31</v>
      </c>
      <c r="F6003" s="0" t="n">
        <v>87.96</v>
      </c>
      <c r="G6003" s="0" t="n">
        <v>7.6965</v>
      </c>
      <c r="H6003" s="0" t="n">
        <v>0.2</v>
      </c>
      <c r="I6003" s="7" t="n">
        <f aca="false">YEAR(B6003)</f>
        <v>2014</v>
      </c>
      <c r="J6003" s="0" t="str">
        <f aca="false">I6003&amp;"-Q"&amp;ROUNDUP(MONTH(B6003)/3,0)</f>
        <v>2014-Q4</v>
      </c>
    </row>
    <row r="6004" customFormat="false" ht="15" hidden="false" customHeight="false" outlineLevel="0" collapsed="false">
      <c r="A6004" s="0" t="s">
        <v>3069</v>
      </c>
      <c r="B6004" s="6" t="n">
        <v>41986</v>
      </c>
      <c r="C6004" s="7" t="s">
        <v>33</v>
      </c>
      <c r="D6004" s="7" t="s">
        <v>81</v>
      </c>
      <c r="E6004" s="7" t="s">
        <v>35</v>
      </c>
      <c r="F6004" s="0" t="n">
        <v>5.214</v>
      </c>
      <c r="G6004" s="0" t="n">
        <v>-4.1712</v>
      </c>
      <c r="H6004" s="0" t="n">
        <v>0.7</v>
      </c>
      <c r="I6004" s="7" t="n">
        <f aca="false">YEAR(B6004)</f>
        <v>2014</v>
      </c>
      <c r="J6004" s="0" t="str">
        <f aca="false">I6004&amp;"-Q"&amp;ROUNDUP(MONTH(B6004)/3,0)</f>
        <v>2014-Q4</v>
      </c>
    </row>
    <row r="6005" customFormat="false" ht="15" hidden="false" customHeight="false" outlineLevel="0" collapsed="false">
      <c r="A6005" s="0" t="s">
        <v>3070</v>
      </c>
      <c r="B6005" s="6" t="n">
        <v>42999</v>
      </c>
      <c r="C6005" s="7" t="s">
        <v>29</v>
      </c>
      <c r="D6005" s="7" t="s">
        <v>37</v>
      </c>
      <c r="E6005" s="7" t="s">
        <v>35</v>
      </c>
      <c r="F6005" s="0" t="n">
        <v>12.294</v>
      </c>
      <c r="G6005" s="0" t="n">
        <v>-8.6058</v>
      </c>
      <c r="H6005" s="0" t="n">
        <v>0.7</v>
      </c>
      <c r="I6005" s="7" t="n">
        <f aca="false">YEAR(B6005)</f>
        <v>2017</v>
      </c>
      <c r="J6005" s="0" t="str">
        <f aca="false">I6005&amp;"-Q"&amp;ROUNDUP(MONTH(B6005)/3,0)</f>
        <v>2017-Q3</v>
      </c>
    </row>
    <row r="6006" customFormat="false" ht="15" hidden="false" customHeight="false" outlineLevel="0" collapsed="false">
      <c r="A6006" s="0" t="s">
        <v>3071</v>
      </c>
      <c r="B6006" s="6" t="n">
        <v>42985</v>
      </c>
      <c r="C6006" s="7" t="s">
        <v>33</v>
      </c>
      <c r="D6006" s="7" t="s">
        <v>34</v>
      </c>
      <c r="E6006" s="7" t="s">
        <v>31</v>
      </c>
      <c r="F6006" s="0" t="n">
        <v>19.76</v>
      </c>
      <c r="G6006" s="0" t="n">
        <v>8.2992</v>
      </c>
      <c r="H6006" s="0" t="n">
        <v>0</v>
      </c>
      <c r="I6006" s="7" t="n">
        <f aca="false">YEAR(B6006)</f>
        <v>2017</v>
      </c>
      <c r="J6006" s="0" t="str">
        <f aca="false">I6006&amp;"-Q"&amp;ROUNDUP(MONTH(B6006)/3,0)</f>
        <v>2017-Q3</v>
      </c>
    </row>
    <row r="6007" customFormat="false" ht="15" hidden="false" customHeight="false" outlineLevel="0" collapsed="false">
      <c r="A6007" s="0" t="s">
        <v>3072</v>
      </c>
      <c r="B6007" s="6" t="n">
        <v>42310</v>
      </c>
      <c r="C6007" s="7" t="s">
        <v>55</v>
      </c>
      <c r="D6007" s="7" t="s">
        <v>76</v>
      </c>
      <c r="E6007" s="7" t="s">
        <v>31</v>
      </c>
      <c r="F6007" s="0" t="n">
        <v>109.764</v>
      </c>
      <c r="G6007" s="0" t="n">
        <v>8.5372</v>
      </c>
      <c r="H6007" s="0" t="n">
        <v>0.1</v>
      </c>
      <c r="I6007" s="7" t="n">
        <f aca="false">YEAR(B6007)</f>
        <v>2015</v>
      </c>
      <c r="J6007" s="0" t="str">
        <f aca="false">I6007&amp;"-Q"&amp;ROUNDUP(MONTH(B6007)/3,0)</f>
        <v>2015-Q4</v>
      </c>
    </row>
    <row r="6008" customFormat="false" ht="15" hidden="false" customHeight="false" outlineLevel="0" collapsed="false">
      <c r="A6008" s="0" t="s">
        <v>3073</v>
      </c>
      <c r="B6008" s="6" t="n">
        <v>43080</v>
      </c>
      <c r="C6008" s="7" t="s">
        <v>55</v>
      </c>
      <c r="D6008" s="7" t="s">
        <v>225</v>
      </c>
      <c r="E6008" s="7" t="s">
        <v>39</v>
      </c>
      <c r="F6008" s="0" t="n">
        <v>128.85</v>
      </c>
      <c r="G6008" s="0" t="n">
        <v>3.8655</v>
      </c>
      <c r="H6008" s="0" t="n">
        <v>0</v>
      </c>
      <c r="I6008" s="7" t="n">
        <f aca="false">YEAR(B6008)</f>
        <v>2017</v>
      </c>
      <c r="J6008" s="0" t="str">
        <f aca="false">I6008&amp;"-Q"&amp;ROUNDUP(MONTH(B6008)/3,0)</f>
        <v>2017-Q4</v>
      </c>
    </row>
    <row r="6009" customFormat="false" ht="15" hidden="false" customHeight="false" outlineLevel="0" collapsed="false">
      <c r="A6009" s="0" t="s">
        <v>3074</v>
      </c>
      <c r="B6009" s="6" t="n">
        <v>42826</v>
      </c>
      <c r="C6009" s="7" t="s">
        <v>29</v>
      </c>
      <c r="D6009" s="7" t="s">
        <v>96</v>
      </c>
      <c r="E6009" s="7" t="s">
        <v>31</v>
      </c>
      <c r="F6009" s="0" t="n">
        <v>127.95</v>
      </c>
      <c r="G6009" s="0" t="n">
        <v>21.7515</v>
      </c>
      <c r="H6009" s="0" t="n">
        <v>0</v>
      </c>
      <c r="I6009" s="7" t="n">
        <f aca="false">YEAR(B6009)</f>
        <v>2017</v>
      </c>
      <c r="J6009" s="0" t="str">
        <f aca="false">I6009&amp;"-Q"&amp;ROUNDUP(MONTH(B6009)/3,0)</f>
        <v>2017-Q2</v>
      </c>
    </row>
    <row r="6010" customFormat="false" ht="15" hidden="false" customHeight="false" outlineLevel="0" collapsed="false">
      <c r="A6010" s="0" t="s">
        <v>3075</v>
      </c>
      <c r="B6010" s="6" t="n">
        <v>42368</v>
      </c>
      <c r="C6010" s="7" t="s">
        <v>33</v>
      </c>
      <c r="D6010" s="7" t="s">
        <v>34</v>
      </c>
      <c r="E6010" s="7" t="s">
        <v>35</v>
      </c>
      <c r="F6010" s="0" t="n">
        <v>68.52</v>
      </c>
      <c r="G6010" s="0" t="n">
        <v>31.5192</v>
      </c>
      <c r="H6010" s="0" t="n">
        <v>0</v>
      </c>
      <c r="I6010" s="7" t="n">
        <f aca="false">YEAR(B6010)</f>
        <v>2015</v>
      </c>
      <c r="J6010" s="0" t="str">
        <f aca="false">I6010&amp;"-Q"&amp;ROUNDUP(MONTH(B6010)/3,0)</f>
        <v>2015-Q4</v>
      </c>
    </row>
    <row r="6011" customFormat="false" ht="15" hidden="false" customHeight="false" outlineLevel="0" collapsed="false">
      <c r="A6011" s="0" t="s">
        <v>3075</v>
      </c>
      <c r="B6011" s="6" t="n">
        <v>42368</v>
      </c>
      <c r="C6011" s="7" t="s">
        <v>33</v>
      </c>
      <c r="D6011" s="7" t="s">
        <v>34</v>
      </c>
      <c r="E6011" s="7" t="s">
        <v>35</v>
      </c>
      <c r="F6011" s="0" t="n">
        <v>74.94</v>
      </c>
      <c r="G6011" s="0" t="n">
        <v>14.2386</v>
      </c>
      <c r="H6011" s="0" t="n">
        <v>0</v>
      </c>
      <c r="I6011" s="7" t="n">
        <f aca="false">YEAR(B6011)</f>
        <v>2015</v>
      </c>
      <c r="J6011" s="0" t="str">
        <f aca="false">I6011&amp;"-Q"&amp;ROUNDUP(MONTH(B6011)/3,0)</f>
        <v>2015-Q4</v>
      </c>
    </row>
    <row r="6012" customFormat="false" ht="15" hidden="false" customHeight="false" outlineLevel="0" collapsed="false">
      <c r="A6012" s="0" t="s">
        <v>3075</v>
      </c>
      <c r="B6012" s="6" t="n">
        <v>42368</v>
      </c>
      <c r="C6012" s="7" t="s">
        <v>33</v>
      </c>
      <c r="D6012" s="7" t="s">
        <v>34</v>
      </c>
      <c r="E6012" s="7" t="s">
        <v>39</v>
      </c>
      <c r="F6012" s="0" t="n">
        <v>2548.56</v>
      </c>
      <c r="G6012" s="0" t="n">
        <v>286.713</v>
      </c>
      <c r="H6012" s="0" t="n">
        <v>0.2</v>
      </c>
      <c r="I6012" s="7" t="n">
        <f aca="false">YEAR(B6012)</f>
        <v>2015</v>
      </c>
      <c r="J6012" s="0" t="str">
        <f aca="false">I6012&amp;"-Q"&amp;ROUNDUP(MONTH(B6012)/3,0)</f>
        <v>2015-Q4</v>
      </c>
    </row>
    <row r="6013" customFormat="false" ht="15" hidden="false" customHeight="false" outlineLevel="0" collapsed="false">
      <c r="A6013" s="0" t="s">
        <v>3075</v>
      </c>
      <c r="B6013" s="6" t="n">
        <v>42368</v>
      </c>
      <c r="C6013" s="7" t="s">
        <v>33</v>
      </c>
      <c r="D6013" s="7" t="s">
        <v>34</v>
      </c>
      <c r="E6013" s="7" t="s">
        <v>35</v>
      </c>
      <c r="F6013" s="0" t="n">
        <v>271.44</v>
      </c>
      <c r="G6013" s="0" t="n">
        <v>122.148</v>
      </c>
      <c r="H6013" s="0" t="n">
        <v>0</v>
      </c>
      <c r="I6013" s="7" t="n">
        <f aca="false">YEAR(B6013)</f>
        <v>2015</v>
      </c>
      <c r="J6013" s="0" t="str">
        <f aca="false">I6013&amp;"-Q"&amp;ROUNDUP(MONTH(B6013)/3,0)</f>
        <v>2015-Q4</v>
      </c>
    </row>
    <row r="6014" customFormat="false" ht="15" hidden="false" customHeight="false" outlineLevel="0" collapsed="false">
      <c r="A6014" s="0" t="s">
        <v>3075</v>
      </c>
      <c r="B6014" s="6" t="n">
        <v>42368</v>
      </c>
      <c r="C6014" s="7" t="s">
        <v>33</v>
      </c>
      <c r="D6014" s="7" t="s">
        <v>34</v>
      </c>
      <c r="E6014" s="7" t="s">
        <v>39</v>
      </c>
      <c r="F6014" s="0" t="n">
        <v>287.88</v>
      </c>
      <c r="G6014" s="0" t="n">
        <v>35.985</v>
      </c>
      <c r="H6014" s="0" t="n">
        <v>0.2</v>
      </c>
      <c r="I6014" s="7" t="n">
        <f aca="false">YEAR(B6014)</f>
        <v>2015</v>
      </c>
      <c r="J6014" s="0" t="str">
        <f aca="false">I6014&amp;"-Q"&amp;ROUNDUP(MONTH(B6014)/3,0)</f>
        <v>2015-Q4</v>
      </c>
    </row>
    <row r="6015" customFormat="false" ht="15" hidden="false" customHeight="false" outlineLevel="0" collapsed="false">
      <c r="A6015" s="0" t="s">
        <v>3076</v>
      </c>
      <c r="B6015" s="6" t="n">
        <v>42439</v>
      </c>
      <c r="C6015" s="7" t="s">
        <v>33</v>
      </c>
      <c r="D6015" s="7" t="s">
        <v>34</v>
      </c>
      <c r="E6015" s="7" t="s">
        <v>35</v>
      </c>
      <c r="F6015" s="0" t="n">
        <v>14.9</v>
      </c>
      <c r="G6015" s="0" t="n">
        <v>7.152</v>
      </c>
      <c r="H6015" s="0" t="n">
        <v>0</v>
      </c>
      <c r="I6015" s="7" t="n">
        <f aca="false">YEAR(B6015)</f>
        <v>2016</v>
      </c>
      <c r="J6015" s="0" t="str">
        <f aca="false">I6015&amp;"-Q"&amp;ROUNDUP(MONTH(B6015)/3,0)</f>
        <v>2016-Q1</v>
      </c>
    </row>
    <row r="6016" customFormat="false" ht="15" hidden="false" customHeight="false" outlineLevel="0" collapsed="false">
      <c r="A6016" s="0" t="s">
        <v>3076</v>
      </c>
      <c r="B6016" s="6" t="n">
        <v>42439</v>
      </c>
      <c r="C6016" s="7" t="s">
        <v>33</v>
      </c>
      <c r="D6016" s="7" t="s">
        <v>34</v>
      </c>
      <c r="E6016" s="7" t="s">
        <v>39</v>
      </c>
      <c r="F6016" s="0" t="n">
        <v>4158.912</v>
      </c>
      <c r="G6016" s="0" t="n">
        <v>363.9048</v>
      </c>
      <c r="H6016" s="0" t="n">
        <v>0.2</v>
      </c>
      <c r="I6016" s="7" t="n">
        <f aca="false">YEAR(B6016)</f>
        <v>2016</v>
      </c>
      <c r="J6016" s="0" t="str">
        <f aca="false">I6016&amp;"-Q"&amp;ROUNDUP(MONTH(B6016)/3,0)</f>
        <v>2016-Q1</v>
      </c>
    </row>
    <row r="6017" customFormat="false" ht="15" hidden="false" customHeight="false" outlineLevel="0" collapsed="false">
      <c r="A6017" s="0" t="s">
        <v>3077</v>
      </c>
      <c r="B6017" s="6" t="n">
        <v>41735</v>
      </c>
      <c r="C6017" s="7" t="s">
        <v>33</v>
      </c>
      <c r="D6017" s="7" t="s">
        <v>34</v>
      </c>
      <c r="E6017" s="7" t="s">
        <v>31</v>
      </c>
      <c r="F6017" s="0" t="n">
        <v>91.96</v>
      </c>
      <c r="G6017" s="0" t="n">
        <v>15.6332</v>
      </c>
      <c r="H6017" s="0" t="n">
        <v>0</v>
      </c>
      <c r="I6017" s="7" t="n">
        <f aca="false">YEAR(B6017)</f>
        <v>2014</v>
      </c>
      <c r="J6017" s="0" t="str">
        <f aca="false">I6017&amp;"-Q"&amp;ROUNDUP(MONTH(B6017)/3,0)</f>
        <v>2014-Q2</v>
      </c>
    </row>
    <row r="6018" customFormat="false" ht="15" hidden="false" customHeight="false" outlineLevel="0" collapsed="false">
      <c r="A6018" s="0" t="s">
        <v>3077</v>
      </c>
      <c r="B6018" s="6" t="n">
        <v>41735</v>
      </c>
      <c r="C6018" s="7" t="s">
        <v>33</v>
      </c>
      <c r="D6018" s="7" t="s">
        <v>34</v>
      </c>
      <c r="E6018" s="7" t="s">
        <v>31</v>
      </c>
      <c r="F6018" s="0" t="n">
        <v>33.11</v>
      </c>
      <c r="G6018" s="0" t="n">
        <v>12.9129</v>
      </c>
      <c r="H6018" s="0" t="n">
        <v>0</v>
      </c>
      <c r="I6018" s="7" t="n">
        <f aca="false">YEAR(B6018)</f>
        <v>2014</v>
      </c>
      <c r="J6018" s="0" t="str">
        <f aca="false">I6018&amp;"-Q"&amp;ROUNDUP(MONTH(B6018)/3,0)</f>
        <v>2014-Q2</v>
      </c>
    </row>
    <row r="6019" customFormat="false" ht="15" hidden="false" customHeight="false" outlineLevel="0" collapsed="false">
      <c r="A6019" s="0" t="s">
        <v>3077</v>
      </c>
      <c r="B6019" s="6" t="n">
        <v>41735</v>
      </c>
      <c r="C6019" s="7" t="s">
        <v>33</v>
      </c>
      <c r="D6019" s="7" t="s">
        <v>34</v>
      </c>
      <c r="E6019" s="7" t="s">
        <v>35</v>
      </c>
      <c r="F6019" s="0" t="n">
        <v>19.44</v>
      </c>
      <c r="G6019" s="0" t="n">
        <v>9.3312</v>
      </c>
      <c r="H6019" s="0" t="n">
        <v>0</v>
      </c>
      <c r="I6019" s="7" t="n">
        <f aca="false">YEAR(B6019)</f>
        <v>2014</v>
      </c>
      <c r="J6019" s="0" t="str">
        <f aca="false">I6019&amp;"-Q"&amp;ROUNDUP(MONTH(B6019)/3,0)</f>
        <v>2014-Q2</v>
      </c>
    </row>
    <row r="6020" customFormat="false" ht="15" hidden="false" customHeight="false" outlineLevel="0" collapsed="false">
      <c r="A6020" s="0" t="s">
        <v>3077</v>
      </c>
      <c r="B6020" s="6" t="n">
        <v>41735</v>
      </c>
      <c r="C6020" s="7" t="s">
        <v>33</v>
      </c>
      <c r="D6020" s="7" t="s">
        <v>34</v>
      </c>
      <c r="E6020" s="7" t="s">
        <v>35</v>
      </c>
      <c r="F6020" s="0" t="n">
        <v>55.48</v>
      </c>
      <c r="G6020" s="0" t="n">
        <v>26.6304</v>
      </c>
      <c r="H6020" s="0" t="n">
        <v>0</v>
      </c>
      <c r="I6020" s="7" t="n">
        <f aca="false">YEAR(B6020)</f>
        <v>2014</v>
      </c>
      <c r="J6020" s="0" t="str">
        <f aca="false">I6020&amp;"-Q"&amp;ROUNDUP(MONTH(B6020)/3,0)</f>
        <v>2014-Q2</v>
      </c>
    </row>
    <row r="6021" customFormat="false" ht="15" hidden="false" customHeight="false" outlineLevel="0" collapsed="false">
      <c r="A6021" s="0" t="s">
        <v>3078</v>
      </c>
      <c r="B6021" s="6" t="n">
        <v>41917</v>
      </c>
      <c r="C6021" s="7" t="s">
        <v>55</v>
      </c>
      <c r="D6021" s="7" t="s">
        <v>116</v>
      </c>
      <c r="E6021" s="7" t="s">
        <v>35</v>
      </c>
      <c r="F6021" s="0" t="n">
        <v>91.92</v>
      </c>
      <c r="G6021" s="0" t="n">
        <v>11.49</v>
      </c>
      <c r="H6021" s="0" t="n">
        <v>0.2</v>
      </c>
      <c r="I6021" s="7" t="n">
        <f aca="false">YEAR(B6021)</f>
        <v>2014</v>
      </c>
      <c r="J6021" s="0" t="str">
        <f aca="false">I6021&amp;"-Q"&amp;ROUNDUP(MONTH(B6021)/3,0)</f>
        <v>2014-Q4</v>
      </c>
    </row>
    <row r="6022" customFormat="false" ht="15" hidden="false" customHeight="false" outlineLevel="0" collapsed="false">
      <c r="A6022" s="0" t="s">
        <v>3079</v>
      </c>
      <c r="B6022" s="6" t="n">
        <v>42595</v>
      </c>
      <c r="C6022" s="7" t="s">
        <v>29</v>
      </c>
      <c r="D6022" s="7" t="s">
        <v>152</v>
      </c>
      <c r="E6022" s="7" t="s">
        <v>35</v>
      </c>
      <c r="F6022" s="0" t="n">
        <v>17.34</v>
      </c>
      <c r="G6022" s="0" t="n">
        <v>4.6818</v>
      </c>
      <c r="H6022" s="0" t="n">
        <v>0</v>
      </c>
      <c r="I6022" s="7" t="n">
        <f aca="false">YEAR(B6022)</f>
        <v>2016</v>
      </c>
      <c r="J6022" s="0" t="str">
        <f aca="false">I6022&amp;"-Q"&amp;ROUNDUP(MONTH(B6022)/3,0)</f>
        <v>2016-Q3</v>
      </c>
    </row>
    <row r="6023" customFormat="false" ht="15" hidden="false" customHeight="false" outlineLevel="0" collapsed="false">
      <c r="A6023" s="0" t="s">
        <v>3079</v>
      </c>
      <c r="B6023" s="6" t="n">
        <v>42595</v>
      </c>
      <c r="C6023" s="7" t="s">
        <v>29</v>
      </c>
      <c r="D6023" s="7" t="s">
        <v>152</v>
      </c>
      <c r="E6023" s="7" t="s">
        <v>39</v>
      </c>
      <c r="F6023" s="0" t="n">
        <v>71.98</v>
      </c>
      <c r="G6023" s="0" t="n">
        <v>15.1158</v>
      </c>
      <c r="H6023" s="0" t="n">
        <v>0</v>
      </c>
      <c r="I6023" s="7" t="n">
        <f aca="false">YEAR(B6023)</f>
        <v>2016</v>
      </c>
      <c r="J6023" s="0" t="str">
        <f aca="false">I6023&amp;"-Q"&amp;ROUNDUP(MONTH(B6023)/3,0)</f>
        <v>2016-Q3</v>
      </c>
    </row>
    <row r="6024" customFormat="false" ht="15" hidden="false" customHeight="false" outlineLevel="0" collapsed="false">
      <c r="A6024" s="0" t="s">
        <v>3080</v>
      </c>
      <c r="B6024" s="6" t="n">
        <v>41960</v>
      </c>
      <c r="C6024" s="7" t="s">
        <v>45</v>
      </c>
      <c r="D6024" s="7" t="s">
        <v>46</v>
      </c>
      <c r="E6024" s="7" t="s">
        <v>35</v>
      </c>
      <c r="F6024" s="0" t="n">
        <v>7.08</v>
      </c>
      <c r="G6024" s="0" t="n">
        <v>2.478</v>
      </c>
      <c r="H6024" s="0" t="n">
        <v>0.2</v>
      </c>
      <c r="I6024" s="7" t="n">
        <f aca="false">YEAR(B6024)</f>
        <v>2014</v>
      </c>
      <c r="J6024" s="0" t="str">
        <f aca="false">I6024&amp;"-Q"&amp;ROUNDUP(MONTH(B6024)/3,0)</f>
        <v>2014-Q4</v>
      </c>
    </row>
    <row r="6025" customFormat="false" ht="15" hidden="false" customHeight="false" outlineLevel="0" collapsed="false">
      <c r="A6025" s="0" t="s">
        <v>3081</v>
      </c>
      <c r="B6025" s="6" t="n">
        <v>42849</v>
      </c>
      <c r="C6025" s="7" t="s">
        <v>55</v>
      </c>
      <c r="D6025" s="7" t="s">
        <v>250</v>
      </c>
      <c r="E6025" s="7" t="s">
        <v>39</v>
      </c>
      <c r="F6025" s="0" t="n">
        <v>69.98</v>
      </c>
      <c r="G6025" s="0" t="n">
        <v>4.8986</v>
      </c>
      <c r="H6025" s="0" t="n">
        <v>0</v>
      </c>
      <c r="I6025" s="7" t="n">
        <f aca="false">YEAR(B6025)</f>
        <v>2017</v>
      </c>
      <c r="J6025" s="0" t="str">
        <f aca="false">I6025&amp;"-Q"&amp;ROUNDUP(MONTH(B6025)/3,0)</f>
        <v>2017-Q2</v>
      </c>
    </row>
    <row r="6026" customFormat="false" ht="15" hidden="false" customHeight="false" outlineLevel="0" collapsed="false">
      <c r="A6026" s="0" t="s">
        <v>3082</v>
      </c>
      <c r="B6026" s="6" t="n">
        <v>42971</v>
      </c>
      <c r="C6026" s="7" t="s">
        <v>55</v>
      </c>
      <c r="D6026" s="7" t="s">
        <v>116</v>
      </c>
      <c r="E6026" s="7" t="s">
        <v>35</v>
      </c>
      <c r="F6026" s="0" t="n">
        <v>646.272</v>
      </c>
      <c r="G6026" s="0" t="n">
        <v>64.6272</v>
      </c>
      <c r="H6026" s="0" t="n">
        <v>0.2</v>
      </c>
      <c r="I6026" s="7" t="n">
        <f aca="false">YEAR(B6026)</f>
        <v>2017</v>
      </c>
      <c r="J6026" s="0" t="str">
        <f aca="false">I6026&amp;"-Q"&amp;ROUNDUP(MONTH(B6026)/3,0)</f>
        <v>2017-Q3</v>
      </c>
    </row>
    <row r="6027" customFormat="false" ht="15" hidden="false" customHeight="false" outlineLevel="0" collapsed="false">
      <c r="A6027" s="0" t="s">
        <v>3082</v>
      </c>
      <c r="B6027" s="6" t="n">
        <v>42971</v>
      </c>
      <c r="C6027" s="7" t="s">
        <v>55</v>
      </c>
      <c r="D6027" s="7" t="s">
        <v>116</v>
      </c>
      <c r="E6027" s="7" t="s">
        <v>35</v>
      </c>
      <c r="F6027" s="0" t="n">
        <v>10.368</v>
      </c>
      <c r="G6027" s="0" t="n">
        <v>3.7584</v>
      </c>
      <c r="H6027" s="0" t="n">
        <v>0.2</v>
      </c>
      <c r="I6027" s="7" t="n">
        <f aca="false">YEAR(B6027)</f>
        <v>2017</v>
      </c>
      <c r="J6027" s="0" t="str">
        <f aca="false">I6027&amp;"-Q"&amp;ROUNDUP(MONTH(B6027)/3,0)</f>
        <v>2017-Q3</v>
      </c>
    </row>
    <row r="6028" customFormat="false" ht="15" hidden="false" customHeight="false" outlineLevel="0" collapsed="false">
      <c r="A6028" s="0" t="s">
        <v>3083</v>
      </c>
      <c r="B6028" s="6" t="n">
        <v>42789</v>
      </c>
      <c r="C6028" s="7" t="s">
        <v>33</v>
      </c>
      <c r="D6028" s="7" t="s">
        <v>43</v>
      </c>
      <c r="E6028" s="7" t="s">
        <v>35</v>
      </c>
      <c r="F6028" s="0" t="n">
        <v>8.4</v>
      </c>
      <c r="G6028" s="0" t="n">
        <v>0.336</v>
      </c>
      <c r="H6028" s="0" t="n">
        <v>0</v>
      </c>
      <c r="I6028" s="7" t="n">
        <f aca="false">YEAR(B6028)</f>
        <v>2017</v>
      </c>
      <c r="J6028" s="0" t="str">
        <f aca="false">I6028&amp;"-Q"&amp;ROUNDUP(MONTH(B6028)/3,0)</f>
        <v>2017-Q1</v>
      </c>
    </row>
    <row r="6029" customFormat="false" ht="15" hidden="false" customHeight="false" outlineLevel="0" collapsed="false">
      <c r="A6029" s="0" t="s">
        <v>3083</v>
      </c>
      <c r="B6029" s="6" t="n">
        <v>42789</v>
      </c>
      <c r="C6029" s="7" t="s">
        <v>33</v>
      </c>
      <c r="D6029" s="7" t="s">
        <v>43</v>
      </c>
      <c r="E6029" s="7" t="s">
        <v>39</v>
      </c>
      <c r="F6029" s="0" t="n">
        <v>71.96</v>
      </c>
      <c r="G6029" s="0" t="n">
        <v>25.186</v>
      </c>
      <c r="H6029" s="0" t="n">
        <v>0.2</v>
      </c>
      <c r="I6029" s="7" t="n">
        <f aca="false">YEAR(B6029)</f>
        <v>2017</v>
      </c>
      <c r="J6029" s="0" t="str">
        <f aca="false">I6029&amp;"-Q"&amp;ROUNDUP(MONTH(B6029)/3,0)</f>
        <v>2017-Q1</v>
      </c>
    </row>
    <row r="6030" customFormat="false" ht="15" hidden="false" customHeight="false" outlineLevel="0" collapsed="false">
      <c r="A6030" s="0" t="s">
        <v>3084</v>
      </c>
      <c r="B6030" s="6" t="n">
        <v>42693</v>
      </c>
      <c r="C6030" s="7" t="s">
        <v>29</v>
      </c>
      <c r="D6030" s="7" t="s">
        <v>41</v>
      </c>
      <c r="E6030" s="7" t="s">
        <v>35</v>
      </c>
      <c r="F6030" s="0" t="n">
        <v>18.48</v>
      </c>
      <c r="G6030" s="0" t="n">
        <v>6.006</v>
      </c>
      <c r="H6030" s="0" t="n">
        <v>0.2</v>
      </c>
      <c r="I6030" s="7" t="n">
        <f aca="false">YEAR(B6030)</f>
        <v>2016</v>
      </c>
      <c r="J6030" s="0" t="str">
        <f aca="false">I6030&amp;"-Q"&amp;ROUNDUP(MONTH(B6030)/3,0)</f>
        <v>2016-Q4</v>
      </c>
    </row>
    <row r="6031" customFormat="false" ht="15" hidden="false" customHeight="false" outlineLevel="0" collapsed="false">
      <c r="A6031" s="0" t="s">
        <v>3085</v>
      </c>
      <c r="B6031" s="6" t="n">
        <v>42688</v>
      </c>
      <c r="C6031" s="7" t="s">
        <v>33</v>
      </c>
      <c r="D6031" s="7" t="s">
        <v>34</v>
      </c>
      <c r="E6031" s="7" t="s">
        <v>35</v>
      </c>
      <c r="F6031" s="0" t="n">
        <v>9.84</v>
      </c>
      <c r="G6031" s="0" t="n">
        <v>2.8536</v>
      </c>
      <c r="H6031" s="0" t="n">
        <v>0</v>
      </c>
      <c r="I6031" s="7" t="n">
        <f aca="false">YEAR(B6031)</f>
        <v>2016</v>
      </c>
      <c r="J6031" s="0" t="str">
        <f aca="false">I6031&amp;"-Q"&amp;ROUNDUP(MONTH(B6031)/3,0)</f>
        <v>2016-Q4</v>
      </c>
    </row>
    <row r="6032" customFormat="false" ht="15" hidden="false" customHeight="false" outlineLevel="0" collapsed="false">
      <c r="A6032" s="0" t="s">
        <v>3086</v>
      </c>
      <c r="B6032" s="6" t="n">
        <v>42922</v>
      </c>
      <c r="C6032" s="7" t="s">
        <v>29</v>
      </c>
      <c r="D6032" s="7" t="s">
        <v>37</v>
      </c>
      <c r="E6032" s="7" t="s">
        <v>31</v>
      </c>
      <c r="F6032" s="0" t="n">
        <v>239.24</v>
      </c>
      <c r="G6032" s="0" t="n">
        <v>23.924</v>
      </c>
      <c r="H6032" s="0" t="n">
        <v>0.2</v>
      </c>
      <c r="I6032" s="7" t="n">
        <f aca="false">YEAR(B6032)</f>
        <v>2017</v>
      </c>
      <c r="J6032" s="0" t="str">
        <f aca="false">I6032&amp;"-Q"&amp;ROUNDUP(MONTH(B6032)/3,0)</f>
        <v>2017-Q3</v>
      </c>
    </row>
    <row r="6033" customFormat="false" ht="15" hidden="false" customHeight="false" outlineLevel="0" collapsed="false">
      <c r="A6033" s="0" t="s">
        <v>3087</v>
      </c>
      <c r="B6033" s="6" t="n">
        <v>42729</v>
      </c>
      <c r="C6033" s="7" t="s">
        <v>55</v>
      </c>
      <c r="D6033" s="7" t="s">
        <v>482</v>
      </c>
      <c r="E6033" s="7" t="s">
        <v>31</v>
      </c>
      <c r="F6033" s="0" t="n">
        <v>21.12</v>
      </c>
      <c r="G6033" s="0" t="n">
        <v>6.5472</v>
      </c>
      <c r="H6033" s="0" t="n">
        <v>0</v>
      </c>
      <c r="I6033" s="7" t="n">
        <f aca="false">YEAR(B6033)</f>
        <v>2016</v>
      </c>
      <c r="J6033" s="0" t="str">
        <f aca="false">I6033&amp;"-Q"&amp;ROUNDUP(MONTH(B6033)/3,0)</f>
        <v>2016-Q4</v>
      </c>
    </row>
    <row r="6034" customFormat="false" ht="15" hidden="false" customHeight="false" outlineLevel="0" collapsed="false">
      <c r="A6034" s="0" t="s">
        <v>3088</v>
      </c>
      <c r="B6034" s="6" t="n">
        <v>42848</v>
      </c>
      <c r="C6034" s="7" t="s">
        <v>55</v>
      </c>
      <c r="D6034" s="7" t="s">
        <v>76</v>
      </c>
      <c r="E6034" s="7" t="s">
        <v>35</v>
      </c>
      <c r="F6034" s="0" t="n">
        <v>54.9</v>
      </c>
      <c r="G6034" s="0" t="n">
        <v>15.372</v>
      </c>
      <c r="H6034" s="0" t="n">
        <v>0</v>
      </c>
      <c r="I6034" s="7" t="n">
        <f aca="false">YEAR(B6034)</f>
        <v>2017</v>
      </c>
      <c r="J6034" s="0" t="str">
        <f aca="false">I6034&amp;"-Q"&amp;ROUNDUP(MONTH(B6034)/3,0)</f>
        <v>2017-Q2</v>
      </c>
    </row>
    <row r="6035" customFormat="false" ht="15" hidden="false" customHeight="false" outlineLevel="0" collapsed="false">
      <c r="A6035" s="0" t="s">
        <v>3089</v>
      </c>
      <c r="B6035" s="6" t="n">
        <v>42352</v>
      </c>
      <c r="C6035" s="7" t="s">
        <v>33</v>
      </c>
      <c r="D6035" s="7" t="s">
        <v>34</v>
      </c>
      <c r="E6035" s="7" t="s">
        <v>31</v>
      </c>
      <c r="F6035" s="0" t="n">
        <v>15.24</v>
      </c>
      <c r="G6035" s="0" t="n">
        <v>5.1816</v>
      </c>
      <c r="H6035" s="0" t="n">
        <v>0</v>
      </c>
      <c r="I6035" s="7" t="n">
        <f aca="false">YEAR(B6035)</f>
        <v>2015</v>
      </c>
      <c r="J6035" s="0" t="str">
        <f aca="false">I6035&amp;"-Q"&amp;ROUNDUP(MONTH(B6035)/3,0)</f>
        <v>2015-Q4</v>
      </c>
    </row>
    <row r="6036" customFormat="false" ht="15" hidden="false" customHeight="false" outlineLevel="0" collapsed="false">
      <c r="A6036" s="0" t="s">
        <v>3090</v>
      </c>
      <c r="B6036" s="6" t="n">
        <v>42113</v>
      </c>
      <c r="C6036" s="7" t="s">
        <v>45</v>
      </c>
      <c r="D6036" s="7" t="s">
        <v>46</v>
      </c>
      <c r="E6036" s="7" t="s">
        <v>35</v>
      </c>
      <c r="F6036" s="0" t="n">
        <v>19.568</v>
      </c>
      <c r="G6036" s="0" t="n">
        <v>-52.8336</v>
      </c>
      <c r="H6036" s="0" t="n">
        <v>0.8</v>
      </c>
      <c r="I6036" s="7" t="n">
        <f aca="false">YEAR(B6036)</f>
        <v>2015</v>
      </c>
      <c r="J6036" s="0" t="str">
        <f aca="false">I6036&amp;"-Q"&amp;ROUNDUP(MONTH(B6036)/3,0)</f>
        <v>2015-Q2</v>
      </c>
    </row>
    <row r="6037" customFormat="false" ht="15" hidden="false" customHeight="false" outlineLevel="0" collapsed="false">
      <c r="A6037" s="0" t="s">
        <v>3090</v>
      </c>
      <c r="B6037" s="6" t="n">
        <v>42113</v>
      </c>
      <c r="C6037" s="7" t="s">
        <v>45</v>
      </c>
      <c r="D6037" s="7" t="s">
        <v>46</v>
      </c>
      <c r="E6037" s="7" t="s">
        <v>35</v>
      </c>
      <c r="F6037" s="0" t="n">
        <v>310.392</v>
      </c>
      <c r="G6037" s="0" t="n">
        <v>-512.1468</v>
      </c>
      <c r="H6037" s="0" t="n">
        <v>0.8</v>
      </c>
      <c r="I6037" s="7" t="n">
        <f aca="false">YEAR(B6037)</f>
        <v>2015</v>
      </c>
      <c r="J6037" s="0" t="str">
        <f aca="false">I6037&amp;"-Q"&amp;ROUNDUP(MONTH(B6037)/3,0)</f>
        <v>2015-Q2</v>
      </c>
    </row>
    <row r="6038" customFormat="false" ht="15" hidden="false" customHeight="false" outlineLevel="0" collapsed="false">
      <c r="A6038" s="0" t="s">
        <v>3091</v>
      </c>
      <c r="B6038" s="6" t="n">
        <v>42617</v>
      </c>
      <c r="C6038" s="7" t="s">
        <v>29</v>
      </c>
      <c r="D6038" s="7" t="s">
        <v>30</v>
      </c>
      <c r="E6038" s="7" t="s">
        <v>31</v>
      </c>
      <c r="F6038" s="0" t="n">
        <v>42.6</v>
      </c>
      <c r="G6038" s="0" t="n">
        <v>16.614</v>
      </c>
      <c r="H6038" s="0" t="n">
        <v>0</v>
      </c>
      <c r="I6038" s="7" t="n">
        <f aca="false">YEAR(B6038)</f>
        <v>2016</v>
      </c>
      <c r="J6038" s="0" t="str">
        <f aca="false">I6038&amp;"-Q"&amp;ROUNDUP(MONTH(B6038)/3,0)</f>
        <v>2016-Q3</v>
      </c>
    </row>
    <row r="6039" customFormat="false" ht="15" hidden="false" customHeight="false" outlineLevel="0" collapsed="false">
      <c r="A6039" s="0" t="s">
        <v>3091</v>
      </c>
      <c r="B6039" s="6" t="n">
        <v>42617</v>
      </c>
      <c r="C6039" s="7" t="s">
        <v>29</v>
      </c>
      <c r="D6039" s="7" t="s">
        <v>30</v>
      </c>
      <c r="E6039" s="7" t="s">
        <v>35</v>
      </c>
      <c r="F6039" s="0" t="n">
        <v>113.94</v>
      </c>
      <c r="G6039" s="0" t="n">
        <v>54.6912</v>
      </c>
      <c r="H6039" s="0" t="n">
        <v>0</v>
      </c>
      <c r="I6039" s="7" t="n">
        <f aca="false">YEAR(B6039)</f>
        <v>2016</v>
      </c>
      <c r="J6039" s="0" t="str">
        <f aca="false">I6039&amp;"-Q"&amp;ROUNDUP(MONTH(B6039)/3,0)</f>
        <v>2016-Q3</v>
      </c>
    </row>
    <row r="6040" customFormat="false" ht="15" hidden="false" customHeight="false" outlineLevel="0" collapsed="false">
      <c r="A6040" s="0" t="s">
        <v>3091</v>
      </c>
      <c r="B6040" s="6" t="n">
        <v>42617</v>
      </c>
      <c r="C6040" s="7" t="s">
        <v>29</v>
      </c>
      <c r="D6040" s="7" t="s">
        <v>30</v>
      </c>
      <c r="E6040" s="7" t="s">
        <v>35</v>
      </c>
      <c r="F6040" s="0" t="n">
        <v>129.92</v>
      </c>
      <c r="G6040" s="0" t="n">
        <v>5.1968</v>
      </c>
      <c r="H6040" s="0" t="n">
        <v>0</v>
      </c>
      <c r="I6040" s="7" t="n">
        <f aca="false">YEAR(B6040)</f>
        <v>2016</v>
      </c>
      <c r="J6040" s="0" t="str">
        <f aca="false">I6040&amp;"-Q"&amp;ROUNDUP(MONTH(B6040)/3,0)</f>
        <v>2016-Q3</v>
      </c>
    </row>
    <row r="6041" customFormat="false" ht="15" hidden="false" customHeight="false" outlineLevel="0" collapsed="false">
      <c r="A6041" s="0" t="s">
        <v>3091</v>
      </c>
      <c r="B6041" s="6" t="n">
        <v>42617</v>
      </c>
      <c r="C6041" s="7" t="s">
        <v>29</v>
      </c>
      <c r="D6041" s="7" t="s">
        <v>30</v>
      </c>
      <c r="E6041" s="7" t="s">
        <v>35</v>
      </c>
      <c r="F6041" s="0" t="n">
        <v>5.28</v>
      </c>
      <c r="G6041" s="0" t="n">
        <v>2.5344</v>
      </c>
      <c r="H6041" s="0" t="n">
        <v>0</v>
      </c>
      <c r="I6041" s="7" t="n">
        <f aca="false">YEAR(B6041)</f>
        <v>2016</v>
      </c>
      <c r="J6041" s="0" t="str">
        <f aca="false">I6041&amp;"-Q"&amp;ROUNDUP(MONTH(B6041)/3,0)</f>
        <v>2016-Q3</v>
      </c>
    </row>
    <row r="6042" customFormat="false" ht="15" hidden="false" customHeight="false" outlineLevel="0" collapsed="false">
      <c r="A6042" s="0" t="s">
        <v>3092</v>
      </c>
      <c r="B6042" s="6" t="n">
        <v>43002</v>
      </c>
      <c r="C6042" s="7" t="s">
        <v>33</v>
      </c>
      <c r="D6042" s="7" t="s">
        <v>34</v>
      </c>
      <c r="E6042" s="7" t="s">
        <v>39</v>
      </c>
      <c r="F6042" s="0" t="n">
        <v>859.2</v>
      </c>
      <c r="G6042" s="0" t="n">
        <v>75.18</v>
      </c>
      <c r="H6042" s="0" t="n">
        <v>0.2</v>
      </c>
      <c r="I6042" s="7" t="n">
        <f aca="false">YEAR(B6042)</f>
        <v>2017</v>
      </c>
      <c r="J6042" s="0" t="str">
        <f aca="false">I6042&amp;"-Q"&amp;ROUNDUP(MONTH(B6042)/3,0)</f>
        <v>2017-Q3</v>
      </c>
    </row>
    <row r="6043" customFormat="false" ht="15" hidden="false" customHeight="false" outlineLevel="0" collapsed="false">
      <c r="A6043" s="0" t="s">
        <v>3092</v>
      </c>
      <c r="B6043" s="6" t="n">
        <v>43002</v>
      </c>
      <c r="C6043" s="7" t="s">
        <v>33</v>
      </c>
      <c r="D6043" s="7" t="s">
        <v>34</v>
      </c>
      <c r="E6043" s="7" t="s">
        <v>39</v>
      </c>
      <c r="F6043" s="0" t="n">
        <v>506.28</v>
      </c>
      <c r="G6043" s="0" t="n">
        <v>177.198</v>
      </c>
      <c r="H6043" s="0" t="n">
        <v>0.2</v>
      </c>
      <c r="I6043" s="7" t="n">
        <f aca="false">YEAR(B6043)</f>
        <v>2017</v>
      </c>
      <c r="J6043" s="0" t="str">
        <f aca="false">I6043&amp;"-Q"&amp;ROUNDUP(MONTH(B6043)/3,0)</f>
        <v>2017-Q3</v>
      </c>
    </row>
    <row r="6044" customFormat="false" ht="15" hidden="false" customHeight="false" outlineLevel="0" collapsed="false">
      <c r="A6044" s="0" t="s">
        <v>3093</v>
      </c>
      <c r="B6044" s="6" t="n">
        <v>42404</v>
      </c>
      <c r="C6044" s="7" t="s">
        <v>33</v>
      </c>
      <c r="D6044" s="7" t="s">
        <v>81</v>
      </c>
      <c r="E6044" s="7" t="s">
        <v>31</v>
      </c>
      <c r="F6044" s="0" t="n">
        <v>14.368</v>
      </c>
      <c r="G6044" s="0" t="n">
        <v>3.9512</v>
      </c>
      <c r="H6044" s="0" t="n">
        <v>0.2</v>
      </c>
      <c r="I6044" s="7" t="n">
        <f aca="false">YEAR(B6044)</f>
        <v>2016</v>
      </c>
      <c r="J6044" s="0" t="str">
        <f aca="false">I6044&amp;"-Q"&amp;ROUNDUP(MONTH(B6044)/3,0)</f>
        <v>2016-Q1</v>
      </c>
    </row>
    <row r="6045" customFormat="false" ht="15" hidden="false" customHeight="false" outlineLevel="0" collapsed="false">
      <c r="A6045" s="0" t="s">
        <v>3094</v>
      </c>
      <c r="B6045" s="6" t="n">
        <v>42874</v>
      </c>
      <c r="C6045" s="7" t="s">
        <v>29</v>
      </c>
      <c r="D6045" s="7" t="s">
        <v>87</v>
      </c>
      <c r="E6045" s="7" t="s">
        <v>31</v>
      </c>
      <c r="F6045" s="0" t="n">
        <v>314.352</v>
      </c>
      <c r="G6045" s="0" t="n">
        <v>-35.3646</v>
      </c>
      <c r="H6045" s="0" t="n">
        <v>0.2</v>
      </c>
      <c r="I6045" s="7" t="n">
        <f aca="false">YEAR(B6045)</f>
        <v>2017</v>
      </c>
      <c r="J6045" s="0" t="str">
        <f aca="false">I6045&amp;"-Q"&amp;ROUNDUP(MONTH(B6045)/3,0)</f>
        <v>2017-Q2</v>
      </c>
    </row>
    <row r="6046" customFormat="false" ht="15" hidden="false" customHeight="false" outlineLevel="0" collapsed="false">
      <c r="A6046" s="0" t="s">
        <v>3094</v>
      </c>
      <c r="B6046" s="6" t="n">
        <v>42874</v>
      </c>
      <c r="C6046" s="7" t="s">
        <v>29</v>
      </c>
      <c r="D6046" s="7" t="s">
        <v>87</v>
      </c>
      <c r="E6046" s="7" t="s">
        <v>35</v>
      </c>
      <c r="F6046" s="0" t="n">
        <v>27.888</v>
      </c>
      <c r="G6046" s="0" t="n">
        <v>10.1094</v>
      </c>
      <c r="H6046" s="0" t="n">
        <v>0.2</v>
      </c>
      <c r="I6046" s="7" t="n">
        <f aca="false">YEAR(B6046)</f>
        <v>2017</v>
      </c>
      <c r="J6046" s="0" t="str">
        <f aca="false">I6046&amp;"-Q"&amp;ROUNDUP(MONTH(B6046)/3,0)</f>
        <v>2017-Q2</v>
      </c>
    </row>
    <row r="6047" customFormat="false" ht="15" hidden="false" customHeight="false" outlineLevel="0" collapsed="false">
      <c r="A6047" s="0" t="s">
        <v>3095</v>
      </c>
      <c r="B6047" s="6" t="n">
        <v>42250</v>
      </c>
      <c r="C6047" s="7" t="s">
        <v>33</v>
      </c>
      <c r="D6047" s="7" t="s">
        <v>81</v>
      </c>
      <c r="E6047" s="7" t="s">
        <v>31</v>
      </c>
      <c r="F6047" s="0" t="n">
        <v>238.152</v>
      </c>
      <c r="G6047" s="0" t="n">
        <v>89.307</v>
      </c>
      <c r="H6047" s="0" t="n">
        <v>0.2</v>
      </c>
      <c r="I6047" s="7" t="n">
        <f aca="false">YEAR(B6047)</f>
        <v>2015</v>
      </c>
      <c r="J6047" s="0" t="str">
        <f aca="false">I6047&amp;"-Q"&amp;ROUNDUP(MONTH(B6047)/3,0)</f>
        <v>2015-Q3</v>
      </c>
    </row>
    <row r="6048" customFormat="false" ht="15" hidden="false" customHeight="false" outlineLevel="0" collapsed="false">
      <c r="A6048" s="0" t="s">
        <v>3096</v>
      </c>
      <c r="B6048" s="6" t="n">
        <v>42530</v>
      </c>
      <c r="C6048" s="7" t="s">
        <v>45</v>
      </c>
      <c r="D6048" s="7" t="s">
        <v>68</v>
      </c>
      <c r="E6048" s="7" t="s">
        <v>31</v>
      </c>
      <c r="F6048" s="0" t="n">
        <v>692.94</v>
      </c>
      <c r="G6048" s="0" t="n">
        <v>173.235</v>
      </c>
      <c r="H6048" s="0" t="n">
        <v>0</v>
      </c>
      <c r="I6048" s="7" t="n">
        <f aca="false">YEAR(B6048)</f>
        <v>2016</v>
      </c>
      <c r="J6048" s="0" t="str">
        <f aca="false">I6048&amp;"-Q"&amp;ROUNDUP(MONTH(B6048)/3,0)</f>
        <v>2016-Q2</v>
      </c>
    </row>
    <row r="6049" customFormat="false" ht="15" hidden="false" customHeight="false" outlineLevel="0" collapsed="false">
      <c r="A6049" s="0" t="s">
        <v>3097</v>
      </c>
      <c r="B6049" s="6" t="n">
        <v>42315</v>
      </c>
      <c r="C6049" s="7" t="s">
        <v>29</v>
      </c>
      <c r="D6049" s="7" t="s">
        <v>37</v>
      </c>
      <c r="E6049" s="7" t="s">
        <v>35</v>
      </c>
      <c r="F6049" s="0" t="n">
        <v>16.146</v>
      </c>
      <c r="G6049" s="0" t="n">
        <v>-12.9168</v>
      </c>
      <c r="H6049" s="0" t="n">
        <v>0.7</v>
      </c>
      <c r="I6049" s="7" t="n">
        <f aca="false">YEAR(B6049)</f>
        <v>2015</v>
      </c>
      <c r="J6049" s="0" t="str">
        <f aca="false">I6049&amp;"-Q"&amp;ROUNDUP(MONTH(B6049)/3,0)</f>
        <v>2015-Q4</v>
      </c>
    </row>
    <row r="6050" customFormat="false" ht="15" hidden="false" customHeight="false" outlineLevel="0" collapsed="false">
      <c r="A6050" s="0" t="s">
        <v>3097</v>
      </c>
      <c r="B6050" s="6" t="n">
        <v>42315</v>
      </c>
      <c r="C6050" s="7" t="s">
        <v>29</v>
      </c>
      <c r="D6050" s="7" t="s">
        <v>37</v>
      </c>
      <c r="E6050" s="7" t="s">
        <v>35</v>
      </c>
      <c r="F6050" s="0" t="n">
        <v>1345.485</v>
      </c>
      <c r="G6050" s="0" t="n">
        <v>-1031.5385</v>
      </c>
      <c r="H6050" s="0" t="n">
        <v>0.7</v>
      </c>
      <c r="I6050" s="7" t="n">
        <f aca="false">YEAR(B6050)</f>
        <v>2015</v>
      </c>
      <c r="J6050" s="0" t="str">
        <f aca="false">I6050&amp;"-Q"&amp;ROUNDUP(MONTH(B6050)/3,0)</f>
        <v>2015-Q4</v>
      </c>
    </row>
    <row r="6051" customFormat="false" ht="15" hidden="false" customHeight="false" outlineLevel="0" collapsed="false">
      <c r="A6051" s="0" t="s">
        <v>3098</v>
      </c>
      <c r="B6051" s="6" t="n">
        <v>42536</v>
      </c>
      <c r="C6051" s="7" t="s">
        <v>45</v>
      </c>
      <c r="D6051" s="7" t="s">
        <v>46</v>
      </c>
      <c r="E6051" s="7" t="s">
        <v>35</v>
      </c>
      <c r="F6051" s="0" t="n">
        <v>173.488</v>
      </c>
      <c r="G6051" s="0" t="n">
        <v>54.215</v>
      </c>
      <c r="H6051" s="0" t="n">
        <v>0.2</v>
      </c>
      <c r="I6051" s="7" t="n">
        <f aca="false">YEAR(B6051)</f>
        <v>2016</v>
      </c>
      <c r="J6051" s="0" t="str">
        <f aca="false">I6051&amp;"-Q"&amp;ROUNDUP(MONTH(B6051)/3,0)</f>
        <v>2016-Q2</v>
      </c>
    </row>
    <row r="6052" customFormat="false" ht="15" hidden="false" customHeight="false" outlineLevel="0" collapsed="false">
      <c r="A6052" s="0" t="s">
        <v>3099</v>
      </c>
      <c r="B6052" s="6" t="n">
        <v>42119</v>
      </c>
      <c r="C6052" s="7" t="s">
        <v>45</v>
      </c>
      <c r="D6052" s="7" t="s">
        <v>48</v>
      </c>
      <c r="E6052" s="7" t="s">
        <v>35</v>
      </c>
      <c r="F6052" s="0" t="n">
        <v>57.75</v>
      </c>
      <c r="G6052" s="0" t="n">
        <v>16.17</v>
      </c>
      <c r="H6052" s="0" t="n">
        <v>0</v>
      </c>
      <c r="I6052" s="7" t="n">
        <f aca="false">YEAR(B6052)</f>
        <v>2015</v>
      </c>
      <c r="J6052" s="0" t="str">
        <f aca="false">I6052&amp;"-Q"&amp;ROUNDUP(MONTH(B6052)/3,0)</f>
        <v>2015-Q2</v>
      </c>
    </row>
    <row r="6053" customFormat="false" ht="15" hidden="false" customHeight="false" outlineLevel="0" collapsed="false">
      <c r="A6053" s="0" t="s">
        <v>3099</v>
      </c>
      <c r="B6053" s="6" t="n">
        <v>42119</v>
      </c>
      <c r="C6053" s="7" t="s">
        <v>45</v>
      </c>
      <c r="D6053" s="7" t="s">
        <v>48</v>
      </c>
      <c r="E6053" s="7" t="s">
        <v>35</v>
      </c>
      <c r="F6053" s="0" t="n">
        <v>272.4</v>
      </c>
      <c r="G6053" s="0" t="n">
        <v>76.272</v>
      </c>
      <c r="H6053" s="0" t="n">
        <v>0</v>
      </c>
      <c r="I6053" s="7" t="n">
        <f aca="false">YEAR(B6053)</f>
        <v>2015</v>
      </c>
      <c r="J6053" s="0" t="str">
        <f aca="false">I6053&amp;"-Q"&amp;ROUNDUP(MONTH(B6053)/3,0)</f>
        <v>2015-Q2</v>
      </c>
    </row>
    <row r="6054" customFormat="false" ht="15" hidden="false" customHeight="false" outlineLevel="0" collapsed="false">
      <c r="A6054" s="0" t="s">
        <v>3100</v>
      </c>
      <c r="B6054" s="6" t="n">
        <v>42636</v>
      </c>
      <c r="C6054" s="7" t="s">
        <v>55</v>
      </c>
      <c r="D6054" s="7" t="s">
        <v>116</v>
      </c>
      <c r="E6054" s="7" t="s">
        <v>35</v>
      </c>
      <c r="F6054" s="0" t="n">
        <v>11.952</v>
      </c>
      <c r="G6054" s="0" t="n">
        <v>4.0338</v>
      </c>
      <c r="H6054" s="0" t="n">
        <v>0.2</v>
      </c>
      <c r="I6054" s="7" t="n">
        <f aca="false">YEAR(B6054)</f>
        <v>2016</v>
      </c>
      <c r="J6054" s="0" t="str">
        <f aca="false">I6054&amp;"-Q"&amp;ROUNDUP(MONTH(B6054)/3,0)</f>
        <v>2016-Q3</v>
      </c>
    </row>
    <row r="6055" customFormat="false" ht="15" hidden="false" customHeight="false" outlineLevel="0" collapsed="false">
      <c r="A6055" s="0" t="s">
        <v>3100</v>
      </c>
      <c r="B6055" s="6" t="n">
        <v>42636</v>
      </c>
      <c r="C6055" s="7" t="s">
        <v>55</v>
      </c>
      <c r="D6055" s="7" t="s">
        <v>116</v>
      </c>
      <c r="E6055" s="7" t="s">
        <v>31</v>
      </c>
      <c r="F6055" s="0" t="n">
        <v>28</v>
      </c>
      <c r="G6055" s="0" t="n">
        <v>7.7</v>
      </c>
      <c r="H6055" s="0" t="n">
        <v>0.2</v>
      </c>
      <c r="I6055" s="7" t="n">
        <f aca="false">YEAR(B6055)</f>
        <v>2016</v>
      </c>
      <c r="J6055" s="0" t="str">
        <f aca="false">I6055&amp;"-Q"&amp;ROUNDUP(MONTH(B6055)/3,0)</f>
        <v>2016-Q3</v>
      </c>
    </row>
    <row r="6056" customFormat="false" ht="15" hidden="false" customHeight="false" outlineLevel="0" collapsed="false">
      <c r="A6056" s="0" t="s">
        <v>3100</v>
      </c>
      <c r="B6056" s="6" t="n">
        <v>42636</v>
      </c>
      <c r="C6056" s="7" t="s">
        <v>55</v>
      </c>
      <c r="D6056" s="7" t="s">
        <v>116</v>
      </c>
      <c r="E6056" s="7" t="s">
        <v>35</v>
      </c>
      <c r="F6056" s="0" t="n">
        <v>12.201</v>
      </c>
      <c r="G6056" s="0" t="n">
        <v>-9.7608</v>
      </c>
      <c r="H6056" s="0" t="n">
        <v>0.7</v>
      </c>
      <c r="I6056" s="7" t="n">
        <f aca="false">YEAR(B6056)</f>
        <v>2016</v>
      </c>
      <c r="J6056" s="0" t="str">
        <f aca="false">I6056&amp;"-Q"&amp;ROUNDUP(MONTH(B6056)/3,0)</f>
        <v>2016-Q3</v>
      </c>
    </row>
    <row r="6057" customFormat="false" ht="15" hidden="false" customHeight="false" outlineLevel="0" collapsed="false">
      <c r="A6057" s="0" t="s">
        <v>3101</v>
      </c>
      <c r="B6057" s="6" t="n">
        <v>42600</v>
      </c>
      <c r="C6057" s="7" t="s">
        <v>45</v>
      </c>
      <c r="D6057" s="7" t="s">
        <v>46</v>
      </c>
      <c r="E6057" s="7" t="s">
        <v>35</v>
      </c>
      <c r="F6057" s="0" t="n">
        <v>2.068</v>
      </c>
      <c r="G6057" s="0" t="n">
        <v>-3.4122</v>
      </c>
      <c r="H6057" s="0" t="n">
        <v>0.8</v>
      </c>
      <c r="I6057" s="7" t="n">
        <f aca="false">YEAR(B6057)</f>
        <v>2016</v>
      </c>
      <c r="J6057" s="0" t="str">
        <f aca="false">I6057&amp;"-Q"&amp;ROUNDUP(MONTH(B6057)/3,0)</f>
        <v>2016-Q3</v>
      </c>
    </row>
    <row r="6058" customFormat="false" ht="15" hidden="false" customHeight="false" outlineLevel="0" collapsed="false">
      <c r="A6058" s="0" t="s">
        <v>3101</v>
      </c>
      <c r="B6058" s="6" t="n">
        <v>42600</v>
      </c>
      <c r="C6058" s="7" t="s">
        <v>45</v>
      </c>
      <c r="D6058" s="7" t="s">
        <v>46</v>
      </c>
      <c r="E6058" s="7" t="s">
        <v>35</v>
      </c>
      <c r="F6058" s="0" t="n">
        <v>83.84</v>
      </c>
      <c r="G6058" s="0" t="n">
        <v>30.392</v>
      </c>
      <c r="H6058" s="0" t="n">
        <v>0.2</v>
      </c>
      <c r="I6058" s="7" t="n">
        <f aca="false">YEAR(B6058)</f>
        <v>2016</v>
      </c>
      <c r="J6058" s="0" t="str">
        <f aca="false">I6058&amp;"-Q"&amp;ROUNDUP(MONTH(B6058)/3,0)</f>
        <v>2016-Q3</v>
      </c>
    </row>
    <row r="6059" customFormat="false" ht="15" hidden="false" customHeight="false" outlineLevel="0" collapsed="false">
      <c r="A6059" s="0" t="s">
        <v>3102</v>
      </c>
      <c r="B6059" s="6" t="n">
        <v>41700</v>
      </c>
      <c r="C6059" s="7" t="s">
        <v>55</v>
      </c>
      <c r="D6059" s="7" t="s">
        <v>76</v>
      </c>
      <c r="E6059" s="7" t="s">
        <v>35</v>
      </c>
      <c r="F6059" s="0" t="n">
        <v>11.36</v>
      </c>
      <c r="G6059" s="0" t="n">
        <v>5.3392</v>
      </c>
      <c r="H6059" s="0" t="n">
        <v>0</v>
      </c>
      <c r="I6059" s="7" t="n">
        <f aca="false">YEAR(B6059)</f>
        <v>2014</v>
      </c>
      <c r="J6059" s="0" t="str">
        <f aca="false">I6059&amp;"-Q"&amp;ROUNDUP(MONTH(B6059)/3,0)</f>
        <v>2014-Q1</v>
      </c>
    </row>
    <row r="6060" customFormat="false" ht="15" hidden="false" customHeight="false" outlineLevel="0" collapsed="false">
      <c r="A6060" s="0" t="s">
        <v>3102</v>
      </c>
      <c r="B6060" s="6" t="n">
        <v>41700</v>
      </c>
      <c r="C6060" s="7" t="s">
        <v>55</v>
      </c>
      <c r="D6060" s="7" t="s">
        <v>76</v>
      </c>
      <c r="E6060" s="7" t="s">
        <v>35</v>
      </c>
      <c r="F6060" s="0" t="n">
        <v>36.4</v>
      </c>
      <c r="G6060" s="0" t="n">
        <v>17.472</v>
      </c>
      <c r="H6060" s="0" t="n">
        <v>0</v>
      </c>
      <c r="I6060" s="7" t="n">
        <f aca="false">YEAR(B6060)</f>
        <v>2014</v>
      </c>
      <c r="J6060" s="0" t="str">
        <f aca="false">I6060&amp;"-Q"&amp;ROUNDUP(MONTH(B6060)/3,0)</f>
        <v>2014-Q1</v>
      </c>
    </row>
    <row r="6061" customFormat="false" ht="15" hidden="false" customHeight="false" outlineLevel="0" collapsed="false">
      <c r="A6061" s="0" t="s">
        <v>3103</v>
      </c>
      <c r="B6061" s="6" t="n">
        <v>42003</v>
      </c>
      <c r="C6061" s="7" t="s">
        <v>55</v>
      </c>
      <c r="D6061" s="7" t="s">
        <v>56</v>
      </c>
      <c r="E6061" s="7" t="s">
        <v>39</v>
      </c>
      <c r="F6061" s="0" t="n">
        <v>27.968</v>
      </c>
      <c r="G6061" s="0" t="n">
        <v>6.992</v>
      </c>
      <c r="H6061" s="0" t="n">
        <v>0.2</v>
      </c>
      <c r="I6061" s="7" t="n">
        <f aca="false">YEAR(B6061)</f>
        <v>2014</v>
      </c>
      <c r="J6061" s="0" t="str">
        <f aca="false">I6061&amp;"-Q"&amp;ROUNDUP(MONTH(B6061)/3,0)</f>
        <v>2014-Q4</v>
      </c>
    </row>
    <row r="6062" customFormat="false" ht="15" hidden="false" customHeight="false" outlineLevel="0" collapsed="false">
      <c r="A6062" s="0" t="s">
        <v>3104</v>
      </c>
      <c r="B6062" s="6" t="n">
        <v>42104</v>
      </c>
      <c r="C6062" s="7" t="s">
        <v>55</v>
      </c>
      <c r="D6062" s="7" t="s">
        <v>76</v>
      </c>
      <c r="E6062" s="7" t="s">
        <v>35</v>
      </c>
      <c r="F6062" s="0" t="n">
        <v>142.04</v>
      </c>
      <c r="G6062" s="0" t="n">
        <v>38.3508</v>
      </c>
      <c r="H6062" s="0" t="n">
        <v>0</v>
      </c>
      <c r="I6062" s="7" t="n">
        <f aca="false">YEAR(B6062)</f>
        <v>2015</v>
      </c>
      <c r="J6062" s="0" t="str">
        <f aca="false">I6062&amp;"-Q"&amp;ROUNDUP(MONTH(B6062)/3,0)</f>
        <v>2015-Q2</v>
      </c>
    </row>
    <row r="6063" customFormat="false" ht="15" hidden="false" customHeight="false" outlineLevel="0" collapsed="false">
      <c r="A6063" s="0" t="s">
        <v>3104</v>
      </c>
      <c r="B6063" s="6" t="n">
        <v>42104</v>
      </c>
      <c r="C6063" s="7" t="s">
        <v>55</v>
      </c>
      <c r="D6063" s="7" t="s">
        <v>76</v>
      </c>
      <c r="E6063" s="7" t="s">
        <v>35</v>
      </c>
      <c r="F6063" s="0" t="n">
        <v>14.67</v>
      </c>
      <c r="G6063" s="0" t="n">
        <v>6.0147</v>
      </c>
      <c r="H6063" s="0" t="n">
        <v>0</v>
      </c>
      <c r="I6063" s="7" t="n">
        <f aca="false">YEAR(B6063)</f>
        <v>2015</v>
      </c>
      <c r="J6063" s="0" t="str">
        <f aca="false">I6063&amp;"-Q"&amp;ROUNDUP(MONTH(B6063)/3,0)</f>
        <v>2015-Q2</v>
      </c>
    </row>
    <row r="6064" customFormat="false" ht="15" hidden="false" customHeight="false" outlineLevel="0" collapsed="false">
      <c r="A6064" s="0" t="s">
        <v>3105</v>
      </c>
      <c r="B6064" s="6" t="n">
        <v>42363</v>
      </c>
      <c r="C6064" s="7" t="s">
        <v>33</v>
      </c>
      <c r="D6064" s="7" t="s">
        <v>34</v>
      </c>
      <c r="E6064" s="7" t="s">
        <v>39</v>
      </c>
      <c r="F6064" s="0" t="n">
        <v>1199.96</v>
      </c>
      <c r="G6064" s="0" t="n">
        <v>224.9925</v>
      </c>
      <c r="H6064" s="0" t="n">
        <v>0.2</v>
      </c>
      <c r="I6064" s="7" t="n">
        <f aca="false">YEAR(B6064)</f>
        <v>2015</v>
      </c>
      <c r="J6064" s="0" t="str">
        <f aca="false">I6064&amp;"-Q"&amp;ROUNDUP(MONTH(B6064)/3,0)</f>
        <v>2015-Q4</v>
      </c>
    </row>
    <row r="6065" customFormat="false" ht="15" hidden="false" customHeight="false" outlineLevel="0" collapsed="false">
      <c r="A6065" s="0" t="s">
        <v>3105</v>
      </c>
      <c r="B6065" s="6" t="n">
        <v>42363</v>
      </c>
      <c r="C6065" s="7" t="s">
        <v>33</v>
      </c>
      <c r="D6065" s="7" t="s">
        <v>34</v>
      </c>
      <c r="E6065" s="7" t="s">
        <v>35</v>
      </c>
      <c r="F6065" s="0" t="n">
        <v>12.6</v>
      </c>
      <c r="G6065" s="0" t="n">
        <v>6.174</v>
      </c>
      <c r="H6065" s="0" t="n">
        <v>0</v>
      </c>
      <c r="I6065" s="7" t="n">
        <f aca="false">YEAR(B6065)</f>
        <v>2015</v>
      </c>
      <c r="J6065" s="0" t="str">
        <f aca="false">I6065&amp;"-Q"&amp;ROUNDUP(MONTH(B6065)/3,0)</f>
        <v>2015-Q4</v>
      </c>
    </row>
    <row r="6066" customFormat="false" ht="15" hidden="false" customHeight="false" outlineLevel="0" collapsed="false">
      <c r="A6066" s="0" t="s">
        <v>3105</v>
      </c>
      <c r="B6066" s="6" t="n">
        <v>42363</v>
      </c>
      <c r="C6066" s="7" t="s">
        <v>33</v>
      </c>
      <c r="D6066" s="7" t="s">
        <v>34</v>
      </c>
      <c r="E6066" s="7" t="s">
        <v>35</v>
      </c>
      <c r="F6066" s="0" t="n">
        <v>17.94</v>
      </c>
      <c r="G6066" s="0" t="n">
        <v>8.073</v>
      </c>
      <c r="H6066" s="0" t="n">
        <v>0</v>
      </c>
      <c r="I6066" s="7" t="n">
        <f aca="false">YEAR(B6066)</f>
        <v>2015</v>
      </c>
      <c r="J6066" s="0" t="str">
        <f aca="false">I6066&amp;"-Q"&amp;ROUNDUP(MONTH(B6066)/3,0)</f>
        <v>2015-Q4</v>
      </c>
    </row>
    <row r="6067" customFormat="false" ht="15" hidden="false" customHeight="false" outlineLevel="0" collapsed="false">
      <c r="A6067" s="0" t="s">
        <v>3106</v>
      </c>
      <c r="B6067" s="6" t="n">
        <v>42099</v>
      </c>
      <c r="C6067" s="7" t="s">
        <v>55</v>
      </c>
      <c r="D6067" s="7" t="s">
        <v>56</v>
      </c>
      <c r="E6067" s="7" t="s">
        <v>35</v>
      </c>
      <c r="F6067" s="0" t="n">
        <v>23.904</v>
      </c>
      <c r="G6067" s="0" t="n">
        <v>7.7688</v>
      </c>
      <c r="H6067" s="0" t="n">
        <v>0.2</v>
      </c>
      <c r="I6067" s="7" t="n">
        <f aca="false">YEAR(B6067)</f>
        <v>2015</v>
      </c>
      <c r="J6067" s="0" t="str">
        <f aca="false">I6067&amp;"-Q"&amp;ROUNDUP(MONTH(B6067)/3,0)</f>
        <v>2015-Q2</v>
      </c>
    </row>
    <row r="6068" customFormat="false" ht="15" hidden="false" customHeight="false" outlineLevel="0" collapsed="false">
      <c r="A6068" s="0" t="s">
        <v>3107</v>
      </c>
      <c r="B6068" s="6" t="n">
        <v>42021</v>
      </c>
      <c r="C6068" s="7" t="s">
        <v>29</v>
      </c>
      <c r="D6068" s="7" t="s">
        <v>87</v>
      </c>
      <c r="E6068" s="7" t="s">
        <v>35</v>
      </c>
      <c r="F6068" s="0" t="n">
        <v>88.96</v>
      </c>
      <c r="G6068" s="0" t="n">
        <v>10.008</v>
      </c>
      <c r="H6068" s="0" t="n">
        <v>0.2</v>
      </c>
      <c r="I6068" s="7" t="n">
        <f aca="false">YEAR(B6068)</f>
        <v>2015</v>
      </c>
      <c r="J6068" s="0" t="str">
        <f aca="false">I6068&amp;"-Q"&amp;ROUNDUP(MONTH(B6068)/3,0)</f>
        <v>2015-Q1</v>
      </c>
    </row>
    <row r="6069" customFormat="false" ht="15" hidden="false" customHeight="false" outlineLevel="0" collapsed="false">
      <c r="A6069" s="0" t="s">
        <v>3108</v>
      </c>
      <c r="B6069" s="6" t="n">
        <v>42875</v>
      </c>
      <c r="C6069" s="7" t="s">
        <v>33</v>
      </c>
      <c r="D6069" s="7" t="s">
        <v>34</v>
      </c>
      <c r="E6069" s="7" t="s">
        <v>31</v>
      </c>
      <c r="F6069" s="0" t="n">
        <v>518.272</v>
      </c>
      <c r="G6069" s="0" t="n">
        <v>-97.176</v>
      </c>
      <c r="H6069" s="0" t="n">
        <v>0.2</v>
      </c>
      <c r="I6069" s="7" t="n">
        <f aca="false">YEAR(B6069)</f>
        <v>2017</v>
      </c>
      <c r="J6069" s="0" t="str">
        <f aca="false">I6069&amp;"-Q"&amp;ROUNDUP(MONTH(B6069)/3,0)</f>
        <v>2017-Q2</v>
      </c>
    </row>
    <row r="6070" customFormat="false" ht="15" hidden="false" customHeight="false" outlineLevel="0" collapsed="false">
      <c r="A6070" s="0" t="s">
        <v>3108</v>
      </c>
      <c r="B6070" s="6" t="n">
        <v>42875</v>
      </c>
      <c r="C6070" s="7" t="s">
        <v>33</v>
      </c>
      <c r="D6070" s="7" t="s">
        <v>34</v>
      </c>
      <c r="E6070" s="7" t="s">
        <v>31</v>
      </c>
      <c r="F6070" s="0" t="n">
        <v>6.98</v>
      </c>
      <c r="G6070" s="0" t="n">
        <v>3.3504</v>
      </c>
      <c r="H6070" s="0" t="n">
        <v>0</v>
      </c>
      <c r="I6070" s="7" t="n">
        <f aca="false">YEAR(B6070)</f>
        <v>2017</v>
      </c>
      <c r="J6070" s="0" t="str">
        <f aca="false">I6070&amp;"-Q"&amp;ROUNDUP(MONTH(B6070)/3,0)</f>
        <v>2017-Q2</v>
      </c>
    </row>
    <row r="6071" customFormat="false" ht="15" hidden="false" customHeight="false" outlineLevel="0" collapsed="false">
      <c r="A6071" s="0" t="s">
        <v>3108</v>
      </c>
      <c r="B6071" s="6" t="n">
        <v>42875</v>
      </c>
      <c r="C6071" s="7" t="s">
        <v>33</v>
      </c>
      <c r="D6071" s="7" t="s">
        <v>34</v>
      </c>
      <c r="E6071" s="7" t="s">
        <v>39</v>
      </c>
      <c r="F6071" s="0" t="n">
        <v>343.2</v>
      </c>
      <c r="G6071" s="0" t="n">
        <v>38.61</v>
      </c>
      <c r="H6071" s="0" t="n">
        <v>0.2</v>
      </c>
      <c r="I6071" s="7" t="n">
        <f aca="false">YEAR(B6071)</f>
        <v>2017</v>
      </c>
      <c r="J6071" s="0" t="str">
        <f aca="false">I6071&amp;"-Q"&amp;ROUNDUP(MONTH(B6071)/3,0)</f>
        <v>2017-Q2</v>
      </c>
    </row>
    <row r="6072" customFormat="false" ht="15" hidden="false" customHeight="false" outlineLevel="0" collapsed="false">
      <c r="A6072" s="0" t="s">
        <v>3109</v>
      </c>
      <c r="B6072" s="6" t="n">
        <v>42960</v>
      </c>
      <c r="C6072" s="7" t="s">
        <v>55</v>
      </c>
      <c r="D6072" s="7" t="s">
        <v>56</v>
      </c>
      <c r="E6072" s="7" t="s">
        <v>35</v>
      </c>
      <c r="F6072" s="0" t="n">
        <v>17.544</v>
      </c>
      <c r="G6072" s="0" t="n">
        <v>5.9211</v>
      </c>
      <c r="H6072" s="0" t="n">
        <v>0.2</v>
      </c>
      <c r="I6072" s="7" t="n">
        <f aca="false">YEAR(B6072)</f>
        <v>2017</v>
      </c>
      <c r="J6072" s="0" t="str">
        <f aca="false">I6072&amp;"-Q"&amp;ROUNDUP(MONTH(B6072)/3,0)</f>
        <v>2017-Q3</v>
      </c>
    </row>
    <row r="6073" customFormat="false" ht="15" hidden="false" customHeight="false" outlineLevel="0" collapsed="false">
      <c r="A6073" s="0" t="s">
        <v>3110</v>
      </c>
      <c r="B6073" s="6" t="n">
        <v>42369</v>
      </c>
      <c r="C6073" s="7" t="s">
        <v>45</v>
      </c>
      <c r="D6073" s="7" t="s">
        <v>46</v>
      </c>
      <c r="E6073" s="7" t="s">
        <v>35</v>
      </c>
      <c r="F6073" s="0" t="n">
        <v>152.688</v>
      </c>
      <c r="G6073" s="0" t="n">
        <v>-26.7204</v>
      </c>
      <c r="H6073" s="0" t="n">
        <v>0.2</v>
      </c>
      <c r="I6073" s="7" t="n">
        <f aca="false">YEAR(B6073)</f>
        <v>2015</v>
      </c>
      <c r="J6073" s="0" t="str">
        <f aca="false">I6073&amp;"-Q"&amp;ROUNDUP(MONTH(B6073)/3,0)</f>
        <v>2015-Q4</v>
      </c>
    </row>
    <row r="6074" customFormat="false" ht="15" hidden="false" customHeight="false" outlineLevel="0" collapsed="false">
      <c r="A6074" s="0" t="s">
        <v>3110</v>
      </c>
      <c r="B6074" s="6" t="n">
        <v>42369</v>
      </c>
      <c r="C6074" s="7" t="s">
        <v>45</v>
      </c>
      <c r="D6074" s="7" t="s">
        <v>46</v>
      </c>
      <c r="E6074" s="7" t="s">
        <v>35</v>
      </c>
      <c r="F6074" s="0" t="n">
        <v>3.488</v>
      </c>
      <c r="G6074" s="0" t="n">
        <v>0.5668</v>
      </c>
      <c r="H6074" s="0" t="n">
        <v>0.2</v>
      </c>
      <c r="I6074" s="7" t="n">
        <f aca="false">YEAR(B6074)</f>
        <v>2015</v>
      </c>
      <c r="J6074" s="0" t="str">
        <f aca="false">I6074&amp;"-Q"&amp;ROUNDUP(MONTH(B6074)/3,0)</f>
        <v>2015-Q4</v>
      </c>
    </row>
    <row r="6075" customFormat="false" ht="15" hidden="false" customHeight="false" outlineLevel="0" collapsed="false">
      <c r="A6075" s="0" t="s">
        <v>3110</v>
      </c>
      <c r="B6075" s="6" t="n">
        <v>42369</v>
      </c>
      <c r="C6075" s="7" t="s">
        <v>45</v>
      </c>
      <c r="D6075" s="7" t="s">
        <v>46</v>
      </c>
      <c r="E6075" s="7" t="s">
        <v>35</v>
      </c>
      <c r="F6075" s="0" t="n">
        <v>5.888</v>
      </c>
      <c r="G6075" s="0" t="n">
        <v>-1.3248</v>
      </c>
      <c r="H6075" s="0" t="n">
        <v>0.2</v>
      </c>
      <c r="I6075" s="7" t="n">
        <f aca="false">YEAR(B6075)</f>
        <v>2015</v>
      </c>
      <c r="J6075" s="0" t="str">
        <f aca="false">I6075&amp;"-Q"&amp;ROUNDUP(MONTH(B6075)/3,0)</f>
        <v>2015-Q4</v>
      </c>
    </row>
    <row r="6076" customFormat="false" ht="15" hidden="false" customHeight="false" outlineLevel="0" collapsed="false">
      <c r="A6076" s="0" t="s">
        <v>3111</v>
      </c>
      <c r="B6076" s="6" t="n">
        <v>43094</v>
      </c>
      <c r="C6076" s="7" t="s">
        <v>33</v>
      </c>
      <c r="D6076" s="7" t="s">
        <v>34</v>
      </c>
      <c r="E6076" s="7" t="s">
        <v>35</v>
      </c>
      <c r="F6076" s="0" t="n">
        <v>153.552</v>
      </c>
      <c r="G6076" s="0" t="n">
        <v>51.8238</v>
      </c>
      <c r="H6076" s="0" t="n">
        <v>0.2</v>
      </c>
      <c r="I6076" s="7" t="n">
        <f aca="false">YEAR(B6076)</f>
        <v>2017</v>
      </c>
      <c r="J6076" s="0" t="str">
        <f aca="false">I6076&amp;"-Q"&amp;ROUNDUP(MONTH(B6076)/3,0)</f>
        <v>2017-Q4</v>
      </c>
    </row>
    <row r="6077" customFormat="false" ht="15" hidden="false" customHeight="false" outlineLevel="0" collapsed="false">
      <c r="A6077" s="0" t="s">
        <v>3111</v>
      </c>
      <c r="B6077" s="6" t="n">
        <v>43094</v>
      </c>
      <c r="C6077" s="7" t="s">
        <v>33</v>
      </c>
      <c r="D6077" s="7" t="s">
        <v>34</v>
      </c>
      <c r="E6077" s="7" t="s">
        <v>35</v>
      </c>
      <c r="F6077" s="0" t="n">
        <v>270.62</v>
      </c>
      <c r="G6077" s="0" t="n">
        <v>2.7062</v>
      </c>
      <c r="H6077" s="0" t="n">
        <v>0</v>
      </c>
      <c r="I6077" s="7" t="n">
        <f aca="false">YEAR(B6077)</f>
        <v>2017</v>
      </c>
      <c r="J6077" s="0" t="str">
        <f aca="false">I6077&amp;"-Q"&amp;ROUNDUP(MONTH(B6077)/3,0)</f>
        <v>2017-Q4</v>
      </c>
    </row>
    <row r="6078" customFormat="false" ht="15" hidden="false" customHeight="false" outlineLevel="0" collapsed="false">
      <c r="A6078" s="0" t="s">
        <v>3112</v>
      </c>
      <c r="B6078" s="6" t="n">
        <v>42614</v>
      </c>
      <c r="C6078" s="7" t="s">
        <v>55</v>
      </c>
      <c r="D6078" s="7" t="s">
        <v>76</v>
      </c>
      <c r="E6078" s="7" t="s">
        <v>39</v>
      </c>
      <c r="F6078" s="0" t="n">
        <v>468.9</v>
      </c>
      <c r="G6078" s="0" t="n">
        <v>206.316</v>
      </c>
      <c r="H6078" s="0" t="n">
        <v>0</v>
      </c>
      <c r="I6078" s="7" t="n">
        <f aca="false">YEAR(B6078)</f>
        <v>2016</v>
      </c>
      <c r="J6078" s="0" t="str">
        <f aca="false">I6078&amp;"-Q"&amp;ROUNDUP(MONTH(B6078)/3,0)</f>
        <v>2016-Q3</v>
      </c>
    </row>
    <row r="6079" customFormat="false" ht="15" hidden="false" customHeight="false" outlineLevel="0" collapsed="false">
      <c r="A6079" s="0" t="s">
        <v>3112</v>
      </c>
      <c r="B6079" s="6" t="n">
        <v>42614</v>
      </c>
      <c r="C6079" s="7" t="s">
        <v>55</v>
      </c>
      <c r="D6079" s="7" t="s">
        <v>76</v>
      </c>
      <c r="E6079" s="7" t="s">
        <v>39</v>
      </c>
      <c r="F6079" s="0" t="n">
        <v>72.48</v>
      </c>
      <c r="G6079" s="0" t="n">
        <v>30.4416</v>
      </c>
      <c r="H6079" s="0" t="n">
        <v>0</v>
      </c>
      <c r="I6079" s="7" t="n">
        <f aca="false">YEAR(B6079)</f>
        <v>2016</v>
      </c>
      <c r="J6079" s="0" t="str">
        <f aca="false">I6079&amp;"-Q"&amp;ROUNDUP(MONTH(B6079)/3,0)</f>
        <v>2016-Q3</v>
      </c>
    </row>
    <row r="6080" customFormat="false" ht="15" hidden="false" customHeight="false" outlineLevel="0" collapsed="false">
      <c r="A6080" s="0" t="s">
        <v>3112</v>
      </c>
      <c r="B6080" s="6" t="n">
        <v>42614</v>
      </c>
      <c r="C6080" s="7" t="s">
        <v>55</v>
      </c>
      <c r="D6080" s="7" t="s">
        <v>76</v>
      </c>
      <c r="E6080" s="7" t="s">
        <v>35</v>
      </c>
      <c r="F6080" s="0" t="n">
        <v>10.95</v>
      </c>
      <c r="G6080" s="0" t="n">
        <v>3.285</v>
      </c>
      <c r="H6080" s="0" t="n">
        <v>0</v>
      </c>
      <c r="I6080" s="7" t="n">
        <f aca="false">YEAR(B6080)</f>
        <v>2016</v>
      </c>
      <c r="J6080" s="0" t="str">
        <f aca="false">I6080&amp;"-Q"&amp;ROUNDUP(MONTH(B6080)/3,0)</f>
        <v>2016-Q3</v>
      </c>
    </row>
    <row r="6081" customFormat="false" ht="15" hidden="false" customHeight="false" outlineLevel="0" collapsed="false">
      <c r="A6081" s="0" t="s">
        <v>3112</v>
      </c>
      <c r="B6081" s="6" t="n">
        <v>42614</v>
      </c>
      <c r="C6081" s="7" t="s">
        <v>55</v>
      </c>
      <c r="D6081" s="7" t="s">
        <v>76</v>
      </c>
      <c r="E6081" s="7" t="s">
        <v>31</v>
      </c>
      <c r="F6081" s="0" t="n">
        <v>191.82</v>
      </c>
      <c r="G6081" s="0" t="n">
        <v>61.3824</v>
      </c>
      <c r="H6081" s="0" t="n">
        <v>0</v>
      </c>
      <c r="I6081" s="7" t="n">
        <f aca="false">YEAR(B6081)</f>
        <v>2016</v>
      </c>
      <c r="J6081" s="0" t="str">
        <f aca="false">I6081&amp;"-Q"&amp;ROUNDUP(MONTH(B6081)/3,0)</f>
        <v>2016-Q3</v>
      </c>
    </row>
    <row r="6082" customFormat="false" ht="15" hidden="false" customHeight="false" outlineLevel="0" collapsed="false">
      <c r="A6082" s="0" t="s">
        <v>3113</v>
      </c>
      <c r="B6082" s="6" t="n">
        <v>42952</v>
      </c>
      <c r="C6082" s="7" t="s">
        <v>45</v>
      </c>
      <c r="D6082" s="7" t="s">
        <v>46</v>
      </c>
      <c r="E6082" s="7" t="s">
        <v>35</v>
      </c>
      <c r="F6082" s="0" t="n">
        <v>151.056</v>
      </c>
      <c r="G6082" s="0" t="n">
        <v>7.5528</v>
      </c>
      <c r="H6082" s="0" t="n">
        <v>0.2</v>
      </c>
      <c r="I6082" s="7" t="n">
        <f aca="false">YEAR(B6082)</f>
        <v>2017</v>
      </c>
      <c r="J6082" s="0" t="str">
        <f aca="false">I6082&amp;"-Q"&amp;ROUNDUP(MONTH(B6082)/3,0)</f>
        <v>2017-Q3</v>
      </c>
    </row>
    <row r="6083" customFormat="false" ht="15" hidden="false" customHeight="false" outlineLevel="0" collapsed="false">
      <c r="A6083" s="0" t="s">
        <v>3114</v>
      </c>
      <c r="B6083" s="6" t="n">
        <v>41688</v>
      </c>
      <c r="C6083" s="7" t="s">
        <v>45</v>
      </c>
      <c r="D6083" s="7" t="s">
        <v>46</v>
      </c>
      <c r="E6083" s="7" t="s">
        <v>31</v>
      </c>
      <c r="F6083" s="0" t="n">
        <v>25.16</v>
      </c>
      <c r="G6083" s="0" t="n">
        <v>-11.322</v>
      </c>
      <c r="H6083" s="0" t="n">
        <v>0.6</v>
      </c>
      <c r="I6083" s="7" t="n">
        <f aca="false">YEAR(B6083)</f>
        <v>2014</v>
      </c>
      <c r="J6083" s="0" t="str">
        <f aca="false">I6083&amp;"-Q"&amp;ROUNDUP(MONTH(B6083)/3,0)</f>
        <v>2014-Q1</v>
      </c>
    </row>
    <row r="6084" customFormat="false" ht="15" hidden="false" customHeight="false" outlineLevel="0" collapsed="false">
      <c r="A6084" s="0" t="s">
        <v>3115</v>
      </c>
      <c r="B6084" s="6" t="n">
        <v>42696</v>
      </c>
      <c r="C6084" s="7" t="s">
        <v>45</v>
      </c>
      <c r="D6084" s="7" t="s">
        <v>46</v>
      </c>
      <c r="E6084" s="7" t="s">
        <v>35</v>
      </c>
      <c r="F6084" s="0" t="n">
        <v>6.216</v>
      </c>
      <c r="G6084" s="0" t="n">
        <v>-9.6348</v>
      </c>
      <c r="H6084" s="0" t="n">
        <v>0.8</v>
      </c>
      <c r="I6084" s="7" t="n">
        <f aca="false">YEAR(B6084)</f>
        <v>2016</v>
      </c>
      <c r="J6084" s="0" t="str">
        <f aca="false">I6084&amp;"-Q"&amp;ROUNDUP(MONTH(B6084)/3,0)</f>
        <v>2016-Q4</v>
      </c>
    </row>
    <row r="6085" customFormat="false" ht="15" hidden="false" customHeight="false" outlineLevel="0" collapsed="false">
      <c r="A6085" s="0" t="s">
        <v>3115</v>
      </c>
      <c r="B6085" s="6" t="n">
        <v>42696</v>
      </c>
      <c r="C6085" s="7" t="s">
        <v>45</v>
      </c>
      <c r="D6085" s="7" t="s">
        <v>46</v>
      </c>
      <c r="E6085" s="7" t="s">
        <v>35</v>
      </c>
      <c r="F6085" s="0" t="n">
        <v>23.616</v>
      </c>
      <c r="G6085" s="0" t="n">
        <v>2.6568</v>
      </c>
      <c r="H6085" s="0" t="n">
        <v>0.2</v>
      </c>
      <c r="I6085" s="7" t="n">
        <f aca="false">YEAR(B6085)</f>
        <v>2016</v>
      </c>
      <c r="J6085" s="0" t="str">
        <f aca="false">I6085&amp;"-Q"&amp;ROUNDUP(MONTH(B6085)/3,0)</f>
        <v>2016-Q4</v>
      </c>
    </row>
    <row r="6086" customFormat="false" ht="15" hidden="false" customHeight="false" outlineLevel="0" collapsed="false">
      <c r="A6086" s="0" t="s">
        <v>3115</v>
      </c>
      <c r="B6086" s="6" t="n">
        <v>42696</v>
      </c>
      <c r="C6086" s="7" t="s">
        <v>45</v>
      </c>
      <c r="D6086" s="7" t="s">
        <v>46</v>
      </c>
      <c r="E6086" s="7" t="s">
        <v>39</v>
      </c>
      <c r="F6086" s="0" t="n">
        <v>24.032</v>
      </c>
      <c r="G6086" s="0" t="n">
        <v>-0.6008</v>
      </c>
      <c r="H6086" s="0" t="n">
        <v>0.2</v>
      </c>
      <c r="I6086" s="7" t="n">
        <f aca="false">YEAR(B6086)</f>
        <v>2016</v>
      </c>
      <c r="J6086" s="0" t="str">
        <f aca="false">I6086&amp;"-Q"&amp;ROUNDUP(MONTH(B6086)/3,0)</f>
        <v>2016-Q4</v>
      </c>
    </row>
    <row r="6087" customFormat="false" ht="15" hidden="false" customHeight="false" outlineLevel="0" collapsed="false">
      <c r="A6087" s="0" t="s">
        <v>3115</v>
      </c>
      <c r="B6087" s="6" t="n">
        <v>42696</v>
      </c>
      <c r="C6087" s="7" t="s">
        <v>45</v>
      </c>
      <c r="D6087" s="7" t="s">
        <v>46</v>
      </c>
      <c r="E6087" s="7" t="s">
        <v>35</v>
      </c>
      <c r="F6087" s="0" t="n">
        <v>2.088</v>
      </c>
      <c r="G6087" s="0" t="n">
        <v>0.6786</v>
      </c>
      <c r="H6087" s="0" t="n">
        <v>0.2</v>
      </c>
      <c r="I6087" s="7" t="n">
        <f aca="false">YEAR(B6087)</f>
        <v>2016</v>
      </c>
      <c r="J6087" s="0" t="str">
        <f aca="false">I6087&amp;"-Q"&amp;ROUNDUP(MONTH(B6087)/3,0)</f>
        <v>2016-Q4</v>
      </c>
    </row>
    <row r="6088" customFormat="false" ht="15" hidden="false" customHeight="false" outlineLevel="0" collapsed="false">
      <c r="A6088" s="0" t="s">
        <v>3115</v>
      </c>
      <c r="B6088" s="6" t="n">
        <v>42696</v>
      </c>
      <c r="C6088" s="7" t="s">
        <v>45</v>
      </c>
      <c r="D6088" s="7" t="s">
        <v>46</v>
      </c>
      <c r="E6088" s="7" t="s">
        <v>35</v>
      </c>
      <c r="F6088" s="0" t="n">
        <v>4.488</v>
      </c>
      <c r="G6088" s="0" t="n">
        <v>-6.732</v>
      </c>
      <c r="H6088" s="0" t="n">
        <v>0.8</v>
      </c>
      <c r="I6088" s="7" t="n">
        <f aca="false">YEAR(B6088)</f>
        <v>2016</v>
      </c>
      <c r="J6088" s="0" t="str">
        <f aca="false">I6088&amp;"-Q"&amp;ROUNDUP(MONTH(B6088)/3,0)</f>
        <v>2016-Q4</v>
      </c>
    </row>
    <row r="6089" customFormat="false" ht="15" hidden="false" customHeight="false" outlineLevel="0" collapsed="false">
      <c r="A6089" s="0" t="s">
        <v>3116</v>
      </c>
      <c r="B6089" s="6" t="n">
        <v>42352</v>
      </c>
      <c r="C6089" s="7" t="s">
        <v>33</v>
      </c>
      <c r="D6089" s="7" t="s">
        <v>34</v>
      </c>
      <c r="E6089" s="7" t="s">
        <v>31</v>
      </c>
      <c r="F6089" s="0" t="n">
        <v>29.22</v>
      </c>
      <c r="G6089" s="0" t="n">
        <v>12.8568</v>
      </c>
      <c r="H6089" s="0" t="n">
        <v>0</v>
      </c>
      <c r="I6089" s="7" t="n">
        <f aca="false">YEAR(B6089)</f>
        <v>2015</v>
      </c>
      <c r="J6089" s="0" t="str">
        <f aca="false">I6089&amp;"-Q"&amp;ROUNDUP(MONTH(B6089)/3,0)</f>
        <v>2015-Q4</v>
      </c>
    </row>
    <row r="6090" customFormat="false" ht="15" hidden="false" customHeight="false" outlineLevel="0" collapsed="false">
      <c r="A6090" s="0" t="s">
        <v>3117</v>
      </c>
      <c r="B6090" s="6" t="n">
        <v>42168</v>
      </c>
      <c r="C6090" s="7" t="s">
        <v>29</v>
      </c>
      <c r="D6090" s="7" t="s">
        <v>230</v>
      </c>
      <c r="E6090" s="7" t="s">
        <v>35</v>
      </c>
      <c r="F6090" s="0" t="n">
        <v>6.48</v>
      </c>
      <c r="G6090" s="0" t="n">
        <v>3.1104</v>
      </c>
      <c r="H6090" s="0" t="n">
        <v>0</v>
      </c>
      <c r="I6090" s="7" t="n">
        <f aca="false">YEAR(B6090)</f>
        <v>2015</v>
      </c>
      <c r="J6090" s="0" t="str">
        <f aca="false">I6090&amp;"-Q"&amp;ROUNDUP(MONTH(B6090)/3,0)</f>
        <v>2015-Q2</v>
      </c>
    </row>
    <row r="6091" customFormat="false" ht="15" hidden="false" customHeight="false" outlineLevel="0" collapsed="false">
      <c r="A6091" s="0" t="s">
        <v>3118</v>
      </c>
      <c r="B6091" s="6" t="n">
        <v>43097</v>
      </c>
      <c r="C6091" s="7" t="s">
        <v>33</v>
      </c>
      <c r="D6091" s="7" t="s">
        <v>109</v>
      </c>
      <c r="E6091" s="7" t="s">
        <v>35</v>
      </c>
      <c r="F6091" s="0" t="n">
        <v>1.188</v>
      </c>
      <c r="G6091" s="0" t="n">
        <v>-0.99</v>
      </c>
      <c r="H6091" s="0" t="n">
        <v>0.7</v>
      </c>
      <c r="I6091" s="7" t="n">
        <f aca="false">YEAR(B6091)</f>
        <v>2017</v>
      </c>
      <c r="J6091" s="0" t="str">
        <f aca="false">I6091&amp;"-Q"&amp;ROUNDUP(MONTH(B6091)/3,0)</f>
        <v>2017-Q4</v>
      </c>
    </row>
    <row r="6092" customFormat="false" ht="15" hidden="false" customHeight="false" outlineLevel="0" collapsed="false">
      <c r="A6092" s="0" t="s">
        <v>3119</v>
      </c>
      <c r="B6092" s="6" t="n">
        <v>42998</v>
      </c>
      <c r="C6092" s="7" t="s">
        <v>55</v>
      </c>
      <c r="D6092" s="7" t="s">
        <v>76</v>
      </c>
      <c r="E6092" s="7" t="s">
        <v>31</v>
      </c>
      <c r="F6092" s="0" t="n">
        <v>272.646</v>
      </c>
      <c r="G6092" s="0" t="n">
        <v>18.1764</v>
      </c>
      <c r="H6092" s="0" t="n">
        <v>0.1</v>
      </c>
      <c r="I6092" s="7" t="n">
        <f aca="false">YEAR(B6092)</f>
        <v>2017</v>
      </c>
      <c r="J6092" s="0" t="str">
        <f aca="false">I6092&amp;"-Q"&amp;ROUNDUP(MONTH(B6092)/3,0)</f>
        <v>2017-Q3</v>
      </c>
    </row>
    <row r="6093" customFormat="false" ht="15" hidden="false" customHeight="false" outlineLevel="0" collapsed="false">
      <c r="A6093" s="0" t="s">
        <v>3119</v>
      </c>
      <c r="B6093" s="6" t="n">
        <v>42998</v>
      </c>
      <c r="C6093" s="7" t="s">
        <v>55</v>
      </c>
      <c r="D6093" s="7" t="s">
        <v>76</v>
      </c>
      <c r="E6093" s="7" t="s">
        <v>39</v>
      </c>
      <c r="F6093" s="0" t="n">
        <v>212.8</v>
      </c>
      <c r="G6093" s="0" t="n">
        <v>95.76</v>
      </c>
      <c r="H6093" s="0" t="n">
        <v>0</v>
      </c>
      <c r="I6093" s="7" t="n">
        <f aca="false">YEAR(B6093)</f>
        <v>2017</v>
      </c>
      <c r="J6093" s="0" t="str">
        <f aca="false">I6093&amp;"-Q"&amp;ROUNDUP(MONTH(B6093)/3,0)</f>
        <v>2017-Q3</v>
      </c>
    </row>
    <row r="6094" customFormat="false" ht="15" hidden="false" customHeight="false" outlineLevel="0" collapsed="false">
      <c r="A6094" s="0" t="s">
        <v>3119</v>
      </c>
      <c r="B6094" s="6" t="n">
        <v>42998</v>
      </c>
      <c r="C6094" s="7" t="s">
        <v>55</v>
      </c>
      <c r="D6094" s="7" t="s">
        <v>76</v>
      </c>
      <c r="E6094" s="7" t="s">
        <v>35</v>
      </c>
      <c r="F6094" s="0" t="n">
        <v>38.52</v>
      </c>
      <c r="G6094" s="0" t="n">
        <v>18.1044</v>
      </c>
      <c r="H6094" s="0" t="n">
        <v>0</v>
      </c>
      <c r="I6094" s="7" t="n">
        <f aca="false">YEAR(B6094)</f>
        <v>2017</v>
      </c>
      <c r="J6094" s="0" t="str">
        <f aca="false">I6094&amp;"-Q"&amp;ROUNDUP(MONTH(B6094)/3,0)</f>
        <v>2017-Q3</v>
      </c>
    </row>
    <row r="6095" customFormat="false" ht="15" hidden="false" customHeight="false" outlineLevel="0" collapsed="false">
      <c r="A6095" s="0" t="s">
        <v>3119</v>
      </c>
      <c r="B6095" s="6" t="n">
        <v>42998</v>
      </c>
      <c r="C6095" s="7" t="s">
        <v>55</v>
      </c>
      <c r="D6095" s="7" t="s">
        <v>76</v>
      </c>
      <c r="E6095" s="7" t="s">
        <v>39</v>
      </c>
      <c r="F6095" s="0" t="n">
        <v>72.64</v>
      </c>
      <c r="G6095" s="0" t="n">
        <v>21.792</v>
      </c>
      <c r="H6095" s="0" t="n">
        <v>0</v>
      </c>
      <c r="I6095" s="7" t="n">
        <f aca="false">YEAR(B6095)</f>
        <v>2017</v>
      </c>
      <c r="J6095" s="0" t="str">
        <f aca="false">I6095&amp;"-Q"&amp;ROUNDUP(MONTH(B6095)/3,0)</f>
        <v>2017-Q3</v>
      </c>
    </row>
    <row r="6096" customFormat="false" ht="15" hidden="false" customHeight="false" outlineLevel="0" collapsed="false">
      <c r="A6096" s="0" t="s">
        <v>3119</v>
      </c>
      <c r="B6096" s="6" t="n">
        <v>42998</v>
      </c>
      <c r="C6096" s="7" t="s">
        <v>55</v>
      </c>
      <c r="D6096" s="7" t="s">
        <v>76</v>
      </c>
      <c r="E6096" s="7" t="s">
        <v>35</v>
      </c>
      <c r="F6096" s="0" t="n">
        <v>45.4</v>
      </c>
      <c r="G6096" s="0" t="n">
        <v>12.712</v>
      </c>
      <c r="H6096" s="0" t="n">
        <v>0</v>
      </c>
      <c r="I6096" s="7" t="n">
        <f aca="false">YEAR(B6096)</f>
        <v>2017</v>
      </c>
      <c r="J6096" s="0" t="str">
        <f aca="false">I6096&amp;"-Q"&amp;ROUNDUP(MONTH(B6096)/3,0)</f>
        <v>2017-Q3</v>
      </c>
    </row>
    <row r="6097" customFormat="false" ht="15" hidden="false" customHeight="false" outlineLevel="0" collapsed="false">
      <c r="A6097" s="0" t="s">
        <v>3119</v>
      </c>
      <c r="B6097" s="6" t="n">
        <v>42998</v>
      </c>
      <c r="C6097" s="7" t="s">
        <v>55</v>
      </c>
      <c r="D6097" s="7" t="s">
        <v>76</v>
      </c>
      <c r="E6097" s="7" t="s">
        <v>35</v>
      </c>
      <c r="F6097" s="0" t="n">
        <v>13.76</v>
      </c>
      <c r="G6097" s="0" t="n">
        <v>6.3296</v>
      </c>
      <c r="H6097" s="0" t="n">
        <v>0</v>
      </c>
      <c r="I6097" s="7" t="n">
        <f aca="false">YEAR(B6097)</f>
        <v>2017</v>
      </c>
      <c r="J6097" s="0" t="str">
        <f aca="false">I6097&amp;"-Q"&amp;ROUNDUP(MONTH(B6097)/3,0)</f>
        <v>2017-Q3</v>
      </c>
    </row>
    <row r="6098" customFormat="false" ht="15" hidden="false" customHeight="false" outlineLevel="0" collapsed="false">
      <c r="A6098" s="0" t="s">
        <v>3119</v>
      </c>
      <c r="B6098" s="6" t="n">
        <v>42998</v>
      </c>
      <c r="C6098" s="7" t="s">
        <v>55</v>
      </c>
      <c r="D6098" s="7" t="s">
        <v>76</v>
      </c>
      <c r="E6098" s="7" t="s">
        <v>31</v>
      </c>
      <c r="F6098" s="0" t="n">
        <v>80.991</v>
      </c>
      <c r="G6098" s="0" t="n">
        <v>8.0991</v>
      </c>
      <c r="H6098" s="0" t="n">
        <v>0.1</v>
      </c>
      <c r="I6098" s="7" t="n">
        <f aca="false">YEAR(B6098)</f>
        <v>2017</v>
      </c>
      <c r="J6098" s="0" t="str">
        <f aca="false">I6098&amp;"-Q"&amp;ROUNDUP(MONTH(B6098)/3,0)</f>
        <v>2017-Q3</v>
      </c>
    </row>
    <row r="6099" customFormat="false" ht="15" hidden="false" customHeight="false" outlineLevel="0" collapsed="false">
      <c r="A6099" s="0" t="s">
        <v>3119</v>
      </c>
      <c r="B6099" s="6" t="n">
        <v>42998</v>
      </c>
      <c r="C6099" s="7" t="s">
        <v>55</v>
      </c>
      <c r="D6099" s="7" t="s">
        <v>76</v>
      </c>
      <c r="E6099" s="7" t="s">
        <v>35</v>
      </c>
      <c r="F6099" s="0" t="n">
        <v>11.784</v>
      </c>
      <c r="G6099" s="0" t="n">
        <v>3.9771</v>
      </c>
      <c r="H6099" s="0" t="n">
        <v>0.2</v>
      </c>
      <c r="I6099" s="7" t="n">
        <f aca="false">YEAR(B6099)</f>
        <v>2017</v>
      </c>
      <c r="J6099" s="0" t="str">
        <f aca="false">I6099&amp;"-Q"&amp;ROUNDUP(MONTH(B6099)/3,0)</f>
        <v>2017-Q3</v>
      </c>
    </row>
    <row r="6100" customFormat="false" ht="15" hidden="false" customHeight="false" outlineLevel="0" collapsed="false">
      <c r="A6100" s="0" t="s">
        <v>3119</v>
      </c>
      <c r="B6100" s="6" t="n">
        <v>42998</v>
      </c>
      <c r="C6100" s="7" t="s">
        <v>55</v>
      </c>
      <c r="D6100" s="7" t="s">
        <v>76</v>
      </c>
      <c r="E6100" s="7" t="s">
        <v>35</v>
      </c>
      <c r="F6100" s="0" t="n">
        <v>4.36</v>
      </c>
      <c r="G6100" s="0" t="n">
        <v>1.7876</v>
      </c>
      <c r="H6100" s="0" t="n">
        <v>0</v>
      </c>
      <c r="I6100" s="7" t="n">
        <f aca="false">YEAR(B6100)</f>
        <v>2017</v>
      </c>
      <c r="J6100" s="0" t="str">
        <f aca="false">I6100&amp;"-Q"&amp;ROUNDUP(MONTH(B6100)/3,0)</f>
        <v>2017-Q3</v>
      </c>
    </row>
    <row r="6101" customFormat="false" ht="15" hidden="false" customHeight="false" outlineLevel="0" collapsed="false">
      <c r="A6101" s="0" t="s">
        <v>3119</v>
      </c>
      <c r="B6101" s="6" t="n">
        <v>42998</v>
      </c>
      <c r="C6101" s="7" t="s">
        <v>55</v>
      </c>
      <c r="D6101" s="7" t="s">
        <v>76</v>
      </c>
      <c r="E6101" s="7" t="s">
        <v>31</v>
      </c>
      <c r="F6101" s="0" t="n">
        <v>2888.127</v>
      </c>
      <c r="G6101" s="0" t="n">
        <v>609.7157</v>
      </c>
      <c r="H6101" s="0" t="n">
        <v>0.1</v>
      </c>
      <c r="I6101" s="7" t="n">
        <f aca="false">YEAR(B6101)</f>
        <v>2017</v>
      </c>
      <c r="J6101" s="0" t="str">
        <f aca="false">I6101&amp;"-Q"&amp;ROUNDUP(MONTH(B6101)/3,0)</f>
        <v>2017-Q3</v>
      </c>
    </row>
    <row r="6102" customFormat="false" ht="15" hidden="false" customHeight="false" outlineLevel="0" collapsed="false">
      <c r="A6102" s="0" t="s">
        <v>3119</v>
      </c>
      <c r="B6102" s="6" t="n">
        <v>42998</v>
      </c>
      <c r="C6102" s="7" t="s">
        <v>55</v>
      </c>
      <c r="D6102" s="7" t="s">
        <v>76</v>
      </c>
      <c r="E6102" s="7" t="s">
        <v>39</v>
      </c>
      <c r="F6102" s="0" t="n">
        <v>1299.66</v>
      </c>
      <c r="G6102" s="0" t="n">
        <v>350.9082</v>
      </c>
      <c r="H6102" s="0" t="n">
        <v>0</v>
      </c>
      <c r="I6102" s="7" t="n">
        <f aca="false">YEAR(B6102)</f>
        <v>2017</v>
      </c>
      <c r="J6102" s="0" t="str">
        <f aca="false">I6102&amp;"-Q"&amp;ROUNDUP(MONTH(B6102)/3,0)</f>
        <v>2017-Q3</v>
      </c>
    </row>
    <row r="6103" customFormat="false" ht="15" hidden="false" customHeight="false" outlineLevel="0" collapsed="false">
      <c r="A6103" s="0" t="s">
        <v>3119</v>
      </c>
      <c r="B6103" s="6" t="n">
        <v>42998</v>
      </c>
      <c r="C6103" s="7" t="s">
        <v>55</v>
      </c>
      <c r="D6103" s="7" t="s">
        <v>76</v>
      </c>
      <c r="E6103" s="7" t="s">
        <v>31</v>
      </c>
      <c r="F6103" s="0" t="n">
        <v>2254.41</v>
      </c>
      <c r="G6103" s="0" t="n">
        <v>375.735</v>
      </c>
      <c r="H6103" s="0" t="n">
        <v>0.1</v>
      </c>
      <c r="I6103" s="7" t="n">
        <f aca="false">YEAR(B6103)</f>
        <v>2017</v>
      </c>
      <c r="J6103" s="0" t="str">
        <f aca="false">I6103&amp;"-Q"&amp;ROUNDUP(MONTH(B6103)/3,0)</f>
        <v>2017-Q3</v>
      </c>
    </row>
    <row r="6104" customFormat="false" ht="15" hidden="false" customHeight="false" outlineLevel="0" collapsed="false">
      <c r="A6104" s="0" t="s">
        <v>3119</v>
      </c>
      <c r="B6104" s="6" t="n">
        <v>42998</v>
      </c>
      <c r="C6104" s="7" t="s">
        <v>55</v>
      </c>
      <c r="D6104" s="7" t="s">
        <v>76</v>
      </c>
      <c r="E6104" s="7" t="s">
        <v>39</v>
      </c>
      <c r="F6104" s="0" t="n">
        <v>104.85</v>
      </c>
      <c r="G6104" s="0" t="n">
        <v>28.3095</v>
      </c>
      <c r="H6104" s="0" t="n">
        <v>0</v>
      </c>
      <c r="I6104" s="7" t="n">
        <f aca="false">YEAR(B6104)</f>
        <v>2017</v>
      </c>
      <c r="J6104" s="0" t="str">
        <f aca="false">I6104&amp;"-Q"&amp;ROUNDUP(MONTH(B6104)/3,0)</f>
        <v>2017-Q3</v>
      </c>
    </row>
    <row r="6105" customFormat="false" ht="15" hidden="false" customHeight="false" outlineLevel="0" collapsed="false">
      <c r="A6105" s="0" t="s">
        <v>3119</v>
      </c>
      <c r="B6105" s="6" t="n">
        <v>42998</v>
      </c>
      <c r="C6105" s="7" t="s">
        <v>55</v>
      </c>
      <c r="D6105" s="7" t="s">
        <v>76</v>
      </c>
      <c r="E6105" s="7" t="s">
        <v>39</v>
      </c>
      <c r="F6105" s="0" t="n">
        <v>59.97</v>
      </c>
      <c r="G6105" s="0" t="n">
        <v>20.3898</v>
      </c>
      <c r="H6105" s="0" t="n">
        <v>0</v>
      </c>
      <c r="I6105" s="7" t="n">
        <f aca="false">YEAR(B6105)</f>
        <v>2017</v>
      </c>
      <c r="J6105" s="0" t="str">
        <f aca="false">I6105&amp;"-Q"&amp;ROUNDUP(MONTH(B6105)/3,0)</f>
        <v>2017-Q3</v>
      </c>
    </row>
    <row r="6106" customFormat="false" ht="15" hidden="false" customHeight="false" outlineLevel="0" collapsed="false">
      <c r="A6106" s="0" t="s">
        <v>3120</v>
      </c>
      <c r="B6106" s="6" t="n">
        <v>42969</v>
      </c>
      <c r="C6106" s="7" t="s">
        <v>55</v>
      </c>
      <c r="D6106" s="7" t="s">
        <v>56</v>
      </c>
      <c r="E6106" s="7" t="s">
        <v>31</v>
      </c>
      <c r="F6106" s="0" t="n">
        <v>314.532</v>
      </c>
      <c r="G6106" s="0" t="n">
        <v>-83.8752</v>
      </c>
      <c r="H6106" s="0" t="n">
        <v>0.4</v>
      </c>
      <c r="I6106" s="7" t="n">
        <f aca="false">YEAR(B6106)</f>
        <v>2017</v>
      </c>
      <c r="J6106" s="0" t="str">
        <f aca="false">I6106&amp;"-Q"&amp;ROUNDUP(MONTH(B6106)/3,0)</f>
        <v>2017-Q3</v>
      </c>
    </row>
    <row r="6107" customFormat="false" ht="15" hidden="false" customHeight="false" outlineLevel="0" collapsed="false">
      <c r="A6107" s="0" t="s">
        <v>3121</v>
      </c>
      <c r="B6107" s="6" t="n">
        <v>42173</v>
      </c>
      <c r="C6107" s="7" t="s">
        <v>29</v>
      </c>
      <c r="D6107" s="7" t="s">
        <v>37</v>
      </c>
      <c r="E6107" s="7" t="s">
        <v>35</v>
      </c>
      <c r="F6107" s="0" t="n">
        <v>13.632</v>
      </c>
      <c r="G6107" s="0" t="n">
        <v>3.5784</v>
      </c>
      <c r="H6107" s="0" t="n">
        <v>0.2</v>
      </c>
      <c r="I6107" s="7" t="n">
        <f aca="false">YEAR(B6107)</f>
        <v>2015</v>
      </c>
      <c r="J6107" s="0" t="str">
        <f aca="false">I6107&amp;"-Q"&amp;ROUNDUP(MONTH(B6107)/3,0)</f>
        <v>2015-Q2</v>
      </c>
    </row>
    <row r="6108" customFormat="false" ht="15" hidden="false" customHeight="false" outlineLevel="0" collapsed="false">
      <c r="A6108" s="0" t="s">
        <v>3122</v>
      </c>
      <c r="B6108" s="6" t="n">
        <v>41993</v>
      </c>
      <c r="C6108" s="7" t="s">
        <v>45</v>
      </c>
      <c r="D6108" s="7" t="s">
        <v>46</v>
      </c>
      <c r="E6108" s="7" t="s">
        <v>35</v>
      </c>
      <c r="F6108" s="0" t="n">
        <v>19.432</v>
      </c>
      <c r="G6108" s="0" t="n">
        <v>-49.5516</v>
      </c>
      <c r="H6108" s="0" t="n">
        <v>0.8</v>
      </c>
      <c r="I6108" s="7" t="n">
        <f aca="false">YEAR(B6108)</f>
        <v>2014</v>
      </c>
      <c r="J6108" s="0" t="str">
        <f aca="false">I6108&amp;"-Q"&amp;ROUNDUP(MONTH(B6108)/3,0)</f>
        <v>2014-Q4</v>
      </c>
    </row>
    <row r="6109" customFormat="false" ht="15" hidden="false" customHeight="false" outlineLevel="0" collapsed="false">
      <c r="A6109" s="0" t="s">
        <v>3122</v>
      </c>
      <c r="B6109" s="6" t="n">
        <v>41993</v>
      </c>
      <c r="C6109" s="7" t="s">
        <v>45</v>
      </c>
      <c r="D6109" s="7" t="s">
        <v>46</v>
      </c>
      <c r="E6109" s="7" t="s">
        <v>39</v>
      </c>
      <c r="F6109" s="0" t="n">
        <v>65.44</v>
      </c>
      <c r="G6109" s="0" t="n">
        <v>-8.18</v>
      </c>
      <c r="H6109" s="0" t="n">
        <v>0.2</v>
      </c>
      <c r="I6109" s="7" t="n">
        <f aca="false">YEAR(B6109)</f>
        <v>2014</v>
      </c>
      <c r="J6109" s="0" t="str">
        <f aca="false">I6109&amp;"-Q"&amp;ROUNDUP(MONTH(B6109)/3,0)</f>
        <v>2014-Q4</v>
      </c>
    </row>
    <row r="6110" customFormat="false" ht="15" hidden="false" customHeight="false" outlineLevel="0" collapsed="false">
      <c r="A6110" s="0" t="s">
        <v>3123</v>
      </c>
      <c r="B6110" s="6" t="n">
        <v>42624</v>
      </c>
      <c r="C6110" s="7" t="s">
        <v>45</v>
      </c>
      <c r="D6110" s="7" t="s">
        <v>64</v>
      </c>
      <c r="E6110" s="7" t="s">
        <v>35</v>
      </c>
      <c r="F6110" s="0" t="n">
        <v>6</v>
      </c>
      <c r="G6110" s="0" t="n">
        <v>2.1</v>
      </c>
      <c r="H6110" s="0" t="n">
        <v>0.2</v>
      </c>
      <c r="I6110" s="7" t="n">
        <f aca="false">YEAR(B6110)</f>
        <v>2016</v>
      </c>
      <c r="J6110" s="0" t="str">
        <f aca="false">I6110&amp;"-Q"&amp;ROUNDUP(MONTH(B6110)/3,0)</f>
        <v>2016-Q3</v>
      </c>
    </row>
    <row r="6111" customFormat="false" ht="15" hidden="false" customHeight="false" outlineLevel="0" collapsed="false">
      <c r="A6111" s="0" t="s">
        <v>3123</v>
      </c>
      <c r="B6111" s="6" t="n">
        <v>42624</v>
      </c>
      <c r="C6111" s="7" t="s">
        <v>45</v>
      </c>
      <c r="D6111" s="7" t="s">
        <v>64</v>
      </c>
      <c r="E6111" s="7" t="s">
        <v>35</v>
      </c>
      <c r="F6111" s="0" t="n">
        <v>1.908</v>
      </c>
      <c r="G6111" s="0" t="n">
        <v>-3.2436</v>
      </c>
      <c r="H6111" s="0" t="n">
        <v>0.8</v>
      </c>
      <c r="I6111" s="7" t="n">
        <f aca="false">YEAR(B6111)</f>
        <v>2016</v>
      </c>
      <c r="J6111" s="0" t="str">
        <f aca="false">I6111&amp;"-Q"&amp;ROUNDUP(MONTH(B6111)/3,0)</f>
        <v>2016-Q3</v>
      </c>
    </row>
    <row r="6112" customFormat="false" ht="15" hidden="false" customHeight="false" outlineLevel="0" collapsed="false">
      <c r="A6112" s="0" t="s">
        <v>3124</v>
      </c>
      <c r="B6112" s="6" t="n">
        <v>42686</v>
      </c>
      <c r="C6112" s="7" t="s">
        <v>55</v>
      </c>
      <c r="D6112" s="7" t="s">
        <v>116</v>
      </c>
      <c r="E6112" s="7" t="s">
        <v>31</v>
      </c>
      <c r="F6112" s="0" t="n">
        <v>1474.802</v>
      </c>
      <c r="G6112" s="0" t="n">
        <v>-21.0686</v>
      </c>
      <c r="H6112" s="0" t="n">
        <v>0.3</v>
      </c>
      <c r="I6112" s="7" t="n">
        <f aca="false">YEAR(B6112)</f>
        <v>2016</v>
      </c>
      <c r="J6112" s="0" t="str">
        <f aca="false">I6112&amp;"-Q"&amp;ROUNDUP(MONTH(B6112)/3,0)</f>
        <v>2016-Q4</v>
      </c>
    </row>
    <row r="6113" customFormat="false" ht="15" hidden="false" customHeight="false" outlineLevel="0" collapsed="false">
      <c r="A6113" s="0" t="s">
        <v>3124</v>
      </c>
      <c r="B6113" s="6" t="n">
        <v>42686</v>
      </c>
      <c r="C6113" s="7" t="s">
        <v>55</v>
      </c>
      <c r="D6113" s="7" t="s">
        <v>116</v>
      </c>
      <c r="E6113" s="7" t="s">
        <v>35</v>
      </c>
      <c r="F6113" s="0" t="n">
        <v>110.096</v>
      </c>
      <c r="G6113" s="0" t="n">
        <v>33.0288</v>
      </c>
      <c r="H6113" s="0" t="n">
        <v>0.2</v>
      </c>
      <c r="I6113" s="7" t="n">
        <f aca="false">YEAR(B6113)</f>
        <v>2016</v>
      </c>
      <c r="J6113" s="0" t="str">
        <f aca="false">I6113&amp;"-Q"&amp;ROUNDUP(MONTH(B6113)/3,0)</f>
        <v>2016-Q4</v>
      </c>
    </row>
    <row r="6114" customFormat="false" ht="15" hidden="false" customHeight="false" outlineLevel="0" collapsed="false">
      <c r="A6114" s="0" t="s">
        <v>3124</v>
      </c>
      <c r="B6114" s="6" t="n">
        <v>42686</v>
      </c>
      <c r="C6114" s="7" t="s">
        <v>55</v>
      </c>
      <c r="D6114" s="7" t="s">
        <v>116</v>
      </c>
      <c r="E6114" s="7" t="s">
        <v>35</v>
      </c>
      <c r="F6114" s="0" t="n">
        <v>16.752</v>
      </c>
      <c r="G6114" s="0" t="n">
        <v>5.4444</v>
      </c>
      <c r="H6114" s="0" t="n">
        <v>0.2</v>
      </c>
      <c r="I6114" s="7" t="n">
        <f aca="false">YEAR(B6114)</f>
        <v>2016</v>
      </c>
      <c r="J6114" s="0" t="str">
        <f aca="false">I6114&amp;"-Q"&amp;ROUNDUP(MONTH(B6114)/3,0)</f>
        <v>2016-Q4</v>
      </c>
    </row>
    <row r="6115" customFormat="false" ht="15" hidden="false" customHeight="false" outlineLevel="0" collapsed="false">
      <c r="A6115" s="0" t="s">
        <v>3124</v>
      </c>
      <c r="B6115" s="6" t="n">
        <v>42686</v>
      </c>
      <c r="C6115" s="7" t="s">
        <v>55</v>
      </c>
      <c r="D6115" s="7" t="s">
        <v>116</v>
      </c>
      <c r="E6115" s="7" t="s">
        <v>31</v>
      </c>
      <c r="F6115" s="0" t="n">
        <v>1537.074</v>
      </c>
      <c r="G6115" s="0" t="n">
        <v>0</v>
      </c>
      <c r="H6115" s="0" t="n">
        <v>0.3</v>
      </c>
      <c r="I6115" s="7" t="n">
        <f aca="false">YEAR(B6115)</f>
        <v>2016</v>
      </c>
      <c r="J6115" s="0" t="str">
        <f aca="false">I6115&amp;"-Q"&amp;ROUNDUP(MONTH(B6115)/3,0)</f>
        <v>2016-Q4</v>
      </c>
    </row>
    <row r="6116" customFormat="false" ht="15" hidden="false" customHeight="false" outlineLevel="0" collapsed="false">
      <c r="A6116" s="0" t="s">
        <v>3124</v>
      </c>
      <c r="B6116" s="6" t="n">
        <v>42686</v>
      </c>
      <c r="C6116" s="7" t="s">
        <v>55</v>
      </c>
      <c r="D6116" s="7" t="s">
        <v>116</v>
      </c>
      <c r="E6116" s="7" t="s">
        <v>31</v>
      </c>
      <c r="F6116" s="0" t="n">
        <v>449.372</v>
      </c>
      <c r="G6116" s="0" t="n">
        <v>-12.8392</v>
      </c>
      <c r="H6116" s="0" t="n">
        <v>0.3</v>
      </c>
      <c r="I6116" s="7" t="n">
        <f aca="false">YEAR(B6116)</f>
        <v>2016</v>
      </c>
      <c r="J6116" s="0" t="str">
        <f aca="false">I6116&amp;"-Q"&amp;ROUNDUP(MONTH(B6116)/3,0)</f>
        <v>2016-Q4</v>
      </c>
    </row>
    <row r="6117" customFormat="false" ht="15" hidden="false" customHeight="false" outlineLevel="0" collapsed="false">
      <c r="A6117" s="0" t="s">
        <v>3125</v>
      </c>
      <c r="B6117" s="6" t="n">
        <v>42443</v>
      </c>
      <c r="C6117" s="7" t="s">
        <v>33</v>
      </c>
      <c r="D6117" s="7" t="s">
        <v>34</v>
      </c>
      <c r="E6117" s="7" t="s">
        <v>35</v>
      </c>
      <c r="F6117" s="0" t="n">
        <v>41.904</v>
      </c>
      <c r="G6117" s="0" t="n">
        <v>14.1426</v>
      </c>
      <c r="H6117" s="0" t="n">
        <v>0.2</v>
      </c>
      <c r="I6117" s="7" t="n">
        <f aca="false">YEAR(B6117)</f>
        <v>2016</v>
      </c>
      <c r="J6117" s="0" t="str">
        <f aca="false">I6117&amp;"-Q"&amp;ROUNDUP(MONTH(B6117)/3,0)</f>
        <v>2016-Q1</v>
      </c>
    </row>
    <row r="6118" customFormat="false" ht="15" hidden="false" customHeight="false" outlineLevel="0" collapsed="false">
      <c r="A6118" s="0" t="s">
        <v>3126</v>
      </c>
      <c r="B6118" s="6" t="n">
        <v>42687</v>
      </c>
      <c r="C6118" s="7" t="s">
        <v>55</v>
      </c>
      <c r="D6118" s="7" t="s">
        <v>76</v>
      </c>
      <c r="E6118" s="7" t="s">
        <v>39</v>
      </c>
      <c r="F6118" s="0" t="n">
        <v>2279.96</v>
      </c>
      <c r="G6118" s="0" t="n">
        <v>592.7896</v>
      </c>
      <c r="H6118" s="0" t="n">
        <v>0</v>
      </c>
      <c r="I6118" s="7" t="n">
        <f aca="false">YEAR(B6118)</f>
        <v>2016</v>
      </c>
      <c r="J6118" s="0" t="str">
        <f aca="false">I6118&amp;"-Q"&amp;ROUNDUP(MONTH(B6118)/3,0)</f>
        <v>2016-Q4</v>
      </c>
    </row>
    <row r="6119" customFormat="false" ht="15" hidden="false" customHeight="false" outlineLevel="0" collapsed="false">
      <c r="A6119" s="0" t="s">
        <v>3126</v>
      </c>
      <c r="B6119" s="6" t="n">
        <v>42687</v>
      </c>
      <c r="C6119" s="7" t="s">
        <v>55</v>
      </c>
      <c r="D6119" s="7" t="s">
        <v>76</v>
      </c>
      <c r="E6119" s="7" t="s">
        <v>35</v>
      </c>
      <c r="F6119" s="0" t="n">
        <v>14.94</v>
      </c>
      <c r="G6119" s="0" t="n">
        <v>6.8724</v>
      </c>
      <c r="H6119" s="0" t="n">
        <v>0</v>
      </c>
      <c r="I6119" s="7" t="n">
        <f aca="false">YEAR(B6119)</f>
        <v>2016</v>
      </c>
      <c r="J6119" s="0" t="str">
        <f aca="false">I6119&amp;"-Q"&amp;ROUNDUP(MONTH(B6119)/3,0)</f>
        <v>2016-Q4</v>
      </c>
    </row>
    <row r="6120" customFormat="false" ht="15" hidden="false" customHeight="false" outlineLevel="0" collapsed="false">
      <c r="A6120" s="0" t="s">
        <v>3127</v>
      </c>
      <c r="B6120" s="6" t="n">
        <v>42997</v>
      </c>
      <c r="C6120" s="7" t="s">
        <v>33</v>
      </c>
      <c r="D6120" s="7" t="s">
        <v>102</v>
      </c>
      <c r="E6120" s="7" t="s">
        <v>39</v>
      </c>
      <c r="F6120" s="0" t="n">
        <v>191.976</v>
      </c>
      <c r="G6120" s="0" t="n">
        <v>19.1976</v>
      </c>
      <c r="H6120" s="0" t="n">
        <v>0.2</v>
      </c>
      <c r="I6120" s="7" t="n">
        <f aca="false">YEAR(B6120)</f>
        <v>2017</v>
      </c>
      <c r="J6120" s="0" t="str">
        <f aca="false">I6120&amp;"-Q"&amp;ROUNDUP(MONTH(B6120)/3,0)</f>
        <v>2017-Q3</v>
      </c>
    </row>
    <row r="6121" customFormat="false" ht="15" hidden="false" customHeight="false" outlineLevel="0" collapsed="false">
      <c r="A6121" s="0" t="s">
        <v>3127</v>
      </c>
      <c r="B6121" s="6" t="n">
        <v>42997</v>
      </c>
      <c r="C6121" s="7" t="s">
        <v>33</v>
      </c>
      <c r="D6121" s="7" t="s">
        <v>102</v>
      </c>
      <c r="E6121" s="7" t="s">
        <v>35</v>
      </c>
      <c r="F6121" s="0" t="n">
        <v>23.832</v>
      </c>
      <c r="G6121" s="0" t="n">
        <v>6.5538</v>
      </c>
      <c r="H6121" s="0" t="n">
        <v>0.2</v>
      </c>
      <c r="I6121" s="7" t="n">
        <f aca="false">YEAR(B6121)</f>
        <v>2017</v>
      </c>
      <c r="J6121" s="0" t="str">
        <f aca="false">I6121&amp;"-Q"&amp;ROUNDUP(MONTH(B6121)/3,0)</f>
        <v>2017-Q3</v>
      </c>
    </row>
    <row r="6122" customFormat="false" ht="15" hidden="false" customHeight="false" outlineLevel="0" collapsed="false">
      <c r="A6122" s="0" t="s">
        <v>3127</v>
      </c>
      <c r="B6122" s="6" t="n">
        <v>42997</v>
      </c>
      <c r="C6122" s="7" t="s">
        <v>33</v>
      </c>
      <c r="D6122" s="7" t="s">
        <v>102</v>
      </c>
      <c r="E6122" s="7" t="s">
        <v>31</v>
      </c>
      <c r="F6122" s="0" t="n">
        <v>409.216</v>
      </c>
      <c r="G6122" s="0" t="n">
        <v>61.3824</v>
      </c>
      <c r="H6122" s="0" t="n">
        <v>0.2</v>
      </c>
      <c r="I6122" s="7" t="n">
        <f aca="false">YEAR(B6122)</f>
        <v>2017</v>
      </c>
      <c r="J6122" s="0" t="str">
        <f aca="false">I6122&amp;"-Q"&amp;ROUNDUP(MONTH(B6122)/3,0)</f>
        <v>2017-Q3</v>
      </c>
    </row>
    <row r="6123" customFormat="false" ht="15" hidden="false" customHeight="false" outlineLevel="0" collapsed="false">
      <c r="A6123" s="0" t="s">
        <v>3127</v>
      </c>
      <c r="B6123" s="6" t="n">
        <v>42997</v>
      </c>
      <c r="C6123" s="7" t="s">
        <v>33</v>
      </c>
      <c r="D6123" s="7" t="s">
        <v>102</v>
      </c>
      <c r="E6123" s="7" t="s">
        <v>31</v>
      </c>
      <c r="F6123" s="0" t="n">
        <v>72.588</v>
      </c>
      <c r="G6123" s="0" t="n">
        <v>-128.2388</v>
      </c>
      <c r="H6123" s="0" t="n">
        <v>0.7</v>
      </c>
      <c r="I6123" s="7" t="n">
        <f aca="false">YEAR(B6123)</f>
        <v>2017</v>
      </c>
      <c r="J6123" s="0" t="str">
        <f aca="false">I6123&amp;"-Q"&amp;ROUNDUP(MONTH(B6123)/3,0)</f>
        <v>2017-Q3</v>
      </c>
    </row>
    <row r="6124" customFormat="false" ht="15" hidden="false" customHeight="false" outlineLevel="0" collapsed="false">
      <c r="A6124" s="0" t="s">
        <v>3128</v>
      </c>
      <c r="B6124" s="6" t="n">
        <v>43073</v>
      </c>
      <c r="C6124" s="7" t="s">
        <v>45</v>
      </c>
      <c r="D6124" s="7" t="s">
        <v>64</v>
      </c>
      <c r="E6124" s="7" t="s">
        <v>35</v>
      </c>
      <c r="F6124" s="0" t="n">
        <v>61.568</v>
      </c>
      <c r="G6124" s="0" t="n">
        <v>4.6176</v>
      </c>
      <c r="H6124" s="0" t="n">
        <v>0.2</v>
      </c>
      <c r="I6124" s="7" t="n">
        <f aca="false">YEAR(B6124)</f>
        <v>2017</v>
      </c>
      <c r="J6124" s="0" t="str">
        <f aca="false">I6124&amp;"-Q"&amp;ROUNDUP(MONTH(B6124)/3,0)</f>
        <v>2017-Q4</v>
      </c>
    </row>
    <row r="6125" customFormat="false" ht="15" hidden="false" customHeight="false" outlineLevel="0" collapsed="false">
      <c r="A6125" s="0" t="s">
        <v>3129</v>
      </c>
      <c r="B6125" s="6" t="n">
        <v>42247</v>
      </c>
      <c r="C6125" s="7" t="s">
        <v>45</v>
      </c>
      <c r="D6125" s="7" t="s">
        <v>46</v>
      </c>
      <c r="E6125" s="7" t="s">
        <v>35</v>
      </c>
      <c r="F6125" s="0" t="n">
        <v>20.96</v>
      </c>
      <c r="G6125" s="0" t="n">
        <v>6.812</v>
      </c>
      <c r="H6125" s="0" t="n">
        <v>0.2</v>
      </c>
      <c r="I6125" s="7" t="n">
        <f aca="false">YEAR(B6125)</f>
        <v>2015</v>
      </c>
      <c r="J6125" s="0" t="str">
        <f aca="false">I6125&amp;"-Q"&amp;ROUNDUP(MONTH(B6125)/3,0)</f>
        <v>2015-Q3</v>
      </c>
    </row>
    <row r="6126" customFormat="false" ht="15" hidden="false" customHeight="false" outlineLevel="0" collapsed="false">
      <c r="A6126" s="0" t="s">
        <v>3130</v>
      </c>
      <c r="B6126" s="6" t="n">
        <v>42889</v>
      </c>
      <c r="C6126" s="7" t="s">
        <v>33</v>
      </c>
      <c r="D6126" s="7" t="s">
        <v>34</v>
      </c>
      <c r="E6126" s="7" t="s">
        <v>39</v>
      </c>
      <c r="F6126" s="0" t="n">
        <v>44.75</v>
      </c>
      <c r="G6126" s="0" t="n">
        <v>8.5025</v>
      </c>
      <c r="H6126" s="0" t="n">
        <v>0</v>
      </c>
      <c r="I6126" s="7" t="n">
        <f aca="false">YEAR(B6126)</f>
        <v>2017</v>
      </c>
      <c r="J6126" s="0" t="str">
        <f aca="false">I6126&amp;"-Q"&amp;ROUNDUP(MONTH(B6126)/3,0)</f>
        <v>2017-Q2</v>
      </c>
    </row>
    <row r="6127" customFormat="false" ht="15" hidden="false" customHeight="false" outlineLevel="0" collapsed="false">
      <c r="A6127" s="0" t="s">
        <v>3130</v>
      </c>
      <c r="B6127" s="6" t="n">
        <v>42889</v>
      </c>
      <c r="C6127" s="7" t="s">
        <v>33</v>
      </c>
      <c r="D6127" s="7" t="s">
        <v>34</v>
      </c>
      <c r="E6127" s="7" t="s">
        <v>35</v>
      </c>
      <c r="F6127" s="0" t="n">
        <v>11.96</v>
      </c>
      <c r="G6127" s="0" t="n">
        <v>5.382</v>
      </c>
      <c r="H6127" s="0" t="n">
        <v>0</v>
      </c>
      <c r="I6127" s="7" t="n">
        <f aca="false">YEAR(B6127)</f>
        <v>2017</v>
      </c>
      <c r="J6127" s="0" t="str">
        <f aca="false">I6127&amp;"-Q"&amp;ROUNDUP(MONTH(B6127)/3,0)</f>
        <v>2017-Q2</v>
      </c>
    </row>
    <row r="6128" customFormat="false" ht="15" hidden="false" customHeight="false" outlineLevel="0" collapsed="false">
      <c r="A6128" s="0" t="s">
        <v>3130</v>
      </c>
      <c r="B6128" s="6" t="n">
        <v>42889</v>
      </c>
      <c r="C6128" s="7" t="s">
        <v>33</v>
      </c>
      <c r="D6128" s="7" t="s">
        <v>34</v>
      </c>
      <c r="E6128" s="7" t="s">
        <v>35</v>
      </c>
      <c r="F6128" s="0" t="n">
        <v>3.912</v>
      </c>
      <c r="G6128" s="0" t="n">
        <v>1.2714</v>
      </c>
      <c r="H6128" s="0" t="n">
        <v>0.2</v>
      </c>
      <c r="I6128" s="7" t="n">
        <f aca="false">YEAR(B6128)</f>
        <v>2017</v>
      </c>
      <c r="J6128" s="0" t="str">
        <f aca="false">I6128&amp;"-Q"&amp;ROUNDUP(MONTH(B6128)/3,0)</f>
        <v>2017-Q2</v>
      </c>
    </row>
    <row r="6129" customFormat="false" ht="15" hidden="false" customHeight="false" outlineLevel="0" collapsed="false">
      <c r="A6129" s="0" t="s">
        <v>3131</v>
      </c>
      <c r="B6129" s="6" t="n">
        <v>42460</v>
      </c>
      <c r="C6129" s="7" t="s">
        <v>55</v>
      </c>
      <c r="D6129" s="7" t="s">
        <v>76</v>
      </c>
      <c r="E6129" s="7" t="s">
        <v>31</v>
      </c>
      <c r="F6129" s="0" t="n">
        <v>327.996</v>
      </c>
      <c r="G6129" s="0" t="n">
        <v>54.666</v>
      </c>
      <c r="H6129" s="0" t="n">
        <v>0.1</v>
      </c>
      <c r="I6129" s="7" t="n">
        <f aca="false">YEAR(B6129)</f>
        <v>2016</v>
      </c>
      <c r="J6129" s="0" t="str">
        <f aca="false">I6129&amp;"-Q"&amp;ROUNDUP(MONTH(B6129)/3,0)</f>
        <v>2016-Q1</v>
      </c>
    </row>
    <row r="6130" customFormat="false" ht="15" hidden="false" customHeight="false" outlineLevel="0" collapsed="false">
      <c r="A6130" s="0" t="s">
        <v>3132</v>
      </c>
      <c r="B6130" s="6" t="n">
        <v>41937</v>
      </c>
      <c r="C6130" s="7" t="s">
        <v>33</v>
      </c>
      <c r="D6130" s="7" t="s">
        <v>34</v>
      </c>
      <c r="E6130" s="7" t="s">
        <v>35</v>
      </c>
      <c r="F6130" s="0" t="n">
        <v>49.408</v>
      </c>
      <c r="G6130" s="0" t="n">
        <v>18.528</v>
      </c>
      <c r="H6130" s="0" t="n">
        <v>0.2</v>
      </c>
      <c r="I6130" s="7" t="n">
        <f aca="false">YEAR(B6130)</f>
        <v>2014</v>
      </c>
      <c r="J6130" s="0" t="str">
        <f aca="false">I6130&amp;"-Q"&amp;ROUNDUP(MONTH(B6130)/3,0)</f>
        <v>2014-Q4</v>
      </c>
    </row>
    <row r="6131" customFormat="false" ht="15" hidden="false" customHeight="false" outlineLevel="0" collapsed="false">
      <c r="A6131" s="0" t="s">
        <v>3133</v>
      </c>
      <c r="B6131" s="6" t="n">
        <v>42820</v>
      </c>
      <c r="C6131" s="7" t="s">
        <v>29</v>
      </c>
      <c r="D6131" s="7" t="s">
        <v>83</v>
      </c>
      <c r="E6131" s="7" t="s">
        <v>39</v>
      </c>
      <c r="F6131" s="0" t="n">
        <v>53.25</v>
      </c>
      <c r="G6131" s="0" t="n">
        <v>20.7675</v>
      </c>
      <c r="H6131" s="0" t="n">
        <v>0</v>
      </c>
      <c r="I6131" s="7" t="n">
        <f aca="false">YEAR(B6131)</f>
        <v>2017</v>
      </c>
      <c r="J6131" s="0" t="str">
        <f aca="false">I6131&amp;"-Q"&amp;ROUNDUP(MONTH(B6131)/3,0)</f>
        <v>2017-Q1</v>
      </c>
    </row>
    <row r="6132" customFormat="false" ht="15" hidden="false" customHeight="false" outlineLevel="0" collapsed="false">
      <c r="A6132" s="0" t="s">
        <v>3133</v>
      </c>
      <c r="B6132" s="6" t="n">
        <v>42820</v>
      </c>
      <c r="C6132" s="7" t="s">
        <v>29</v>
      </c>
      <c r="D6132" s="7" t="s">
        <v>83</v>
      </c>
      <c r="E6132" s="7" t="s">
        <v>35</v>
      </c>
      <c r="F6132" s="0" t="n">
        <v>3.76</v>
      </c>
      <c r="G6132" s="0" t="n">
        <v>1.316</v>
      </c>
      <c r="H6132" s="0" t="n">
        <v>0</v>
      </c>
      <c r="I6132" s="7" t="n">
        <f aca="false">YEAR(B6132)</f>
        <v>2017</v>
      </c>
      <c r="J6132" s="0" t="str">
        <f aca="false">I6132&amp;"-Q"&amp;ROUNDUP(MONTH(B6132)/3,0)</f>
        <v>2017-Q1</v>
      </c>
    </row>
    <row r="6133" customFormat="false" ht="15" hidden="false" customHeight="false" outlineLevel="0" collapsed="false">
      <c r="A6133" s="0" t="s">
        <v>3134</v>
      </c>
      <c r="B6133" s="6" t="n">
        <v>42000</v>
      </c>
      <c r="C6133" s="7" t="s">
        <v>55</v>
      </c>
      <c r="D6133" s="7" t="s">
        <v>76</v>
      </c>
      <c r="E6133" s="7" t="s">
        <v>31</v>
      </c>
      <c r="F6133" s="0" t="n">
        <v>767.214</v>
      </c>
      <c r="G6133" s="0" t="n">
        <v>161.9674</v>
      </c>
      <c r="H6133" s="0" t="n">
        <v>0.1</v>
      </c>
      <c r="I6133" s="7" t="n">
        <f aca="false">YEAR(B6133)</f>
        <v>2014</v>
      </c>
      <c r="J6133" s="0" t="str">
        <f aca="false">I6133&amp;"-Q"&amp;ROUNDUP(MONTH(B6133)/3,0)</f>
        <v>2014-Q4</v>
      </c>
    </row>
    <row r="6134" customFormat="false" ht="15" hidden="false" customHeight="false" outlineLevel="0" collapsed="false">
      <c r="A6134" s="0" t="s">
        <v>3135</v>
      </c>
      <c r="B6134" s="6" t="n">
        <v>42993</v>
      </c>
      <c r="C6134" s="7" t="s">
        <v>29</v>
      </c>
      <c r="D6134" s="7" t="s">
        <v>87</v>
      </c>
      <c r="E6134" s="7" t="s">
        <v>35</v>
      </c>
      <c r="F6134" s="0" t="n">
        <v>163.96</v>
      </c>
      <c r="G6134" s="0" t="n">
        <v>59.4355</v>
      </c>
      <c r="H6134" s="0" t="n">
        <v>0.2</v>
      </c>
      <c r="I6134" s="7" t="n">
        <f aca="false">YEAR(B6134)</f>
        <v>2017</v>
      </c>
      <c r="J6134" s="0" t="str">
        <f aca="false">I6134&amp;"-Q"&amp;ROUNDUP(MONTH(B6134)/3,0)</f>
        <v>2017-Q3</v>
      </c>
    </row>
    <row r="6135" customFormat="false" ht="15" hidden="false" customHeight="false" outlineLevel="0" collapsed="false">
      <c r="A6135" s="0" t="s">
        <v>3136</v>
      </c>
      <c r="B6135" s="6" t="n">
        <v>42598</v>
      </c>
      <c r="C6135" s="7" t="s">
        <v>33</v>
      </c>
      <c r="D6135" s="7" t="s">
        <v>34</v>
      </c>
      <c r="E6135" s="7" t="s">
        <v>31</v>
      </c>
      <c r="F6135" s="0" t="n">
        <v>161.28</v>
      </c>
      <c r="G6135" s="0" t="n">
        <v>12.096</v>
      </c>
      <c r="H6135" s="0" t="n">
        <v>0.2</v>
      </c>
      <c r="I6135" s="7" t="n">
        <f aca="false">YEAR(B6135)</f>
        <v>2016</v>
      </c>
      <c r="J6135" s="0" t="str">
        <f aca="false">I6135&amp;"-Q"&amp;ROUNDUP(MONTH(B6135)/3,0)</f>
        <v>2016-Q3</v>
      </c>
    </row>
    <row r="6136" customFormat="false" ht="15" hidden="false" customHeight="false" outlineLevel="0" collapsed="false">
      <c r="A6136" s="0" t="s">
        <v>3137</v>
      </c>
      <c r="B6136" s="6" t="n">
        <v>42678</v>
      </c>
      <c r="C6136" s="7" t="s">
        <v>33</v>
      </c>
      <c r="D6136" s="7" t="s">
        <v>34</v>
      </c>
      <c r="E6136" s="7" t="s">
        <v>35</v>
      </c>
      <c r="F6136" s="0" t="n">
        <v>192.8</v>
      </c>
      <c r="G6136" s="0" t="n">
        <v>55.912</v>
      </c>
      <c r="H6136" s="0" t="n">
        <v>0</v>
      </c>
      <c r="I6136" s="7" t="n">
        <f aca="false">YEAR(B6136)</f>
        <v>2016</v>
      </c>
      <c r="J6136" s="0" t="str">
        <f aca="false">I6136&amp;"-Q"&amp;ROUNDUP(MONTH(B6136)/3,0)</f>
        <v>2016-Q4</v>
      </c>
    </row>
    <row r="6137" customFormat="false" ht="15" hidden="false" customHeight="false" outlineLevel="0" collapsed="false">
      <c r="A6137" s="0" t="s">
        <v>3138</v>
      </c>
      <c r="B6137" s="6" t="n">
        <v>42295</v>
      </c>
      <c r="C6137" s="7" t="s">
        <v>45</v>
      </c>
      <c r="D6137" s="7" t="s">
        <v>46</v>
      </c>
      <c r="E6137" s="7" t="s">
        <v>39</v>
      </c>
      <c r="F6137" s="0" t="n">
        <v>27.696</v>
      </c>
      <c r="G6137" s="0" t="n">
        <v>3.462</v>
      </c>
      <c r="H6137" s="0" t="n">
        <v>0.2</v>
      </c>
      <c r="I6137" s="7" t="n">
        <f aca="false">YEAR(B6137)</f>
        <v>2015</v>
      </c>
      <c r="J6137" s="0" t="str">
        <f aca="false">I6137&amp;"-Q"&amp;ROUNDUP(MONTH(B6137)/3,0)</f>
        <v>2015-Q4</v>
      </c>
    </row>
    <row r="6138" customFormat="false" ht="15" hidden="false" customHeight="false" outlineLevel="0" collapsed="false">
      <c r="A6138" s="0" t="s">
        <v>3138</v>
      </c>
      <c r="B6138" s="6" t="n">
        <v>42295</v>
      </c>
      <c r="C6138" s="7" t="s">
        <v>45</v>
      </c>
      <c r="D6138" s="7" t="s">
        <v>46</v>
      </c>
      <c r="E6138" s="7" t="s">
        <v>35</v>
      </c>
      <c r="F6138" s="0" t="n">
        <v>73.164</v>
      </c>
      <c r="G6138" s="0" t="n">
        <v>-186.5682</v>
      </c>
      <c r="H6138" s="0" t="n">
        <v>0.8</v>
      </c>
      <c r="I6138" s="7" t="n">
        <f aca="false">YEAR(B6138)</f>
        <v>2015</v>
      </c>
      <c r="J6138" s="0" t="str">
        <f aca="false">I6138&amp;"-Q"&amp;ROUNDUP(MONTH(B6138)/3,0)</f>
        <v>2015-Q4</v>
      </c>
    </row>
    <row r="6139" customFormat="false" ht="15" hidden="false" customHeight="false" outlineLevel="0" collapsed="false">
      <c r="A6139" s="0" t="s">
        <v>3139</v>
      </c>
      <c r="B6139" s="6" t="n">
        <v>42674</v>
      </c>
      <c r="C6139" s="7" t="s">
        <v>29</v>
      </c>
      <c r="D6139" s="7" t="s">
        <v>37</v>
      </c>
      <c r="E6139" s="7" t="s">
        <v>35</v>
      </c>
      <c r="F6139" s="0" t="n">
        <v>32.064</v>
      </c>
      <c r="G6139" s="0" t="n">
        <v>11.2224</v>
      </c>
      <c r="H6139" s="0" t="n">
        <v>0.2</v>
      </c>
      <c r="I6139" s="7" t="n">
        <f aca="false">YEAR(B6139)</f>
        <v>2016</v>
      </c>
      <c r="J6139" s="0" t="str">
        <f aca="false">I6139&amp;"-Q"&amp;ROUNDUP(MONTH(B6139)/3,0)</f>
        <v>2016-Q4</v>
      </c>
    </row>
    <row r="6140" customFormat="false" ht="15" hidden="false" customHeight="false" outlineLevel="0" collapsed="false">
      <c r="A6140" s="0" t="s">
        <v>3140</v>
      </c>
      <c r="B6140" s="6" t="n">
        <v>41728</v>
      </c>
      <c r="C6140" s="7" t="s">
        <v>33</v>
      </c>
      <c r="D6140" s="7" t="s">
        <v>34</v>
      </c>
      <c r="E6140" s="7" t="s">
        <v>31</v>
      </c>
      <c r="F6140" s="0" t="n">
        <v>205.666</v>
      </c>
      <c r="G6140" s="0" t="n">
        <v>-12.098</v>
      </c>
      <c r="H6140" s="0" t="n">
        <v>0.15</v>
      </c>
      <c r="I6140" s="7" t="n">
        <f aca="false">YEAR(B6140)</f>
        <v>2014</v>
      </c>
      <c r="J6140" s="0" t="str">
        <f aca="false">I6140&amp;"-Q"&amp;ROUNDUP(MONTH(B6140)/3,0)</f>
        <v>2014-Q1</v>
      </c>
    </row>
    <row r="6141" customFormat="false" ht="15" hidden="false" customHeight="false" outlineLevel="0" collapsed="false">
      <c r="A6141" s="0" t="s">
        <v>3141</v>
      </c>
      <c r="B6141" s="6" t="n">
        <v>42112</v>
      </c>
      <c r="C6141" s="7" t="s">
        <v>33</v>
      </c>
      <c r="D6141" s="7" t="s">
        <v>34</v>
      </c>
      <c r="E6141" s="7" t="s">
        <v>35</v>
      </c>
      <c r="F6141" s="0" t="n">
        <v>115.44</v>
      </c>
      <c r="G6141" s="0" t="n">
        <v>30.0144</v>
      </c>
      <c r="H6141" s="0" t="n">
        <v>0</v>
      </c>
      <c r="I6141" s="7" t="n">
        <f aca="false">YEAR(B6141)</f>
        <v>2015</v>
      </c>
      <c r="J6141" s="0" t="str">
        <f aca="false">I6141&amp;"-Q"&amp;ROUNDUP(MONTH(B6141)/3,0)</f>
        <v>2015-Q2</v>
      </c>
    </row>
    <row r="6142" customFormat="false" ht="15" hidden="false" customHeight="false" outlineLevel="0" collapsed="false">
      <c r="A6142" s="0" t="s">
        <v>3142</v>
      </c>
      <c r="B6142" s="6" t="n">
        <v>42925</v>
      </c>
      <c r="C6142" s="7" t="s">
        <v>55</v>
      </c>
      <c r="D6142" s="7" t="s">
        <v>154</v>
      </c>
      <c r="E6142" s="7" t="s">
        <v>35</v>
      </c>
      <c r="F6142" s="0" t="n">
        <v>274.8</v>
      </c>
      <c r="G6142" s="0" t="n">
        <v>134.652</v>
      </c>
      <c r="H6142" s="0" t="n">
        <v>0</v>
      </c>
      <c r="I6142" s="7" t="n">
        <f aca="false">YEAR(B6142)</f>
        <v>2017</v>
      </c>
      <c r="J6142" s="0" t="str">
        <f aca="false">I6142&amp;"-Q"&amp;ROUNDUP(MONTH(B6142)/3,0)</f>
        <v>2017-Q3</v>
      </c>
    </row>
    <row r="6143" customFormat="false" ht="15" hidden="false" customHeight="false" outlineLevel="0" collapsed="false">
      <c r="A6143" s="0" t="s">
        <v>3142</v>
      </c>
      <c r="B6143" s="6" t="n">
        <v>42925</v>
      </c>
      <c r="C6143" s="7" t="s">
        <v>55</v>
      </c>
      <c r="D6143" s="7" t="s">
        <v>154</v>
      </c>
      <c r="E6143" s="7" t="s">
        <v>35</v>
      </c>
      <c r="F6143" s="0" t="n">
        <v>195.64</v>
      </c>
      <c r="G6143" s="0" t="n">
        <v>3.9128</v>
      </c>
      <c r="H6143" s="0" t="n">
        <v>0</v>
      </c>
      <c r="I6143" s="7" t="n">
        <f aca="false">YEAR(B6143)</f>
        <v>2017</v>
      </c>
      <c r="J6143" s="0" t="str">
        <f aca="false">I6143&amp;"-Q"&amp;ROUNDUP(MONTH(B6143)/3,0)</f>
        <v>2017-Q3</v>
      </c>
    </row>
    <row r="6144" customFormat="false" ht="15" hidden="false" customHeight="false" outlineLevel="0" collapsed="false">
      <c r="A6144" s="0" t="s">
        <v>3142</v>
      </c>
      <c r="B6144" s="6" t="n">
        <v>42925</v>
      </c>
      <c r="C6144" s="7" t="s">
        <v>55</v>
      </c>
      <c r="D6144" s="7" t="s">
        <v>154</v>
      </c>
      <c r="E6144" s="7" t="s">
        <v>39</v>
      </c>
      <c r="F6144" s="0" t="n">
        <v>257.98</v>
      </c>
      <c r="G6144" s="0" t="n">
        <v>74.8142</v>
      </c>
      <c r="H6144" s="0" t="n">
        <v>0</v>
      </c>
      <c r="I6144" s="7" t="n">
        <f aca="false">YEAR(B6144)</f>
        <v>2017</v>
      </c>
      <c r="J6144" s="0" t="str">
        <f aca="false">I6144&amp;"-Q"&amp;ROUNDUP(MONTH(B6144)/3,0)</f>
        <v>2017-Q3</v>
      </c>
    </row>
    <row r="6145" customFormat="false" ht="15" hidden="false" customHeight="false" outlineLevel="0" collapsed="false">
      <c r="A6145" s="0" t="s">
        <v>3142</v>
      </c>
      <c r="B6145" s="6" t="n">
        <v>42925</v>
      </c>
      <c r="C6145" s="7" t="s">
        <v>55</v>
      </c>
      <c r="D6145" s="7" t="s">
        <v>154</v>
      </c>
      <c r="E6145" s="7" t="s">
        <v>35</v>
      </c>
      <c r="F6145" s="0" t="n">
        <v>119.04</v>
      </c>
      <c r="G6145" s="0" t="n">
        <v>48.8064</v>
      </c>
      <c r="H6145" s="0" t="n">
        <v>0</v>
      </c>
      <c r="I6145" s="7" t="n">
        <f aca="false">YEAR(B6145)</f>
        <v>2017</v>
      </c>
      <c r="J6145" s="0" t="str">
        <f aca="false">I6145&amp;"-Q"&amp;ROUNDUP(MONTH(B6145)/3,0)</f>
        <v>2017-Q3</v>
      </c>
    </row>
    <row r="6146" customFormat="false" ht="15" hidden="false" customHeight="false" outlineLevel="0" collapsed="false">
      <c r="A6146" s="0" t="s">
        <v>3143</v>
      </c>
      <c r="B6146" s="6" t="n">
        <v>42913</v>
      </c>
      <c r="C6146" s="7" t="s">
        <v>45</v>
      </c>
      <c r="D6146" s="7" t="s">
        <v>53</v>
      </c>
      <c r="E6146" s="7" t="s">
        <v>35</v>
      </c>
      <c r="F6146" s="0" t="n">
        <v>20.07</v>
      </c>
      <c r="G6146" s="0" t="n">
        <v>9.2322</v>
      </c>
      <c r="H6146" s="0" t="n">
        <v>0</v>
      </c>
      <c r="I6146" s="7" t="n">
        <f aca="false">YEAR(B6146)</f>
        <v>2017</v>
      </c>
      <c r="J6146" s="0" t="str">
        <f aca="false">I6146&amp;"-Q"&amp;ROUNDUP(MONTH(B6146)/3,0)</f>
        <v>2017-Q2</v>
      </c>
    </row>
    <row r="6147" customFormat="false" ht="15" hidden="false" customHeight="false" outlineLevel="0" collapsed="false">
      <c r="A6147" s="0" t="s">
        <v>3144</v>
      </c>
      <c r="B6147" s="6" t="n">
        <v>41995</v>
      </c>
      <c r="C6147" s="7" t="s">
        <v>33</v>
      </c>
      <c r="D6147" s="7" t="s">
        <v>34</v>
      </c>
      <c r="E6147" s="7" t="s">
        <v>35</v>
      </c>
      <c r="F6147" s="0" t="n">
        <v>11.76</v>
      </c>
      <c r="G6147" s="0" t="n">
        <v>3.1752</v>
      </c>
      <c r="H6147" s="0" t="n">
        <v>0</v>
      </c>
      <c r="I6147" s="7" t="n">
        <f aca="false">YEAR(B6147)</f>
        <v>2014</v>
      </c>
      <c r="J6147" s="0" t="str">
        <f aca="false">I6147&amp;"-Q"&amp;ROUNDUP(MONTH(B6147)/3,0)</f>
        <v>2014-Q4</v>
      </c>
    </row>
    <row r="6148" customFormat="false" ht="15" hidden="false" customHeight="false" outlineLevel="0" collapsed="false">
      <c r="A6148" s="0" t="s">
        <v>3145</v>
      </c>
      <c r="B6148" s="6" t="n">
        <v>43060</v>
      </c>
      <c r="C6148" s="7" t="s">
        <v>33</v>
      </c>
      <c r="D6148" s="7" t="s">
        <v>34</v>
      </c>
      <c r="E6148" s="7" t="s">
        <v>35</v>
      </c>
      <c r="F6148" s="0" t="n">
        <v>11.76</v>
      </c>
      <c r="G6148" s="0" t="n">
        <v>3.1752</v>
      </c>
      <c r="H6148" s="0" t="n">
        <v>0</v>
      </c>
      <c r="I6148" s="7" t="n">
        <f aca="false">YEAR(B6148)</f>
        <v>2017</v>
      </c>
      <c r="J6148" s="0" t="str">
        <f aca="false">I6148&amp;"-Q"&amp;ROUNDUP(MONTH(B6148)/3,0)</f>
        <v>2017-Q4</v>
      </c>
    </row>
    <row r="6149" customFormat="false" ht="15" hidden="false" customHeight="false" outlineLevel="0" collapsed="false">
      <c r="A6149" s="0" t="s">
        <v>3145</v>
      </c>
      <c r="B6149" s="6" t="n">
        <v>43060</v>
      </c>
      <c r="C6149" s="7" t="s">
        <v>33</v>
      </c>
      <c r="D6149" s="7" t="s">
        <v>34</v>
      </c>
      <c r="E6149" s="7" t="s">
        <v>35</v>
      </c>
      <c r="F6149" s="0" t="n">
        <v>40.736</v>
      </c>
      <c r="G6149" s="0" t="n">
        <v>14.7668</v>
      </c>
      <c r="H6149" s="0" t="n">
        <v>0.2</v>
      </c>
      <c r="I6149" s="7" t="n">
        <f aca="false">YEAR(B6149)</f>
        <v>2017</v>
      </c>
      <c r="J6149" s="0" t="str">
        <f aca="false">I6149&amp;"-Q"&amp;ROUNDUP(MONTH(B6149)/3,0)</f>
        <v>2017-Q4</v>
      </c>
    </row>
    <row r="6150" customFormat="false" ht="15" hidden="false" customHeight="false" outlineLevel="0" collapsed="false">
      <c r="A6150" s="0" t="s">
        <v>3146</v>
      </c>
      <c r="B6150" s="6" t="n">
        <v>42548</v>
      </c>
      <c r="C6150" s="7" t="s">
        <v>33</v>
      </c>
      <c r="D6150" s="7" t="s">
        <v>34</v>
      </c>
      <c r="E6150" s="7" t="s">
        <v>39</v>
      </c>
      <c r="F6150" s="0" t="n">
        <v>201.584</v>
      </c>
      <c r="G6150" s="0" t="n">
        <v>12.599</v>
      </c>
      <c r="H6150" s="0" t="n">
        <v>0.2</v>
      </c>
      <c r="I6150" s="7" t="n">
        <f aca="false">YEAR(B6150)</f>
        <v>2016</v>
      </c>
      <c r="J6150" s="0" t="str">
        <f aca="false">I6150&amp;"-Q"&amp;ROUNDUP(MONTH(B6150)/3,0)</f>
        <v>2016-Q2</v>
      </c>
    </row>
    <row r="6151" customFormat="false" ht="15" hidden="false" customHeight="false" outlineLevel="0" collapsed="false">
      <c r="A6151" s="0" t="s">
        <v>3147</v>
      </c>
      <c r="B6151" s="6" t="n">
        <v>43097</v>
      </c>
      <c r="C6151" s="7" t="s">
        <v>33</v>
      </c>
      <c r="D6151" s="7" t="s">
        <v>34</v>
      </c>
      <c r="E6151" s="7" t="s">
        <v>31</v>
      </c>
      <c r="F6151" s="0" t="n">
        <v>340.704</v>
      </c>
      <c r="G6151" s="0" t="n">
        <v>-34.0704</v>
      </c>
      <c r="H6151" s="0" t="n">
        <v>0.2</v>
      </c>
      <c r="I6151" s="7" t="n">
        <f aca="false">YEAR(B6151)</f>
        <v>2017</v>
      </c>
      <c r="J6151" s="0" t="str">
        <f aca="false">I6151&amp;"-Q"&amp;ROUNDUP(MONTH(B6151)/3,0)</f>
        <v>2017-Q4</v>
      </c>
    </row>
    <row r="6152" customFormat="false" ht="15" hidden="false" customHeight="false" outlineLevel="0" collapsed="false">
      <c r="A6152" s="0" t="s">
        <v>3148</v>
      </c>
      <c r="B6152" s="6" t="n">
        <v>42468</v>
      </c>
      <c r="C6152" s="7" t="s">
        <v>29</v>
      </c>
      <c r="D6152" s="7" t="s">
        <v>230</v>
      </c>
      <c r="E6152" s="7" t="s">
        <v>31</v>
      </c>
      <c r="F6152" s="0" t="n">
        <v>354.9</v>
      </c>
      <c r="G6152" s="0" t="n">
        <v>88.725</v>
      </c>
      <c r="H6152" s="0" t="n">
        <v>0</v>
      </c>
      <c r="I6152" s="7" t="n">
        <f aca="false">YEAR(B6152)</f>
        <v>2016</v>
      </c>
      <c r="J6152" s="0" t="str">
        <f aca="false">I6152&amp;"-Q"&amp;ROUNDUP(MONTH(B6152)/3,0)</f>
        <v>2016-Q2</v>
      </c>
    </row>
    <row r="6153" customFormat="false" ht="15" hidden="false" customHeight="false" outlineLevel="0" collapsed="false">
      <c r="A6153" s="0" t="s">
        <v>3149</v>
      </c>
      <c r="B6153" s="6" t="n">
        <v>41716</v>
      </c>
      <c r="C6153" s="7" t="s">
        <v>33</v>
      </c>
      <c r="D6153" s="7" t="s">
        <v>34</v>
      </c>
      <c r="E6153" s="7" t="s">
        <v>31</v>
      </c>
      <c r="F6153" s="0" t="n">
        <v>1198.33</v>
      </c>
      <c r="G6153" s="0" t="n">
        <v>70.49</v>
      </c>
      <c r="H6153" s="0" t="n">
        <v>0.15</v>
      </c>
      <c r="I6153" s="7" t="n">
        <f aca="false">YEAR(B6153)</f>
        <v>2014</v>
      </c>
      <c r="J6153" s="0" t="str">
        <f aca="false">I6153&amp;"-Q"&amp;ROUNDUP(MONTH(B6153)/3,0)</f>
        <v>2014-Q1</v>
      </c>
    </row>
    <row r="6154" customFormat="false" ht="15" hidden="false" customHeight="false" outlineLevel="0" collapsed="false">
      <c r="A6154" s="0" t="s">
        <v>3150</v>
      </c>
      <c r="B6154" s="6" t="n">
        <v>42919</v>
      </c>
      <c r="C6154" s="7" t="s">
        <v>33</v>
      </c>
      <c r="D6154" s="7" t="s">
        <v>34</v>
      </c>
      <c r="E6154" s="7" t="s">
        <v>35</v>
      </c>
      <c r="F6154" s="0" t="n">
        <v>87.92</v>
      </c>
      <c r="G6154" s="0" t="n">
        <v>0.8792</v>
      </c>
      <c r="H6154" s="0" t="n">
        <v>0</v>
      </c>
      <c r="I6154" s="7" t="n">
        <f aca="false">YEAR(B6154)</f>
        <v>2017</v>
      </c>
      <c r="J6154" s="0" t="str">
        <f aca="false">I6154&amp;"-Q"&amp;ROUNDUP(MONTH(B6154)/3,0)</f>
        <v>2017-Q3</v>
      </c>
    </row>
    <row r="6155" customFormat="false" ht="15" hidden="false" customHeight="false" outlineLevel="0" collapsed="false">
      <c r="A6155" s="0" t="s">
        <v>3151</v>
      </c>
      <c r="B6155" s="6" t="n">
        <v>42845</v>
      </c>
      <c r="C6155" s="7" t="s">
        <v>55</v>
      </c>
      <c r="D6155" s="7" t="s">
        <v>56</v>
      </c>
      <c r="E6155" s="7" t="s">
        <v>31</v>
      </c>
      <c r="F6155" s="0" t="n">
        <v>51.968</v>
      </c>
      <c r="G6155" s="0" t="n">
        <v>10.3936</v>
      </c>
      <c r="H6155" s="0" t="n">
        <v>0.2</v>
      </c>
      <c r="I6155" s="7" t="n">
        <f aca="false">YEAR(B6155)</f>
        <v>2017</v>
      </c>
      <c r="J6155" s="0" t="str">
        <f aca="false">I6155&amp;"-Q"&amp;ROUNDUP(MONTH(B6155)/3,0)</f>
        <v>2017-Q2</v>
      </c>
    </row>
    <row r="6156" customFormat="false" ht="15" hidden="false" customHeight="false" outlineLevel="0" collapsed="false">
      <c r="A6156" s="0" t="s">
        <v>3151</v>
      </c>
      <c r="B6156" s="6" t="n">
        <v>42845</v>
      </c>
      <c r="C6156" s="7" t="s">
        <v>55</v>
      </c>
      <c r="D6156" s="7" t="s">
        <v>56</v>
      </c>
      <c r="E6156" s="7" t="s">
        <v>35</v>
      </c>
      <c r="F6156" s="0" t="n">
        <v>51.336</v>
      </c>
      <c r="G6156" s="0" t="n">
        <v>5.7753</v>
      </c>
      <c r="H6156" s="0" t="n">
        <v>0.2</v>
      </c>
      <c r="I6156" s="7" t="n">
        <f aca="false">YEAR(B6156)</f>
        <v>2017</v>
      </c>
      <c r="J6156" s="0" t="str">
        <f aca="false">I6156&amp;"-Q"&amp;ROUNDUP(MONTH(B6156)/3,0)</f>
        <v>2017-Q2</v>
      </c>
    </row>
    <row r="6157" customFormat="false" ht="15" hidden="false" customHeight="false" outlineLevel="0" collapsed="false">
      <c r="A6157" s="0" t="s">
        <v>3151</v>
      </c>
      <c r="B6157" s="6" t="n">
        <v>42845</v>
      </c>
      <c r="C6157" s="7" t="s">
        <v>55</v>
      </c>
      <c r="D6157" s="7" t="s">
        <v>56</v>
      </c>
      <c r="E6157" s="7" t="s">
        <v>35</v>
      </c>
      <c r="F6157" s="0" t="n">
        <v>332.704</v>
      </c>
      <c r="G6157" s="0" t="n">
        <v>33.2704</v>
      </c>
      <c r="H6157" s="0" t="n">
        <v>0.2</v>
      </c>
      <c r="I6157" s="7" t="n">
        <f aca="false">YEAR(B6157)</f>
        <v>2017</v>
      </c>
      <c r="J6157" s="0" t="str">
        <f aca="false">I6157&amp;"-Q"&amp;ROUNDUP(MONTH(B6157)/3,0)</f>
        <v>2017-Q2</v>
      </c>
    </row>
    <row r="6158" customFormat="false" ht="15" hidden="false" customHeight="false" outlineLevel="0" collapsed="false">
      <c r="A6158" s="0" t="s">
        <v>3151</v>
      </c>
      <c r="B6158" s="6" t="n">
        <v>42845</v>
      </c>
      <c r="C6158" s="7" t="s">
        <v>55</v>
      </c>
      <c r="D6158" s="7" t="s">
        <v>56</v>
      </c>
      <c r="E6158" s="7" t="s">
        <v>31</v>
      </c>
      <c r="F6158" s="0" t="n">
        <v>42.408</v>
      </c>
      <c r="G6158" s="0" t="n">
        <v>9.5418</v>
      </c>
      <c r="H6158" s="0" t="n">
        <v>0.2</v>
      </c>
      <c r="I6158" s="7" t="n">
        <f aca="false">YEAR(B6158)</f>
        <v>2017</v>
      </c>
      <c r="J6158" s="0" t="str">
        <f aca="false">I6158&amp;"-Q"&amp;ROUNDUP(MONTH(B6158)/3,0)</f>
        <v>2017-Q2</v>
      </c>
    </row>
    <row r="6159" customFormat="false" ht="15" hidden="false" customHeight="false" outlineLevel="0" collapsed="false">
      <c r="A6159" s="0" t="s">
        <v>3152</v>
      </c>
      <c r="B6159" s="6" t="n">
        <v>42585</v>
      </c>
      <c r="C6159" s="7" t="s">
        <v>45</v>
      </c>
      <c r="D6159" s="7" t="s">
        <v>138</v>
      </c>
      <c r="E6159" s="7" t="s">
        <v>35</v>
      </c>
      <c r="F6159" s="0" t="n">
        <v>81.54</v>
      </c>
      <c r="G6159" s="0" t="n">
        <v>38.3238</v>
      </c>
      <c r="H6159" s="0" t="n">
        <v>0</v>
      </c>
      <c r="I6159" s="7" t="n">
        <f aca="false">YEAR(B6159)</f>
        <v>2016</v>
      </c>
      <c r="J6159" s="0" t="str">
        <f aca="false">I6159&amp;"-Q"&amp;ROUNDUP(MONTH(B6159)/3,0)</f>
        <v>2016-Q3</v>
      </c>
    </row>
    <row r="6160" customFormat="false" ht="15" hidden="false" customHeight="false" outlineLevel="0" collapsed="false">
      <c r="A6160" s="0" t="s">
        <v>3152</v>
      </c>
      <c r="B6160" s="6" t="n">
        <v>42585</v>
      </c>
      <c r="C6160" s="7" t="s">
        <v>45</v>
      </c>
      <c r="D6160" s="7" t="s">
        <v>138</v>
      </c>
      <c r="E6160" s="7" t="s">
        <v>39</v>
      </c>
      <c r="F6160" s="0" t="n">
        <v>167.28</v>
      </c>
      <c r="G6160" s="0" t="n">
        <v>23.4192</v>
      </c>
      <c r="H6160" s="0" t="n">
        <v>0</v>
      </c>
      <c r="I6160" s="7" t="n">
        <f aca="false">YEAR(B6160)</f>
        <v>2016</v>
      </c>
      <c r="J6160" s="0" t="str">
        <f aca="false">I6160&amp;"-Q"&amp;ROUNDUP(MONTH(B6160)/3,0)</f>
        <v>2016-Q3</v>
      </c>
    </row>
    <row r="6161" customFormat="false" ht="15" hidden="false" customHeight="false" outlineLevel="0" collapsed="false">
      <c r="A6161" s="0" t="s">
        <v>3153</v>
      </c>
      <c r="B6161" s="6" t="n">
        <v>42707</v>
      </c>
      <c r="C6161" s="7" t="s">
        <v>33</v>
      </c>
      <c r="D6161" s="7" t="s">
        <v>34</v>
      </c>
      <c r="E6161" s="7" t="s">
        <v>35</v>
      </c>
      <c r="F6161" s="0" t="n">
        <v>772.68</v>
      </c>
      <c r="G6161" s="0" t="n">
        <v>108.1752</v>
      </c>
      <c r="H6161" s="0" t="n">
        <v>0</v>
      </c>
      <c r="I6161" s="7" t="n">
        <f aca="false">YEAR(B6161)</f>
        <v>2016</v>
      </c>
      <c r="J6161" s="0" t="str">
        <f aca="false">I6161&amp;"-Q"&amp;ROUNDUP(MONTH(B6161)/3,0)</f>
        <v>2016-Q4</v>
      </c>
    </row>
    <row r="6162" customFormat="false" ht="15" hidden="false" customHeight="false" outlineLevel="0" collapsed="false">
      <c r="A6162" s="0" t="s">
        <v>3154</v>
      </c>
      <c r="B6162" s="6" t="n">
        <v>41717</v>
      </c>
      <c r="C6162" s="7" t="s">
        <v>29</v>
      </c>
      <c r="D6162" s="7" t="s">
        <v>37</v>
      </c>
      <c r="E6162" s="7" t="s">
        <v>39</v>
      </c>
      <c r="F6162" s="0" t="n">
        <v>323.976</v>
      </c>
      <c r="G6162" s="0" t="n">
        <v>28.3479</v>
      </c>
      <c r="H6162" s="0" t="n">
        <v>0.2</v>
      </c>
      <c r="I6162" s="7" t="n">
        <f aca="false">YEAR(B6162)</f>
        <v>2014</v>
      </c>
      <c r="J6162" s="0" t="str">
        <f aca="false">I6162&amp;"-Q"&amp;ROUNDUP(MONTH(B6162)/3,0)</f>
        <v>2014-Q1</v>
      </c>
    </row>
    <row r="6163" customFormat="false" ht="15" hidden="false" customHeight="false" outlineLevel="0" collapsed="false">
      <c r="A6163" s="0" t="s">
        <v>3154</v>
      </c>
      <c r="B6163" s="6" t="n">
        <v>41717</v>
      </c>
      <c r="C6163" s="7" t="s">
        <v>29</v>
      </c>
      <c r="D6163" s="7" t="s">
        <v>37</v>
      </c>
      <c r="E6163" s="7" t="s">
        <v>35</v>
      </c>
      <c r="F6163" s="0" t="n">
        <v>11.808</v>
      </c>
      <c r="G6163" s="0" t="n">
        <v>3.9852</v>
      </c>
      <c r="H6163" s="0" t="n">
        <v>0.2</v>
      </c>
      <c r="I6163" s="7" t="n">
        <f aca="false">YEAR(B6163)</f>
        <v>2014</v>
      </c>
      <c r="J6163" s="0" t="str">
        <f aca="false">I6163&amp;"-Q"&amp;ROUNDUP(MONTH(B6163)/3,0)</f>
        <v>2014-Q1</v>
      </c>
    </row>
    <row r="6164" customFormat="false" ht="15" hidden="false" customHeight="false" outlineLevel="0" collapsed="false">
      <c r="A6164" s="0" t="s">
        <v>3154</v>
      </c>
      <c r="B6164" s="6" t="n">
        <v>41717</v>
      </c>
      <c r="C6164" s="7" t="s">
        <v>29</v>
      </c>
      <c r="D6164" s="7" t="s">
        <v>37</v>
      </c>
      <c r="E6164" s="7" t="s">
        <v>35</v>
      </c>
      <c r="F6164" s="0" t="n">
        <v>26.16</v>
      </c>
      <c r="G6164" s="0" t="n">
        <v>1.962</v>
      </c>
      <c r="H6164" s="0" t="n">
        <v>0.2</v>
      </c>
      <c r="I6164" s="7" t="n">
        <f aca="false">YEAR(B6164)</f>
        <v>2014</v>
      </c>
      <c r="J6164" s="0" t="str">
        <f aca="false">I6164&amp;"-Q"&amp;ROUNDUP(MONTH(B6164)/3,0)</f>
        <v>2014-Q1</v>
      </c>
    </row>
    <row r="6165" customFormat="false" ht="15" hidden="false" customHeight="false" outlineLevel="0" collapsed="false">
      <c r="A6165" s="0" t="s">
        <v>3154</v>
      </c>
      <c r="B6165" s="6" t="n">
        <v>41717</v>
      </c>
      <c r="C6165" s="7" t="s">
        <v>29</v>
      </c>
      <c r="D6165" s="7" t="s">
        <v>37</v>
      </c>
      <c r="E6165" s="7" t="s">
        <v>35</v>
      </c>
      <c r="F6165" s="0" t="n">
        <v>33.57</v>
      </c>
      <c r="G6165" s="0" t="n">
        <v>-25.737</v>
      </c>
      <c r="H6165" s="0" t="n">
        <v>0.7</v>
      </c>
      <c r="I6165" s="7" t="n">
        <f aca="false">YEAR(B6165)</f>
        <v>2014</v>
      </c>
      <c r="J6165" s="0" t="str">
        <f aca="false">I6165&amp;"-Q"&amp;ROUNDUP(MONTH(B6165)/3,0)</f>
        <v>2014-Q1</v>
      </c>
    </row>
    <row r="6166" customFormat="false" ht="15" hidden="false" customHeight="false" outlineLevel="0" collapsed="false">
      <c r="A6166" s="0" t="s">
        <v>3154</v>
      </c>
      <c r="B6166" s="6" t="n">
        <v>41717</v>
      </c>
      <c r="C6166" s="7" t="s">
        <v>29</v>
      </c>
      <c r="D6166" s="7" t="s">
        <v>37</v>
      </c>
      <c r="E6166" s="7" t="s">
        <v>31</v>
      </c>
      <c r="F6166" s="0" t="n">
        <v>4.992</v>
      </c>
      <c r="G6166" s="0" t="n">
        <v>1.3728</v>
      </c>
      <c r="H6166" s="0" t="n">
        <v>0.2</v>
      </c>
      <c r="I6166" s="7" t="n">
        <f aca="false">YEAR(B6166)</f>
        <v>2014</v>
      </c>
      <c r="J6166" s="0" t="str">
        <f aca="false">I6166&amp;"-Q"&amp;ROUNDUP(MONTH(B6166)/3,0)</f>
        <v>2014-Q1</v>
      </c>
    </row>
    <row r="6167" customFormat="false" ht="15" hidden="false" customHeight="false" outlineLevel="0" collapsed="false">
      <c r="A6167" s="0" t="s">
        <v>3154</v>
      </c>
      <c r="B6167" s="6" t="n">
        <v>41717</v>
      </c>
      <c r="C6167" s="7" t="s">
        <v>29</v>
      </c>
      <c r="D6167" s="7" t="s">
        <v>37</v>
      </c>
      <c r="E6167" s="7" t="s">
        <v>31</v>
      </c>
      <c r="F6167" s="0" t="n">
        <v>20.016</v>
      </c>
      <c r="G6167" s="0" t="n">
        <v>5.5044</v>
      </c>
      <c r="H6167" s="0" t="n">
        <v>0.2</v>
      </c>
      <c r="I6167" s="7" t="n">
        <f aca="false">YEAR(B6167)</f>
        <v>2014</v>
      </c>
      <c r="J6167" s="0" t="str">
        <f aca="false">I6167&amp;"-Q"&amp;ROUNDUP(MONTH(B6167)/3,0)</f>
        <v>2014-Q1</v>
      </c>
    </row>
    <row r="6168" customFormat="false" ht="15" hidden="false" customHeight="false" outlineLevel="0" collapsed="false">
      <c r="A6168" s="0" t="s">
        <v>3154</v>
      </c>
      <c r="B6168" s="6" t="n">
        <v>41717</v>
      </c>
      <c r="C6168" s="7" t="s">
        <v>29</v>
      </c>
      <c r="D6168" s="7" t="s">
        <v>37</v>
      </c>
      <c r="E6168" s="7" t="s">
        <v>39</v>
      </c>
      <c r="F6168" s="0" t="n">
        <v>170.24</v>
      </c>
      <c r="G6168" s="0" t="n">
        <v>53.2</v>
      </c>
      <c r="H6168" s="0" t="n">
        <v>0.2</v>
      </c>
      <c r="I6168" s="7" t="n">
        <f aca="false">YEAR(B6168)</f>
        <v>2014</v>
      </c>
      <c r="J6168" s="0" t="str">
        <f aca="false">I6168&amp;"-Q"&amp;ROUNDUP(MONTH(B6168)/3,0)</f>
        <v>2014-Q1</v>
      </c>
    </row>
    <row r="6169" customFormat="false" ht="15" hidden="false" customHeight="false" outlineLevel="0" collapsed="false">
      <c r="A6169" s="0" t="s">
        <v>3155</v>
      </c>
      <c r="B6169" s="6" t="n">
        <v>42114</v>
      </c>
      <c r="C6169" s="7" t="s">
        <v>45</v>
      </c>
      <c r="D6169" s="7" t="s">
        <v>46</v>
      </c>
      <c r="E6169" s="7" t="s">
        <v>35</v>
      </c>
      <c r="F6169" s="0" t="n">
        <v>117.456</v>
      </c>
      <c r="G6169" s="0" t="n">
        <v>44.046</v>
      </c>
      <c r="H6169" s="0" t="n">
        <v>0.2</v>
      </c>
      <c r="I6169" s="7" t="n">
        <f aca="false">YEAR(B6169)</f>
        <v>2015</v>
      </c>
      <c r="J6169" s="0" t="str">
        <f aca="false">I6169&amp;"-Q"&amp;ROUNDUP(MONTH(B6169)/3,0)</f>
        <v>2015-Q2</v>
      </c>
    </row>
    <row r="6170" customFormat="false" ht="15" hidden="false" customHeight="false" outlineLevel="0" collapsed="false">
      <c r="A6170" s="0" t="s">
        <v>3156</v>
      </c>
      <c r="B6170" s="6" t="n">
        <v>42266</v>
      </c>
      <c r="C6170" s="7" t="s">
        <v>33</v>
      </c>
      <c r="D6170" s="7" t="s">
        <v>34</v>
      </c>
      <c r="E6170" s="7" t="s">
        <v>35</v>
      </c>
      <c r="F6170" s="0" t="n">
        <v>22.96</v>
      </c>
      <c r="G6170" s="0" t="n">
        <v>11.2504</v>
      </c>
      <c r="H6170" s="0" t="n">
        <v>0</v>
      </c>
      <c r="I6170" s="7" t="n">
        <f aca="false">YEAR(B6170)</f>
        <v>2015</v>
      </c>
      <c r="J6170" s="0" t="str">
        <f aca="false">I6170&amp;"-Q"&amp;ROUNDUP(MONTH(B6170)/3,0)</f>
        <v>2015-Q3</v>
      </c>
    </row>
    <row r="6171" customFormat="false" ht="15" hidden="false" customHeight="false" outlineLevel="0" collapsed="false">
      <c r="A6171" s="0" t="s">
        <v>3157</v>
      </c>
      <c r="B6171" s="6" t="n">
        <v>41878</v>
      </c>
      <c r="C6171" s="7" t="s">
        <v>29</v>
      </c>
      <c r="D6171" s="7" t="s">
        <v>83</v>
      </c>
      <c r="E6171" s="7" t="s">
        <v>35</v>
      </c>
      <c r="F6171" s="0" t="n">
        <v>13.36</v>
      </c>
      <c r="G6171" s="0" t="n">
        <v>6.4128</v>
      </c>
      <c r="H6171" s="0" t="n">
        <v>0</v>
      </c>
      <c r="I6171" s="7" t="n">
        <f aca="false">YEAR(B6171)</f>
        <v>2014</v>
      </c>
      <c r="J6171" s="0" t="str">
        <f aca="false">I6171&amp;"-Q"&amp;ROUNDUP(MONTH(B6171)/3,0)</f>
        <v>2014-Q3</v>
      </c>
    </row>
    <row r="6172" customFormat="false" ht="15" hidden="false" customHeight="false" outlineLevel="0" collapsed="false">
      <c r="A6172" s="0" t="s">
        <v>3158</v>
      </c>
      <c r="B6172" s="6" t="n">
        <v>42723</v>
      </c>
      <c r="C6172" s="7" t="s">
        <v>55</v>
      </c>
      <c r="D6172" s="7" t="s">
        <v>76</v>
      </c>
      <c r="E6172" s="7" t="s">
        <v>35</v>
      </c>
      <c r="F6172" s="0" t="n">
        <v>34.248</v>
      </c>
      <c r="G6172" s="0" t="n">
        <v>11.5587</v>
      </c>
      <c r="H6172" s="0" t="n">
        <v>0.2</v>
      </c>
      <c r="I6172" s="7" t="n">
        <f aca="false">YEAR(B6172)</f>
        <v>2016</v>
      </c>
      <c r="J6172" s="0" t="str">
        <f aca="false">I6172&amp;"-Q"&amp;ROUNDUP(MONTH(B6172)/3,0)</f>
        <v>2016-Q4</v>
      </c>
    </row>
    <row r="6173" customFormat="false" ht="15" hidden="false" customHeight="false" outlineLevel="0" collapsed="false">
      <c r="A6173" s="0" t="s">
        <v>3158</v>
      </c>
      <c r="B6173" s="6" t="n">
        <v>42723</v>
      </c>
      <c r="C6173" s="7" t="s">
        <v>55</v>
      </c>
      <c r="D6173" s="7" t="s">
        <v>76</v>
      </c>
      <c r="E6173" s="7" t="s">
        <v>35</v>
      </c>
      <c r="F6173" s="0" t="n">
        <v>3.52</v>
      </c>
      <c r="G6173" s="0" t="n">
        <v>1.0208</v>
      </c>
      <c r="H6173" s="0" t="n">
        <v>0</v>
      </c>
      <c r="I6173" s="7" t="n">
        <f aca="false">YEAR(B6173)</f>
        <v>2016</v>
      </c>
      <c r="J6173" s="0" t="str">
        <f aca="false">I6173&amp;"-Q"&amp;ROUNDUP(MONTH(B6173)/3,0)</f>
        <v>2016-Q4</v>
      </c>
    </row>
    <row r="6174" customFormat="false" ht="15" hidden="false" customHeight="false" outlineLevel="0" collapsed="false">
      <c r="A6174" s="0" t="s">
        <v>3159</v>
      </c>
      <c r="B6174" s="6" t="n">
        <v>41853</v>
      </c>
      <c r="C6174" s="7" t="s">
        <v>45</v>
      </c>
      <c r="D6174" s="7" t="s">
        <v>129</v>
      </c>
      <c r="E6174" s="7" t="s">
        <v>35</v>
      </c>
      <c r="F6174" s="0" t="n">
        <v>26.7</v>
      </c>
      <c r="G6174" s="0" t="n">
        <v>12.549</v>
      </c>
      <c r="H6174" s="0" t="n">
        <v>0</v>
      </c>
      <c r="I6174" s="7" t="n">
        <f aca="false">YEAR(B6174)</f>
        <v>2014</v>
      </c>
      <c r="J6174" s="0" t="str">
        <f aca="false">I6174&amp;"-Q"&amp;ROUNDUP(MONTH(B6174)/3,0)</f>
        <v>2014-Q3</v>
      </c>
    </row>
    <row r="6175" customFormat="false" ht="15" hidden="false" customHeight="false" outlineLevel="0" collapsed="false">
      <c r="A6175" s="0" t="s">
        <v>3159</v>
      </c>
      <c r="B6175" s="6" t="n">
        <v>41853</v>
      </c>
      <c r="C6175" s="7" t="s">
        <v>45</v>
      </c>
      <c r="D6175" s="7" t="s">
        <v>129</v>
      </c>
      <c r="E6175" s="7" t="s">
        <v>39</v>
      </c>
      <c r="F6175" s="0" t="n">
        <v>21.2</v>
      </c>
      <c r="G6175" s="0" t="n">
        <v>9.116</v>
      </c>
      <c r="H6175" s="0" t="n">
        <v>0</v>
      </c>
      <c r="I6175" s="7" t="n">
        <f aca="false">YEAR(B6175)</f>
        <v>2014</v>
      </c>
      <c r="J6175" s="0" t="str">
        <f aca="false">I6175&amp;"-Q"&amp;ROUNDUP(MONTH(B6175)/3,0)</f>
        <v>2014-Q3</v>
      </c>
    </row>
    <row r="6176" customFormat="false" ht="15" hidden="false" customHeight="false" outlineLevel="0" collapsed="false">
      <c r="A6176" s="0" t="s">
        <v>3159</v>
      </c>
      <c r="B6176" s="6" t="n">
        <v>41853</v>
      </c>
      <c r="C6176" s="7" t="s">
        <v>45</v>
      </c>
      <c r="D6176" s="7" t="s">
        <v>129</v>
      </c>
      <c r="E6176" s="7" t="s">
        <v>35</v>
      </c>
      <c r="F6176" s="0" t="n">
        <v>838.38</v>
      </c>
      <c r="G6176" s="0" t="n">
        <v>226.3626</v>
      </c>
      <c r="H6176" s="0" t="n">
        <v>0</v>
      </c>
      <c r="I6176" s="7" t="n">
        <f aca="false">YEAR(B6176)</f>
        <v>2014</v>
      </c>
      <c r="J6176" s="0" t="str">
        <f aca="false">I6176&amp;"-Q"&amp;ROUNDUP(MONTH(B6176)/3,0)</f>
        <v>2014-Q3</v>
      </c>
    </row>
    <row r="6177" customFormat="false" ht="15" hidden="false" customHeight="false" outlineLevel="0" collapsed="false">
      <c r="A6177" s="0" t="s">
        <v>3160</v>
      </c>
      <c r="B6177" s="6" t="n">
        <v>42268</v>
      </c>
      <c r="C6177" s="7" t="s">
        <v>29</v>
      </c>
      <c r="D6177" s="7" t="s">
        <v>96</v>
      </c>
      <c r="E6177" s="7" t="s">
        <v>31</v>
      </c>
      <c r="F6177" s="0" t="n">
        <v>1690.04</v>
      </c>
      <c r="G6177" s="0" t="n">
        <v>422.51</v>
      </c>
      <c r="H6177" s="0" t="n">
        <v>0</v>
      </c>
      <c r="I6177" s="7" t="n">
        <f aca="false">YEAR(B6177)</f>
        <v>2015</v>
      </c>
      <c r="J6177" s="0" t="str">
        <f aca="false">I6177&amp;"-Q"&amp;ROUNDUP(MONTH(B6177)/3,0)</f>
        <v>2015-Q3</v>
      </c>
    </row>
    <row r="6178" customFormat="false" ht="15" hidden="false" customHeight="false" outlineLevel="0" collapsed="false">
      <c r="A6178" s="0" t="s">
        <v>3160</v>
      </c>
      <c r="B6178" s="6" t="n">
        <v>42268</v>
      </c>
      <c r="C6178" s="7" t="s">
        <v>29</v>
      </c>
      <c r="D6178" s="7" t="s">
        <v>96</v>
      </c>
      <c r="E6178" s="7" t="s">
        <v>35</v>
      </c>
      <c r="F6178" s="0" t="n">
        <v>85.96</v>
      </c>
      <c r="G6178" s="0" t="n">
        <v>24.0688</v>
      </c>
      <c r="H6178" s="0" t="n">
        <v>0</v>
      </c>
      <c r="I6178" s="7" t="n">
        <f aca="false">YEAR(B6178)</f>
        <v>2015</v>
      </c>
      <c r="J6178" s="0" t="str">
        <f aca="false">I6178&amp;"-Q"&amp;ROUNDUP(MONTH(B6178)/3,0)</f>
        <v>2015-Q3</v>
      </c>
    </row>
    <row r="6179" customFormat="false" ht="15" hidden="false" customHeight="false" outlineLevel="0" collapsed="false">
      <c r="A6179" s="0" t="s">
        <v>3160</v>
      </c>
      <c r="B6179" s="6" t="n">
        <v>42268</v>
      </c>
      <c r="C6179" s="7" t="s">
        <v>29</v>
      </c>
      <c r="D6179" s="7" t="s">
        <v>96</v>
      </c>
      <c r="E6179" s="7" t="s">
        <v>35</v>
      </c>
      <c r="F6179" s="0" t="n">
        <v>121.96</v>
      </c>
      <c r="G6179" s="0" t="n">
        <v>57.3212</v>
      </c>
      <c r="H6179" s="0" t="n">
        <v>0</v>
      </c>
      <c r="I6179" s="7" t="n">
        <f aca="false">YEAR(B6179)</f>
        <v>2015</v>
      </c>
      <c r="J6179" s="0" t="str">
        <f aca="false">I6179&amp;"-Q"&amp;ROUNDUP(MONTH(B6179)/3,0)</f>
        <v>2015-Q3</v>
      </c>
    </row>
    <row r="6180" customFormat="false" ht="15" hidden="false" customHeight="false" outlineLevel="0" collapsed="false">
      <c r="A6180" s="0" t="s">
        <v>3160</v>
      </c>
      <c r="B6180" s="6" t="n">
        <v>42268</v>
      </c>
      <c r="C6180" s="7" t="s">
        <v>29</v>
      </c>
      <c r="D6180" s="7" t="s">
        <v>96</v>
      </c>
      <c r="E6180" s="7" t="s">
        <v>35</v>
      </c>
      <c r="F6180" s="0" t="n">
        <v>23.92</v>
      </c>
      <c r="G6180" s="0" t="n">
        <v>11.7208</v>
      </c>
      <c r="H6180" s="0" t="n">
        <v>0</v>
      </c>
      <c r="I6180" s="7" t="n">
        <f aca="false">YEAR(B6180)</f>
        <v>2015</v>
      </c>
      <c r="J6180" s="0" t="str">
        <f aca="false">I6180&amp;"-Q"&amp;ROUNDUP(MONTH(B6180)/3,0)</f>
        <v>2015-Q3</v>
      </c>
    </row>
    <row r="6181" customFormat="false" ht="15" hidden="false" customHeight="false" outlineLevel="0" collapsed="false">
      <c r="A6181" s="0" t="s">
        <v>3160</v>
      </c>
      <c r="B6181" s="6" t="n">
        <v>42268</v>
      </c>
      <c r="C6181" s="7" t="s">
        <v>29</v>
      </c>
      <c r="D6181" s="7" t="s">
        <v>96</v>
      </c>
      <c r="E6181" s="7" t="s">
        <v>35</v>
      </c>
      <c r="F6181" s="0" t="n">
        <v>63.96</v>
      </c>
      <c r="G6181" s="0" t="n">
        <v>6.396</v>
      </c>
      <c r="H6181" s="0" t="n">
        <v>0</v>
      </c>
      <c r="I6181" s="7" t="n">
        <f aca="false">YEAR(B6181)</f>
        <v>2015</v>
      </c>
      <c r="J6181" s="0" t="str">
        <f aca="false">I6181&amp;"-Q"&amp;ROUNDUP(MONTH(B6181)/3,0)</f>
        <v>2015-Q3</v>
      </c>
    </row>
    <row r="6182" customFormat="false" ht="15" hidden="false" customHeight="false" outlineLevel="0" collapsed="false">
      <c r="A6182" s="0" t="s">
        <v>3160</v>
      </c>
      <c r="B6182" s="6" t="n">
        <v>42268</v>
      </c>
      <c r="C6182" s="7" t="s">
        <v>29</v>
      </c>
      <c r="D6182" s="7" t="s">
        <v>96</v>
      </c>
      <c r="E6182" s="7" t="s">
        <v>39</v>
      </c>
      <c r="F6182" s="0" t="n">
        <v>629.95</v>
      </c>
      <c r="G6182" s="0" t="n">
        <v>176.386</v>
      </c>
      <c r="H6182" s="0" t="n">
        <v>0</v>
      </c>
      <c r="I6182" s="7" t="n">
        <f aca="false">YEAR(B6182)</f>
        <v>2015</v>
      </c>
      <c r="J6182" s="0" t="str">
        <f aca="false">I6182&amp;"-Q"&amp;ROUNDUP(MONTH(B6182)/3,0)</f>
        <v>2015-Q3</v>
      </c>
    </row>
    <row r="6183" customFormat="false" ht="15" hidden="false" customHeight="false" outlineLevel="0" collapsed="false">
      <c r="A6183" s="0" t="s">
        <v>3160</v>
      </c>
      <c r="B6183" s="6" t="n">
        <v>42268</v>
      </c>
      <c r="C6183" s="7" t="s">
        <v>29</v>
      </c>
      <c r="D6183" s="7" t="s">
        <v>96</v>
      </c>
      <c r="E6183" s="7" t="s">
        <v>39</v>
      </c>
      <c r="F6183" s="0" t="n">
        <v>113.73</v>
      </c>
      <c r="G6183" s="0" t="n">
        <v>32.9817</v>
      </c>
      <c r="H6183" s="0" t="n">
        <v>0</v>
      </c>
      <c r="I6183" s="7" t="n">
        <f aca="false">YEAR(B6183)</f>
        <v>2015</v>
      </c>
      <c r="J6183" s="0" t="str">
        <f aca="false">I6183&amp;"-Q"&amp;ROUNDUP(MONTH(B6183)/3,0)</f>
        <v>2015-Q3</v>
      </c>
    </row>
    <row r="6184" customFormat="false" ht="15" hidden="false" customHeight="false" outlineLevel="0" collapsed="false">
      <c r="A6184" s="0" t="s">
        <v>3160</v>
      </c>
      <c r="B6184" s="6" t="n">
        <v>42268</v>
      </c>
      <c r="C6184" s="7" t="s">
        <v>29</v>
      </c>
      <c r="D6184" s="7" t="s">
        <v>96</v>
      </c>
      <c r="E6184" s="7" t="s">
        <v>35</v>
      </c>
      <c r="F6184" s="0" t="n">
        <v>14.6</v>
      </c>
      <c r="G6184" s="0" t="n">
        <v>6.862</v>
      </c>
      <c r="H6184" s="0" t="n">
        <v>0</v>
      </c>
      <c r="I6184" s="7" t="n">
        <f aca="false">YEAR(B6184)</f>
        <v>2015</v>
      </c>
      <c r="J6184" s="0" t="str">
        <f aca="false">I6184&amp;"-Q"&amp;ROUNDUP(MONTH(B6184)/3,0)</f>
        <v>2015-Q3</v>
      </c>
    </row>
    <row r="6185" customFormat="false" ht="15" hidden="false" customHeight="false" outlineLevel="0" collapsed="false">
      <c r="A6185" s="0" t="s">
        <v>3160</v>
      </c>
      <c r="B6185" s="6" t="n">
        <v>42268</v>
      </c>
      <c r="C6185" s="7" t="s">
        <v>29</v>
      </c>
      <c r="D6185" s="7" t="s">
        <v>96</v>
      </c>
      <c r="E6185" s="7" t="s">
        <v>35</v>
      </c>
      <c r="F6185" s="0" t="n">
        <v>887.84</v>
      </c>
      <c r="G6185" s="0" t="n">
        <v>17.7568</v>
      </c>
      <c r="H6185" s="0" t="n">
        <v>0</v>
      </c>
      <c r="I6185" s="7" t="n">
        <f aca="false">YEAR(B6185)</f>
        <v>2015</v>
      </c>
      <c r="J6185" s="0" t="str">
        <f aca="false">I6185&amp;"-Q"&amp;ROUNDUP(MONTH(B6185)/3,0)</f>
        <v>2015-Q3</v>
      </c>
    </row>
    <row r="6186" customFormat="false" ht="15" hidden="false" customHeight="false" outlineLevel="0" collapsed="false">
      <c r="A6186" s="0" t="s">
        <v>3161</v>
      </c>
      <c r="B6186" s="6" t="n">
        <v>42715</v>
      </c>
      <c r="C6186" s="7" t="s">
        <v>33</v>
      </c>
      <c r="D6186" s="7" t="s">
        <v>102</v>
      </c>
      <c r="E6186" s="7" t="s">
        <v>31</v>
      </c>
      <c r="F6186" s="0" t="n">
        <v>403.92</v>
      </c>
      <c r="G6186" s="0" t="n">
        <v>25.245</v>
      </c>
      <c r="H6186" s="0" t="n">
        <v>0.2</v>
      </c>
      <c r="I6186" s="7" t="n">
        <f aca="false">YEAR(B6186)</f>
        <v>2016</v>
      </c>
      <c r="J6186" s="0" t="str">
        <f aca="false">I6186&amp;"-Q"&amp;ROUNDUP(MONTH(B6186)/3,0)</f>
        <v>2016-Q4</v>
      </c>
    </row>
    <row r="6187" customFormat="false" ht="15" hidden="false" customHeight="false" outlineLevel="0" collapsed="false">
      <c r="A6187" s="0" t="s">
        <v>3162</v>
      </c>
      <c r="B6187" s="6" t="n">
        <v>42223</v>
      </c>
      <c r="C6187" s="7" t="s">
        <v>55</v>
      </c>
      <c r="D6187" s="7" t="s">
        <v>56</v>
      </c>
      <c r="E6187" s="7" t="s">
        <v>35</v>
      </c>
      <c r="F6187" s="0" t="n">
        <v>106.8</v>
      </c>
      <c r="G6187" s="0" t="n">
        <v>10.68</v>
      </c>
      <c r="H6187" s="0" t="n">
        <v>0.2</v>
      </c>
      <c r="I6187" s="7" t="n">
        <f aca="false">YEAR(B6187)</f>
        <v>2015</v>
      </c>
      <c r="J6187" s="0" t="str">
        <f aca="false">I6187&amp;"-Q"&amp;ROUNDUP(MONTH(B6187)/3,0)</f>
        <v>2015-Q3</v>
      </c>
    </row>
    <row r="6188" customFormat="false" ht="15" hidden="false" customHeight="false" outlineLevel="0" collapsed="false">
      <c r="A6188" s="0" t="s">
        <v>3163</v>
      </c>
      <c r="B6188" s="6" t="n">
        <v>42323</v>
      </c>
      <c r="C6188" s="7" t="s">
        <v>55</v>
      </c>
      <c r="D6188" s="7" t="s">
        <v>76</v>
      </c>
      <c r="E6188" s="7" t="s">
        <v>35</v>
      </c>
      <c r="F6188" s="0" t="n">
        <v>70.95</v>
      </c>
      <c r="G6188" s="0" t="n">
        <v>20.5755</v>
      </c>
      <c r="H6188" s="0" t="n">
        <v>0</v>
      </c>
      <c r="I6188" s="7" t="n">
        <f aca="false">YEAR(B6188)</f>
        <v>2015</v>
      </c>
      <c r="J6188" s="0" t="str">
        <f aca="false">I6188&amp;"-Q"&amp;ROUNDUP(MONTH(B6188)/3,0)</f>
        <v>2015-Q4</v>
      </c>
    </row>
    <row r="6189" customFormat="false" ht="15" hidden="false" customHeight="false" outlineLevel="0" collapsed="false">
      <c r="A6189" s="0" t="s">
        <v>3163</v>
      </c>
      <c r="B6189" s="6" t="n">
        <v>42323</v>
      </c>
      <c r="C6189" s="7" t="s">
        <v>55</v>
      </c>
      <c r="D6189" s="7" t="s">
        <v>76</v>
      </c>
      <c r="E6189" s="7" t="s">
        <v>35</v>
      </c>
      <c r="F6189" s="0" t="n">
        <v>34.944</v>
      </c>
      <c r="G6189" s="0" t="n">
        <v>11.7936</v>
      </c>
      <c r="H6189" s="0" t="n">
        <v>0.2</v>
      </c>
      <c r="I6189" s="7" t="n">
        <f aca="false">YEAR(B6189)</f>
        <v>2015</v>
      </c>
      <c r="J6189" s="0" t="str">
        <f aca="false">I6189&amp;"-Q"&amp;ROUNDUP(MONTH(B6189)/3,0)</f>
        <v>2015-Q4</v>
      </c>
    </row>
    <row r="6190" customFormat="false" ht="15" hidden="false" customHeight="false" outlineLevel="0" collapsed="false">
      <c r="A6190" s="0" t="s">
        <v>3163</v>
      </c>
      <c r="B6190" s="6" t="n">
        <v>42323</v>
      </c>
      <c r="C6190" s="7" t="s">
        <v>55</v>
      </c>
      <c r="D6190" s="7" t="s">
        <v>76</v>
      </c>
      <c r="E6190" s="7" t="s">
        <v>35</v>
      </c>
      <c r="F6190" s="0" t="n">
        <v>119.04</v>
      </c>
      <c r="G6190" s="0" t="n">
        <v>35.712</v>
      </c>
      <c r="H6190" s="0" t="n">
        <v>0</v>
      </c>
      <c r="I6190" s="7" t="n">
        <f aca="false">YEAR(B6190)</f>
        <v>2015</v>
      </c>
      <c r="J6190" s="0" t="str">
        <f aca="false">I6190&amp;"-Q"&amp;ROUNDUP(MONTH(B6190)/3,0)</f>
        <v>2015-Q4</v>
      </c>
    </row>
    <row r="6191" customFormat="false" ht="15" hidden="false" customHeight="false" outlineLevel="0" collapsed="false">
      <c r="A6191" s="0" t="s">
        <v>3164</v>
      </c>
      <c r="B6191" s="6" t="n">
        <v>42829</v>
      </c>
      <c r="C6191" s="7" t="s">
        <v>45</v>
      </c>
      <c r="D6191" s="7" t="s">
        <v>64</v>
      </c>
      <c r="E6191" s="7" t="s">
        <v>39</v>
      </c>
      <c r="F6191" s="0" t="n">
        <v>383.84</v>
      </c>
      <c r="G6191" s="0" t="n">
        <v>47.98</v>
      </c>
      <c r="H6191" s="0" t="n">
        <v>0.2</v>
      </c>
      <c r="I6191" s="7" t="n">
        <f aca="false">YEAR(B6191)</f>
        <v>2017</v>
      </c>
      <c r="J6191" s="0" t="str">
        <f aca="false">I6191&amp;"-Q"&amp;ROUNDUP(MONTH(B6191)/3,0)</f>
        <v>2017-Q2</v>
      </c>
    </row>
    <row r="6192" customFormat="false" ht="15" hidden="false" customHeight="false" outlineLevel="0" collapsed="false">
      <c r="A6192" s="0" t="s">
        <v>3165</v>
      </c>
      <c r="B6192" s="6" t="n">
        <v>42728</v>
      </c>
      <c r="C6192" s="7" t="s">
        <v>55</v>
      </c>
      <c r="D6192" s="7" t="s">
        <v>76</v>
      </c>
      <c r="E6192" s="7" t="s">
        <v>31</v>
      </c>
      <c r="F6192" s="0" t="n">
        <v>799.56</v>
      </c>
      <c r="G6192" s="0" t="n">
        <v>207.8856</v>
      </c>
      <c r="H6192" s="0" t="n">
        <v>0</v>
      </c>
      <c r="I6192" s="7" t="n">
        <f aca="false">YEAR(B6192)</f>
        <v>2016</v>
      </c>
      <c r="J6192" s="0" t="str">
        <f aca="false">I6192&amp;"-Q"&amp;ROUNDUP(MONTH(B6192)/3,0)</f>
        <v>2016-Q4</v>
      </c>
    </row>
    <row r="6193" customFormat="false" ht="15" hidden="false" customHeight="false" outlineLevel="0" collapsed="false">
      <c r="A6193" s="0" t="s">
        <v>3166</v>
      </c>
      <c r="B6193" s="6" t="n">
        <v>43082</v>
      </c>
      <c r="C6193" s="7" t="s">
        <v>33</v>
      </c>
      <c r="D6193" s="7" t="s">
        <v>43</v>
      </c>
      <c r="E6193" s="7" t="s">
        <v>35</v>
      </c>
      <c r="F6193" s="0" t="n">
        <v>31.44</v>
      </c>
      <c r="G6193" s="0" t="n">
        <v>8.4888</v>
      </c>
      <c r="H6193" s="0" t="n">
        <v>0</v>
      </c>
      <c r="I6193" s="7" t="n">
        <f aca="false">YEAR(B6193)</f>
        <v>2017</v>
      </c>
      <c r="J6193" s="0" t="str">
        <f aca="false">I6193&amp;"-Q"&amp;ROUNDUP(MONTH(B6193)/3,0)</f>
        <v>2017-Q4</v>
      </c>
    </row>
    <row r="6194" customFormat="false" ht="15" hidden="false" customHeight="false" outlineLevel="0" collapsed="false">
      <c r="A6194" s="0" t="s">
        <v>3167</v>
      </c>
      <c r="B6194" s="6" t="n">
        <v>43091</v>
      </c>
      <c r="C6194" s="7" t="s">
        <v>45</v>
      </c>
      <c r="D6194" s="7" t="s">
        <v>46</v>
      </c>
      <c r="E6194" s="7" t="s">
        <v>35</v>
      </c>
      <c r="F6194" s="0" t="n">
        <v>25.92</v>
      </c>
      <c r="G6194" s="0" t="n">
        <v>9.072</v>
      </c>
      <c r="H6194" s="0" t="n">
        <v>0.2</v>
      </c>
      <c r="I6194" s="7" t="n">
        <f aca="false">YEAR(B6194)</f>
        <v>2017</v>
      </c>
      <c r="J6194" s="0" t="str">
        <f aca="false">I6194&amp;"-Q"&amp;ROUNDUP(MONTH(B6194)/3,0)</f>
        <v>2017-Q4</v>
      </c>
    </row>
    <row r="6195" customFormat="false" ht="15" hidden="false" customHeight="false" outlineLevel="0" collapsed="false">
      <c r="A6195" s="0" t="s">
        <v>3167</v>
      </c>
      <c r="B6195" s="6" t="n">
        <v>43091</v>
      </c>
      <c r="C6195" s="7" t="s">
        <v>45</v>
      </c>
      <c r="D6195" s="7" t="s">
        <v>46</v>
      </c>
      <c r="E6195" s="7" t="s">
        <v>35</v>
      </c>
      <c r="F6195" s="0" t="n">
        <v>6.33</v>
      </c>
      <c r="G6195" s="0" t="n">
        <v>-9.8115</v>
      </c>
      <c r="H6195" s="0" t="n">
        <v>0.8</v>
      </c>
      <c r="I6195" s="7" t="n">
        <f aca="false">YEAR(B6195)</f>
        <v>2017</v>
      </c>
      <c r="J6195" s="0" t="str">
        <f aca="false">I6195&amp;"-Q"&amp;ROUNDUP(MONTH(B6195)/3,0)</f>
        <v>2017-Q4</v>
      </c>
    </row>
    <row r="6196" customFormat="false" ht="15" hidden="false" customHeight="false" outlineLevel="0" collapsed="false">
      <c r="A6196" s="0" t="s">
        <v>3167</v>
      </c>
      <c r="B6196" s="6" t="n">
        <v>43091</v>
      </c>
      <c r="C6196" s="7" t="s">
        <v>45</v>
      </c>
      <c r="D6196" s="7" t="s">
        <v>46</v>
      </c>
      <c r="E6196" s="7" t="s">
        <v>35</v>
      </c>
      <c r="F6196" s="0" t="n">
        <v>75.88</v>
      </c>
      <c r="G6196" s="0" t="n">
        <v>26.558</v>
      </c>
      <c r="H6196" s="0" t="n">
        <v>0.2</v>
      </c>
      <c r="I6196" s="7" t="n">
        <f aca="false">YEAR(B6196)</f>
        <v>2017</v>
      </c>
      <c r="J6196" s="0" t="str">
        <f aca="false">I6196&amp;"-Q"&amp;ROUNDUP(MONTH(B6196)/3,0)</f>
        <v>2017-Q4</v>
      </c>
    </row>
    <row r="6197" customFormat="false" ht="15" hidden="false" customHeight="false" outlineLevel="0" collapsed="false">
      <c r="A6197" s="0" t="s">
        <v>3168</v>
      </c>
      <c r="B6197" s="6" t="n">
        <v>43029</v>
      </c>
      <c r="C6197" s="7" t="s">
        <v>55</v>
      </c>
      <c r="D6197" s="7" t="s">
        <v>56</v>
      </c>
      <c r="E6197" s="7" t="s">
        <v>39</v>
      </c>
      <c r="F6197" s="0" t="n">
        <v>329.988</v>
      </c>
      <c r="G6197" s="0" t="n">
        <v>-76.9972</v>
      </c>
      <c r="H6197" s="0" t="n">
        <v>0.4</v>
      </c>
      <c r="I6197" s="7" t="n">
        <f aca="false">YEAR(B6197)</f>
        <v>2017</v>
      </c>
      <c r="J6197" s="0" t="str">
        <f aca="false">I6197&amp;"-Q"&amp;ROUNDUP(MONTH(B6197)/3,0)</f>
        <v>2017-Q4</v>
      </c>
    </row>
    <row r="6198" customFormat="false" ht="15" hidden="false" customHeight="false" outlineLevel="0" collapsed="false">
      <c r="A6198" s="0" t="s">
        <v>3168</v>
      </c>
      <c r="B6198" s="6" t="n">
        <v>43029</v>
      </c>
      <c r="C6198" s="7" t="s">
        <v>55</v>
      </c>
      <c r="D6198" s="7" t="s">
        <v>56</v>
      </c>
      <c r="E6198" s="7" t="s">
        <v>35</v>
      </c>
      <c r="F6198" s="0" t="n">
        <v>71.376</v>
      </c>
      <c r="G6198" s="0" t="n">
        <v>-4.461</v>
      </c>
      <c r="H6198" s="0" t="n">
        <v>0.2</v>
      </c>
      <c r="I6198" s="7" t="n">
        <f aca="false">YEAR(B6198)</f>
        <v>2017</v>
      </c>
      <c r="J6198" s="0" t="str">
        <f aca="false">I6198&amp;"-Q"&amp;ROUNDUP(MONTH(B6198)/3,0)</f>
        <v>2017-Q4</v>
      </c>
    </row>
    <row r="6199" customFormat="false" ht="15" hidden="false" customHeight="false" outlineLevel="0" collapsed="false">
      <c r="A6199" s="0" t="s">
        <v>3169</v>
      </c>
      <c r="B6199" s="6" t="n">
        <v>42321</v>
      </c>
      <c r="C6199" s="7" t="s">
        <v>45</v>
      </c>
      <c r="D6199" s="7" t="s">
        <v>74</v>
      </c>
      <c r="E6199" s="7" t="s">
        <v>35</v>
      </c>
      <c r="F6199" s="0" t="n">
        <v>63.77</v>
      </c>
      <c r="G6199" s="0" t="n">
        <v>28.6965</v>
      </c>
      <c r="H6199" s="0" t="n">
        <v>0</v>
      </c>
      <c r="I6199" s="7" t="n">
        <f aca="false">YEAR(B6199)</f>
        <v>2015</v>
      </c>
      <c r="J6199" s="0" t="str">
        <f aca="false">I6199&amp;"-Q"&amp;ROUNDUP(MONTH(B6199)/3,0)</f>
        <v>2015-Q4</v>
      </c>
    </row>
    <row r="6200" customFormat="false" ht="15" hidden="false" customHeight="false" outlineLevel="0" collapsed="false">
      <c r="A6200" s="0" t="s">
        <v>3169</v>
      </c>
      <c r="B6200" s="6" t="n">
        <v>42321</v>
      </c>
      <c r="C6200" s="7" t="s">
        <v>45</v>
      </c>
      <c r="D6200" s="7" t="s">
        <v>74</v>
      </c>
      <c r="E6200" s="7" t="s">
        <v>39</v>
      </c>
      <c r="F6200" s="0" t="n">
        <v>50.97</v>
      </c>
      <c r="G6200" s="0" t="n">
        <v>13.2522</v>
      </c>
      <c r="H6200" s="0" t="n">
        <v>0</v>
      </c>
      <c r="I6200" s="7" t="n">
        <f aca="false">YEAR(B6200)</f>
        <v>2015</v>
      </c>
      <c r="J6200" s="0" t="str">
        <f aca="false">I6200&amp;"-Q"&amp;ROUNDUP(MONTH(B6200)/3,0)</f>
        <v>2015-Q4</v>
      </c>
    </row>
    <row r="6201" customFormat="false" ht="15" hidden="false" customHeight="false" outlineLevel="0" collapsed="false">
      <c r="A6201" s="0" t="s">
        <v>3169</v>
      </c>
      <c r="B6201" s="6" t="n">
        <v>42321</v>
      </c>
      <c r="C6201" s="7" t="s">
        <v>45</v>
      </c>
      <c r="D6201" s="7" t="s">
        <v>74</v>
      </c>
      <c r="E6201" s="7" t="s">
        <v>35</v>
      </c>
      <c r="F6201" s="0" t="n">
        <v>96.08</v>
      </c>
      <c r="G6201" s="0" t="n">
        <v>46.1184</v>
      </c>
      <c r="H6201" s="0" t="n">
        <v>0</v>
      </c>
      <c r="I6201" s="7" t="n">
        <f aca="false">YEAR(B6201)</f>
        <v>2015</v>
      </c>
      <c r="J6201" s="0" t="str">
        <f aca="false">I6201&amp;"-Q"&amp;ROUNDUP(MONTH(B6201)/3,0)</f>
        <v>2015-Q4</v>
      </c>
    </row>
    <row r="6202" customFormat="false" ht="15" hidden="false" customHeight="false" outlineLevel="0" collapsed="false">
      <c r="A6202" s="0" t="s">
        <v>3170</v>
      </c>
      <c r="B6202" s="6" t="n">
        <v>42110</v>
      </c>
      <c r="C6202" s="7" t="s">
        <v>45</v>
      </c>
      <c r="D6202" s="7" t="s">
        <v>64</v>
      </c>
      <c r="E6202" s="7" t="s">
        <v>39</v>
      </c>
      <c r="F6202" s="0" t="n">
        <v>1439.968</v>
      </c>
      <c r="G6202" s="0" t="n">
        <v>485.9892</v>
      </c>
      <c r="H6202" s="0" t="n">
        <v>0.2</v>
      </c>
      <c r="I6202" s="7" t="n">
        <f aca="false">YEAR(B6202)</f>
        <v>2015</v>
      </c>
      <c r="J6202" s="0" t="str">
        <f aca="false">I6202&amp;"-Q"&amp;ROUNDUP(MONTH(B6202)/3,0)</f>
        <v>2015-Q2</v>
      </c>
    </row>
    <row r="6203" customFormat="false" ht="15" hidden="false" customHeight="false" outlineLevel="0" collapsed="false">
      <c r="A6203" s="0" t="s">
        <v>3170</v>
      </c>
      <c r="B6203" s="6" t="n">
        <v>42110</v>
      </c>
      <c r="C6203" s="7" t="s">
        <v>45</v>
      </c>
      <c r="D6203" s="7" t="s">
        <v>64</v>
      </c>
      <c r="E6203" s="7" t="s">
        <v>39</v>
      </c>
      <c r="F6203" s="0" t="n">
        <v>43.56</v>
      </c>
      <c r="G6203" s="0" t="n">
        <v>-4.9005</v>
      </c>
      <c r="H6203" s="0" t="n">
        <v>0.2</v>
      </c>
      <c r="I6203" s="7" t="n">
        <f aca="false">YEAR(B6203)</f>
        <v>2015</v>
      </c>
      <c r="J6203" s="0" t="str">
        <f aca="false">I6203&amp;"-Q"&amp;ROUNDUP(MONTH(B6203)/3,0)</f>
        <v>2015-Q2</v>
      </c>
    </row>
    <row r="6204" customFormat="false" ht="15" hidden="false" customHeight="false" outlineLevel="0" collapsed="false">
      <c r="A6204" s="0" t="s">
        <v>3171</v>
      </c>
      <c r="B6204" s="6" t="n">
        <v>42720</v>
      </c>
      <c r="C6204" s="7" t="s">
        <v>33</v>
      </c>
      <c r="D6204" s="7" t="s">
        <v>34</v>
      </c>
      <c r="E6204" s="7" t="s">
        <v>31</v>
      </c>
      <c r="F6204" s="0" t="n">
        <v>563.92</v>
      </c>
      <c r="G6204" s="0" t="n">
        <v>7.049</v>
      </c>
      <c r="H6204" s="0" t="n">
        <v>0.2</v>
      </c>
      <c r="I6204" s="7" t="n">
        <f aca="false">YEAR(B6204)</f>
        <v>2016</v>
      </c>
      <c r="J6204" s="0" t="str">
        <f aca="false">I6204&amp;"-Q"&amp;ROUNDUP(MONTH(B6204)/3,0)</f>
        <v>2016-Q4</v>
      </c>
    </row>
    <row r="6205" customFormat="false" ht="15" hidden="false" customHeight="false" outlineLevel="0" collapsed="false">
      <c r="A6205" s="0" t="s">
        <v>3172</v>
      </c>
      <c r="B6205" s="6" t="n">
        <v>42664</v>
      </c>
      <c r="C6205" s="7" t="s">
        <v>55</v>
      </c>
      <c r="D6205" s="7" t="s">
        <v>116</v>
      </c>
      <c r="E6205" s="7" t="s">
        <v>39</v>
      </c>
      <c r="F6205" s="0" t="n">
        <v>235.152</v>
      </c>
      <c r="G6205" s="0" t="n">
        <v>-47.0304</v>
      </c>
      <c r="H6205" s="0" t="n">
        <v>0.4</v>
      </c>
      <c r="I6205" s="7" t="n">
        <f aca="false">YEAR(B6205)</f>
        <v>2016</v>
      </c>
      <c r="J6205" s="0" t="str">
        <f aca="false">I6205&amp;"-Q"&amp;ROUNDUP(MONTH(B6205)/3,0)</f>
        <v>2016-Q4</v>
      </c>
    </row>
    <row r="6206" customFormat="false" ht="15" hidden="false" customHeight="false" outlineLevel="0" collapsed="false">
      <c r="A6206" s="0" t="s">
        <v>3173</v>
      </c>
      <c r="B6206" s="6" t="n">
        <v>43070</v>
      </c>
      <c r="C6206" s="7" t="s">
        <v>55</v>
      </c>
      <c r="D6206" s="7" t="s">
        <v>116</v>
      </c>
      <c r="E6206" s="7" t="s">
        <v>31</v>
      </c>
      <c r="F6206" s="0" t="n">
        <v>7.712</v>
      </c>
      <c r="G6206" s="0" t="n">
        <v>1.7352</v>
      </c>
      <c r="H6206" s="0" t="n">
        <v>0.2</v>
      </c>
      <c r="I6206" s="7" t="n">
        <f aca="false">YEAR(B6206)</f>
        <v>2017</v>
      </c>
      <c r="J6206" s="0" t="str">
        <f aca="false">I6206&amp;"-Q"&amp;ROUNDUP(MONTH(B6206)/3,0)</f>
        <v>2017-Q4</v>
      </c>
    </row>
    <row r="6207" customFormat="false" ht="15" hidden="false" customHeight="false" outlineLevel="0" collapsed="false">
      <c r="A6207" s="0" t="s">
        <v>3174</v>
      </c>
      <c r="B6207" s="6" t="n">
        <v>42663</v>
      </c>
      <c r="C6207" s="7" t="s">
        <v>45</v>
      </c>
      <c r="D6207" s="7" t="s">
        <v>46</v>
      </c>
      <c r="E6207" s="7" t="s">
        <v>35</v>
      </c>
      <c r="F6207" s="0" t="n">
        <v>51.016</v>
      </c>
      <c r="G6207" s="0" t="n">
        <v>15.9425</v>
      </c>
      <c r="H6207" s="0" t="n">
        <v>0.2</v>
      </c>
      <c r="I6207" s="7" t="n">
        <f aca="false">YEAR(B6207)</f>
        <v>2016</v>
      </c>
      <c r="J6207" s="0" t="str">
        <f aca="false">I6207&amp;"-Q"&amp;ROUNDUP(MONTH(B6207)/3,0)</f>
        <v>2016-Q4</v>
      </c>
    </row>
    <row r="6208" customFormat="false" ht="15" hidden="false" customHeight="false" outlineLevel="0" collapsed="false">
      <c r="A6208" s="0" t="s">
        <v>3174</v>
      </c>
      <c r="B6208" s="6" t="n">
        <v>42663</v>
      </c>
      <c r="C6208" s="7" t="s">
        <v>45</v>
      </c>
      <c r="D6208" s="7" t="s">
        <v>46</v>
      </c>
      <c r="E6208" s="7" t="s">
        <v>35</v>
      </c>
      <c r="F6208" s="0" t="n">
        <v>25.248</v>
      </c>
      <c r="G6208" s="0" t="n">
        <v>7.89</v>
      </c>
      <c r="H6208" s="0" t="n">
        <v>0.2</v>
      </c>
      <c r="I6208" s="7" t="n">
        <f aca="false">YEAR(B6208)</f>
        <v>2016</v>
      </c>
      <c r="J6208" s="0" t="str">
        <f aca="false">I6208&amp;"-Q"&amp;ROUNDUP(MONTH(B6208)/3,0)</f>
        <v>2016-Q4</v>
      </c>
    </row>
    <row r="6209" customFormat="false" ht="15" hidden="false" customHeight="false" outlineLevel="0" collapsed="false">
      <c r="A6209" s="0" t="s">
        <v>3174</v>
      </c>
      <c r="B6209" s="6" t="n">
        <v>42663</v>
      </c>
      <c r="C6209" s="7" t="s">
        <v>45</v>
      </c>
      <c r="D6209" s="7" t="s">
        <v>46</v>
      </c>
      <c r="E6209" s="7" t="s">
        <v>31</v>
      </c>
      <c r="F6209" s="0" t="n">
        <v>56.686</v>
      </c>
      <c r="G6209" s="0" t="n">
        <v>-14.5764</v>
      </c>
      <c r="H6209" s="0" t="n">
        <v>0.3</v>
      </c>
      <c r="I6209" s="7" t="n">
        <f aca="false">YEAR(B6209)</f>
        <v>2016</v>
      </c>
      <c r="J6209" s="0" t="str">
        <f aca="false">I6209&amp;"-Q"&amp;ROUNDUP(MONTH(B6209)/3,0)</f>
        <v>2016-Q4</v>
      </c>
    </row>
    <row r="6210" customFormat="false" ht="15" hidden="false" customHeight="false" outlineLevel="0" collapsed="false">
      <c r="A6210" s="0" t="s">
        <v>3175</v>
      </c>
      <c r="B6210" s="6" t="n">
        <v>43007</v>
      </c>
      <c r="C6210" s="7" t="s">
        <v>55</v>
      </c>
      <c r="D6210" s="7" t="s">
        <v>116</v>
      </c>
      <c r="E6210" s="7" t="s">
        <v>35</v>
      </c>
      <c r="F6210" s="0" t="n">
        <v>51.168</v>
      </c>
      <c r="G6210" s="0" t="n">
        <v>-6.396</v>
      </c>
      <c r="H6210" s="0" t="n">
        <v>0.2</v>
      </c>
      <c r="I6210" s="7" t="n">
        <f aca="false">YEAR(B6210)</f>
        <v>2017</v>
      </c>
      <c r="J6210" s="0" t="str">
        <f aca="false">I6210&amp;"-Q"&amp;ROUNDUP(MONTH(B6210)/3,0)</f>
        <v>2017-Q3</v>
      </c>
    </row>
    <row r="6211" customFormat="false" ht="15" hidden="false" customHeight="false" outlineLevel="0" collapsed="false">
      <c r="A6211" s="0" t="s">
        <v>3176</v>
      </c>
      <c r="B6211" s="6" t="n">
        <v>42965</v>
      </c>
      <c r="C6211" s="7" t="s">
        <v>33</v>
      </c>
      <c r="D6211" s="7" t="s">
        <v>43</v>
      </c>
      <c r="E6211" s="7" t="s">
        <v>35</v>
      </c>
      <c r="F6211" s="0" t="n">
        <v>2793.528</v>
      </c>
      <c r="G6211" s="0" t="n">
        <v>942.8157</v>
      </c>
      <c r="H6211" s="0" t="n">
        <v>0.2</v>
      </c>
      <c r="I6211" s="7" t="n">
        <f aca="false">YEAR(B6211)</f>
        <v>2017</v>
      </c>
      <c r="J6211" s="0" t="str">
        <f aca="false">I6211&amp;"-Q"&amp;ROUNDUP(MONTH(B6211)/3,0)</f>
        <v>2017-Q3</v>
      </c>
    </row>
    <row r="6212" customFormat="false" ht="15" hidden="false" customHeight="false" outlineLevel="0" collapsed="false">
      <c r="A6212" s="0" t="s">
        <v>3176</v>
      </c>
      <c r="B6212" s="6" t="n">
        <v>42965</v>
      </c>
      <c r="C6212" s="7" t="s">
        <v>33</v>
      </c>
      <c r="D6212" s="7" t="s">
        <v>43</v>
      </c>
      <c r="E6212" s="7" t="s">
        <v>35</v>
      </c>
      <c r="F6212" s="0" t="n">
        <v>1000.02</v>
      </c>
      <c r="G6212" s="0" t="n">
        <v>290.0058</v>
      </c>
      <c r="H6212" s="0" t="n">
        <v>0</v>
      </c>
      <c r="I6212" s="7" t="n">
        <f aca="false">YEAR(B6212)</f>
        <v>2017</v>
      </c>
      <c r="J6212" s="0" t="str">
        <f aca="false">I6212&amp;"-Q"&amp;ROUNDUP(MONTH(B6212)/3,0)</f>
        <v>2017-Q3</v>
      </c>
    </row>
    <row r="6213" customFormat="false" ht="15" hidden="false" customHeight="false" outlineLevel="0" collapsed="false">
      <c r="A6213" s="0" t="s">
        <v>3176</v>
      </c>
      <c r="B6213" s="6" t="n">
        <v>42965</v>
      </c>
      <c r="C6213" s="7" t="s">
        <v>33</v>
      </c>
      <c r="D6213" s="7" t="s">
        <v>43</v>
      </c>
      <c r="E6213" s="7" t="s">
        <v>31</v>
      </c>
      <c r="F6213" s="0" t="n">
        <v>65.94</v>
      </c>
      <c r="G6213" s="0" t="n">
        <v>22.4196</v>
      </c>
      <c r="H6213" s="0" t="n">
        <v>0</v>
      </c>
      <c r="I6213" s="7" t="n">
        <f aca="false">YEAR(B6213)</f>
        <v>2017</v>
      </c>
      <c r="J6213" s="0" t="str">
        <f aca="false">I6213&amp;"-Q"&amp;ROUNDUP(MONTH(B6213)/3,0)</f>
        <v>2017-Q3</v>
      </c>
    </row>
    <row r="6214" customFormat="false" ht="15" hidden="false" customHeight="false" outlineLevel="0" collapsed="false">
      <c r="A6214" s="0" t="s">
        <v>3177</v>
      </c>
      <c r="B6214" s="6" t="n">
        <v>43051</v>
      </c>
      <c r="C6214" s="7" t="s">
        <v>33</v>
      </c>
      <c r="D6214" s="7" t="s">
        <v>43</v>
      </c>
      <c r="E6214" s="7" t="s">
        <v>35</v>
      </c>
      <c r="F6214" s="0" t="n">
        <v>18.24</v>
      </c>
      <c r="G6214" s="0" t="n">
        <v>9.12</v>
      </c>
      <c r="H6214" s="0" t="n">
        <v>0</v>
      </c>
      <c r="I6214" s="7" t="n">
        <f aca="false">YEAR(B6214)</f>
        <v>2017</v>
      </c>
      <c r="J6214" s="0" t="str">
        <f aca="false">I6214&amp;"-Q"&amp;ROUNDUP(MONTH(B6214)/3,0)</f>
        <v>2017-Q4</v>
      </c>
    </row>
    <row r="6215" customFormat="false" ht="15" hidden="false" customHeight="false" outlineLevel="0" collapsed="false">
      <c r="A6215" s="0" t="s">
        <v>3177</v>
      </c>
      <c r="B6215" s="6" t="n">
        <v>43051</v>
      </c>
      <c r="C6215" s="7" t="s">
        <v>33</v>
      </c>
      <c r="D6215" s="7" t="s">
        <v>43</v>
      </c>
      <c r="E6215" s="7" t="s">
        <v>35</v>
      </c>
      <c r="F6215" s="0" t="n">
        <v>76.12</v>
      </c>
      <c r="G6215" s="0" t="n">
        <v>22.0748</v>
      </c>
      <c r="H6215" s="0" t="n">
        <v>0</v>
      </c>
      <c r="I6215" s="7" t="n">
        <f aca="false">YEAR(B6215)</f>
        <v>2017</v>
      </c>
      <c r="J6215" s="0" t="str">
        <f aca="false">I6215&amp;"-Q"&amp;ROUNDUP(MONTH(B6215)/3,0)</f>
        <v>2017-Q4</v>
      </c>
    </row>
    <row r="6216" customFormat="false" ht="15" hidden="false" customHeight="false" outlineLevel="0" collapsed="false">
      <c r="A6216" s="0" t="s">
        <v>3178</v>
      </c>
      <c r="B6216" s="6" t="n">
        <v>41923</v>
      </c>
      <c r="C6216" s="7" t="s">
        <v>33</v>
      </c>
      <c r="D6216" s="7" t="s">
        <v>34</v>
      </c>
      <c r="E6216" s="7" t="s">
        <v>35</v>
      </c>
      <c r="F6216" s="0" t="n">
        <v>7.64</v>
      </c>
      <c r="G6216" s="0" t="n">
        <v>3.7436</v>
      </c>
      <c r="H6216" s="0" t="n">
        <v>0</v>
      </c>
      <c r="I6216" s="7" t="n">
        <f aca="false">YEAR(B6216)</f>
        <v>2014</v>
      </c>
      <c r="J6216" s="0" t="str">
        <f aca="false">I6216&amp;"-Q"&amp;ROUNDUP(MONTH(B6216)/3,0)</f>
        <v>2014-Q4</v>
      </c>
    </row>
    <row r="6217" customFormat="false" ht="15" hidden="false" customHeight="false" outlineLevel="0" collapsed="false">
      <c r="A6217" s="0" t="s">
        <v>3179</v>
      </c>
      <c r="B6217" s="6" t="n">
        <v>42336</v>
      </c>
      <c r="C6217" s="7" t="s">
        <v>55</v>
      </c>
      <c r="D6217" s="7" t="s">
        <v>76</v>
      </c>
      <c r="E6217" s="7" t="s">
        <v>31</v>
      </c>
      <c r="F6217" s="0" t="n">
        <v>68.16</v>
      </c>
      <c r="G6217" s="0" t="n">
        <v>27.9456</v>
      </c>
      <c r="H6217" s="0" t="n">
        <v>0</v>
      </c>
      <c r="I6217" s="7" t="n">
        <f aca="false">YEAR(B6217)</f>
        <v>2015</v>
      </c>
      <c r="J6217" s="0" t="str">
        <f aca="false">I6217&amp;"-Q"&amp;ROUNDUP(MONTH(B6217)/3,0)</f>
        <v>2015-Q4</v>
      </c>
    </row>
    <row r="6218" customFormat="false" ht="15" hidden="false" customHeight="false" outlineLevel="0" collapsed="false">
      <c r="A6218" s="0" t="s">
        <v>3179</v>
      </c>
      <c r="B6218" s="6" t="n">
        <v>42336</v>
      </c>
      <c r="C6218" s="7" t="s">
        <v>55</v>
      </c>
      <c r="D6218" s="7" t="s">
        <v>76</v>
      </c>
      <c r="E6218" s="7" t="s">
        <v>35</v>
      </c>
      <c r="F6218" s="0" t="n">
        <v>62.24</v>
      </c>
      <c r="G6218" s="0" t="n">
        <v>29.2528</v>
      </c>
      <c r="H6218" s="0" t="n">
        <v>0</v>
      </c>
      <c r="I6218" s="7" t="n">
        <f aca="false">YEAR(B6218)</f>
        <v>2015</v>
      </c>
      <c r="J6218" s="0" t="str">
        <f aca="false">I6218&amp;"-Q"&amp;ROUNDUP(MONTH(B6218)/3,0)</f>
        <v>2015-Q4</v>
      </c>
    </row>
    <row r="6219" customFormat="false" ht="15" hidden="false" customHeight="false" outlineLevel="0" collapsed="false">
      <c r="A6219" s="0" t="s">
        <v>3180</v>
      </c>
      <c r="B6219" s="6" t="n">
        <v>42212</v>
      </c>
      <c r="C6219" s="7" t="s">
        <v>29</v>
      </c>
      <c r="D6219" s="7" t="s">
        <v>30</v>
      </c>
      <c r="E6219" s="7" t="s">
        <v>39</v>
      </c>
      <c r="F6219" s="0" t="n">
        <v>29.97</v>
      </c>
      <c r="G6219" s="0" t="n">
        <v>0.2997</v>
      </c>
      <c r="H6219" s="0" t="n">
        <v>0</v>
      </c>
      <c r="I6219" s="7" t="n">
        <f aca="false">YEAR(B6219)</f>
        <v>2015</v>
      </c>
      <c r="J6219" s="0" t="str">
        <f aca="false">I6219&amp;"-Q"&amp;ROUNDUP(MONTH(B6219)/3,0)</f>
        <v>2015-Q3</v>
      </c>
    </row>
    <row r="6220" customFormat="false" ht="15" hidden="false" customHeight="false" outlineLevel="0" collapsed="false">
      <c r="A6220" s="0" t="s">
        <v>3181</v>
      </c>
      <c r="B6220" s="6" t="n">
        <v>42663</v>
      </c>
      <c r="C6220" s="7" t="s">
        <v>45</v>
      </c>
      <c r="D6220" s="7" t="s">
        <v>70</v>
      </c>
      <c r="E6220" s="7" t="s">
        <v>39</v>
      </c>
      <c r="F6220" s="0" t="n">
        <v>125.7</v>
      </c>
      <c r="G6220" s="0" t="n">
        <v>35.196</v>
      </c>
      <c r="H6220" s="0" t="n">
        <v>0</v>
      </c>
      <c r="I6220" s="7" t="n">
        <f aca="false">YEAR(B6220)</f>
        <v>2016</v>
      </c>
      <c r="J6220" s="0" t="str">
        <f aca="false">I6220&amp;"-Q"&amp;ROUNDUP(MONTH(B6220)/3,0)</f>
        <v>2016-Q4</v>
      </c>
    </row>
    <row r="6221" customFormat="false" ht="15" hidden="false" customHeight="false" outlineLevel="0" collapsed="false">
      <c r="A6221" s="0" t="s">
        <v>3181</v>
      </c>
      <c r="B6221" s="6" t="n">
        <v>42663</v>
      </c>
      <c r="C6221" s="7" t="s">
        <v>45</v>
      </c>
      <c r="D6221" s="7" t="s">
        <v>70</v>
      </c>
      <c r="E6221" s="7" t="s">
        <v>39</v>
      </c>
      <c r="F6221" s="0" t="n">
        <v>191.98</v>
      </c>
      <c r="G6221" s="0" t="n">
        <v>51.8346</v>
      </c>
      <c r="H6221" s="0" t="n">
        <v>0</v>
      </c>
      <c r="I6221" s="7" t="n">
        <f aca="false">YEAR(B6221)</f>
        <v>2016</v>
      </c>
      <c r="J6221" s="0" t="str">
        <f aca="false">I6221&amp;"-Q"&amp;ROUNDUP(MONTH(B6221)/3,0)</f>
        <v>2016-Q4</v>
      </c>
    </row>
    <row r="6222" customFormat="false" ht="15" hidden="false" customHeight="false" outlineLevel="0" collapsed="false">
      <c r="A6222" s="0" t="s">
        <v>3181</v>
      </c>
      <c r="B6222" s="6" t="n">
        <v>42663</v>
      </c>
      <c r="C6222" s="7" t="s">
        <v>45</v>
      </c>
      <c r="D6222" s="7" t="s">
        <v>70</v>
      </c>
      <c r="E6222" s="7" t="s">
        <v>35</v>
      </c>
      <c r="F6222" s="0" t="n">
        <v>20.86</v>
      </c>
      <c r="G6222" s="0" t="n">
        <v>1.4602</v>
      </c>
      <c r="H6222" s="0" t="n">
        <v>0</v>
      </c>
      <c r="I6222" s="7" t="n">
        <f aca="false">YEAR(B6222)</f>
        <v>2016</v>
      </c>
      <c r="J6222" s="0" t="str">
        <f aca="false">I6222&amp;"-Q"&amp;ROUNDUP(MONTH(B6222)/3,0)</f>
        <v>2016-Q4</v>
      </c>
    </row>
    <row r="6223" customFormat="false" ht="15" hidden="false" customHeight="false" outlineLevel="0" collapsed="false">
      <c r="A6223" s="0" t="s">
        <v>3182</v>
      </c>
      <c r="B6223" s="6" t="n">
        <v>42992</v>
      </c>
      <c r="C6223" s="7" t="s">
        <v>33</v>
      </c>
      <c r="D6223" s="7" t="s">
        <v>34</v>
      </c>
      <c r="E6223" s="7" t="s">
        <v>35</v>
      </c>
      <c r="F6223" s="0" t="n">
        <v>56.7</v>
      </c>
      <c r="G6223" s="0" t="n">
        <v>26.082</v>
      </c>
      <c r="H6223" s="0" t="n">
        <v>0</v>
      </c>
      <c r="I6223" s="7" t="n">
        <f aca="false">YEAR(B6223)</f>
        <v>2017</v>
      </c>
      <c r="J6223" s="0" t="str">
        <f aca="false">I6223&amp;"-Q"&amp;ROUNDUP(MONTH(B6223)/3,0)</f>
        <v>2017-Q3</v>
      </c>
    </row>
    <row r="6224" customFormat="false" ht="15" hidden="false" customHeight="false" outlineLevel="0" collapsed="false">
      <c r="A6224" s="0" t="s">
        <v>3183</v>
      </c>
      <c r="B6224" s="6" t="n">
        <v>43092</v>
      </c>
      <c r="C6224" s="7" t="s">
        <v>29</v>
      </c>
      <c r="D6224" s="7" t="s">
        <v>87</v>
      </c>
      <c r="E6224" s="7" t="s">
        <v>31</v>
      </c>
      <c r="F6224" s="0" t="n">
        <v>72.704</v>
      </c>
      <c r="G6224" s="0" t="n">
        <v>19.0848</v>
      </c>
      <c r="H6224" s="0" t="n">
        <v>0.2</v>
      </c>
      <c r="I6224" s="7" t="n">
        <f aca="false">YEAR(B6224)</f>
        <v>2017</v>
      </c>
      <c r="J6224" s="0" t="str">
        <f aca="false">I6224&amp;"-Q"&amp;ROUNDUP(MONTH(B6224)/3,0)</f>
        <v>2017-Q4</v>
      </c>
    </row>
    <row r="6225" customFormat="false" ht="15" hidden="false" customHeight="false" outlineLevel="0" collapsed="false">
      <c r="A6225" s="0" t="s">
        <v>3183</v>
      </c>
      <c r="B6225" s="6" t="n">
        <v>43092</v>
      </c>
      <c r="C6225" s="7" t="s">
        <v>29</v>
      </c>
      <c r="D6225" s="7" t="s">
        <v>87</v>
      </c>
      <c r="E6225" s="7" t="s">
        <v>35</v>
      </c>
      <c r="F6225" s="0" t="n">
        <v>12.264</v>
      </c>
      <c r="G6225" s="0" t="n">
        <v>1.0731</v>
      </c>
      <c r="H6225" s="0" t="n">
        <v>0.2</v>
      </c>
      <c r="I6225" s="7" t="n">
        <f aca="false">YEAR(B6225)</f>
        <v>2017</v>
      </c>
      <c r="J6225" s="0" t="str">
        <f aca="false">I6225&amp;"-Q"&amp;ROUNDUP(MONTH(B6225)/3,0)</f>
        <v>2017-Q4</v>
      </c>
    </row>
    <row r="6226" customFormat="false" ht="15" hidden="false" customHeight="false" outlineLevel="0" collapsed="false">
      <c r="A6226" s="0" t="s">
        <v>3183</v>
      </c>
      <c r="B6226" s="6" t="n">
        <v>43092</v>
      </c>
      <c r="C6226" s="7" t="s">
        <v>29</v>
      </c>
      <c r="D6226" s="7" t="s">
        <v>87</v>
      </c>
      <c r="E6226" s="7" t="s">
        <v>35</v>
      </c>
      <c r="F6226" s="0" t="n">
        <v>218.352</v>
      </c>
      <c r="G6226" s="0" t="n">
        <v>-54.588</v>
      </c>
      <c r="H6226" s="0" t="n">
        <v>0.2</v>
      </c>
      <c r="I6226" s="7" t="n">
        <f aca="false">YEAR(B6226)</f>
        <v>2017</v>
      </c>
      <c r="J6226" s="0" t="str">
        <f aca="false">I6226&amp;"-Q"&amp;ROUNDUP(MONTH(B6226)/3,0)</f>
        <v>2017-Q4</v>
      </c>
    </row>
    <row r="6227" customFormat="false" ht="15" hidden="false" customHeight="false" outlineLevel="0" collapsed="false">
      <c r="A6227" s="0" t="s">
        <v>3184</v>
      </c>
      <c r="B6227" s="6" t="n">
        <v>42282</v>
      </c>
      <c r="C6227" s="7" t="s">
        <v>33</v>
      </c>
      <c r="D6227" s="7" t="s">
        <v>102</v>
      </c>
      <c r="E6227" s="7" t="s">
        <v>31</v>
      </c>
      <c r="F6227" s="0" t="n">
        <v>66.294</v>
      </c>
      <c r="G6227" s="0" t="n">
        <v>-103.8606</v>
      </c>
      <c r="H6227" s="0" t="n">
        <v>0.7</v>
      </c>
      <c r="I6227" s="7" t="n">
        <f aca="false">YEAR(B6227)</f>
        <v>2015</v>
      </c>
      <c r="J6227" s="0" t="str">
        <f aca="false">I6227&amp;"-Q"&amp;ROUNDUP(MONTH(B6227)/3,0)</f>
        <v>2015-Q4</v>
      </c>
    </row>
    <row r="6228" customFormat="false" ht="15" hidden="false" customHeight="false" outlineLevel="0" collapsed="false">
      <c r="A6228" s="0" t="s">
        <v>3184</v>
      </c>
      <c r="B6228" s="6" t="n">
        <v>42282</v>
      </c>
      <c r="C6228" s="7" t="s">
        <v>33</v>
      </c>
      <c r="D6228" s="7" t="s">
        <v>102</v>
      </c>
      <c r="E6228" s="7" t="s">
        <v>31</v>
      </c>
      <c r="F6228" s="0" t="n">
        <v>291.168</v>
      </c>
      <c r="G6228" s="0" t="n">
        <v>-14.5584</v>
      </c>
      <c r="H6228" s="0" t="n">
        <v>0.2</v>
      </c>
      <c r="I6228" s="7" t="n">
        <f aca="false">YEAR(B6228)</f>
        <v>2015</v>
      </c>
      <c r="J6228" s="0" t="str">
        <f aca="false">I6228&amp;"-Q"&amp;ROUNDUP(MONTH(B6228)/3,0)</f>
        <v>2015-Q4</v>
      </c>
    </row>
    <row r="6229" customFormat="false" ht="15" hidden="false" customHeight="false" outlineLevel="0" collapsed="false">
      <c r="A6229" s="0" t="s">
        <v>3185</v>
      </c>
      <c r="B6229" s="6" t="n">
        <v>41945</v>
      </c>
      <c r="C6229" s="7" t="s">
        <v>45</v>
      </c>
      <c r="D6229" s="7" t="s">
        <v>46</v>
      </c>
      <c r="E6229" s="7" t="s">
        <v>39</v>
      </c>
      <c r="F6229" s="0" t="n">
        <v>88.776</v>
      </c>
      <c r="G6229" s="0" t="n">
        <v>7.7679</v>
      </c>
      <c r="H6229" s="0" t="n">
        <v>0.2</v>
      </c>
      <c r="I6229" s="7" t="n">
        <f aca="false">YEAR(B6229)</f>
        <v>2014</v>
      </c>
      <c r="J6229" s="0" t="str">
        <f aca="false">I6229&amp;"-Q"&amp;ROUNDUP(MONTH(B6229)/3,0)</f>
        <v>2014-Q4</v>
      </c>
    </row>
    <row r="6230" customFormat="false" ht="15" hidden="false" customHeight="false" outlineLevel="0" collapsed="false">
      <c r="A6230" s="0" t="s">
        <v>3186</v>
      </c>
      <c r="B6230" s="6" t="n">
        <v>42391</v>
      </c>
      <c r="C6230" s="7" t="s">
        <v>55</v>
      </c>
      <c r="D6230" s="7" t="s">
        <v>116</v>
      </c>
      <c r="E6230" s="7" t="s">
        <v>39</v>
      </c>
      <c r="F6230" s="0" t="n">
        <v>110.376</v>
      </c>
      <c r="G6230" s="0" t="n">
        <v>-20.2356</v>
      </c>
      <c r="H6230" s="0" t="n">
        <v>0.4</v>
      </c>
      <c r="I6230" s="7" t="n">
        <f aca="false">YEAR(B6230)</f>
        <v>2016</v>
      </c>
      <c r="J6230" s="0" t="str">
        <f aca="false">I6230&amp;"-Q"&amp;ROUNDUP(MONTH(B6230)/3,0)</f>
        <v>2016-Q1</v>
      </c>
    </row>
    <row r="6231" customFormat="false" ht="15" hidden="false" customHeight="false" outlineLevel="0" collapsed="false">
      <c r="A6231" s="0" t="s">
        <v>3186</v>
      </c>
      <c r="B6231" s="6" t="n">
        <v>42391</v>
      </c>
      <c r="C6231" s="7" t="s">
        <v>55</v>
      </c>
      <c r="D6231" s="7" t="s">
        <v>116</v>
      </c>
      <c r="E6231" s="7" t="s">
        <v>39</v>
      </c>
      <c r="F6231" s="0" t="n">
        <v>55.176</v>
      </c>
      <c r="G6231" s="0" t="n">
        <v>15.8631</v>
      </c>
      <c r="H6231" s="0" t="n">
        <v>0.2</v>
      </c>
      <c r="I6231" s="7" t="n">
        <f aca="false">YEAR(B6231)</f>
        <v>2016</v>
      </c>
      <c r="J6231" s="0" t="str">
        <f aca="false">I6231&amp;"-Q"&amp;ROUNDUP(MONTH(B6231)/3,0)</f>
        <v>2016-Q1</v>
      </c>
    </row>
    <row r="6232" customFormat="false" ht="15" hidden="false" customHeight="false" outlineLevel="0" collapsed="false">
      <c r="A6232" s="0" t="s">
        <v>3187</v>
      </c>
      <c r="B6232" s="6" t="n">
        <v>42927</v>
      </c>
      <c r="C6232" s="7" t="s">
        <v>45</v>
      </c>
      <c r="D6232" s="7" t="s">
        <v>114</v>
      </c>
      <c r="E6232" s="7" t="s">
        <v>35</v>
      </c>
      <c r="F6232" s="0" t="n">
        <v>30.32</v>
      </c>
      <c r="G6232" s="0" t="n">
        <v>11.8248</v>
      </c>
      <c r="H6232" s="0" t="n">
        <v>0</v>
      </c>
      <c r="I6232" s="7" t="n">
        <f aca="false">YEAR(B6232)</f>
        <v>2017</v>
      </c>
      <c r="J6232" s="0" t="str">
        <f aca="false">I6232&amp;"-Q"&amp;ROUNDUP(MONTH(B6232)/3,0)</f>
        <v>2017-Q3</v>
      </c>
    </row>
    <row r="6233" customFormat="false" ht="15" hidden="false" customHeight="false" outlineLevel="0" collapsed="false">
      <c r="A6233" s="0" t="s">
        <v>3188</v>
      </c>
      <c r="B6233" s="6" t="n">
        <v>42989</v>
      </c>
      <c r="C6233" s="7" t="s">
        <v>33</v>
      </c>
      <c r="D6233" s="7" t="s">
        <v>43</v>
      </c>
      <c r="E6233" s="7" t="s">
        <v>31</v>
      </c>
      <c r="F6233" s="0" t="n">
        <v>177.568</v>
      </c>
      <c r="G6233" s="0" t="n">
        <v>8.8784</v>
      </c>
      <c r="H6233" s="0" t="n">
        <v>0.2</v>
      </c>
      <c r="I6233" s="7" t="n">
        <f aca="false">YEAR(B6233)</f>
        <v>2017</v>
      </c>
      <c r="J6233" s="0" t="str">
        <f aca="false">I6233&amp;"-Q"&amp;ROUNDUP(MONTH(B6233)/3,0)</f>
        <v>2017-Q3</v>
      </c>
    </row>
    <row r="6234" customFormat="false" ht="15" hidden="false" customHeight="false" outlineLevel="0" collapsed="false">
      <c r="A6234" s="0" t="s">
        <v>3188</v>
      </c>
      <c r="B6234" s="6" t="n">
        <v>42989</v>
      </c>
      <c r="C6234" s="7" t="s">
        <v>33</v>
      </c>
      <c r="D6234" s="7" t="s">
        <v>43</v>
      </c>
      <c r="E6234" s="7" t="s">
        <v>35</v>
      </c>
      <c r="F6234" s="0" t="n">
        <v>19.44</v>
      </c>
      <c r="G6234" s="0" t="n">
        <v>9.3312</v>
      </c>
      <c r="H6234" s="0" t="n">
        <v>0</v>
      </c>
      <c r="I6234" s="7" t="n">
        <f aca="false">YEAR(B6234)</f>
        <v>2017</v>
      </c>
      <c r="J6234" s="0" t="str">
        <f aca="false">I6234&amp;"-Q"&amp;ROUNDUP(MONTH(B6234)/3,0)</f>
        <v>2017-Q3</v>
      </c>
    </row>
    <row r="6235" customFormat="false" ht="15" hidden="false" customHeight="false" outlineLevel="0" collapsed="false">
      <c r="A6235" s="0" t="s">
        <v>3188</v>
      </c>
      <c r="B6235" s="6" t="n">
        <v>42989</v>
      </c>
      <c r="C6235" s="7" t="s">
        <v>33</v>
      </c>
      <c r="D6235" s="7" t="s">
        <v>43</v>
      </c>
      <c r="E6235" s="7" t="s">
        <v>35</v>
      </c>
      <c r="F6235" s="0" t="n">
        <v>71.28</v>
      </c>
      <c r="G6235" s="0" t="n">
        <v>34.2144</v>
      </c>
      <c r="H6235" s="0" t="n">
        <v>0</v>
      </c>
      <c r="I6235" s="7" t="n">
        <f aca="false">YEAR(B6235)</f>
        <v>2017</v>
      </c>
      <c r="J6235" s="0" t="str">
        <f aca="false">I6235&amp;"-Q"&amp;ROUNDUP(MONTH(B6235)/3,0)</f>
        <v>2017-Q3</v>
      </c>
    </row>
    <row r="6236" customFormat="false" ht="15" hidden="false" customHeight="false" outlineLevel="0" collapsed="false">
      <c r="A6236" s="0" t="s">
        <v>3188</v>
      </c>
      <c r="B6236" s="6" t="n">
        <v>42989</v>
      </c>
      <c r="C6236" s="7" t="s">
        <v>33</v>
      </c>
      <c r="D6236" s="7" t="s">
        <v>43</v>
      </c>
      <c r="E6236" s="7" t="s">
        <v>35</v>
      </c>
      <c r="F6236" s="0" t="n">
        <v>1471.96</v>
      </c>
      <c r="G6236" s="0" t="n">
        <v>459.9875</v>
      </c>
      <c r="H6236" s="0" t="n">
        <v>0.2</v>
      </c>
      <c r="I6236" s="7" t="n">
        <f aca="false">YEAR(B6236)</f>
        <v>2017</v>
      </c>
      <c r="J6236" s="0" t="str">
        <f aca="false">I6236&amp;"-Q"&amp;ROUNDUP(MONTH(B6236)/3,0)</f>
        <v>2017-Q3</v>
      </c>
    </row>
    <row r="6237" customFormat="false" ht="15" hidden="false" customHeight="false" outlineLevel="0" collapsed="false">
      <c r="A6237" s="0" t="s">
        <v>3188</v>
      </c>
      <c r="B6237" s="6" t="n">
        <v>42989</v>
      </c>
      <c r="C6237" s="7" t="s">
        <v>33</v>
      </c>
      <c r="D6237" s="7" t="s">
        <v>43</v>
      </c>
      <c r="E6237" s="7" t="s">
        <v>39</v>
      </c>
      <c r="F6237" s="0" t="n">
        <v>79.96</v>
      </c>
      <c r="G6237" s="0" t="n">
        <v>-17.991</v>
      </c>
      <c r="H6237" s="0" t="n">
        <v>0.2</v>
      </c>
      <c r="I6237" s="7" t="n">
        <f aca="false">YEAR(B6237)</f>
        <v>2017</v>
      </c>
      <c r="J6237" s="0" t="str">
        <f aca="false">I6237&amp;"-Q"&amp;ROUNDUP(MONTH(B6237)/3,0)</f>
        <v>2017-Q3</v>
      </c>
    </row>
    <row r="6238" customFormat="false" ht="15" hidden="false" customHeight="false" outlineLevel="0" collapsed="false">
      <c r="A6238" s="0" t="s">
        <v>3189</v>
      </c>
      <c r="B6238" s="6" t="n">
        <v>42423</v>
      </c>
      <c r="C6238" s="7" t="s">
        <v>55</v>
      </c>
      <c r="D6238" s="7" t="s">
        <v>56</v>
      </c>
      <c r="E6238" s="7" t="s">
        <v>35</v>
      </c>
      <c r="F6238" s="0" t="n">
        <v>57.576</v>
      </c>
      <c r="G6238" s="0" t="n">
        <v>21.591</v>
      </c>
      <c r="H6238" s="0" t="n">
        <v>0.2</v>
      </c>
      <c r="I6238" s="7" t="n">
        <f aca="false">YEAR(B6238)</f>
        <v>2016</v>
      </c>
      <c r="J6238" s="0" t="str">
        <f aca="false">I6238&amp;"-Q"&amp;ROUNDUP(MONTH(B6238)/3,0)</f>
        <v>2016-Q1</v>
      </c>
    </row>
    <row r="6239" customFormat="false" ht="15" hidden="false" customHeight="false" outlineLevel="0" collapsed="false">
      <c r="A6239" s="0" t="s">
        <v>3190</v>
      </c>
      <c r="B6239" s="6" t="n">
        <v>42391</v>
      </c>
      <c r="C6239" s="7" t="s">
        <v>55</v>
      </c>
      <c r="D6239" s="7" t="s">
        <v>76</v>
      </c>
      <c r="E6239" s="7" t="s">
        <v>35</v>
      </c>
      <c r="F6239" s="0" t="n">
        <v>26.336</v>
      </c>
      <c r="G6239" s="0" t="n">
        <v>9.2176</v>
      </c>
      <c r="H6239" s="0" t="n">
        <v>0.2</v>
      </c>
      <c r="I6239" s="7" t="n">
        <f aca="false">YEAR(B6239)</f>
        <v>2016</v>
      </c>
      <c r="J6239" s="0" t="str">
        <f aca="false">I6239&amp;"-Q"&amp;ROUNDUP(MONTH(B6239)/3,0)</f>
        <v>2016-Q1</v>
      </c>
    </row>
    <row r="6240" customFormat="false" ht="15" hidden="false" customHeight="false" outlineLevel="0" collapsed="false">
      <c r="A6240" s="0" t="s">
        <v>3191</v>
      </c>
      <c r="B6240" s="6" t="n">
        <v>42350</v>
      </c>
      <c r="C6240" s="7" t="s">
        <v>33</v>
      </c>
      <c r="D6240" s="7" t="s">
        <v>34</v>
      </c>
      <c r="E6240" s="7" t="s">
        <v>31</v>
      </c>
      <c r="F6240" s="0" t="n">
        <v>166.5</v>
      </c>
      <c r="G6240" s="0" t="n">
        <v>21.645</v>
      </c>
      <c r="H6240" s="0" t="n">
        <v>0</v>
      </c>
      <c r="I6240" s="7" t="n">
        <f aca="false">YEAR(B6240)</f>
        <v>2015</v>
      </c>
      <c r="J6240" s="0" t="str">
        <f aca="false">I6240&amp;"-Q"&amp;ROUNDUP(MONTH(B6240)/3,0)</f>
        <v>2015-Q4</v>
      </c>
    </row>
    <row r="6241" customFormat="false" ht="15" hidden="false" customHeight="false" outlineLevel="0" collapsed="false">
      <c r="A6241" s="0" t="s">
        <v>3191</v>
      </c>
      <c r="B6241" s="6" t="n">
        <v>42350</v>
      </c>
      <c r="C6241" s="7" t="s">
        <v>33</v>
      </c>
      <c r="D6241" s="7" t="s">
        <v>34</v>
      </c>
      <c r="E6241" s="7" t="s">
        <v>35</v>
      </c>
      <c r="F6241" s="0" t="n">
        <v>360.38</v>
      </c>
      <c r="G6241" s="0" t="n">
        <v>93.6988</v>
      </c>
      <c r="H6241" s="0" t="n">
        <v>0</v>
      </c>
      <c r="I6241" s="7" t="n">
        <f aca="false">YEAR(B6241)</f>
        <v>2015</v>
      </c>
      <c r="J6241" s="0" t="str">
        <f aca="false">I6241&amp;"-Q"&amp;ROUNDUP(MONTH(B6241)/3,0)</f>
        <v>2015-Q4</v>
      </c>
    </row>
    <row r="6242" customFormat="false" ht="15" hidden="false" customHeight="false" outlineLevel="0" collapsed="false">
      <c r="A6242" s="0" t="s">
        <v>3192</v>
      </c>
      <c r="B6242" s="6" t="n">
        <v>42672</v>
      </c>
      <c r="C6242" s="7" t="s">
        <v>33</v>
      </c>
      <c r="D6242" s="7" t="s">
        <v>34</v>
      </c>
      <c r="E6242" s="7" t="s">
        <v>35</v>
      </c>
      <c r="F6242" s="0" t="n">
        <v>11.744</v>
      </c>
      <c r="G6242" s="0" t="n">
        <v>3.8168</v>
      </c>
      <c r="H6242" s="0" t="n">
        <v>0.2</v>
      </c>
      <c r="I6242" s="7" t="n">
        <f aca="false">YEAR(B6242)</f>
        <v>2016</v>
      </c>
      <c r="J6242" s="0" t="str">
        <f aca="false">I6242&amp;"-Q"&amp;ROUNDUP(MONTH(B6242)/3,0)</f>
        <v>2016-Q4</v>
      </c>
    </row>
    <row r="6243" customFormat="false" ht="15" hidden="false" customHeight="false" outlineLevel="0" collapsed="false">
      <c r="A6243" s="0" t="s">
        <v>3193</v>
      </c>
      <c r="B6243" s="6" t="n">
        <v>42883</v>
      </c>
      <c r="C6243" s="7" t="s">
        <v>55</v>
      </c>
      <c r="D6243" s="7" t="s">
        <v>482</v>
      </c>
      <c r="E6243" s="7" t="s">
        <v>31</v>
      </c>
      <c r="F6243" s="0" t="n">
        <v>247.44</v>
      </c>
      <c r="G6243" s="0" t="n">
        <v>101.4504</v>
      </c>
      <c r="H6243" s="0" t="n">
        <v>0</v>
      </c>
      <c r="I6243" s="7" t="n">
        <f aca="false">YEAR(B6243)</f>
        <v>2017</v>
      </c>
      <c r="J6243" s="0" t="str">
        <f aca="false">I6243&amp;"-Q"&amp;ROUNDUP(MONTH(B6243)/3,0)</f>
        <v>2017-Q2</v>
      </c>
    </row>
    <row r="6244" customFormat="false" ht="15" hidden="false" customHeight="false" outlineLevel="0" collapsed="false">
      <c r="A6244" s="0" t="s">
        <v>3194</v>
      </c>
      <c r="B6244" s="6" t="n">
        <v>41994</v>
      </c>
      <c r="C6244" s="7" t="s">
        <v>29</v>
      </c>
      <c r="D6244" s="7" t="s">
        <v>87</v>
      </c>
      <c r="E6244" s="7" t="s">
        <v>35</v>
      </c>
      <c r="F6244" s="0" t="n">
        <v>18.24</v>
      </c>
      <c r="G6244" s="0" t="n">
        <v>-14.592</v>
      </c>
      <c r="H6244" s="0" t="n">
        <v>0.7</v>
      </c>
      <c r="I6244" s="7" t="n">
        <f aca="false">YEAR(B6244)</f>
        <v>2014</v>
      </c>
      <c r="J6244" s="0" t="str">
        <f aca="false">I6244&amp;"-Q"&amp;ROUNDUP(MONTH(B6244)/3,0)</f>
        <v>2014-Q4</v>
      </c>
    </row>
    <row r="6245" customFormat="false" ht="15" hidden="false" customHeight="false" outlineLevel="0" collapsed="false">
      <c r="A6245" s="0" t="s">
        <v>3195</v>
      </c>
      <c r="B6245" s="6" t="n">
        <v>42698</v>
      </c>
      <c r="C6245" s="7" t="s">
        <v>33</v>
      </c>
      <c r="D6245" s="7" t="s">
        <v>43</v>
      </c>
      <c r="E6245" s="7" t="s">
        <v>35</v>
      </c>
      <c r="F6245" s="0" t="n">
        <v>25.35</v>
      </c>
      <c r="G6245" s="0" t="n">
        <v>7.605</v>
      </c>
      <c r="H6245" s="0" t="n">
        <v>0</v>
      </c>
      <c r="I6245" s="7" t="n">
        <f aca="false">YEAR(B6245)</f>
        <v>2016</v>
      </c>
      <c r="J6245" s="0" t="str">
        <f aca="false">I6245&amp;"-Q"&amp;ROUNDUP(MONTH(B6245)/3,0)</f>
        <v>2016-Q4</v>
      </c>
    </row>
    <row r="6246" customFormat="false" ht="15" hidden="false" customHeight="false" outlineLevel="0" collapsed="false">
      <c r="A6246" s="0" t="s">
        <v>3196</v>
      </c>
      <c r="B6246" s="6" t="n">
        <v>42328</v>
      </c>
      <c r="C6246" s="7" t="s">
        <v>33</v>
      </c>
      <c r="D6246" s="7" t="s">
        <v>43</v>
      </c>
      <c r="E6246" s="7" t="s">
        <v>35</v>
      </c>
      <c r="F6246" s="0" t="n">
        <v>119.04</v>
      </c>
      <c r="G6246" s="0" t="n">
        <v>30.9504</v>
      </c>
      <c r="H6246" s="0" t="n">
        <v>0</v>
      </c>
      <c r="I6246" s="7" t="n">
        <f aca="false">YEAR(B6246)</f>
        <v>2015</v>
      </c>
      <c r="J6246" s="0" t="str">
        <f aca="false">I6246&amp;"-Q"&amp;ROUNDUP(MONTH(B6246)/3,0)</f>
        <v>2015-Q4</v>
      </c>
    </row>
    <row r="6247" customFormat="false" ht="15" hidden="false" customHeight="false" outlineLevel="0" collapsed="false">
      <c r="A6247" s="0" t="s">
        <v>3196</v>
      </c>
      <c r="B6247" s="6" t="n">
        <v>42328</v>
      </c>
      <c r="C6247" s="7" t="s">
        <v>33</v>
      </c>
      <c r="D6247" s="7" t="s">
        <v>43</v>
      </c>
      <c r="E6247" s="7" t="s">
        <v>31</v>
      </c>
      <c r="F6247" s="0" t="n">
        <v>22.14</v>
      </c>
      <c r="G6247" s="0" t="n">
        <v>6.4206</v>
      </c>
      <c r="H6247" s="0" t="n">
        <v>0</v>
      </c>
      <c r="I6247" s="7" t="n">
        <f aca="false">YEAR(B6247)</f>
        <v>2015</v>
      </c>
      <c r="J6247" s="0" t="str">
        <f aca="false">I6247&amp;"-Q"&amp;ROUNDUP(MONTH(B6247)/3,0)</f>
        <v>2015-Q4</v>
      </c>
    </row>
    <row r="6248" customFormat="false" ht="15" hidden="false" customHeight="false" outlineLevel="0" collapsed="false">
      <c r="A6248" s="0" t="s">
        <v>3196</v>
      </c>
      <c r="B6248" s="6" t="n">
        <v>42328</v>
      </c>
      <c r="C6248" s="7" t="s">
        <v>33</v>
      </c>
      <c r="D6248" s="7" t="s">
        <v>43</v>
      </c>
      <c r="E6248" s="7" t="s">
        <v>39</v>
      </c>
      <c r="F6248" s="0" t="n">
        <v>13.98</v>
      </c>
      <c r="G6248" s="0" t="n">
        <v>6.0114</v>
      </c>
      <c r="H6248" s="0" t="n">
        <v>0</v>
      </c>
      <c r="I6248" s="7" t="n">
        <f aca="false">YEAR(B6248)</f>
        <v>2015</v>
      </c>
      <c r="J6248" s="0" t="str">
        <f aca="false">I6248&amp;"-Q"&amp;ROUNDUP(MONTH(B6248)/3,0)</f>
        <v>2015-Q4</v>
      </c>
    </row>
    <row r="6249" customFormat="false" ht="15" hidden="false" customHeight="false" outlineLevel="0" collapsed="false">
      <c r="A6249" s="0" t="s">
        <v>3197</v>
      </c>
      <c r="B6249" s="6" t="n">
        <v>42884</v>
      </c>
      <c r="C6249" s="7" t="s">
        <v>45</v>
      </c>
      <c r="D6249" s="7" t="s">
        <v>74</v>
      </c>
      <c r="E6249" s="7" t="s">
        <v>35</v>
      </c>
      <c r="F6249" s="0" t="n">
        <v>43.41</v>
      </c>
      <c r="G6249" s="0" t="n">
        <v>19.9686</v>
      </c>
      <c r="H6249" s="0" t="n">
        <v>0</v>
      </c>
      <c r="I6249" s="7" t="n">
        <f aca="false">YEAR(B6249)</f>
        <v>2017</v>
      </c>
      <c r="J6249" s="0" t="str">
        <f aca="false">I6249&amp;"-Q"&amp;ROUNDUP(MONTH(B6249)/3,0)</f>
        <v>2017-Q2</v>
      </c>
    </row>
    <row r="6250" customFormat="false" ht="15" hidden="false" customHeight="false" outlineLevel="0" collapsed="false">
      <c r="A6250" s="0" t="s">
        <v>3197</v>
      </c>
      <c r="B6250" s="6" t="n">
        <v>42884</v>
      </c>
      <c r="C6250" s="7" t="s">
        <v>45</v>
      </c>
      <c r="D6250" s="7" t="s">
        <v>74</v>
      </c>
      <c r="E6250" s="7" t="s">
        <v>31</v>
      </c>
      <c r="F6250" s="0" t="n">
        <v>6.24</v>
      </c>
      <c r="G6250" s="0" t="n">
        <v>2.6208</v>
      </c>
      <c r="H6250" s="0" t="n">
        <v>0</v>
      </c>
      <c r="I6250" s="7" t="n">
        <f aca="false">YEAR(B6250)</f>
        <v>2017</v>
      </c>
      <c r="J6250" s="0" t="str">
        <f aca="false">I6250&amp;"-Q"&amp;ROUNDUP(MONTH(B6250)/3,0)</f>
        <v>2017-Q2</v>
      </c>
    </row>
    <row r="6251" customFormat="false" ht="15" hidden="false" customHeight="false" outlineLevel="0" collapsed="false">
      <c r="A6251" s="0" t="s">
        <v>3197</v>
      </c>
      <c r="B6251" s="6" t="n">
        <v>42884</v>
      </c>
      <c r="C6251" s="7" t="s">
        <v>45</v>
      </c>
      <c r="D6251" s="7" t="s">
        <v>74</v>
      </c>
      <c r="E6251" s="7" t="s">
        <v>35</v>
      </c>
      <c r="F6251" s="0" t="n">
        <v>465.16</v>
      </c>
      <c r="G6251" s="0" t="n">
        <v>120.9416</v>
      </c>
      <c r="H6251" s="0" t="n">
        <v>0</v>
      </c>
      <c r="I6251" s="7" t="n">
        <f aca="false">YEAR(B6251)</f>
        <v>2017</v>
      </c>
      <c r="J6251" s="0" t="str">
        <f aca="false">I6251&amp;"-Q"&amp;ROUNDUP(MONTH(B6251)/3,0)</f>
        <v>2017-Q2</v>
      </c>
    </row>
    <row r="6252" customFormat="false" ht="15" hidden="false" customHeight="false" outlineLevel="0" collapsed="false">
      <c r="A6252" s="0" t="s">
        <v>3197</v>
      </c>
      <c r="B6252" s="6" t="n">
        <v>42884</v>
      </c>
      <c r="C6252" s="7" t="s">
        <v>45</v>
      </c>
      <c r="D6252" s="7" t="s">
        <v>74</v>
      </c>
      <c r="E6252" s="7" t="s">
        <v>35</v>
      </c>
      <c r="F6252" s="0" t="n">
        <v>7.98</v>
      </c>
      <c r="G6252" s="0" t="n">
        <v>3.99</v>
      </c>
      <c r="H6252" s="0" t="n">
        <v>0</v>
      </c>
      <c r="I6252" s="7" t="n">
        <f aca="false">YEAR(B6252)</f>
        <v>2017</v>
      </c>
      <c r="J6252" s="0" t="str">
        <f aca="false">I6252&amp;"-Q"&amp;ROUNDUP(MONTH(B6252)/3,0)</f>
        <v>2017-Q2</v>
      </c>
    </row>
    <row r="6253" customFormat="false" ht="15" hidden="false" customHeight="false" outlineLevel="0" collapsed="false">
      <c r="A6253" s="0" t="s">
        <v>3198</v>
      </c>
      <c r="B6253" s="6" t="n">
        <v>41975</v>
      </c>
      <c r="C6253" s="7" t="s">
        <v>45</v>
      </c>
      <c r="D6253" s="7" t="s">
        <v>64</v>
      </c>
      <c r="E6253" s="7" t="s">
        <v>35</v>
      </c>
      <c r="F6253" s="0" t="n">
        <v>2.394</v>
      </c>
      <c r="G6253" s="0" t="n">
        <v>-6.3441</v>
      </c>
      <c r="H6253" s="0" t="n">
        <v>0.8</v>
      </c>
      <c r="I6253" s="7" t="n">
        <f aca="false">YEAR(B6253)</f>
        <v>2014</v>
      </c>
      <c r="J6253" s="0" t="str">
        <f aca="false">I6253&amp;"-Q"&amp;ROUNDUP(MONTH(B6253)/3,0)</f>
        <v>2014-Q4</v>
      </c>
    </row>
    <row r="6254" customFormat="false" ht="15" hidden="false" customHeight="false" outlineLevel="0" collapsed="false">
      <c r="A6254" s="0" t="s">
        <v>3199</v>
      </c>
      <c r="B6254" s="6" t="n">
        <v>41736</v>
      </c>
      <c r="C6254" s="7" t="s">
        <v>29</v>
      </c>
      <c r="D6254" s="7" t="s">
        <v>230</v>
      </c>
      <c r="E6254" s="7" t="s">
        <v>35</v>
      </c>
      <c r="F6254" s="0" t="n">
        <v>58.32</v>
      </c>
      <c r="G6254" s="0" t="n">
        <v>27.9936</v>
      </c>
      <c r="H6254" s="0" t="n">
        <v>0</v>
      </c>
      <c r="I6254" s="7" t="n">
        <f aca="false">YEAR(B6254)</f>
        <v>2014</v>
      </c>
      <c r="J6254" s="0" t="str">
        <f aca="false">I6254&amp;"-Q"&amp;ROUNDUP(MONTH(B6254)/3,0)</f>
        <v>2014-Q2</v>
      </c>
    </row>
    <row r="6255" customFormat="false" ht="15" hidden="false" customHeight="false" outlineLevel="0" collapsed="false">
      <c r="A6255" s="0" t="s">
        <v>3199</v>
      </c>
      <c r="B6255" s="6" t="n">
        <v>41736</v>
      </c>
      <c r="C6255" s="7" t="s">
        <v>29</v>
      </c>
      <c r="D6255" s="7" t="s">
        <v>230</v>
      </c>
      <c r="E6255" s="7" t="s">
        <v>39</v>
      </c>
      <c r="F6255" s="0" t="n">
        <v>200.97</v>
      </c>
      <c r="G6255" s="0" t="n">
        <v>50.2425</v>
      </c>
      <c r="H6255" s="0" t="n">
        <v>0</v>
      </c>
      <c r="I6255" s="7" t="n">
        <f aca="false">YEAR(B6255)</f>
        <v>2014</v>
      </c>
      <c r="J6255" s="0" t="str">
        <f aca="false">I6255&amp;"-Q"&amp;ROUNDUP(MONTH(B6255)/3,0)</f>
        <v>2014-Q2</v>
      </c>
    </row>
    <row r="6256" customFormat="false" ht="15" hidden="false" customHeight="false" outlineLevel="0" collapsed="false">
      <c r="A6256" s="0" t="s">
        <v>3200</v>
      </c>
      <c r="B6256" s="6" t="n">
        <v>42255</v>
      </c>
      <c r="C6256" s="7" t="s">
        <v>29</v>
      </c>
      <c r="D6256" s="7" t="s">
        <v>91</v>
      </c>
      <c r="E6256" s="7" t="s">
        <v>31</v>
      </c>
      <c r="F6256" s="0" t="n">
        <v>21.36</v>
      </c>
      <c r="G6256" s="0" t="n">
        <v>8.1168</v>
      </c>
      <c r="H6256" s="0" t="n">
        <v>0</v>
      </c>
      <c r="I6256" s="7" t="n">
        <f aca="false">YEAR(B6256)</f>
        <v>2015</v>
      </c>
      <c r="J6256" s="0" t="str">
        <f aca="false">I6256&amp;"-Q"&amp;ROUNDUP(MONTH(B6256)/3,0)</f>
        <v>2015-Q3</v>
      </c>
    </row>
    <row r="6257" customFormat="false" ht="15" hidden="false" customHeight="false" outlineLevel="0" collapsed="false">
      <c r="A6257" s="0" t="s">
        <v>3201</v>
      </c>
      <c r="B6257" s="6" t="n">
        <v>42987</v>
      </c>
      <c r="C6257" s="7" t="s">
        <v>45</v>
      </c>
      <c r="D6257" s="7" t="s">
        <v>46</v>
      </c>
      <c r="E6257" s="7" t="s">
        <v>35</v>
      </c>
      <c r="F6257" s="0" t="n">
        <v>9.856</v>
      </c>
      <c r="G6257" s="0" t="n">
        <v>3.4496</v>
      </c>
      <c r="H6257" s="0" t="n">
        <v>0.2</v>
      </c>
      <c r="I6257" s="7" t="n">
        <f aca="false">YEAR(B6257)</f>
        <v>2017</v>
      </c>
      <c r="J6257" s="0" t="str">
        <f aca="false">I6257&amp;"-Q"&amp;ROUNDUP(MONTH(B6257)/3,0)</f>
        <v>2017-Q3</v>
      </c>
    </row>
    <row r="6258" customFormat="false" ht="15" hidden="false" customHeight="false" outlineLevel="0" collapsed="false">
      <c r="A6258" s="0" t="s">
        <v>3202</v>
      </c>
      <c r="B6258" s="6" t="n">
        <v>42253</v>
      </c>
      <c r="C6258" s="7" t="s">
        <v>29</v>
      </c>
      <c r="D6258" s="7" t="s">
        <v>37</v>
      </c>
      <c r="E6258" s="7" t="s">
        <v>35</v>
      </c>
      <c r="F6258" s="0" t="n">
        <v>3.444</v>
      </c>
      <c r="G6258" s="0" t="n">
        <v>-2.5256</v>
      </c>
      <c r="H6258" s="0" t="n">
        <v>0.7</v>
      </c>
      <c r="I6258" s="7" t="n">
        <f aca="false">YEAR(B6258)</f>
        <v>2015</v>
      </c>
      <c r="J6258" s="0" t="str">
        <f aca="false">I6258&amp;"-Q"&amp;ROUNDUP(MONTH(B6258)/3,0)</f>
        <v>2015-Q3</v>
      </c>
    </row>
    <row r="6259" customFormat="false" ht="15" hidden="false" customHeight="false" outlineLevel="0" collapsed="false">
      <c r="A6259" s="0" t="s">
        <v>3203</v>
      </c>
      <c r="B6259" s="6" t="n">
        <v>43041</v>
      </c>
      <c r="C6259" s="7" t="s">
        <v>55</v>
      </c>
      <c r="D6259" s="7" t="s">
        <v>116</v>
      </c>
      <c r="E6259" s="7" t="s">
        <v>35</v>
      </c>
      <c r="F6259" s="0" t="n">
        <v>384.592</v>
      </c>
      <c r="G6259" s="0" t="n">
        <v>-81.7258</v>
      </c>
      <c r="H6259" s="0" t="n">
        <v>0.2</v>
      </c>
      <c r="I6259" s="7" t="n">
        <f aca="false">YEAR(B6259)</f>
        <v>2017</v>
      </c>
      <c r="J6259" s="0" t="str">
        <f aca="false">I6259&amp;"-Q"&amp;ROUNDUP(MONTH(B6259)/3,0)</f>
        <v>2017-Q4</v>
      </c>
    </row>
    <row r="6260" customFormat="false" ht="15" hidden="false" customHeight="false" outlineLevel="0" collapsed="false">
      <c r="A6260" s="0" t="s">
        <v>3204</v>
      </c>
      <c r="B6260" s="6" t="n">
        <v>42091</v>
      </c>
      <c r="C6260" s="7" t="s">
        <v>55</v>
      </c>
      <c r="D6260" s="7" t="s">
        <v>76</v>
      </c>
      <c r="E6260" s="7" t="s">
        <v>35</v>
      </c>
      <c r="F6260" s="0" t="n">
        <v>22.92</v>
      </c>
      <c r="G6260" s="0" t="n">
        <v>11.2308</v>
      </c>
      <c r="H6260" s="0" t="n">
        <v>0</v>
      </c>
      <c r="I6260" s="7" t="n">
        <f aca="false">YEAR(B6260)</f>
        <v>2015</v>
      </c>
      <c r="J6260" s="0" t="str">
        <f aca="false">I6260&amp;"-Q"&amp;ROUNDUP(MONTH(B6260)/3,0)</f>
        <v>2015-Q1</v>
      </c>
    </row>
    <row r="6261" customFormat="false" ht="15" hidden="false" customHeight="false" outlineLevel="0" collapsed="false">
      <c r="A6261" s="0" t="s">
        <v>3205</v>
      </c>
      <c r="B6261" s="6" t="n">
        <v>42229</v>
      </c>
      <c r="C6261" s="7" t="s">
        <v>45</v>
      </c>
      <c r="D6261" s="7" t="s">
        <v>74</v>
      </c>
      <c r="E6261" s="7" t="s">
        <v>35</v>
      </c>
      <c r="F6261" s="0" t="n">
        <v>11.36</v>
      </c>
      <c r="G6261" s="0" t="n">
        <v>5.5664</v>
      </c>
      <c r="H6261" s="0" t="n">
        <v>0</v>
      </c>
      <c r="I6261" s="7" t="n">
        <f aca="false">YEAR(B6261)</f>
        <v>2015</v>
      </c>
      <c r="J6261" s="0" t="str">
        <f aca="false">I6261&amp;"-Q"&amp;ROUNDUP(MONTH(B6261)/3,0)</f>
        <v>2015-Q3</v>
      </c>
    </row>
    <row r="6262" customFormat="false" ht="15" hidden="false" customHeight="false" outlineLevel="0" collapsed="false">
      <c r="A6262" s="0" t="s">
        <v>3206</v>
      </c>
      <c r="B6262" s="6" t="n">
        <v>42136</v>
      </c>
      <c r="C6262" s="7" t="s">
        <v>33</v>
      </c>
      <c r="D6262" s="7" t="s">
        <v>43</v>
      </c>
      <c r="E6262" s="7" t="s">
        <v>35</v>
      </c>
      <c r="F6262" s="0" t="n">
        <v>14.592</v>
      </c>
      <c r="G6262" s="0" t="n">
        <v>4.9248</v>
      </c>
      <c r="H6262" s="0" t="n">
        <v>0.2</v>
      </c>
      <c r="I6262" s="7" t="n">
        <f aca="false">YEAR(B6262)</f>
        <v>2015</v>
      </c>
      <c r="J6262" s="0" t="str">
        <f aca="false">I6262&amp;"-Q"&amp;ROUNDUP(MONTH(B6262)/3,0)</f>
        <v>2015-Q2</v>
      </c>
    </row>
    <row r="6263" customFormat="false" ht="15" hidden="false" customHeight="false" outlineLevel="0" collapsed="false">
      <c r="A6263" s="0" t="s">
        <v>3207</v>
      </c>
      <c r="B6263" s="6" t="n">
        <v>42939</v>
      </c>
      <c r="C6263" s="7" t="s">
        <v>55</v>
      </c>
      <c r="D6263" s="7" t="s">
        <v>76</v>
      </c>
      <c r="E6263" s="7" t="s">
        <v>35</v>
      </c>
      <c r="F6263" s="0" t="n">
        <v>41.4</v>
      </c>
      <c r="G6263" s="0" t="n">
        <v>19.872</v>
      </c>
      <c r="H6263" s="0" t="n">
        <v>0</v>
      </c>
      <c r="I6263" s="7" t="n">
        <f aca="false">YEAR(B6263)</f>
        <v>2017</v>
      </c>
      <c r="J6263" s="0" t="str">
        <f aca="false">I6263&amp;"-Q"&amp;ROUNDUP(MONTH(B6263)/3,0)</f>
        <v>2017-Q3</v>
      </c>
    </row>
    <row r="6264" customFormat="false" ht="15" hidden="false" customHeight="false" outlineLevel="0" collapsed="false">
      <c r="A6264" s="0" t="s">
        <v>3208</v>
      </c>
      <c r="B6264" s="6" t="n">
        <v>42637</v>
      </c>
      <c r="C6264" s="7" t="s">
        <v>45</v>
      </c>
      <c r="D6264" s="7" t="s">
        <v>64</v>
      </c>
      <c r="E6264" s="7" t="s">
        <v>35</v>
      </c>
      <c r="F6264" s="0" t="n">
        <v>442.372</v>
      </c>
      <c r="G6264" s="0" t="n">
        <v>-729.9138</v>
      </c>
      <c r="H6264" s="0" t="n">
        <v>0.8</v>
      </c>
      <c r="I6264" s="7" t="n">
        <f aca="false">YEAR(B6264)</f>
        <v>2016</v>
      </c>
      <c r="J6264" s="0" t="str">
        <f aca="false">I6264&amp;"-Q"&amp;ROUNDUP(MONTH(B6264)/3,0)</f>
        <v>2016-Q3</v>
      </c>
    </row>
    <row r="6265" customFormat="false" ht="15" hidden="false" customHeight="false" outlineLevel="0" collapsed="false">
      <c r="A6265" s="0" t="s">
        <v>3209</v>
      </c>
      <c r="B6265" s="6" t="n">
        <v>42860</v>
      </c>
      <c r="C6265" s="7" t="s">
        <v>29</v>
      </c>
      <c r="D6265" s="7" t="s">
        <v>230</v>
      </c>
      <c r="E6265" s="7" t="s">
        <v>35</v>
      </c>
      <c r="F6265" s="0" t="n">
        <v>34.5</v>
      </c>
      <c r="G6265" s="0" t="n">
        <v>15.525</v>
      </c>
      <c r="H6265" s="0" t="n">
        <v>0</v>
      </c>
      <c r="I6265" s="7" t="n">
        <f aca="false">YEAR(B6265)</f>
        <v>2017</v>
      </c>
      <c r="J6265" s="0" t="str">
        <f aca="false">I6265&amp;"-Q"&amp;ROUNDUP(MONTH(B6265)/3,0)</f>
        <v>2017-Q2</v>
      </c>
    </row>
    <row r="6266" customFormat="false" ht="15" hidden="false" customHeight="false" outlineLevel="0" collapsed="false">
      <c r="A6266" s="0" t="s">
        <v>3210</v>
      </c>
      <c r="B6266" s="6" t="n">
        <v>42649</v>
      </c>
      <c r="C6266" s="7" t="s">
        <v>45</v>
      </c>
      <c r="D6266" s="7" t="s">
        <v>138</v>
      </c>
      <c r="E6266" s="7" t="s">
        <v>35</v>
      </c>
      <c r="F6266" s="0" t="n">
        <v>28.85</v>
      </c>
      <c r="G6266" s="0" t="n">
        <v>14.425</v>
      </c>
      <c r="H6266" s="0" t="n">
        <v>0</v>
      </c>
      <c r="I6266" s="7" t="n">
        <f aca="false">YEAR(B6266)</f>
        <v>2016</v>
      </c>
      <c r="J6266" s="0" t="str">
        <f aca="false">I6266&amp;"-Q"&amp;ROUNDUP(MONTH(B6266)/3,0)</f>
        <v>2016-Q4</v>
      </c>
    </row>
    <row r="6267" customFormat="false" ht="15" hidden="false" customHeight="false" outlineLevel="0" collapsed="false">
      <c r="A6267" s="0" t="s">
        <v>3211</v>
      </c>
      <c r="B6267" s="6" t="n">
        <v>41946</v>
      </c>
      <c r="C6267" s="7" t="s">
        <v>29</v>
      </c>
      <c r="D6267" s="7" t="s">
        <v>87</v>
      </c>
      <c r="E6267" s="7" t="s">
        <v>35</v>
      </c>
      <c r="F6267" s="0" t="n">
        <v>3.488</v>
      </c>
      <c r="G6267" s="0" t="n">
        <v>1.1772</v>
      </c>
      <c r="H6267" s="0" t="n">
        <v>0.2</v>
      </c>
      <c r="I6267" s="7" t="n">
        <f aca="false">YEAR(B6267)</f>
        <v>2014</v>
      </c>
      <c r="J6267" s="0" t="str">
        <f aca="false">I6267&amp;"-Q"&amp;ROUNDUP(MONTH(B6267)/3,0)</f>
        <v>2014-Q4</v>
      </c>
    </row>
    <row r="6268" customFormat="false" ht="15" hidden="false" customHeight="false" outlineLevel="0" collapsed="false">
      <c r="A6268" s="0" t="s">
        <v>3211</v>
      </c>
      <c r="B6268" s="6" t="n">
        <v>41946</v>
      </c>
      <c r="C6268" s="7" t="s">
        <v>29</v>
      </c>
      <c r="D6268" s="7" t="s">
        <v>87</v>
      </c>
      <c r="E6268" s="7" t="s">
        <v>35</v>
      </c>
      <c r="F6268" s="0" t="n">
        <v>143.856</v>
      </c>
      <c r="G6268" s="0" t="n">
        <v>48.5514</v>
      </c>
      <c r="H6268" s="0" t="n">
        <v>0.2</v>
      </c>
      <c r="I6268" s="7" t="n">
        <f aca="false">YEAR(B6268)</f>
        <v>2014</v>
      </c>
      <c r="J6268" s="0" t="str">
        <f aca="false">I6268&amp;"-Q"&amp;ROUNDUP(MONTH(B6268)/3,0)</f>
        <v>2014-Q4</v>
      </c>
    </row>
    <row r="6269" customFormat="false" ht="15" hidden="false" customHeight="false" outlineLevel="0" collapsed="false">
      <c r="A6269" s="0" t="s">
        <v>3212</v>
      </c>
      <c r="B6269" s="6" t="n">
        <v>42278</v>
      </c>
      <c r="C6269" s="7" t="s">
        <v>55</v>
      </c>
      <c r="D6269" s="7" t="s">
        <v>225</v>
      </c>
      <c r="E6269" s="7" t="s">
        <v>39</v>
      </c>
      <c r="F6269" s="0" t="n">
        <v>311.98</v>
      </c>
      <c r="G6269" s="0" t="n">
        <v>93.594</v>
      </c>
      <c r="H6269" s="0" t="n">
        <v>0</v>
      </c>
      <c r="I6269" s="7" t="n">
        <f aca="false">YEAR(B6269)</f>
        <v>2015</v>
      </c>
      <c r="J6269" s="0" t="str">
        <f aca="false">I6269&amp;"-Q"&amp;ROUNDUP(MONTH(B6269)/3,0)</f>
        <v>2015-Q4</v>
      </c>
    </row>
    <row r="6270" customFormat="false" ht="15" hidden="false" customHeight="false" outlineLevel="0" collapsed="false">
      <c r="A6270" s="0" t="s">
        <v>3212</v>
      </c>
      <c r="B6270" s="6" t="n">
        <v>42278</v>
      </c>
      <c r="C6270" s="7" t="s">
        <v>55</v>
      </c>
      <c r="D6270" s="7" t="s">
        <v>225</v>
      </c>
      <c r="E6270" s="7" t="s">
        <v>35</v>
      </c>
      <c r="F6270" s="0" t="n">
        <v>22.45</v>
      </c>
      <c r="G6270" s="0" t="n">
        <v>10.327</v>
      </c>
      <c r="H6270" s="0" t="n">
        <v>0</v>
      </c>
      <c r="I6270" s="7" t="n">
        <f aca="false">YEAR(B6270)</f>
        <v>2015</v>
      </c>
      <c r="J6270" s="0" t="str">
        <f aca="false">I6270&amp;"-Q"&amp;ROUNDUP(MONTH(B6270)/3,0)</f>
        <v>2015-Q4</v>
      </c>
    </row>
    <row r="6271" customFormat="false" ht="15" hidden="false" customHeight="false" outlineLevel="0" collapsed="false">
      <c r="A6271" s="0" t="s">
        <v>3213</v>
      </c>
      <c r="B6271" s="6" t="n">
        <v>43071</v>
      </c>
      <c r="C6271" s="7" t="s">
        <v>33</v>
      </c>
      <c r="D6271" s="7" t="s">
        <v>34</v>
      </c>
      <c r="E6271" s="7" t="s">
        <v>39</v>
      </c>
      <c r="F6271" s="0" t="n">
        <v>39.992</v>
      </c>
      <c r="G6271" s="0" t="n">
        <v>-7.9984</v>
      </c>
      <c r="H6271" s="0" t="n">
        <v>0.2</v>
      </c>
      <c r="I6271" s="7" t="n">
        <f aca="false">YEAR(B6271)</f>
        <v>2017</v>
      </c>
      <c r="J6271" s="0" t="str">
        <f aca="false">I6271&amp;"-Q"&amp;ROUNDUP(MONTH(B6271)/3,0)</f>
        <v>2017-Q4</v>
      </c>
    </row>
    <row r="6272" customFormat="false" ht="15" hidden="false" customHeight="false" outlineLevel="0" collapsed="false">
      <c r="A6272" s="0" t="s">
        <v>3213</v>
      </c>
      <c r="B6272" s="6" t="n">
        <v>43071</v>
      </c>
      <c r="C6272" s="7" t="s">
        <v>33</v>
      </c>
      <c r="D6272" s="7" t="s">
        <v>34</v>
      </c>
      <c r="E6272" s="7" t="s">
        <v>31</v>
      </c>
      <c r="F6272" s="0" t="n">
        <v>1159.056</v>
      </c>
      <c r="G6272" s="0" t="n">
        <v>43.4646</v>
      </c>
      <c r="H6272" s="0" t="n">
        <v>0.2</v>
      </c>
      <c r="I6272" s="7" t="n">
        <f aca="false">YEAR(B6272)</f>
        <v>2017</v>
      </c>
      <c r="J6272" s="0" t="str">
        <f aca="false">I6272&amp;"-Q"&amp;ROUNDUP(MONTH(B6272)/3,0)</f>
        <v>2017-Q4</v>
      </c>
    </row>
    <row r="6273" customFormat="false" ht="15" hidden="false" customHeight="false" outlineLevel="0" collapsed="false">
      <c r="A6273" s="0" t="s">
        <v>3213</v>
      </c>
      <c r="B6273" s="6" t="n">
        <v>43071</v>
      </c>
      <c r="C6273" s="7" t="s">
        <v>33</v>
      </c>
      <c r="D6273" s="7" t="s">
        <v>34</v>
      </c>
      <c r="E6273" s="7" t="s">
        <v>35</v>
      </c>
      <c r="F6273" s="0" t="n">
        <v>179.9</v>
      </c>
      <c r="G6273" s="0" t="n">
        <v>44.975</v>
      </c>
      <c r="H6273" s="0" t="n">
        <v>0</v>
      </c>
      <c r="I6273" s="7" t="n">
        <f aca="false">YEAR(B6273)</f>
        <v>2017</v>
      </c>
      <c r="J6273" s="0" t="str">
        <f aca="false">I6273&amp;"-Q"&amp;ROUNDUP(MONTH(B6273)/3,0)</f>
        <v>2017-Q4</v>
      </c>
    </row>
    <row r="6274" customFormat="false" ht="15" hidden="false" customHeight="false" outlineLevel="0" collapsed="false">
      <c r="A6274" s="0" t="s">
        <v>3214</v>
      </c>
      <c r="B6274" s="6" t="n">
        <v>43080</v>
      </c>
      <c r="C6274" s="7" t="s">
        <v>45</v>
      </c>
      <c r="D6274" s="7" t="s">
        <v>64</v>
      </c>
      <c r="E6274" s="7" t="s">
        <v>39</v>
      </c>
      <c r="F6274" s="0" t="n">
        <v>116.312</v>
      </c>
      <c r="G6274" s="0" t="n">
        <v>23.2624</v>
      </c>
      <c r="H6274" s="0" t="n">
        <v>0.2</v>
      </c>
      <c r="I6274" s="7" t="n">
        <f aca="false">YEAR(B6274)</f>
        <v>2017</v>
      </c>
      <c r="J6274" s="0" t="str">
        <f aca="false">I6274&amp;"-Q"&amp;ROUNDUP(MONTH(B6274)/3,0)</f>
        <v>2017-Q4</v>
      </c>
    </row>
    <row r="6275" customFormat="false" ht="15" hidden="false" customHeight="false" outlineLevel="0" collapsed="false">
      <c r="A6275" s="0" t="s">
        <v>3215</v>
      </c>
      <c r="B6275" s="6" t="n">
        <v>42568</v>
      </c>
      <c r="C6275" s="7" t="s">
        <v>33</v>
      </c>
      <c r="D6275" s="7" t="s">
        <v>43</v>
      </c>
      <c r="E6275" s="7" t="s">
        <v>31</v>
      </c>
      <c r="F6275" s="0" t="n">
        <v>12.42</v>
      </c>
      <c r="G6275" s="0" t="n">
        <v>4.4712</v>
      </c>
      <c r="H6275" s="0" t="n">
        <v>0</v>
      </c>
      <c r="I6275" s="7" t="n">
        <f aca="false">YEAR(B6275)</f>
        <v>2016</v>
      </c>
      <c r="J6275" s="0" t="str">
        <f aca="false">I6275&amp;"-Q"&amp;ROUNDUP(MONTH(B6275)/3,0)</f>
        <v>2016-Q3</v>
      </c>
    </row>
    <row r="6276" customFormat="false" ht="15" hidden="false" customHeight="false" outlineLevel="0" collapsed="false">
      <c r="A6276" s="0" t="s">
        <v>3215</v>
      </c>
      <c r="B6276" s="6" t="n">
        <v>42568</v>
      </c>
      <c r="C6276" s="7" t="s">
        <v>33</v>
      </c>
      <c r="D6276" s="7" t="s">
        <v>43</v>
      </c>
      <c r="E6276" s="7" t="s">
        <v>39</v>
      </c>
      <c r="F6276" s="0" t="n">
        <v>428.4</v>
      </c>
      <c r="G6276" s="0" t="n">
        <v>89.964</v>
      </c>
      <c r="H6276" s="0" t="n">
        <v>0</v>
      </c>
      <c r="I6276" s="7" t="n">
        <f aca="false">YEAR(B6276)</f>
        <v>2016</v>
      </c>
      <c r="J6276" s="0" t="str">
        <f aca="false">I6276&amp;"-Q"&amp;ROUNDUP(MONTH(B6276)/3,0)</f>
        <v>2016-Q3</v>
      </c>
    </row>
    <row r="6277" customFormat="false" ht="15" hidden="false" customHeight="false" outlineLevel="0" collapsed="false">
      <c r="A6277" s="0" t="s">
        <v>3215</v>
      </c>
      <c r="B6277" s="6" t="n">
        <v>42568</v>
      </c>
      <c r="C6277" s="7" t="s">
        <v>33</v>
      </c>
      <c r="D6277" s="7" t="s">
        <v>43</v>
      </c>
      <c r="E6277" s="7" t="s">
        <v>31</v>
      </c>
      <c r="F6277" s="0" t="n">
        <v>24.75</v>
      </c>
      <c r="G6277" s="0" t="n">
        <v>10.89</v>
      </c>
      <c r="H6277" s="0" t="n">
        <v>0</v>
      </c>
      <c r="I6277" s="7" t="n">
        <f aca="false">YEAR(B6277)</f>
        <v>2016</v>
      </c>
      <c r="J6277" s="0" t="str">
        <f aca="false">I6277&amp;"-Q"&amp;ROUNDUP(MONTH(B6277)/3,0)</f>
        <v>2016-Q3</v>
      </c>
    </row>
    <row r="6278" customFormat="false" ht="15" hidden="false" customHeight="false" outlineLevel="0" collapsed="false">
      <c r="A6278" s="0" t="s">
        <v>3215</v>
      </c>
      <c r="B6278" s="6" t="n">
        <v>42568</v>
      </c>
      <c r="C6278" s="7" t="s">
        <v>33</v>
      </c>
      <c r="D6278" s="7" t="s">
        <v>43</v>
      </c>
      <c r="E6278" s="7" t="s">
        <v>35</v>
      </c>
      <c r="F6278" s="0" t="n">
        <v>87.71</v>
      </c>
      <c r="G6278" s="0" t="n">
        <v>41.2237</v>
      </c>
      <c r="H6278" s="0" t="n">
        <v>0</v>
      </c>
      <c r="I6278" s="7" t="n">
        <f aca="false">YEAR(B6278)</f>
        <v>2016</v>
      </c>
      <c r="J6278" s="0" t="str">
        <f aca="false">I6278&amp;"-Q"&amp;ROUNDUP(MONTH(B6278)/3,0)</f>
        <v>2016-Q3</v>
      </c>
    </row>
    <row r="6279" customFormat="false" ht="15" hidden="false" customHeight="false" outlineLevel="0" collapsed="false">
      <c r="A6279" s="0" t="s">
        <v>3215</v>
      </c>
      <c r="B6279" s="6" t="n">
        <v>42568</v>
      </c>
      <c r="C6279" s="7" t="s">
        <v>33</v>
      </c>
      <c r="D6279" s="7" t="s">
        <v>43</v>
      </c>
      <c r="E6279" s="7" t="s">
        <v>35</v>
      </c>
      <c r="F6279" s="0" t="n">
        <v>69.52</v>
      </c>
      <c r="G6279" s="0" t="n">
        <v>17.38</v>
      </c>
      <c r="H6279" s="0" t="n">
        <v>0</v>
      </c>
      <c r="I6279" s="7" t="n">
        <f aca="false">YEAR(B6279)</f>
        <v>2016</v>
      </c>
      <c r="J6279" s="0" t="str">
        <f aca="false">I6279&amp;"-Q"&amp;ROUNDUP(MONTH(B6279)/3,0)</f>
        <v>2016-Q3</v>
      </c>
    </row>
    <row r="6280" customFormat="false" ht="15" hidden="false" customHeight="false" outlineLevel="0" collapsed="false">
      <c r="A6280" s="0" t="s">
        <v>3215</v>
      </c>
      <c r="B6280" s="6" t="n">
        <v>42568</v>
      </c>
      <c r="C6280" s="7" t="s">
        <v>33</v>
      </c>
      <c r="D6280" s="7" t="s">
        <v>43</v>
      </c>
      <c r="E6280" s="7" t="s">
        <v>39</v>
      </c>
      <c r="F6280" s="0" t="n">
        <v>20.784</v>
      </c>
      <c r="G6280" s="0" t="n">
        <v>-4.6764</v>
      </c>
      <c r="H6280" s="0" t="n">
        <v>0.2</v>
      </c>
      <c r="I6280" s="7" t="n">
        <f aca="false">YEAR(B6280)</f>
        <v>2016</v>
      </c>
      <c r="J6280" s="0" t="str">
        <f aca="false">I6280&amp;"-Q"&amp;ROUNDUP(MONTH(B6280)/3,0)</f>
        <v>2016-Q3</v>
      </c>
    </row>
    <row r="6281" customFormat="false" ht="15" hidden="false" customHeight="false" outlineLevel="0" collapsed="false">
      <c r="A6281" s="0" t="s">
        <v>3215</v>
      </c>
      <c r="B6281" s="6" t="n">
        <v>42568</v>
      </c>
      <c r="C6281" s="7" t="s">
        <v>33</v>
      </c>
      <c r="D6281" s="7" t="s">
        <v>43</v>
      </c>
      <c r="E6281" s="7" t="s">
        <v>35</v>
      </c>
      <c r="F6281" s="0" t="n">
        <v>12.816</v>
      </c>
      <c r="G6281" s="0" t="n">
        <v>4.1652</v>
      </c>
      <c r="H6281" s="0" t="n">
        <v>0.2</v>
      </c>
      <c r="I6281" s="7" t="n">
        <f aca="false">YEAR(B6281)</f>
        <v>2016</v>
      </c>
      <c r="J6281" s="0" t="str">
        <f aca="false">I6281&amp;"-Q"&amp;ROUNDUP(MONTH(B6281)/3,0)</f>
        <v>2016-Q3</v>
      </c>
    </row>
    <row r="6282" customFormat="false" ht="15" hidden="false" customHeight="false" outlineLevel="0" collapsed="false">
      <c r="A6282" s="0" t="s">
        <v>3216</v>
      </c>
      <c r="B6282" s="6" t="n">
        <v>42867</v>
      </c>
      <c r="C6282" s="7" t="s">
        <v>55</v>
      </c>
      <c r="D6282" s="7" t="s">
        <v>116</v>
      </c>
      <c r="E6282" s="7" t="s">
        <v>35</v>
      </c>
      <c r="F6282" s="0" t="n">
        <v>5.904</v>
      </c>
      <c r="G6282" s="0" t="n">
        <v>1.9926</v>
      </c>
      <c r="H6282" s="0" t="n">
        <v>0.2</v>
      </c>
      <c r="I6282" s="7" t="n">
        <f aca="false">YEAR(B6282)</f>
        <v>2017</v>
      </c>
      <c r="J6282" s="0" t="str">
        <f aca="false">I6282&amp;"-Q"&amp;ROUNDUP(MONTH(B6282)/3,0)</f>
        <v>2017-Q2</v>
      </c>
    </row>
    <row r="6283" customFormat="false" ht="15" hidden="false" customHeight="false" outlineLevel="0" collapsed="false">
      <c r="A6283" s="0" t="s">
        <v>3217</v>
      </c>
      <c r="B6283" s="6" t="n">
        <v>42328</v>
      </c>
      <c r="C6283" s="7" t="s">
        <v>55</v>
      </c>
      <c r="D6283" s="7" t="s">
        <v>116</v>
      </c>
      <c r="E6283" s="7" t="s">
        <v>31</v>
      </c>
      <c r="F6283" s="0" t="n">
        <v>63.824</v>
      </c>
      <c r="G6283" s="0" t="n">
        <v>9.5736</v>
      </c>
      <c r="H6283" s="0" t="n">
        <v>0.2</v>
      </c>
      <c r="I6283" s="7" t="n">
        <f aca="false">YEAR(B6283)</f>
        <v>2015</v>
      </c>
      <c r="J6283" s="0" t="str">
        <f aca="false">I6283&amp;"-Q"&amp;ROUNDUP(MONTH(B6283)/3,0)</f>
        <v>2015-Q4</v>
      </c>
    </row>
    <row r="6284" customFormat="false" ht="15" hidden="false" customHeight="false" outlineLevel="0" collapsed="false">
      <c r="A6284" s="0" t="s">
        <v>3217</v>
      </c>
      <c r="B6284" s="6" t="n">
        <v>42328</v>
      </c>
      <c r="C6284" s="7" t="s">
        <v>55</v>
      </c>
      <c r="D6284" s="7" t="s">
        <v>116</v>
      </c>
      <c r="E6284" s="7" t="s">
        <v>35</v>
      </c>
      <c r="F6284" s="0" t="n">
        <v>141.552</v>
      </c>
      <c r="G6284" s="0" t="n">
        <v>-26.541</v>
      </c>
      <c r="H6284" s="0" t="n">
        <v>0.2</v>
      </c>
      <c r="I6284" s="7" t="n">
        <f aca="false">YEAR(B6284)</f>
        <v>2015</v>
      </c>
      <c r="J6284" s="0" t="str">
        <f aca="false">I6284&amp;"-Q"&amp;ROUNDUP(MONTH(B6284)/3,0)</f>
        <v>2015-Q4</v>
      </c>
    </row>
    <row r="6285" customFormat="false" ht="15" hidden="false" customHeight="false" outlineLevel="0" collapsed="false">
      <c r="A6285" s="0" t="s">
        <v>3218</v>
      </c>
      <c r="B6285" s="6" t="n">
        <v>42637</v>
      </c>
      <c r="C6285" s="7" t="s">
        <v>33</v>
      </c>
      <c r="D6285" s="7" t="s">
        <v>34</v>
      </c>
      <c r="E6285" s="7" t="s">
        <v>35</v>
      </c>
      <c r="F6285" s="0" t="n">
        <v>304.9</v>
      </c>
      <c r="G6285" s="0" t="n">
        <v>143.303</v>
      </c>
      <c r="H6285" s="0" t="n">
        <v>0</v>
      </c>
      <c r="I6285" s="7" t="n">
        <f aca="false">YEAR(B6285)</f>
        <v>2016</v>
      </c>
      <c r="J6285" s="0" t="str">
        <f aca="false">I6285&amp;"-Q"&amp;ROUNDUP(MONTH(B6285)/3,0)</f>
        <v>2016-Q3</v>
      </c>
    </row>
    <row r="6286" customFormat="false" ht="15" hidden="false" customHeight="false" outlineLevel="0" collapsed="false">
      <c r="A6286" s="0" t="s">
        <v>3218</v>
      </c>
      <c r="B6286" s="6" t="n">
        <v>42637</v>
      </c>
      <c r="C6286" s="7" t="s">
        <v>33</v>
      </c>
      <c r="D6286" s="7" t="s">
        <v>34</v>
      </c>
      <c r="E6286" s="7" t="s">
        <v>31</v>
      </c>
      <c r="F6286" s="0" t="n">
        <v>563.24</v>
      </c>
      <c r="G6286" s="0" t="n">
        <v>56.324</v>
      </c>
      <c r="H6286" s="0" t="n">
        <v>0.2</v>
      </c>
      <c r="I6286" s="7" t="n">
        <f aca="false">YEAR(B6286)</f>
        <v>2016</v>
      </c>
      <c r="J6286" s="0" t="str">
        <f aca="false">I6286&amp;"-Q"&amp;ROUNDUP(MONTH(B6286)/3,0)</f>
        <v>2016-Q3</v>
      </c>
    </row>
    <row r="6287" customFormat="false" ht="15" hidden="false" customHeight="false" outlineLevel="0" collapsed="false">
      <c r="A6287" s="0" t="s">
        <v>3219</v>
      </c>
      <c r="B6287" s="6" t="n">
        <v>42664</v>
      </c>
      <c r="C6287" s="7" t="s">
        <v>55</v>
      </c>
      <c r="D6287" s="7" t="s">
        <v>116</v>
      </c>
      <c r="E6287" s="7" t="s">
        <v>31</v>
      </c>
      <c r="F6287" s="0" t="n">
        <v>661.176</v>
      </c>
      <c r="G6287" s="0" t="n">
        <v>-231.4116</v>
      </c>
      <c r="H6287" s="0" t="n">
        <v>0.4</v>
      </c>
      <c r="I6287" s="7" t="n">
        <f aca="false">YEAR(B6287)</f>
        <v>2016</v>
      </c>
      <c r="J6287" s="0" t="str">
        <f aca="false">I6287&amp;"-Q"&amp;ROUNDUP(MONTH(B6287)/3,0)</f>
        <v>2016-Q4</v>
      </c>
    </row>
    <row r="6288" customFormat="false" ht="15" hidden="false" customHeight="false" outlineLevel="0" collapsed="false">
      <c r="A6288" s="0" t="s">
        <v>3220</v>
      </c>
      <c r="B6288" s="6" t="n">
        <v>42667</v>
      </c>
      <c r="C6288" s="7" t="s">
        <v>29</v>
      </c>
      <c r="D6288" s="7" t="s">
        <v>87</v>
      </c>
      <c r="E6288" s="7" t="s">
        <v>39</v>
      </c>
      <c r="F6288" s="0" t="n">
        <v>239.976</v>
      </c>
      <c r="G6288" s="0" t="n">
        <v>17.9982</v>
      </c>
      <c r="H6288" s="0" t="n">
        <v>0.2</v>
      </c>
      <c r="I6288" s="7" t="n">
        <f aca="false">YEAR(B6288)</f>
        <v>2016</v>
      </c>
      <c r="J6288" s="0" t="str">
        <f aca="false">I6288&amp;"-Q"&amp;ROUNDUP(MONTH(B6288)/3,0)</f>
        <v>2016-Q4</v>
      </c>
    </row>
    <row r="6289" customFormat="false" ht="15" hidden="false" customHeight="false" outlineLevel="0" collapsed="false">
      <c r="A6289" s="0" t="s">
        <v>3221</v>
      </c>
      <c r="B6289" s="6" t="n">
        <v>41828</v>
      </c>
      <c r="C6289" s="7" t="s">
        <v>33</v>
      </c>
      <c r="D6289" s="7" t="s">
        <v>34</v>
      </c>
      <c r="E6289" s="7" t="s">
        <v>31</v>
      </c>
      <c r="F6289" s="0" t="n">
        <v>502.488</v>
      </c>
      <c r="G6289" s="0" t="n">
        <v>-87.9354</v>
      </c>
      <c r="H6289" s="0" t="n">
        <v>0.2</v>
      </c>
      <c r="I6289" s="7" t="n">
        <f aca="false">YEAR(B6289)</f>
        <v>2014</v>
      </c>
      <c r="J6289" s="0" t="str">
        <f aca="false">I6289&amp;"-Q"&amp;ROUNDUP(MONTH(B6289)/3,0)</f>
        <v>2014-Q3</v>
      </c>
    </row>
    <row r="6290" customFormat="false" ht="15" hidden="false" customHeight="false" outlineLevel="0" collapsed="false">
      <c r="A6290" s="0" t="s">
        <v>3221</v>
      </c>
      <c r="B6290" s="6" t="n">
        <v>41828</v>
      </c>
      <c r="C6290" s="7" t="s">
        <v>33</v>
      </c>
      <c r="D6290" s="7" t="s">
        <v>34</v>
      </c>
      <c r="E6290" s="7" t="s">
        <v>35</v>
      </c>
      <c r="F6290" s="0" t="n">
        <v>196.704</v>
      </c>
      <c r="G6290" s="0" t="n">
        <v>68.8464</v>
      </c>
      <c r="H6290" s="0" t="n">
        <v>0.2</v>
      </c>
      <c r="I6290" s="7" t="n">
        <f aca="false">YEAR(B6290)</f>
        <v>2014</v>
      </c>
      <c r="J6290" s="0" t="str">
        <f aca="false">I6290&amp;"-Q"&amp;ROUNDUP(MONTH(B6290)/3,0)</f>
        <v>2014-Q3</v>
      </c>
    </row>
    <row r="6291" customFormat="false" ht="15" hidden="false" customHeight="false" outlineLevel="0" collapsed="false">
      <c r="A6291" s="0" t="s">
        <v>3222</v>
      </c>
      <c r="B6291" s="6" t="n">
        <v>42076</v>
      </c>
      <c r="C6291" s="7" t="s">
        <v>33</v>
      </c>
      <c r="D6291" s="7" t="s">
        <v>34</v>
      </c>
      <c r="E6291" s="7" t="s">
        <v>31</v>
      </c>
      <c r="F6291" s="0" t="n">
        <v>915.136</v>
      </c>
      <c r="G6291" s="0" t="n">
        <v>102.9528</v>
      </c>
      <c r="H6291" s="0" t="n">
        <v>0.2</v>
      </c>
      <c r="I6291" s="7" t="n">
        <f aca="false">YEAR(B6291)</f>
        <v>2015</v>
      </c>
      <c r="J6291" s="0" t="str">
        <f aca="false">I6291&amp;"-Q"&amp;ROUNDUP(MONTH(B6291)/3,0)</f>
        <v>2015-Q1</v>
      </c>
    </row>
    <row r="6292" customFormat="false" ht="15" hidden="false" customHeight="false" outlineLevel="0" collapsed="false">
      <c r="A6292" s="0" t="s">
        <v>3222</v>
      </c>
      <c r="B6292" s="6" t="n">
        <v>42076</v>
      </c>
      <c r="C6292" s="7" t="s">
        <v>33</v>
      </c>
      <c r="D6292" s="7" t="s">
        <v>34</v>
      </c>
      <c r="E6292" s="7" t="s">
        <v>31</v>
      </c>
      <c r="F6292" s="0" t="n">
        <v>327.76</v>
      </c>
      <c r="G6292" s="0" t="n">
        <v>91.7728</v>
      </c>
      <c r="H6292" s="0" t="n">
        <v>0</v>
      </c>
      <c r="I6292" s="7" t="n">
        <f aca="false">YEAR(B6292)</f>
        <v>2015</v>
      </c>
      <c r="J6292" s="0" t="str">
        <f aca="false">I6292&amp;"-Q"&amp;ROUNDUP(MONTH(B6292)/3,0)</f>
        <v>2015-Q1</v>
      </c>
    </row>
    <row r="6293" customFormat="false" ht="15" hidden="false" customHeight="false" outlineLevel="0" collapsed="false">
      <c r="A6293" s="0" t="s">
        <v>3223</v>
      </c>
      <c r="B6293" s="6" t="n">
        <v>43071</v>
      </c>
      <c r="C6293" s="7" t="s">
        <v>29</v>
      </c>
      <c r="D6293" s="7" t="s">
        <v>83</v>
      </c>
      <c r="E6293" s="7" t="s">
        <v>31</v>
      </c>
      <c r="F6293" s="0" t="n">
        <v>701.96</v>
      </c>
      <c r="G6293" s="0" t="n">
        <v>168.4704</v>
      </c>
      <c r="H6293" s="0" t="n">
        <v>0</v>
      </c>
      <c r="I6293" s="7" t="n">
        <f aca="false">YEAR(B6293)</f>
        <v>2017</v>
      </c>
      <c r="J6293" s="0" t="str">
        <f aca="false">I6293&amp;"-Q"&amp;ROUNDUP(MONTH(B6293)/3,0)</f>
        <v>2017-Q4</v>
      </c>
    </row>
    <row r="6294" customFormat="false" ht="15" hidden="false" customHeight="false" outlineLevel="0" collapsed="false">
      <c r="A6294" s="0" t="s">
        <v>3224</v>
      </c>
      <c r="B6294" s="6" t="n">
        <v>42116</v>
      </c>
      <c r="C6294" s="7" t="s">
        <v>33</v>
      </c>
      <c r="D6294" s="7" t="s">
        <v>34</v>
      </c>
      <c r="E6294" s="7" t="s">
        <v>39</v>
      </c>
      <c r="F6294" s="0" t="n">
        <v>88.776</v>
      </c>
      <c r="G6294" s="0" t="n">
        <v>7.7679</v>
      </c>
      <c r="H6294" s="0" t="n">
        <v>0.2</v>
      </c>
      <c r="I6294" s="7" t="n">
        <f aca="false">YEAR(B6294)</f>
        <v>2015</v>
      </c>
      <c r="J6294" s="0" t="str">
        <f aca="false">I6294&amp;"-Q"&amp;ROUNDUP(MONTH(B6294)/3,0)</f>
        <v>2015-Q2</v>
      </c>
    </row>
    <row r="6295" customFormat="false" ht="15" hidden="false" customHeight="false" outlineLevel="0" collapsed="false">
      <c r="A6295" s="0" t="s">
        <v>3224</v>
      </c>
      <c r="B6295" s="6" t="n">
        <v>42116</v>
      </c>
      <c r="C6295" s="7" t="s">
        <v>33</v>
      </c>
      <c r="D6295" s="7" t="s">
        <v>34</v>
      </c>
      <c r="E6295" s="7" t="s">
        <v>35</v>
      </c>
      <c r="F6295" s="0" t="n">
        <v>64.14</v>
      </c>
      <c r="G6295" s="0" t="n">
        <v>16.6764</v>
      </c>
      <c r="H6295" s="0" t="n">
        <v>0</v>
      </c>
      <c r="I6295" s="7" t="n">
        <f aca="false">YEAR(B6295)</f>
        <v>2015</v>
      </c>
      <c r="J6295" s="0" t="str">
        <f aca="false">I6295&amp;"-Q"&amp;ROUNDUP(MONTH(B6295)/3,0)</f>
        <v>2015-Q2</v>
      </c>
    </row>
    <row r="6296" customFormat="false" ht="15" hidden="false" customHeight="false" outlineLevel="0" collapsed="false">
      <c r="A6296" s="0" t="s">
        <v>3225</v>
      </c>
      <c r="B6296" s="6" t="n">
        <v>41898</v>
      </c>
      <c r="C6296" s="7" t="s">
        <v>55</v>
      </c>
      <c r="D6296" s="7" t="s">
        <v>76</v>
      </c>
      <c r="E6296" s="7" t="s">
        <v>35</v>
      </c>
      <c r="F6296" s="0" t="n">
        <v>33.552</v>
      </c>
      <c r="G6296" s="0" t="n">
        <v>12.582</v>
      </c>
      <c r="H6296" s="0" t="n">
        <v>0.2</v>
      </c>
      <c r="I6296" s="7" t="n">
        <f aca="false">YEAR(B6296)</f>
        <v>2014</v>
      </c>
      <c r="J6296" s="0" t="str">
        <f aca="false">I6296&amp;"-Q"&amp;ROUNDUP(MONTH(B6296)/3,0)</f>
        <v>2014-Q3</v>
      </c>
    </row>
    <row r="6297" customFormat="false" ht="15" hidden="false" customHeight="false" outlineLevel="0" collapsed="false">
      <c r="A6297" s="0" t="s">
        <v>3226</v>
      </c>
      <c r="B6297" s="6" t="n">
        <v>42001</v>
      </c>
      <c r="C6297" s="7" t="s">
        <v>55</v>
      </c>
      <c r="D6297" s="7" t="s">
        <v>225</v>
      </c>
      <c r="E6297" s="7" t="s">
        <v>35</v>
      </c>
      <c r="F6297" s="0" t="n">
        <v>1737.18</v>
      </c>
      <c r="G6297" s="0" t="n">
        <v>503.7822</v>
      </c>
      <c r="H6297" s="0" t="n">
        <v>0</v>
      </c>
      <c r="I6297" s="7" t="n">
        <f aca="false">YEAR(B6297)</f>
        <v>2014</v>
      </c>
      <c r="J6297" s="0" t="str">
        <f aca="false">I6297&amp;"-Q"&amp;ROUNDUP(MONTH(B6297)/3,0)</f>
        <v>2014-Q4</v>
      </c>
    </row>
    <row r="6298" customFormat="false" ht="15" hidden="false" customHeight="false" outlineLevel="0" collapsed="false">
      <c r="A6298" s="0" t="s">
        <v>3226</v>
      </c>
      <c r="B6298" s="6" t="n">
        <v>42001</v>
      </c>
      <c r="C6298" s="7" t="s">
        <v>55</v>
      </c>
      <c r="D6298" s="7" t="s">
        <v>225</v>
      </c>
      <c r="E6298" s="7" t="s">
        <v>35</v>
      </c>
      <c r="F6298" s="0" t="n">
        <v>704.25</v>
      </c>
      <c r="G6298" s="0" t="n">
        <v>84.51</v>
      </c>
      <c r="H6298" s="0" t="n">
        <v>0</v>
      </c>
      <c r="I6298" s="7" t="n">
        <f aca="false">YEAR(B6298)</f>
        <v>2014</v>
      </c>
      <c r="J6298" s="0" t="str">
        <f aca="false">I6298&amp;"-Q"&amp;ROUNDUP(MONTH(B6298)/3,0)</f>
        <v>2014-Q4</v>
      </c>
    </row>
    <row r="6299" customFormat="false" ht="15" hidden="false" customHeight="false" outlineLevel="0" collapsed="false">
      <c r="A6299" s="0" t="s">
        <v>3226</v>
      </c>
      <c r="B6299" s="6" t="n">
        <v>42001</v>
      </c>
      <c r="C6299" s="7" t="s">
        <v>55</v>
      </c>
      <c r="D6299" s="7" t="s">
        <v>225</v>
      </c>
      <c r="E6299" s="7" t="s">
        <v>35</v>
      </c>
      <c r="F6299" s="0" t="n">
        <v>141.76</v>
      </c>
      <c r="G6299" s="0" t="n">
        <v>66.6272</v>
      </c>
      <c r="H6299" s="0" t="n">
        <v>0</v>
      </c>
      <c r="I6299" s="7" t="n">
        <f aca="false">YEAR(B6299)</f>
        <v>2014</v>
      </c>
      <c r="J6299" s="0" t="str">
        <f aca="false">I6299&amp;"-Q"&amp;ROUNDUP(MONTH(B6299)/3,0)</f>
        <v>2014-Q4</v>
      </c>
    </row>
    <row r="6300" customFormat="false" ht="15" hidden="false" customHeight="false" outlineLevel="0" collapsed="false">
      <c r="A6300" s="0" t="s">
        <v>3227</v>
      </c>
      <c r="B6300" s="6" t="n">
        <v>41933</v>
      </c>
      <c r="C6300" s="7" t="s">
        <v>33</v>
      </c>
      <c r="D6300" s="7" t="s">
        <v>34</v>
      </c>
      <c r="E6300" s="7" t="s">
        <v>35</v>
      </c>
      <c r="F6300" s="0" t="n">
        <v>36.36</v>
      </c>
      <c r="G6300" s="0" t="n">
        <v>12.2715</v>
      </c>
      <c r="H6300" s="0" t="n">
        <v>0.2</v>
      </c>
      <c r="I6300" s="7" t="n">
        <f aca="false">YEAR(B6300)</f>
        <v>2014</v>
      </c>
      <c r="J6300" s="0" t="str">
        <f aca="false">I6300&amp;"-Q"&amp;ROUNDUP(MONTH(B6300)/3,0)</f>
        <v>2014-Q4</v>
      </c>
    </row>
    <row r="6301" customFormat="false" ht="15" hidden="false" customHeight="false" outlineLevel="0" collapsed="false">
      <c r="A6301" s="0" t="s">
        <v>3228</v>
      </c>
      <c r="B6301" s="6" t="n">
        <v>43069</v>
      </c>
      <c r="C6301" s="7" t="s">
        <v>33</v>
      </c>
      <c r="D6301" s="7" t="s">
        <v>34</v>
      </c>
      <c r="E6301" s="7" t="s">
        <v>31</v>
      </c>
      <c r="F6301" s="0" t="n">
        <v>25.83</v>
      </c>
      <c r="G6301" s="0" t="n">
        <v>9.5571</v>
      </c>
      <c r="H6301" s="0" t="n">
        <v>0</v>
      </c>
      <c r="I6301" s="7" t="n">
        <f aca="false">YEAR(B6301)</f>
        <v>2017</v>
      </c>
      <c r="J6301" s="0" t="str">
        <f aca="false">I6301&amp;"-Q"&amp;ROUNDUP(MONTH(B6301)/3,0)</f>
        <v>2017-Q4</v>
      </c>
    </row>
    <row r="6302" customFormat="false" ht="15" hidden="false" customHeight="false" outlineLevel="0" collapsed="false">
      <c r="A6302" s="0" t="s">
        <v>3229</v>
      </c>
      <c r="B6302" s="6" t="n">
        <v>41796</v>
      </c>
      <c r="C6302" s="7" t="s">
        <v>45</v>
      </c>
      <c r="D6302" s="7" t="s">
        <v>64</v>
      </c>
      <c r="E6302" s="7" t="s">
        <v>35</v>
      </c>
      <c r="F6302" s="0" t="n">
        <v>24.588</v>
      </c>
      <c r="G6302" s="0" t="n">
        <v>-38.1114</v>
      </c>
      <c r="H6302" s="0" t="n">
        <v>0.8</v>
      </c>
      <c r="I6302" s="7" t="n">
        <f aca="false">YEAR(B6302)</f>
        <v>2014</v>
      </c>
      <c r="J6302" s="0" t="str">
        <f aca="false">I6302&amp;"-Q"&amp;ROUNDUP(MONTH(B6302)/3,0)</f>
        <v>2014-Q2</v>
      </c>
    </row>
    <row r="6303" customFormat="false" ht="15" hidden="false" customHeight="false" outlineLevel="0" collapsed="false">
      <c r="A6303" s="0" t="s">
        <v>3229</v>
      </c>
      <c r="B6303" s="6" t="n">
        <v>41796</v>
      </c>
      <c r="C6303" s="7" t="s">
        <v>45</v>
      </c>
      <c r="D6303" s="7" t="s">
        <v>64</v>
      </c>
      <c r="E6303" s="7" t="s">
        <v>35</v>
      </c>
      <c r="F6303" s="0" t="n">
        <v>13.984</v>
      </c>
      <c r="G6303" s="0" t="n">
        <v>4.7196</v>
      </c>
      <c r="H6303" s="0" t="n">
        <v>0.2</v>
      </c>
      <c r="I6303" s="7" t="n">
        <f aca="false">YEAR(B6303)</f>
        <v>2014</v>
      </c>
      <c r="J6303" s="0" t="str">
        <f aca="false">I6303&amp;"-Q"&amp;ROUNDUP(MONTH(B6303)/3,0)</f>
        <v>2014-Q2</v>
      </c>
    </row>
    <row r="6304" customFormat="false" ht="15" hidden="false" customHeight="false" outlineLevel="0" collapsed="false">
      <c r="A6304" s="0" t="s">
        <v>3230</v>
      </c>
      <c r="B6304" s="6" t="n">
        <v>43062</v>
      </c>
      <c r="C6304" s="7" t="s">
        <v>45</v>
      </c>
      <c r="D6304" s="7" t="s">
        <v>46</v>
      </c>
      <c r="E6304" s="7" t="s">
        <v>39</v>
      </c>
      <c r="F6304" s="0" t="n">
        <v>195.96</v>
      </c>
      <c r="G6304" s="0" t="n">
        <v>19.596</v>
      </c>
      <c r="H6304" s="0" t="n">
        <v>0.2</v>
      </c>
      <c r="I6304" s="7" t="n">
        <f aca="false">YEAR(B6304)</f>
        <v>2017</v>
      </c>
      <c r="J6304" s="0" t="str">
        <f aca="false">I6304&amp;"-Q"&amp;ROUNDUP(MONTH(B6304)/3,0)</f>
        <v>2017-Q4</v>
      </c>
    </row>
    <row r="6305" customFormat="false" ht="15" hidden="false" customHeight="false" outlineLevel="0" collapsed="false">
      <c r="A6305" s="0" t="s">
        <v>3231</v>
      </c>
      <c r="B6305" s="6" t="n">
        <v>42904</v>
      </c>
      <c r="C6305" s="7" t="s">
        <v>45</v>
      </c>
      <c r="D6305" s="7" t="s">
        <v>46</v>
      </c>
      <c r="E6305" s="7" t="s">
        <v>35</v>
      </c>
      <c r="F6305" s="0" t="n">
        <v>74.352</v>
      </c>
      <c r="G6305" s="0" t="n">
        <v>23.235</v>
      </c>
      <c r="H6305" s="0" t="n">
        <v>0.2</v>
      </c>
      <c r="I6305" s="7" t="n">
        <f aca="false">YEAR(B6305)</f>
        <v>2017</v>
      </c>
      <c r="J6305" s="0" t="str">
        <f aca="false">I6305&amp;"-Q"&amp;ROUNDUP(MONTH(B6305)/3,0)</f>
        <v>2017-Q2</v>
      </c>
    </row>
    <row r="6306" customFormat="false" ht="15" hidden="false" customHeight="false" outlineLevel="0" collapsed="false">
      <c r="A6306" s="0" t="s">
        <v>3232</v>
      </c>
      <c r="B6306" s="6" t="n">
        <v>42860</v>
      </c>
      <c r="C6306" s="7" t="s">
        <v>55</v>
      </c>
      <c r="D6306" s="7" t="s">
        <v>76</v>
      </c>
      <c r="E6306" s="7" t="s">
        <v>35</v>
      </c>
      <c r="F6306" s="0" t="n">
        <v>6.68</v>
      </c>
      <c r="G6306" s="0" t="n">
        <v>3.2064</v>
      </c>
      <c r="H6306" s="0" t="n">
        <v>0</v>
      </c>
      <c r="I6306" s="7" t="n">
        <f aca="false">YEAR(B6306)</f>
        <v>2017</v>
      </c>
      <c r="J6306" s="0" t="str">
        <f aca="false">I6306&amp;"-Q"&amp;ROUNDUP(MONTH(B6306)/3,0)</f>
        <v>2017-Q2</v>
      </c>
    </row>
    <row r="6307" customFormat="false" ht="15" hidden="false" customHeight="false" outlineLevel="0" collapsed="false">
      <c r="A6307" s="0" t="s">
        <v>3233</v>
      </c>
      <c r="B6307" s="6" t="n">
        <v>42678</v>
      </c>
      <c r="C6307" s="7" t="s">
        <v>33</v>
      </c>
      <c r="D6307" s="7" t="s">
        <v>102</v>
      </c>
      <c r="E6307" s="7" t="s">
        <v>35</v>
      </c>
      <c r="F6307" s="0" t="n">
        <v>17.584</v>
      </c>
      <c r="G6307" s="0" t="n">
        <v>-4.1762</v>
      </c>
      <c r="H6307" s="0" t="n">
        <v>0.2</v>
      </c>
      <c r="I6307" s="7" t="n">
        <f aca="false">YEAR(B6307)</f>
        <v>2016</v>
      </c>
      <c r="J6307" s="0" t="str">
        <f aca="false">I6307&amp;"-Q"&amp;ROUNDUP(MONTH(B6307)/3,0)</f>
        <v>2016-Q4</v>
      </c>
    </row>
    <row r="6308" customFormat="false" ht="15" hidden="false" customHeight="false" outlineLevel="0" collapsed="false">
      <c r="A6308" s="0" t="s">
        <v>3233</v>
      </c>
      <c r="B6308" s="6" t="n">
        <v>42678</v>
      </c>
      <c r="C6308" s="7" t="s">
        <v>33</v>
      </c>
      <c r="D6308" s="7" t="s">
        <v>102</v>
      </c>
      <c r="E6308" s="7" t="s">
        <v>31</v>
      </c>
      <c r="F6308" s="0" t="n">
        <v>104.784</v>
      </c>
      <c r="G6308" s="0" t="n">
        <v>-14.4078</v>
      </c>
      <c r="H6308" s="0" t="n">
        <v>0.2</v>
      </c>
      <c r="I6308" s="7" t="n">
        <f aca="false">YEAR(B6308)</f>
        <v>2016</v>
      </c>
      <c r="J6308" s="0" t="str">
        <f aca="false">I6308&amp;"-Q"&amp;ROUNDUP(MONTH(B6308)/3,0)</f>
        <v>2016-Q4</v>
      </c>
    </row>
    <row r="6309" customFormat="false" ht="15" hidden="false" customHeight="false" outlineLevel="0" collapsed="false">
      <c r="A6309" s="0" t="s">
        <v>3233</v>
      </c>
      <c r="B6309" s="6" t="n">
        <v>42678</v>
      </c>
      <c r="C6309" s="7" t="s">
        <v>33</v>
      </c>
      <c r="D6309" s="7" t="s">
        <v>102</v>
      </c>
      <c r="E6309" s="7" t="s">
        <v>35</v>
      </c>
      <c r="F6309" s="0" t="n">
        <v>47.952</v>
      </c>
      <c r="G6309" s="0" t="n">
        <v>16.7832</v>
      </c>
      <c r="H6309" s="0" t="n">
        <v>0.2</v>
      </c>
      <c r="I6309" s="7" t="n">
        <f aca="false">YEAR(B6309)</f>
        <v>2016</v>
      </c>
      <c r="J6309" s="0" t="str">
        <f aca="false">I6309&amp;"-Q"&amp;ROUNDUP(MONTH(B6309)/3,0)</f>
        <v>2016-Q4</v>
      </c>
    </row>
    <row r="6310" customFormat="false" ht="15" hidden="false" customHeight="false" outlineLevel="0" collapsed="false">
      <c r="A6310" s="0" t="s">
        <v>3233</v>
      </c>
      <c r="B6310" s="6" t="n">
        <v>42678</v>
      </c>
      <c r="C6310" s="7" t="s">
        <v>33</v>
      </c>
      <c r="D6310" s="7" t="s">
        <v>102</v>
      </c>
      <c r="E6310" s="7" t="s">
        <v>31</v>
      </c>
      <c r="F6310" s="0" t="n">
        <v>650.352</v>
      </c>
      <c r="G6310" s="0" t="n">
        <v>-97.5528</v>
      </c>
      <c r="H6310" s="0" t="n">
        <v>0.2</v>
      </c>
      <c r="I6310" s="7" t="n">
        <f aca="false">YEAR(B6310)</f>
        <v>2016</v>
      </c>
      <c r="J6310" s="0" t="str">
        <f aca="false">I6310&amp;"-Q"&amp;ROUNDUP(MONTH(B6310)/3,0)</f>
        <v>2016-Q4</v>
      </c>
    </row>
    <row r="6311" customFormat="false" ht="15" hidden="false" customHeight="false" outlineLevel="0" collapsed="false">
      <c r="A6311" s="0" t="s">
        <v>3233</v>
      </c>
      <c r="B6311" s="6" t="n">
        <v>42678</v>
      </c>
      <c r="C6311" s="7" t="s">
        <v>33</v>
      </c>
      <c r="D6311" s="7" t="s">
        <v>102</v>
      </c>
      <c r="E6311" s="7" t="s">
        <v>35</v>
      </c>
      <c r="F6311" s="0" t="n">
        <v>629.184</v>
      </c>
      <c r="G6311" s="0" t="n">
        <v>228.0792</v>
      </c>
      <c r="H6311" s="0" t="n">
        <v>0.2</v>
      </c>
      <c r="I6311" s="7" t="n">
        <f aca="false">YEAR(B6311)</f>
        <v>2016</v>
      </c>
      <c r="J6311" s="0" t="str">
        <f aca="false">I6311&amp;"-Q"&amp;ROUNDUP(MONTH(B6311)/3,0)</f>
        <v>2016-Q4</v>
      </c>
    </row>
    <row r="6312" customFormat="false" ht="15" hidden="false" customHeight="false" outlineLevel="0" collapsed="false">
      <c r="A6312" s="0" t="s">
        <v>3233</v>
      </c>
      <c r="B6312" s="6" t="n">
        <v>42678</v>
      </c>
      <c r="C6312" s="7" t="s">
        <v>33</v>
      </c>
      <c r="D6312" s="7" t="s">
        <v>102</v>
      </c>
      <c r="E6312" s="7" t="s">
        <v>35</v>
      </c>
      <c r="F6312" s="0" t="n">
        <v>15.176</v>
      </c>
      <c r="G6312" s="0" t="n">
        <v>5.3116</v>
      </c>
      <c r="H6312" s="0" t="n">
        <v>0.2</v>
      </c>
      <c r="I6312" s="7" t="n">
        <f aca="false">YEAR(B6312)</f>
        <v>2016</v>
      </c>
      <c r="J6312" s="0" t="str">
        <f aca="false">I6312&amp;"-Q"&amp;ROUNDUP(MONTH(B6312)/3,0)</f>
        <v>2016-Q4</v>
      </c>
    </row>
    <row r="6313" customFormat="false" ht="15" hidden="false" customHeight="false" outlineLevel="0" collapsed="false">
      <c r="A6313" s="0" t="s">
        <v>3234</v>
      </c>
      <c r="B6313" s="6" t="n">
        <v>41893</v>
      </c>
      <c r="C6313" s="7" t="s">
        <v>33</v>
      </c>
      <c r="D6313" s="7" t="s">
        <v>34</v>
      </c>
      <c r="E6313" s="7" t="s">
        <v>31</v>
      </c>
      <c r="F6313" s="0" t="n">
        <v>127.95</v>
      </c>
      <c r="G6313" s="0" t="n">
        <v>21.7515</v>
      </c>
      <c r="H6313" s="0" t="n">
        <v>0</v>
      </c>
      <c r="I6313" s="7" t="n">
        <f aca="false">YEAR(B6313)</f>
        <v>2014</v>
      </c>
      <c r="J6313" s="0" t="str">
        <f aca="false">I6313&amp;"-Q"&amp;ROUNDUP(MONTH(B6313)/3,0)</f>
        <v>2014-Q3</v>
      </c>
    </row>
    <row r="6314" customFormat="false" ht="15" hidden="false" customHeight="false" outlineLevel="0" collapsed="false">
      <c r="A6314" s="0" t="s">
        <v>3235</v>
      </c>
      <c r="B6314" s="6" t="n">
        <v>42782</v>
      </c>
      <c r="C6314" s="7" t="s">
        <v>55</v>
      </c>
      <c r="D6314" s="7" t="s">
        <v>154</v>
      </c>
      <c r="E6314" s="7" t="s">
        <v>35</v>
      </c>
      <c r="F6314" s="0" t="n">
        <v>579.51</v>
      </c>
      <c r="G6314" s="0" t="n">
        <v>81.1314</v>
      </c>
      <c r="H6314" s="0" t="n">
        <v>0</v>
      </c>
      <c r="I6314" s="7" t="n">
        <f aca="false">YEAR(B6314)</f>
        <v>2017</v>
      </c>
      <c r="J6314" s="0" t="str">
        <f aca="false">I6314&amp;"-Q"&amp;ROUNDUP(MONTH(B6314)/3,0)</f>
        <v>2017-Q1</v>
      </c>
    </row>
    <row r="6315" customFormat="false" ht="15" hidden="false" customHeight="false" outlineLevel="0" collapsed="false">
      <c r="A6315" s="0" t="s">
        <v>3235</v>
      </c>
      <c r="B6315" s="6" t="n">
        <v>42782</v>
      </c>
      <c r="C6315" s="7" t="s">
        <v>55</v>
      </c>
      <c r="D6315" s="7" t="s">
        <v>154</v>
      </c>
      <c r="E6315" s="7" t="s">
        <v>39</v>
      </c>
      <c r="F6315" s="0" t="n">
        <v>14.99</v>
      </c>
      <c r="G6315" s="0" t="n">
        <v>7.3451</v>
      </c>
      <c r="H6315" s="0" t="n">
        <v>0</v>
      </c>
      <c r="I6315" s="7" t="n">
        <f aca="false">YEAR(B6315)</f>
        <v>2017</v>
      </c>
      <c r="J6315" s="0" t="str">
        <f aca="false">I6315&amp;"-Q"&amp;ROUNDUP(MONTH(B6315)/3,0)</f>
        <v>2017-Q1</v>
      </c>
    </row>
    <row r="6316" customFormat="false" ht="15" hidden="false" customHeight="false" outlineLevel="0" collapsed="false">
      <c r="A6316" s="0" t="s">
        <v>3236</v>
      </c>
      <c r="B6316" s="6" t="n">
        <v>41967</v>
      </c>
      <c r="C6316" s="7" t="s">
        <v>45</v>
      </c>
      <c r="D6316" s="7" t="s">
        <v>70</v>
      </c>
      <c r="E6316" s="7" t="s">
        <v>35</v>
      </c>
      <c r="F6316" s="0" t="n">
        <v>151.92</v>
      </c>
      <c r="G6316" s="0" t="n">
        <v>45.576</v>
      </c>
      <c r="H6316" s="0" t="n">
        <v>0</v>
      </c>
      <c r="I6316" s="7" t="n">
        <f aca="false">YEAR(B6316)</f>
        <v>2014</v>
      </c>
      <c r="J6316" s="0" t="str">
        <f aca="false">I6316&amp;"-Q"&amp;ROUNDUP(MONTH(B6316)/3,0)</f>
        <v>2014-Q4</v>
      </c>
    </row>
    <row r="6317" customFormat="false" ht="15" hidden="false" customHeight="false" outlineLevel="0" collapsed="false">
      <c r="A6317" s="0" t="s">
        <v>3236</v>
      </c>
      <c r="B6317" s="6" t="n">
        <v>41967</v>
      </c>
      <c r="C6317" s="7" t="s">
        <v>45</v>
      </c>
      <c r="D6317" s="7" t="s">
        <v>70</v>
      </c>
      <c r="E6317" s="7" t="s">
        <v>35</v>
      </c>
      <c r="F6317" s="0" t="n">
        <v>196.62</v>
      </c>
      <c r="G6317" s="0" t="n">
        <v>96.3438</v>
      </c>
      <c r="H6317" s="0" t="n">
        <v>0</v>
      </c>
      <c r="I6317" s="7" t="n">
        <f aca="false">YEAR(B6317)</f>
        <v>2014</v>
      </c>
      <c r="J6317" s="0" t="str">
        <f aca="false">I6317&amp;"-Q"&amp;ROUNDUP(MONTH(B6317)/3,0)</f>
        <v>2014-Q4</v>
      </c>
    </row>
    <row r="6318" customFormat="false" ht="15" hidden="false" customHeight="false" outlineLevel="0" collapsed="false">
      <c r="A6318" s="0" t="s">
        <v>3236</v>
      </c>
      <c r="B6318" s="6" t="n">
        <v>41967</v>
      </c>
      <c r="C6318" s="7" t="s">
        <v>45</v>
      </c>
      <c r="D6318" s="7" t="s">
        <v>70</v>
      </c>
      <c r="E6318" s="7" t="s">
        <v>35</v>
      </c>
      <c r="F6318" s="0" t="n">
        <v>144.12</v>
      </c>
      <c r="G6318" s="0" t="n">
        <v>69.1776</v>
      </c>
      <c r="H6318" s="0" t="n">
        <v>0</v>
      </c>
      <c r="I6318" s="7" t="n">
        <f aca="false">YEAR(B6318)</f>
        <v>2014</v>
      </c>
      <c r="J6318" s="0" t="str">
        <f aca="false">I6318&amp;"-Q"&amp;ROUNDUP(MONTH(B6318)/3,0)</f>
        <v>2014-Q4</v>
      </c>
    </row>
    <row r="6319" customFormat="false" ht="15" hidden="false" customHeight="false" outlineLevel="0" collapsed="false">
      <c r="A6319" s="0" t="s">
        <v>3236</v>
      </c>
      <c r="B6319" s="6" t="n">
        <v>41967</v>
      </c>
      <c r="C6319" s="7" t="s">
        <v>45</v>
      </c>
      <c r="D6319" s="7" t="s">
        <v>70</v>
      </c>
      <c r="E6319" s="7" t="s">
        <v>35</v>
      </c>
      <c r="F6319" s="0" t="n">
        <v>15.96</v>
      </c>
      <c r="G6319" s="0" t="n">
        <v>7.98</v>
      </c>
      <c r="H6319" s="0" t="n">
        <v>0</v>
      </c>
      <c r="I6319" s="7" t="n">
        <f aca="false">YEAR(B6319)</f>
        <v>2014</v>
      </c>
      <c r="J6319" s="0" t="str">
        <f aca="false">I6319&amp;"-Q"&amp;ROUNDUP(MONTH(B6319)/3,0)</f>
        <v>2014-Q4</v>
      </c>
    </row>
    <row r="6320" customFormat="false" ht="15" hidden="false" customHeight="false" outlineLevel="0" collapsed="false">
      <c r="A6320" s="0" t="s">
        <v>3237</v>
      </c>
      <c r="B6320" s="6" t="n">
        <v>43064</v>
      </c>
      <c r="C6320" s="7" t="s">
        <v>33</v>
      </c>
      <c r="D6320" s="7" t="s">
        <v>34</v>
      </c>
      <c r="E6320" s="7" t="s">
        <v>39</v>
      </c>
      <c r="F6320" s="0" t="n">
        <v>39.96</v>
      </c>
      <c r="G6320" s="0" t="n">
        <v>3.4965</v>
      </c>
      <c r="H6320" s="0" t="n">
        <v>0.2</v>
      </c>
      <c r="I6320" s="7" t="n">
        <f aca="false">YEAR(B6320)</f>
        <v>2017</v>
      </c>
      <c r="J6320" s="0" t="str">
        <f aca="false">I6320&amp;"-Q"&amp;ROUNDUP(MONTH(B6320)/3,0)</f>
        <v>2017-Q4</v>
      </c>
    </row>
    <row r="6321" customFormat="false" ht="15" hidden="false" customHeight="false" outlineLevel="0" collapsed="false">
      <c r="A6321" s="0" t="s">
        <v>3237</v>
      </c>
      <c r="B6321" s="6" t="n">
        <v>43064</v>
      </c>
      <c r="C6321" s="7" t="s">
        <v>33</v>
      </c>
      <c r="D6321" s="7" t="s">
        <v>34</v>
      </c>
      <c r="E6321" s="7" t="s">
        <v>35</v>
      </c>
      <c r="F6321" s="0" t="n">
        <v>34.08</v>
      </c>
      <c r="G6321" s="0" t="n">
        <v>15.336</v>
      </c>
      <c r="H6321" s="0" t="n">
        <v>0</v>
      </c>
      <c r="I6321" s="7" t="n">
        <f aca="false">YEAR(B6321)</f>
        <v>2017</v>
      </c>
      <c r="J6321" s="0" t="str">
        <f aca="false">I6321&amp;"-Q"&amp;ROUNDUP(MONTH(B6321)/3,0)</f>
        <v>2017-Q4</v>
      </c>
    </row>
    <row r="6322" customFormat="false" ht="15" hidden="false" customHeight="false" outlineLevel="0" collapsed="false">
      <c r="A6322" s="0" t="s">
        <v>3238</v>
      </c>
      <c r="B6322" s="6" t="n">
        <v>43006</v>
      </c>
      <c r="C6322" s="7" t="s">
        <v>29</v>
      </c>
      <c r="D6322" s="7" t="s">
        <v>37</v>
      </c>
      <c r="E6322" s="7" t="s">
        <v>35</v>
      </c>
      <c r="F6322" s="0" t="n">
        <v>10.368</v>
      </c>
      <c r="G6322" s="0" t="n">
        <v>3.6288</v>
      </c>
      <c r="H6322" s="0" t="n">
        <v>0.2</v>
      </c>
      <c r="I6322" s="7" t="n">
        <f aca="false">YEAR(B6322)</f>
        <v>2017</v>
      </c>
      <c r="J6322" s="0" t="str">
        <f aca="false">I6322&amp;"-Q"&amp;ROUNDUP(MONTH(B6322)/3,0)</f>
        <v>2017-Q3</v>
      </c>
    </row>
    <row r="6323" customFormat="false" ht="15" hidden="false" customHeight="false" outlineLevel="0" collapsed="false">
      <c r="A6323" s="0" t="s">
        <v>3239</v>
      </c>
      <c r="B6323" s="6" t="n">
        <v>41925</v>
      </c>
      <c r="C6323" s="7" t="s">
        <v>55</v>
      </c>
      <c r="D6323" s="7" t="s">
        <v>76</v>
      </c>
      <c r="E6323" s="7" t="s">
        <v>35</v>
      </c>
      <c r="F6323" s="0" t="n">
        <v>7.752</v>
      </c>
      <c r="G6323" s="0" t="n">
        <v>2.8101</v>
      </c>
      <c r="H6323" s="0" t="n">
        <v>0.2</v>
      </c>
      <c r="I6323" s="7" t="n">
        <f aca="false">YEAR(B6323)</f>
        <v>2014</v>
      </c>
      <c r="J6323" s="0" t="str">
        <f aca="false">I6323&amp;"-Q"&amp;ROUNDUP(MONTH(B6323)/3,0)</f>
        <v>2014-Q4</v>
      </c>
    </row>
    <row r="6324" customFormat="false" ht="15" hidden="false" customHeight="false" outlineLevel="0" collapsed="false">
      <c r="A6324" s="0" t="s">
        <v>3240</v>
      </c>
      <c r="B6324" s="6" t="n">
        <v>41793</v>
      </c>
      <c r="C6324" s="7" t="s">
        <v>45</v>
      </c>
      <c r="D6324" s="7" t="s">
        <v>70</v>
      </c>
      <c r="E6324" s="7" t="s">
        <v>35</v>
      </c>
      <c r="F6324" s="0" t="n">
        <v>15.28</v>
      </c>
      <c r="G6324" s="0" t="n">
        <v>7.4872</v>
      </c>
      <c r="H6324" s="0" t="n">
        <v>0</v>
      </c>
      <c r="I6324" s="7" t="n">
        <f aca="false">YEAR(B6324)</f>
        <v>2014</v>
      </c>
      <c r="J6324" s="0" t="str">
        <f aca="false">I6324&amp;"-Q"&amp;ROUNDUP(MONTH(B6324)/3,0)</f>
        <v>2014-Q2</v>
      </c>
    </row>
    <row r="6325" customFormat="false" ht="15" hidden="false" customHeight="false" outlineLevel="0" collapsed="false">
      <c r="A6325" s="0" t="s">
        <v>3241</v>
      </c>
      <c r="B6325" s="6" t="n">
        <v>41807</v>
      </c>
      <c r="C6325" s="7" t="s">
        <v>55</v>
      </c>
      <c r="D6325" s="7" t="s">
        <v>72</v>
      </c>
      <c r="E6325" s="7" t="s">
        <v>39</v>
      </c>
      <c r="F6325" s="0" t="n">
        <v>65.97</v>
      </c>
      <c r="G6325" s="0" t="n">
        <v>31.0059</v>
      </c>
      <c r="H6325" s="0" t="n">
        <v>0</v>
      </c>
      <c r="I6325" s="7" t="n">
        <f aca="false">YEAR(B6325)</f>
        <v>2014</v>
      </c>
      <c r="J6325" s="0" t="str">
        <f aca="false">I6325&amp;"-Q"&amp;ROUNDUP(MONTH(B6325)/3,0)</f>
        <v>2014-Q2</v>
      </c>
    </row>
    <row r="6326" customFormat="false" ht="15" hidden="false" customHeight="false" outlineLevel="0" collapsed="false">
      <c r="A6326" s="0" t="s">
        <v>3242</v>
      </c>
      <c r="B6326" s="6" t="n">
        <v>42306</v>
      </c>
      <c r="C6326" s="7" t="s">
        <v>33</v>
      </c>
      <c r="D6326" s="7" t="s">
        <v>34</v>
      </c>
      <c r="E6326" s="7" t="s">
        <v>35</v>
      </c>
      <c r="F6326" s="0" t="n">
        <v>33.4</v>
      </c>
      <c r="G6326" s="0" t="n">
        <v>16.032</v>
      </c>
      <c r="H6326" s="0" t="n">
        <v>0</v>
      </c>
      <c r="I6326" s="7" t="n">
        <f aca="false">YEAR(B6326)</f>
        <v>2015</v>
      </c>
      <c r="J6326" s="0" t="str">
        <f aca="false">I6326&amp;"-Q"&amp;ROUNDUP(MONTH(B6326)/3,0)</f>
        <v>2015-Q4</v>
      </c>
    </row>
    <row r="6327" customFormat="false" ht="15" hidden="false" customHeight="false" outlineLevel="0" collapsed="false">
      <c r="A6327" s="0" t="s">
        <v>3242</v>
      </c>
      <c r="B6327" s="6" t="n">
        <v>42306</v>
      </c>
      <c r="C6327" s="7" t="s">
        <v>33</v>
      </c>
      <c r="D6327" s="7" t="s">
        <v>34</v>
      </c>
      <c r="E6327" s="7" t="s">
        <v>35</v>
      </c>
      <c r="F6327" s="0" t="n">
        <v>210.84</v>
      </c>
      <c r="G6327" s="0" t="n">
        <v>103.3116</v>
      </c>
      <c r="H6327" s="0" t="n">
        <v>0</v>
      </c>
      <c r="I6327" s="7" t="n">
        <f aca="false">YEAR(B6327)</f>
        <v>2015</v>
      </c>
      <c r="J6327" s="0" t="str">
        <f aca="false">I6327&amp;"-Q"&amp;ROUNDUP(MONTH(B6327)/3,0)</f>
        <v>2015-Q4</v>
      </c>
    </row>
    <row r="6328" customFormat="false" ht="15" hidden="false" customHeight="false" outlineLevel="0" collapsed="false">
      <c r="A6328" s="0" t="s">
        <v>3243</v>
      </c>
      <c r="B6328" s="6" t="n">
        <v>41659</v>
      </c>
      <c r="C6328" s="7" t="s">
        <v>45</v>
      </c>
      <c r="D6328" s="7" t="s">
        <v>70</v>
      </c>
      <c r="E6328" s="7" t="s">
        <v>35</v>
      </c>
      <c r="F6328" s="0" t="n">
        <v>13.98</v>
      </c>
      <c r="G6328" s="0" t="n">
        <v>4.0542</v>
      </c>
      <c r="H6328" s="0" t="n">
        <v>0</v>
      </c>
      <c r="I6328" s="7" t="n">
        <f aca="false">YEAR(B6328)</f>
        <v>2014</v>
      </c>
      <c r="J6328" s="0" t="str">
        <f aca="false">I6328&amp;"-Q"&amp;ROUNDUP(MONTH(B6328)/3,0)</f>
        <v>2014-Q1</v>
      </c>
    </row>
    <row r="6329" customFormat="false" ht="15" hidden="false" customHeight="false" outlineLevel="0" collapsed="false">
      <c r="A6329" s="0" t="s">
        <v>3243</v>
      </c>
      <c r="B6329" s="6" t="n">
        <v>41659</v>
      </c>
      <c r="C6329" s="7" t="s">
        <v>45</v>
      </c>
      <c r="D6329" s="7" t="s">
        <v>70</v>
      </c>
      <c r="E6329" s="7" t="s">
        <v>31</v>
      </c>
      <c r="F6329" s="0" t="n">
        <v>272.94</v>
      </c>
      <c r="G6329" s="0" t="n">
        <v>30.0234</v>
      </c>
      <c r="H6329" s="0" t="n">
        <v>0</v>
      </c>
      <c r="I6329" s="7" t="n">
        <f aca="false">YEAR(B6329)</f>
        <v>2014</v>
      </c>
      <c r="J6329" s="0" t="str">
        <f aca="false">I6329&amp;"-Q"&amp;ROUNDUP(MONTH(B6329)/3,0)</f>
        <v>2014-Q1</v>
      </c>
    </row>
    <row r="6330" customFormat="false" ht="15" hidden="false" customHeight="false" outlineLevel="0" collapsed="false">
      <c r="A6330" s="0" t="s">
        <v>3243</v>
      </c>
      <c r="B6330" s="6" t="n">
        <v>41659</v>
      </c>
      <c r="C6330" s="7" t="s">
        <v>45</v>
      </c>
      <c r="D6330" s="7" t="s">
        <v>70</v>
      </c>
      <c r="E6330" s="7" t="s">
        <v>35</v>
      </c>
      <c r="F6330" s="0" t="n">
        <v>19.05</v>
      </c>
      <c r="G6330" s="0" t="n">
        <v>8.9535</v>
      </c>
      <c r="H6330" s="0" t="n">
        <v>0</v>
      </c>
      <c r="I6330" s="7" t="n">
        <f aca="false">YEAR(B6330)</f>
        <v>2014</v>
      </c>
      <c r="J6330" s="0" t="str">
        <f aca="false">I6330&amp;"-Q"&amp;ROUNDUP(MONTH(B6330)/3,0)</f>
        <v>2014-Q1</v>
      </c>
    </row>
    <row r="6331" customFormat="false" ht="15" hidden="false" customHeight="false" outlineLevel="0" collapsed="false">
      <c r="A6331" s="0" t="s">
        <v>3243</v>
      </c>
      <c r="B6331" s="6" t="n">
        <v>41659</v>
      </c>
      <c r="C6331" s="7" t="s">
        <v>45</v>
      </c>
      <c r="D6331" s="7" t="s">
        <v>70</v>
      </c>
      <c r="E6331" s="7" t="s">
        <v>35</v>
      </c>
      <c r="F6331" s="0" t="n">
        <v>247.716</v>
      </c>
      <c r="G6331" s="0" t="n">
        <v>93.5816</v>
      </c>
      <c r="H6331" s="0" t="n">
        <v>0.1</v>
      </c>
      <c r="I6331" s="7" t="n">
        <f aca="false">YEAR(B6331)</f>
        <v>2014</v>
      </c>
      <c r="J6331" s="0" t="str">
        <f aca="false">I6331&amp;"-Q"&amp;ROUNDUP(MONTH(B6331)/3,0)</f>
        <v>2014-Q1</v>
      </c>
    </row>
    <row r="6332" customFormat="false" ht="15" hidden="false" customHeight="false" outlineLevel="0" collapsed="false">
      <c r="A6332" s="0" t="s">
        <v>3243</v>
      </c>
      <c r="B6332" s="6" t="n">
        <v>41659</v>
      </c>
      <c r="C6332" s="7" t="s">
        <v>45</v>
      </c>
      <c r="D6332" s="7" t="s">
        <v>70</v>
      </c>
      <c r="E6332" s="7" t="s">
        <v>35</v>
      </c>
      <c r="F6332" s="0" t="n">
        <v>66.58</v>
      </c>
      <c r="G6332" s="0" t="n">
        <v>15.9792</v>
      </c>
      <c r="H6332" s="0" t="n">
        <v>0</v>
      </c>
      <c r="I6332" s="7" t="n">
        <f aca="false">YEAR(B6332)</f>
        <v>2014</v>
      </c>
      <c r="J6332" s="0" t="str">
        <f aca="false">I6332&amp;"-Q"&amp;ROUNDUP(MONTH(B6332)/3,0)</f>
        <v>2014-Q1</v>
      </c>
    </row>
    <row r="6333" customFormat="false" ht="15" hidden="false" customHeight="false" outlineLevel="0" collapsed="false">
      <c r="A6333" s="0" t="s">
        <v>3243</v>
      </c>
      <c r="B6333" s="6" t="n">
        <v>41659</v>
      </c>
      <c r="C6333" s="7" t="s">
        <v>45</v>
      </c>
      <c r="D6333" s="7" t="s">
        <v>70</v>
      </c>
      <c r="E6333" s="7" t="s">
        <v>35</v>
      </c>
      <c r="F6333" s="0" t="n">
        <v>43.92</v>
      </c>
      <c r="G6333" s="0" t="n">
        <v>12.7368</v>
      </c>
      <c r="H6333" s="0" t="n">
        <v>0</v>
      </c>
      <c r="I6333" s="7" t="n">
        <f aca="false">YEAR(B6333)</f>
        <v>2014</v>
      </c>
      <c r="J6333" s="0" t="str">
        <f aca="false">I6333&amp;"-Q"&amp;ROUNDUP(MONTH(B6333)/3,0)</f>
        <v>2014-Q1</v>
      </c>
    </row>
    <row r="6334" customFormat="false" ht="15" hidden="false" customHeight="false" outlineLevel="0" collapsed="false">
      <c r="A6334" s="0" t="s">
        <v>3243</v>
      </c>
      <c r="B6334" s="6" t="n">
        <v>41659</v>
      </c>
      <c r="C6334" s="7" t="s">
        <v>45</v>
      </c>
      <c r="D6334" s="7" t="s">
        <v>70</v>
      </c>
      <c r="E6334" s="7" t="s">
        <v>31</v>
      </c>
      <c r="F6334" s="0" t="n">
        <v>14.73</v>
      </c>
      <c r="G6334" s="0" t="n">
        <v>4.8609</v>
      </c>
      <c r="H6334" s="0" t="n">
        <v>0</v>
      </c>
      <c r="I6334" s="7" t="n">
        <f aca="false">YEAR(B6334)</f>
        <v>2014</v>
      </c>
      <c r="J6334" s="0" t="str">
        <f aca="false">I6334&amp;"-Q"&amp;ROUNDUP(MONTH(B6334)/3,0)</f>
        <v>2014-Q1</v>
      </c>
    </row>
    <row r="6335" customFormat="false" ht="15" hidden="false" customHeight="false" outlineLevel="0" collapsed="false">
      <c r="A6335" s="0" t="s">
        <v>3243</v>
      </c>
      <c r="B6335" s="6" t="n">
        <v>41659</v>
      </c>
      <c r="C6335" s="7" t="s">
        <v>45</v>
      </c>
      <c r="D6335" s="7" t="s">
        <v>70</v>
      </c>
      <c r="E6335" s="7" t="s">
        <v>35</v>
      </c>
      <c r="F6335" s="0" t="n">
        <v>29.7</v>
      </c>
      <c r="G6335" s="0" t="n">
        <v>13.365</v>
      </c>
      <c r="H6335" s="0" t="n">
        <v>0</v>
      </c>
      <c r="I6335" s="7" t="n">
        <f aca="false">YEAR(B6335)</f>
        <v>2014</v>
      </c>
      <c r="J6335" s="0" t="str">
        <f aca="false">I6335&amp;"-Q"&amp;ROUNDUP(MONTH(B6335)/3,0)</f>
        <v>2014-Q1</v>
      </c>
    </row>
    <row r="6336" customFormat="false" ht="15" hidden="false" customHeight="false" outlineLevel="0" collapsed="false">
      <c r="A6336" s="0" t="s">
        <v>3244</v>
      </c>
      <c r="B6336" s="6" t="n">
        <v>41831</v>
      </c>
      <c r="C6336" s="7" t="s">
        <v>55</v>
      </c>
      <c r="D6336" s="7" t="s">
        <v>76</v>
      </c>
      <c r="E6336" s="7" t="s">
        <v>35</v>
      </c>
      <c r="F6336" s="0" t="n">
        <v>49.12</v>
      </c>
      <c r="G6336" s="0" t="n">
        <v>23.0864</v>
      </c>
      <c r="H6336" s="0" t="n">
        <v>0</v>
      </c>
      <c r="I6336" s="7" t="n">
        <f aca="false">YEAR(B6336)</f>
        <v>2014</v>
      </c>
      <c r="J6336" s="0" t="str">
        <f aca="false">I6336&amp;"-Q"&amp;ROUNDUP(MONTH(B6336)/3,0)</f>
        <v>2014-Q3</v>
      </c>
    </row>
    <row r="6337" customFormat="false" ht="15" hidden="false" customHeight="false" outlineLevel="0" collapsed="false">
      <c r="A6337" s="0" t="s">
        <v>3244</v>
      </c>
      <c r="B6337" s="6" t="n">
        <v>41831</v>
      </c>
      <c r="C6337" s="7" t="s">
        <v>55</v>
      </c>
      <c r="D6337" s="7" t="s">
        <v>76</v>
      </c>
      <c r="E6337" s="7" t="s">
        <v>35</v>
      </c>
      <c r="F6337" s="0" t="n">
        <v>18.28</v>
      </c>
      <c r="G6337" s="0" t="n">
        <v>6.398</v>
      </c>
      <c r="H6337" s="0" t="n">
        <v>0.2</v>
      </c>
      <c r="I6337" s="7" t="n">
        <f aca="false">YEAR(B6337)</f>
        <v>2014</v>
      </c>
      <c r="J6337" s="0" t="str">
        <f aca="false">I6337&amp;"-Q"&amp;ROUNDUP(MONTH(B6337)/3,0)</f>
        <v>2014-Q3</v>
      </c>
    </row>
    <row r="6338" customFormat="false" ht="15" hidden="false" customHeight="false" outlineLevel="0" collapsed="false">
      <c r="A6338" s="0" t="s">
        <v>3245</v>
      </c>
      <c r="B6338" s="6" t="n">
        <v>42612</v>
      </c>
      <c r="C6338" s="7" t="s">
        <v>33</v>
      </c>
      <c r="D6338" s="7" t="s">
        <v>34</v>
      </c>
      <c r="E6338" s="7" t="s">
        <v>31</v>
      </c>
      <c r="F6338" s="0" t="n">
        <v>47.04</v>
      </c>
      <c r="G6338" s="0" t="n">
        <v>15.9936</v>
      </c>
      <c r="H6338" s="0" t="n">
        <v>0</v>
      </c>
      <c r="I6338" s="7" t="n">
        <f aca="false">YEAR(B6338)</f>
        <v>2016</v>
      </c>
      <c r="J6338" s="0" t="str">
        <f aca="false">I6338&amp;"-Q"&amp;ROUNDUP(MONTH(B6338)/3,0)</f>
        <v>2016-Q3</v>
      </c>
    </row>
    <row r="6339" customFormat="false" ht="15" hidden="false" customHeight="false" outlineLevel="0" collapsed="false">
      <c r="A6339" s="0" t="s">
        <v>3245</v>
      </c>
      <c r="B6339" s="6" t="n">
        <v>42612</v>
      </c>
      <c r="C6339" s="7" t="s">
        <v>33</v>
      </c>
      <c r="D6339" s="7" t="s">
        <v>34</v>
      </c>
      <c r="E6339" s="7" t="s">
        <v>39</v>
      </c>
      <c r="F6339" s="0" t="n">
        <v>339.96</v>
      </c>
      <c r="G6339" s="0" t="n">
        <v>42.495</v>
      </c>
      <c r="H6339" s="0" t="n">
        <v>0.2</v>
      </c>
      <c r="I6339" s="7" t="n">
        <f aca="false">YEAR(B6339)</f>
        <v>2016</v>
      </c>
      <c r="J6339" s="0" t="str">
        <f aca="false">I6339&amp;"-Q"&amp;ROUNDUP(MONTH(B6339)/3,0)</f>
        <v>2016-Q3</v>
      </c>
    </row>
    <row r="6340" customFormat="false" ht="15" hidden="false" customHeight="false" outlineLevel="0" collapsed="false">
      <c r="A6340" s="0" t="s">
        <v>3246</v>
      </c>
      <c r="B6340" s="6" t="n">
        <v>43013</v>
      </c>
      <c r="C6340" s="7" t="s">
        <v>55</v>
      </c>
      <c r="D6340" s="7" t="s">
        <v>76</v>
      </c>
      <c r="E6340" s="7" t="s">
        <v>39</v>
      </c>
      <c r="F6340" s="0" t="n">
        <v>87.8</v>
      </c>
      <c r="G6340" s="0" t="n">
        <v>43.9</v>
      </c>
      <c r="H6340" s="0" t="n">
        <v>0</v>
      </c>
      <c r="I6340" s="7" t="n">
        <f aca="false">YEAR(B6340)</f>
        <v>2017</v>
      </c>
      <c r="J6340" s="0" t="str">
        <f aca="false">I6340&amp;"-Q"&amp;ROUNDUP(MONTH(B6340)/3,0)</f>
        <v>2017-Q4</v>
      </c>
    </row>
    <row r="6341" customFormat="false" ht="15" hidden="false" customHeight="false" outlineLevel="0" collapsed="false">
      <c r="A6341" s="0" t="s">
        <v>3246</v>
      </c>
      <c r="B6341" s="6" t="n">
        <v>43013</v>
      </c>
      <c r="C6341" s="7" t="s">
        <v>55</v>
      </c>
      <c r="D6341" s="7" t="s">
        <v>76</v>
      </c>
      <c r="E6341" s="7" t="s">
        <v>31</v>
      </c>
      <c r="F6341" s="0" t="n">
        <v>221.382</v>
      </c>
      <c r="G6341" s="0" t="n">
        <v>2.4598</v>
      </c>
      <c r="H6341" s="0" t="n">
        <v>0.1</v>
      </c>
      <c r="I6341" s="7" t="n">
        <f aca="false">YEAR(B6341)</f>
        <v>2017</v>
      </c>
      <c r="J6341" s="0" t="str">
        <f aca="false">I6341&amp;"-Q"&amp;ROUNDUP(MONTH(B6341)/3,0)</f>
        <v>2017-Q4</v>
      </c>
    </row>
    <row r="6342" customFormat="false" ht="15" hidden="false" customHeight="false" outlineLevel="0" collapsed="false">
      <c r="A6342" s="0" t="s">
        <v>3246</v>
      </c>
      <c r="B6342" s="6" t="n">
        <v>43013</v>
      </c>
      <c r="C6342" s="7" t="s">
        <v>55</v>
      </c>
      <c r="D6342" s="7" t="s">
        <v>76</v>
      </c>
      <c r="E6342" s="7" t="s">
        <v>39</v>
      </c>
      <c r="F6342" s="0" t="n">
        <v>5199.96</v>
      </c>
      <c r="G6342" s="0" t="n">
        <v>1351.9896</v>
      </c>
      <c r="H6342" s="0" t="n">
        <v>0</v>
      </c>
      <c r="I6342" s="7" t="n">
        <f aca="false">YEAR(B6342)</f>
        <v>2017</v>
      </c>
      <c r="J6342" s="0" t="str">
        <f aca="false">I6342&amp;"-Q"&amp;ROUNDUP(MONTH(B6342)/3,0)</f>
        <v>2017-Q4</v>
      </c>
    </row>
    <row r="6343" customFormat="false" ht="15" hidden="false" customHeight="false" outlineLevel="0" collapsed="false">
      <c r="A6343" s="0" t="s">
        <v>3247</v>
      </c>
      <c r="B6343" s="6" t="n">
        <v>42735</v>
      </c>
      <c r="C6343" s="7" t="s">
        <v>55</v>
      </c>
      <c r="D6343" s="7" t="s">
        <v>116</v>
      </c>
      <c r="E6343" s="7" t="s">
        <v>35</v>
      </c>
      <c r="F6343" s="0" t="n">
        <v>156.512</v>
      </c>
      <c r="G6343" s="0" t="n">
        <v>-35.2152</v>
      </c>
      <c r="H6343" s="0" t="n">
        <v>0.2</v>
      </c>
      <c r="I6343" s="7" t="n">
        <f aca="false">YEAR(B6343)</f>
        <v>2016</v>
      </c>
      <c r="J6343" s="0" t="str">
        <f aca="false">I6343&amp;"-Q"&amp;ROUNDUP(MONTH(B6343)/3,0)</f>
        <v>2016-Q4</v>
      </c>
    </row>
    <row r="6344" customFormat="false" ht="15" hidden="false" customHeight="false" outlineLevel="0" collapsed="false">
      <c r="A6344" s="0" t="s">
        <v>3248</v>
      </c>
      <c r="B6344" s="6" t="n">
        <v>42070</v>
      </c>
      <c r="C6344" s="7" t="s">
        <v>55</v>
      </c>
      <c r="D6344" s="7" t="s">
        <v>72</v>
      </c>
      <c r="E6344" s="7" t="s">
        <v>39</v>
      </c>
      <c r="F6344" s="0" t="n">
        <v>119.85</v>
      </c>
      <c r="G6344" s="0" t="n">
        <v>52.734</v>
      </c>
      <c r="H6344" s="0" t="n">
        <v>0</v>
      </c>
      <c r="I6344" s="7" t="n">
        <f aca="false">YEAR(B6344)</f>
        <v>2015</v>
      </c>
      <c r="J6344" s="0" t="str">
        <f aca="false">I6344&amp;"-Q"&amp;ROUNDUP(MONTH(B6344)/3,0)</f>
        <v>2015-Q1</v>
      </c>
    </row>
    <row r="6345" customFormat="false" ht="15" hidden="false" customHeight="false" outlineLevel="0" collapsed="false">
      <c r="A6345" s="0" t="s">
        <v>3248</v>
      </c>
      <c r="B6345" s="6" t="n">
        <v>42070</v>
      </c>
      <c r="C6345" s="7" t="s">
        <v>55</v>
      </c>
      <c r="D6345" s="7" t="s">
        <v>72</v>
      </c>
      <c r="E6345" s="7" t="s">
        <v>35</v>
      </c>
      <c r="F6345" s="0" t="n">
        <v>30.44</v>
      </c>
      <c r="G6345" s="0" t="n">
        <v>14.9156</v>
      </c>
      <c r="H6345" s="0" t="n">
        <v>0</v>
      </c>
      <c r="I6345" s="7" t="n">
        <f aca="false">YEAR(B6345)</f>
        <v>2015</v>
      </c>
      <c r="J6345" s="0" t="str">
        <f aca="false">I6345&amp;"-Q"&amp;ROUNDUP(MONTH(B6345)/3,0)</f>
        <v>2015-Q1</v>
      </c>
    </row>
    <row r="6346" customFormat="false" ht="15" hidden="false" customHeight="false" outlineLevel="0" collapsed="false">
      <c r="A6346" s="0" t="s">
        <v>3248</v>
      </c>
      <c r="B6346" s="6" t="n">
        <v>42070</v>
      </c>
      <c r="C6346" s="7" t="s">
        <v>55</v>
      </c>
      <c r="D6346" s="7" t="s">
        <v>72</v>
      </c>
      <c r="E6346" s="7" t="s">
        <v>35</v>
      </c>
      <c r="F6346" s="0" t="n">
        <v>69.28</v>
      </c>
      <c r="G6346" s="0" t="n">
        <v>33.2544</v>
      </c>
      <c r="H6346" s="0" t="n">
        <v>0</v>
      </c>
      <c r="I6346" s="7" t="n">
        <f aca="false">YEAR(B6346)</f>
        <v>2015</v>
      </c>
      <c r="J6346" s="0" t="str">
        <f aca="false">I6346&amp;"-Q"&amp;ROUNDUP(MONTH(B6346)/3,0)</f>
        <v>2015-Q1</v>
      </c>
    </row>
    <row r="6347" customFormat="false" ht="15" hidden="false" customHeight="false" outlineLevel="0" collapsed="false">
      <c r="A6347" s="0" t="s">
        <v>3248</v>
      </c>
      <c r="B6347" s="6" t="n">
        <v>42070</v>
      </c>
      <c r="C6347" s="7" t="s">
        <v>55</v>
      </c>
      <c r="D6347" s="7" t="s">
        <v>72</v>
      </c>
      <c r="E6347" s="7" t="s">
        <v>39</v>
      </c>
      <c r="F6347" s="0" t="n">
        <v>587.97</v>
      </c>
      <c r="G6347" s="0" t="n">
        <v>170.5113</v>
      </c>
      <c r="H6347" s="0" t="n">
        <v>0</v>
      </c>
      <c r="I6347" s="7" t="n">
        <f aca="false">YEAR(B6347)</f>
        <v>2015</v>
      </c>
      <c r="J6347" s="0" t="str">
        <f aca="false">I6347&amp;"-Q"&amp;ROUNDUP(MONTH(B6347)/3,0)</f>
        <v>2015-Q1</v>
      </c>
    </row>
    <row r="6348" customFormat="false" ht="15" hidden="false" customHeight="false" outlineLevel="0" collapsed="false">
      <c r="A6348" s="0" t="s">
        <v>3249</v>
      </c>
      <c r="B6348" s="6" t="n">
        <v>43028</v>
      </c>
      <c r="C6348" s="7" t="s">
        <v>55</v>
      </c>
      <c r="D6348" s="7" t="s">
        <v>76</v>
      </c>
      <c r="E6348" s="7" t="s">
        <v>35</v>
      </c>
      <c r="F6348" s="0" t="n">
        <v>24.55</v>
      </c>
      <c r="G6348" s="0" t="n">
        <v>12.0295</v>
      </c>
      <c r="H6348" s="0" t="n">
        <v>0</v>
      </c>
      <c r="I6348" s="7" t="n">
        <f aca="false">YEAR(B6348)</f>
        <v>2017</v>
      </c>
      <c r="J6348" s="0" t="str">
        <f aca="false">I6348&amp;"-Q"&amp;ROUNDUP(MONTH(B6348)/3,0)</f>
        <v>2017-Q4</v>
      </c>
    </row>
    <row r="6349" customFormat="false" ht="15" hidden="false" customHeight="false" outlineLevel="0" collapsed="false">
      <c r="A6349" s="0" t="s">
        <v>3250</v>
      </c>
      <c r="B6349" s="6" t="n">
        <v>42125</v>
      </c>
      <c r="C6349" s="7" t="s">
        <v>33</v>
      </c>
      <c r="D6349" s="7" t="s">
        <v>34</v>
      </c>
      <c r="E6349" s="7" t="s">
        <v>35</v>
      </c>
      <c r="F6349" s="0" t="n">
        <v>12.176</v>
      </c>
      <c r="G6349" s="0" t="n">
        <v>4.4138</v>
      </c>
      <c r="H6349" s="0" t="n">
        <v>0.2</v>
      </c>
      <c r="I6349" s="7" t="n">
        <f aca="false">YEAR(B6349)</f>
        <v>2015</v>
      </c>
      <c r="J6349" s="0" t="str">
        <f aca="false">I6349&amp;"-Q"&amp;ROUNDUP(MONTH(B6349)/3,0)</f>
        <v>2015-Q2</v>
      </c>
    </row>
    <row r="6350" customFormat="false" ht="15" hidden="false" customHeight="false" outlineLevel="0" collapsed="false">
      <c r="A6350" s="0" t="s">
        <v>3250</v>
      </c>
      <c r="B6350" s="6" t="n">
        <v>42125</v>
      </c>
      <c r="C6350" s="7" t="s">
        <v>33</v>
      </c>
      <c r="D6350" s="7" t="s">
        <v>34</v>
      </c>
      <c r="E6350" s="7" t="s">
        <v>35</v>
      </c>
      <c r="F6350" s="0" t="n">
        <v>37.32</v>
      </c>
      <c r="G6350" s="0" t="n">
        <v>10.4496</v>
      </c>
      <c r="H6350" s="0" t="n">
        <v>0</v>
      </c>
      <c r="I6350" s="7" t="n">
        <f aca="false">YEAR(B6350)</f>
        <v>2015</v>
      </c>
      <c r="J6350" s="0" t="str">
        <f aca="false">I6350&amp;"-Q"&amp;ROUNDUP(MONTH(B6350)/3,0)</f>
        <v>2015-Q2</v>
      </c>
    </row>
    <row r="6351" customFormat="false" ht="15" hidden="false" customHeight="false" outlineLevel="0" collapsed="false">
      <c r="A6351" s="0" t="s">
        <v>3250</v>
      </c>
      <c r="B6351" s="6" t="n">
        <v>42125</v>
      </c>
      <c r="C6351" s="7" t="s">
        <v>33</v>
      </c>
      <c r="D6351" s="7" t="s">
        <v>34</v>
      </c>
      <c r="E6351" s="7" t="s">
        <v>35</v>
      </c>
      <c r="F6351" s="0" t="n">
        <v>35.06</v>
      </c>
      <c r="G6351" s="0" t="n">
        <v>10.518</v>
      </c>
      <c r="H6351" s="0" t="n">
        <v>0</v>
      </c>
      <c r="I6351" s="7" t="n">
        <f aca="false">YEAR(B6351)</f>
        <v>2015</v>
      </c>
      <c r="J6351" s="0" t="str">
        <f aca="false">I6351&amp;"-Q"&amp;ROUNDUP(MONTH(B6351)/3,0)</f>
        <v>2015-Q2</v>
      </c>
    </row>
    <row r="6352" customFormat="false" ht="15" hidden="false" customHeight="false" outlineLevel="0" collapsed="false">
      <c r="A6352" s="0" t="s">
        <v>3251</v>
      </c>
      <c r="B6352" s="6" t="n">
        <v>42981</v>
      </c>
      <c r="C6352" s="7" t="s">
        <v>45</v>
      </c>
      <c r="D6352" s="7" t="s">
        <v>46</v>
      </c>
      <c r="E6352" s="7" t="s">
        <v>31</v>
      </c>
      <c r="F6352" s="0" t="n">
        <v>108.4</v>
      </c>
      <c r="G6352" s="0" t="n">
        <v>-105.69</v>
      </c>
      <c r="H6352" s="0" t="n">
        <v>0.6</v>
      </c>
      <c r="I6352" s="7" t="n">
        <f aca="false">YEAR(B6352)</f>
        <v>2017</v>
      </c>
      <c r="J6352" s="0" t="str">
        <f aca="false">I6352&amp;"-Q"&amp;ROUNDUP(MONTH(B6352)/3,0)</f>
        <v>2017-Q3</v>
      </c>
    </row>
    <row r="6353" customFormat="false" ht="15" hidden="false" customHeight="false" outlineLevel="0" collapsed="false">
      <c r="A6353" s="0" t="s">
        <v>3252</v>
      </c>
      <c r="B6353" s="6" t="n">
        <v>43042</v>
      </c>
      <c r="C6353" s="7" t="s">
        <v>29</v>
      </c>
      <c r="D6353" s="7" t="s">
        <v>37</v>
      </c>
      <c r="E6353" s="7" t="s">
        <v>39</v>
      </c>
      <c r="F6353" s="0" t="n">
        <v>361.376</v>
      </c>
      <c r="G6353" s="0" t="n">
        <v>27.1032</v>
      </c>
      <c r="H6353" s="0" t="n">
        <v>0.2</v>
      </c>
      <c r="I6353" s="7" t="n">
        <f aca="false">YEAR(B6353)</f>
        <v>2017</v>
      </c>
      <c r="J6353" s="0" t="str">
        <f aca="false">I6353&amp;"-Q"&amp;ROUNDUP(MONTH(B6353)/3,0)</f>
        <v>2017-Q4</v>
      </c>
    </row>
    <row r="6354" customFormat="false" ht="15" hidden="false" customHeight="false" outlineLevel="0" collapsed="false">
      <c r="A6354" s="0" t="s">
        <v>3253</v>
      </c>
      <c r="B6354" s="6" t="n">
        <v>42260</v>
      </c>
      <c r="C6354" s="7" t="s">
        <v>55</v>
      </c>
      <c r="D6354" s="7" t="s">
        <v>56</v>
      </c>
      <c r="E6354" s="7" t="s">
        <v>35</v>
      </c>
      <c r="F6354" s="0" t="n">
        <v>2.412</v>
      </c>
      <c r="G6354" s="0" t="n">
        <v>-2.01</v>
      </c>
      <c r="H6354" s="0" t="n">
        <v>0.7</v>
      </c>
      <c r="I6354" s="7" t="n">
        <f aca="false">YEAR(B6354)</f>
        <v>2015</v>
      </c>
      <c r="J6354" s="0" t="str">
        <f aca="false">I6354&amp;"-Q"&amp;ROUNDUP(MONTH(B6354)/3,0)</f>
        <v>2015-Q3</v>
      </c>
    </row>
    <row r="6355" customFormat="false" ht="15" hidden="false" customHeight="false" outlineLevel="0" collapsed="false">
      <c r="A6355" s="0" t="s">
        <v>3254</v>
      </c>
      <c r="B6355" s="6" t="n">
        <v>42253</v>
      </c>
      <c r="C6355" s="7" t="s">
        <v>55</v>
      </c>
      <c r="D6355" s="7" t="s">
        <v>76</v>
      </c>
      <c r="E6355" s="7" t="s">
        <v>35</v>
      </c>
      <c r="F6355" s="0" t="n">
        <v>8.39</v>
      </c>
      <c r="G6355" s="0" t="n">
        <v>2.0975</v>
      </c>
      <c r="H6355" s="0" t="n">
        <v>0</v>
      </c>
      <c r="I6355" s="7" t="n">
        <f aca="false">YEAR(B6355)</f>
        <v>2015</v>
      </c>
      <c r="J6355" s="0" t="str">
        <f aca="false">I6355&amp;"-Q"&amp;ROUNDUP(MONTH(B6355)/3,0)</f>
        <v>2015-Q3</v>
      </c>
    </row>
    <row r="6356" customFormat="false" ht="15" hidden="false" customHeight="false" outlineLevel="0" collapsed="false">
      <c r="A6356" s="0" t="s">
        <v>3254</v>
      </c>
      <c r="B6356" s="6" t="n">
        <v>42253</v>
      </c>
      <c r="C6356" s="7" t="s">
        <v>55</v>
      </c>
      <c r="D6356" s="7" t="s">
        <v>76</v>
      </c>
      <c r="E6356" s="7" t="s">
        <v>39</v>
      </c>
      <c r="F6356" s="0" t="n">
        <v>337.98</v>
      </c>
      <c r="G6356" s="0" t="n">
        <v>101.394</v>
      </c>
      <c r="H6356" s="0" t="n">
        <v>0</v>
      </c>
      <c r="I6356" s="7" t="n">
        <f aca="false">YEAR(B6356)</f>
        <v>2015</v>
      </c>
      <c r="J6356" s="0" t="str">
        <f aca="false">I6356&amp;"-Q"&amp;ROUNDUP(MONTH(B6356)/3,0)</f>
        <v>2015-Q3</v>
      </c>
    </row>
    <row r="6357" customFormat="false" ht="15" hidden="false" customHeight="false" outlineLevel="0" collapsed="false">
      <c r="A6357" s="0" t="s">
        <v>3255</v>
      </c>
      <c r="B6357" s="6" t="n">
        <v>41918</v>
      </c>
      <c r="C6357" s="7" t="s">
        <v>55</v>
      </c>
      <c r="D6357" s="7" t="s">
        <v>56</v>
      </c>
      <c r="E6357" s="7" t="s">
        <v>35</v>
      </c>
      <c r="F6357" s="0" t="n">
        <v>83.92</v>
      </c>
      <c r="G6357" s="0" t="n">
        <v>-13.637</v>
      </c>
      <c r="H6357" s="0" t="n">
        <v>0.2</v>
      </c>
      <c r="I6357" s="7" t="n">
        <f aca="false">YEAR(B6357)</f>
        <v>2014</v>
      </c>
      <c r="J6357" s="0" t="str">
        <f aca="false">I6357&amp;"-Q"&amp;ROUNDUP(MONTH(B6357)/3,0)</f>
        <v>2014-Q4</v>
      </c>
    </row>
    <row r="6358" customFormat="false" ht="15" hidden="false" customHeight="false" outlineLevel="0" collapsed="false">
      <c r="A6358" s="0" t="s">
        <v>3256</v>
      </c>
      <c r="B6358" s="6" t="n">
        <v>42758</v>
      </c>
      <c r="C6358" s="7" t="s">
        <v>33</v>
      </c>
      <c r="D6358" s="7" t="s">
        <v>43</v>
      </c>
      <c r="E6358" s="7" t="s">
        <v>35</v>
      </c>
      <c r="F6358" s="0" t="n">
        <v>19.68</v>
      </c>
      <c r="G6358" s="0" t="n">
        <v>6.888</v>
      </c>
      <c r="H6358" s="0" t="n">
        <v>0.2</v>
      </c>
      <c r="I6358" s="7" t="n">
        <f aca="false">YEAR(B6358)</f>
        <v>2017</v>
      </c>
      <c r="J6358" s="0" t="str">
        <f aca="false">I6358&amp;"-Q"&amp;ROUNDUP(MONTH(B6358)/3,0)</f>
        <v>2017-Q1</v>
      </c>
    </row>
    <row r="6359" customFormat="false" ht="15" hidden="false" customHeight="false" outlineLevel="0" collapsed="false">
      <c r="A6359" s="0" t="s">
        <v>3256</v>
      </c>
      <c r="B6359" s="6" t="n">
        <v>42758</v>
      </c>
      <c r="C6359" s="7" t="s">
        <v>33</v>
      </c>
      <c r="D6359" s="7" t="s">
        <v>43</v>
      </c>
      <c r="E6359" s="7" t="s">
        <v>35</v>
      </c>
      <c r="F6359" s="0" t="n">
        <v>25.92</v>
      </c>
      <c r="G6359" s="0" t="n">
        <v>12.4416</v>
      </c>
      <c r="H6359" s="0" t="n">
        <v>0</v>
      </c>
      <c r="I6359" s="7" t="n">
        <f aca="false">YEAR(B6359)</f>
        <v>2017</v>
      </c>
      <c r="J6359" s="0" t="str">
        <f aca="false">I6359&amp;"-Q"&amp;ROUNDUP(MONTH(B6359)/3,0)</f>
        <v>2017-Q1</v>
      </c>
    </row>
    <row r="6360" customFormat="false" ht="15" hidden="false" customHeight="false" outlineLevel="0" collapsed="false">
      <c r="A6360" s="0" t="s">
        <v>3256</v>
      </c>
      <c r="B6360" s="6" t="n">
        <v>42758</v>
      </c>
      <c r="C6360" s="7" t="s">
        <v>33</v>
      </c>
      <c r="D6360" s="7" t="s">
        <v>43</v>
      </c>
      <c r="E6360" s="7" t="s">
        <v>35</v>
      </c>
      <c r="F6360" s="0" t="n">
        <v>6.48</v>
      </c>
      <c r="G6360" s="0" t="n">
        <v>3.1104</v>
      </c>
      <c r="H6360" s="0" t="n">
        <v>0</v>
      </c>
      <c r="I6360" s="7" t="n">
        <f aca="false">YEAR(B6360)</f>
        <v>2017</v>
      </c>
      <c r="J6360" s="0" t="str">
        <f aca="false">I6360&amp;"-Q"&amp;ROUNDUP(MONTH(B6360)/3,0)</f>
        <v>2017-Q1</v>
      </c>
    </row>
    <row r="6361" customFormat="false" ht="15" hidden="false" customHeight="false" outlineLevel="0" collapsed="false">
      <c r="A6361" s="0" t="s">
        <v>3256</v>
      </c>
      <c r="B6361" s="6" t="n">
        <v>42758</v>
      </c>
      <c r="C6361" s="7" t="s">
        <v>33</v>
      </c>
      <c r="D6361" s="7" t="s">
        <v>43</v>
      </c>
      <c r="E6361" s="7" t="s">
        <v>39</v>
      </c>
      <c r="F6361" s="0" t="n">
        <v>86.352</v>
      </c>
      <c r="G6361" s="0" t="n">
        <v>8.6352</v>
      </c>
      <c r="H6361" s="0" t="n">
        <v>0.2</v>
      </c>
      <c r="I6361" s="7" t="n">
        <f aca="false">YEAR(B6361)</f>
        <v>2017</v>
      </c>
      <c r="J6361" s="0" t="str">
        <f aca="false">I6361&amp;"-Q"&amp;ROUNDUP(MONTH(B6361)/3,0)</f>
        <v>2017-Q1</v>
      </c>
    </row>
    <row r="6362" customFormat="false" ht="15" hidden="false" customHeight="false" outlineLevel="0" collapsed="false">
      <c r="A6362" s="0" t="s">
        <v>3257</v>
      </c>
      <c r="B6362" s="6" t="n">
        <v>42348</v>
      </c>
      <c r="C6362" s="7" t="s">
        <v>33</v>
      </c>
      <c r="D6362" s="7" t="s">
        <v>34</v>
      </c>
      <c r="E6362" s="7" t="s">
        <v>35</v>
      </c>
      <c r="F6362" s="0" t="n">
        <v>56.3</v>
      </c>
      <c r="G6362" s="0" t="n">
        <v>15.764</v>
      </c>
      <c r="H6362" s="0" t="n">
        <v>0</v>
      </c>
      <c r="I6362" s="7" t="n">
        <f aca="false">YEAR(B6362)</f>
        <v>2015</v>
      </c>
      <c r="J6362" s="0" t="str">
        <f aca="false">I6362&amp;"-Q"&amp;ROUNDUP(MONTH(B6362)/3,0)</f>
        <v>2015-Q4</v>
      </c>
    </row>
    <row r="6363" customFormat="false" ht="15" hidden="false" customHeight="false" outlineLevel="0" collapsed="false">
      <c r="A6363" s="0" t="s">
        <v>3258</v>
      </c>
      <c r="B6363" s="6" t="n">
        <v>41968</v>
      </c>
      <c r="C6363" s="7" t="s">
        <v>33</v>
      </c>
      <c r="D6363" s="7" t="s">
        <v>102</v>
      </c>
      <c r="E6363" s="7" t="s">
        <v>35</v>
      </c>
      <c r="F6363" s="0" t="n">
        <v>51.016</v>
      </c>
      <c r="G6363" s="0" t="n">
        <v>8.2901</v>
      </c>
      <c r="H6363" s="0" t="n">
        <v>0.2</v>
      </c>
      <c r="I6363" s="7" t="n">
        <f aca="false">YEAR(B6363)</f>
        <v>2014</v>
      </c>
      <c r="J6363" s="0" t="str">
        <f aca="false">I6363&amp;"-Q"&amp;ROUNDUP(MONTH(B6363)/3,0)</f>
        <v>2014-Q4</v>
      </c>
    </row>
    <row r="6364" customFormat="false" ht="15" hidden="false" customHeight="false" outlineLevel="0" collapsed="false">
      <c r="A6364" s="0" t="s">
        <v>3259</v>
      </c>
      <c r="B6364" s="6" t="n">
        <v>43060</v>
      </c>
      <c r="C6364" s="7" t="s">
        <v>33</v>
      </c>
      <c r="D6364" s="7" t="s">
        <v>43</v>
      </c>
      <c r="E6364" s="7" t="s">
        <v>35</v>
      </c>
      <c r="F6364" s="0" t="n">
        <v>150.8</v>
      </c>
      <c r="G6364" s="0" t="n">
        <v>56.55</v>
      </c>
      <c r="H6364" s="0" t="n">
        <v>0.2</v>
      </c>
      <c r="I6364" s="7" t="n">
        <f aca="false">YEAR(B6364)</f>
        <v>2017</v>
      </c>
      <c r="J6364" s="0" t="str">
        <f aca="false">I6364&amp;"-Q"&amp;ROUNDUP(MONTH(B6364)/3,0)</f>
        <v>2017-Q4</v>
      </c>
    </row>
    <row r="6365" customFormat="false" ht="15" hidden="false" customHeight="false" outlineLevel="0" collapsed="false">
      <c r="A6365" s="0" t="s">
        <v>3259</v>
      </c>
      <c r="B6365" s="6" t="n">
        <v>43060</v>
      </c>
      <c r="C6365" s="7" t="s">
        <v>33</v>
      </c>
      <c r="D6365" s="7" t="s">
        <v>43</v>
      </c>
      <c r="E6365" s="7" t="s">
        <v>39</v>
      </c>
      <c r="F6365" s="0" t="n">
        <v>1039.992</v>
      </c>
      <c r="G6365" s="0" t="n">
        <v>103.9992</v>
      </c>
      <c r="H6365" s="0" t="n">
        <v>0.2</v>
      </c>
      <c r="I6365" s="7" t="n">
        <f aca="false">YEAR(B6365)</f>
        <v>2017</v>
      </c>
      <c r="J6365" s="0" t="str">
        <f aca="false">I6365&amp;"-Q"&amp;ROUNDUP(MONTH(B6365)/3,0)</f>
        <v>2017-Q4</v>
      </c>
    </row>
    <row r="6366" customFormat="false" ht="15" hidden="false" customHeight="false" outlineLevel="0" collapsed="false">
      <c r="A6366" s="0" t="s">
        <v>3259</v>
      </c>
      <c r="B6366" s="6" t="n">
        <v>43060</v>
      </c>
      <c r="C6366" s="7" t="s">
        <v>33</v>
      </c>
      <c r="D6366" s="7" t="s">
        <v>43</v>
      </c>
      <c r="E6366" s="7" t="s">
        <v>35</v>
      </c>
      <c r="F6366" s="0" t="n">
        <v>51.84</v>
      </c>
      <c r="G6366" s="0" t="n">
        <v>24.8832</v>
      </c>
      <c r="H6366" s="0" t="n">
        <v>0</v>
      </c>
      <c r="I6366" s="7" t="n">
        <f aca="false">YEAR(B6366)</f>
        <v>2017</v>
      </c>
      <c r="J6366" s="0" t="str">
        <f aca="false">I6366&amp;"-Q"&amp;ROUNDUP(MONTH(B6366)/3,0)</f>
        <v>2017-Q4</v>
      </c>
    </row>
    <row r="6367" customFormat="false" ht="15" hidden="false" customHeight="false" outlineLevel="0" collapsed="false">
      <c r="A6367" s="0" t="s">
        <v>3260</v>
      </c>
      <c r="B6367" s="6" t="n">
        <v>42829</v>
      </c>
      <c r="C6367" s="7" t="s">
        <v>55</v>
      </c>
      <c r="D6367" s="7" t="s">
        <v>76</v>
      </c>
      <c r="E6367" s="7" t="s">
        <v>39</v>
      </c>
      <c r="F6367" s="0" t="n">
        <v>41.22</v>
      </c>
      <c r="G6367" s="0" t="n">
        <v>11.1294</v>
      </c>
      <c r="H6367" s="0" t="n">
        <v>0</v>
      </c>
      <c r="I6367" s="7" t="n">
        <f aca="false">YEAR(B6367)</f>
        <v>2017</v>
      </c>
      <c r="J6367" s="0" t="str">
        <f aca="false">I6367&amp;"-Q"&amp;ROUNDUP(MONTH(B6367)/3,0)</f>
        <v>2017-Q2</v>
      </c>
    </row>
    <row r="6368" customFormat="false" ht="15" hidden="false" customHeight="false" outlineLevel="0" collapsed="false">
      <c r="A6368" s="0" t="s">
        <v>3260</v>
      </c>
      <c r="B6368" s="6" t="n">
        <v>42829</v>
      </c>
      <c r="C6368" s="7" t="s">
        <v>55</v>
      </c>
      <c r="D6368" s="7" t="s">
        <v>76</v>
      </c>
      <c r="E6368" s="7" t="s">
        <v>35</v>
      </c>
      <c r="F6368" s="0" t="n">
        <v>240.37</v>
      </c>
      <c r="G6368" s="0" t="n">
        <v>7.2111</v>
      </c>
      <c r="H6368" s="0" t="n">
        <v>0</v>
      </c>
      <c r="I6368" s="7" t="n">
        <f aca="false">YEAR(B6368)</f>
        <v>2017</v>
      </c>
      <c r="J6368" s="0" t="str">
        <f aca="false">I6368&amp;"-Q"&amp;ROUNDUP(MONTH(B6368)/3,0)</f>
        <v>2017-Q2</v>
      </c>
    </row>
    <row r="6369" customFormat="false" ht="15" hidden="false" customHeight="false" outlineLevel="0" collapsed="false">
      <c r="A6369" s="0" t="s">
        <v>3260</v>
      </c>
      <c r="B6369" s="6" t="n">
        <v>42829</v>
      </c>
      <c r="C6369" s="7" t="s">
        <v>55</v>
      </c>
      <c r="D6369" s="7" t="s">
        <v>76</v>
      </c>
      <c r="E6369" s="7" t="s">
        <v>39</v>
      </c>
      <c r="F6369" s="0" t="n">
        <v>119.02</v>
      </c>
      <c r="G6369" s="0" t="n">
        <v>33.3256</v>
      </c>
      <c r="H6369" s="0" t="n">
        <v>0</v>
      </c>
      <c r="I6369" s="7" t="n">
        <f aca="false">YEAR(B6369)</f>
        <v>2017</v>
      </c>
      <c r="J6369" s="0" t="str">
        <f aca="false">I6369&amp;"-Q"&amp;ROUNDUP(MONTH(B6369)/3,0)</f>
        <v>2017-Q2</v>
      </c>
    </row>
    <row r="6370" customFormat="false" ht="15" hidden="false" customHeight="false" outlineLevel="0" collapsed="false">
      <c r="A6370" s="0" t="s">
        <v>3261</v>
      </c>
      <c r="B6370" s="6" t="n">
        <v>42874</v>
      </c>
      <c r="C6370" s="7" t="s">
        <v>33</v>
      </c>
      <c r="D6370" s="7" t="s">
        <v>34</v>
      </c>
      <c r="E6370" s="7" t="s">
        <v>35</v>
      </c>
      <c r="F6370" s="0" t="n">
        <v>133.12</v>
      </c>
      <c r="G6370" s="0" t="n">
        <v>49.92</v>
      </c>
      <c r="H6370" s="0" t="n">
        <v>0.2</v>
      </c>
      <c r="I6370" s="7" t="n">
        <f aca="false">YEAR(B6370)</f>
        <v>2017</v>
      </c>
      <c r="J6370" s="0" t="str">
        <f aca="false">I6370&amp;"-Q"&amp;ROUNDUP(MONTH(B6370)/3,0)</f>
        <v>2017-Q2</v>
      </c>
    </row>
    <row r="6371" customFormat="false" ht="15" hidden="false" customHeight="false" outlineLevel="0" collapsed="false">
      <c r="A6371" s="0" t="s">
        <v>3262</v>
      </c>
      <c r="B6371" s="6" t="n">
        <v>42646</v>
      </c>
      <c r="C6371" s="7" t="s">
        <v>45</v>
      </c>
      <c r="D6371" s="7" t="s">
        <v>46</v>
      </c>
      <c r="E6371" s="7" t="s">
        <v>31</v>
      </c>
      <c r="F6371" s="0" t="n">
        <v>38.08</v>
      </c>
      <c r="G6371" s="0" t="n">
        <v>-29.512</v>
      </c>
      <c r="H6371" s="0" t="n">
        <v>0.6</v>
      </c>
      <c r="I6371" s="7" t="n">
        <f aca="false">YEAR(B6371)</f>
        <v>2016</v>
      </c>
      <c r="J6371" s="0" t="str">
        <f aca="false">I6371&amp;"-Q"&amp;ROUNDUP(MONTH(B6371)/3,0)</f>
        <v>2016-Q4</v>
      </c>
    </row>
    <row r="6372" customFormat="false" ht="15" hidden="false" customHeight="false" outlineLevel="0" collapsed="false">
      <c r="A6372" s="0" t="s">
        <v>3263</v>
      </c>
      <c r="B6372" s="6" t="n">
        <v>42695</v>
      </c>
      <c r="C6372" s="7" t="s">
        <v>55</v>
      </c>
      <c r="D6372" s="7" t="s">
        <v>76</v>
      </c>
      <c r="E6372" s="7" t="s">
        <v>31</v>
      </c>
      <c r="F6372" s="0" t="n">
        <v>113.568</v>
      </c>
      <c r="G6372" s="0" t="n">
        <v>12.7764</v>
      </c>
      <c r="H6372" s="0" t="n">
        <v>0.2</v>
      </c>
      <c r="I6372" s="7" t="n">
        <f aca="false">YEAR(B6372)</f>
        <v>2016</v>
      </c>
      <c r="J6372" s="0" t="str">
        <f aca="false">I6372&amp;"-Q"&amp;ROUNDUP(MONTH(B6372)/3,0)</f>
        <v>2016-Q4</v>
      </c>
    </row>
    <row r="6373" customFormat="false" ht="15" hidden="false" customHeight="false" outlineLevel="0" collapsed="false">
      <c r="A6373" s="0" t="s">
        <v>3264</v>
      </c>
      <c r="B6373" s="6" t="n">
        <v>43011</v>
      </c>
      <c r="C6373" s="7" t="s">
        <v>55</v>
      </c>
      <c r="D6373" s="7" t="s">
        <v>76</v>
      </c>
      <c r="E6373" s="7" t="s">
        <v>31</v>
      </c>
      <c r="F6373" s="0" t="n">
        <v>83.92</v>
      </c>
      <c r="G6373" s="0" t="n">
        <v>21.8192</v>
      </c>
      <c r="H6373" s="0" t="n">
        <v>0</v>
      </c>
      <c r="I6373" s="7" t="n">
        <f aca="false">YEAR(B6373)</f>
        <v>2017</v>
      </c>
      <c r="J6373" s="0" t="str">
        <f aca="false">I6373&amp;"-Q"&amp;ROUNDUP(MONTH(B6373)/3,0)</f>
        <v>2017-Q4</v>
      </c>
    </row>
    <row r="6374" customFormat="false" ht="15" hidden="false" customHeight="false" outlineLevel="0" collapsed="false">
      <c r="A6374" s="0" t="s">
        <v>3264</v>
      </c>
      <c r="B6374" s="6" t="n">
        <v>43011</v>
      </c>
      <c r="C6374" s="7" t="s">
        <v>55</v>
      </c>
      <c r="D6374" s="7" t="s">
        <v>76</v>
      </c>
      <c r="E6374" s="7" t="s">
        <v>35</v>
      </c>
      <c r="F6374" s="0" t="n">
        <v>6.63</v>
      </c>
      <c r="G6374" s="0" t="n">
        <v>3.1161</v>
      </c>
      <c r="H6374" s="0" t="n">
        <v>0</v>
      </c>
      <c r="I6374" s="7" t="n">
        <f aca="false">YEAR(B6374)</f>
        <v>2017</v>
      </c>
      <c r="J6374" s="0" t="str">
        <f aca="false">I6374&amp;"-Q"&amp;ROUNDUP(MONTH(B6374)/3,0)</f>
        <v>2017-Q4</v>
      </c>
    </row>
    <row r="6375" customFormat="false" ht="15" hidden="false" customHeight="false" outlineLevel="0" collapsed="false">
      <c r="A6375" s="0" t="s">
        <v>3264</v>
      </c>
      <c r="B6375" s="6" t="n">
        <v>43011</v>
      </c>
      <c r="C6375" s="7" t="s">
        <v>55</v>
      </c>
      <c r="D6375" s="7" t="s">
        <v>76</v>
      </c>
      <c r="E6375" s="7" t="s">
        <v>39</v>
      </c>
      <c r="F6375" s="0" t="n">
        <v>371.97</v>
      </c>
      <c r="G6375" s="0" t="n">
        <v>66.9546</v>
      </c>
      <c r="H6375" s="0" t="n">
        <v>0</v>
      </c>
      <c r="I6375" s="7" t="n">
        <f aca="false">YEAR(B6375)</f>
        <v>2017</v>
      </c>
      <c r="J6375" s="0" t="str">
        <f aca="false">I6375&amp;"-Q"&amp;ROUNDUP(MONTH(B6375)/3,0)</f>
        <v>2017-Q4</v>
      </c>
    </row>
    <row r="6376" customFormat="false" ht="15" hidden="false" customHeight="false" outlineLevel="0" collapsed="false">
      <c r="A6376" s="0" t="s">
        <v>3265</v>
      </c>
      <c r="B6376" s="6" t="n">
        <v>41758</v>
      </c>
      <c r="C6376" s="7" t="s">
        <v>29</v>
      </c>
      <c r="D6376" s="7" t="s">
        <v>87</v>
      </c>
      <c r="E6376" s="7" t="s">
        <v>31</v>
      </c>
      <c r="F6376" s="0" t="n">
        <v>561.584</v>
      </c>
      <c r="G6376" s="0" t="n">
        <v>70.198</v>
      </c>
      <c r="H6376" s="0" t="n">
        <v>0.2</v>
      </c>
      <c r="I6376" s="7" t="n">
        <f aca="false">YEAR(B6376)</f>
        <v>2014</v>
      </c>
      <c r="J6376" s="0" t="str">
        <f aca="false">I6376&amp;"-Q"&amp;ROUNDUP(MONTH(B6376)/3,0)</f>
        <v>2014-Q2</v>
      </c>
    </row>
    <row r="6377" customFormat="false" ht="15" hidden="false" customHeight="false" outlineLevel="0" collapsed="false">
      <c r="A6377" s="0" t="s">
        <v>3265</v>
      </c>
      <c r="B6377" s="6" t="n">
        <v>41758</v>
      </c>
      <c r="C6377" s="7" t="s">
        <v>29</v>
      </c>
      <c r="D6377" s="7" t="s">
        <v>87</v>
      </c>
      <c r="E6377" s="7" t="s">
        <v>35</v>
      </c>
      <c r="F6377" s="0" t="n">
        <v>99.92</v>
      </c>
      <c r="G6377" s="0" t="n">
        <v>-1.249</v>
      </c>
      <c r="H6377" s="0" t="n">
        <v>0.2</v>
      </c>
      <c r="I6377" s="7" t="n">
        <f aca="false">YEAR(B6377)</f>
        <v>2014</v>
      </c>
      <c r="J6377" s="0" t="str">
        <f aca="false">I6377&amp;"-Q"&amp;ROUNDUP(MONTH(B6377)/3,0)</f>
        <v>2014-Q2</v>
      </c>
    </row>
    <row r="6378" customFormat="false" ht="15" hidden="false" customHeight="false" outlineLevel="0" collapsed="false">
      <c r="A6378" s="0" t="s">
        <v>3266</v>
      </c>
      <c r="B6378" s="6" t="n">
        <v>42650</v>
      </c>
      <c r="C6378" s="7" t="s">
        <v>55</v>
      </c>
      <c r="D6378" s="7" t="s">
        <v>56</v>
      </c>
      <c r="E6378" s="7" t="s">
        <v>35</v>
      </c>
      <c r="F6378" s="0" t="n">
        <v>4.928</v>
      </c>
      <c r="G6378" s="0" t="n">
        <v>1.7248</v>
      </c>
      <c r="H6378" s="0" t="n">
        <v>0.2</v>
      </c>
      <c r="I6378" s="7" t="n">
        <f aca="false">YEAR(B6378)</f>
        <v>2016</v>
      </c>
      <c r="J6378" s="0" t="str">
        <f aca="false">I6378&amp;"-Q"&amp;ROUNDUP(MONTH(B6378)/3,0)</f>
        <v>2016-Q4</v>
      </c>
    </row>
    <row r="6379" customFormat="false" ht="15" hidden="false" customHeight="false" outlineLevel="0" collapsed="false">
      <c r="A6379" s="0" t="s">
        <v>3267</v>
      </c>
      <c r="B6379" s="6" t="n">
        <v>42719</v>
      </c>
      <c r="C6379" s="7" t="s">
        <v>33</v>
      </c>
      <c r="D6379" s="7" t="s">
        <v>34</v>
      </c>
      <c r="E6379" s="7" t="s">
        <v>31</v>
      </c>
      <c r="F6379" s="0" t="n">
        <v>14.76</v>
      </c>
      <c r="G6379" s="0" t="n">
        <v>4.2804</v>
      </c>
      <c r="H6379" s="0" t="n">
        <v>0</v>
      </c>
      <c r="I6379" s="7" t="n">
        <f aca="false">YEAR(B6379)</f>
        <v>2016</v>
      </c>
      <c r="J6379" s="0" t="str">
        <f aca="false">I6379&amp;"-Q"&amp;ROUNDUP(MONTH(B6379)/3,0)</f>
        <v>2016-Q4</v>
      </c>
    </row>
    <row r="6380" customFormat="false" ht="15" hidden="false" customHeight="false" outlineLevel="0" collapsed="false">
      <c r="A6380" s="0" t="s">
        <v>3268</v>
      </c>
      <c r="B6380" s="6" t="n">
        <v>42835</v>
      </c>
      <c r="C6380" s="7" t="s">
        <v>55</v>
      </c>
      <c r="D6380" s="7" t="s">
        <v>154</v>
      </c>
      <c r="E6380" s="7" t="s">
        <v>39</v>
      </c>
      <c r="F6380" s="0" t="n">
        <v>99.99</v>
      </c>
      <c r="G6380" s="0" t="n">
        <v>41.9958</v>
      </c>
      <c r="H6380" s="0" t="n">
        <v>0</v>
      </c>
      <c r="I6380" s="7" t="n">
        <f aca="false">YEAR(B6380)</f>
        <v>2017</v>
      </c>
      <c r="J6380" s="0" t="str">
        <f aca="false">I6380&amp;"-Q"&amp;ROUNDUP(MONTH(B6380)/3,0)</f>
        <v>2017-Q2</v>
      </c>
    </row>
    <row r="6381" customFormat="false" ht="15" hidden="false" customHeight="false" outlineLevel="0" collapsed="false">
      <c r="A6381" s="0" t="s">
        <v>3268</v>
      </c>
      <c r="B6381" s="6" t="n">
        <v>42835</v>
      </c>
      <c r="C6381" s="7" t="s">
        <v>55</v>
      </c>
      <c r="D6381" s="7" t="s">
        <v>154</v>
      </c>
      <c r="E6381" s="7" t="s">
        <v>35</v>
      </c>
      <c r="F6381" s="0" t="n">
        <v>286.15</v>
      </c>
      <c r="G6381" s="0" t="n">
        <v>71.5375</v>
      </c>
      <c r="H6381" s="0" t="n">
        <v>0</v>
      </c>
      <c r="I6381" s="7" t="n">
        <f aca="false">YEAR(B6381)</f>
        <v>2017</v>
      </c>
      <c r="J6381" s="0" t="str">
        <f aca="false">I6381&amp;"-Q"&amp;ROUNDUP(MONTH(B6381)/3,0)</f>
        <v>2017-Q2</v>
      </c>
    </row>
    <row r="6382" customFormat="false" ht="15" hidden="false" customHeight="false" outlineLevel="0" collapsed="false">
      <c r="A6382" s="0" t="s">
        <v>3269</v>
      </c>
      <c r="B6382" s="6" t="n">
        <v>41737</v>
      </c>
      <c r="C6382" s="7" t="s">
        <v>33</v>
      </c>
      <c r="D6382" s="7" t="s">
        <v>81</v>
      </c>
      <c r="E6382" s="7" t="s">
        <v>35</v>
      </c>
      <c r="F6382" s="0" t="n">
        <v>49.792</v>
      </c>
      <c r="G6382" s="0" t="n">
        <v>-11.8256</v>
      </c>
      <c r="H6382" s="0" t="n">
        <v>0.2</v>
      </c>
      <c r="I6382" s="7" t="n">
        <f aca="false">YEAR(B6382)</f>
        <v>2014</v>
      </c>
      <c r="J6382" s="0" t="str">
        <f aca="false">I6382&amp;"-Q"&amp;ROUNDUP(MONTH(B6382)/3,0)</f>
        <v>2014-Q2</v>
      </c>
    </row>
    <row r="6383" customFormat="false" ht="15" hidden="false" customHeight="false" outlineLevel="0" collapsed="false">
      <c r="A6383" s="0" t="s">
        <v>3270</v>
      </c>
      <c r="B6383" s="6" t="n">
        <v>42458</v>
      </c>
      <c r="C6383" s="7" t="s">
        <v>55</v>
      </c>
      <c r="D6383" s="7" t="s">
        <v>116</v>
      </c>
      <c r="E6383" s="7" t="s">
        <v>31</v>
      </c>
      <c r="F6383" s="0" t="n">
        <v>299.975</v>
      </c>
      <c r="G6383" s="0" t="n">
        <v>-167.986</v>
      </c>
      <c r="H6383" s="0" t="n">
        <v>0.5</v>
      </c>
      <c r="I6383" s="7" t="n">
        <f aca="false">YEAR(B6383)</f>
        <v>2016</v>
      </c>
      <c r="J6383" s="0" t="str">
        <f aca="false">I6383&amp;"-Q"&amp;ROUNDUP(MONTH(B6383)/3,0)</f>
        <v>2016-Q1</v>
      </c>
    </row>
    <row r="6384" customFormat="false" ht="15" hidden="false" customHeight="false" outlineLevel="0" collapsed="false">
      <c r="A6384" s="0" t="s">
        <v>3270</v>
      </c>
      <c r="B6384" s="6" t="n">
        <v>42458</v>
      </c>
      <c r="C6384" s="7" t="s">
        <v>55</v>
      </c>
      <c r="D6384" s="7" t="s">
        <v>116</v>
      </c>
      <c r="E6384" s="7" t="s">
        <v>39</v>
      </c>
      <c r="F6384" s="0" t="n">
        <v>158.376</v>
      </c>
      <c r="G6384" s="0" t="n">
        <v>-36.9544</v>
      </c>
      <c r="H6384" s="0" t="n">
        <v>0.4</v>
      </c>
      <c r="I6384" s="7" t="n">
        <f aca="false">YEAR(B6384)</f>
        <v>2016</v>
      </c>
      <c r="J6384" s="0" t="str">
        <f aca="false">I6384&amp;"-Q"&amp;ROUNDUP(MONTH(B6384)/3,0)</f>
        <v>2016-Q1</v>
      </c>
    </row>
    <row r="6385" customFormat="false" ht="15" hidden="false" customHeight="false" outlineLevel="0" collapsed="false">
      <c r="A6385" s="0" t="s">
        <v>3271</v>
      </c>
      <c r="B6385" s="6" t="n">
        <v>42750</v>
      </c>
      <c r="C6385" s="7" t="s">
        <v>45</v>
      </c>
      <c r="D6385" s="7" t="s">
        <v>46</v>
      </c>
      <c r="E6385" s="7" t="s">
        <v>35</v>
      </c>
      <c r="F6385" s="0" t="n">
        <v>32.784</v>
      </c>
      <c r="G6385" s="0" t="n">
        <v>-52.4544</v>
      </c>
      <c r="H6385" s="0" t="n">
        <v>0.8</v>
      </c>
      <c r="I6385" s="7" t="n">
        <f aca="false">YEAR(B6385)</f>
        <v>2017</v>
      </c>
      <c r="J6385" s="0" t="str">
        <f aca="false">I6385&amp;"-Q"&amp;ROUNDUP(MONTH(B6385)/3,0)</f>
        <v>2017-Q1</v>
      </c>
    </row>
    <row r="6386" customFormat="false" ht="15" hidden="false" customHeight="false" outlineLevel="0" collapsed="false">
      <c r="A6386" s="0" t="s">
        <v>3271</v>
      </c>
      <c r="B6386" s="6" t="n">
        <v>42750</v>
      </c>
      <c r="C6386" s="7" t="s">
        <v>45</v>
      </c>
      <c r="D6386" s="7" t="s">
        <v>46</v>
      </c>
      <c r="E6386" s="7" t="s">
        <v>39</v>
      </c>
      <c r="F6386" s="0" t="n">
        <v>47.984</v>
      </c>
      <c r="G6386" s="0" t="n">
        <v>14.3952</v>
      </c>
      <c r="H6386" s="0" t="n">
        <v>0.2</v>
      </c>
      <c r="I6386" s="7" t="n">
        <f aca="false">YEAR(B6386)</f>
        <v>2017</v>
      </c>
      <c r="J6386" s="0" t="str">
        <f aca="false">I6386&amp;"-Q"&amp;ROUNDUP(MONTH(B6386)/3,0)</f>
        <v>2017-Q1</v>
      </c>
    </row>
    <row r="6387" customFormat="false" ht="15" hidden="false" customHeight="false" outlineLevel="0" collapsed="false">
      <c r="A6387" s="0" t="s">
        <v>3271</v>
      </c>
      <c r="B6387" s="6" t="n">
        <v>42750</v>
      </c>
      <c r="C6387" s="7" t="s">
        <v>45</v>
      </c>
      <c r="D6387" s="7" t="s">
        <v>46</v>
      </c>
      <c r="E6387" s="7" t="s">
        <v>39</v>
      </c>
      <c r="F6387" s="0" t="n">
        <v>62.592</v>
      </c>
      <c r="G6387" s="0" t="n">
        <v>13.3008</v>
      </c>
      <c r="H6387" s="0" t="n">
        <v>0.2</v>
      </c>
      <c r="I6387" s="7" t="n">
        <f aca="false">YEAR(B6387)</f>
        <v>2017</v>
      </c>
      <c r="J6387" s="0" t="str">
        <f aca="false">I6387&amp;"-Q"&amp;ROUNDUP(MONTH(B6387)/3,0)</f>
        <v>2017-Q1</v>
      </c>
    </row>
    <row r="6388" customFormat="false" ht="15" hidden="false" customHeight="false" outlineLevel="0" collapsed="false">
      <c r="A6388" s="0" t="s">
        <v>3271</v>
      </c>
      <c r="B6388" s="6" t="n">
        <v>42750</v>
      </c>
      <c r="C6388" s="7" t="s">
        <v>45</v>
      </c>
      <c r="D6388" s="7" t="s">
        <v>46</v>
      </c>
      <c r="E6388" s="7" t="s">
        <v>35</v>
      </c>
      <c r="F6388" s="0" t="n">
        <v>4.276</v>
      </c>
      <c r="G6388" s="0" t="n">
        <v>-6.6278</v>
      </c>
      <c r="H6388" s="0" t="n">
        <v>0.8</v>
      </c>
      <c r="I6388" s="7" t="n">
        <f aca="false">YEAR(B6388)</f>
        <v>2017</v>
      </c>
      <c r="J6388" s="0" t="str">
        <f aca="false">I6388&amp;"-Q"&amp;ROUNDUP(MONTH(B6388)/3,0)</f>
        <v>2017-Q1</v>
      </c>
    </row>
    <row r="6389" customFormat="false" ht="15" hidden="false" customHeight="false" outlineLevel="0" collapsed="false">
      <c r="A6389" s="0" t="s">
        <v>3272</v>
      </c>
      <c r="B6389" s="6" t="n">
        <v>41669</v>
      </c>
      <c r="C6389" s="7" t="s">
        <v>45</v>
      </c>
      <c r="D6389" s="7" t="s">
        <v>70</v>
      </c>
      <c r="E6389" s="7" t="s">
        <v>35</v>
      </c>
      <c r="F6389" s="0" t="n">
        <v>10.56</v>
      </c>
      <c r="G6389" s="0" t="n">
        <v>4.752</v>
      </c>
      <c r="H6389" s="0" t="n">
        <v>0</v>
      </c>
      <c r="I6389" s="7" t="n">
        <f aca="false">YEAR(B6389)</f>
        <v>2014</v>
      </c>
      <c r="J6389" s="0" t="str">
        <f aca="false">I6389&amp;"-Q"&amp;ROUNDUP(MONTH(B6389)/3,0)</f>
        <v>2014-Q1</v>
      </c>
    </row>
    <row r="6390" customFormat="false" ht="15" hidden="false" customHeight="false" outlineLevel="0" collapsed="false">
      <c r="A6390" s="0" t="s">
        <v>3272</v>
      </c>
      <c r="B6390" s="6" t="n">
        <v>41669</v>
      </c>
      <c r="C6390" s="7" t="s">
        <v>45</v>
      </c>
      <c r="D6390" s="7" t="s">
        <v>70</v>
      </c>
      <c r="E6390" s="7" t="s">
        <v>35</v>
      </c>
      <c r="F6390" s="0" t="n">
        <v>229.94</v>
      </c>
      <c r="G6390" s="0" t="n">
        <v>6.8982</v>
      </c>
      <c r="H6390" s="0" t="n">
        <v>0</v>
      </c>
      <c r="I6390" s="7" t="n">
        <f aca="false">YEAR(B6390)</f>
        <v>2014</v>
      </c>
      <c r="J6390" s="0" t="str">
        <f aca="false">I6390&amp;"-Q"&amp;ROUNDUP(MONTH(B6390)/3,0)</f>
        <v>2014-Q1</v>
      </c>
    </row>
    <row r="6391" customFormat="false" ht="15" hidden="false" customHeight="false" outlineLevel="0" collapsed="false">
      <c r="A6391" s="0" t="s">
        <v>3273</v>
      </c>
      <c r="B6391" s="6" t="n">
        <v>42042</v>
      </c>
      <c r="C6391" s="7" t="s">
        <v>29</v>
      </c>
      <c r="D6391" s="7" t="s">
        <v>83</v>
      </c>
      <c r="E6391" s="7" t="s">
        <v>35</v>
      </c>
      <c r="F6391" s="0" t="n">
        <v>311.15</v>
      </c>
      <c r="G6391" s="0" t="n">
        <v>146.2405</v>
      </c>
      <c r="H6391" s="0" t="n">
        <v>0</v>
      </c>
      <c r="I6391" s="7" t="n">
        <f aca="false">YEAR(B6391)</f>
        <v>2015</v>
      </c>
      <c r="J6391" s="0" t="str">
        <f aca="false">I6391&amp;"-Q"&amp;ROUNDUP(MONTH(B6391)/3,0)</f>
        <v>2015-Q1</v>
      </c>
    </row>
    <row r="6392" customFormat="false" ht="15" hidden="false" customHeight="false" outlineLevel="0" collapsed="false">
      <c r="A6392" s="0" t="s">
        <v>3273</v>
      </c>
      <c r="B6392" s="6" t="n">
        <v>42042</v>
      </c>
      <c r="C6392" s="7" t="s">
        <v>29</v>
      </c>
      <c r="D6392" s="7" t="s">
        <v>83</v>
      </c>
      <c r="E6392" s="7" t="s">
        <v>35</v>
      </c>
      <c r="F6392" s="0" t="n">
        <v>12.96</v>
      </c>
      <c r="G6392" s="0" t="n">
        <v>6.3504</v>
      </c>
      <c r="H6392" s="0" t="n">
        <v>0</v>
      </c>
      <c r="I6392" s="7" t="n">
        <f aca="false">YEAR(B6392)</f>
        <v>2015</v>
      </c>
      <c r="J6392" s="0" t="str">
        <f aca="false">I6392&amp;"-Q"&amp;ROUNDUP(MONTH(B6392)/3,0)</f>
        <v>2015-Q1</v>
      </c>
    </row>
    <row r="6393" customFormat="false" ht="15" hidden="false" customHeight="false" outlineLevel="0" collapsed="false">
      <c r="A6393" s="0" t="s">
        <v>3274</v>
      </c>
      <c r="B6393" s="6" t="n">
        <v>42718</v>
      </c>
      <c r="C6393" s="7" t="s">
        <v>55</v>
      </c>
      <c r="D6393" s="7" t="s">
        <v>76</v>
      </c>
      <c r="E6393" s="7" t="s">
        <v>35</v>
      </c>
      <c r="F6393" s="0" t="n">
        <v>14.62</v>
      </c>
      <c r="G6393" s="0" t="n">
        <v>6.7252</v>
      </c>
      <c r="H6393" s="0" t="n">
        <v>0</v>
      </c>
      <c r="I6393" s="7" t="n">
        <f aca="false">YEAR(B6393)</f>
        <v>2016</v>
      </c>
      <c r="J6393" s="0" t="str">
        <f aca="false">I6393&amp;"-Q"&amp;ROUNDUP(MONTH(B6393)/3,0)</f>
        <v>2016-Q4</v>
      </c>
    </row>
    <row r="6394" customFormat="false" ht="15" hidden="false" customHeight="false" outlineLevel="0" collapsed="false">
      <c r="A6394" s="0" t="s">
        <v>3274</v>
      </c>
      <c r="B6394" s="6" t="n">
        <v>42718</v>
      </c>
      <c r="C6394" s="7" t="s">
        <v>55</v>
      </c>
      <c r="D6394" s="7" t="s">
        <v>76</v>
      </c>
      <c r="E6394" s="7" t="s">
        <v>35</v>
      </c>
      <c r="F6394" s="0" t="n">
        <v>5.76</v>
      </c>
      <c r="G6394" s="0" t="n">
        <v>2.8224</v>
      </c>
      <c r="H6394" s="0" t="n">
        <v>0</v>
      </c>
      <c r="I6394" s="7" t="n">
        <f aca="false">YEAR(B6394)</f>
        <v>2016</v>
      </c>
      <c r="J6394" s="0" t="str">
        <f aca="false">I6394&amp;"-Q"&amp;ROUNDUP(MONTH(B6394)/3,0)</f>
        <v>2016-Q4</v>
      </c>
    </row>
    <row r="6395" customFormat="false" ht="15" hidden="false" customHeight="false" outlineLevel="0" collapsed="false">
      <c r="A6395" s="0" t="s">
        <v>3274</v>
      </c>
      <c r="B6395" s="6" t="n">
        <v>42718</v>
      </c>
      <c r="C6395" s="7" t="s">
        <v>55</v>
      </c>
      <c r="D6395" s="7" t="s">
        <v>76</v>
      </c>
      <c r="E6395" s="7" t="s">
        <v>35</v>
      </c>
      <c r="F6395" s="0" t="n">
        <v>21.48</v>
      </c>
      <c r="G6395" s="0" t="n">
        <v>10.5252</v>
      </c>
      <c r="H6395" s="0" t="n">
        <v>0</v>
      </c>
      <c r="I6395" s="7" t="n">
        <f aca="false">YEAR(B6395)</f>
        <v>2016</v>
      </c>
      <c r="J6395" s="0" t="str">
        <f aca="false">I6395&amp;"-Q"&amp;ROUNDUP(MONTH(B6395)/3,0)</f>
        <v>2016-Q4</v>
      </c>
    </row>
    <row r="6396" customFormat="false" ht="15" hidden="false" customHeight="false" outlineLevel="0" collapsed="false">
      <c r="A6396" s="0" t="s">
        <v>3274</v>
      </c>
      <c r="B6396" s="6" t="n">
        <v>42718</v>
      </c>
      <c r="C6396" s="7" t="s">
        <v>55</v>
      </c>
      <c r="D6396" s="7" t="s">
        <v>76</v>
      </c>
      <c r="E6396" s="7" t="s">
        <v>31</v>
      </c>
      <c r="F6396" s="0" t="n">
        <v>396.92</v>
      </c>
      <c r="G6396" s="0" t="n">
        <v>198.46</v>
      </c>
      <c r="H6396" s="0" t="n">
        <v>0</v>
      </c>
      <c r="I6396" s="7" t="n">
        <f aca="false">YEAR(B6396)</f>
        <v>2016</v>
      </c>
      <c r="J6396" s="0" t="str">
        <f aca="false">I6396&amp;"-Q"&amp;ROUNDUP(MONTH(B6396)/3,0)</f>
        <v>2016-Q4</v>
      </c>
    </row>
    <row r="6397" customFormat="false" ht="15" hidden="false" customHeight="false" outlineLevel="0" collapsed="false">
      <c r="A6397" s="0" t="s">
        <v>3274</v>
      </c>
      <c r="B6397" s="6" t="n">
        <v>42718</v>
      </c>
      <c r="C6397" s="7" t="s">
        <v>55</v>
      </c>
      <c r="D6397" s="7" t="s">
        <v>76</v>
      </c>
      <c r="E6397" s="7" t="s">
        <v>35</v>
      </c>
      <c r="F6397" s="0" t="n">
        <v>17.15</v>
      </c>
      <c r="G6397" s="0" t="n">
        <v>4.6305</v>
      </c>
      <c r="H6397" s="0" t="n">
        <v>0</v>
      </c>
      <c r="I6397" s="7" t="n">
        <f aca="false">YEAR(B6397)</f>
        <v>2016</v>
      </c>
      <c r="J6397" s="0" t="str">
        <f aca="false">I6397&amp;"-Q"&amp;ROUNDUP(MONTH(B6397)/3,0)</f>
        <v>2016-Q4</v>
      </c>
    </row>
    <row r="6398" customFormat="false" ht="15" hidden="false" customHeight="false" outlineLevel="0" collapsed="false">
      <c r="A6398" s="0" t="s">
        <v>3274</v>
      </c>
      <c r="B6398" s="6" t="n">
        <v>42718</v>
      </c>
      <c r="C6398" s="7" t="s">
        <v>55</v>
      </c>
      <c r="D6398" s="7" t="s">
        <v>76</v>
      </c>
      <c r="E6398" s="7" t="s">
        <v>35</v>
      </c>
      <c r="F6398" s="0" t="n">
        <v>23.12</v>
      </c>
      <c r="G6398" s="0" t="n">
        <v>7.803</v>
      </c>
      <c r="H6398" s="0" t="n">
        <v>0.2</v>
      </c>
      <c r="I6398" s="7" t="n">
        <f aca="false">YEAR(B6398)</f>
        <v>2016</v>
      </c>
      <c r="J6398" s="0" t="str">
        <f aca="false">I6398&amp;"-Q"&amp;ROUNDUP(MONTH(B6398)/3,0)</f>
        <v>2016-Q4</v>
      </c>
    </row>
    <row r="6399" customFormat="false" ht="15" hidden="false" customHeight="false" outlineLevel="0" collapsed="false">
      <c r="A6399" s="0" t="s">
        <v>3275</v>
      </c>
      <c r="B6399" s="6" t="n">
        <v>43039</v>
      </c>
      <c r="C6399" s="7" t="s">
        <v>45</v>
      </c>
      <c r="D6399" s="7" t="s">
        <v>46</v>
      </c>
      <c r="E6399" s="7" t="s">
        <v>35</v>
      </c>
      <c r="F6399" s="0" t="n">
        <v>5.248</v>
      </c>
      <c r="G6399" s="0" t="n">
        <v>0.5904</v>
      </c>
      <c r="H6399" s="0" t="n">
        <v>0.2</v>
      </c>
      <c r="I6399" s="7" t="n">
        <f aca="false">YEAR(B6399)</f>
        <v>2017</v>
      </c>
      <c r="J6399" s="0" t="str">
        <f aca="false">I6399&amp;"-Q"&amp;ROUNDUP(MONTH(B6399)/3,0)</f>
        <v>2017-Q4</v>
      </c>
    </row>
    <row r="6400" customFormat="false" ht="15" hidden="false" customHeight="false" outlineLevel="0" collapsed="false">
      <c r="A6400" s="0" t="s">
        <v>3276</v>
      </c>
      <c r="B6400" s="6" t="n">
        <v>42953</v>
      </c>
      <c r="C6400" s="7" t="s">
        <v>55</v>
      </c>
      <c r="D6400" s="7" t="s">
        <v>482</v>
      </c>
      <c r="E6400" s="7" t="s">
        <v>39</v>
      </c>
      <c r="F6400" s="0" t="n">
        <v>824.95</v>
      </c>
      <c r="G6400" s="0" t="n">
        <v>247.485</v>
      </c>
      <c r="H6400" s="0" t="n">
        <v>0</v>
      </c>
      <c r="I6400" s="7" t="n">
        <f aca="false">YEAR(B6400)</f>
        <v>2017</v>
      </c>
      <c r="J6400" s="0" t="str">
        <f aca="false">I6400&amp;"-Q"&amp;ROUNDUP(MONTH(B6400)/3,0)</f>
        <v>2017-Q3</v>
      </c>
    </row>
    <row r="6401" customFormat="false" ht="15" hidden="false" customHeight="false" outlineLevel="0" collapsed="false">
      <c r="A6401" s="0" t="s">
        <v>3276</v>
      </c>
      <c r="B6401" s="6" t="n">
        <v>42953</v>
      </c>
      <c r="C6401" s="7" t="s">
        <v>55</v>
      </c>
      <c r="D6401" s="7" t="s">
        <v>482</v>
      </c>
      <c r="E6401" s="7" t="s">
        <v>35</v>
      </c>
      <c r="F6401" s="0" t="n">
        <v>24.64</v>
      </c>
      <c r="G6401" s="0" t="n">
        <v>11.8272</v>
      </c>
      <c r="H6401" s="0" t="n">
        <v>0</v>
      </c>
      <c r="I6401" s="7" t="n">
        <f aca="false">YEAR(B6401)</f>
        <v>2017</v>
      </c>
      <c r="J6401" s="0" t="str">
        <f aca="false">I6401&amp;"-Q"&amp;ROUNDUP(MONTH(B6401)/3,0)</f>
        <v>2017-Q3</v>
      </c>
    </row>
    <row r="6402" customFormat="false" ht="15" hidden="false" customHeight="false" outlineLevel="0" collapsed="false">
      <c r="A6402" s="0" t="s">
        <v>3276</v>
      </c>
      <c r="B6402" s="6" t="n">
        <v>42953</v>
      </c>
      <c r="C6402" s="7" t="s">
        <v>55</v>
      </c>
      <c r="D6402" s="7" t="s">
        <v>482</v>
      </c>
      <c r="E6402" s="7" t="s">
        <v>35</v>
      </c>
      <c r="F6402" s="0" t="n">
        <v>227.88</v>
      </c>
      <c r="G6402" s="0" t="n">
        <v>68.364</v>
      </c>
      <c r="H6402" s="0" t="n">
        <v>0</v>
      </c>
      <c r="I6402" s="7" t="n">
        <f aca="false">YEAR(B6402)</f>
        <v>2017</v>
      </c>
      <c r="J6402" s="0" t="str">
        <f aca="false">I6402&amp;"-Q"&amp;ROUNDUP(MONTH(B6402)/3,0)</f>
        <v>2017-Q3</v>
      </c>
    </row>
    <row r="6403" customFormat="false" ht="15" hidden="false" customHeight="false" outlineLevel="0" collapsed="false">
      <c r="A6403" s="0" t="s">
        <v>3277</v>
      </c>
      <c r="B6403" s="6" t="n">
        <v>42885</v>
      </c>
      <c r="C6403" s="7" t="s">
        <v>29</v>
      </c>
      <c r="D6403" s="7" t="s">
        <v>152</v>
      </c>
      <c r="E6403" s="7" t="s">
        <v>31</v>
      </c>
      <c r="F6403" s="0" t="n">
        <v>241.96</v>
      </c>
      <c r="G6403" s="0" t="n">
        <v>33.8744</v>
      </c>
      <c r="H6403" s="0" t="n">
        <v>0</v>
      </c>
      <c r="I6403" s="7" t="n">
        <f aca="false">YEAR(B6403)</f>
        <v>2017</v>
      </c>
      <c r="J6403" s="0" t="str">
        <f aca="false">I6403&amp;"-Q"&amp;ROUNDUP(MONTH(B6403)/3,0)</f>
        <v>2017-Q2</v>
      </c>
    </row>
    <row r="6404" customFormat="false" ht="15" hidden="false" customHeight="false" outlineLevel="0" collapsed="false">
      <c r="A6404" s="0" t="s">
        <v>3277</v>
      </c>
      <c r="B6404" s="6" t="n">
        <v>42885</v>
      </c>
      <c r="C6404" s="7" t="s">
        <v>29</v>
      </c>
      <c r="D6404" s="7" t="s">
        <v>152</v>
      </c>
      <c r="E6404" s="7" t="s">
        <v>35</v>
      </c>
      <c r="F6404" s="0" t="n">
        <v>3.89</v>
      </c>
      <c r="G6404" s="0" t="n">
        <v>1.8672</v>
      </c>
      <c r="H6404" s="0" t="n">
        <v>0</v>
      </c>
      <c r="I6404" s="7" t="n">
        <f aca="false">YEAR(B6404)</f>
        <v>2017</v>
      </c>
      <c r="J6404" s="0" t="str">
        <f aca="false">I6404&amp;"-Q"&amp;ROUNDUP(MONTH(B6404)/3,0)</f>
        <v>2017-Q2</v>
      </c>
    </row>
    <row r="6405" customFormat="false" ht="15" hidden="false" customHeight="false" outlineLevel="0" collapsed="false">
      <c r="A6405" s="0" t="s">
        <v>3277</v>
      </c>
      <c r="B6405" s="6" t="n">
        <v>42885</v>
      </c>
      <c r="C6405" s="7" t="s">
        <v>29</v>
      </c>
      <c r="D6405" s="7" t="s">
        <v>152</v>
      </c>
      <c r="E6405" s="7" t="s">
        <v>31</v>
      </c>
      <c r="F6405" s="0" t="n">
        <v>8.01</v>
      </c>
      <c r="G6405" s="0" t="n">
        <v>3.0438</v>
      </c>
      <c r="H6405" s="0" t="n">
        <v>0</v>
      </c>
      <c r="I6405" s="7" t="n">
        <f aca="false">YEAR(B6405)</f>
        <v>2017</v>
      </c>
      <c r="J6405" s="0" t="str">
        <f aca="false">I6405&amp;"-Q"&amp;ROUNDUP(MONTH(B6405)/3,0)</f>
        <v>2017-Q2</v>
      </c>
    </row>
    <row r="6406" customFormat="false" ht="15" hidden="false" customHeight="false" outlineLevel="0" collapsed="false">
      <c r="A6406" s="0" t="s">
        <v>3278</v>
      </c>
      <c r="B6406" s="6" t="n">
        <v>42338</v>
      </c>
      <c r="C6406" s="7" t="s">
        <v>29</v>
      </c>
      <c r="D6406" s="7" t="s">
        <v>41</v>
      </c>
      <c r="E6406" s="7" t="s">
        <v>39</v>
      </c>
      <c r="F6406" s="0" t="n">
        <v>177.48</v>
      </c>
      <c r="G6406" s="0" t="n">
        <v>19.9665</v>
      </c>
      <c r="H6406" s="0" t="n">
        <v>0.2</v>
      </c>
      <c r="I6406" s="7" t="n">
        <f aca="false">YEAR(B6406)</f>
        <v>2015</v>
      </c>
      <c r="J6406" s="0" t="str">
        <f aca="false">I6406&amp;"-Q"&amp;ROUNDUP(MONTH(B6406)/3,0)</f>
        <v>2015-Q4</v>
      </c>
    </row>
    <row r="6407" customFormat="false" ht="15" hidden="false" customHeight="false" outlineLevel="0" collapsed="false">
      <c r="A6407" s="0" t="s">
        <v>3279</v>
      </c>
      <c r="B6407" s="6" t="n">
        <v>42978</v>
      </c>
      <c r="C6407" s="7" t="s">
        <v>33</v>
      </c>
      <c r="D6407" s="7" t="s">
        <v>43</v>
      </c>
      <c r="E6407" s="7" t="s">
        <v>31</v>
      </c>
      <c r="F6407" s="0" t="n">
        <v>569.568</v>
      </c>
      <c r="G6407" s="0" t="n">
        <v>7.1196</v>
      </c>
      <c r="H6407" s="0" t="n">
        <v>0.2</v>
      </c>
      <c r="I6407" s="7" t="n">
        <f aca="false">YEAR(B6407)</f>
        <v>2017</v>
      </c>
      <c r="J6407" s="0" t="str">
        <f aca="false">I6407&amp;"-Q"&amp;ROUNDUP(MONTH(B6407)/3,0)</f>
        <v>2017-Q3</v>
      </c>
    </row>
    <row r="6408" customFormat="false" ht="15" hidden="false" customHeight="false" outlineLevel="0" collapsed="false">
      <c r="A6408" s="0" t="s">
        <v>3279</v>
      </c>
      <c r="B6408" s="6" t="n">
        <v>42978</v>
      </c>
      <c r="C6408" s="7" t="s">
        <v>33</v>
      </c>
      <c r="D6408" s="7" t="s">
        <v>43</v>
      </c>
      <c r="E6408" s="7" t="s">
        <v>35</v>
      </c>
      <c r="F6408" s="0" t="n">
        <v>149.73</v>
      </c>
      <c r="G6408" s="0" t="n">
        <v>43.4217</v>
      </c>
      <c r="H6408" s="0" t="n">
        <v>0</v>
      </c>
      <c r="I6408" s="7" t="n">
        <f aca="false">YEAR(B6408)</f>
        <v>2017</v>
      </c>
      <c r="J6408" s="0" t="str">
        <f aca="false">I6408&amp;"-Q"&amp;ROUNDUP(MONTH(B6408)/3,0)</f>
        <v>2017-Q3</v>
      </c>
    </row>
    <row r="6409" customFormat="false" ht="15" hidden="false" customHeight="false" outlineLevel="0" collapsed="false">
      <c r="A6409" s="0" t="s">
        <v>3280</v>
      </c>
      <c r="B6409" s="6" t="n">
        <v>42869</v>
      </c>
      <c r="C6409" s="7" t="s">
        <v>45</v>
      </c>
      <c r="D6409" s="7" t="s">
        <v>46</v>
      </c>
      <c r="E6409" s="7" t="s">
        <v>31</v>
      </c>
      <c r="F6409" s="0" t="n">
        <v>899.43</v>
      </c>
      <c r="G6409" s="0" t="n">
        <v>-12.849</v>
      </c>
      <c r="H6409" s="0" t="n">
        <v>0.3</v>
      </c>
      <c r="I6409" s="7" t="n">
        <f aca="false">YEAR(B6409)</f>
        <v>2017</v>
      </c>
      <c r="J6409" s="0" t="str">
        <f aca="false">I6409&amp;"-Q"&amp;ROUNDUP(MONTH(B6409)/3,0)</f>
        <v>2017-Q2</v>
      </c>
    </row>
    <row r="6410" customFormat="false" ht="15" hidden="false" customHeight="false" outlineLevel="0" collapsed="false">
      <c r="A6410" s="0" t="s">
        <v>3280</v>
      </c>
      <c r="B6410" s="6" t="n">
        <v>42869</v>
      </c>
      <c r="C6410" s="7" t="s">
        <v>45</v>
      </c>
      <c r="D6410" s="7" t="s">
        <v>46</v>
      </c>
      <c r="E6410" s="7" t="s">
        <v>35</v>
      </c>
      <c r="F6410" s="0" t="n">
        <v>46.2</v>
      </c>
      <c r="G6410" s="0" t="n">
        <v>5.775</v>
      </c>
      <c r="H6410" s="0" t="n">
        <v>0.2</v>
      </c>
      <c r="I6410" s="7" t="n">
        <f aca="false">YEAR(B6410)</f>
        <v>2017</v>
      </c>
      <c r="J6410" s="0" t="str">
        <f aca="false">I6410&amp;"-Q"&amp;ROUNDUP(MONTH(B6410)/3,0)</f>
        <v>2017-Q2</v>
      </c>
    </row>
    <row r="6411" customFormat="false" ht="15" hidden="false" customHeight="false" outlineLevel="0" collapsed="false">
      <c r="A6411" s="0" t="s">
        <v>3280</v>
      </c>
      <c r="B6411" s="6" t="n">
        <v>42869</v>
      </c>
      <c r="C6411" s="7" t="s">
        <v>45</v>
      </c>
      <c r="D6411" s="7" t="s">
        <v>46</v>
      </c>
      <c r="E6411" s="7" t="s">
        <v>35</v>
      </c>
      <c r="F6411" s="0" t="n">
        <v>47.952</v>
      </c>
      <c r="G6411" s="0" t="n">
        <v>16.1838</v>
      </c>
      <c r="H6411" s="0" t="n">
        <v>0.2</v>
      </c>
      <c r="I6411" s="7" t="n">
        <f aca="false">YEAR(B6411)</f>
        <v>2017</v>
      </c>
      <c r="J6411" s="0" t="str">
        <f aca="false">I6411&amp;"-Q"&amp;ROUNDUP(MONTH(B6411)/3,0)</f>
        <v>2017-Q2</v>
      </c>
    </row>
    <row r="6412" customFormat="false" ht="15" hidden="false" customHeight="false" outlineLevel="0" collapsed="false">
      <c r="A6412" s="0" t="s">
        <v>3280</v>
      </c>
      <c r="B6412" s="6" t="n">
        <v>42869</v>
      </c>
      <c r="C6412" s="7" t="s">
        <v>45</v>
      </c>
      <c r="D6412" s="7" t="s">
        <v>46</v>
      </c>
      <c r="E6412" s="7" t="s">
        <v>39</v>
      </c>
      <c r="F6412" s="0" t="n">
        <v>7.992</v>
      </c>
      <c r="G6412" s="0" t="n">
        <v>0.6993</v>
      </c>
      <c r="H6412" s="0" t="n">
        <v>0.2</v>
      </c>
      <c r="I6412" s="7" t="n">
        <f aca="false">YEAR(B6412)</f>
        <v>2017</v>
      </c>
      <c r="J6412" s="0" t="str">
        <f aca="false">I6412&amp;"-Q"&amp;ROUNDUP(MONTH(B6412)/3,0)</f>
        <v>2017-Q2</v>
      </c>
    </row>
    <row r="6413" customFormat="false" ht="15" hidden="false" customHeight="false" outlineLevel="0" collapsed="false">
      <c r="A6413" s="0" t="s">
        <v>3280</v>
      </c>
      <c r="B6413" s="6" t="n">
        <v>42869</v>
      </c>
      <c r="C6413" s="7" t="s">
        <v>45</v>
      </c>
      <c r="D6413" s="7" t="s">
        <v>46</v>
      </c>
      <c r="E6413" s="7" t="s">
        <v>35</v>
      </c>
      <c r="F6413" s="0" t="n">
        <v>76.864</v>
      </c>
      <c r="G6413" s="0" t="n">
        <v>26.9024</v>
      </c>
      <c r="H6413" s="0" t="n">
        <v>0.2</v>
      </c>
      <c r="I6413" s="7" t="n">
        <f aca="false">YEAR(B6413)</f>
        <v>2017</v>
      </c>
      <c r="J6413" s="0" t="str">
        <f aca="false">I6413&amp;"-Q"&amp;ROUNDUP(MONTH(B6413)/3,0)</f>
        <v>2017-Q2</v>
      </c>
    </row>
    <row r="6414" customFormat="false" ht="15" hidden="false" customHeight="false" outlineLevel="0" collapsed="false">
      <c r="A6414" s="0" t="s">
        <v>3281</v>
      </c>
      <c r="B6414" s="6" t="n">
        <v>42964</v>
      </c>
      <c r="C6414" s="7" t="s">
        <v>29</v>
      </c>
      <c r="D6414" s="7" t="s">
        <v>30</v>
      </c>
      <c r="E6414" s="7" t="s">
        <v>35</v>
      </c>
      <c r="F6414" s="0" t="n">
        <v>102.93</v>
      </c>
      <c r="G6414" s="0" t="n">
        <v>48.3771</v>
      </c>
      <c r="H6414" s="0" t="n">
        <v>0</v>
      </c>
      <c r="I6414" s="7" t="n">
        <f aca="false">YEAR(B6414)</f>
        <v>2017</v>
      </c>
      <c r="J6414" s="0" t="str">
        <f aca="false">I6414&amp;"-Q"&amp;ROUNDUP(MONTH(B6414)/3,0)</f>
        <v>2017-Q3</v>
      </c>
    </row>
    <row r="6415" customFormat="false" ht="15" hidden="false" customHeight="false" outlineLevel="0" collapsed="false">
      <c r="A6415" s="0" t="s">
        <v>3281</v>
      </c>
      <c r="B6415" s="6" t="n">
        <v>42964</v>
      </c>
      <c r="C6415" s="7" t="s">
        <v>29</v>
      </c>
      <c r="D6415" s="7" t="s">
        <v>30</v>
      </c>
      <c r="E6415" s="7" t="s">
        <v>39</v>
      </c>
      <c r="F6415" s="0" t="n">
        <v>98.16</v>
      </c>
      <c r="G6415" s="0" t="n">
        <v>9.816</v>
      </c>
      <c r="H6415" s="0" t="n">
        <v>0</v>
      </c>
      <c r="I6415" s="7" t="n">
        <f aca="false">YEAR(B6415)</f>
        <v>2017</v>
      </c>
      <c r="J6415" s="0" t="str">
        <f aca="false">I6415&amp;"-Q"&amp;ROUNDUP(MONTH(B6415)/3,0)</f>
        <v>2017-Q3</v>
      </c>
    </row>
    <row r="6416" customFormat="false" ht="15" hidden="false" customHeight="false" outlineLevel="0" collapsed="false">
      <c r="A6416" s="0" t="s">
        <v>3282</v>
      </c>
      <c r="B6416" s="6" t="n">
        <v>43049</v>
      </c>
      <c r="C6416" s="7" t="s">
        <v>29</v>
      </c>
      <c r="D6416" s="7" t="s">
        <v>37</v>
      </c>
      <c r="E6416" s="7" t="s">
        <v>35</v>
      </c>
      <c r="F6416" s="0" t="n">
        <v>11.52</v>
      </c>
      <c r="G6416" s="0" t="n">
        <v>-7.68</v>
      </c>
      <c r="H6416" s="0" t="n">
        <v>0.7</v>
      </c>
      <c r="I6416" s="7" t="n">
        <f aca="false">YEAR(B6416)</f>
        <v>2017</v>
      </c>
      <c r="J6416" s="0" t="str">
        <f aca="false">I6416&amp;"-Q"&amp;ROUNDUP(MONTH(B6416)/3,0)</f>
        <v>2017-Q4</v>
      </c>
    </row>
    <row r="6417" customFormat="false" ht="15" hidden="false" customHeight="false" outlineLevel="0" collapsed="false">
      <c r="A6417" s="0" t="s">
        <v>3283</v>
      </c>
      <c r="B6417" s="6" t="n">
        <v>42968</v>
      </c>
      <c r="C6417" s="7" t="s">
        <v>33</v>
      </c>
      <c r="D6417" s="7" t="s">
        <v>81</v>
      </c>
      <c r="E6417" s="7" t="s">
        <v>35</v>
      </c>
      <c r="F6417" s="0" t="n">
        <v>83.88</v>
      </c>
      <c r="G6417" s="0" t="n">
        <v>29.358</v>
      </c>
      <c r="H6417" s="0" t="n">
        <v>0.2</v>
      </c>
      <c r="I6417" s="7" t="n">
        <f aca="false">YEAR(B6417)</f>
        <v>2017</v>
      </c>
      <c r="J6417" s="0" t="str">
        <f aca="false">I6417&amp;"-Q"&amp;ROUNDUP(MONTH(B6417)/3,0)</f>
        <v>2017-Q3</v>
      </c>
    </row>
    <row r="6418" customFormat="false" ht="15" hidden="false" customHeight="false" outlineLevel="0" collapsed="false">
      <c r="A6418" s="0" t="s">
        <v>3284</v>
      </c>
      <c r="B6418" s="6" t="n">
        <v>42437</v>
      </c>
      <c r="C6418" s="7" t="s">
        <v>55</v>
      </c>
      <c r="D6418" s="7" t="s">
        <v>56</v>
      </c>
      <c r="E6418" s="7" t="s">
        <v>39</v>
      </c>
      <c r="F6418" s="0" t="n">
        <v>108.576</v>
      </c>
      <c r="G6418" s="0" t="n">
        <v>-25.3344</v>
      </c>
      <c r="H6418" s="0" t="n">
        <v>0.4</v>
      </c>
      <c r="I6418" s="7" t="n">
        <f aca="false">YEAR(B6418)</f>
        <v>2016</v>
      </c>
      <c r="J6418" s="0" t="str">
        <f aca="false">I6418&amp;"-Q"&amp;ROUNDUP(MONTH(B6418)/3,0)</f>
        <v>2016-Q1</v>
      </c>
    </row>
    <row r="6419" customFormat="false" ht="15" hidden="false" customHeight="false" outlineLevel="0" collapsed="false">
      <c r="A6419" s="0" t="s">
        <v>3284</v>
      </c>
      <c r="B6419" s="6" t="n">
        <v>42437</v>
      </c>
      <c r="C6419" s="7" t="s">
        <v>55</v>
      </c>
      <c r="D6419" s="7" t="s">
        <v>56</v>
      </c>
      <c r="E6419" s="7" t="s">
        <v>35</v>
      </c>
      <c r="F6419" s="0" t="n">
        <v>5.984</v>
      </c>
      <c r="G6419" s="0" t="n">
        <v>-1.3464</v>
      </c>
      <c r="H6419" s="0" t="n">
        <v>0.2</v>
      </c>
      <c r="I6419" s="7" t="n">
        <f aca="false">YEAR(B6419)</f>
        <v>2016</v>
      </c>
      <c r="J6419" s="0" t="str">
        <f aca="false">I6419&amp;"-Q"&amp;ROUNDUP(MONTH(B6419)/3,0)</f>
        <v>2016-Q1</v>
      </c>
    </row>
    <row r="6420" customFormat="false" ht="15" hidden="false" customHeight="false" outlineLevel="0" collapsed="false">
      <c r="A6420" s="0" t="s">
        <v>3285</v>
      </c>
      <c r="B6420" s="6" t="n">
        <v>42674</v>
      </c>
      <c r="C6420" s="7" t="s">
        <v>45</v>
      </c>
      <c r="D6420" s="7" t="s">
        <v>138</v>
      </c>
      <c r="E6420" s="7" t="s">
        <v>35</v>
      </c>
      <c r="F6420" s="0" t="n">
        <v>21.96</v>
      </c>
      <c r="G6420" s="0" t="n">
        <v>6.1488</v>
      </c>
      <c r="H6420" s="0" t="n">
        <v>0</v>
      </c>
      <c r="I6420" s="7" t="n">
        <f aca="false">YEAR(B6420)</f>
        <v>2016</v>
      </c>
      <c r="J6420" s="0" t="str">
        <f aca="false">I6420&amp;"-Q"&amp;ROUNDUP(MONTH(B6420)/3,0)</f>
        <v>2016-Q4</v>
      </c>
    </row>
    <row r="6421" customFormat="false" ht="15" hidden="false" customHeight="false" outlineLevel="0" collapsed="false">
      <c r="A6421" s="0" t="s">
        <v>3285</v>
      </c>
      <c r="B6421" s="6" t="n">
        <v>42674</v>
      </c>
      <c r="C6421" s="7" t="s">
        <v>45</v>
      </c>
      <c r="D6421" s="7" t="s">
        <v>138</v>
      </c>
      <c r="E6421" s="7" t="s">
        <v>31</v>
      </c>
      <c r="F6421" s="0" t="n">
        <v>368.97</v>
      </c>
      <c r="G6421" s="0" t="n">
        <v>81.1734</v>
      </c>
      <c r="H6421" s="0" t="n">
        <v>0</v>
      </c>
      <c r="I6421" s="7" t="n">
        <f aca="false">YEAR(B6421)</f>
        <v>2016</v>
      </c>
      <c r="J6421" s="0" t="str">
        <f aca="false">I6421&amp;"-Q"&amp;ROUNDUP(MONTH(B6421)/3,0)</f>
        <v>2016-Q4</v>
      </c>
    </row>
    <row r="6422" customFormat="false" ht="15" hidden="false" customHeight="false" outlineLevel="0" collapsed="false">
      <c r="A6422" s="0" t="s">
        <v>3285</v>
      </c>
      <c r="B6422" s="6" t="n">
        <v>42674</v>
      </c>
      <c r="C6422" s="7" t="s">
        <v>45</v>
      </c>
      <c r="D6422" s="7" t="s">
        <v>138</v>
      </c>
      <c r="E6422" s="7" t="s">
        <v>35</v>
      </c>
      <c r="F6422" s="0" t="n">
        <v>12.39</v>
      </c>
      <c r="G6422" s="0" t="n">
        <v>3.4692</v>
      </c>
      <c r="H6422" s="0" t="n">
        <v>0</v>
      </c>
      <c r="I6422" s="7" t="n">
        <f aca="false">YEAR(B6422)</f>
        <v>2016</v>
      </c>
      <c r="J6422" s="0" t="str">
        <f aca="false">I6422&amp;"-Q"&amp;ROUNDUP(MONTH(B6422)/3,0)</f>
        <v>2016-Q4</v>
      </c>
    </row>
    <row r="6423" customFormat="false" ht="15" hidden="false" customHeight="false" outlineLevel="0" collapsed="false">
      <c r="A6423" s="0" t="s">
        <v>3285</v>
      </c>
      <c r="B6423" s="6" t="n">
        <v>42674</v>
      </c>
      <c r="C6423" s="7" t="s">
        <v>45</v>
      </c>
      <c r="D6423" s="7" t="s">
        <v>138</v>
      </c>
      <c r="E6423" s="7" t="s">
        <v>35</v>
      </c>
      <c r="F6423" s="0" t="n">
        <v>332.94</v>
      </c>
      <c r="G6423" s="0" t="n">
        <v>9.9882</v>
      </c>
      <c r="H6423" s="0" t="n">
        <v>0</v>
      </c>
      <c r="I6423" s="7" t="n">
        <f aca="false">YEAR(B6423)</f>
        <v>2016</v>
      </c>
      <c r="J6423" s="0" t="str">
        <f aca="false">I6423&amp;"-Q"&amp;ROUNDUP(MONTH(B6423)/3,0)</f>
        <v>2016-Q4</v>
      </c>
    </row>
    <row r="6424" customFormat="false" ht="15" hidden="false" customHeight="false" outlineLevel="0" collapsed="false">
      <c r="A6424" s="0" t="s">
        <v>3286</v>
      </c>
      <c r="B6424" s="6" t="n">
        <v>41846</v>
      </c>
      <c r="C6424" s="7" t="s">
        <v>33</v>
      </c>
      <c r="D6424" s="7" t="s">
        <v>50</v>
      </c>
      <c r="E6424" s="7" t="s">
        <v>39</v>
      </c>
      <c r="F6424" s="0" t="n">
        <v>111.93</v>
      </c>
      <c r="G6424" s="0" t="n">
        <v>34.6983</v>
      </c>
      <c r="H6424" s="0" t="n">
        <v>0</v>
      </c>
      <c r="I6424" s="7" t="n">
        <f aca="false">YEAR(B6424)</f>
        <v>2014</v>
      </c>
      <c r="J6424" s="0" t="str">
        <f aca="false">I6424&amp;"-Q"&amp;ROUNDUP(MONTH(B6424)/3,0)</f>
        <v>2014-Q3</v>
      </c>
    </row>
    <row r="6425" customFormat="false" ht="15" hidden="false" customHeight="false" outlineLevel="0" collapsed="false">
      <c r="A6425" s="0" t="s">
        <v>3287</v>
      </c>
      <c r="B6425" s="6" t="n">
        <v>42301</v>
      </c>
      <c r="C6425" s="7" t="s">
        <v>33</v>
      </c>
      <c r="D6425" s="7" t="s">
        <v>34</v>
      </c>
      <c r="E6425" s="7" t="s">
        <v>31</v>
      </c>
      <c r="F6425" s="0" t="n">
        <v>454.272</v>
      </c>
      <c r="G6425" s="0" t="n">
        <v>-73.8192</v>
      </c>
      <c r="H6425" s="0" t="n">
        <v>0.2</v>
      </c>
      <c r="I6425" s="7" t="n">
        <f aca="false">YEAR(B6425)</f>
        <v>2015</v>
      </c>
      <c r="J6425" s="0" t="str">
        <f aca="false">I6425&amp;"-Q"&amp;ROUNDUP(MONTH(B6425)/3,0)</f>
        <v>2015-Q4</v>
      </c>
    </row>
    <row r="6426" customFormat="false" ht="15" hidden="false" customHeight="false" outlineLevel="0" collapsed="false">
      <c r="A6426" s="0" t="s">
        <v>3288</v>
      </c>
      <c r="B6426" s="6" t="n">
        <v>42966</v>
      </c>
      <c r="C6426" s="7" t="s">
        <v>55</v>
      </c>
      <c r="D6426" s="7" t="s">
        <v>225</v>
      </c>
      <c r="E6426" s="7" t="s">
        <v>35</v>
      </c>
      <c r="F6426" s="0" t="n">
        <v>19.44</v>
      </c>
      <c r="G6426" s="0" t="n">
        <v>9.3312</v>
      </c>
      <c r="H6426" s="0" t="n">
        <v>0</v>
      </c>
      <c r="I6426" s="7" t="n">
        <f aca="false">YEAR(B6426)</f>
        <v>2017</v>
      </c>
      <c r="J6426" s="0" t="str">
        <f aca="false">I6426&amp;"-Q"&amp;ROUNDUP(MONTH(B6426)/3,0)</f>
        <v>2017-Q3</v>
      </c>
    </row>
    <row r="6427" customFormat="false" ht="15" hidden="false" customHeight="false" outlineLevel="0" collapsed="false">
      <c r="A6427" s="0" t="s">
        <v>3289</v>
      </c>
      <c r="B6427" s="6" t="n">
        <v>42513</v>
      </c>
      <c r="C6427" s="7" t="s">
        <v>55</v>
      </c>
      <c r="D6427" s="7" t="s">
        <v>56</v>
      </c>
      <c r="E6427" s="7" t="s">
        <v>39</v>
      </c>
      <c r="F6427" s="0" t="n">
        <v>8399.976</v>
      </c>
      <c r="G6427" s="0" t="n">
        <v>1119.9968</v>
      </c>
      <c r="H6427" s="0" t="n">
        <v>0.4</v>
      </c>
      <c r="I6427" s="7" t="n">
        <f aca="false">YEAR(B6427)</f>
        <v>2016</v>
      </c>
      <c r="J6427" s="0" t="str">
        <f aca="false">I6427&amp;"-Q"&amp;ROUNDUP(MONTH(B6427)/3,0)</f>
        <v>2016-Q2</v>
      </c>
    </row>
    <row r="6428" customFormat="false" ht="15" hidden="false" customHeight="false" outlineLevel="0" collapsed="false">
      <c r="A6428" s="0" t="s">
        <v>3289</v>
      </c>
      <c r="B6428" s="6" t="n">
        <v>42513</v>
      </c>
      <c r="C6428" s="7" t="s">
        <v>55</v>
      </c>
      <c r="D6428" s="7" t="s">
        <v>56</v>
      </c>
      <c r="E6428" s="7" t="s">
        <v>35</v>
      </c>
      <c r="F6428" s="0" t="n">
        <v>6.294</v>
      </c>
      <c r="G6428" s="0" t="n">
        <v>-4.196</v>
      </c>
      <c r="H6428" s="0" t="n">
        <v>0.7</v>
      </c>
      <c r="I6428" s="7" t="n">
        <f aca="false">YEAR(B6428)</f>
        <v>2016</v>
      </c>
      <c r="J6428" s="0" t="str">
        <f aca="false">I6428&amp;"-Q"&amp;ROUNDUP(MONTH(B6428)/3,0)</f>
        <v>2016-Q2</v>
      </c>
    </row>
    <row r="6429" customFormat="false" ht="15" hidden="false" customHeight="false" outlineLevel="0" collapsed="false">
      <c r="A6429" s="0" t="s">
        <v>3289</v>
      </c>
      <c r="B6429" s="6" t="n">
        <v>42513</v>
      </c>
      <c r="C6429" s="7" t="s">
        <v>55</v>
      </c>
      <c r="D6429" s="7" t="s">
        <v>56</v>
      </c>
      <c r="E6429" s="7" t="s">
        <v>35</v>
      </c>
      <c r="F6429" s="0" t="n">
        <v>10.368</v>
      </c>
      <c r="G6429" s="0" t="n">
        <v>3.6288</v>
      </c>
      <c r="H6429" s="0" t="n">
        <v>0.2</v>
      </c>
      <c r="I6429" s="7" t="n">
        <f aca="false">YEAR(B6429)</f>
        <v>2016</v>
      </c>
      <c r="J6429" s="0" t="str">
        <f aca="false">I6429&amp;"-Q"&amp;ROUNDUP(MONTH(B6429)/3,0)</f>
        <v>2016-Q2</v>
      </c>
    </row>
    <row r="6430" customFormat="false" ht="15" hidden="false" customHeight="false" outlineLevel="0" collapsed="false">
      <c r="A6430" s="0" t="s">
        <v>3289</v>
      </c>
      <c r="B6430" s="6" t="n">
        <v>42513</v>
      </c>
      <c r="C6430" s="7" t="s">
        <v>55</v>
      </c>
      <c r="D6430" s="7" t="s">
        <v>56</v>
      </c>
      <c r="E6430" s="7" t="s">
        <v>39</v>
      </c>
      <c r="F6430" s="0" t="n">
        <v>122.382</v>
      </c>
      <c r="G6430" s="0" t="n">
        <v>-24.4764</v>
      </c>
      <c r="H6430" s="0" t="n">
        <v>0.4</v>
      </c>
      <c r="I6430" s="7" t="n">
        <f aca="false">YEAR(B6430)</f>
        <v>2016</v>
      </c>
      <c r="J6430" s="0" t="str">
        <f aca="false">I6430&amp;"-Q"&amp;ROUNDUP(MONTH(B6430)/3,0)</f>
        <v>2016-Q2</v>
      </c>
    </row>
    <row r="6431" customFormat="false" ht="15" hidden="false" customHeight="false" outlineLevel="0" collapsed="false">
      <c r="A6431" s="0" t="s">
        <v>3290</v>
      </c>
      <c r="B6431" s="6" t="n">
        <v>41946</v>
      </c>
      <c r="C6431" s="7" t="s">
        <v>29</v>
      </c>
      <c r="D6431" s="7" t="s">
        <v>41</v>
      </c>
      <c r="E6431" s="7" t="s">
        <v>35</v>
      </c>
      <c r="F6431" s="0" t="n">
        <v>25.984</v>
      </c>
      <c r="G6431" s="0" t="n">
        <v>-1.624</v>
      </c>
      <c r="H6431" s="0" t="n">
        <v>0.2</v>
      </c>
      <c r="I6431" s="7" t="n">
        <f aca="false">YEAR(B6431)</f>
        <v>2014</v>
      </c>
      <c r="J6431" s="0" t="str">
        <f aca="false">I6431&amp;"-Q"&amp;ROUNDUP(MONTH(B6431)/3,0)</f>
        <v>2014-Q4</v>
      </c>
    </row>
    <row r="6432" customFormat="false" ht="15" hidden="false" customHeight="false" outlineLevel="0" collapsed="false">
      <c r="A6432" s="0" t="s">
        <v>3290</v>
      </c>
      <c r="B6432" s="6" t="n">
        <v>41946</v>
      </c>
      <c r="C6432" s="7" t="s">
        <v>29</v>
      </c>
      <c r="D6432" s="7" t="s">
        <v>41</v>
      </c>
      <c r="E6432" s="7" t="s">
        <v>31</v>
      </c>
      <c r="F6432" s="0" t="n">
        <v>945.036</v>
      </c>
      <c r="G6432" s="0" t="n">
        <v>-299.2614</v>
      </c>
      <c r="H6432" s="0" t="n">
        <v>0.4</v>
      </c>
      <c r="I6432" s="7" t="n">
        <f aca="false">YEAR(B6432)</f>
        <v>2014</v>
      </c>
      <c r="J6432" s="0" t="str">
        <f aca="false">I6432&amp;"-Q"&amp;ROUNDUP(MONTH(B6432)/3,0)</f>
        <v>2014-Q4</v>
      </c>
    </row>
    <row r="6433" customFormat="false" ht="15" hidden="false" customHeight="false" outlineLevel="0" collapsed="false">
      <c r="A6433" s="0" t="s">
        <v>3290</v>
      </c>
      <c r="B6433" s="6" t="n">
        <v>41946</v>
      </c>
      <c r="C6433" s="7" t="s">
        <v>29</v>
      </c>
      <c r="D6433" s="7" t="s">
        <v>41</v>
      </c>
      <c r="E6433" s="7" t="s">
        <v>35</v>
      </c>
      <c r="F6433" s="0" t="n">
        <v>14.301</v>
      </c>
      <c r="G6433" s="0" t="n">
        <v>-10.4874</v>
      </c>
      <c r="H6433" s="0" t="n">
        <v>0.7</v>
      </c>
      <c r="I6433" s="7" t="n">
        <f aca="false">YEAR(B6433)</f>
        <v>2014</v>
      </c>
      <c r="J6433" s="0" t="str">
        <f aca="false">I6433&amp;"-Q"&amp;ROUNDUP(MONTH(B6433)/3,0)</f>
        <v>2014-Q4</v>
      </c>
    </row>
    <row r="6434" customFormat="false" ht="15" hidden="false" customHeight="false" outlineLevel="0" collapsed="false">
      <c r="A6434" s="0" t="s">
        <v>3290</v>
      </c>
      <c r="B6434" s="6" t="n">
        <v>41946</v>
      </c>
      <c r="C6434" s="7" t="s">
        <v>29</v>
      </c>
      <c r="D6434" s="7" t="s">
        <v>41</v>
      </c>
      <c r="E6434" s="7" t="s">
        <v>31</v>
      </c>
      <c r="F6434" s="0" t="n">
        <v>410.352</v>
      </c>
      <c r="G6434" s="0" t="n">
        <v>-51.294</v>
      </c>
      <c r="H6434" s="0" t="n">
        <v>0.2</v>
      </c>
      <c r="I6434" s="7" t="n">
        <f aca="false">YEAR(B6434)</f>
        <v>2014</v>
      </c>
      <c r="J6434" s="0" t="str">
        <f aca="false">I6434&amp;"-Q"&amp;ROUNDUP(MONTH(B6434)/3,0)</f>
        <v>2014-Q4</v>
      </c>
    </row>
    <row r="6435" customFormat="false" ht="15" hidden="false" customHeight="false" outlineLevel="0" collapsed="false">
      <c r="A6435" s="0" t="s">
        <v>3291</v>
      </c>
      <c r="B6435" s="6" t="n">
        <v>42093</v>
      </c>
      <c r="C6435" s="7" t="s">
        <v>45</v>
      </c>
      <c r="D6435" s="7" t="s">
        <v>64</v>
      </c>
      <c r="E6435" s="7" t="s">
        <v>35</v>
      </c>
      <c r="F6435" s="0" t="n">
        <v>23.52</v>
      </c>
      <c r="G6435" s="0" t="n">
        <v>8.526</v>
      </c>
      <c r="H6435" s="0" t="n">
        <v>0.2</v>
      </c>
      <c r="I6435" s="7" t="n">
        <f aca="false">YEAR(B6435)</f>
        <v>2015</v>
      </c>
      <c r="J6435" s="0" t="str">
        <f aca="false">I6435&amp;"-Q"&amp;ROUNDUP(MONTH(B6435)/3,0)</f>
        <v>2015-Q1</v>
      </c>
    </row>
    <row r="6436" customFormat="false" ht="15" hidden="false" customHeight="false" outlineLevel="0" collapsed="false">
      <c r="A6436" s="0" t="s">
        <v>3291</v>
      </c>
      <c r="B6436" s="6" t="n">
        <v>42093</v>
      </c>
      <c r="C6436" s="7" t="s">
        <v>45</v>
      </c>
      <c r="D6436" s="7" t="s">
        <v>64</v>
      </c>
      <c r="E6436" s="7" t="s">
        <v>39</v>
      </c>
      <c r="F6436" s="0" t="n">
        <v>180.96</v>
      </c>
      <c r="G6436" s="0" t="n">
        <v>13.572</v>
      </c>
      <c r="H6436" s="0" t="n">
        <v>0.2</v>
      </c>
      <c r="I6436" s="7" t="n">
        <f aca="false">YEAR(B6436)</f>
        <v>2015</v>
      </c>
      <c r="J6436" s="0" t="str">
        <f aca="false">I6436&amp;"-Q"&amp;ROUNDUP(MONTH(B6436)/3,0)</f>
        <v>2015-Q1</v>
      </c>
    </row>
    <row r="6437" customFormat="false" ht="15" hidden="false" customHeight="false" outlineLevel="0" collapsed="false">
      <c r="A6437" s="0" t="s">
        <v>3292</v>
      </c>
      <c r="B6437" s="6" t="n">
        <v>42882</v>
      </c>
      <c r="C6437" s="7" t="s">
        <v>33</v>
      </c>
      <c r="D6437" s="7" t="s">
        <v>1599</v>
      </c>
      <c r="E6437" s="7" t="s">
        <v>31</v>
      </c>
      <c r="F6437" s="0" t="n">
        <v>35</v>
      </c>
      <c r="G6437" s="0" t="n">
        <v>14.7</v>
      </c>
      <c r="H6437" s="0" t="n">
        <v>0</v>
      </c>
      <c r="I6437" s="7" t="n">
        <f aca="false">YEAR(B6437)</f>
        <v>2017</v>
      </c>
      <c r="J6437" s="0" t="str">
        <f aca="false">I6437&amp;"-Q"&amp;ROUNDUP(MONTH(B6437)/3,0)</f>
        <v>2017-Q2</v>
      </c>
    </row>
    <row r="6438" customFormat="false" ht="15" hidden="false" customHeight="false" outlineLevel="0" collapsed="false">
      <c r="A6438" s="0" t="s">
        <v>3292</v>
      </c>
      <c r="B6438" s="6" t="n">
        <v>42882</v>
      </c>
      <c r="C6438" s="7" t="s">
        <v>33</v>
      </c>
      <c r="D6438" s="7" t="s">
        <v>1599</v>
      </c>
      <c r="E6438" s="7" t="s">
        <v>35</v>
      </c>
      <c r="F6438" s="0" t="n">
        <v>477.15</v>
      </c>
      <c r="G6438" s="0" t="n">
        <v>28.629</v>
      </c>
      <c r="H6438" s="0" t="n">
        <v>0</v>
      </c>
      <c r="I6438" s="7" t="n">
        <f aca="false">YEAR(B6438)</f>
        <v>2017</v>
      </c>
      <c r="J6438" s="0" t="str">
        <f aca="false">I6438&amp;"-Q"&amp;ROUNDUP(MONTH(B6438)/3,0)</f>
        <v>2017-Q2</v>
      </c>
    </row>
    <row r="6439" customFormat="false" ht="15" hidden="false" customHeight="false" outlineLevel="0" collapsed="false">
      <c r="A6439" s="0" t="s">
        <v>3292</v>
      </c>
      <c r="B6439" s="6" t="n">
        <v>42882</v>
      </c>
      <c r="C6439" s="7" t="s">
        <v>33</v>
      </c>
      <c r="D6439" s="7" t="s">
        <v>1599</v>
      </c>
      <c r="E6439" s="7" t="s">
        <v>39</v>
      </c>
      <c r="F6439" s="0" t="n">
        <v>302.376</v>
      </c>
      <c r="G6439" s="0" t="n">
        <v>22.6782</v>
      </c>
      <c r="H6439" s="0" t="n">
        <v>0.2</v>
      </c>
      <c r="I6439" s="7" t="n">
        <f aca="false">YEAR(B6439)</f>
        <v>2017</v>
      </c>
      <c r="J6439" s="0" t="str">
        <f aca="false">I6439&amp;"-Q"&amp;ROUNDUP(MONTH(B6439)/3,0)</f>
        <v>2017-Q2</v>
      </c>
    </row>
    <row r="6440" customFormat="false" ht="15" hidden="false" customHeight="false" outlineLevel="0" collapsed="false">
      <c r="A6440" s="0" t="s">
        <v>3293</v>
      </c>
      <c r="B6440" s="6" t="n">
        <v>43083</v>
      </c>
      <c r="C6440" s="7" t="s">
        <v>45</v>
      </c>
      <c r="D6440" s="7" t="s">
        <v>46</v>
      </c>
      <c r="E6440" s="7" t="s">
        <v>31</v>
      </c>
      <c r="F6440" s="0" t="n">
        <v>974.988</v>
      </c>
      <c r="G6440" s="0" t="n">
        <v>-97.4988</v>
      </c>
      <c r="H6440" s="0" t="n">
        <v>0.3</v>
      </c>
      <c r="I6440" s="7" t="n">
        <f aca="false">YEAR(B6440)</f>
        <v>2017</v>
      </c>
      <c r="J6440" s="0" t="str">
        <f aca="false">I6440&amp;"-Q"&amp;ROUNDUP(MONTH(B6440)/3,0)</f>
        <v>2017-Q4</v>
      </c>
    </row>
    <row r="6441" customFormat="false" ht="15" hidden="false" customHeight="false" outlineLevel="0" collapsed="false">
      <c r="A6441" s="0" t="s">
        <v>3294</v>
      </c>
      <c r="B6441" s="6" t="n">
        <v>41916</v>
      </c>
      <c r="C6441" s="7" t="s">
        <v>55</v>
      </c>
      <c r="D6441" s="7" t="s">
        <v>76</v>
      </c>
      <c r="E6441" s="7" t="s">
        <v>31</v>
      </c>
      <c r="F6441" s="0" t="n">
        <v>589.41</v>
      </c>
      <c r="G6441" s="0" t="n">
        <v>-6.549</v>
      </c>
      <c r="H6441" s="0" t="n">
        <v>0.1</v>
      </c>
      <c r="I6441" s="7" t="n">
        <f aca="false">YEAR(B6441)</f>
        <v>2014</v>
      </c>
      <c r="J6441" s="0" t="str">
        <f aca="false">I6441&amp;"-Q"&amp;ROUNDUP(MONTH(B6441)/3,0)</f>
        <v>2014-Q4</v>
      </c>
    </row>
    <row r="6442" customFormat="false" ht="15" hidden="false" customHeight="false" outlineLevel="0" collapsed="false">
      <c r="A6442" s="0" t="s">
        <v>3295</v>
      </c>
      <c r="B6442" s="6" t="n">
        <v>42656</v>
      </c>
      <c r="C6442" s="7" t="s">
        <v>55</v>
      </c>
      <c r="D6442" s="7" t="s">
        <v>76</v>
      </c>
      <c r="E6442" s="7" t="s">
        <v>35</v>
      </c>
      <c r="F6442" s="0" t="n">
        <v>34.7</v>
      </c>
      <c r="G6442" s="0" t="n">
        <v>12.492</v>
      </c>
      <c r="H6442" s="0" t="n">
        <v>0</v>
      </c>
      <c r="I6442" s="7" t="n">
        <f aca="false">YEAR(B6442)</f>
        <v>2016</v>
      </c>
      <c r="J6442" s="0" t="str">
        <f aca="false">I6442&amp;"-Q"&amp;ROUNDUP(MONTH(B6442)/3,0)</f>
        <v>2016-Q4</v>
      </c>
    </row>
    <row r="6443" customFormat="false" ht="15" hidden="false" customHeight="false" outlineLevel="0" collapsed="false">
      <c r="A6443" s="0" t="s">
        <v>3295</v>
      </c>
      <c r="B6443" s="6" t="n">
        <v>42656</v>
      </c>
      <c r="C6443" s="7" t="s">
        <v>55</v>
      </c>
      <c r="D6443" s="7" t="s">
        <v>76</v>
      </c>
      <c r="E6443" s="7" t="s">
        <v>35</v>
      </c>
      <c r="F6443" s="0" t="n">
        <v>99.87</v>
      </c>
      <c r="G6443" s="0" t="n">
        <v>23.9688</v>
      </c>
      <c r="H6443" s="0" t="n">
        <v>0</v>
      </c>
      <c r="I6443" s="7" t="n">
        <f aca="false">YEAR(B6443)</f>
        <v>2016</v>
      </c>
      <c r="J6443" s="0" t="str">
        <f aca="false">I6443&amp;"-Q"&amp;ROUNDUP(MONTH(B6443)/3,0)</f>
        <v>2016-Q4</v>
      </c>
    </row>
    <row r="6444" customFormat="false" ht="15" hidden="false" customHeight="false" outlineLevel="0" collapsed="false">
      <c r="A6444" s="0" t="s">
        <v>3295</v>
      </c>
      <c r="B6444" s="6" t="n">
        <v>42656</v>
      </c>
      <c r="C6444" s="7" t="s">
        <v>55</v>
      </c>
      <c r="D6444" s="7" t="s">
        <v>76</v>
      </c>
      <c r="E6444" s="7" t="s">
        <v>35</v>
      </c>
      <c r="F6444" s="0" t="n">
        <v>37.94</v>
      </c>
      <c r="G6444" s="0" t="n">
        <v>18.2112</v>
      </c>
      <c r="H6444" s="0" t="n">
        <v>0</v>
      </c>
      <c r="I6444" s="7" t="n">
        <f aca="false">YEAR(B6444)</f>
        <v>2016</v>
      </c>
      <c r="J6444" s="0" t="str">
        <f aca="false">I6444&amp;"-Q"&amp;ROUNDUP(MONTH(B6444)/3,0)</f>
        <v>2016-Q4</v>
      </c>
    </row>
    <row r="6445" customFormat="false" ht="15" hidden="false" customHeight="false" outlineLevel="0" collapsed="false">
      <c r="A6445" s="0" t="s">
        <v>3295</v>
      </c>
      <c r="B6445" s="6" t="n">
        <v>42656</v>
      </c>
      <c r="C6445" s="7" t="s">
        <v>55</v>
      </c>
      <c r="D6445" s="7" t="s">
        <v>76</v>
      </c>
      <c r="E6445" s="7" t="s">
        <v>35</v>
      </c>
      <c r="F6445" s="0" t="n">
        <v>24.9</v>
      </c>
      <c r="G6445" s="0" t="n">
        <v>11.454</v>
      </c>
      <c r="H6445" s="0" t="n">
        <v>0</v>
      </c>
      <c r="I6445" s="7" t="n">
        <f aca="false">YEAR(B6445)</f>
        <v>2016</v>
      </c>
      <c r="J6445" s="0" t="str">
        <f aca="false">I6445&amp;"-Q"&amp;ROUNDUP(MONTH(B6445)/3,0)</f>
        <v>2016-Q4</v>
      </c>
    </row>
    <row r="6446" customFormat="false" ht="15" hidden="false" customHeight="false" outlineLevel="0" collapsed="false">
      <c r="A6446" s="0" t="s">
        <v>3295</v>
      </c>
      <c r="B6446" s="6" t="n">
        <v>42656</v>
      </c>
      <c r="C6446" s="7" t="s">
        <v>55</v>
      </c>
      <c r="D6446" s="7" t="s">
        <v>76</v>
      </c>
      <c r="E6446" s="7" t="s">
        <v>31</v>
      </c>
      <c r="F6446" s="0" t="n">
        <v>82.26</v>
      </c>
      <c r="G6446" s="0" t="n">
        <v>33.7266</v>
      </c>
      <c r="H6446" s="0" t="n">
        <v>0</v>
      </c>
      <c r="I6446" s="7" t="n">
        <f aca="false">YEAR(B6446)</f>
        <v>2016</v>
      </c>
      <c r="J6446" s="0" t="str">
        <f aca="false">I6446&amp;"-Q"&amp;ROUNDUP(MONTH(B6446)/3,0)</f>
        <v>2016-Q4</v>
      </c>
    </row>
    <row r="6447" customFormat="false" ht="15" hidden="false" customHeight="false" outlineLevel="0" collapsed="false">
      <c r="A6447" s="0" t="s">
        <v>3296</v>
      </c>
      <c r="B6447" s="6" t="n">
        <v>42068</v>
      </c>
      <c r="C6447" s="7" t="s">
        <v>45</v>
      </c>
      <c r="D6447" s="7" t="s">
        <v>64</v>
      </c>
      <c r="E6447" s="7" t="s">
        <v>35</v>
      </c>
      <c r="F6447" s="0" t="n">
        <v>7.104</v>
      </c>
      <c r="G6447" s="0" t="n">
        <v>2.4864</v>
      </c>
      <c r="H6447" s="0" t="n">
        <v>0.2</v>
      </c>
      <c r="I6447" s="7" t="n">
        <f aca="false">YEAR(B6447)</f>
        <v>2015</v>
      </c>
      <c r="J6447" s="0" t="str">
        <f aca="false">I6447&amp;"-Q"&amp;ROUNDUP(MONTH(B6447)/3,0)</f>
        <v>2015-Q1</v>
      </c>
    </row>
    <row r="6448" customFormat="false" ht="15" hidden="false" customHeight="false" outlineLevel="0" collapsed="false">
      <c r="A6448" s="0" t="s">
        <v>3297</v>
      </c>
      <c r="B6448" s="6" t="n">
        <v>42798</v>
      </c>
      <c r="C6448" s="7" t="s">
        <v>45</v>
      </c>
      <c r="D6448" s="7" t="s">
        <v>46</v>
      </c>
      <c r="E6448" s="7" t="s">
        <v>31</v>
      </c>
      <c r="F6448" s="0" t="n">
        <v>103.5</v>
      </c>
      <c r="G6448" s="0" t="n">
        <v>-77.625</v>
      </c>
      <c r="H6448" s="0" t="n">
        <v>0.6</v>
      </c>
      <c r="I6448" s="7" t="n">
        <f aca="false">YEAR(B6448)</f>
        <v>2017</v>
      </c>
      <c r="J6448" s="0" t="str">
        <f aca="false">I6448&amp;"-Q"&amp;ROUNDUP(MONTH(B6448)/3,0)</f>
        <v>2017-Q1</v>
      </c>
    </row>
    <row r="6449" customFormat="false" ht="15" hidden="false" customHeight="false" outlineLevel="0" collapsed="false">
      <c r="A6449" s="0" t="s">
        <v>3297</v>
      </c>
      <c r="B6449" s="6" t="n">
        <v>42798</v>
      </c>
      <c r="C6449" s="7" t="s">
        <v>45</v>
      </c>
      <c r="D6449" s="7" t="s">
        <v>46</v>
      </c>
      <c r="E6449" s="7" t="s">
        <v>35</v>
      </c>
      <c r="F6449" s="0" t="n">
        <v>2.464</v>
      </c>
      <c r="G6449" s="0" t="n">
        <v>0.8624</v>
      </c>
      <c r="H6449" s="0" t="n">
        <v>0.2</v>
      </c>
      <c r="I6449" s="7" t="n">
        <f aca="false">YEAR(B6449)</f>
        <v>2017</v>
      </c>
      <c r="J6449" s="0" t="str">
        <f aca="false">I6449&amp;"-Q"&amp;ROUNDUP(MONTH(B6449)/3,0)</f>
        <v>2017-Q1</v>
      </c>
    </row>
    <row r="6450" customFormat="false" ht="15" hidden="false" customHeight="false" outlineLevel="0" collapsed="false">
      <c r="A6450" s="0" t="s">
        <v>3297</v>
      </c>
      <c r="B6450" s="6" t="n">
        <v>42798</v>
      </c>
      <c r="C6450" s="7" t="s">
        <v>45</v>
      </c>
      <c r="D6450" s="7" t="s">
        <v>46</v>
      </c>
      <c r="E6450" s="7" t="s">
        <v>35</v>
      </c>
      <c r="F6450" s="0" t="n">
        <v>8.72</v>
      </c>
      <c r="G6450" s="0" t="n">
        <v>0.654</v>
      </c>
      <c r="H6450" s="0" t="n">
        <v>0.2</v>
      </c>
      <c r="I6450" s="7" t="n">
        <f aca="false">YEAR(B6450)</f>
        <v>2017</v>
      </c>
      <c r="J6450" s="0" t="str">
        <f aca="false">I6450&amp;"-Q"&amp;ROUNDUP(MONTH(B6450)/3,0)</f>
        <v>2017-Q1</v>
      </c>
    </row>
    <row r="6451" customFormat="false" ht="15" hidden="false" customHeight="false" outlineLevel="0" collapsed="false">
      <c r="A6451" s="0" t="s">
        <v>3298</v>
      </c>
      <c r="B6451" s="6" t="n">
        <v>42272</v>
      </c>
      <c r="C6451" s="7" t="s">
        <v>55</v>
      </c>
      <c r="D6451" s="7" t="s">
        <v>154</v>
      </c>
      <c r="E6451" s="7" t="s">
        <v>35</v>
      </c>
      <c r="F6451" s="0" t="n">
        <v>10.76</v>
      </c>
      <c r="G6451" s="0" t="n">
        <v>5.1648</v>
      </c>
      <c r="H6451" s="0" t="n">
        <v>0</v>
      </c>
      <c r="I6451" s="7" t="n">
        <f aca="false">YEAR(B6451)</f>
        <v>2015</v>
      </c>
      <c r="J6451" s="0" t="str">
        <f aca="false">I6451&amp;"-Q"&amp;ROUNDUP(MONTH(B6451)/3,0)</f>
        <v>2015-Q3</v>
      </c>
    </row>
    <row r="6452" customFormat="false" ht="15" hidden="false" customHeight="false" outlineLevel="0" collapsed="false">
      <c r="A6452" s="0" t="s">
        <v>3298</v>
      </c>
      <c r="B6452" s="6" t="n">
        <v>42272</v>
      </c>
      <c r="C6452" s="7" t="s">
        <v>55</v>
      </c>
      <c r="D6452" s="7" t="s">
        <v>154</v>
      </c>
      <c r="E6452" s="7" t="s">
        <v>35</v>
      </c>
      <c r="F6452" s="0" t="n">
        <v>45.68</v>
      </c>
      <c r="G6452" s="0" t="n">
        <v>21.0128</v>
      </c>
      <c r="H6452" s="0" t="n">
        <v>0</v>
      </c>
      <c r="I6452" s="7" t="n">
        <f aca="false">YEAR(B6452)</f>
        <v>2015</v>
      </c>
      <c r="J6452" s="0" t="str">
        <f aca="false">I6452&amp;"-Q"&amp;ROUNDUP(MONTH(B6452)/3,0)</f>
        <v>2015-Q3</v>
      </c>
    </row>
    <row r="6453" customFormat="false" ht="15" hidden="false" customHeight="false" outlineLevel="0" collapsed="false">
      <c r="A6453" s="0" t="s">
        <v>3298</v>
      </c>
      <c r="B6453" s="6" t="n">
        <v>42272</v>
      </c>
      <c r="C6453" s="7" t="s">
        <v>55</v>
      </c>
      <c r="D6453" s="7" t="s">
        <v>154</v>
      </c>
      <c r="E6453" s="7" t="s">
        <v>35</v>
      </c>
      <c r="F6453" s="0" t="n">
        <v>6.7</v>
      </c>
      <c r="G6453" s="0" t="n">
        <v>2.211</v>
      </c>
      <c r="H6453" s="0" t="n">
        <v>0</v>
      </c>
      <c r="I6453" s="7" t="n">
        <f aca="false">YEAR(B6453)</f>
        <v>2015</v>
      </c>
      <c r="J6453" s="0" t="str">
        <f aca="false">I6453&amp;"-Q"&amp;ROUNDUP(MONTH(B6453)/3,0)</f>
        <v>2015-Q3</v>
      </c>
    </row>
    <row r="6454" customFormat="false" ht="15" hidden="false" customHeight="false" outlineLevel="0" collapsed="false">
      <c r="A6454" s="0" t="s">
        <v>3299</v>
      </c>
      <c r="B6454" s="6" t="n">
        <v>42357</v>
      </c>
      <c r="C6454" s="7" t="s">
        <v>45</v>
      </c>
      <c r="D6454" s="7" t="s">
        <v>64</v>
      </c>
      <c r="E6454" s="7" t="s">
        <v>39</v>
      </c>
      <c r="F6454" s="0" t="n">
        <v>158.376</v>
      </c>
      <c r="G6454" s="0" t="n">
        <v>13.8579</v>
      </c>
      <c r="H6454" s="0" t="n">
        <v>0.2</v>
      </c>
      <c r="I6454" s="7" t="n">
        <f aca="false">YEAR(B6454)</f>
        <v>2015</v>
      </c>
      <c r="J6454" s="0" t="str">
        <f aca="false">I6454&amp;"-Q"&amp;ROUNDUP(MONTH(B6454)/3,0)</f>
        <v>2015-Q4</v>
      </c>
    </row>
    <row r="6455" customFormat="false" ht="15" hidden="false" customHeight="false" outlineLevel="0" collapsed="false">
      <c r="A6455" s="0" t="s">
        <v>3300</v>
      </c>
      <c r="B6455" s="6" t="n">
        <v>42285</v>
      </c>
      <c r="C6455" s="7" t="s">
        <v>45</v>
      </c>
      <c r="D6455" s="7" t="s">
        <v>46</v>
      </c>
      <c r="E6455" s="7" t="s">
        <v>35</v>
      </c>
      <c r="F6455" s="0" t="n">
        <v>3.44</v>
      </c>
      <c r="G6455" s="0" t="n">
        <v>0.559</v>
      </c>
      <c r="H6455" s="0" t="n">
        <v>0.2</v>
      </c>
      <c r="I6455" s="7" t="n">
        <f aca="false">YEAR(B6455)</f>
        <v>2015</v>
      </c>
      <c r="J6455" s="0" t="str">
        <f aca="false">I6455&amp;"-Q"&amp;ROUNDUP(MONTH(B6455)/3,0)</f>
        <v>2015-Q4</v>
      </c>
    </row>
    <row r="6456" customFormat="false" ht="15" hidden="false" customHeight="false" outlineLevel="0" collapsed="false">
      <c r="A6456" s="0" t="s">
        <v>3301</v>
      </c>
      <c r="B6456" s="6" t="n">
        <v>42947</v>
      </c>
      <c r="C6456" s="7" t="s">
        <v>33</v>
      </c>
      <c r="D6456" s="7" t="s">
        <v>34</v>
      </c>
      <c r="E6456" s="7" t="s">
        <v>35</v>
      </c>
      <c r="F6456" s="0" t="n">
        <v>56.56</v>
      </c>
      <c r="G6456" s="0" t="n">
        <v>15.2712</v>
      </c>
      <c r="H6456" s="0" t="n">
        <v>0</v>
      </c>
      <c r="I6456" s="7" t="n">
        <f aca="false">YEAR(B6456)</f>
        <v>2017</v>
      </c>
      <c r="J6456" s="0" t="str">
        <f aca="false">I6456&amp;"-Q"&amp;ROUNDUP(MONTH(B6456)/3,0)</f>
        <v>2017-Q3</v>
      </c>
    </row>
    <row r="6457" customFormat="false" ht="15" hidden="false" customHeight="false" outlineLevel="0" collapsed="false">
      <c r="A6457" s="0" t="s">
        <v>3301</v>
      </c>
      <c r="B6457" s="6" t="n">
        <v>42947</v>
      </c>
      <c r="C6457" s="7" t="s">
        <v>33</v>
      </c>
      <c r="D6457" s="7" t="s">
        <v>34</v>
      </c>
      <c r="E6457" s="7" t="s">
        <v>31</v>
      </c>
      <c r="F6457" s="0" t="n">
        <v>36.96</v>
      </c>
      <c r="G6457" s="0" t="n">
        <v>11.4576</v>
      </c>
      <c r="H6457" s="0" t="n">
        <v>0</v>
      </c>
      <c r="I6457" s="7" t="n">
        <f aca="false">YEAR(B6457)</f>
        <v>2017</v>
      </c>
      <c r="J6457" s="0" t="str">
        <f aca="false">I6457&amp;"-Q"&amp;ROUNDUP(MONTH(B6457)/3,0)</f>
        <v>2017-Q3</v>
      </c>
    </row>
    <row r="6458" customFormat="false" ht="15" hidden="false" customHeight="false" outlineLevel="0" collapsed="false">
      <c r="A6458" s="0" t="s">
        <v>3302</v>
      </c>
      <c r="B6458" s="6" t="n">
        <v>41856</v>
      </c>
      <c r="C6458" s="7" t="s">
        <v>55</v>
      </c>
      <c r="D6458" s="7" t="s">
        <v>76</v>
      </c>
      <c r="E6458" s="7" t="s">
        <v>39</v>
      </c>
      <c r="F6458" s="0" t="n">
        <v>135.99</v>
      </c>
      <c r="G6458" s="0" t="n">
        <v>36.7173</v>
      </c>
      <c r="H6458" s="0" t="n">
        <v>0</v>
      </c>
      <c r="I6458" s="7" t="n">
        <f aca="false">YEAR(B6458)</f>
        <v>2014</v>
      </c>
      <c r="J6458" s="0" t="str">
        <f aca="false">I6458&amp;"-Q"&amp;ROUNDUP(MONTH(B6458)/3,0)</f>
        <v>2014-Q3</v>
      </c>
    </row>
    <row r="6459" customFormat="false" ht="15" hidden="false" customHeight="false" outlineLevel="0" collapsed="false">
      <c r="A6459" s="0" t="s">
        <v>3302</v>
      </c>
      <c r="B6459" s="6" t="n">
        <v>41856</v>
      </c>
      <c r="C6459" s="7" t="s">
        <v>55</v>
      </c>
      <c r="D6459" s="7" t="s">
        <v>76</v>
      </c>
      <c r="E6459" s="7" t="s">
        <v>35</v>
      </c>
      <c r="F6459" s="0" t="n">
        <v>15.96</v>
      </c>
      <c r="G6459" s="0" t="n">
        <v>7.0224</v>
      </c>
      <c r="H6459" s="0" t="n">
        <v>0</v>
      </c>
      <c r="I6459" s="7" t="n">
        <f aca="false">YEAR(B6459)</f>
        <v>2014</v>
      </c>
      <c r="J6459" s="0" t="str">
        <f aca="false">I6459&amp;"-Q"&amp;ROUNDUP(MONTH(B6459)/3,0)</f>
        <v>2014-Q3</v>
      </c>
    </row>
    <row r="6460" customFormat="false" ht="15" hidden="false" customHeight="false" outlineLevel="0" collapsed="false">
      <c r="A6460" s="0" t="s">
        <v>3303</v>
      </c>
      <c r="B6460" s="6" t="n">
        <v>42869</v>
      </c>
      <c r="C6460" s="7" t="s">
        <v>55</v>
      </c>
      <c r="D6460" s="7" t="s">
        <v>495</v>
      </c>
      <c r="E6460" s="7" t="s">
        <v>35</v>
      </c>
      <c r="F6460" s="0" t="n">
        <v>3.76</v>
      </c>
      <c r="G6460" s="0" t="n">
        <v>1.0904</v>
      </c>
      <c r="H6460" s="0" t="n">
        <v>0</v>
      </c>
      <c r="I6460" s="7" t="n">
        <f aca="false">YEAR(B6460)</f>
        <v>2017</v>
      </c>
      <c r="J6460" s="0" t="str">
        <f aca="false">I6460&amp;"-Q"&amp;ROUNDUP(MONTH(B6460)/3,0)</f>
        <v>2017-Q2</v>
      </c>
    </row>
    <row r="6461" customFormat="false" ht="15" hidden="false" customHeight="false" outlineLevel="0" collapsed="false">
      <c r="A6461" s="0" t="s">
        <v>3303</v>
      </c>
      <c r="B6461" s="6" t="n">
        <v>42869</v>
      </c>
      <c r="C6461" s="7" t="s">
        <v>55</v>
      </c>
      <c r="D6461" s="7" t="s">
        <v>495</v>
      </c>
      <c r="E6461" s="7" t="s">
        <v>35</v>
      </c>
      <c r="F6461" s="0" t="n">
        <v>14.7</v>
      </c>
      <c r="G6461" s="0" t="n">
        <v>6.615</v>
      </c>
      <c r="H6461" s="0" t="n">
        <v>0</v>
      </c>
      <c r="I6461" s="7" t="n">
        <f aca="false">YEAR(B6461)</f>
        <v>2017</v>
      </c>
      <c r="J6461" s="0" t="str">
        <f aca="false">I6461&amp;"-Q"&amp;ROUNDUP(MONTH(B6461)/3,0)</f>
        <v>2017-Q2</v>
      </c>
    </row>
    <row r="6462" customFormat="false" ht="15" hidden="false" customHeight="false" outlineLevel="0" collapsed="false">
      <c r="A6462" s="0" t="s">
        <v>3303</v>
      </c>
      <c r="B6462" s="6" t="n">
        <v>42869</v>
      </c>
      <c r="C6462" s="7" t="s">
        <v>55</v>
      </c>
      <c r="D6462" s="7" t="s">
        <v>495</v>
      </c>
      <c r="E6462" s="7" t="s">
        <v>35</v>
      </c>
      <c r="F6462" s="0" t="n">
        <v>37.2</v>
      </c>
      <c r="G6462" s="0" t="n">
        <v>9.3</v>
      </c>
      <c r="H6462" s="0" t="n">
        <v>0</v>
      </c>
      <c r="I6462" s="7" t="n">
        <f aca="false">YEAR(B6462)</f>
        <v>2017</v>
      </c>
      <c r="J6462" s="0" t="str">
        <f aca="false">I6462&amp;"-Q"&amp;ROUNDUP(MONTH(B6462)/3,0)</f>
        <v>2017-Q2</v>
      </c>
    </row>
    <row r="6463" customFormat="false" ht="15" hidden="false" customHeight="false" outlineLevel="0" collapsed="false">
      <c r="A6463" s="0" t="s">
        <v>3303</v>
      </c>
      <c r="B6463" s="6" t="n">
        <v>42869</v>
      </c>
      <c r="C6463" s="7" t="s">
        <v>55</v>
      </c>
      <c r="D6463" s="7" t="s">
        <v>495</v>
      </c>
      <c r="E6463" s="7" t="s">
        <v>39</v>
      </c>
      <c r="F6463" s="0" t="n">
        <v>89.97</v>
      </c>
      <c r="G6463" s="0" t="n">
        <v>18.8937</v>
      </c>
      <c r="H6463" s="0" t="n">
        <v>0</v>
      </c>
      <c r="I6463" s="7" t="n">
        <f aca="false">YEAR(B6463)</f>
        <v>2017</v>
      </c>
      <c r="J6463" s="0" t="str">
        <f aca="false">I6463&amp;"-Q"&amp;ROUNDUP(MONTH(B6463)/3,0)</f>
        <v>2017-Q2</v>
      </c>
    </row>
    <row r="6464" customFormat="false" ht="15" hidden="false" customHeight="false" outlineLevel="0" collapsed="false">
      <c r="A6464" s="0" t="s">
        <v>3303</v>
      </c>
      <c r="B6464" s="6" t="n">
        <v>42869</v>
      </c>
      <c r="C6464" s="7" t="s">
        <v>55</v>
      </c>
      <c r="D6464" s="7" t="s">
        <v>495</v>
      </c>
      <c r="E6464" s="7" t="s">
        <v>31</v>
      </c>
      <c r="F6464" s="0" t="n">
        <v>261.96</v>
      </c>
      <c r="G6464" s="0" t="n">
        <v>23.5764</v>
      </c>
      <c r="H6464" s="0" t="n">
        <v>0</v>
      </c>
      <c r="I6464" s="7" t="n">
        <f aca="false">YEAR(B6464)</f>
        <v>2017</v>
      </c>
      <c r="J6464" s="0" t="str">
        <f aca="false">I6464&amp;"-Q"&amp;ROUNDUP(MONTH(B6464)/3,0)</f>
        <v>2017-Q2</v>
      </c>
    </row>
    <row r="6465" customFormat="false" ht="15" hidden="false" customHeight="false" outlineLevel="0" collapsed="false">
      <c r="A6465" s="0" t="s">
        <v>3303</v>
      </c>
      <c r="B6465" s="6" t="n">
        <v>42869</v>
      </c>
      <c r="C6465" s="7" t="s">
        <v>55</v>
      </c>
      <c r="D6465" s="7" t="s">
        <v>495</v>
      </c>
      <c r="E6465" s="7" t="s">
        <v>35</v>
      </c>
      <c r="F6465" s="0" t="n">
        <v>74</v>
      </c>
      <c r="G6465" s="0" t="n">
        <v>37</v>
      </c>
      <c r="H6465" s="0" t="n">
        <v>0</v>
      </c>
      <c r="I6465" s="7" t="n">
        <f aca="false">YEAR(B6465)</f>
        <v>2017</v>
      </c>
      <c r="J6465" s="0" t="str">
        <f aca="false">I6465&amp;"-Q"&amp;ROUNDUP(MONTH(B6465)/3,0)</f>
        <v>2017-Q2</v>
      </c>
    </row>
    <row r="6466" customFormat="false" ht="15" hidden="false" customHeight="false" outlineLevel="0" collapsed="false">
      <c r="A6466" s="0" t="s">
        <v>3304</v>
      </c>
      <c r="B6466" s="6" t="n">
        <v>42635</v>
      </c>
      <c r="C6466" s="7" t="s">
        <v>29</v>
      </c>
      <c r="D6466" s="7" t="s">
        <v>30</v>
      </c>
      <c r="E6466" s="7" t="s">
        <v>31</v>
      </c>
      <c r="F6466" s="0" t="n">
        <v>13.28</v>
      </c>
      <c r="G6466" s="0" t="n">
        <v>6.3744</v>
      </c>
      <c r="H6466" s="0" t="n">
        <v>0</v>
      </c>
      <c r="I6466" s="7" t="n">
        <f aca="false">YEAR(B6466)</f>
        <v>2016</v>
      </c>
      <c r="J6466" s="0" t="str">
        <f aca="false">I6466&amp;"-Q"&amp;ROUNDUP(MONTH(B6466)/3,0)</f>
        <v>2016-Q3</v>
      </c>
    </row>
    <row r="6467" customFormat="false" ht="15" hidden="false" customHeight="false" outlineLevel="0" collapsed="false">
      <c r="A6467" s="0" t="s">
        <v>3305</v>
      </c>
      <c r="B6467" s="6" t="n">
        <v>42321</v>
      </c>
      <c r="C6467" s="7" t="s">
        <v>29</v>
      </c>
      <c r="D6467" s="7" t="s">
        <v>87</v>
      </c>
      <c r="E6467" s="7" t="s">
        <v>35</v>
      </c>
      <c r="F6467" s="0" t="n">
        <v>84.96</v>
      </c>
      <c r="G6467" s="0" t="n">
        <v>6.372</v>
      </c>
      <c r="H6467" s="0" t="n">
        <v>0.2</v>
      </c>
      <c r="I6467" s="7" t="n">
        <f aca="false">YEAR(B6467)</f>
        <v>2015</v>
      </c>
      <c r="J6467" s="0" t="str">
        <f aca="false">I6467&amp;"-Q"&amp;ROUNDUP(MONTH(B6467)/3,0)</f>
        <v>2015-Q4</v>
      </c>
    </row>
    <row r="6468" customFormat="false" ht="15" hidden="false" customHeight="false" outlineLevel="0" collapsed="false">
      <c r="A6468" s="0" t="s">
        <v>3306</v>
      </c>
      <c r="B6468" s="6" t="n">
        <v>42877</v>
      </c>
      <c r="C6468" s="7" t="s">
        <v>33</v>
      </c>
      <c r="D6468" s="7" t="s">
        <v>34</v>
      </c>
      <c r="E6468" s="7" t="s">
        <v>39</v>
      </c>
      <c r="F6468" s="0" t="n">
        <v>68.46</v>
      </c>
      <c r="G6468" s="0" t="n">
        <v>25.3302</v>
      </c>
      <c r="H6468" s="0" t="n">
        <v>0</v>
      </c>
      <c r="I6468" s="7" t="n">
        <f aca="false">YEAR(B6468)</f>
        <v>2017</v>
      </c>
      <c r="J6468" s="0" t="str">
        <f aca="false">I6468&amp;"-Q"&amp;ROUNDUP(MONTH(B6468)/3,0)</f>
        <v>2017-Q2</v>
      </c>
    </row>
    <row r="6469" customFormat="false" ht="15" hidden="false" customHeight="false" outlineLevel="0" collapsed="false">
      <c r="A6469" s="0" t="s">
        <v>3307</v>
      </c>
      <c r="B6469" s="6" t="n">
        <v>42706</v>
      </c>
      <c r="C6469" s="7" t="s">
        <v>55</v>
      </c>
      <c r="D6469" s="7" t="s">
        <v>250</v>
      </c>
      <c r="E6469" s="7" t="s">
        <v>35</v>
      </c>
      <c r="F6469" s="0" t="n">
        <v>2079.4</v>
      </c>
      <c r="G6469" s="0" t="n">
        <v>582.232</v>
      </c>
      <c r="H6469" s="0" t="n">
        <v>0</v>
      </c>
      <c r="I6469" s="7" t="n">
        <f aca="false">YEAR(B6469)</f>
        <v>2016</v>
      </c>
      <c r="J6469" s="0" t="str">
        <f aca="false">I6469&amp;"-Q"&amp;ROUNDUP(MONTH(B6469)/3,0)</f>
        <v>2016-Q4</v>
      </c>
    </row>
    <row r="6470" customFormat="false" ht="15" hidden="false" customHeight="false" outlineLevel="0" collapsed="false">
      <c r="A6470" s="0" t="s">
        <v>3307</v>
      </c>
      <c r="B6470" s="6" t="n">
        <v>42706</v>
      </c>
      <c r="C6470" s="7" t="s">
        <v>55</v>
      </c>
      <c r="D6470" s="7" t="s">
        <v>250</v>
      </c>
      <c r="E6470" s="7" t="s">
        <v>39</v>
      </c>
      <c r="F6470" s="0" t="n">
        <v>629.95</v>
      </c>
      <c r="G6470" s="0" t="n">
        <v>176.386</v>
      </c>
      <c r="H6470" s="0" t="n">
        <v>0</v>
      </c>
      <c r="I6470" s="7" t="n">
        <f aca="false">YEAR(B6470)</f>
        <v>2016</v>
      </c>
      <c r="J6470" s="0" t="str">
        <f aca="false">I6470&amp;"-Q"&amp;ROUNDUP(MONTH(B6470)/3,0)</f>
        <v>2016-Q4</v>
      </c>
    </row>
    <row r="6471" customFormat="false" ht="15" hidden="false" customHeight="false" outlineLevel="0" collapsed="false">
      <c r="A6471" s="0" t="s">
        <v>3307</v>
      </c>
      <c r="B6471" s="6" t="n">
        <v>42706</v>
      </c>
      <c r="C6471" s="7" t="s">
        <v>55</v>
      </c>
      <c r="D6471" s="7" t="s">
        <v>250</v>
      </c>
      <c r="E6471" s="7" t="s">
        <v>31</v>
      </c>
      <c r="F6471" s="0" t="n">
        <v>72.42</v>
      </c>
      <c r="G6471" s="0" t="n">
        <v>23.8986</v>
      </c>
      <c r="H6471" s="0" t="n">
        <v>0</v>
      </c>
      <c r="I6471" s="7" t="n">
        <f aca="false">YEAR(B6471)</f>
        <v>2016</v>
      </c>
      <c r="J6471" s="0" t="str">
        <f aca="false">I6471&amp;"-Q"&amp;ROUNDUP(MONTH(B6471)/3,0)</f>
        <v>2016-Q4</v>
      </c>
    </row>
    <row r="6472" customFormat="false" ht="15" hidden="false" customHeight="false" outlineLevel="0" collapsed="false">
      <c r="A6472" s="0" t="s">
        <v>3308</v>
      </c>
      <c r="B6472" s="6" t="n">
        <v>42245</v>
      </c>
      <c r="C6472" s="7" t="s">
        <v>45</v>
      </c>
      <c r="D6472" s="7" t="s">
        <v>70</v>
      </c>
      <c r="E6472" s="7" t="s">
        <v>39</v>
      </c>
      <c r="F6472" s="0" t="n">
        <v>131.98</v>
      </c>
      <c r="G6472" s="0" t="n">
        <v>35.6346</v>
      </c>
      <c r="H6472" s="0" t="n">
        <v>0</v>
      </c>
      <c r="I6472" s="7" t="n">
        <f aca="false">YEAR(B6472)</f>
        <v>2015</v>
      </c>
      <c r="J6472" s="0" t="str">
        <f aca="false">I6472&amp;"-Q"&amp;ROUNDUP(MONTH(B6472)/3,0)</f>
        <v>2015-Q3</v>
      </c>
    </row>
    <row r="6473" customFormat="false" ht="15" hidden="false" customHeight="false" outlineLevel="0" collapsed="false">
      <c r="A6473" s="0" t="s">
        <v>3308</v>
      </c>
      <c r="B6473" s="6" t="n">
        <v>42245</v>
      </c>
      <c r="C6473" s="7" t="s">
        <v>45</v>
      </c>
      <c r="D6473" s="7" t="s">
        <v>70</v>
      </c>
      <c r="E6473" s="7" t="s">
        <v>39</v>
      </c>
      <c r="F6473" s="0" t="n">
        <v>114.52</v>
      </c>
      <c r="G6473" s="0" t="n">
        <v>11.452</v>
      </c>
      <c r="H6473" s="0" t="n">
        <v>0</v>
      </c>
      <c r="I6473" s="7" t="n">
        <f aca="false">YEAR(B6473)</f>
        <v>2015</v>
      </c>
      <c r="J6473" s="0" t="str">
        <f aca="false">I6473&amp;"-Q"&amp;ROUNDUP(MONTH(B6473)/3,0)</f>
        <v>2015-Q3</v>
      </c>
    </row>
    <row r="6474" customFormat="false" ht="15" hidden="false" customHeight="false" outlineLevel="0" collapsed="false">
      <c r="A6474" s="0" t="s">
        <v>3309</v>
      </c>
      <c r="B6474" s="6" t="n">
        <v>41796</v>
      </c>
      <c r="C6474" s="7" t="s">
        <v>45</v>
      </c>
      <c r="D6474" s="7" t="s">
        <v>46</v>
      </c>
      <c r="E6474" s="7" t="s">
        <v>35</v>
      </c>
      <c r="F6474" s="0" t="n">
        <v>100.24</v>
      </c>
      <c r="G6474" s="0" t="n">
        <v>33.831</v>
      </c>
      <c r="H6474" s="0" t="n">
        <v>0.2</v>
      </c>
      <c r="I6474" s="7" t="n">
        <f aca="false">YEAR(B6474)</f>
        <v>2014</v>
      </c>
      <c r="J6474" s="0" t="str">
        <f aca="false">I6474&amp;"-Q"&amp;ROUNDUP(MONTH(B6474)/3,0)</f>
        <v>2014-Q2</v>
      </c>
    </row>
    <row r="6475" customFormat="false" ht="15" hidden="false" customHeight="false" outlineLevel="0" collapsed="false">
      <c r="A6475" s="0" t="s">
        <v>3310</v>
      </c>
      <c r="B6475" s="6" t="n">
        <v>42447</v>
      </c>
      <c r="C6475" s="7" t="s">
        <v>29</v>
      </c>
      <c r="D6475" s="7" t="s">
        <v>87</v>
      </c>
      <c r="E6475" s="7" t="s">
        <v>35</v>
      </c>
      <c r="F6475" s="0" t="n">
        <v>871.8</v>
      </c>
      <c r="G6475" s="0" t="n">
        <v>87.18</v>
      </c>
      <c r="H6475" s="0" t="n">
        <v>0.2</v>
      </c>
      <c r="I6475" s="7" t="n">
        <f aca="false">YEAR(B6475)</f>
        <v>2016</v>
      </c>
      <c r="J6475" s="0" t="str">
        <f aca="false">I6475&amp;"-Q"&amp;ROUNDUP(MONTH(B6475)/3,0)</f>
        <v>2016-Q1</v>
      </c>
    </row>
    <row r="6476" customFormat="false" ht="15" hidden="false" customHeight="false" outlineLevel="0" collapsed="false">
      <c r="A6476" s="0" t="s">
        <v>3311</v>
      </c>
      <c r="B6476" s="6" t="n">
        <v>41653</v>
      </c>
      <c r="C6476" s="7" t="s">
        <v>55</v>
      </c>
      <c r="D6476" s="7" t="s">
        <v>56</v>
      </c>
      <c r="E6476" s="7" t="s">
        <v>31</v>
      </c>
      <c r="F6476" s="0" t="n">
        <v>61.96</v>
      </c>
      <c r="G6476" s="0" t="n">
        <v>-53.2856</v>
      </c>
      <c r="H6476" s="0" t="n">
        <v>0.5</v>
      </c>
      <c r="I6476" s="7" t="n">
        <f aca="false">YEAR(B6476)</f>
        <v>2014</v>
      </c>
      <c r="J6476" s="0" t="str">
        <f aca="false">I6476&amp;"-Q"&amp;ROUNDUP(MONTH(B6476)/3,0)</f>
        <v>2014-Q1</v>
      </c>
    </row>
    <row r="6477" customFormat="false" ht="15" hidden="false" customHeight="false" outlineLevel="0" collapsed="false">
      <c r="A6477" s="0" t="s">
        <v>3312</v>
      </c>
      <c r="B6477" s="6" t="n">
        <v>42889</v>
      </c>
      <c r="C6477" s="7" t="s">
        <v>29</v>
      </c>
      <c r="D6477" s="7" t="s">
        <v>37</v>
      </c>
      <c r="E6477" s="7" t="s">
        <v>35</v>
      </c>
      <c r="F6477" s="0" t="n">
        <v>4.554</v>
      </c>
      <c r="G6477" s="0" t="n">
        <v>-3.4914</v>
      </c>
      <c r="H6477" s="0" t="n">
        <v>0.7</v>
      </c>
      <c r="I6477" s="7" t="n">
        <f aca="false">YEAR(B6477)</f>
        <v>2017</v>
      </c>
      <c r="J6477" s="0" t="str">
        <f aca="false">I6477&amp;"-Q"&amp;ROUNDUP(MONTH(B6477)/3,0)</f>
        <v>2017-Q2</v>
      </c>
    </row>
    <row r="6478" customFormat="false" ht="15" hidden="false" customHeight="false" outlineLevel="0" collapsed="false">
      <c r="A6478" s="0" t="s">
        <v>3312</v>
      </c>
      <c r="B6478" s="6" t="n">
        <v>42889</v>
      </c>
      <c r="C6478" s="7" t="s">
        <v>29</v>
      </c>
      <c r="D6478" s="7" t="s">
        <v>37</v>
      </c>
      <c r="E6478" s="7" t="s">
        <v>35</v>
      </c>
      <c r="F6478" s="0" t="n">
        <v>5.2</v>
      </c>
      <c r="G6478" s="0" t="n">
        <v>0.585</v>
      </c>
      <c r="H6478" s="0" t="n">
        <v>0.2</v>
      </c>
      <c r="I6478" s="7" t="n">
        <f aca="false">YEAR(B6478)</f>
        <v>2017</v>
      </c>
      <c r="J6478" s="0" t="str">
        <f aca="false">I6478&amp;"-Q"&amp;ROUNDUP(MONTH(B6478)/3,0)</f>
        <v>2017-Q2</v>
      </c>
    </row>
    <row r="6479" customFormat="false" ht="15" hidden="false" customHeight="false" outlineLevel="0" collapsed="false">
      <c r="A6479" s="0" t="s">
        <v>3312</v>
      </c>
      <c r="B6479" s="6" t="n">
        <v>42889</v>
      </c>
      <c r="C6479" s="7" t="s">
        <v>29</v>
      </c>
      <c r="D6479" s="7" t="s">
        <v>37</v>
      </c>
      <c r="E6479" s="7" t="s">
        <v>39</v>
      </c>
      <c r="F6479" s="0" t="n">
        <v>205.992</v>
      </c>
      <c r="G6479" s="0" t="n">
        <v>-2.5749</v>
      </c>
      <c r="H6479" s="0" t="n">
        <v>0.2</v>
      </c>
      <c r="I6479" s="7" t="n">
        <f aca="false">YEAR(B6479)</f>
        <v>2017</v>
      </c>
      <c r="J6479" s="0" t="str">
        <f aca="false">I6479&amp;"-Q"&amp;ROUNDUP(MONTH(B6479)/3,0)</f>
        <v>2017-Q2</v>
      </c>
    </row>
    <row r="6480" customFormat="false" ht="15" hidden="false" customHeight="false" outlineLevel="0" collapsed="false">
      <c r="A6480" s="0" t="s">
        <v>3312</v>
      </c>
      <c r="B6480" s="6" t="n">
        <v>42889</v>
      </c>
      <c r="C6480" s="7" t="s">
        <v>29</v>
      </c>
      <c r="D6480" s="7" t="s">
        <v>37</v>
      </c>
      <c r="E6480" s="7" t="s">
        <v>35</v>
      </c>
      <c r="F6480" s="0" t="n">
        <v>15.552</v>
      </c>
      <c r="G6480" s="0" t="n">
        <v>5.4432</v>
      </c>
      <c r="H6480" s="0" t="n">
        <v>0.2</v>
      </c>
      <c r="I6480" s="7" t="n">
        <f aca="false">YEAR(B6480)</f>
        <v>2017</v>
      </c>
      <c r="J6480" s="0" t="str">
        <f aca="false">I6480&amp;"-Q"&amp;ROUNDUP(MONTH(B6480)/3,0)</f>
        <v>2017-Q2</v>
      </c>
    </row>
    <row r="6481" customFormat="false" ht="15" hidden="false" customHeight="false" outlineLevel="0" collapsed="false">
      <c r="A6481" s="0" t="s">
        <v>3312</v>
      </c>
      <c r="B6481" s="6" t="n">
        <v>42889</v>
      </c>
      <c r="C6481" s="7" t="s">
        <v>29</v>
      </c>
      <c r="D6481" s="7" t="s">
        <v>37</v>
      </c>
      <c r="E6481" s="7" t="s">
        <v>39</v>
      </c>
      <c r="F6481" s="0" t="n">
        <v>503.96</v>
      </c>
      <c r="G6481" s="0" t="n">
        <v>50.396</v>
      </c>
      <c r="H6481" s="0" t="n">
        <v>0.2</v>
      </c>
      <c r="I6481" s="7" t="n">
        <f aca="false">YEAR(B6481)</f>
        <v>2017</v>
      </c>
      <c r="J6481" s="0" t="str">
        <f aca="false">I6481&amp;"-Q"&amp;ROUNDUP(MONTH(B6481)/3,0)</f>
        <v>2017-Q2</v>
      </c>
    </row>
    <row r="6482" customFormat="false" ht="15" hidden="false" customHeight="false" outlineLevel="0" collapsed="false">
      <c r="A6482" s="0" t="s">
        <v>3312</v>
      </c>
      <c r="B6482" s="6" t="n">
        <v>42889</v>
      </c>
      <c r="C6482" s="7" t="s">
        <v>29</v>
      </c>
      <c r="D6482" s="7" t="s">
        <v>37</v>
      </c>
      <c r="E6482" s="7" t="s">
        <v>35</v>
      </c>
      <c r="F6482" s="0" t="n">
        <v>24.472</v>
      </c>
      <c r="G6482" s="0" t="n">
        <v>1.8354</v>
      </c>
      <c r="H6482" s="0" t="n">
        <v>0.2</v>
      </c>
      <c r="I6482" s="7" t="n">
        <f aca="false">YEAR(B6482)</f>
        <v>2017</v>
      </c>
      <c r="J6482" s="0" t="str">
        <f aca="false">I6482&amp;"-Q"&amp;ROUNDUP(MONTH(B6482)/3,0)</f>
        <v>2017-Q2</v>
      </c>
    </row>
    <row r="6483" customFormat="false" ht="15" hidden="false" customHeight="false" outlineLevel="0" collapsed="false">
      <c r="A6483" s="0" t="s">
        <v>3312</v>
      </c>
      <c r="B6483" s="6" t="n">
        <v>42889</v>
      </c>
      <c r="C6483" s="7" t="s">
        <v>29</v>
      </c>
      <c r="D6483" s="7" t="s">
        <v>37</v>
      </c>
      <c r="E6483" s="7" t="s">
        <v>31</v>
      </c>
      <c r="F6483" s="0" t="n">
        <v>241.568</v>
      </c>
      <c r="G6483" s="0" t="n">
        <v>0</v>
      </c>
      <c r="H6483" s="0" t="n">
        <v>0.2</v>
      </c>
      <c r="I6483" s="7" t="n">
        <f aca="false">YEAR(B6483)</f>
        <v>2017</v>
      </c>
      <c r="J6483" s="0" t="str">
        <f aca="false">I6483&amp;"-Q"&amp;ROUNDUP(MONTH(B6483)/3,0)</f>
        <v>2017-Q2</v>
      </c>
    </row>
    <row r="6484" customFormat="false" ht="15" hidden="false" customHeight="false" outlineLevel="0" collapsed="false">
      <c r="A6484" s="0" t="s">
        <v>3312</v>
      </c>
      <c r="B6484" s="6" t="n">
        <v>42889</v>
      </c>
      <c r="C6484" s="7" t="s">
        <v>29</v>
      </c>
      <c r="D6484" s="7" t="s">
        <v>37</v>
      </c>
      <c r="E6484" s="7" t="s">
        <v>39</v>
      </c>
      <c r="F6484" s="0" t="n">
        <v>110.4</v>
      </c>
      <c r="G6484" s="0" t="n">
        <v>-4.14</v>
      </c>
      <c r="H6484" s="0" t="n">
        <v>0.2</v>
      </c>
      <c r="I6484" s="7" t="n">
        <f aca="false">YEAR(B6484)</f>
        <v>2017</v>
      </c>
      <c r="J6484" s="0" t="str">
        <f aca="false">I6484&amp;"-Q"&amp;ROUNDUP(MONTH(B6484)/3,0)</f>
        <v>2017-Q2</v>
      </c>
    </row>
    <row r="6485" customFormat="false" ht="15" hidden="false" customHeight="false" outlineLevel="0" collapsed="false">
      <c r="A6485" s="0" t="s">
        <v>3313</v>
      </c>
      <c r="B6485" s="6" t="n">
        <v>42889</v>
      </c>
      <c r="C6485" s="7" t="s">
        <v>55</v>
      </c>
      <c r="D6485" s="7" t="s">
        <v>76</v>
      </c>
      <c r="E6485" s="7" t="s">
        <v>31</v>
      </c>
      <c r="F6485" s="0" t="n">
        <v>384.768</v>
      </c>
      <c r="G6485" s="0" t="n">
        <v>-115.4304</v>
      </c>
      <c r="H6485" s="0" t="n">
        <v>0.4</v>
      </c>
      <c r="I6485" s="7" t="n">
        <f aca="false">YEAR(B6485)</f>
        <v>2017</v>
      </c>
      <c r="J6485" s="0" t="str">
        <f aca="false">I6485&amp;"-Q"&amp;ROUNDUP(MONTH(B6485)/3,0)</f>
        <v>2017-Q2</v>
      </c>
    </row>
    <row r="6486" customFormat="false" ht="15" hidden="false" customHeight="false" outlineLevel="0" collapsed="false">
      <c r="A6486" s="0" t="s">
        <v>3313</v>
      </c>
      <c r="B6486" s="6" t="n">
        <v>42889</v>
      </c>
      <c r="C6486" s="7" t="s">
        <v>55</v>
      </c>
      <c r="D6486" s="7" t="s">
        <v>76</v>
      </c>
      <c r="E6486" s="7" t="s">
        <v>39</v>
      </c>
      <c r="F6486" s="0" t="n">
        <v>78.66</v>
      </c>
      <c r="G6486" s="0" t="n">
        <v>36.1836</v>
      </c>
      <c r="H6486" s="0" t="n">
        <v>0</v>
      </c>
      <c r="I6486" s="7" t="n">
        <f aca="false">YEAR(B6486)</f>
        <v>2017</v>
      </c>
      <c r="J6486" s="0" t="str">
        <f aca="false">I6486&amp;"-Q"&amp;ROUNDUP(MONTH(B6486)/3,0)</f>
        <v>2017-Q2</v>
      </c>
    </row>
    <row r="6487" customFormat="false" ht="15" hidden="false" customHeight="false" outlineLevel="0" collapsed="false">
      <c r="A6487" s="0" t="s">
        <v>3313</v>
      </c>
      <c r="B6487" s="6" t="n">
        <v>42889</v>
      </c>
      <c r="C6487" s="7" t="s">
        <v>55</v>
      </c>
      <c r="D6487" s="7" t="s">
        <v>76</v>
      </c>
      <c r="E6487" s="7" t="s">
        <v>35</v>
      </c>
      <c r="F6487" s="0" t="n">
        <v>45.36</v>
      </c>
      <c r="G6487" s="0" t="n">
        <v>22.2264</v>
      </c>
      <c r="H6487" s="0" t="n">
        <v>0</v>
      </c>
      <c r="I6487" s="7" t="n">
        <f aca="false">YEAR(B6487)</f>
        <v>2017</v>
      </c>
      <c r="J6487" s="0" t="str">
        <f aca="false">I6487&amp;"-Q"&amp;ROUNDUP(MONTH(B6487)/3,0)</f>
        <v>2017-Q2</v>
      </c>
    </row>
    <row r="6488" customFormat="false" ht="15" hidden="false" customHeight="false" outlineLevel="0" collapsed="false">
      <c r="A6488" s="0" t="s">
        <v>3314</v>
      </c>
      <c r="B6488" s="6" t="n">
        <v>42084</v>
      </c>
      <c r="C6488" s="7" t="s">
        <v>29</v>
      </c>
      <c r="D6488" s="7" t="s">
        <v>41</v>
      </c>
      <c r="E6488" s="7" t="s">
        <v>35</v>
      </c>
      <c r="F6488" s="0" t="n">
        <v>962.08</v>
      </c>
      <c r="G6488" s="0" t="n">
        <v>156.338</v>
      </c>
      <c r="H6488" s="0" t="n">
        <v>0.2</v>
      </c>
      <c r="I6488" s="7" t="n">
        <f aca="false">YEAR(B6488)</f>
        <v>2015</v>
      </c>
      <c r="J6488" s="0" t="str">
        <f aca="false">I6488&amp;"-Q"&amp;ROUNDUP(MONTH(B6488)/3,0)</f>
        <v>2015-Q1</v>
      </c>
    </row>
    <row r="6489" customFormat="false" ht="15" hidden="false" customHeight="false" outlineLevel="0" collapsed="false">
      <c r="A6489" s="0" t="s">
        <v>3314</v>
      </c>
      <c r="B6489" s="6" t="n">
        <v>42084</v>
      </c>
      <c r="C6489" s="7" t="s">
        <v>29</v>
      </c>
      <c r="D6489" s="7" t="s">
        <v>41</v>
      </c>
      <c r="E6489" s="7" t="s">
        <v>35</v>
      </c>
      <c r="F6489" s="0" t="n">
        <v>12.843</v>
      </c>
      <c r="G6489" s="0" t="n">
        <v>-9.8463</v>
      </c>
      <c r="H6489" s="0" t="n">
        <v>0.7</v>
      </c>
      <c r="I6489" s="7" t="n">
        <f aca="false">YEAR(B6489)</f>
        <v>2015</v>
      </c>
      <c r="J6489" s="0" t="str">
        <f aca="false">I6489&amp;"-Q"&amp;ROUNDUP(MONTH(B6489)/3,0)</f>
        <v>2015-Q1</v>
      </c>
    </row>
    <row r="6490" customFormat="false" ht="15" hidden="false" customHeight="false" outlineLevel="0" collapsed="false">
      <c r="A6490" s="0" t="s">
        <v>3314</v>
      </c>
      <c r="B6490" s="6" t="n">
        <v>42084</v>
      </c>
      <c r="C6490" s="7" t="s">
        <v>29</v>
      </c>
      <c r="D6490" s="7" t="s">
        <v>41</v>
      </c>
      <c r="E6490" s="7" t="s">
        <v>35</v>
      </c>
      <c r="F6490" s="0" t="n">
        <v>295.456</v>
      </c>
      <c r="G6490" s="0" t="n">
        <v>96.0232</v>
      </c>
      <c r="H6490" s="0" t="n">
        <v>0.2</v>
      </c>
      <c r="I6490" s="7" t="n">
        <f aca="false">YEAR(B6490)</f>
        <v>2015</v>
      </c>
      <c r="J6490" s="0" t="str">
        <f aca="false">I6490&amp;"-Q"&amp;ROUNDUP(MONTH(B6490)/3,0)</f>
        <v>2015-Q1</v>
      </c>
    </row>
    <row r="6491" customFormat="false" ht="15" hidden="false" customHeight="false" outlineLevel="0" collapsed="false">
      <c r="A6491" s="0" t="s">
        <v>3315</v>
      </c>
      <c r="B6491" s="6" t="n">
        <v>42997</v>
      </c>
      <c r="C6491" s="7" t="s">
        <v>55</v>
      </c>
      <c r="D6491" s="7" t="s">
        <v>76</v>
      </c>
      <c r="E6491" s="7" t="s">
        <v>35</v>
      </c>
      <c r="F6491" s="0" t="n">
        <v>32.4</v>
      </c>
      <c r="G6491" s="0" t="n">
        <v>15.552</v>
      </c>
      <c r="H6491" s="0" t="n">
        <v>0</v>
      </c>
      <c r="I6491" s="7" t="n">
        <f aca="false">YEAR(B6491)</f>
        <v>2017</v>
      </c>
      <c r="J6491" s="0" t="str">
        <f aca="false">I6491&amp;"-Q"&amp;ROUNDUP(MONTH(B6491)/3,0)</f>
        <v>2017-Q3</v>
      </c>
    </row>
    <row r="6492" customFormat="false" ht="15" hidden="false" customHeight="false" outlineLevel="0" collapsed="false">
      <c r="A6492" s="0" t="s">
        <v>3316</v>
      </c>
      <c r="B6492" s="6" t="n">
        <v>41897</v>
      </c>
      <c r="C6492" s="7" t="s">
        <v>55</v>
      </c>
      <c r="D6492" s="7" t="s">
        <v>56</v>
      </c>
      <c r="E6492" s="7" t="s">
        <v>31</v>
      </c>
      <c r="F6492" s="0" t="n">
        <v>103.936</v>
      </c>
      <c r="G6492" s="0" t="n">
        <v>16.8896</v>
      </c>
      <c r="H6492" s="0" t="n">
        <v>0.2</v>
      </c>
      <c r="I6492" s="7" t="n">
        <f aca="false">YEAR(B6492)</f>
        <v>2014</v>
      </c>
      <c r="J6492" s="0" t="str">
        <f aca="false">I6492&amp;"-Q"&amp;ROUNDUP(MONTH(B6492)/3,0)</f>
        <v>2014-Q3</v>
      </c>
    </row>
    <row r="6493" customFormat="false" ht="15" hidden="false" customHeight="false" outlineLevel="0" collapsed="false">
      <c r="A6493" s="0" t="s">
        <v>3317</v>
      </c>
      <c r="B6493" s="6" t="n">
        <v>42694</v>
      </c>
      <c r="C6493" s="7" t="s">
        <v>29</v>
      </c>
      <c r="D6493" s="7" t="s">
        <v>37</v>
      </c>
      <c r="E6493" s="7" t="s">
        <v>31</v>
      </c>
      <c r="F6493" s="0" t="n">
        <v>289.568</v>
      </c>
      <c r="G6493" s="0" t="n">
        <v>10.8588</v>
      </c>
      <c r="H6493" s="0" t="n">
        <v>0.2</v>
      </c>
      <c r="I6493" s="7" t="n">
        <f aca="false">YEAR(B6493)</f>
        <v>2016</v>
      </c>
      <c r="J6493" s="0" t="str">
        <f aca="false">I6493&amp;"-Q"&amp;ROUNDUP(MONTH(B6493)/3,0)</f>
        <v>2016-Q4</v>
      </c>
    </row>
    <row r="6494" customFormat="false" ht="15" hidden="false" customHeight="false" outlineLevel="0" collapsed="false">
      <c r="A6494" s="0" t="s">
        <v>3317</v>
      </c>
      <c r="B6494" s="6" t="n">
        <v>42694</v>
      </c>
      <c r="C6494" s="7" t="s">
        <v>29</v>
      </c>
      <c r="D6494" s="7" t="s">
        <v>37</v>
      </c>
      <c r="E6494" s="7" t="s">
        <v>35</v>
      </c>
      <c r="F6494" s="0" t="n">
        <v>39.72</v>
      </c>
      <c r="G6494" s="0" t="n">
        <v>4.4685</v>
      </c>
      <c r="H6494" s="0" t="n">
        <v>0.2</v>
      </c>
      <c r="I6494" s="7" t="n">
        <f aca="false">YEAR(B6494)</f>
        <v>2016</v>
      </c>
      <c r="J6494" s="0" t="str">
        <f aca="false">I6494&amp;"-Q"&amp;ROUNDUP(MONTH(B6494)/3,0)</f>
        <v>2016-Q4</v>
      </c>
    </row>
    <row r="6495" customFormat="false" ht="15" hidden="false" customHeight="false" outlineLevel="0" collapsed="false">
      <c r="A6495" s="0" t="s">
        <v>3317</v>
      </c>
      <c r="B6495" s="6" t="n">
        <v>42694</v>
      </c>
      <c r="C6495" s="7" t="s">
        <v>29</v>
      </c>
      <c r="D6495" s="7" t="s">
        <v>37</v>
      </c>
      <c r="E6495" s="7" t="s">
        <v>39</v>
      </c>
      <c r="F6495" s="0" t="n">
        <v>244.768</v>
      </c>
      <c r="G6495" s="0" t="n">
        <v>24.4768</v>
      </c>
      <c r="H6495" s="0" t="n">
        <v>0.2</v>
      </c>
      <c r="I6495" s="7" t="n">
        <f aca="false">YEAR(B6495)</f>
        <v>2016</v>
      </c>
      <c r="J6495" s="0" t="str">
        <f aca="false">I6495&amp;"-Q"&amp;ROUNDUP(MONTH(B6495)/3,0)</f>
        <v>2016-Q4</v>
      </c>
    </row>
    <row r="6496" customFormat="false" ht="15" hidden="false" customHeight="false" outlineLevel="0" collapsed="false">
      <c r="A6496" s="0" t="s">
        <v>3318</v>
      </c>
      <c r="B6496" s="6" t="n">
        <v>43036</v>
      </c>
      <c r="C6496" s="7" t="s">
        <v>45</v>
      </c>
      <c r="D6496" s="7" t="s">
        <v>46</v>
      </c>
      <c r="E6496" s="7" t="s">
        <v>39</v>
      </c>
      <c r="F6496" s="0" t="n">
        <v>24</v>
      </c>
      <c r="G6496" s="0" t="n">
        <v>-2.7</v>
      </c>
      <c r="H6496" s="0" t="n">
        <v>0.2</v>
      </c>
      <c r="I6496" s="7" t="n">
        <f aca="false">YEAR(B6496)</f>
        <v>2017</v>
      </c>
      <c r="J6496" s="0" t="str">
        <f aca="false">I6496&amp;"-Q"&amp;ROUNDUP(MONTH(B6496)/3,0)</f>
        <v>2017-Q4</v>
      </c>
    </row>
    <row r="6497" customFormat="false" ht="15" hidden="false" customHeight="false" outlineLevel="0" collapsed="false">
      <c r="A6497" s="0" t="s">
        <v>3318</v>
      </c>
      <c r="B6497" s="6" t="n">
        <v>43036</v>
      </c>
      <c r="C6497" s="7" t="s">
        <v>45</v>
      </c>
      <c r="D6497" s="7" t="s">
        <v>46</v>
      </c>
      <c r="E6497" s="7" t="s">
        <v>35</v>
      </c>
      <c r="F6497" s="0" t="n">
        <v>15.552</v>
      </c>
      <c r="G6497" s="0" t="n">
        <v>5.4432</v>
      </c>
      <c r="H6497" s="0" t="n">
        <v>0.2</v>
      </c>
      <c r="I6497" s="7" t="n">
        <f aca="false">YEAR(B6497)</f>
        <v>2017</v>
      </c>
      <c r="J6497" s="0" t="str">
        <f aca="false">I6497&amp;"-Q"&amp;ROUNDUP(MONTH(B6497)/3,0)</f>
        <v>2017-Q4</v>
      </c>
    </row>
    <row r="6498" customFormat="false" ht="15" hidden="false" customHeight="false" outlineLevel="0" collapsed="false">
      <c r="A6498" s="0" t="s">
        <v>3318</v>
      </c>
      <c r="B6498" s="6" t="n">
        <v>43036</v>
      </c>
      <c r="C6498" s="7" t="s">
        <v>45</v>
      </c>
      <c r="D6498" s="7" t="s">
        <v>46</v>
      </c>
      <c r="E6498" s="7" t="s">
        <v>39</v>
      </c>
      <c r="F6498" s="0" t="n">
        <v>26.176</v>
      </c>
      <c r="G6498" s="0" t="n">
        <v>-3.272</v>
      </c>
      <c r="H6498" s="0" t="n">
        <v>0.2</v>
      </c>
      <c r="I6498" s="7" t="n">
        <f aca="false">YEAR(B6498)</f>
        <v>2017</v>
      </c>
      <c r="J6498" s="0" t="str">
        <f aca="false">I6498&amp;"-Q"&amp;ROUNDUP(MONTH(B6498)/3,0)</f>
        <v>2017-Q4</v>
      </c>
    </row>
    <row r="6499" customFormat="false" ht="15" hidden="false" customHeight="false" outlineLevel="0" collapsed="false">
      <c r="A6499" s="0" t="s">
        <v>3319</v>
      </c>
      <c r="B6499" s="6" t="n">
        <v>42209</v>
      </c>
      <c r="C6499" s="7" t="s">
        <v>29</v>
      </c>
      <c r="D6499" s="7" t="s">
        <v>30</v>
      </c>
      <c r="E6499" s="7" t="s">
        <v>31</v>
      </c>
      <c r="F6499" s="0" t="n">
        <v>20.94</v>
      </c>
      <c r="G6499" s="0" t="n">
        <v>6.0726</v>
      </c>
      <c r="H6499" s="0" t="n">
        <v>0</v>
      </c>
      <c r="I6499" s="7" t="n">
        <f aca="false">YEAR(B6499)</f>
        <v>2015</v>
      </c>
      <c r="J6499" s="0" t="str">
        <f aca="false">I6499&amp;"-Q"&amp;ROUNDUP(MONTH(B6499)/3,0)</f>
        <v>2015-Q3</v>
      </c>
    </row>
    <row r="6500" customFormat="false" ht="15" hidden="false" customHeight="false" outlineLevel="0" collapsed="false">
      <c r="A6500" s="0" t="s">
        <v>3319</v>
      </c>
      <c r="B6500" s="6" t="n">
        <v>42209</v>
      </c>
      <c r="C6500" s="7" t="s">
        <v>29</v>
      </c>
      <c r="D6500" s="7" t="s">
        <v>30</v>
      </c>
      <c r="E6500" s="7" t="s">
        <v>35</v>
      </c>
      <c r="F6500" s="0" t="n">
        <v>135.09</v>
      </c>
      <c r="G6500" s="0" t="n">
        <v>62.1414</v>
      </c>
      <c r="H6500" s="0" t="n">
        <v>0</v>
      </c>
      <c r="I6500" s="7" t="n">
        <f aca="false">YEAR(B6500)</f>
        <v>2015</v>
      </c>
      <c r="J6500" s="0" t="str">
        <f aca="false">I6500&amp;"-Q"&amp;ROUNDUP(MONTH(B6500)/3,0)</f>
        <v>2015-Q3</v>
      </c>
    </row>
    <row r="6501" customFormat="false" ht="15" hidden="false" customHeight="false" outlineLevel="0" collapsed="false">
      <c r="A6501" s="0" t="s">
        <v>3319</v>
      </c>
      <c r="B6501" s="6" t="n">
        <v>42209</v>
      </c>
      <c r="C6501" s="7" t="s">
        <v>29</v>
      </c>
      <c r="D6501" s="7" t="s">
        <v>30</v>
      </c>
      <c r="E6501" s="7" t="s">
        <v>39</v>
      </c>
      <c r="F6501" s="0" t="n">
        <v>279.86</v>
      </c>
      <c r="G6501" s="0" t="n">
        <v>64.3678</v>
      </c>
      <c r="H6501" s="0" t="n">
        <v>0</v>
      </c>
      <c r="I6501" s="7" t="n">
        <f aca="false">YEAR(B6501)</f>
        <v>2015</v>
      </c>
      <c r="J6501" s="0" t="str">
        <f aca="false">I6501&amp;"-Q"&amp;ROUNDUP(MONTH(B6501)/3,0)</f>
        <v>2015-Q3</v>
      </c>
    </row>
    <row r="6502" customFormat="false" ht="15" hidden="false" customHeight="false" outlineLevel="0" collapsed="false">
      <c r="A6502" s="0" t="s">
        <v>3319</v>
      </c>
      <c r="B6502" s="6" t="n">
        <v>42209</v>
      </c>
      <c r="C6502" s="7" t="s">
        <v>29</v>
      </c>
      <c r="D6502" s="7" t="s">
        <v>30</v>
      </c>
      <c r="E6502" s="7" t="s">
        <v>35</v>
      </c>
      <c r="F6502" s="0" t="n">
        <v>90.06</v>
      </c>
      <c r="G6502" s="0" t="n">
        <v>41.4276</v>
      </c>
      <c r="H6502" s="0" t="n">
        <v>0</v>
      </c>
      <c r="I6502" s="7" t="n">
        <f aca="false">YEAR(B6502)</f>
        <v>2015</v>
      </c>
      <c r="J6502" s="0" t="str">
        <f aca="false">I6502&amp;"-Q"&amp;ROUNDUP(MONTH(B6502)/3,0)</f>
        <v>2015-Q3</v>
      </c>
    </row>
    <row r="6503" customFormat="false" ht="15" hidden="false" customHeight="false" outlineLevel="0" collapsed="false">
      <c r="A6503" s="0" t="s">
        <v>3320</v>
      </c>
      <c r="B6503" s="6" t="n">
        <v>41945</v>
      </c>
      <c r="C6503" s="7" t="s">
        <v>55</v>
      </c>
      <c r="D6503" s="7" t="s">
        <v>116</v>
      </c>
      <c r="E6503" s="7" t="s">
        <v>39</v>
      </c>
      <c r="F6503" s="0" t="n">
        <v>539.964</v>
      </c>
      <c r="G6503" s="0" t="n">
        <v>-107.9928</v>
      </c>
      <c r="H6503" s="0" t="n">
        <v>0.4</v>
      </c>
      <c r="I6503" s="7" t="n">
        <f aca="false">YEAR(B6503)</f>
        <v>2014</v>
      </c>
      <c r="J6503" s="0" t="str">
        <f aca="false">I6503&amp;"-Q"&amp;ROUNDUP(MONTH(B6503)/3,0)</f>
        <v>2014-Q4</v>
      </c>
    </row>
    <row r="6504" customFormat="false" ht="15" hidden="false" customHeight="false" outlineLevel="0" collapsed="false">
      <c r="A6504" s="0" t="s">
        <v>3320</v>
      </c>
      <c r="B6504" s="6" t="n">
        <v>41945</v>
      </c>
      <c r="C6504" s="7" t="s">
        <v>55</v>
      </c>
      <c r="D6504" s="7" t="s">
        <v>116</v>
      </c>
      <c r="E6504" s="7" t="s">
        <v>39</v>
      </c>
      <c r="F6504" s="0" t="n">
        <v>50.232</v>
      </c>
      <c r="G6504" s="0" t="n">
        <v>-10.0464</v>
      </c>
      <c r="H6504" s="0" t="n">
        <v>0.4</v>
      </c>
      <c r="I6504" s="7" t="n">
        <f aca="false">YEAR(B6504)</f>
        <v>2014</v>
      </c>
      <c r="J6504" s="0" t="str">
        <f aca="false">I6504&amp;"-Q"&amp;ROUNDUP(MONTH(B6504)/3,0)</f>
        <v>2014-Q4</v>
      </c>
    </row>
    <row r="6505" customFormat="false" ht="15" hidden="false" customHeight="false" outlineLevel="0" collapsed="false">
      <c r="A6505" s="0" t="s">
        <v>3320</v>
      </c>
      <c r="B6505" s="6" t="n">
        <v>41945</v>
      </c>
      <c r="C6505" s="7" t="s">
        <v>55</v>
      </c>
      <c r="D6505" s="7" t="s">
        <v>116</v>
      </c>
      <c r="E6505" s="7" t="s">
        <v>35</v>
      </c>
      <c r="F6505" s="0" t="n">
        <v>19.242</v>
      </c>
      <c r="G6505" s="0" t="n">
        <v>-13.4694</v>
      </c>
      <c r="H6505" s="0" t="n">
        <v>0.7</v>
      </c>
      <c r="I6505" s="7" t="n">
        <f aca="false">YEAR(B6505)</f>
        <v>2014</v>
      </c>
      <c r="J6505" s="0" t="str">
        <f aca="false">I6505&amp;"-Q"&amp;ROUNDUP(MONTH(B6505)/3,0)</f>
        <v>2014-Q4</v>
      </c>
    </row>
    <row r="6506" customFormat="false" ht="15" hidden="false" customHeight="false" outlineLevel="0" collapsed="false">
      <c r="A6506" s="0" t="s">
        <v>3321</v>
      </c>
      <c r="B6506" s="6" t="n">
        <v>43056</v>
      </c>
      <c r="C6506" s="7" t="s">
        <v>55</v>
      </c>
      <c r="D6506" s="7" t="s">
        <v>76</v>
      </c>
      <c r="E6506" s="7" t="s">
        <v>35</v>
      </c>
      <c r="F6506" s="0" t="n">
        <v>1247.64</v>
      </c>
      <c r="G6506" s="0" t="n">
        <v>349.3392</v>
      </c>
      <c r="H6506" s="0" t="n">
        <v>0</v>
      </c>
      <c r="I6506" s="7" t="n">
        <f aca="false">YEAR(B6506)</f>
        <v>2017</v>
      </c>
      <c r="J6506" s="0" t="str">
        <f aca="false">I6506&amp;"-Q"&amp;ROUNDUP(MONTH(B6506)/3,0)</f>
        <v>2017-Q4</v>
      </c>
    </row>
    <row r="6507" customFormat="false" ht="15" hidden="false" customHeight="false" outlineLevel="0" collapsed="false">
      <c r="A6507" s="0" t="s">
        <v>3322</v>
      </c>
      <c r="B6507" s="6" t="n">
        <v>42547</v>
      </c>
      <c r="C6507" s="7" t="s">
        <v>45</v>
      </c>
      <c r="D6507" s="7" t="s">
        <v>64</v>
      </c>
      <c r="E6507" s="7" t="s">
        <v>35</v>
      </c>
      <c r="F6507" s="0" t="n">
        <v>5.304</v>
      </c>
      <c r="G6507" s="0" t="n">
        <v>0.4641</v>
      </c>
      <c r="H6507" s="0" t="n">
        <v>0.2</v>
      </c>
      <c r="I6507" s="7" t="n">
        <f aca="false">YEAR(B6507)</f>
        <v>2016</v>
      </c>
      <c r="J6507" s="0" t="str">
        <f aca="false">I6507&amp;"-Q"&amp;ROUNDUP(MONTH(B6507)/3,0)</f>
        <v>2016-Q2</v>
      </c>
    </row>
    <row r="6508" customFormat="false" ht="15" hidden="false" customHeight="false" outlineLevel="0" collapsed="false">
      <c r="A6508" s="0" t="s">
        <v>3323</v>
      </c>
      <c r="B6508" s="6" t="n">
        <v>42652</v>
      </c>
      <c r="C6508" s="7" t="s">
        <v>55</v>
      </c>
      <c r="D6508" s="7" t="s">
        <v>56</v>
      </c>
      <c r="E6508" s="7" t="s">
        <v>35</v>
      </c>
      <c r="F6508" s="0" t="n">
        <v>19.136</v>
      </c>
      <c r="G6508" s="0" t="n">
        <v>5.98</v>
      </c>
      <c r="H6508" s="0" t="n">
        <v>0.2</v>
      </c>
      <c r="I6508" s="7" t="n">
        <f aca="false">YEAR(B6508)</f>
        <v>2016</v>
      </c>
      <c r="J6508" s="0" t="str">
        <f aca="false">I6508&amp;"-Q"&amp;ROUNDUP(MONTH(B6508)/3,0)</f>
        <v>2016-Q4</v>
      </c>
    </row>
    <row r="6509" customFormat="false" ht="15" hidden="false" customHeight="false" outlineLevel="0" collapsed="false">
      <c r="A6509" s="0" t="s">
        <v>3323</v>
      </c>
      <c r="B6509" s="6" t="n">
        <v>42652</v>
      </c>
      <c r="C6509" s="7" t="s">
        <v>55</v>
      </c>
      <c r="D6509" s="7" t="s">
        <v>56</v>
      </c>
      <c r="E6509" s="7" t="s">
        <v>31</v>
      </c>
      <c r="F6509" s="0" t="n">
        <v>332.832</v>
      </c>
      <c r="G6509" s="0" t="n">
        <v>-24.9624</v>
      </c>
      <c r="H6509" s="0" t="n">
        <v>0.2</v>
      </c>
      <c r="I6509" s="7" t="n">
        <f aca="false">YEAR(B6509)</f>
        <v>2016</v>
      </c>
      <c r="J6509" s="0" t="str">
        <f aca="false">I6509&amp;"-Q"&amp;ROUNDUP(MONTH(B6509)/3,0)</f>
        <v>2016-Q4</v>
      </c>
    </row>
    <row r="6510" customFormat="false" ht="15" hidden="false" customHeight="false" outlineLevel="0" collapsed="false">
      <c r="A6510" s="0" t="s">
        <v>3324</v>
      </c>
      <c r="B6510" s="6" t="n">
        <v>43089</v>
      </c>
      <c r="C6510" s="7" t="s">
        <v>55</v>
      </c>
      <c r="D6510" s="7" t="s">
        <v>76</v>
      </c>
      <c r="E6510" s="7" t="s">
        <v>35</v>
      </c>
      <c r="F6510" s="0" t="n">
        <v>279.9</v>
      </c>
      <c r="G6510" s="0" t="n">
        <v>137.151</v>
      </c>
      <c r="H6510" s="0" t="n">
        <v>0</v>
      </c>
      <c r="I6510" s="7" t="n">
        <f aca="false">YEAR(B6510)</f>
        <v>2017</v>
      </c>
      <c r="J6510" s="0" t="str">
        <f aca="false">I6510&amp;"-Q"&amp;ROUNDUP(MONTH(B6510)/3,0)</f>
        <v>2017-Q4</v>
      </c>
    </row>
    <row r="6511" customFormat="false" ht="15" hidden="false" customHeight="false" outlineLevel="0" collapsed="false">
      <c r="A6511" s="0" t="s">
        <v>3324</v>
      </c>
      <c r="B6511" s="6" t="n">
        <v>43089</v>
      </c>
      <c r="C6511" s="7" t="s">
        <v>55</v>
      </c>
      <c r="D6511" s="7" t="s">
        <v>76</v>
      </c>
      <c r="E6511" s="7" t="s">
        <v>35</v>
      </c>
      <c r="F6511" s="0" t="n">
        <v>50.352</v>
      </c>
      <c r="G6511" s="0" t="n">
        <v>17.6232</v>
      </c>
      <c r="H6511" s="0" t="n">
        <v>0.2</v>
      </c>
      <c r="I6511" s="7" t="n">
        <f aca="false">YEAR(B6511)</f>
        <v>2017</v>
      </c>
      <c r="J6511" s="0" t="str">
        <f aca="false">I6511&amp;"-Q"&amp;ROUNDUP(MONTH(B6511)/3,0)</f>
        <v>2017-Q4</v>
      </c>
    </row>
    <row r="6512" customFormat="false" ht="15" hidden="false" customHeight="false" outlineLevel="0" collapsed="false">
      <c r="A6512" s="0" t="s">
        <v>3324</v>
      </c>
      <c r="B6512" s="6" t="n">
        <v>43089</v>
      </c>
      <c r="C6512" s="7" t="s">
        <v>55</v>
      </c>
      <c r="D6512" s="7" t="s">
        <v>76</v>
      </c>
      <c r="E6512" s="7" t="s">
        <v>35</v>
      </c>
      <c r="F6512" s="0" t="n">
        <v>34.02</v>
      </c>
      <c r="G6512" s="0" t="n">
        <v>16.6698</v>
      </c>
      <c r="H6512" s="0" t="n">
        <v>0</v>
      </c>
      <c r="I6512" s="7" t="n">
        <f aca="false">YEAR(B6512)</f>
        <v>2017</v>
      </c>
      <c r="J6512" s="0" t="str">
        <f aca="false">I6512&amp;"-Q"&amp;ROUNDUP(MONTH(B6512)/3,0)</f>
        <v>2017-Q4</v>
      </c>
    </row>
    <row r="6513" customFormat="false" ht="15" hidden="false" customHeight="false" outlineLevel="0" collapsed="false">
      <c r="A6513" s="0" t="s">
        <v>3325</v>
      </c>
      <c r="B6513" s="6" t="n">
        <v>42800</v>
      </c>
      <c r="C6513" s="7" t="s">
        <v>33</v>
      </c>
      <c r="D6513" s="7" t="s">
        <v>34</v>
      </c>
      <c r="E6513" s="7" t="s">
        <v>35</v>
      </c>
      <c r="F6513" s="0" t="n">
        <v>23.88</v>
      </c>
      <c r="G6513" s="0" t="n">
        <v>8.1192</v>
      </c>
      <c r="H6513" s="0" t="n">
        <v>0</v>
      </c>
      <c r="I6513" s="7" t="n">
        <f aca="false">YEAR(B6513)</f>
        <v>2017</v>
      </c>
      <c r="J6513" s="0" t="str">
        <f aca="false">I6513&amp;"-Q"&amp;ROUNDUP(MONTH(B6513)/3,0)</f>
        <v>2017-Q1</v>
      </c>
    </row>
    <row r="6514" customFormat="false" ht="15" hidden="false" customHeight="false" outlineLevel="0" collapsed="false">
      <c r="A6514" s="0" t="s">
        <v>3325</v>
      </c>
      <c r="B6514" s="6" t="n">
        <v>42800</v>
      </c>
      <c r="C6514" s="7" t="s">
        <v>33</v>
      </c>
      <c r="D6514" s="7" t="s">
        <v>34</v>
      </c>
      <c r="E6514" s="7" t="s">
        <v>35</v>
      </c>
      <c r="F6514" s="0" t="n">
        <v>11.52</v>
      </c>
      <c r="G6514" s="0" t="n">
        <v>5.6448</v>
      </c>
      <c r="H6514" s="0" t="n">
        <v>0</v>
      </c>
      <c r="I6514" s="7" t="n">
        <f aca="false">YEAR(B6514)</f>
        <v>2017</v>
      </c>
      <c r="J6514" s="0" t="str">
        <f aca="false">I6514&amp;"-Q"&amp;ROUNDUP(MONTH(B6514)/3,0)</f>
        <v>2017-Q1</v>
      </c>
    </row>
    <row r="6515" customFormat="false" ht="15" hidden="false" customHeight="false" outlineLevel="0" collapsed="false">
      <c r="A6515" s="0" t="s">
        <v>3325</v>
      </c>
      <c r="B6515" s="6" t="n">
        <v>42800</v>
      </c>
      <c r="C6515" s="7" t="s">
        <v>33</v>
      </c>
      <c r="D6515" s="7" t="s">
        <v>34</v>
      </c>
      <c r="E6515" s="7" t="s">
        <v>35</v>
      </c>
      <c r="F6515" s="0" t="n">
        <v>286.93</v>
      </c>
      <c r="G6515" s="0" t="n">
        <v>140.5957</v>
      </c>
      <c r="H6515" s="0" t="n">
        <v>0</v>
      </c>
      <c r="I6515" s="7" t="n">
        <f aca="false">YEAR(B6515)</f>
        <v>2017</v>
      </c>
      <c r="J6515" s="0" t="str">
        <f aca="false">I6515&amp;"-Q"&amp;ROUNDUP(MONTH(B6515)/3,0)</f>
        <v>2017-Q1</v>
      </c>
    </row>
    <row r="6516" customFormat="false" ht="15" hidden="false" customHeight="false" outlineLevel="0" collapsed="false">
      <c r="A6516" s="0" t="s">
        <v>3325</v>
      </c>
      <c r="B6516" s="6" t="n">
        <v>42800</v>
      </c>
      <c r="C6516" s="7" t="s">
        <v>33</v>
      </c>
      <c r="D6516" s="7" t="s">
        <v>34</v>
      </c>
      <c r="E6516" s="7" t="s">
        <v>39</v>
      </c>
      <c r="F6516" s="0" t="n">
        <v>206.384</v>
      </c>
      <c r="G6516" s="0" t="n">
        <v>23.2182</v>
      </c>
      <c r="H6516" s="0" t="n">
        <v>0.2</v>
      </c>
      <c r="I6516" s="7" t="n">
        <f aca="false">YEAR(B6516)</f>
        <v>2017</v>
      </c>
      <c r="J6516" s="0" t="str">
        <f aca="false">I6516&amp;"-Q"&amp;ROUNDUP(MONTH(B6516)/3,0)</f>
        <v>2017-Q1</v>
      </c>
    </row>
    <row r="6517" customFormat="false" ht="15" hidden="false" customHeight="false" outlineLevel="0" collapsed="false">
      <c r="A6517" s="0" t="s">
        <v>3326</v>
      </c>
      <c r="B6517" s="6" t="n">
        <v>42993</v>
      </c>
      <c r="C6517" s="7" t="s">
        <v>33</v>
      </c>
      <c r="D6517" s="7" t="s">
        <v>34</v>
      </c>
      <c r="E6517" s="7" t="s">
        <v>31</v>
      </c>
      <c r="F6517" s="0" t="n">
        <v>218.352</v>
      </c>
      <c r="G6517" s="0" t="n">
        <v>0</v>
      </c>
      <c r="H6517" s="0" t="n">
        <v>0.2</v>
      </c>
      <c r="I6517" s="7" t="n">
        <f aca="false">YEAR(B6517)</f>
        <v>2017</v>
      </c>
      <c r="J6517" s="0" t="str">
        <f aca="false">I6517&amp;"-Q"&amp;ROUNDUP(MONTH(B6517)/3,0)</f>
        <v>2017-Q3</v>
      </c>
    </row>
    <row r="6518" customFormat="false" ht="15" hidden="false" customHeight="false" outlineLevel="0" collapsed="false">
      <c r="A6518" s="0" t="s">
        <v>3326</v>
      </c>
      <c r="B6518" s="6" t="n">
        <v>42993</v>
      </c>
      <c r="C6518" s="7" t="s">
        <v>33</v>
      </c>
      <c r="D6518" s="7" t="s">
        <v>34</v>
      </c>
      <c r="E6518" s="7" t="s">
        <v>31</v>
      </c>
      <c r="F6518" s="0" t="n">
        <v>529.9</v>
      </c>
      <c r="G6518" s="0" t="n">
        <v>105.98</v>
      </c>
      <c r="H6518" s="0" t="n">
        <v>0</v>
      </c>
      <c r="I6518" s="7" t="n">
        <f aca="false">YEAR(B6518)</f>
        <v>2017</v>
      </c>
      <c r="J6518" s="0" t="str">
        <f aca="false">I6518&amp;"-Q"&amp;ROUNDUP(MONTH(B6518)/3,0)</f>
        <v>2017-Q3</v>
      </c>
    </row>
    <row r="6519" customFormat="false" ht="15" hidden="false" customHeight="false" outlineLevel="0" collapsed="false">
      <c r="A6519" s="0" t="s">
        <v>3326</v>
      </c>
      <c r="B6519" s="6" t="n">
        <v>42993</v>
      </c>
      <c r="C6519" s="7" t="s">
        <v>33</v>
      </c>
      <c r="D6519" s="7" t="s">
        <v>34</v>
      </c>
      <c r="E6519" s="7" t="s">
        <v>35</v>
      </c>
      <c r="F6519" s="0" t="n">
        <v>99.3</v>
      </c>
      <c r="G6519" s="0" t="n">
        <v>41.706</v>
      </c>
      <c r="H6519" s="0" t="n">
        <v>0</v>
      </c>
      <c r="I6519" s="7" t="n">
        <f aca="false">YEAR(B6519)</f>
        <v>2017</v>
      </c>
      <c r="J6519" s="0" t="str">
        <f aca="false">I6519&amp;"-Q"&amp;ROUNDUP(MONTH(B6519)/3,0)</f>
        <v>2017-Q3</v>
      </c>
    </row>
    <row r="6520" customFormat="false" ht="15" hidden="false" customHeight="false" outlineLevel="0" collapsed="false">
      <c r="A6520" s="0" t="s">
        <v>3326</v>
      </c>
      <c r="B6520" s="6" t="n">
        <v>42993</v>
      </c>
      <c r="C6520" s="7" t="s">
        <v>33</v>
      </c>
      <c r="D6520" s="7" t="s">
        <v>34</v>
      </c>
      <c r="E6520" s="7" t="s">
        <v>35</v>
      </c>
      <c r="F6520" s="0" t="n">
        <v>108.96</v>
      </c>
      <c r="G6520" s="0" t="n">
        <v>30.5088</v>
      </c>
      <c r="H6520" s="0" t="n">
        <v>0</v>
      </c>
      <c r="I6520" s="7" t="n">
        <f aca="false">YEAR(B6520)</f>
        <v>2017</v>
      </c>
      <c r="J6520" s="0" t="str">
        <f aca="false">I6520&amp;"-Q"&amp;ROUNDUP(MONTH(B6520)/3,0)</f>
        <v>2017-Q3</v>
      </c>
    </row>
    <row r="6521" customFormat="false" ht="15" hidden="false" customHeight="false" outlineLevel="0" collapsed="false">
      <c r="A6521" s="0" t="s">
        <v>3326</v>
      </c>
      <c r="B6521" s="6" t="n">
        <v>42993</v>
      </c>
      <c r="C6521" s="7" t="s">
        <v>33</v>
      </c>
      <c r="D6521" s="7" t="s">
        <v>34</v>
      </c>
      <c r="E6521" s="7" t="s">
        <v>35</v>
      </c>
      <c r="F6521" s="0" t="n">
        <v>2.688</v>
      </c>
      <c r="G6521" s="0" t="n">
        <v>0.84</v>
      </c>
      <c r="H6521" s="0" t="n">
        <v>0.2</v>
      </c>
      <c r="I6521" s="7" t="n">
        <f aca="false">YEAR(B6521)</f>
        <v>2017</v>
      </c>
      <c r="J6521" s="0" t="str">
        <f aca="false">I6521&amp;"-Q"&amp;ROUNDUP(MONTH(B6521)/3,0)</f>
        <v>2017-Q3</v>
      </c>
    </row>
    <row r="6522" customFormat="false" ht="15" hidden="false" customHeight="false" outlineLevel="0" collapsed="false">
      <c r="A6522" s="0" t="s">
        <v>3327</v>
      </c>
      <c r="B6522" s="6" t="n">
        <v>42751</v>
      </c>
      <c r="C6522" s="7" t="s">
        <v>45</v>
      </c>
      <c r="D6522" s="7" t="s">
        <v>70</v>
      </c>
      <c r="E6522" s="7" t="s">
        <v>35</v>
      </c>
      <c r="F6522" s="0" t="n">
        <v>5443.96</v>
      </c>
      <c r="G6522" s="0" t="n">
        <v>2504.2216</v>
      </c>
      <c r="H6522" s="0" t="n">
        <v>0</v>
      </c>
      <c r="I6522" s="7" t="n">
        <f aca="false">YEAR(B6522)</f>
        <v>2017</v>
      </c>
      <c r="J6522" s="0" t="str">
        <f aca="false">I6522&amp;"-Q"&amp;ROUNDUP(MONTH(B6522)/3,0)</f>
        <v>2017-Q1</v>
      </c>
    </row>
    <row r="6523" customFormat="false" ht="15" hidden="false" customHeight="false" outlineLevel="0" collapsed="false">
      <c r="A6523" s="0" t="s">
        <v>3327</v>
      </c>
      <c r="B6523" s="6" t="n">
        <v>42751</v>
      </c>
      <c r="C6523" s="7" t="s">
        <v>45</v>
      </c>
      <c r="D6523" s="7" t="s">
        <v>70</v>
      </c>
      <c r="E6523" s="7" t="s">
        <v>31</v>
      </c>
      <c r="F6523" s="0" t="n">
        <v>302.67</v>
      </c>
      <c r="G6523" s="0" t="n">
        <v>72.6408</v>
      </c>
      <c r="H6523" s="0" t="n">
        <v>0</v>
      </c>
      <c r="I6523" s="7" t="n">
        <f aca="false">YEAR(B6523)</f>
        <v>2017</v>
      </c>
      <c r="J6523" s="0" t="str">
        <f aca="false">I6523&amp;"-Q"&amp;ROUNDUP(MONTH(B6523)/3,0)</f>
        <v>2017-Q1</v>
      </c>
    </row>
    <row r="6524" customFormat="false" ht="15" hidden="false" customHeight="false" outlineLevel="0" collapsed="false">
      <c r="A6524" s="0" t="s">
        <v>3327</v>
      </c>
      <c r="B6524" s="6" t="n">
        <v>42751</v>
      </c>
      <c r="C6524" s="7" t="s">
        <v>45</v>
      </c>
      <c r="D6524" s="7" t="s">
        <v>70</v>
      </c>
      <c r="E6524" s="7" t="s">
        <v>35</v>
      </c>
      <c r="F6524" s="0" t="n">
        <v>56.07</v>
      </c>
      <c r="G6524" s="0" t="n">
        <v>25.2315</v>
      </c>
      <c r="H6524" s="0" t="n">
        <v>0</v>
      </c>
      <c r="I6524" s="7" t="n">
        <f aca="false">YEAR(B6524)</f>
        <v>2017</v>
      </c>
      <c r="J6524" s="0" t="str">
        <f aca="false">I6524&amp;"-Q"&amp;ROUNDUP(MONTH(B6524)/3,0)</f>
        <v>2017-Q1</v>
      </c>
    </row>
    <row r="6525" customFormat="false" ht="15" hidden="false" customHeight="false" outlineLevel="0" collapsed="false">
      <c r="A6525" s="0" t="s">
        <v>3328</v>
      </c>
      <c r="B6525" s="6" t="n">
        <v>42558</v>
      </c>
      <c r="C6525" s="7" t="s">
        <v>55</v>
      </c>
      <c r="D6525" s="7" t="s">
        <v>56</v>
      </c>
      <c r="E6525" s="7" t="s">
        <v>35</v>
      </c>
      <c r="F6525" s="0" t="n">
        <v>10.08</v>
      </c>
      <c r="G6525" s="0" t="n">
        <v>3.276</v>
      </c>
      <c r="H6525" s="0" t="n">
        <v>0.2</v>
      </c>
      <c r="I6525" s="7" t="n">
        <f aca="false">YEAR(B6525)</f>
        <v>2016</v>
      </c>
      <c r="J6525" s="0" t="str">
        <f aca="false">I6525&amp;"-Q"&amp;ROUNDUP(MONTH(B6525)/3,0)</f>
        <v>2016-Q3</v>
      </c>
    </row>
    <row r="6526" customFormat="false" ht="15" hidden="false" customHeight="false" outlineLevel="0" collapsed="false">
      <c r="A6526" s="0" t="s">
        <v>3328</v>
      </c>
      <c r="B6526" s="6" t="n">
        <v>42558</v>
      </c>
      <c r="C6526" s="7" t="s">
        <v>55</v>
      </c>
      <c r="D6526" s="7" t="s">
        <v>56</v>
      </c>
      <c r="E6526" s="7" t="s">
        <v>39</v>
      </c>
      <c r="F6526" s="0" t="n">
        <v>59.994</v>
      </c>
      <c r="G6526" s="0" t="n">
        <v>-12.9987</v>
      </c>
      <c r="H6526" s="0" t="n">
        <v>0.4</v>
      </c>
      <c r="I6526" s="7" t="n">
        <f aca="false">YEAR(B6526)</f>
        <v>2016</v>
      </c>
      <c r="J6526" s="0" t="str">
        <f aca="false">I6526&amp;"-Q"&amp;ROUNDUP(MONTH(B6526)/3,0)</f>
        <v>2016-Q3</v>
      </c>
    </row>
    <row r="6527" customFormat="false" ht="15" hidden="false" customHeight="false" outlineLevel="0" collapsed="false">
      <c r="A6527" s="0" t="s">
        <v>3328</v>
      </c>
      <c r="B6527" s="6" t="n">
        <v>42558</v>
      </c>
      <c r="C6527" s="7" t="s">
        <v>55</v>
      </c>
      <c r="D6527" s="7" t="s">
        <v>56</v>
      </c>
      <c r="E6527" s="7" t="s">
        <v>35</v>
      </c>
      <c r="F6527" s="0" t="n">
        <v>5.715</v>
      </c>
      <c r="G6527" s="0" t="n">
        <v>-4.7625</v>
      </c>
      <c r="H6527" s="0" t="n">
        <v>0.7</v>
      </c>
      <c r="I6527" s="7" t="n">
        <f aca="false">YEAR(B6527)</f>
        <v>2016</v>
      </c>
      <c r="J6527" s="0" t="str">
        <f aca="false">I6527&amp;"-Q"&amp;ROUNDUP(MONTH(B6527)/3,0)</f>
        <v>2016-Q3</v>
      </c>
    </row>
    <row r="6528" customFormat="false" ht="15" hidden="false" customHeight="false" outlineLevel="0" collapsed="false">
      <c r="A6528" s="0" t="s">
        <v>3328</v>
      </c>
      <c r="B6528" s="6" t="n">
        <v>42558</v>
      </c>
      <c r="C6528" s="7" t="s">
        <v>55</v>
      </c>
      <c r="D6528" s="7" t="s">
        <v>56</v>
      </c>
      <c r="E6528" s="7" t="s">
        <v>35</v>
      </c>
      <c r="F6528" s="0" t="n">
        <v>9.42</v>
      </c>
      <c r="G6528" s="0" t="n">
        <v>-7.85</v>
      </c>
      <c r="H6528" s="0" t="n">
        <v>0.7</v>
      </c>
      <c r="I6528" s="7" t="n">
        <f aca="false">YEAR(B6528)</f>
        <v>2016</v>
      </c>
      <c r="J6528" s="0" t="str">
        <f aca="false">I6528&amp;"-Q"&amp;ROUNDUP(MONTH(B6528)/3,0)</f>
        <v>2016-Q3</v>
      </c>
    </row>
    <row r="6529" customFormat="false" ht="15" hidden="false" customHeight="false" outlineLevel="0" collapsed="false">
      <c r="A6529" s="0" t="s">
        <v>3329</v>
      </c>
      <c r="B6529" s="6" t="n">
        <v>42727</v>
      </c>
      <c r="C6529" s="7" t="s">
        <v>55</v>
      </c>
      <c r="D6529" s="7" t="s">
        <v>250</v>
      </c>
      <c r="E6529" s="7" t="s">
        <v>39</v>
      </c>
      <c r="F6529" s="0" t="n">
        <v>1999.96</v>
      </c>
      <c r="G6529" s="0" t="n">
        <v>899.982</v>
      </c>
      <c r="H6529" s="0" t="n">
        <v>0</v>
      </c>
      <c r="I6529" s="7" t="n">
        <f aca="false">YEAR(B6529)</f>
        <v>2016</v>
      </c>
      <c r="J6529" s="0" t="str">
        <f aca="false">I6529&amp;"-Q"&amp;ROUNDUP(MONTH(B6529)/3,0)</f>
        <v>2016-Q4</v>
      </c>
    </row>
    <row r="6530" customFormat="false" ht="15" hidden="false" customHeight="false" outlineLevel="0" collapsed="false">
      <c r="A6530" s="0" t="s">
        <v>3330</v>
      </c>
      <c r="B6530" s="6" t="n">
        <v>41995</v>
      </c>
      <c r="C6530" s="7" t="s">
        <v>55</v>
      </c>
      <c r="D6530" s="7" t="s">
        <v>76</v>
      </c>
      <c r="E6530" s="7" t="s">
        <v>35</v>
      </c>
      <c r="F6530" s="0" t="n">
        <v>216.4</v>
      </c>
      <c r="G6530" s="0" t="n">
        <v>56.264</v>
      </c>
      <c r="H6530" s="0" t="n">
        <v>0</v>
      </c>
      <c r="I6530" s="7" t="n">
        <f aca="false">YEAR(B6530)</f>
        <v>2014</v>
      </c>
      <c r="J6530" s="0" t="str">
        <f aca="false">I6530&amp;"-Q"&amp;ROUNDUP(MONTH(B6530)/3,0)</f>
        <v>2014-Q4</v>
      </c>
    </row>
    <row r="6531" customFormat="false" ht="15" hidden="false" customHeight="false" outlineLevel="0" collapsed="false">
      <c r="A6531" s="0" t="s">
        <v>3331</v>
      </c>
      <c r="B6531" s="6" t="n">
        <v>41693</v>
      </c>
      <c r="C6531" s="7" t="s">
        <v>45</v>
      </c>
      <c r="D6531" s="7" t="s">
        <v>46</v>
      </c>
      <c r="E6531" s="7" t="s">
        <v>35</v>
      </c>
      <c r="F6531" s="0" t="n">
        <v>6.936</v>
      </c>
      <c r="G6531" s="0" t="n">
        <v>2.3409</v>
      </c>
      <c r="H6531" s="0" t="n">
        <v>0.2</v>
      </c>
      <c r="I6531" s="7" t="n">
        <f aca="false">YEAR(B6531)</f>
        <v>2014</v>
      </c>
      <c r="J6531" s="0" t="str">
        <f aca="false">I6531&amp;"-Q"&amp;ROUNDUP(MONTH(B6531)/3,0)</f>
        <v>2014-Q1</v>
      </c>
    </row>
    <row r="6532" customFormat="false" ht="15" hidden="false" customHeight="false" outlineLevel="0" collapsed="false">
      <c r="A6532" s="0" t="s">
        <v>3331</v>
      </c>
      <c r="B6532" s="6" t="n">
        <v>41693</v>
      </c>
      <c r="C6532" s="7" t="s">
        <v>45</v>
      </c>
      <c r="D6532" s="7" t="s">
        <v>46</v>
      </c>
      <c r="E6532" s="7" t="s">
        <v>35</v>
      </c>
      <c r="F6532" s="0" t="n">
        <v>4.428</v>
      </c>
      <c r="G6532" s="0" t="n">
        <v>-6.8634</v>
      </c>
      <c r="H6532" s="0" t="n">
        <v>0.8</v>
      </c>
      <c r="I6532" s="7" t="n">
        <f aca="false">YEAR(B6532)</f>
        <v>2014</v>
      </c>
      <c r="J6532" s="0" t="str">
        <f aca="false">I6532&amp;"-Q"&amp;ROUNDUP(MONTH(B6532)/3,0)</f>
        <v>2014-Q1</v>
      </c>
    </row>
    <row r="6533" customFormat="false" ht="15" hidden="false" customHeight="false" outlineLevel="0" collapsed="false">
      <c r="A6533" s="0" t="s">
        <v>3332</v>
      </c>
      <c r="B6533" s="6" t="n">
        <v>43073</v>
      </c>
      <c r="C6533" s="7" t="s">
        <v>45</v>
      </c>
      <c r="D6533" s="7" t="s">
        <v>68</v>
      </c>
      <c r="E6533" s="7" t="s">
        <v>35</v>
      </c>
      <c r="F6533" s="0" t="n">
        <v>8.8</v>
      </c>
      <c r="G6533" s="0" t="n">
        <v>2.552</v>
      </c>
      <c r="H6533" s="0" t="n">
        <v>0</v>
      </c>
      <c r="I6533" s="7" t="n">
        <f aca="false">YEAR(B6533)</f>
        <v>2017</v>
      </c>
      <c r="J6533" s="0" t="str">
        <f aca="false">I6533&amp;"-Q"&amp;ROUNDUP(MONTH(B6533)/3,0)</f>
        <v>2017-Q4</v>
      </c>
    </row>
    <row r="6534" customFormat="false" ht="15" hidden="false" customHeight="false" outlineLevel="0" collapsed="false">
      <c r="A6534" s="0" t="s">
        <v>3332</v>
      </c>
      <c r="B6534" s="6" t="n">
        <v>43073</v>
      </c>
      <c r="C6534" s="7" t="s">
        <v>45</v>
      </c>
      <c r="D6534" s="7" t="s">
        <v>68</v>
      </c>
      <c r="E6534" s="7" t="s">
        <v>39</v>
      </c>
      <c r="F6534" s="0" t="n">
        <v>142.8</v>
      </c>
      <c r="G6534" s="0" t="n">
        <v>29.988</v>
      </c>
      <c r="H6534" s="0" t="n">
        <v>0</v>
      </c>
      <c r="I6534" s="7" t="n">
        <f aca="false">YEAR(B6534)</f>
        <v>2017</v>
      </c>
      <c r="J6534" s="0" t="str">
        <f aca="false">I6534&amp;"-Q"&amp;ROUNDUP(MONTH(B6534)/3,0)</f>
        <v>2017-Q4</v>
      </c>
    </row>
    <row r="6535" customFormat="false" ht="15" hidden="false" customHeight="false" outlineLevel="0" collapsed="false">
      <c r="A6535" s="0" t="s">
        <v>3332</v>
      </c>
      <c r="B6535" s="6" t="n">
        <v>43073</v>
      </c>
      <c r="C6535" s="7" t="s">
        <v>45</v>
      </c>
      <c r="D6535" s="7" t="s">
        <v>68</v>
      </c>
      <c r="E6535" s="7" t="s">
        <v>39</v>
      </c>
      <c r="F6535" s="0" t="n">
        <v>399.95</v>
      </c>
      <c r="G6535" s="0" t="n">
        <v>143.982</v>
      </c>
      <c r="H6535" s="0" t="n">
        <v>0</v>
      </c>
      <c r="I6535" s="7" t="n">
        <f aca="false">YEAR(B6535)</f>
        <v>2017</v>
      </c>
      <c r="J6535" s="0" t="str">
        <f aca="false">I6535&amp;"-Q"&amp;ROUNDUP(MONTH(B6535)/3,0)</f>
        <v>2017-Q4</v>
      </c>
    </row>
    <row r="6536" customFormat="false" ht="15" hidden="false" customHeight="false" outlineLevel="0" collapsed="false">
      <c r="A6536" s="0" t="s">
        <v>3333</v>
      </c>
      <c r="B6536" s="6" t="n">
        <v>41960</v>
      </c>
      <c r="C6536" s="7" t="s">
        <v>55</v>
      </c>
      <c r="D6536" s="7" t="s">
        <v>76</v>
      </c>
      <c r="E6536" s="7" t="s">
        <v>35</v>
      </c>
      <c r="F6536" s="0" t="n">
        <v>2152.776</v>
      </c>
      <c r="G6536" s="0" t="n">
        <v>726.5619</v>
      </c>
      <c r="H6536" s="0" t="n">
        <v>0.2</v>
      </c>
      <c r="I6536" s="7" t="n">
        <f aca="false">YEAR(B6536)</f>
        <v>2014</v>
      </c>
      <c r="J6536" s="0" t="str">
        <f aca="false">I6536&amp;"-Q"&amp;ROUNDUP(MONTH(B6536)/3,0)</f>
        <v>2014-Q4</v>
      </c>
    </row>
    <row r="6537" customFormat="false" ht="15" hidden="false" customHeight="false" outlineLevel="0" collapsed="false">
      <c r="A6537" s="0" t="s">
        <v>3333</v>
      </c>
      <c r="B6537" s="6" t="n">
        <v>41960</v>
      </c>
      <c r="C6537" s="7" t="s">
        <v>55</v>
      </c>
      <c r="D6537" s="7" t="s">
        <v>76</v>
      </c>
      <c r="E6537" s="7" t="s">
        <v>31</v>
      </c>
      <c r="F6537" s="0" t="n">
        <v>4007.84</v>
      </c>
      <c r="G6537" s="0" t="n">
        <v>-50.098</v>
      </c>
      <c r="H6537" s="0" t="n">
        <v>0.2</v>
      </c>
      <c r="I6537" s="7" t="n">
        <f aca="false">YEAR(B6537)</f>
        <v>2014</v>
      </c>
      <c r="J6537" s="0" t="str">
        <f aca="false">I6537&amp;"-Q"&amp;ROUNDUP(MONTH(B6537)/3,0)</f>
        <v>2014-Q4</v>
      </c>
    </row>
    <row r="6538" customFormat="false" ht="15" hidden="false" customHeight="false" outlineLevel="0" collapsed="false">
      <c r="A6538" s="0" t="s">
        <v>3334</v>
      </c>
      <c r="B6538" s="6" t="n">
        <v>41932</v>
      </c>
      <c r="C6538" s="7" t="s">
        <v>29</v>
      </c>
      <c r="D6538" s="7" t="s">
        <v>87</v>
      </c>
      <c r="E6538" s="7" t="s">
        <v>31</v>
      </c>
      <c r="F6538" s="0" t="n">
        <v>328.59</v>
      </c>
      <c r="G6538" s="0" t="n">
        <v>-147.8655</v>
      </c>
      <c r="H6538" s="0" t="n">
        <v>0.4</v>
      </c>
      <c r="I6538" s="7" t="n">
        <f aca="false">YEAR(B6538)</f>
        <v>2014</v>
      </c>
      <c r="J6538" s="0" t="str">
        <f aca="false">I6538&amp;"-Q"&amp;ROUNDUP(MONTH(B6538)/3,0)</f>
        <v>2014-Q4</v>
      </c>
    </row>
    <row r="6539" customFormat="false" ht="15" hidden="false" customHeight="false" outlineLevel="0" collapsed="false">
      <c r="A6539" s="0" t="s">
        <v>3334</v>
      </c>
      <c r="B6539" s="6" t="n">
        <v>41932</v>
      </c>
      <c r="C6539" s="7" t="s">
        <v>29</v>
      </c>
      <c r="D6539" s="7" t="s">
        <v>87</v>
      </c>
      <c r="E6539" s="7" t="s">
        <v>35</v>
      </c>
      <c r="F6539" s="0" t="n">
        <v>98.352</v>
      </c>
      <c r="G6539" s="0" t="n">
        <v>-24.588</v>
      </c>
      <c r="H6539" s="0" t="n">
        <v>0.2</v>
      </c>
      <c r="I6539" s="7" t="n">
        <f aca="false">YEAR(B6539)</f>
        <v>2014</v>
      </c>
      <c r="J6539" s="0" t="str">
        <f aca="false">I6539&amp;"-Q"&amp;ROUNDUP(MONTH(B6539)/3,0)</f>
        <v>2014-Q4</v>
      </c>
    </row>
    <row r="6540" customFormat="false" ht="15" hidden="false" customHeight="false" outlineLevel="0" collapsed="false">
      <c r="A6540" s="0" t="s">
        <v>3335</v>
      </c>
      <c r="B6540" s="6" t="n">
        <v>42302</v>
      </c>
      <c r="C6540" s="7" t="s">
        <v>55</v>
      </c>
      <c r="D6540" s="7" t="s">
        <v>72</v>
      </c>
      <c r="E6540" s="7" t="s">
        <v>39</v>
      </c>
      <c r="F6540" s="0" t="n">
        <v>158.99</v>
      </c>
      <c r="G6540" s="0" t="n">
        <v>41.3374</v>
      </c>
      <c r="H6540" s="0" t="n">
        <v>0</v>
      </c>
      <c r="I6540" s="7" t="n">
        <f aca="false">YEAR(B6540)</f>
        <v>2015</v>
      </c>
      <c r="J6540" s="0" t="str">
        <f aca="false">I6540&amp;"-Q"&amp;ROUNDUP(MONTH(B6540)/3,0)</f>
        <v>2015-Q4</v>
      </c>
    </row>
    <row r="6541" customFormat="false" ht="15" hidden="false" customHeight="false" outlineLevel="0" collapsed="false">
      <c r="A6541" s="0" t="s">
        <v>3335</v>
      </c>
      <c r="B6541" s="6" t="n">
        <v>42302</v>
      </c>
      <c r="C6541" s="7" t="s">
        <v>55</v>
      </c>
      <c r="D6541" s="7" t="s">
        <v>72</v>
      </c>
      <c r="E6541" s="7" t="s">
        <v>31</v>
      </c>
      <c r="F6541" s="0" t="n">
        <v>291.1</v>
      </c>
      <c r="G6541" s="0" t="n">
        <v>75.686</v>
      </c>
      <c r="H6541" s="0" t="n">
        <v>0</v>
      </c>
      <c r="I6541" s="7" t="n">
        <f aca="false">YEAR(B6541)</f>
        <v>2015</v>
      </c>
      <c r="J6541" s="0" t="str">
        <f aca="false">I6541&amp;"-Q"&amp;ROUNDUP(MONTH(B6541)/3,0)</f>
        <v>2015-Q4</v>
      </c>
    </row>
    <row r="6542" customFormat="false" ht="15" hidden="false" customHeight="false" outlineLevel="0" collapsed="false">
      <c r="A6542" s="0" t="s">
        <v>3336</v>
      </c>
      <c r="B6542" s="6" t="n">
        <v>43055</v>
      </c>
      <c r="C6542" s="7" t="s">
        <v>33</v>
      </c>
      <c r="D6542" s="7" t="s">
        <v>43</v>
      </c>
      <c r="E6542" s="7" t="s">
        <v>35</v>
      </c>
      <c r="F6542" s="0" t="n">
        <v>73.68</v>
      </c>
      <c r="G6542" s="0" t="n">
        <v>34.6296</v>
      </c>
      <c r="H6542" s="0" t="n">
        <v>0</v>
      </c>
      <c r="I6542" s="7" t="n">
        <f aca="false">YEAR(B6542)</f>
        <v>2017</v>
      </c>
      <c r="J6542" s="0" t="str">
        <f aca="false">I6542&amp;"-Q"&amp;ROUNDUP(MONTH(B6542)/3,0)</f>
        <v>2017-Q4</v>
      </c>
    </row>
    <row r="6543" customFormat="false" ht="15" hidden="false" customHeight="false" outlineLevel="0" collapsed="false">
      <c r="A6543" s="0" t="s">
        <v>3336</v>
      </c>
      <c r="B6543" s="6" t="n">
        <v>43055</v>
      </c>
      <c r="C6543" s="7" t="s">
        <v>33</v>
      </c>
      <c r="D6543" s="7" t="s">
        <v>43</v>
      </c>
      <c r="E6543" s="7" t="s">
        <v>31</v>
      </c>
      <c r="F6543" s="0" t="n">
        <v>139.92</v>
      </c>
      <c r="G6543" s="0" t="n">
        <v>23.7864</v>
      </c>
      <c r="H6543" s="0" t="n">
        <v>0</v>
      </c>
      <c r="I6543" s="7" t="n">
        <f aca="false">YEAR(B6543)</f>
        <v>2017</v>
      </c>
      <c r="J6543" s="0" t="str">
        <f aca="false">I6543&amp;"-Q"&amp;ROUNDUP(MONTH(B6543)/3,0)</f>
        <v>2017-Q4</v>
      </c>
    </row>
    <row r="6544" customFormat="false" ht="15" hidden="false" customHeight="false" outlineLevel="0" collapsed="false">
      <c r="A6544" s="0" t="s">
        <v>3336</v>
      </c>
      <c r="B6544" s="6" t="n">
        <v>43055</v>
      </c>
      <c r="C6544" s="7" t="s">
        <v>33</v>
      </c>
      <c r="D6544" s="7" t="s">
        <v>43</v>
      </c>
      <c r="E6544" s="7" t="s">
        <v>39</v>
      </c>
      <c r="F6544" s="0" t="n">
        <v>107.88</v>
      </c>
      <c r="G6544" s="0" t="n">
        <v>10.788</v>
      </c>
      <c r="H6544" s="0" t="n">
        <v>0.2</v>
      </c>
      <c r="I6544" s="7" t="n">
        <f aca="false">YEAR(B6544)</f>
        <v>2017</v>
      </c>
      <c r="J6544" s="0" t="str">
        <f aca="false">I6544&amp;"-Q"&amp;ROUNDUP(MONTH(B6544)/3,0)</f>
        <v>2017-Q4</v>
      </c>
    </row>
    <row r="6545" customFormat="false" ht="15" hidden="false" customHeight="false" outlineLevel="0" collapsed="false">
      <c r="A6545" s="0" t="s">
        <v>3336</v>
      </c>
      <c r="B6545" s="6" t="n">
        <v>43055</v>
      </c>
      <c r="C6545" s="7" t="s">
        <v>33</v>
      </c>
      <c r="D6545" s="7" t="s">
        <v>43</v>
      </c>
      <c r="E6545" s="7" t="s">
        <v>35</v>
      </c>
      <c r="F6545" s="0" t="n">
        <v>33.29</v>
      </c>
      <c r="G6545" s="0" t="n">
        <v>7.9896</v>
      </c>
      <c r="H6545" s="0" t="n">
        <v>0</v>
      </c>
      <c r="I6545" s="7" t="n">
        <f aca="false">YEAR(B6545)</f>
        <v>2017</v>
      </c>
      <c r="J6545" s="0" t="str">
        <f aca="false">I6545&amp;"-Q"&amp;ROUNDUP(MONTH(B6545)/3,0)</f>
        <v>2017-Q4</v>
      </c>
    </row>
    <row r="6546" customFormat="false" ht="15" hidden="false" customHeight="false" outlineLevel="0" collapsed="false">
      <c r="A6546" s="0" t="s">
        <v>3337</v>
      </c>
      <c r="B6546" s="6" t="n">
        <v>42869</v>
      </c>
      <c r="C6546" s="7" t="s">
        <v>55</v>
      </c>
      <c r="D6546" s="7" t="s">
        <v>116</v>
      </c>
      <c r="E6546" s="7" t="s">
        <v>35</v>
      </c>
      <c r="F6546" s="0" t="n">
        <v>58.17</v>
      </c>
      <c r="G6546" s="0" t="n">
        <v>-46.536</v>
      </c>
      <c r="H6546" s="0" t="n">
        <v>0.7</v>
      </c>
      <c r="I6546" s="7" t="n">
        <f aca="false">YEAR(B6546)</f>
        <v>2017</v>
      </c>
      <c r="J6546" s="0" t="str">
        <f aca="false">I6546&amp;"-Q"&amp;ROUNDUP(MONTH(B6546)/3,0)</f>
        <v>2017-Q2</v>
      </c>
    </row>
    <row r="6547" customFormat="false" ht="15" hidden="false" customHeight="false" outlineLevel="0" collapsed="false">
      <c r="A6547" s="0" t="s">
        <v>3337</v>
      </c>
      <c r="B6547" s="6" t="n">
        <v>42869</v>
      </c>
      <c r="C6547" s="7" t="s">
        <v>55</v>
      </c>
      <c r="D6547" s="7" t="s">
        <v>116</v>
      </c>
      <c r="E6547" s="7" t="s">
        <v>35</v>
      </c>
      <c r="F6547" s="0" t="n">
        <v>5.04</v>
      </c>
      <c r="G6547" s="0" t="n">
        <v>1.764</v>
      </c>
      <c r="H6547" s="0" t="n">
        <v>0.2</v>
      </c>
      <c r="I6547" s="7" t="n">
        <f aca="false">YEAR(B6547)</f>
        <v>2017</v>
      </c>
      <c r="J6547" s="0" t="str">
        <f aca="false">I6547&amp;"-Q"&amp;ROUNDUP(MONTH(B6547)/3,0)</f>
        <v>2017-Q2</v>
      </c>
    </row>
    <row r="6548" customFormat="false" ht="15" hidden="false" customHeight="false" outlineLevel="0" collapsed="false">
      <c r="A6548" s="0" t="s">
        <v>3337</v>
      </c>
      <c r="B6548" s="6" t="n">
        <v>42869</v>
      </c>
      <c r="C6548" s="7" t="s">
        <v>55</v>
      </c>
      <c r="D6548" s="7" t="s">
        <v>116</v>
      </c>
      <c r="E6548" s="7" t="s">
        <v>35</v>
      </c>
      <c r="F6548" s="0" t="n">
        <v>24.784</v>
      </c>
      <c r="G6548" s="0" t="n">
        <v>7.745</v>
      </c>
      <c r="H6548" s="0" t="n">
        <v>0.2</v>
      </c>
      <c r="I6548" s="7" t="n">
        <f aca="false">YEAR(B6548)</f>
        <v>2017</v>
      </c>
      <c r="J6548" s="0" t="str">
        <f aca="false">I6548&amp;"-Q"&amp;ROUNDUP(MONTH(B6548)/3,0)</f>
        <v>2017-Q2</v>
      </c>
    </row>
    <row r="6549" customFormat="false" ht="15" hidden="false" customHeight="false" outlineLevel="0" collapsed="false">
      <c r="A6549" s="0" t="s">
        <v>3338</v>
      </c>
      <c r="B6549" s="6" t="n">
        <v>41699</v>
      </c>
      <c r="C6549" s="7" t="s">
        <v>45</v>
      </c>
      <c r="D6549" s="7" t="s">
        <v>64</v>
      </c>
      <c r="E6549" s="7" t="s">
        <v>31</v>
      </c>
      <c r="F6549" s="0" t="n">
        <v>634.116</v>
      </c>
      <c r="G6549" s="0" t="n">
        <v>-172.1172</v>
      </c>
      <c r="H6549" s="0" t="n">
        <v>0.3</v>
      </c>
      <c r="I6549" s="7" t="n">
        <f aca="false">YEAR(B6549)</f>
        <v>2014</v>
      </c>
      <c r="J6549" s="0" t="str">
        <f aca="false">I6549&amp;"-Q"&amp;ROUNDUP(MONTH(B6549)/3,0)</f>
        <v>2014-Q1</v>
      </c>
    </row>
    <row r="6550" customFormat="false" ht="15" hidden="false" customHeight="false" outlineLevel="0" collapsed="false">
      <c r="A6550" s="0" t="s">
        <v>3338</v>
      </c>
      <c r="B6550" s="6" t="n">
        <v>41699</v>
      </c>
      <c r="C6550" s="7" t="s">
        <v>45</v>
      </c>
      <c r="D6550" s="7" t="s">
        <v>64</v>
      </c>
      <c r="E6550" s="7" t="s">
        <v>35</v>
      </c>
      <c r="F6550" s="0" t="n">
        <v>17.472</v>
      </c>
      <c r="G6550" s="0" t="n">
        <v>5.6784</v>
      </c>
      <c r="H6550" s="0" t="n">
        <v>0.2</v>
      </c>
      <c r="I6550" s="7" t="n">
        <f aca="false">YEAR(B6550)</f>
        <v>2014</v>
      </c>
      <c r="J6550" s="0" t="str">
        <f aca="false">I6550&amp;"-Q"&amp;ROUNDUP(MONTH(B6550)/3,0)</f>
        <v>2014-Q1</v>
      </c>
    </row>
    <row r="6551" customFormat="false" ht="15" hidden="false" customHeight="false" outlineLevel="0" collapsed="false">
      <c r="A6551" s="0" t="s">
        <v>3339</v>
      </c>
      <c r="B6551" s="6" t="n">
        <v>42215</v>
      </c>
      <c r="C6551" s="7" t="s">
        <v>45</v>
      </c>
      <c r="D6551" s="7" t="s">
        <v>68</v>
      </c>
      <c r="E6551" s="7" t="s">
        <v>31</v>
      </c>
      <c r="F6551" s="0" t="n">
        <v>155.88</v>
      </c>
      <c r="G6551" s="0" t="n">
        <v>38.97</v>
      </c>
      <c r="H6551" s="0" t="n">
        <v>0</v>
      </c>
      <c r="I6551" s="7" t="n">
        <f aca="false">YEAR(B6551)</f>
        <v>2015</v>
      </c>
      <c r="J6551" s="0" t="str">
        <f aca="false">I6551&amp;"-Q"&amp;ROUNDUP(MONTH(B6551)/3,0)</f>
        <v>2015-Q3</v>
      </c>
    </row>
    <row r="6552" customFormat="false" ht="15" hidden="false" customHeight="false" outlineLevel="0" collapsed="false">
      <c r="A6552" s="0" t="s">
        <v>3340</v>
      </c>
      <c r="B6552" s="6" t="n">
        <v>42309</v>
      </c>
      <c r="C6552" s="7" t="s">
        <v>55</v>
      </c>
      <c r="D6552" s="7" t="s">
        <v>76</v>
      </c>
      <c r="E6552" s="7" t="s">
        <v>31</v>
      </c>
      <c r="F6552" s="0" t="n">
        <v>327.564</v>
      </c>
      <c r="G6552" s="0" t="n">
        <v>21.8376</v>
      </c>
      <c r="H6552" s="0" t="n">
        <v>0.1</v>
      </c>
      <c r="I6552" s="7" t="n">
        <f aca="false">YEAR(B6552)</f>
        <v>2015</v>
      </c>
      <c r="J6552" s="0" t="str">
        <f aca="false">I6552&amp;"-Q"&amp;ROUNDUP(MONTH(B6552)/3,0)</f>
        <v>2015-Q4</v>
      </c>
    </row>
    <row r="6553" customFormat="false" ht="15" hidden="false" customHeight="false" outlineLevel="0" collapsed="false">
      <c r="A6553" s="0" t="s">
        <v>3341</v>
      </c>
      <c r="B6553" s="6" t="n">
        <v>43085</v>
      </c>
      <c r="C6553" s="7" t="s">
        <v>33</v>
      </c>
      <c r="D6553" s="7" t="s">
        <v>34</v>
      </c>
      <c r="E6553" s="7" t="s">
        <v>35</v>
      </c>
      <c r="F6553" s="0" t="n">
        <v>13.36</v>
      </c>
      <c r="G6553" s="0" t="n">
        <v>6.4128</v>
      </c>
      <c r="H6553" s="0" t="n">
        <v>0</v>
      </c>
      <c r="I6553" s="7" t="n">
        <f aca="false">YEAR(B6553)</f>
        <v>2017</v>
      </c>
      <c r="J6553" s="0" t="str">
        <f aca="false">I6553&amp;"-Q"&amp;ROUNDUP(MONTH(B6553)/3,0)</f>
        <v>2017-Q4</v>
      </c>
    </row>
    <row r="6554" customFormat="false" ht="15" hidden="false" customHeight="false" outlineLevel="0" collapsed="false">
      <c r="A6554" s="0" t="s">
        <v>3341</v>
      </c>
      <c r="B6554" s="6" t="n">
        <v>43085</v>
      </c>
      <c r="C6554" s="7" t="s">
        <v>33</v>
      </c>
      <c r="D6554" s="7" t="s">
        <v>34</v>
      </c>
      <c r="E6554" s="7" t="s">
        <v>35</v>
      </c>
      <c r="F6554" s="0" t="n">
        <v>158.9</v>
      </c>
      <c r="G6554" s="0" t="n">
        <v>7.945</v>
      </c>
      <c r="H6554" s="0" t="n">
        <v>0</v>
      </c>
      <c r="I6554" s="7" t="n">
        <f aca="false">YEAR(B6554)</f>
        <v>2017</v>
      </c>
      <c r="J6554" s="0" t="str">
        <f aca="false">I6554&amp;"-Q"&amp;ROUNDUP(MONTH(B6554)/3,0)</f>
        <v>2017-Q4</v>
      </c>
    </row>
    <row r="6555" customFormat="false" ht="15" hidden="false" customHeight="false" outlineLevel="0" collapsed="false">
      <c r="A6555" s="0" t="s">
        <v>3342</v>
      </c>
      <c r="B6555" s="6" t="n">
        <v>41932</v>
      </c>
      <c r="C6555" s="7" t="s">
        <v>45</v>
      </c>
      <c r="D6555" s="7" t="s">
        <v>64</v>
      </c>
      <c r="E6555" s="7" t="s">
        <v>39</v>
      </c>
      <c r="F6555" s="0" t="n">
        <v>319.968</v>
      </c>
      <c r="G6555" s="0" t="n">
        <v>71.9928</v>
      </c>
      <c r="H6555" s="0" t="n">
        <v>0.2</v>
      </c>
      <c r="I6555" s="7" t="n">
        <f aca="false">YEAR(B6555)</f>
        <v>2014</v>
      </c>
      <c r="J6555" s="0" t="str">
        <f aca="false">I6555&amp;"-Q"&amp;ROUNDUP(MONTH(B6555)/3,0)</f>
        <v>2014-Q4</v>
      </c>
    </row>
    <row r="6556" customFormat="false" ht="15" hidden="false" customHeight="false" outlineLevel="0" collapsed="false">
      <c r="A6556" s="0" t="s">
        <v>3342</v>
      </c>
      <c r="B6556" s="6" t="n">
        <v>41932</v>
      </c>
      <c r="C6556" s="7" t="s">
        <v>45</v>
      </c>
      <c r="D6556" s="7" t="s">
        <v>64</v>
      </c>
      <c r="E6556" s="7" t="s">
        <v>35</v>
      </c>
      <c r="F6556" s="0" t="n">
        <v>505.32</v>
      </c>
      <c r="G6556" s="0" t="n">
        <v>31.5825</v>
      </c>
      <c r="H6556" s="0" t="n">
        <v>0.2</v>
      </c>
      <c r="I6556" s="7" t="n">
        <f aca="false">YEAR(B6556)</f>
        <v>2014</v>
      </c>
      <c r="J6556" s="0" t="str">
        <f aca="false">I6556&amp;"-Q"&amp;ROUNDUP(MONTH(B6556)/3,0)</f>
        <v>2014-Q4</v>
      </c>
    </row>
    <row r="6557" customFormat="false" ht="15" hidden="false" customHeight="false" outlineLevel="0" collapsed="false">
      <c r="A6557" s="0" t="s">
        <v>3342</v>
      </c>
      <c r="B6557" s="6" t="n">
        <v>41932</v>
      </c>
      <c r="C6557" s="7" t="s">
        <v>45</v>
      </c>
      <c r="D6557" s="7" t="s">
        <v>64</v>
      </c>
      <c r="E6557" s="7" t="s">
        <v>35</v>
      </c>
      <c r="F6557" s="0" t="n">
        <v>3.808</v>
      </c>
      <c r="G6557" s="0" t="n">
        <v>1.2376</v>
      </c>
      <c r="H6557" s="0" t="n">
        <v>0.2</v>
      </c>
      <c r="I6557" s="7" t="n">
        <f aca="false">YEAR(B6557)</f>
        <v>2014</v>
      </c>
      <c r="J6557" s="0" t="str">
        <f aca="false">I6557&amp;"-Q"&amp;ROUNDUP(MONTH(B6557)/3,0)</f>
        <v>2014-Q4</v>
      </c>
    </row>
    <row r="6558" customFormat="false" ht="15" hidden="false" customHeight="false" outlineLevel="0" collapsed="false">
      <c r="A6558" s="0" t="s">
        <v>3342</v>
      </c>
      <c r="B6558" s="6" t="n">
        <v>41932</v>
      </c>
      <c r="C6558" s="7" t="s">
        <v>45</v>
      </c>
      <c r="D6558" s="7" t="s">
        <v>64</v>
      </c>
      <c r="E6558" s="7" t="s">
        <v>35</v>
      </c>
      <c r="F6558" s="0" t="n">
        <v>8.682</v>
      </c>
      <c r="G6558" s="0" t="n">
        <v>-14.7594</v>
      </c>
      <c r="H6558" s="0" t="n">
        <v>0.8</v>
      </c>
      <c r="I6558" s="7" t="n">
        <f aca="false">YEAR(B6558)</f>
        <v>2014</v>
      </c>
      <c r="J6558" s="0" t="str">
        <f aca="false">I6558&amp;"-Q"&amp;ROUNDUP(MONTH(B6558)/3,0)</f>
        <v>2014-Q4</v>
      </c>
    </row>
    <row r="6559" customFormat="false" ht="15" hidden="false" customHeight="false" outlineLevel="0" collapsed="false">
      <c r="A6559" s="0" t="s">
        <v>3342</v>
      </c>
      <c r="B6559" s="6" t="n">
        <v>41932</v>
      </c>
      <c r="C6559" s="7" t="s">
        <v>45</v>
      </c>
      <c r="D6559" s="7" t="s">
        <v>64</v>
      </c>
      <c r="E6559" s="7" t="s">
        <v>35</v>
      </c>
      <c r="F6559" s="0" t="n">
        <v>24.424</v>
      </c>
      <c r="G6559" s="0" t="n">
        <v>7.9378</v>
      </c>
      <c r="H6559" s="0" t="n">
        <v>0.2</v>
      </c>
      <c r="I6559" s="7" t="n">
        <f aca="false">YEAR(B6559)</f>
        <v>2014</v>
      </c>
      <c r="J6559" s="0" t="str">
        <f aca="false">I6559&amp;"-Q"&amp;ROUNDUP(MONTH(B6559)/3,0)</f>
        <v>2014-Q4</v>
      </c>
    </row>
    <row r="6560" customFormat="false" ht="15" hidden="false" customHeight="false" outlineLevel="0" collapsed="false">
      <c r="A6560" s="0" t="s">
        <v>3343</v>
      </c>
      <c r="B6560" s="6" t="n">
        <v>42160</v>
      </c>
      <c r="C6560" s="7" t="s">
        <v>55</v>
      </c>
      <c r="D6560" s="7" t="s">
        <v>76</v>
      </c>
      <c r="E6560" s="7" t="s">
        <v>31</v>
      </c>
      <c r="F6560" s="0" t="n">
        <v>1522.638</v>
      </c>
      <c r="G6560" s="0" t="n">
        <v>169.182</v>
      </c>
      <c r="H6560" s="0" t="n">
        <v>0.1</v>
      </c>
      <c r="I6560" s="7" t="n">
        <f aca="false">YEAR(B6560)</f>
        <v>2015</v>
      </c>
      <c r="J6560" s="0" t="str">
        <f aca="false">I6560&amp;"-Q"&amp;ROUNDUP(MONTH(B6560)/3,0)</f>
        <v>2015-Q2</v>
      </c>
    </row>
    <row r="6561" customFormat="false" ht="15" hidden="false" customHeight="false" outlineLevel="0" collapsed="false">
      <c r="A6561" s="0" t="s">
        <v>3344</v>
      </c>
      <c r="B6561" s="6" t="n">
        <v>42572</v>
      </c>
      <c r="C6561" s="7" t="s">
        <v>33</v>
      </c>
      <c r="D6561" s="7" t="s">
        <v>34</v>
      </c>
      <c r="E6561" s="7" t="s">
        <v>35</v>
      </c>
      <c r="F6561" s="0" t="n">
        <v>419.9</v>
      </c>
      <c r="G6561" s="0" t="n">
        <v>197.353</v>
      </c>
      <c r="H6561" s="0" t="n">
        <v>0</v>
      </c>
      <c r="I6561" s="7" t="n">
        <f aca="false">YEAR(B6561)</f>
        <v>2016</v>
      </c>
      <c r="J6561" s="0" t="str">
        <f aca="false">I6561&amp;"-Q"&amp;ROUNDUP(MONTH(B6561)/3,0)</f>
        <v>2016-Q3</v>
      </c>
    </row>
    <row r="6562" customFormat="false" ht="15" hidden="false" customHeight="false" outlineLevel="0" collapsed="false">
      <c r="A6562" s="0" t="s">
        <v>3344</v>
      </c>
      <c r="B6562" s="6" t="n">
        <v>42572</v>
      </c>
      <c r="C6562" s="7" t="s">
        <v>33</v>
      </c>
      <c r="D6562" s="7" t="s">
        <v>34</v>
      </c>
      <c r="E6562" s="7" t="s">
        <v>35</v>
      </c>
      <c r="F6562" s="0" t="n">
        <v>3.15</v>
      </c>
      <c r="G6562" s="0" t="n">
        <v>1.512</v>
      </c>
      <c r="H6562" s="0" t="n">
        <v>0</v>
      </c>
      <c r="I6562" s="7" t="n">
        <f aca="false">YEAR(B6562)</f>
        <v>2016</v>
      </c>
      <c r="J6562" s="0" t="str">
        <f aca="false">I6562&amp;"-Q"&amp;ROUNDUP(MONTH(B6562)/3,0)</f>
        <v>2016-Q3</v>
      </c>
    </row>
    <row r="6563" customFormat="false" ht="15" hidden="false" customHeight="false" outlineLevel="0" collapsed="false">
      <c r="A6563" s="0" t="s">
        <v>3345</v>
      </c>
      <c r="B6563" s="6" t="n">
        <v>42825</v>
      </c>
      <c r="C6563" s="7" t="s">
        <v>45</v>
      </c>
      <c r="D6563" s="7" t="s">
        <v>46</v>
      </c>
      <c r="E6563" s="7" t="s">
        <v>35</v>
      </c>
      <c r="F6563" s="0" t="n">
        <v>33.62</v>
      </c>
      <c r="G6563" s="0" t="n">
        <v>-90.774</v>
      </c>
      <c r="H6563" s="0" t="n">
        <v>0.8</v>
      </c>
      <c r="I6563" s="7" t="n">
        <f aca="false">YEAR(B6563)</f>
        <v>2017</v>
      </c>
      <c r="J6563" s="0" t="str">
        <f aca="false">I6563&amp;"-Q"&amp;ROUNDUP(MONTH(B6563)/3,0)</f>
        <v>2017-Q1</v>
      </c>
    </row>
    <row r="6564" customFormat="false" ht="15" hidden="false" customHeight="false" outlineLevel="0" collapsed="false">
      <c r="A6564" s="0" t="s">
        <v>3346</v>
      </c>
      <c r="B6564" s="6" t="n">
        <v>41766</v>
      </c>
      <c r="C6564" s="7" t="s">
        <v>55</v>
      </c>
      <c r="D6564" s="7" t="s">
        <v>225</v>
      </c>
      <c r="E6564" s="7" t="s">
        <v>35</v>
      </c>
      <c r="F6564" s="0" t="n">
        <v>16.14</v>
      </c>
      <c r="G6564" s="0" t="n">
        <v>7.9086</v>
      </c>
      <c r="H6564" s="0" t="n">
        <v>0</v>
      </c>
      <c r="I6564" s="7" t="n">
        <f aca="false">YEAR(B6564)</f>
        <v>2014</v>
      </c>
      <c r="J6564" s="0" t="str">
        <f aca="false">I6564&amp;"-Q"&amp;ROUNDUP(MONTH(B6564)/3,0)</f>
        <v>2014-Q2</v>
      </c>
    </row>
    <row r="6565" customFormat="false" ht="15" hidden="false" customHeight="false" outlineLevel="0" collapsed="false">
      <c r="A6565" s="0" t="s">
        <v>3346</v>
      </c>
      <c r="B6565" s="6" t="n">
        <v>41766</v>
      </c>
      <c r="C6565" s="7" t="s">
        <v>55</v>
      </c>
      <c r="D6565" s="7" t="s">
        <v>225</v>
      </c>
      <c r="E6565" s="7" t="s">
        <v>31</v>
      </c>
      <c r="F6565" s="0" t="n">
        <v>194.25</v>
      </c>
      <c r="G6565" s="0" t="n">
        <v>-38.85</v>
      </c>
      <c r="H6565" s="0" t="n">
        <v>0.3</v>
      </c>
      <c r="I6565" s="7" t="n">
        <f aca="false">YEAR(B6565)</f>
        <v>2014</v>
      </c>
      <c r="J6565" s="0" t="str">
        <f aca="false">I6565&amp;"-Q"&amp;ROUNDUP(MONTH(B6565)/3,0)</f>
        <v>2014-Q2</v>
      </c>
    </row>
    <row r="6566" customFormat="false" ht="15" hidden="false" customHeight="false" outlineLevel="0" collapsed="false">
      <c r="A6566" s="0" t="s">
        <v>3346</v>
      </c>
      <c r="B6566" s="6" t="n">
        <v>41766</v>
      </c>
      <c r="C6566" s="7" t="s">
        <v>55</v>
      </c>
      <c r="D6566" s="7" t="s">
        <v>225</v>
      </c>
      <c r="E6566" s="7" t="s">
        <v>35</v>
      </c>
      <c r="F6566" s="0" t="n">
        <v>8.64</v>
      </c>
      <c r="G6566" s="0" t="n">
        <v>2.5056</v>
      </c>
      <c r="H6566" s="0" t="n">
        <v>0</v>
      </c>
      <c r="I6566" s="7" t="n">
        <f aca="false">YEAR(B6566)</f>
        <v>2014</v>
      </c>
      <c r="J6566" s="0" t="str">
        <f aca="false">I6566&amp;"-Q"&amp;ROUNDUP(MONTH(B6566)/3,0)</f>
        <v>2014-Q2</v>
      </c>
    </row>
    <row r="6567" customFormat="false" ht="15" hidden="false" customHeight="false" outlineLevel="0" collapsed="false">
      <c r="A6567" s="0" t="s">
        <v>3346</v>
      </c>
      <c r="B6567" s="6" t="n">
        <v>41766</v>
      </c>
      <c r="C6567" s="7" t="s">
        <v>55</v>
      </c>
      <c r="D6567" s="7" t="s">
        <v>225</v>
      </c>
      <c r="E6567" s="7" t="s">
        <v>31</v>
      </c>
      <c r="F6567" s="0" t="n">
        <v>872.32</v>
      </c>
      <c r="G6567" s="0" t="n">
        <v>244.2496</v>
      </c>
      <c r="H6567" s="0" t="n">
        <v>0</v>
      </c>
      <c r="I6567" s="7" t="n">
        <f aca="false">YEAR(B6567)</f>
        <v>2014</v>
      </c>
      <c r="J6567" s="0" t="str">
        <f aca="false">I6567&amp;"-Q"&amp;ROUNDUP(MONTH(B6567)/3,0)</f>
        <v>2014-Q2</v>
      </c>
    </row>
    <row r="6568" customFormat="false" ht="15" hidden="false" customHeight="false" outlineLevel="0" collapsed="false">
      <c r="A6568" s="0" t="s">
        <v>3347</v>
      </c>
      <c r="B6568" s="6" t="n">
        <v>42771</v>
      </c>
      <c r="C6568" s="7" t="s">
        <v>45</v>
      </c>
      <c r="D6568" s="7" t="s">
        <v>46</v>
      </c>
      <c r="E6568" s="7" t="s">
        <v>35</v>
      </c>
      <c r="F6568" s="0" t="n">
        <v>243.992</v>
      </c>
      <c r="G6568" s="0" t="n">
        <v>-426.986</v>
      </c>
      <c r="H6568" s="0" t="n">
        <v>0.8</v>
      </c>
      <c r="I6568" s="7" t="n">
        <f aca="false">YEAR(B6568)</f>
        <v>2017</v>
      </c>
      <c r="J6568" s="0" t="str">
        <f aca="false">I6568&amp;"-Q"&amp;ROUNDUP(MONTH(B6568)/3,0)</f>
        <v>2017-Q1</v>
      </c>
    </row>
    <row r="6569" customFormat="false" ht="15" hidden="false" customHeight="false" outlineLevel="0" collapsed="false">
      <c r="A6569" s="0" t="s">
        <v>3347</v>
      </c>
      <c r="B6569" s="6" t="n">
        <v>42771</v>
      </c>
      <c r="C6569" s="7" t="s">
        <v>45</v>
      </c>
      <c r="D6569" s="7" t="s">
        <v>46</v>
      </c>
      <c r="E6569" s="7" t="s">
        <v>35</v>
      </c>
      <c r="F6569" s="0" t="n">
        <v>7.12</v>
      </c>
      <c r="G6569" s="0" t="n">
        <v>0.712</v>
      </c>
      <c r="H6569" s="0" t="n">
        <v>0.2</v>
      </c>
      <c r="I6569" s="7" t="n">
        <f aca="false">YEAR(B6569)</f>
        <v>2017</v>
      </c>
      <c r="J6569" s="0" t="str">
        <f aca="false">I6569&amp;"-Q"&amp;ROUNDUP(MONTH(B6569)/3,0)</f>
        <v>2017-Q1</v>
      </c>
    </row>
    <row r="6570" customFormat="false" ht="15" hidden="false" customHeight="false" outlineLevel="0" collapsed="false">
      <c r="A6570" s="0" t="s">
        <v>3348</v>
      </c>
      <c r="B6570" s="6" t="n">
        <v>41747</v>
      </c>
      <c r="C6570" s="7" t="s">
        <v>45</v>
      </c>
      <c r="D6570" s="7" t="s">
        <v>46</v>
      </c>
      <c r="E6570" s="7" t="s">
        <v>35</v>
      </c>
      <c r="F6570" s="0" t="n">
        <v>2.688</v>
      </c>
      <c r="G6570" s="0" t="n">
        <v>1.008</v>
      </c>
      <c r="H6570" s="0" t="n">
        <v>0.2</v>
      </c>
      <c r="I6570" s="7" t="n">
        <f aca="false">YEAR(B6570)</f>
        <v>2014</v>
      </c>
      <c r="J6570" s="0" t="str">
        <f aca="false">I6570&amp;"-Q"&amp;ROUNDUP(MONTH(B6570)/3,0)</f>
        <v>2014-Q2</v>
      </c>
    </row>
    <row r="6571" customFormat="false" ht="15" hidden="false" customHeight="false" outlineLevel="0" collapsed="false">
      <c r="A6571" s="0" t="s">
        <v>3348</v>
      </c>
      <c r="B6571" s="6" t="n">
        <v>41747</v>
      </c>
      <c r="C6571" s="7" t="s">
        <v>45</v>
      </c>
      <c r="D6571" s="7" t="s">
        <v>46</v>
      </c>
      <c r="E6571" s="7" t="s">
        <v>31</v>
      </c>
      <c r="F6571" s="0" t="n">
        <v>317.058</v>
      </c>
      <c r="G6571" s="0" t="n">
        <v>-18.1176</v>
      </c>
      <c r="H6571" s="0" t="n">
        <v>0.3</v>
      </c>
      <c r="I6571" s="7" t="n">
        <f aca="false">YEAR(B6571)</f>
        <v>2014</v>
      </c>
      <c r="J6571" s="0" t="str">
        <f aca="false">I6571&amp;"-Q"&amp;ROUNDUP(MONTH(B6571)/3,0)</f>
        <v>2014-Q2</v>
      </c>
    </row>
    <row r="6572" customFormat="false" ht="15" hidden="false" customHeight="false" outlineLevel="0" collapsed="false">
      <c r="A6572" s="0" t="s">
        <v>3348</v>
      </c>
      <c r="B6572" s="6" t="n">
        <v>41747</v>
      </c>
      <c r="C6572" s="7" t="s">
        <v>45</v>
      </c>
      <c r="D6572" s="7" t="s">
        <v>46</v>
      </c>
      <c r="E6572" s="7" t="s">
        <v>35</v>
      </c>
      <c r="F6572" s="0" t="n">
        <v>149.352</v>
      </c>
      <c r="G6572" s="0" t="n">
        <v>50.4063</v>
      </c>
      <c r="H6572" s="0" t="n">
        <v>0.2</v>
      </c>
      <c r="I6572" s="7" t="n">
        <f aca="false">YEAR(B6572)</f>
        <v>2014</v>
      </c>
      <c r="J6572" s="0" t="str">
        <f aca="false">I6572&amp;"-Q"&amp;ROUNDUP(MONTH(B6572)/3,0)</f>
        <v>2014-Q2</v>
      </c>
    </row>
    <row r="6573" customFormat="false" ht="15" hidden="false" customHeight="false" outlineLevel="0" collapsed="false">
      <c r="A6573" s="0" t="s">
        <v>3348</v>
      </c>
      <c r="B6573" s="6" t="n">
        <v>41747</v>
      </c>
      <c r="C6573" s="7" t="s">
        <v>45</v>
      </c>
      <c r="D6573" s="7" t="s">
        <v>46</v>
      </c>
      <c r="E6573" s="7" t="s">
        <v>39</v>
      </c>
      <c r="F6573" s="0" t="n">
        <v>227.976</v>
      </c>
      <c r="G6573" s="0" t="n">
        <v>28.497</v>
      </c>
      <c r="H6573" s="0" t="n">
        <v>0.2</v>
      </c>
      <c r="I6573" s="7" t="n">
        <f aca="false">YEAR(B6573)</f>
        <v>2014</v>
      </c>
      <c r="J6573" s="0" t="str">
        <f aca="false">I6573&amp;"-Q"&amp;ROUNDUP(MONTH(B6573)/3,0)</f>
        <v>2014-Q2</v>
      </c>
    </row>
    <row r="6574" customFormat="false" ht="15" hidden="false" customHeight="false" outlineLevel="0" collapsed="false">
      <c r="A6574" s="0" t="s">
        <v>3349</v>
      </c>
      <c r="B6574" s="6" t="n">
        <v>42500</v>
      </c>
      <c r="C6574" s="7" t="s">
        <v>33</v>
      </c>
      <c r="D6574" s="7" t="s">
        <v>43</v>
      </c>
      <c r="E6574" s="7" t="s">
        <v>35</v>
      </c>
      <c r="F6574" s="0" t="n">
        <v>11.96</v>
      </c>
      <c r="G6574" s="0" t="n">
        <v>5.8604</v>
      </c>
      <c r="H6574" s="0" t="n">
        <v>0</v>
      </c>
      <c r="I6574" s="7" t="n">
        <f aca="false">YEAR(B6574)</f>
        <v>2016</v>
      </c>
      <c r="J6574" s="0" t="str">
        <f aca="false">I6574&amp;"-Q"&amp;ROUNDUP(MONTH(B6574)/3,0)</f>
        <v>2016-Q2</v>
      </c>
    </row>
    <row r="6575" customFormat="false" ht="15" hidden="false" customHeight="false" outlineLevel="0" collapsed="false">
      <c r="A6575" s="0" t="s">
        <v>3350</v>
      </c>
      <c r="B6575" s="6" t="n">
        <v>42699</v>
      </c>
      <c r="C6575" s="7" t="s">
        <v>55</v>
      </c>
      <c r="D6575" s="7" t="s">
        <v>161</v>
      </c>
      <c r="E6575" s="7" t="s">
        <v>35</v>
      </c>
      <c r="F6575" s="0" t="n">
        <v>563.4</v>
      </c>
      <c r="G6575" s="0" t="n">
        <v>67.608</v>
      </c>
      <c r="H6575" s="0" t="n">
        <v>0</v>
      </c>
      <c r="I6575" s="7" t="n">
        <f aca="false">YEAR(B6575)</f>
        <v>2016</v>
      </c>
      <c r="J6575" s="0" t="str">
        <f aca="false">I6575&amp;"-Q"&amp;ROUNDUP(MONTH(B6575)/3,0)</f>
        <v>2016-Q4</v>
      </c>
    </row>
    <row r="6576" customFormat="false" ht="15" hidden="false" customHeight="false" outlineLevel="0" collapsed="false">
      <c r="A6576" s="0" t="s">
        <v>3350</v>
      </c>
      <c r="B6576" s="6" t="n">
        <v>42699</v>
      </c>
      <c r="C6576" s="7" t="s">
        <v>55</v>
      </c>
      <c r="D6576" s="7" t="s">
        <v>161</v>
      </c>
      <c r="E6576" s="7" t="s">
        <v>39</v>
      </c>
      <c r="F6576" s="0" t="n">
        <v>319.92</v>
      </c>
      <c r="G6576" s="0" t="n">
        <v>118.3704</v>
      </c>
      <c r="H6576" s="0" t="n">
        <v>0</v>
      </c>
      <c r="I6576" s="7" t="n">
        <f aca="false">YEAR(B6576)</f>
        <v>2016</v>
      </c>
      <c r="J6576" s="0" t="str">
        <f aca="false">I6576&amp;"-Q"&amp;ROUNDUP(MONTH(B6576)/3,0)</f>
        <v>2016-Q4</v>
      </c>
    </row>
    <row r="6577" customFormat="false" ht="15" hidden="false" customHeight="false" outlineLevel="0" collapsed="false">
      <c r="A6577" s="0" t="s">
        <v>3351</v>
      </c>
      <c r="B6577" s="6" t="n">
        <v>42797</v>
      </c>
      <c r="C6577" s="7" t="s">
        <v>33</v>
      </c>
      <c r="D6577" s="7" t="s">
        <v>34</v>
      </c>
      <c r="E6577" s="7" t="s">
        <v>39</v>
      </c>
      <c r="F6577" s="0" t="n">
        <v>1049.44</v>
      </c>
      <c r="G6577" s="0" t="n">
        <v>440.7648</v>
      </c>
      <c r="H6577" s="0" t="n">
        <v>0</v>
      </c>
      <c r="I6577" s="7" t="n">
        <f aca="false">YEAR(B6577)</f>
        <v>2017</v>
      </c>
      <c r="J6577" s="0" t="str">
        <f aca="false">I6577&amp;"-Q"&amp;ROUNDUP(MONTH(B6577)/3,0)</f>
        <v>2017-Q1</v>
      </c>
    </row>
    <row r="6578" customFormat="false" ht="15" hidden="false" customHeight="false" outlineLevel="0" collapsed="false">
      <c r="A6578" s="0" t="s">
        <v>3351</v>
      </c>
      <c r="B6578" s="6" t="n">
        <v>42797</v>
      </c>
      <c r="C6578" s="7" t="s">
        <v>33</v>
      </c>
      <c r="D6578" s="7" t="s">
        <v>34</v>
      </c>
      <c r="E6578" s="7" t="s">
        <v>31</v>
      </c>
      <c r="F6578" s="0" t="n">
        <v>170.352</v>
      </c>
      <c r="G6578" s="0" t="n">
        <v>-17.0352</v>
      </c>
      <c r="H6578" s="0" t="n">
        <v>0.2</v>
      </c>
      <c r="I6578" s="7" t="n">
        <f aca="false">YEAR(B6578)</f>
        <v>2017</v>
      </c>
      <c r="J6578" s="0" t="str">
        <f aca="false">I6578&amp;"-Q"&amp;ROUNDUP(MONTH(B6578)/3,0)</f>
        <v>2017-Q1</v>
      </c>
    </row>
    <row r="6579" customFormat="false" ht="15" hidden="false" customHeight="false" outlineLevel="0" collapsed="false">
      <c r="A6579" s="0" t="s">
        <v>3352</v>
      </c>
      <c r="B6579" s="6" t="n">
        <v>42344</v>
      </c>
      <c r="C6579" s="7" t="s">
        <v>29</v>
      </c>
      <c r="D6579" s="7" t="s">
        <v>83</v>
      </c>
      <c r="E6579" s="7" t="s">
        <v>39</v>
      </c>
      <c r="F6579" s="0" t="n">
        <v>173.94</v>
      </c>
      <c r="G6579" s="0" t="n">
        <v>50.4426</v>
      </c>
      <c r="H6579" s="0" t="n">
        <v>0</v>
      </c>
      <c r="I6579" s="7" t="n">
        <f aca="false">YEAR(B6579)</f>
        <v>2015</v>
      </c>
      <c r="J6579" s="0" t="str">
        <f aca="false">I6579&amp;"-Q"&amp;ROUNDUP(MONTH(B6579)/3,0)</f>
        <v>2015-Q4</v>
      </c>
    </row>
    <row r="6580" customFormat="false" ht="15" hidden="false" customHeight="false" outlineLevel="0" collapsed="false">
      <c r="A6580" s="0" t="s">
        <v>3353</v>
      </c>
      <c r="B6580" s="6" t="n">
        <v>41876</v>
      </c>
      <c r="C6580" s="7" t="s">
        <v>33</v>
      </c>
      <c r="D6580" s="7" t="s">
        <v>43</v>
      </c>
      <c r="E6580" s="7" t="s">
        <v>39</v>
      </c>
      <c r="F6580" s="0" t="n">
        <v>1007.944</v>
      </c>
      <c r="G6580" s="0" t="n">
        <v>75.5958</v>
      </c>
      <c r="H6580" s="0" t="n">
        <v>0.2</v>
      </c>
      <c r="I6580" s="7" t="n">
        <f aca="false">YEAR(B6580)</f>
        <v>2014</v>
      </c>
      <c r="J6580" s="0" t="str">
        <f aca="false">I6580&amp;"-Q"&amp;ROUNDUP(MONTH(B6580)/3,0)</f>
        <v>2014-Q3</v>
      </c>
    </row>
    <row r="6581" customFormat="false" ht="15" hidden="false" customHeight="false" outlineLevel="0" collapsed="false">
      <c r="A6581" s="0" t="s">
        <v>3354</v>
      </c>
      <c r="B6581" s="6" t="n">
        <v>42665</v>
      </c>
      <c r="C6581" s="7" t="s">
        <v>33</v>
      </c>
      <c r="D6581" s="7" t="s">
        <v>43</v>
      </c>
      <c r="E6581" s="7" t="s">
        <v>35</v>
      </c>
      <c r="F6581" s="0" t="n">
        <v>6.68</v>
      </c>
      <c r="G6581" s="0" t="n">
        <v>3.2064</v>
      </c>
      <c r="H6581" s="0" t="n">
        <v>0</v>
      </c>
      <c r="I6581" s="7" t="n">
        <f aca="false">YEAR(B6581)</f>
        <v>2016</v>
      </c>
      <c r="J6581" s="0" t="str">
        <f aca="false">I6581&amp;"-Q"&amp;ROUNDUP(MONTH(B6581)/3,0)</f>
        <v>2016-Q4</v>
      </c>
    </row>
    <row r="6582" customFormat="false" ht="15" hidden="false" customHeight="false" outlineLevel="0" collapsed="false">
      <c r="A6582" s="0" t="s">
        <v>3354</v>
      </c>
      <c r="B6582" s="6" t="n">
        <v>42665</v>
      </c>
      <c r="C6582" s="7" t="s">
        <v>33</v>
      </c>
      <c r="D6582" s="7" t="s">
        <v>43</v>
      </c>
      <c r="E6582" s="7" t="s">
        <v>35</v>
      </c>
      <c r="F6582" s="0" t="n">
        <v>8.34</v>
      </c>
      <c r="G6582" s="0" t="n">
        <v>2.2518</v>
      </c>
      <c r="H6582" s="0" t="n">
        <v>0</v>
      </c>
      <c r="I6582" s="7" t="n">
        <f aca="false">YEAR(B6582)</f>
        <v>2016</v>
      </c>
      <c r="J6582" s="0" t="str">
        <f aca="false">I6582&amp;"-Q"&amp;ROUNDUP(MONTH(B6582)/3,0)</f>
        <v>2016-Q4</v>
      </c>
    </row>
    <row r="6583" customFormat="false" ht="15" hidden="false" customHeight="false" outlineLevel="0" collapsed="false">
      <c r="A6583" s="0" t="s">
        <v>3354</v>
      </c>
      <c r="B6583" s="6" t="n">
        <v>42665</v>
      </c>
      <c r="C6583" s="7" t="s">
        <v>33</v>
      </c>
      <c r="D6583" s="7" t="s">
        <v>43</v>
      </c>
      <c r="E6583" s="7" t="s">
        <v>31</v>
      </c>
      <c r="F6583" s="0" t="n">
        <v>101.94</v>
      </c>
      <c r="G6583" s="0" t="n">
        <v>30.582</v>
      </c>
      <c r="H6583" s="0" t="n">
        <v>0</v>
      </c>
      <c r="I6583" s="7" t="n">
        <f aca="false">YEAR(B6583)</f>
        <v>2016</v>
      </c>
      <c r="J6583" s="0" t="str">
        <f aca="false">I6583&amp;"-Q"&amp;ROUNDUP(MONTH(B6583)/3,0)</f>
        <v>2016-Q4</v>
      </c>
    </row>
    <row r="6584" customFormat="false" ht="15" hidden="false" customHeight="false" outlineLevel="0" collapsed="false">
      <c r="A6584" s="0" t="s">
        <v>3355</v>
      </c>
      <c r="B6584" s="6" t="n">
        <v>42589</v>
      </c>
      <c r="C6584" s="7" t="s">
        <v>33</v>
      </c>
      <c r="D6584" s="7" t="s">
        <v>43</v>
      </c>
      <c r="E6584" s="7" t="s">
        <v>39</v>
      </c>
      <c r="F6584" s="0" t="n">
        <v>179.97</v>
      </c>
      <c r="G6584" s="0" t="n">
        <v>86.3856</v>
      </c>
      <c r="H6584" s="0" t="n">
        <v>0</v>
      </c>
      <c r="I6584" s="7" t="n">
        <f aca="false">YEAR(B6584)</f>
        <v>2016</v>
      </c>
      <c r="J6584" s="0" t="str">
        <f aca="false">I6584&amp;"-Q"&amp;ROUNDUP(MONTH(B6584)/3,0)</f>
        <v>2016-Q3</v>
      </c>
    </row>
    <row r="6585" customFormat="false" ht="15" hidden="false" customHeight="false" outlineLevel="0" collapsed="false">
      <c r="A6585" s="0" t="s">
        <v>3356</v>
      </c>
      <c r="B6585" s="6" t="n">
        <v>42937</v>
      </c>
      <c r="C6585" s="7" t="s">
        <v>29</v>
      </c>
      <c r="D6585" s="7" t="s">
        <v>83</v>
      </c>
      <c r="E6585" s="7" t="s">
        <v>35</v>
      </c>
      <c r="F6585" s="0" t="n">
        <v>101.94</v>
      </c>
      <c r="G6585" s="0" t="n">
        <v>29.5626</v>
      </c>
      <c r="H6585" s="0" t="n">
        <v>0</v>
      </c>
      <c r="I6585" s="7" t="n">
        <f aca="false">YEAR(B6585)</f>
        <v>2017</v>
      </c>
      <c r="J6585" s="0" t="str">
        <f aca="false">I6585&amp;"-Q"&amp;ROUNDUP(MONTH(B6585)/3,0)</f>
        <v>2017-Q3</v>
      </c>
    </row>
    <row r="6586" customFormat="false" ht="15" hidden="false" customHeight="false" outlineLevel="0" collapsed="false">
      <c r="A6586" s="0" t="s">
        <v>3356</v>
      </c>
      <c r="B6586" s="6" t="n">
        <v>42937</v>
      </c>
      <c r="C6586" s="7" t="s">
        <v>29</v>
      </c>
      <c r="D6586" s="7" t="s">
        <v>83</v>
      </c>
      <c r="E6586" s="7" t="s">
        <v>39</v>
      </c>
      <c r="F6586" s="0" t="n">
        <v>271.96</v>
      </c>
      <c r="G6586" s="0" t="n">
        <v>67.99</v>
      </c>
      <c r="H6586" s="0" t="n">
        <v>0</v>
      </c>
      <c r="I6586" s="7" t="n">
        <f aca="false">YEAR(B6586)</f>
        <v>2017</v>
      </c>
      <c r="J6586" s="0" t="str">
        <f aca="false">I6586&amp;"-Q"&amp;ROUNDUP(MONTH(B6586)/3,0)</f>
        <v>2017-Q3</v>
      </c>
    </row>
    <row r="6587" customFormat="false" ht="15" hidden="false" customHeight="false" outlineLevel="0" collapsed="false">
      <c r="A6587" s="0" t="s">
        <v>3356</v>
      </c>
      <c r="B6587" s="6" t="n">
        <v>42937</v>
      </c>
      <c r="C6587" s="7" t="s">
        <v>29</v>
      </c>
      <c r="D6587" s="7" t="s">
        <v>83</v>
      </c>
      <c r="E6587" s="7" t="s">
        <v>31</v>
      </c>
      <c r="F6587" s="0" t="n">
        <v>8.8</v>
      </c>
      <c r="G6587" s="0" t="n">
        <v>3.872</v>
      </c>
      <c r="H6587" s="0" t="n">
        <v>0</v>
      </c>
      <c r="I6587" s="7" t="n">
        <f aca="false">YEAR(B6587)</f>
        <v>2017</v>
      </c>
      <c r="J6587" s="0" t="str">
        <f aca="false">I6587&amp;"-Q"&amp;ROUNDUP(MONTH(B6587)/3,0)</f>
        <v>2017-Q3</v>
      </c>
    </row>
    <row r="6588" customFormat="false" ht="15" hidden="false" customHeight="false" outlineLevel="0" collapsed="false">
      <c r="A6588" s="0" t="s">
        <v>3356</v>
      </c>
      <c r="B6588" s="6" t="n">
        <v>42937</v>
      </c>
      <c r="C6588" s="7" t="s">
        <v>29</v>
      </c>
      <c r="D6588" s="7" t="s">
        <v>83</v>
      </c>
      <c r="E6588" s="7" t="s">
        <v>35</v>
      </c>
      <c r="F6588" s="0" t="n">
        <v>19.68</v>
      </c>
      <c r="G6588" s="0" t="n">
        <v>5.7072</v>
      </c>
      <c r="H6588" s="0" t="n">
        <v>0</v>
      </c>
      <c r="I6588" s="7" t="n">
        <f aca="false">YEAR(B6588)</f>
        <v>2017</v>
      </c>
      <c r="J6588" s="0" t="str">
        <f aca="false">I6588&amp;"-Q"&amp;ROUNDUP(MONTH(B6588)/3,0)</f>
        <v>2017-Q3</v>
      </c>
    </row>
    <row r="6589" customFormat="false" ht="15" hidden="false" customHeight="false" outlineLevel="0" collapsed="false">
      <c r="A6589" s="0" t="s">
        <v>3356</v>
      </c>
      <c r="B6589" s="6" t="n">
        <v>42937</v>
      </c>
      <c r="C6589" s="7" t="s">
        <v>29</v>
      </c>
      <c r="D6589" s="7" t="s">
        <v>83</v>
      </c>
      <c r="E6589" s="7" t="s">
        <v>31</v>
      </c>
      <c r="F6589" s="0" t="n">
        <v>302.94</v>
      </c>
      <c r="G6589" s="0" t="n">
        <v>69.6762</v>
      </c>
      <c r="H6589" s="0" t="n">
        <v>0</v>
      </c>
      <c r="I6589" s="7" t="n">
        <f aca="false">YEAR(B6589)</f>
        <v>2017</v>
      </c>
      <c r="J6589" s="0" t="str">
        <f aca="false">I6589&amp;"-Q"&amp;ROUNDUP(MONTH(B6589)/3,0)</f>
        <v>2017-Q3</v>
      </c>
    </row>
    <row r="6590" customFormat="false" ht="15" hidden="false" customHeight="false" outlineLevel="0" collapsed="false">
      <c r="A6590" s="0" t="s">
        <v>3356</v>
      </c>
      <c r="B6590" s="6" t="n">
        <v>42937</v>
      </c>
      <c r="C6590" s="7" t="s">
        <v>29</v>
      </c>
      <c r="D6590" s="7" t="s">
        <v>83</v>
      </c>
      <c r="E6590" s="7" t="s">
        <v>35</v>
      </c>
      <c r="F6590" s="0" t="n">
        <v>14.94</v>
      </c>
      <c r="G6590" s="0" t="n">
        <v>7.1712</v>
      </c>
      <c r="H6590" s="0" t="n">
        <v>0</v>
      </c>
      <c r="I6590" s="7" t="n">
        <f aca="false">YEAR(B6590)</f>
        <v>2017</v>
      </c>
      <c r="J6590" s="0" t="str">
        <f aca="false">I6590&amp;"-Q"&amp;ROUNDUP(MONTH(B6590)/3,0)</f>
        <v>2017-Q3</v>
      </c>
    </row>
    <row r="6591" customFormat="false" ht="15" hidden="false" customHeight="false" outlineLevel="0" collapsed="false">
      <c r="A6591" s="0" t="s">
        <v>3356</v>
      </c>
      <c r="B6591" s="6" t="n">
        <v>42937</v>
      </c>
      <c r="C6591" s="7" t="s">
        <v>29</v>
      </c>
      <c r="D6591" s="7" t="s">
        <v>83</v>
      </c>
      <c r="E6591" s="7" t="s">
        <v>35</v>
      </c>
      <c r="F6591" s="0" t="n">
        <v>231.72</v>
      </c>
      <c r="G6591" s="0" t="n">
        <v>11.586</v>
      </c>
      <c r="H6591" s="0" t="n">
        <v>0</v>
      </c>
      <c r="I6591" s="7" t="n">
        <f aca="false">YEAR(B6591)</f>
        <v>2017</v>
      </c>
      <c r="J6591" s="0" t="str">
        <f aca="false">I6591&amp;"-Q"&amp;ROUNDUP(MONTH(B6591)/3,0)</f>
        <v>2017-Q3</v>
      </c>
    </row>
    <row r="6592" customFormat="false" ht="15" hidden="false" customHeight="false" outlineLevel="0" collapsed="false">
      <c r="A6592" s="0" t="s">
        <v>3357</v>
      </c>
      <c r="B6592" s="6" t="n">
        <v>41721</v>
      </c>
      <c r="C6592" s="7" t="s">
        <v>29</v>
      </c>
      <c r="D6592" s="7" t="s">
        <v>37</v>
      </c>
      <c r="E6592" s="7" t="s">
        <v>35</v>
      </c>
      <c r="F6592" s="0" t="n">
        <v>9.912</v>
      </c>
      <c r="G6592" s="0" t="n">
        <v>3.2214</v>
      </c>
      <c r="H6592" s="0" t="n">
        <v>0.2</v>
      </c>
      <c r="I6592" s="7" t="n">
        <f aca="false">YEAR(B6592)</f>
        <v>2014</v>
      </c>
      <c r="J6592" s="0" t="str">
        <f aca="false">I6592&amp;"-Q"&amp;ROUNDUP(MONTH(B6592)/3,0)</f>
        <v>2014-Q1</v>
      </c>
    </row>
    <row r="6593" customFormat="false" ht="15" hidden="false" customHeight="false" outlineLevel="0" collapsed="false">
      <c r="A6593" s="0" t="s">
        <v>3358</v>
      </c>
      <c r="B6593" s="6" t="n">
        <v>42124</v>
      </c>
      <c r="C6593" s="7" t="s">
        <v>33</v>
      </c>
      <c r="D6593" s="7" t="s">
        <v>34</v>
      </c>
      <c r="E6593" s="7" t="s">
        <v>35</v>
      </c>
      <c r="F6593" s="0" t="n">
        <v>34.65</v>
      </c>
      <c r="G6593" s="0" t="n">
        <v>9.702</v>
      </c>
      <c r="H6593" s="0" t="n">
        <v>0</v>
      </c>
      <c r="I6593" s="7" t="n">
        <f aca="false">YEAR(B6593)</f>
        <v>2015</v>
      </c>
      <c r="J6593" s="0" t="str">
        <f aca="false">I6593&amp;"-Q"&amp;ROUNDUP(MONTH(B6593)/3,0)</f>
        <v>2015-Q2</v>
      </c>
    </row>
    <row r="6594" customFormat="false" ht="15" hidden="false" customHeight="false" outlineLevel="0" collapsed="false">
      <c r="A6594" s="0" t="s">
        <v>3358</v>
      </c>
      <c r="B6594" s="6" t="n">
        <v>42124</v>
      </c>
      <c r="C6594" s="7" t="s">
        <v>33</v>
      </c>
      <c r="D6594" s="7" t="s">
        <v>34</v>
      </c>
      <c r="E6594" s="7" t="s">
        <v>39</v>
      </c>
      <c r="F6594" s="0" t="n">
        <v>19.8</v>
      </c>
      <c r="G6594" s="0" t="n">
        <v>1.7325</v>
      </c>
      <c r="H6594" s="0" t="n">
        <v>0.2</v>
      </c>
      <c r="I6594" s="7" t="n">
        <f aca="false">YEAR(B6594)</f>
        <v>2015</v>
      </c>
      <c r="J6594" s="0" t="str">
        <f aca="false">I6594&amp;"-Q"&amp;ROUNDUP(MONTH(B6594)/3,0)</f>
        <v>2015-Q2</v>
      </c>
    </row>
    <row r="6595" customFormat="false" ht="15" hidden="false" customHeight="false" outlineLevel="0" collapsed="false">
      <c r="A6595" s="0" t="s">
        <v>3359</v>
      </c>
      <c r="B6595" s="6" t="n">
        <v>42534</v>
      </c>
      <c r="C6595" s="7" t="s">
        <v>55</v>
      </c>
      <c r="D6595" s="7" t="s">
        <v>76</v>
      </c>
      <c r="E6595" s="7" t="s">
        <v>35</v>
      </c>
      <c r="F6595" s="0" t="n">
        <v>33.568</v>
      </c>
      <c r="G6595" s="0" t="n">
        <v>11.7488</v>
      </c>
      <c r="H6595" s="0" t="n">
        <v>0.2</v>
      </c>
      <c r="I6595" s="7" t="n">
        <f aca="false">YEAR(B6595)</f>
        <v>2016</v>
      </c>
      <c r="J6595" s="0" t="str">
        <f aca="false">I6595&amp;"-Q"&amp;ROUNDUP(MONTH(B6595)/3,0)</f>
        <v>2016-Q2</v>
      </c>
    </row>
    <row r="6596" customFormat="false" ht="15" hidden="false" customHeight="false" outlineLevel="0" collapsed="false">
      <c r="A6596" s="0" t="s">
        <v>3360</v>
      </c>
      <c r="B6596" s="6" t="n">
        <v>42128</v>
      </c>
      <c r="C6596" s="7" t="s">
        <v>45</v>
      </c>
      <c r="D6596" s="7" t="s">
        <v>74</v>
      </c>
      <c r="E6596" s="7" t="s">
        <v>35</v>
      </c>
      <c r="F6596" s="0" t="n">
        <v>125.93</v>
      </c>
      <c r="G6596" s="0" t="n">
        <v>35.2604</v>
      </c>
      <c r="H6596" s="0" t="n">
        <v>0</v>
      </c>
      <c r="I6596" s="7" t="n">
        <f aca="false">YEAR(B6596)</f>
        <v>2015</v>
      </c>
      <c r="J6596" s="0" t="str">
        <f aca="false">I6596&amp;"-Q"&amp;ROUNDUP(MONTH(B6596)/3,0)</f>
        <v>2015-Q2</v>
      </c>
    </row>
    <row r="6597" customFormat="false" ht="15" hidden="false" customHeight="false" outlineLevel="0" collapsed="false">
      <c r="A6597" s="0" t="s">
        <v>3361</v>
      </c>
      <c r="B6597" s="6" t="n">
        <v>42848</v>
      </c>
      <c r="C6597" s="7" t="s">
        <v>55</v>
      </c>
      <c r="D6597" s="7" t="s">
        <v>116</v>
      </c>
      <c r="E6597" s="7" t="s">
        <v>35</v>
      </c>
      <c r="F6597" s="0" t="n">
        <v>11.76</v>
      </c>
      <c r="G6597" s="0" t="n">
        <v>-7.84</v>
      </c>
      <c r="H6597" s="0" t="n">
        <v>0.7</v>
      </c>
      <c r="I6597" s="7" t="n">
        <f aca="false">YEAR(B6597)</f>
        <v>2017</v>
      </c>
      <c r="J6597" s="0" t="str">
        <f aca="false">I6597&amp;"-Q"&amp;ROUNDUP(MONTH(B6597)/3,0)</f>
        <v>2017-Q2</v>
      </c>
    </row>
    <row r="6598" customFormat="false" ht="15" hidden="false" customHeight="false" outlineLevel="0" collapsed="false">
      <c r="A6598" s="0" t="s">
        <v>3361</v>
      </c>
      <c r="B6598" s="6" t="n">
        <v>42848</v>
      </c>
      <c r="C6598" s="7" t="s">
        <v>55</v>
      </c>
      <c r="D6598" s="7" t="s">
        <v>116</v>
      </c>
      <c r="E6598" s="7" t="s">
        <v>35</v>
      </c>
      <c r="F6598" s="0" t="n">
        <v>5.344</v>
      </c>
      <c r="G6598" s="0" t="n">
        <v>1.8704</v>
      </c>
      <c r="H6598" s="0" t="n">
        <v>0.2</v>
      </c>
      <c r="I6598" s="7" t="n">
        <f aca="false">YEAR(B6598)</f>
        <v>2017</v>
      </c>
      <c r="J6598" s="0" t="str">
        <f aca="false">I6598&amp;"-Q"&amp;ROUNDUP(MONTH(B6598)/3,0)</f>
        <v>2017-Q2</v>
      </c>
    </row>
    <row r="6599" customFormat="false" ht="15" hidden="false" customHeight="false" outlineLevel="0" collapsed="false">
      <c r="A6599" s="0" t="s">
        <v>3362</v>
      </c>
      <c r="B6599" s="6" t="n">
        <v>41796</v>
      </c>
      <c r="C6599" s="7" t="s">
        <v>29</v>
      </c>
      <c r="D6599" s="7" t="s">
        <v>37</v>
      </c>
      <c r="E6599" s="7" t="s">
        <v>35</v>
      </c>
      <c r="F6599" s="0" t="n">
        <v>1.365</v>
      </c>
      <c r="G6599" s="0" t="n">
        <v>-0.91</v>
      </c>
      <c r="H6599" s="0" t="n">
        <v>0.7</v>
      </c>
      <c r="I6599" s="7" t="n">
        <f aca="false">YEAR(B6599)</f>
        <v>2014</v>
      </c>
      <c r="J6599" s="0" t="str">
        <f aca="false">I6599&amp;"-Q"&amp;ROUNDUP(MONTH(B6599)/3,0)</f>
        <v>2014-Q2</v>
      </c>
    </row>
    <row r="6600" customFormat="false" ht="15" hidden="false" customHeight="false" outlineLevel="0" collapsed="false">
      <c r="A6600" s="0" t="s">
        <v>3362</v>
      </c>
      <c r="B6600" s="6" t="n">
        <v>41796</v>
      </c>
      <c r="C6600" s="7" t="s">
        <v>29</v>
      </c>
      <c r="D6600" s="7" t="s">
        <v>37</v>
      </c>
      <c r="E6600" s="7" t="s">
        <v>35</v>
      </c>
      <c r="F6600" s="0" t="n">
        <v>62.016</v>
      </c>
      <c r="G6600" s="0" t="n">
        <v>22.4808</v>
      </c>
      <c r="H6600" s="0" t="n">
        <v>0.2</v>
      </c>
      <c r="I6600" s="7" t="n">
        <f aca="false">YEAR(B6600)</f>
        <v>2014</v>
      </c>
      <c r="J6600" s="0" t="str">
        <f aca="false">I6600&amp;"-Q"&amp;ROUNDUP(MONTH(B6600)/3,0)</f>
        <v>2014-Q2</v>
      </c>
    </row>
    <row r="6601" customFormat="false" ht="15" hidden="false" customHeight="false" outlineLevel="0" collapsed="false">
      <c r="A6601" s="0" t="s">
        <v>3363</v>
      </c>
      <c r="B6601" s="6" t="n">
        <v>41975</v>
      </c>
      <c r="C6601" s="7" t="s">
        <v>55</v>
      </c>
      <c r="D6601" s="7" t="s">
        <v>495</v>
      </c>
      <c r="E6601" s="7" t="s">
        <v>31</v>
      </c>
      <c r="F6601" s="0" t="n">
        <v>60.72</v>
      </c>
      <c r="G6601" s="0" t="n">
        <v>23.6808</v>
      </c>
      <c r="H6601" s="0" t="n">
        <v>0</v>
      </c>
      <c r="I6601" s="7" t="n">
        <f aca="false">YEAR(B6601)</f>
        <v>2014</v>
      </c>
      <c r="J6601" s="0" t="str">
        <f aca="false">I6601&amp;"-Q"&amp;ROUNDUP(MONTH(B6601)/3,0)</f>
        <v>2014-Q4</v>
      </c>
    </row>
    <row r="6602" customFormat="false" ht="15" hidden="false" customHeight="false" outlineLevel="0" collapsed="false">
      <c r="A6602" s="0" t="s">
        <v>3363</v>
      </c>
      <c r="B6602" s="6" t="n">
        <v>41975</v>
      </c>
      <c r="C6602" s="7" t="s">
        <v>55</v>
      </c>
      <c r="D6602" s="7" t="s">
        <v>495</v>
      </c>
      <c r="E6602" s="7" t="s">
        <v>35</v>
      </c>
      <c r="F6602" s="0" t="n">
        <v>146.82</v>
      </c>
      <c r="G6602" s="0" t="n">
        <v>73.41</v>
      </c>
      <c r="H6602" s="0" t="n">
        <v>0</v>
      </c>
      <c r="I6602" s="7" t="n">
        <f aca="false">YEAR(B6602)</f>
        <v>2014</v>
      </c>
      <c r="J6602" s="0" t="str">
        <f aca="false">I6602&amp;"-Q"&amp;ROUNDUP(MONTH(B6602)/3,0)</f>
        <v>2014-Q4</v>
      </c>
    </row>
    <row r="6603" customFormat="false" ht="15" hidden="false" customHeight="false" outlineLevel="0" collapsed="false">
      <c r="A6603" s="0" t="s">
        <v>3363</v>
      </c>
      <c r="B6603" s="6" t="n">
        <v>41975</v>
      </c>
      <c r="C6603" s="7" t="s">
        <v>55</v>
      </c>
      <c r="D6603" s="7" t="s">
        <v>495</v>
      </c>
      <c r="E6603" s="7" t="s">
        <v>31</v>
      </c>
      <c r="F6603" s="0" t="n">
        <v>239.84</v>
      </c>
      <c r="G6603" s="0" t="n">
        <v>64.7568</v>
      </c>
      <c r="H6603" s="0" t="n">
        <v>0</v>
      </c>
      <c r="I6603" s="7" t="n">
        <f aca="false">YEAR(B6603)</f>
        <v>2014</v>
      </c>
      <c r="J6603" s="0" t="str">
        <f aca="false">I6603&amp;"-Q"&amp;ROUNDUP(MONTH(B6603)/3,0)</f>
        <v>2014-Q4</v>
      </c>
    </row>
    <row r="6604" customFormat="false" ht="15" hidden="false" customHeight="false" outlineLevel="0" collapsed="false">
      <c r="A6604" s="0" t="s">
        <v>3363</v>
      </c>
      <c r="B6604" s="6" t="n">
        <v>41975</v>
      </c>
      <c r="C6604" s="7" t="s">
        <v>55</v>
      </c>
      <c r="D6604" s="7" t="s">
        <v>495</v>
      </c>
      <c r="E6604" s="7" t="s">
        <v>35</v>
      </c>
      <c r="F6604" s="0" t="n">
        <v>15.66</v>
      </c>
      <c r="G6604" s="0" t="n">
        <v>7.2036</v>
      </c>
      <c r="H6604" s="0" t="n">
        <v>0</v>
      </c>
      <c r="I6604" s="7" t="n">
        <f aca="false">YEAR(B6604)</f>
        <v>2014</v>
      </c>
      <c r="J6604" s="0" t="str">
        <f aca="false">I6604&amp;"-Q"&amp;ROUNDUP(MONTH(B6604)/3,0)</f>
        <v>2014-Q4</v>
      </c>
    </row>
    <row r="6605" customFormat="false" ht="15" hidden="false" customHeight="false" outlineLevel="0" collapsed="false">
      <c r="A6605" s="0" t="s">
        <v>3364</v>
      </c>
      <c r="B6605" s="6" t="n">
        <v>42903</v>
      </c>
      <c r="C6605" s="7" t="s">
        <v>33</v>
      </c>
      <c r="D6605" s="7" t="s">
        <v>109</v>
      </c>
      <c r="E6605" s="7" t="s">
        <v>35</v>
      </c>
      <c r="F6605" s="0" t="n">
        <v>146.352</v>
      </c>
      <c r="G6605" s="0" t="n">
        <v>-32.9292</v>
      </c>
      <c r="H6605" s="0" t="n">
        <v>0.2</v>
      </c>
      <c r="I6605" s="7" t="n">
        <f aca="false">YEAR(B6605)</f>
        <v>2017</v>
      </c>
      <c r="J6605" s="0" t="str">
        <f aca="false">I6605&amp;"-Q"&amp;ROUNDUP(MONTH(B6605)/3,0)</f>
        <v>2017-Q2</v>
      </c>
    </row>
    <row r="6606" customFormat="false" ht="15" hidden="false" customHeight="false" outlineLevel="0" collapsed="false">
      <c r="A6606" s="0" t="s">
        <v>3365</v>
      </c>
      <c r="B6606" s="6" t="n">
        <v>42516</v>
      </c>
      <c r="C6606" s="7" t="s">
        <v>33</v>
      </c>
      <c r="D6606" s="7" t="s">
        <v>34</v>
      </c>
      <c r="E6606" s="7" t="s">
        <v>35</v>
      </c>
      <c r="F6606" s="0" t="n">
        <v>5.94</v>
      </c>
      <c r="G6606" s="0" t="n">
        <v>0</v>
      </c>
      <c r="H6606" s="0" t="n">
        <v>0</v>
      </c>
      <c r="I6606" s="7" t="n">
        <f aca="false">YEAR(B6606)</f>
        <v>2016</v>
      </c>
      <c r="J6606" s="0" t="str">
        <f aca="false">I6606&amp;"-Q"&amp;ROUNDUP(MONTH(B6606)/3,0)</f>
        <v>2016-Q2</v>
      </c>
    </row>
    <row r="6607" customFormat="false" ht="15" hidden="false" customHeight="false" outlineLevel="0" collapsed="false">
      <c r="A6607" s="0" t="s">
        <v>3365</v>
      </c>
      <c r="B6607" s="6" t="n">
        <v>42516</v>
      </c>
      <c r="C6607" s="7" t="s">
        <v>33</v>
      </c>
      <c r="D6607" s="7" t="s">
        <v>34</v>
      </c>
      <c r="E6607" s="7" t="s">
        <v>35</v>
      </c>
      <c r="F6607" s="0" t="n">
        <v>45.36</v>
      </c>
      <c r="G6607" s="0" t="n">
        <v>21.7728</v>
      </c>
      <c r="H6607" s="0" t="n">
        <v>0</v>
      </c>
      <c r="I6607" s="7" t="n">
        <f aca="false">YEAR(B6607)</f>
        <v>2016</v>
      </c>
      <c r="J6607" s="0" t="str">
        <f aca="false">I6607&amp;"-Q"&amp;ROUNDUP(MONTH(B6607)/3,0)</f>
        <v>2016-Q2</v>
      </c>
    </row>
    <row r="6608" customFormat="false" ht="15" hidden="false" customHeight="false" outlineLevel="0" collapsed="false">
      <c r="A6608" s="0" t="s">
        <v>3365</v>
      </c>
      <c r="B6608" s="6" t="n">
        <v>42516</v>
      </c>
      <c r="C6608" s="7" t="s">
        <v>33</v>
      </c>
      <c r="D6608" s="7" t="s">
        <v>34</v>
      </c>
      <c r="E6608" s="7" t="s">
        <v>39</v>
      </c>
      <c r="F6608" s="0" t="n">
        <v>211.168</v>
      </c>
      <c r="G6608" s="0" t="n">
        <v>23.7564</v>
      </c>
      <c r="H6608" s="0" t="n">
        <v>0.2</v>
      </c>
      <c r="I6608" s="7" t="n">
        <f aca="false">YEAR(B6608)</f>
        <v>2016</v>
      </c>
      <c r="J6608" s="0" t="str">
        <f aca="false">I6608&amp;"-Q"&amp;ROUNDUP(MONTH(B6608)/3,0)</f>
        <v>2016-Q2</v>
      </c>
    </row>
    <row r="6609" customFormat="false" ht="15" hidden="false" customHeight="false" outlineLevel="0" collapsed="false">
      <c r="A6609" s="0" t="s">
        <v>3365</v>
      </c>
      <c r="B6609" s="6" t="n">
        <v>42516</v>
      </c>
      <c r="C6609" s="7" t="s">
        <v>33</v>
      </c>
      <c r="D6609" s="7" t="s">
        <v>34</v>
      </c>
      <c r="E6609" s="7" t="s">
        <v>31</v>
      </c>
      <c r="F6609" s="0" t="n">
        <v>484.704</v>
      </c>
      <c r="G6609" s="0" t="n">
        <v>-84.8232</v>
      </c>
      <c r="H6609" s="0" t="n">
        <v>0.2</v>
      </c>
      <c r="I6609" s="7" t="n">
        <f aca="false">YEAR(B6609)</f>
        <v>2016</v>
      </c>
      <c r="J6609" s="0" t="str">
        <f aca="false">I6609&amp;"-Q"&amp;ROUNDUP(MONTH(B6609)/3,0)</f>
        <v>2016-Q2</v>
      </c>
    </row>
    <row r="6610" customFormat="false" ht="15" hidden="false" customHeight="false" outlineLevel="0" collapsed="false">
      <c r="A6610" s="0" t="s">
        <v>3365</v>
      </c>
      <c r="B6610" s="6" t="n">
        <v>42516</v>
      </c>
      <c r="C6610" s="7" t="s">
        <v>33</v>
      </c>
      <c r="D6610" s="7" t="s">
        <v>34</v>
      </c>
      <c r="E6610" s="7" t="s">
        <v>39</v>
      </c>
      <c r="F6610" s="0" t="n">
        <v>371.976</v>
      </c>
      <c r="G6610" s="0" t="n">
        <v>116.2425</v>
      </c>
      <c r="H6610" s="0" t="n">
        <v>0.2</v>
      </c>
      <c r="I6610" s="7" t="n">
        <f aca="false">YEAR(B6610)</f>
        <v>2016</v>
      </c>
      <c r="J6610" s="0" t="str">
        <f aca="false">I6610&amp;"-Q"&amp;ROUNDUP(MONTH(B6610)/3,0)</f>
        <v>2016-Q2</v>
      </c>
    </row>
    <row r="6611" customFormat="false" ht="15" hidden="false" customHeight="false" outlineLevel="0" collapsed="false">
      <c r="A6611" s="0" t="s">
        <v>3366</v>
      </c>
      <c r="B6611" s="6" t="n">
        <v>42073</v>
      </c>
      <c r="C6611" s="7" t="s">
        <v>55</v>
      </c>
      <c r="D6611" s="7" t="s">
        <v>495</v>
      </c>
      <c r="E6611" s="7" t="s">
        <v>35</v>
      </c>
      <c r="F6611" s="0" t="n">
        <v>89.82</v>
      </c>
      <c r="G6611" s="0" t="n">
        <v>25.1496</v>
      </c>
      <c r="H6611" s="0" t="n">
        <v>0</v>
      </c>
      <c r="I6611" s="7" t="n">
        <f aca="false">YEAR(B6611)</f>
        <v>2015</v>
      </c>
      <c r="J6611" s="0" t="str">
        <f aca="false">I6611&amp;"-Q"&amp;ROUNDUP(MONTH(B6611)/3,0)</f>
        <v>2015-Q1</v>
      </c>
    </row>
    <row r="6612" customFormat="false" ht="15" hidden="false" customHeight="false" outlineLevel="0" collapsed="false">
      <c r="A6612" s="0" t="s">
        <v>3367</v>
      </c>
      <c r="B6612" s="6" t="n">
        <v>42663</v>
      </c>
      <c r="C6612" s="7" t="s">
        <v>33</v>
      </c>
      <c r="D6612" s="7" t="s">
        <v>34</v>
      </c>
      <c r="E6612" s="7" t="s">
        <v>35</v>
      </c>
      <c r="F6612" s="0" t="n">
        <v>19.296</v>
      </c>
      <c r="G6612" s="0" t="n">
        <v>6.03</v>
      </c>
      <c r="H6612" s="0" t="n">
        <v>0.2</v>
      </c>
      <c r="I6612" s="7" t="n">
        <f aca="false">YEAR(B6612)</f>
        <v>2016</v>
      </c>
      <c r="J6612" s="0" t="str">
        <f aca="false">I6612&amp;"-Q"&amp;ROUNDUP(MONTH(B6612)/3,0)</f>
        <v>2016-Q4</v>
      </c>
    </row>
    <row r="6613" customFormat="false" ht="15" hidden="false" customHeight="false" outlineLevel="0" collapsed="false">
      <c r="A6613" s="0" t="s">
        <v>3368</v>
      </c>
      <c r="B6613" s="6" t="n">
        <v>42115</v>
      </c>
      <c r="C6613" s="7" t="s">
        <v>29</v>
      </c>
      <c r="D6613" s="7" t="s">
        <v>30</v>
      </c>
      <c r="E6613" s="7" t="s">
        <v>31</v>
      </c>
      <c r="F6613" s="0" t="n">
        <v>191.96</v>
      </c>
      <c r="G6613" s="0" t="n">
        <v>51.8292</v>
      </c>
      <c r="H6613" s="0" t="n">
        <v>0</v>
      </c>
      <c r="I6613" s="7" t="n">
        <f aca="false">YEAR(B6613)</f>
        <v>2015</v>
      </c>
      <c r="J6613" s="0" t="str">
        <f aca="false">I6613&amp;"-Q"&amp;ROUNDUP(MONTH(B6613)/3,0)</f>
        <v>2015-Q2</v>
      </c>
    </row>
    <row r="6614" customFormat="false" ht="15" hidden="false" customHeight="false" outlineLevel="0" collapsed="false">
      <c r="A6614" s="0" t="s">
        <v>3368</v>
      </c>
      <c r="B6614" s="6" t="n">
        <v>42115</v>
      </c>
      <c r="C6614" s="7" t="s">
        <v>29</v>
      </c>
      <c r="D6614" s="7" t="s">
        <v>30</v>
      </c>
      <c r="E6614" s="7" t="s">
        <v>35</v>
      </c>
      <c r="F6614" s="0" t="n">
        <v>21.3</v>
      </c>
      <c r="G6614" s="0" t="n">
        <v>9.798</v>
      </c>
      <c r="H6614" s="0" t="n">
        <v>0</v>
      </c>
      <c r="I6614" s="7" t="n">
        <f aca="false">YEAR(B6614)</f>
        <v>2015</v>
      </c>
      <c r="J6614" s="0" t="str">
        <f aca="false">I6614&amp;"-Q"&amp;ROUNDUP(MONTH(B6614)/3,0)</f>
        <v>2015-Q2</v>
      </c>
    </row>
    <row r="6615" customFormat="false" ht="15" hidden="false" customHeight="false" outlineLevel="0" collapsed="false">
      <c r="A6615" s="0" t="s">
        <v>3368</v>
      </c>
      <c r="B6615" s="6" t="n">
        <v>42115</v>
      </c>
      <c r="C6615" s="7" t="s">
        <v>29</v>
      </c>
      <c r="D6615" s="7" t="s">
        <v>30</v>
      </c>
      <c r="E6615" s="7" t="s">
        <v>39</v>
      </c>
      <c r="F6615" s="0" t="n">
        <v>469.95</v>
      </c>
      <c r="G6615" s="0" t="n">
        <v>131.586</v>
      </c>
      <c r="H6615" s="0" t="n">
        <v>0</v>
      </c>
      <c r="I6615" s="7" t="n">
        <f aca="false">YEAR(B6615)</f>
        <v>2015</v>
      </c>
      <c r="J6615" s="0" t="str">
        <f aca="false">I6615&amp;"-Q"&amp;ROUNDUP(MONTH(B6615)/3,0)</f>
        <v>2015-Q2</v>
      </c>
    </row>
    <row r="6616" customFormat="false" ht="15" hidden="false" customHeight="false" outlineLevel="0" collapsed="false">
      <c r="A6616" s="0" t="s">
        <v>3368</v>
      </c>
      <c r="B6616" s="6" t="n">
        <v>42115</v>
      </c>
      <c r="C6616" s="7" t="s">
        <v>29</v>
      </c>
      <c r="D6616" s="7" t="s">
        <v>30</v>
      </c>
      <c r="E6616" s="7" t="s">
        <v>31</v>
      </c>
      <c r="F6616" s="0" t="n">
        <v>209.88</v>
      </c>
      <c r="G6616" s="0" t="n">
        <v>35.6796</v>
      </c>
      <c r="H6616" s="0" t="n">
        <v>0</v>
      </c>
      <c r="I6616" s="7" t="n">
        <f aca="false">YEAR(B6616)</f>
        <v>2015</v>
      </c>
      <c r="J6616" s="0" t="str">
        <f aca="false">I6616&amp;"-Q"&amp;ROUNDUP(MONTH(B6616)/3,0)</f>
        <v>2015-Q2</v>
      </c>
    </row>
    <row r="6617" customFormat="false" ht="15" hidden="false" customHeight="false" outlineLevel="0" collapsed="false">
      <c r="A6617" s="0" t="s">
        <v>3369</v>
      </c>
      <c r="B6617" s="6" t="n">
        <v>42538</v>
      </c>
      <c r="C6617" s="7" t="s">
        <v>33</v>
      </c>
      <c r="D6617" s="7" t="s">
        <v>34</v>
      </c>
      <c r="E6617" s="7" t="s">
        <v>31</v>
      </c>
      <c r="F6617" s="0" t="n">
        <v>239.666</v>
      </c>
      <c r="G6617" s="0" t="n">
        <v>14.098</v>
      </c>
      <c r="H6617" s="0" t="n">
        <v>0.15</v>
      </c>
      <c r="I6617" s="7" t="n">
        <f aca="false">YEAR(B6617)</f>
        <v>2016</v>
      </c>
      <c r="J6617" s="0" t="str">
        <f aca="false">I6617&amp;"-Q"&amp;ROUNDUP(MONTH(B6617)/3,0)</f>
        <v>2016-Q2</v>
      </c>
    </row>
    <row r="6618" customFormat="false" ht="15" hidden="false" customHeight="false" outlineLevel="0" collapsed="false">
      <c r="A6618" s="0" t="s">
        <v>3369</v>
      </c>
      <c r="B6618" s="6" t="n">
        <v>42538</v>
      </c>
      <c r="C6618" s="7" t="s">
        <v>33</v>
      </c>
      <c r="D6618" s="7" t="s">
        <v>34</v>
      </c>
      <c r="E6618" s="7" t="s">
        <v>35</v>
      </c>
      <c r="F6618" s="0" t="n">
        <v>22.5</v>
      </c>
      <c r="G6618" s="0" t="n">
        <v>10.8</v>
      </c>
      <c r="H6618" s="0" t="n">
        <v>0</v>
      </c>
      <c r="I6618" s="7" t="n">
        <f aca="false">YEAR(B6618)</f>
        <v>2016</v>
      </c>
      <c r="J6618" s="0" t="str">
        <f aca="false">I6618&amp;"-Q"&amp;ROUNDUP(MONTH(B6618)/3,0)</f>
        <v>2016-Q2</v>
      </c>
    </row>
    <row r="6619" customFormat="false" ht="15" hidden="false" customHeight="false" outlineLevel="0" collapsed="false">
      <c r="A6619" s="0" t="s">
        <v>3369</v>
      </c>
      <c r="B6619" s="6" t="n">
        <v>42538</v>
      </c>
      <c r="C6619" s="7" t="s">
        <v>33</v>
      </c>
      <c r="D6619" s="7" t="s">
        <v>34</v>
      </c>
      <c r="E6619" s="7" t="s">
        <v>35</v>
      </c>
      <c r="F6619" s="0" t="n">
        <v>219.84</v>
      </c>
      <c r="G6619" s="0" t="n">
        <v>107.7216</v>
      </c>
      <c r="H6619" s="0" t="n">
        <v>0</v>
      </c>
      <c r="I6619" s="7" t="n">
        <f aca="false">YEAR(B6619)</f>
        <v>2016</v>
      </c>
      <c r="J6619" s="0" t="str">
        <f aca="false">I6619&amp;"-Q"&amp;ROUNDUP(MONTH(B6619)/3,0)</f>
        <v>2016-Q2</v>
      </c>
    </row>
    <row r="6620" customFormat="false" ht="15" hidden="false" customHeight="false" outlineLevel="0" collapsed="false">
      <c r="A6620" s="0" t="s">
        <v>3370</v>
      </c>
      <c r="B6620" s="6" t="n">
        <v>42748</v>
      </c>
      <c r="C6620" s="7" t="s">
        <v>45</v>
      </c>
      <c r="D6620" s="7" t="s">
        <v>129</v>
      </c>
      <c r="E6620" s="7" t="s">
        <v>35</v>
      </c>
      <c r="F6620" s="0" t="n">
        <v>32.4</v>
      </c>
      <c r="G6620" s="0" t="n">
        <v>15.552</v>
      </c>
      <c r="H6620" s="0" t="n">
        <v>0</v>
      </c>
      <c r="I6620" s="7" t="n">
        <f aca="false">YEAR(B6620)</f>
        <v>2017</v>
      </c>
      <c r="J6620" s="0" t="str">
        <f aca="false">I6620&amp;"-Q"&amp;ROUNDUP(MONTH(B6620)/3,0)</f>
        <v>2017-Q1</v>
      </c>
    </row>
    <row r="6621" customFormat="false" ht="15" hidden="false" customHeight="false" outlineLevel="0" collapsed="false">
      <c r="A6621" s="0" t="s">
        <v>3370</v>
      </c>
      <c r="B6621" s="6" t="n">
        <v>42748</v>
      </c>
      <c r="C6621" s="7" t="s">
        <v>45</v>
      </c>
      <c r="D6621" s="7" t="s">
        <v>129</v>
      </c>
      <c r="E6621" s="7" t="s">
        <v>35</v>
      </c>
      <c r="F6621" s="0" t="n">
        <v>209.94</v>
      </c>
      <c r="G6621" s="0" t="n">
        <v>54.5844</v>
      </c>
      <c r="H6621" s="0" t="n">
        <v>0</v>
      </c>
      <c r="I6621" s="7" t="n">
        <f aca="false">YEAR(B6621)</f>
        <v>2017</v>
      </c>
      <c r="J6621" s="0" t="str">
        <f aca="false">I6621&amp;"-Q"&amp;ROUNDUP(MONTH(B6621)/3,0)</f>
        <v>2017-Q1</v>
      </c>
    </row>
    <row r="6622" customFormat="false" ht="15" hidden="false" customHeight="false" outlineLevel="0" collapsed="false">
      <c r="A6622" s="0" t="s">
        <v>3370</v>
      </c>
      <c r="B6622" s="6" t="n">
        <v>42748</v>
      </c>
      <c r="C6622" s="7" t="s">
        <v>45</v>
      </c>
      <c r="D6622" s="7" t="s">
        <v>129</v>
      </c>
      <c r="E6622" s="7" t="s">
        <v>35</v>
      </c>
      <c r="F6622" s="0" t="n">
        <v>4164.05</v>
      </c>
      <c r="G6622" s="0" t="n">
        <v>83.281</v>
      </c>
      <c r="H6622" s="0" t="n">
        <v>0</v>
      </c>
      <c r="I6622" s="7" t="n">
        <f aca="false">YEAR(B6622)</f>
        <v>2017</v>
      </c>
      <c r="J6622" s="0" t="str">
        <f aca="false">I6622&amp;"-Q"&amp;ROUNDUP(MONTH(B6622)/3,0)</f>
        <v>2017-Q1</v>
      </c>
    </row>
    <row r="6623" customFormat="false" ht="15" hidden="false" customHeight="false" outlineLevel="0" collapsed="false">
      <c r="A6623" s="0" t="s">
        <v>3370</v>
      </c>
      <c r="B6623" s="6" t="n">
        <v>42748</v>
      </c>
      <c r="C6623" s="7" t="s">
        <v>45</v>
      </c>
      <c r="D6623" s="7" t="s">
        <v>129</v>
      </c>
      <c r="E6623" s="7" t="s">
        <v>31</v>
      </c>
      <c r="F6623" s="0" t="n">
        <v>212.94</v>
      </c>
      <c r="G6623" s="0" t="n">
        <v>53.235</v>
      </c>
      <c r="H6623" s="0" t="n">
        <v>0</v>
      </c>
      <c r="I6623" s="7" t="n">
        <f aca="false">YEAR(B6623)</f>
        <v>2017</v>
      </c>
      <c r="J6623" s="0" t="str">
        <f aca="false">I6623&amp;"-Q"&amp;ROUNDUP(MONTH(B6623)/3,0)</f>
        <v>2017-Q1</v>
      </c>
    </row>
    <row r="6624" customFormat="false" ht="15" hidden="false" customHeight="false" outlineLevel="0" collapsed="false">
      <c r="A6624" s="0" t="s">
        <v>3371</v>
      </c>
      <c r="B6624" s="6" t="n">
        <v>41888</v>
      </c>
      <c r="C6624" s="7" t="s">
        <v>33</v>
      </c>
      <c r="D6624" s="7" t="s">
        <v>34</v>
      </c>
      <c r="E6624" s="7" t="s">
        <v>31</v>
      </c>
      <c r="F6624" s="0" t="n">
        <v>41.88</v>
      </c>
      <c r="G6624" s="0" t="n">
        <v>12.1452</v>
      </c>
      <c r="H6624" s="0" t="n">
        <v>0</v>
      </c>
      <c r="I6624" s="7" t="n">
        <f aca="false">YEAR(B6624)</f>
        <v>2014</v>
      </c>
      <c r="J6624" s="0" t="str">
        <f aca="false">I6624&amp;"-Q"&amp;ROUNDUP(MONTH(B6624)/3,0)</f>
        <v>2014-Q3</v>
      </c>
    </row>
    <row r="6625" customFormat="false" ht="15" hidden="false" customHeight="false" outlineLevel="0" collapsed="false">
      <c r="A6625" s="0" t="s">
        <v>3371</v>
      </c>
      <c r="B6625" s="6" t="n">
        <v>41888</v>
      </c>
      <c r="C6625" s="7" t="s">
        <v>33</v>
      </c>
      <c r="D6625" s="7" t="s">
        <v>34</v>
      </c>
      <c r="E6625" s="7" t="s">
        <v>35</v>
      </c>
      <c r="F6625" s="0" t="n">
        <v>58.48</v>
      </c>
      <c r="G6625" s="0" t="n">
        <v>27.4856</v>
      </c>
      <c r="H6625" s="0" t="n">
        <v>0</v>
      </c>
      <c r="I6625" s="7" t="n">
        <f aca="false">YEAR(B6625)</f>
        <v>2014</v>
      </c>
      <c r="J6625" s="0" t="str">
        <f aca="false">I6625&amp;"-Q"&amp;ROUNDUP(MONTH(B6625)/3,0)</f>
        <v>2014-Q3</v>
      </c>
    </row>
    <row r="6626" customFormat="false" ht="15" hidden="false" customHeight="false" outlineLevel="0" collapsed="false">
      <c r="A6626" s="0" t="s">
        <v>3372</v>
      </c>
      <c r="B6626" s="6" t="n">
        <v>42023</v>
      </c>
      <c r="C6626" s="7" t="s">
        <v>45</v>
      </c>
      <c r="D6626" s="7" t="s">
        <v>46</v>
      </c>
      <c r="E6626" s="7" t="s">
        <v>31</v>
      </c>
      <c r="F6626" s="0" t="n">
        <v>102.438</v>
      </c>
      <c r="G6626" s="0" t="n">
        <v>-13.1706</v>
      </c>
      <c r="H6626" s="0" t="n">
        <v>0.3</v>
      </c>
      <c r="I6626" s="7" t="n">
        <f aca="false">YEAR(B6626)</f>
        <v>2015</v>
      </c>
      <c r="J6626" s="0" t="str">
        <f aca="false">I6626&amp;"-Q"&amp;ROUNDUP(MONTH(B6626)/3,0)</f>
        <v>2015-Q1</v>
      </c>
    </row>
    <row r="6627" customFormat="false" ht="15" hidden="false" customHeight="false" outlineLevel="0" collapsed="false">
      <c r="A6627" s="0" t="s">
        <v>3372</v>
      </c>
      <c r="B6627" s="6" t="n">
        <v>42023</v>
      </c>
      <c r="C6627" s="7" t="s">
        <v>45</v>
      </c>
      <c r="D6627" s="7" t="s">
        <v>46</v>
      </c>
      <c r="E6627" s="7" t="s">
        <v>31</v>
      </c>
      <c r="F6627" s="0" t="n">
        <v>199.304</v>
      </c>
      <c r="G6627" s="0" t="n">
        <v>-8.5416</v>
      </c>
      <c r="H6627" s="0" t="n">
        <v>0.3</v>
      </c>
      <c r="I6627" s="7" t="n">
        <f aca="false">YEAR(B6627)</f>
        <v>2015</v>
      </c>
      <c r="J6627" s="0" t="str">
        <f aca="false">I6627&amp;"-Q"&amp;ROUNDUP(MONTH(B6627)/3,0)</f>
        <v>2015-Q1</v>
      </c>
    </row>
    <row r="6628" customFormat="false" ht="15" hidden="false" customHeight="false" outlineLevel="0" collapsed="false">
      <c r="A6628" s="0" t="s">
        <v>3373</v>
      </c>
      <c r="B6628" s="6" t="n">
        <v>41987</v>
      </c>
      <c r="C6628" s="7" t="s">
        <v>55</v>
      </c>
      <c r="D6628" s="7" t="s">
        <v>76</v>
      </c>
      <c r="E6628" s="7" t="s">
        <v>39</v>
      </c>
      <c r="F6628" s="0" t="n">
        <v>6999.96</v>
      </c>
      <c r="G6628" s="0" t="n">
        <v>2239.9872</v>
      </c>
      <c r="H6628" s="0" t="n">
        <v>0</v>
      </c>
      <c r="I6628" s="7" t="n">
        <f aca="false">YEAR(B6628)</f>
        <v>2014</v>
      </c>
      <c r="J6628" s="0" t="str">
        <f aca="false">I6628&amp;"-Q"&amp;ROUNDUP(MONTH(B6628)/3,0)</f>
        <v>2014-Q4</v>
      </c>
    </row>
    <row r="6629" customFormat="false" ht="15" hidden="false" customHeight="false" outlineLevel="0" collapsed="false">
      <c r="A6629" s="0" t="s">
        <v>3374</v>
      </c>
      <c r="B6629" s="6" t="n">
        <v>41782</v>
      </c>
      <c r="C6629" s="7" t="s">
        <v>33</v>
      </c>
      <c r="D6629" s="7" t="s">
        <v>43</v>
      </c>
      <c r="E6629" s="7" t="s">
        <v>35</v>
      </c>
      <c r="F6629" s="0" t="n">
        <v>12.96</v>
      </c>
      <c r="G6629" s="0" t="n">
        <v>6.2208</v>
      </c>
      <c r="H6629" s="0" t="n">
        <v>0</v>
      </c>
      <c r="I6629" s="7" t="n">
        <f aca="false">YEAR(B6629)</f>
        <v>2014</v>
      </c>
      <c r="J6629" s="0" t="str">
        <f aca="false">I6629&amp;"-Q"&amp;ROUNDUP(MONTH(B6629)/3,0)</f>
        <v>2014-Q2</v>
      </c>
    </row>
    <row r="6630" customFormat="false" ht="15" hidden="false" customHeight="false" outlineLevel="0" collapsed="false">
      <c r="A6630" s="0" t="s">
        <v>3375</v>
      </c>
      <c r="B6630" s="6" t="n">
        <v>42266</v>
      </c>
      <c r="C6630" s="7" t="s">
        <v>55</v>
      </c>
      <c r="D6630" s="7" t="s">
        <v>76</v>
      </c>
      <c r="E6630" s="7" t="s">
        <v>39</v>
      </c>
      <c r="F6630" s="0" t="n">
        <v>279.86</v>
      </c>
      <c r="G6630" s="0" t="n">
        <v>134.3328</v>
      </c>
      <c r="H6630" s="0" t="n">
        <v>0</v>
      </c>
      <c r="I6630" s="7" t="n">
        <f aca="false">YEAR(B6630)</f>
        <v>2015</v>
      </c>
      <c r="J6630" s="0" t="str">
        <f aca="false">I6630&amp;"-Q"&amp;ROUNDUP(MONTH(B6630)/3,0)</f>
        <v>2015-Q3</v>
      </c>
    </row>
    <row r="6631" customFormat="false" ht="15" hidden="false" customHeight="false" outlineLevel="0" collapsed="false">
      <c r="A6631" s="0" t="s">
        <v>3376</v>
      </c>
      <c r="B6631" s="6" t="n">
        <v>42279</v>
      </c>
      <c r="C6631" s="7" t="s">
        <v>29</v>
      </c>
      <c r="D6631" s="7" t="s">
        <v>41</v>
      </c>
      <c r="E6631" s="7" t="s">
        <v>35</v>
      </c>
      <c r="F6631" s="0" t="n">
        <v>7.38</v>
      </c>
      <c r="G6631" s="0" t="n">
        <v>-5.412</v>
      </c>
      <c r="H6631" s="0" t="n">
        <v>0.7</v>
      </c>
      <c r="I6631" s="7" t="n">
        <f aca="false">YEAR(B6631)</f>
        <v>2015</v>
      </c>
      <c r="J6631" s="0" t="str">
        <f aca="false">I6631&amp;"-Q"&amp;ROUNDUP(MONTH(B6631)/3,0)</f>
        <v>2015-Q4</v>
      </c>
    </row>
    <row r="6632" customFormat="false" ht="15" hidden="false" customHeight="false" outlineLevel="0" collapsed="false">
      <c r="A6632" s="0" t="s">
        <v>3377</v>
      </c>
      <c r="B6632" s="6" t="n">
        <v>42729</v>
      </c>
      <c r="C6632" s="7" t="s">
        <v>33</v>
      </c>
      <c r="D6632" s="7" t="s">
        <v>43</v>
      </c>
      <c r="E6632" s="7" t="s">
        <v>31</v>
      </c>
      <c r="F6632" s="0" t="n">
        <v>698.352</v>
      </c>
      <c r="G6632" s="0" t="n">
        <v>52.3764</v>
      </c>
      <c r="H6632" s="0" t="n">
        <v>0.2</v>
      </c>
      <c r="I6632" s="7" t="n">
        <f aca="false">YEAR(B6632)</f>
        <v>2016</v>
      </c>
      <c r="J6632" s="0" t="str">
        <f aca="false">I6632&amp;"-Q"&amp;ROUNDUP(MONTH(B6632)/3,0)</f>
        <v>2016-Q4</v>
      </c>
    </row>
    <row r="6633" customFormat="false" ht="15" hidden="false" customHeight="false" outlineLevel="0" collapsed="false">
      <c r="A6633" s="0" t="s">
        <v>3377</v>
      </c>
      <c r="B6633" s="6" t="n">
        <v>42729</v>
      </c>
      <c r="C6633" s="7" t="s">
        <v>33</v>
      </c>
      <c r="D6633" s="7" t="s">
        <v>43</v>
      </c>
      <c r="E6633" s="7" t="s">
        <v>31</v>
      </c>
      <c r="F6633" s="0" t="n">
        <v>1747.25</v>
      </c>
      <c r="G6633" s="0" t="n">
        <v>629.01</v>
      </c>
      <c r="H6633" s="0" t="n">
        <v>0</v>
      </c>
      <c r="I6633" s="7" t="n">
        <f aca="false">YEAR(B6633)</f>
        <v>2016</v>
      </c>
      <c r="J6633" s="0" t="str">
        <f aca="false">I6633&amp;"-Q"&amp;ROUNDUP(MONTH(B6633)/3,0)</f>
        <v>2016-Q4</v>
      </c>
    </row>
    <row r="6634" customFormat="false" ht="15" hidden="false" customHeight="false" outlineLevel="0" collapsed="false">
      <c r="A6634" s="0" t="s">
        <v>3378</v>
      </c>
      <c r="B6634" s="6" t="n">
        <v>42496</v>
      </c>
      <c r="C6634" s="7" t="s">
        <v>45</v>
      </c>
      <c r="D6634" s="7" t="s">
        <v>129</v>
      </c>
      <c r="E6634" s="7" t="s">
        <v>35</v>
      </c>
      <c r="F6634" s="0" t="n">
        <v>54.48</v>
      </c>
      <c r="G6634" s="0" t="n">
        <v>15.2544</v>
      </c>
      <c r="H6634" s="0" t="n">
        <v>0</v>
      </c>
      <c r="I6634" s="7" t="n">
        <f aca="false">YEAR(B6634)</f>
        <v>2016</v>
      </c>
      <c r="J6634" s="0" t="str">
        <f aca="false">I6634&amp;"-Q"&amp;ROUNDUP(MONTH(B6634)/3,0)</f>
        <v>2016-Q2</v>
      </c>
    </row>
    <row r="6635" customFormat="false" ht="15" hidden="false" customHeight="false" outlineLevel="0" collapsed="false">
      <c r="A6635" s="0" t="s">
        <v>3379</v>
      </c>
      <c r="B6635" s="6" t="n">
        <v>42667</v>
      </c>
      <c r="C6635" s="7" t="s">
        <v>33</v>
      </c>
      <c r="D6635" s="7" t="s">
        <v>34</v>
      </c>
      <c r="E6635" s="7" t="s">
        <v>39</v>
      </c>
      <c r="F6635" s="0" t="n">
        <v>199.99</v>
      </c>
      <c r="G6635" s="0" t="n">
        <v>85.9957</v>
      </c>
      <c r="H6635" s="0" t="n">
        <v>0</v>
      </c>
      <c r="I6635" s="7" t="n">
        <f aca="false">YEAR(B6635)</f>
        <v>2016</v>
      </c>
      <c r="J6635" s="0" t="str">
        <f aca="false">I6635&amp;"-Q"&amp;ROUNDUP(MONTH(B6635)/3,0)</f>
        <v>2016-Q4</v>
      </c>
    </row>
    <row r="6636" customFormat="false" ht="15" hidden="false" customHeight="false" outlineLevel="0" collapsed="false">
      <c r="A6636" s="0" t="s">
        <v>3380</v>
      </c>
      <c r="B6636" s="6" t="n">
        <v>42861</v>
      </c>
      <c r="C6636" s="7" t="s">
        <v>29</v>
      </c>
      <c r="D6636" s="7" t="s">
        <v>41</v>
      </c>
      <c r="E6636" s="7" t="s">
        <v>35</v>
      </c>
      <c r="F6636" s="0" t="n">
        <v>68.541</v>
      </c>
      <c r="G6636" s="0" t="n">
        <v>-52.5481</v>
      </c>
      <c r="H6636" s="0" t="n">
        <v>0.7</v>
      </c>
      <c r="I6636" s="7" t="n">
        <f aca="false">YEAR(B6636)</f>
        <v>2017</v>
      </c>
      <c r="J6636" s="0" t="str">
        <f aca="false">I6636&amp;"-Q"&amp;ROUNDUP(MONTH(B6636)/3,0)</f>
        <v>2017-Q2</v>
      </c>
    </row>
    <row r="6637" customFormat="false" ht="15" hidden="false" customHeight="false" outlineLevel="0" collapsed="false">
      <c r="A6637" s="0" t="s">
        <v>3380</v>
      </c>
      <c r="B6637" s="6" t="n">
        <v>42861</v>
      </c>
      <c r="C6637" s="7" t="s">
        <v>29</v>
      </c>
      <c r="D6637" s="7" t="s">
        <v>41</v>
      </c>
      <c r="E6637" s="7" t="s">
        <v>39</v>
      </c>
      <c r="F6637" s="0" t="n">
        <v>627.168</v>
      </c>
      <c r="G6637" s="0" t="n">
        <v>70.5564</v>
      </c>
      <c r="H6637" s="0" t="n">
        <v>0.2</v>
      </c>
      <c r="I6637" s="7" t="n">
        <f aca="false">YEAR(B6637)</f>
        <v>2017</v>
      </c>
      <c r="J6637" s="0" t="str">
        <f aca="false">I6637&amp;"-Q"&amp;ROUNDUP(MONTH(B6637)/3,0)</f>
        <v>2017-Q2</v>
      </c>
    </row>
    <row r="6638" customFormat="false" ht="15" hidden="false" customHeight="false" outlineLevel="0" collapsed="false">
      <c r="A6638" s="0" t="s">
        <v>3380</v>
      </c>
      <c r="B6638" s="6" t="n">
        <v>42861</v>
      </c>
      <c r="C6638" s="7" t="s">
        <v>29</v>
      </c>
      <c r="D6638" s="7" t="s">
        <v>41</v>
      </c>
      <c r="E6638" s="7" t="s">
        <v>35</v>
      </c>
      <c r="F6638" s="0" t="n">
        <v>122.12</v>
      </c>
      <c r="G6638" s="0" t="n">
        <v>39.689</v>
      </c>
      <c r="H6638" s="0" t="n">
        <v>0.2</v>
      </c>
      <c r="I6638" s="7" t="n">
        <f aca="false">YEAR(B6638)</f>
        <v>2017</v>
      </c>
      <c r="J6638" s="0" t="str">
        <f aca="false">I6638&amp;"-Q"&amp;ROUNDUP(MONTH(B6638)/3,0)</f>
        <v>2017-Q2</v>
      </c>
    </row>
    <row r="6639" customFormat="false" ht="15" hidden="false" customHeight="false" outlineLevel="0" collapsed="false">
      <c r="A6639" s="0" t="s">
        <v>3381</v>
      </c>
      <c r="B6639" s="6" t="n">
        <v>43066</v>
      </c>
      <c r="C6639" s="7" t="s">
        <v>55</v>
      </c>
      <c r="D6639" s="7" t="s">
        <v>76</v>
      </c>
      <c r="E6639" s="7" t="s">
        <v>35</v>
      </c>
      <c r="F6639" s="0" t="n">
        <v>6.99</v>
      </c>
      <c r="G6639" s="0" t="n">
        <v>2.0271</v>
      </c>
      <c r="H6639" s="0" t="n">
        <v>0</v>
      </c>
      <c r="I6639" s="7" t="n">
        <f aca="false">YEAR(B6639)</f>
        <v>2017</v>
      </c>
      <c r="J6639" s="0" t="str">
        <f aca="false">I6639&amp;"-Q"&amp;ROUNDUP(MONTH(B6639)/3,0)</f>
        <v>2017-Q4</v>
      </c>
    </row>
    <row r="6640" customFormat="false" ht="15" hidden="false" customHeight="false" outlineLevel="0" collapsed="false">
      <c r="A6640" s="0" t="s">
        <v>3381</v>
      </c>
      <c r="B6640" s="6" t="n">
        <v>43066</v>
      </c>
      <c r="C6640" s="7" t="s">
        <v>55</v>
      </c>
      <c r="D6640" s="7" t="s">
        <v>76</v>
      </c>
      <c r="E6640" s="7" t="s">
        <v>35</v>
      </c>
      <c r="F6640" s="0" t="n">
        <v>107.424</v>
      </c>
      <c r="G6640" s="0" t="n">
        <v>36.2556</v>
      </c>
      <c r="H6640" s="0" t="n">
        <v>0.2</v>
      </c>
      <c r="I6640" s="7" t="n">
        <f aca="false">YEAR(B6640)</f>
        <v>2017</v>
      </c>
      <c r="J6640" s="0" t="str">
        <f aca="false">I6640&amp;"-Q"&amp;ROUNDUP(MONTH(B6640)/3,0)</f>
        <v>2017-Q4</v>
      </c>
    </row>
    <row r="6641" customFormat="false" ht="15" hidden="false" customHeight="false" outlineLevel="0" collapsed="false">
      <c r="A6641" s="0" t="s">
        <v>3382</v>
      </c>
      <c r="B6641" s="6" t="n">
        <v>41943</v>
      </c>
      <c r="C6641" s="7" t="s">
        <v>55</v>
      </c>
      <c r="D6641" s="7" t="s">
        <v>116</v>
      </c>
      <c r="E6641" s="7" t="s">
        <v>31</v>
      </c>
      <c r="F6641" s="0" t="n">
        <v>1421.664</v>
      </c>
      <c r="G6641" s="0" t="n">
        <v>-734.5264</v>
      </c>
      <c r="H6641" s="0" t="n">
        <v>0.4</v>
      </c>
      <c r="I6641" s="7" t="n">
        <f aca="false">YEAR(B6641)</f>
        <v>2014</v>
      </c>
      <c r="J6641" s="0" t="str">
        <f aca="false">I6641&amp;"-Q"&amp;ROUNDUP(MONTH(B6641)/3,0)</f>
        <v>2014-Q4</v>
      </c>
    </row>
    <row r="6642" customFormat="false" ht="15" hidden="false" customHeight="false" outlineLevel="0" collapsed="false">
      <c r="A6642" s="0" t="s">
        <v>3383</v>
      </c>
      <c r="B6642" s="6" t="n">
        <v>42952</v>
      </c>
      <c r="C6642" s="7" t="s">
        <v>45</v>
      </c>
      <c r="D6642" s="7" t="s">
        <v>74</v>
      </c>
      <c r="E6642" s="7" t="s">
        <v>35</v>
      </c>
      <c r="F6642" s="0" t="n">
        <v>125.88</v>
      </c>
      <c r="G6642" s="0" t="n">
        <v>60.4224</v>
      </c>
      <c r="H6642" s="0" t="n">
        <v>0</v>
      </c>
      <c r="I6642" s="7" t="n">
        <f aca="false">YEAR(B6642)</f>
        <v>2017</v>
      </c>
      <c r="J6642" s="0" t="str">
        <f aca="false">I6642&amp;"-Q"&amp;ROUNDUP(MONTH(B6642)/3,0)</f>
        <v>2017-Q3</v>
      </c>
    </row>
    <row r="6643" customFormat="false" ht="15" hidden="false" customHeight="false" outlineLevel="0" collapsed="false">
      <c r="A6643" s="0" t="s">
        <v>3383</v>
      </c>
      <c r="B6643" s="6" t="n">
        <v>42952</v>
      </c>
      <c r="C6643" s="7" t="s">
        <v>45</v>
      </c>
      <c r="D6643" s="7" t="s">
        <v>74</v>
      </c>
      <c r="E6643" s="7" t="s">
        <v>39</v>
      </c>
      <c r="F6643" s="0" t="n">
        <v>79.78</v>
      </c>
      <c r="G6643" s="0" t="n">
        <v>29.5186</v>
      </c>
      <c r="H6643" s="0" t="n">
        <v>0</v>
      </c>
      <c r="I6643" s="7" t="n">
        <f aca="false">YEAR(B6643)</f>
        <v>2017</v>
      </c>
      <c r="J6643" s="0" t="str">
        <f aca="false">I6643&amp;"-Q"&amp;ROUNDUP(MONTH(B6643)/3,0)</f>
        <v>2017-Q3</v>
      </c>
    </row>
    <row r="6644" customFormat="false" ht="15" hidden="false" customHeight="false" outlineLevel="0" collapsed="false">
      <c r="A6644" s="0" t="s">
        <v>3383</v>
      </c>
      <c r="B6644" s="6" t="n">
        <v>42952</v>
      </c>
      <c r="C6644" s="7" t="s">
        <v>45</v>
      </c>
      <c r="D6644" s="7" t="s">
        <v>74</v>
      </c>
      <c r="E6644" s="7" t="s">
        <v>35</v>
      </c>
      <c r="F6644" s="0" t="n">
        <v>133.2</v>
      </c>
      <c r="G6644" s="0" t="n">
        <v>66.6</v>
      </c>
      <c r="H6644" s="0" t="n">
        <v>0</v>
      </c>
      <c r="I6644" s="7" t="n">
        <f aca="false">YEAR(B6644)</f>
        <v>2017</v>
      </c>
      <c r="J6644" s="0" t="str">
        <f aca="false">I6644&amp;"-Q"&amp;ROUNDUP(MONTH(B6644)/3,0)</f>
        <v>2017-Q3</v>
      </c>
    </row>
    <row r="6645" customFormat="false" ht="15" hidden="false" customHeight="false" outlineLevel="0" collapsed="false">
      <c r="A6645" s="0" t="s">
        <v>3384</v>
      </c>
      <c r="B6645" s="6" t="n">
        <v>42226</v>
      </c>
      <c r="C6645" s="7" t="s">
        <v>33</v>
      </c>
      <c r="D6645" s="7" t="s">
        <v>102</v>
      </c>
      <c r="E6645" s="7" t="s">
        <v>39</v>
      </c>
      <c r="F6645" s="0" t="n">
        <v>438.368</v>
      </c>
      <c r="G6645" s="0" t="n">
        <v>38.3572</v>
      </c>
      <c r="H6645" s="0" t="n">
        <v>0.2</v>
      </c>
      <c r="I6645" s="7" t="n">
        <f aca="false">YEAR(B6645)</f>
        <v>2015</v>
      </c>
      <c r="J6645" s="0" t="str">
        <f aca="false">I6645&amp;"-Q"&amp;ROUNDUP(MONTH(B6645)/3,0)</f>
        <v>2015-Q3</v>
      </c>
    </row>
    <row r="6646" customFormat="false" ht="15" hidden="false" customHeight="false" outlineLevel="0" collapsed="false">
      <c r="A6646" s="0" t="s">
        <v>3384</v>
      </c>
      <c r="B6646" s="6" t="n">
        <v>42226</v>
      </c>
      <c r="C6646" s="7" t="s">
        <v>33</v>
      </c>
      <c r="D6646" s="7" t="s">
        <v>102</v>
      </c>
      <c r="E6646" s="7" t="s">
        <v>39</v>
      </c>
      <c r="F6646" s="0" t="n">
        <v>139.944</v>
      </c>
      <c r="G6646" s="0" t="n">
        <v>-31.4874</v>
      </c>
      <c r="H6646" s="0" t="n">
        <v>0.2</v>
      </c>
      <c r="I6646" s="7" t="n">
        <f aca="false">YEAR(B6646)</f>
        <v>2015</v>
      </c>
      <c r="J6646" s="0" t="str">
        <f aca="false">I6646&amp;"-Q"&amp;ROUNDUP(MONTH(B6646)/3,0)</f>
        <v>2015-Q3</v>
      </c>
    </row>
    <row r="6647" customFormat="false" ht="15" hidden="false" customHeight="false" outlineLevel="0" collapsed="false">
      <c r="A6647" s="0" t="s">
        <v>3384</v>
      </c>
      <c r="B6647" s="6" t="n">
        <v>42226</v>
      </c>
      <c r="C6647" s="7" t="s">
        <v>33</v>
      </c>
      <c r="D6647" s="7" t="s">
        <v>102</v>
      </c>
      <c r="E6647" s="7" t="s">
        <v>35</v>
      </c>
      <c r="F6647" s="0" t="n">
        <v>133.472</v>
      </c>
      <c r="G6647" s="0" t="n">
        <v>15.0156</v>
      </c>
      <c r="H6647" s="0" t="n">
        <v>0.2</v>
      </c>
      <c r="I6647" s="7" t="n">
        <f aca="false">YEAR(B6647)</f>
        <v>2015</v>
      </c>
      <c r="J6647" s="0" t="str">
        <f aca="false">I6647&amp;"-Q"&amp;ROUNDUP(MONTH(B6647)/3,0)</f>
        <v>2015-Q3</v>
      </c>
    </row>
    <row r="6648" customFormat="false" ht="15" hidden="false" customHeight="false" outlineLevel="0" collapsed="false">
      <c r="A6648" s="0" t="s">
        <v>3385</v>
      </c>
      <c r="B6648" s="6" t="n">
        <v>42719</v>
      </c>
      <c r="C6648" s="7" t="s">
        <v>33</v>
      </c>
      <c r="D6648" s="7" t="s">
        <v>102</v>
      </c>
      <c r="E6648" s="7" t="s">
        <v>31</v>
      </c>
      <c r="F6648" s="0" t="n">
        <v>564.195</v>
      </c>
      <c r="G6648" s="0" t="n">
        <v>-304.6653</v>
      </c>
      <c r="H6648" s="0" t="n">
        <v>0.5</v>
      </c>
      <c r="I6648" s="7" t="n">
        <f aca="false">YEAR(B6648)</f>
        <v>2016</v>
      </c>
      <c r="J6648" s="0" t="str">
        <f aca="false">I6648&amp;"-Q"&amp;ROUNDUP(MONTH(B6648)/3,0)</f>
        <v>2016-Q4</v>
      </c>
    </row>
    <row r="6649" customFormat="false" ht="15" hidden="false" customHeight="false" outlineLevel="0" collapsed="false">
      <c r="A6649" s="0" t="s">
        <v>3385</v>
      </c>
      <c r="B6649" s="6" t="n">
        <v>42719</v>
      </c>
      <c r="C6649" s="7" t="s">
        <v>33</v>
      </c>
      <c r="D6649" s="7" t="s">
        <v>102</v>
      </c>
      <c r="E6649" s="7" t="s">
        <v>35</v>
      </c>
      <c r="F6649" s="0" t="n">
        <v>87.168</v>
      </c>
      <c r="G6649" s="0" t="n">
        <v>8.7168</v>
      </c>
      <c r="H6649" s="0" t="n">
        <v>0.2</v>
      </c>
      <c r="I6649" s="7" t="n">
        <f aca="false">YEAR(B6649)</f>
        <v>2016</v>
      </c>
      <c r="J6649" s="0" t="str">
        <f aca="false">I6649&amp;"-Q"&amp;ROUNDUP(MONTH(B6649)/3,0)</f>
        <v>2016-Q4</v>
      </c>
    </row>
    <row r="6650" customFormat="false" ht="15" hidden="false" customHeight="false" outlineLevel="0" collapsed="false">
      <c r="A6650" s="0" t="s">
        <v>3386</v>
      </c>
      <c r="B6650" s="6" t="n">
        <v>42986</v>
      </c>
      <c r="C6650" s="7" t="s">
        <v>45</v>
      </c>
      <c r="D6650" s="7" t="s">
        <v>46</v>
      </c>
      <c r="E6650" s="7" t="s">
        <v>35</v>
      </c>
      <c r="F6650" s="0" t="n">
        <v>42.616</v>
      </c>
      <c r="G6650" s="0" t="n">
        <v>-68.1856</v>
      </c>
      <c r="H6650" s="0" t="n">
        <v>0.8</v>
      </c>
      <c r="I6650" s="7" t="n">
        <f aca="false">YEAR(B6650)</f>
        <v>2017</v>
      </c>
      <c r="J6650" s="0" t="str">
        <f aca="false">I6650&amp;"-Q"&amp;ROUNDUP(MONTH(B6650)/3,0)</f>
        <v>2017-Q3</v>
      </c>
    </row>
    <row r="6651" customFormat="false" ht="15" hidden="false" customHeight="false" outlineLevel="0" collapsed="false">
      <c r="A6651" s="0" t="s">
        <v>3386</v>
      </c>
      <c r="B6651" s="6" t="n">
        <v>42986</v>
      </c>
      <c r="C6651" s="7" t="s">
        <v>45</v>
      </c>
      <c r="D6651" s="7" t="s">
        <v>46</v>
      </c>
      <c r="E6651" s="7" t="s">
        <v>39</v>
      </c>
      <c r="F6651" s="0" t="n">
        <v>319.984</v>
      </c>
      <c r="G6651" s="0" t="n">
        <v>107.9946</v>
      </c>
      <c r="H6651" s="0" t="n">
        <v>0.2</v>
      </c>
      <c r="I6651" s="7" t="n">
        <f aca="false">YEAR(B6651)</f>
        <v>2017</v>
      </c>
      <c r="J6651" s="0" t="str">
        <f aca="false">I6651&amp;"-Q"&amp;ROUNDUP(MONTH(B6651)/3,0)</f>
        <v>2017-Q3</v>
      </c>
    </row>
    <row r="6652" customFormat="false" ht="15" hidden="false" customHeight="false" outlineLevel="0" collapsed="false">
      <c r="A6652" s="0" t="s">
        <v>3386</v>
      </c>
      <c r="B6652" s="6" t="n">
        <v>42986</v>
      </c>
      <c r="C6652" s="7" t="s">
        <v>45</v>
      </c>
      <c r="D6652" s="7" t="s">
        <v>46</v>
      </c>
      <c r="E6652" s="7" t="s">
        <v>35</v>
      </c>
      <c r="F6652" s="0" t="n">
        <v>45.92</v>
      </c>
      <c r="G6652" s="0" t="n">
        <v>15.498</v>
      </c>
      <c r="H6652" s="0" t="n">
        <v>0.2</v>
      </c>
      <c r="I6652" s="7" t="n">
        <f aca="false">YEAR(B6652)</f>
        <v>2017</v>
      </c>
      <c r="J6652" s="0" t="str">
        <f aca="false">I6652&amp;"-Q"&amp;ROUNDUP(MONTH(B6652)/3,0)</f>
        <v>2017-Q3</v>
      </c>
    </row>
    <row r="6653" customFormat="false" ht="15" hidden="false" customHeight="false" outlineLevel="0" collapsed="false">
      <c r="A6653" s="0" t="s">
        <v>3386</v>
      </c>
      <c r="B6653" s="6" t="n">
        <v>42986</v>
      </c>
      <c r="C6653" s="7" t="s">
        <v>45</v>
      </c>
      <c r="D6653" s="7" t="s">
        <v>46</v>
      </c>
      <c r="E6653" s="7" t="s">
        <v>31</v>
      </c>
      <c r="F6653" s="0" t="n">
        <v>21.184</v>
      </c>
      <c r="G6653" s="0" t="n">
        <v>-11.6512</v>
      </c>
      <c r="H6653" s="0" t="n">
        <v>0.6</v>
      </c>
      <c r="I6653" s="7" t="n">
        <f aca="false">YEAR(B6653)</f>
        <v>2017</v>
      </c>
      <c r="J6653" s="0" t="str">
        <f aca="false">I6653&amp;"-Q"&amp;ROUNDUP(MONTH(B6653)/3,0)</f>
        <v>2017-Q3</v>
      </c>
    </row>
    <row r="6654" customFormat="false" ht="15" hidden="false" customHeight="false" outlineLevel="0" collapsed="false">
      <c r="A6654" s="0" t="s">
        <v>3386</v>
      </c>
      <c r="B6654" s="6" t="n">
        <v>42986</v>
      </c>
      <c r="C6654" s="7" t="s">
        <v>45</v>
      </c>
      <c r="D6654" s="7" t="s">
        <v>46</v>
      </c>
      <c r="E6654" s="7" t="s">
        <v>35</v>
      </c>
      <c r="F6654" s="0" t="n">
        <v>20.736</v>
      </c>
      <c r="G6654" s="0" t="n">
        <v>7.2576</v>
      </c>
      <c r="H6654" s="0" t="n">
        <v>0.2</v>
      </c>
      <c r="I6654" s="7" t="n">
        <f aca="false">YEAR(B6654)</f>
        <v>2017</v>
      </c>
      <c r="J6654" s="0" t="str">
        <f aca="false">I6654&amp;"-Q"&amp;ROUNDUP(MONTH(B6654)/3,0)</f>
        <v>2017-Q3</v>
      </c>
    </row>
    <row r="6655" customFormat="false" ht="15" hidden="false" customHeight="false" outlineLevel="0" collapsed="false">
      <c r="A6655" s="0" t="s">
        <v>3386</v>
      </c>
      <c r="B6655" s="6" t="n">
        <v>42986</v>
      </c>
      <c r="C6655" s="7" t="s">
        <v>45</v>
      </c>
      <c r="D6655" s="7" t="s">
        <v>46</v>
      </c>
      <c r="E6655" s="7" t="s">
        <v>31</v>
      </c>
      <c r="F6655" s="0" t="n">
        <v>213.43</v>
      </c>
      <c r="G6655" s="0" t="n">
        <v>-39.637</v>
      </c>
      <c r="H6655" s="0" t="n">
        <v>0.3</v>
      </c>
      <c r="I6655" s="7" t="n">
        <f aca="false">YEAR(B6655)</f>
        <v>2017</v>
      </c>
      <c r="J6655" s="0" t="str">
        <f aca="false">I6655&amp;"-Q"&amp;ROUNDUP(MONTH(B6655)/3,0)</f>
        <v>2017-Q3</v>
      </c>
    </row>
    <row r="6656" customFormat="false" ht="15" hidden="false" customHeight="false" outlineLevel="0" collapsed="false">
      <c r="A6656" s="0" t="s">
        <v>3387</v>
      </c>
      <c r="B6656" s="6" t="n">
        <v>42786</v>
      </c>
      <c r="C6656" s="7" t="s">
        <v>33</v>
      </c>
      <c r="D6656" s="7" t="s">
        <v>81</v>
      </c>
      <c r="E6656" s="7" t="s">
        <v>39</v>
      </c>
      <c r="F6656" s="0" t="n">
        <v>333.576</v>
      </c>
      <c r="G6656" s="0" t="n">
        <v>25.0182</v>
      </c>
      <c r="H6656" s="0" t="n">
        <v>0.2</v>
      </c>
      <c r="I6656" s="7" t="n">
        <f aca="false">YEAR(B6656)</f>
        <v>2017</v>
      </c>
      <c r="J6656" s="0" t="str">
        <f aca="false">I6656&amp;"-Q"&amp;ROUNDUP(MONTH(B6656)/3,0)</f>
        <v>2017-Q1</v>
      </c>
    </row>
    <row r="6657" customFormat="false" ht="15" hidden="false" customHeight="false" outlineLevel="0" collapsed="false">
      <c r="A6657" s="0" t="s">
        <v>3387</v>
      </c>
      <c r="B6657" s="6" t="n">
        <v>42786</v>
      </c>
      <c r="C6657" s="7" t="s">
        <v>33</v>
      </c>
      <c r="D6657" s="7" t="s">
        <v>81</v>
      </c>
      <c r="E6657" s="7" t="s">
        <v>39</v>
      </c>
      <c r="F6657" s="0" t="n">
        <v>31.992</v>
      </c>
      <c r="G6657" s="0" t="n">
        <v>4.7988</v>
      </c>
      <c r="H6657" s="0" t="n">
        <v>0.2</v>
      </c>
      <c r="I6657" s="7" t="n">
        <f aca="false">YEAR(B6657)</f>
        <v>2017</v>
      </c>
      <c r="J6657" s="0" t="str">
        <f aca="false">I6657&amp;"-Q"&amp;ROUNDUP(MONTH(B6657)/3,0)</f>
        <v>2017-Q1</v>
      </c>
    </row>
    <row r="6658" customFormat="false" ht="15" hidden="false" customHeight="false" outlineLevel="0" collapsed="false">
      <c r="A6658" s="0" t="s">
        <v>3387</v>
      </c>
      <c r="B6658" s="6" t="n">
        <v>42786</v>
      </c>
      <c r="C6658" s="7" t="s">
        <v>33</v>
      </c>
      <c r="D6658" s="7" t="s">
        <v>81</v>
      </c>
      <c r="E6658" s="7" t="s">
        <v>35</v>
      </c>
      <c r="F6658" s="0" t="n">
        <v>51.168</v>
      </c>
      <c r="G6658" s="0" t="n">
        <v>-6.396</v>
      </c>
      <c r="H6658" s="0" t="n">
        <v>0.2</v>
      </c>
      <c r="I6658" s="7" t="n">
        <f aca="false">YEAR(B6658)</f>
        <v>2017</v>
      </c>
      <c r="J6658" s="0" t="str">
        <f aca="false">I6658&amp;"-Q"&amp;ROUNDUP(MONTH(B6658)/3,0)</f>
        <v>2017-Q1</v>
      </c>
    </row>
    <row r="6659" customFormat="false" ht="15" hidden="false" customHeight="false" outlineLevel="0" collapsed="false">
      <c r="A6659" s="0" t="s">
        <v>3387</v>
      </c>
      <c r="B6659" s="6" t="n">
        <v>42786</v>
      </c>
      <c r="C6659" s="7" t="s">
        <v>33</v>
      </c>
      <c r="D6659" s="7" t="s">
        <v>81</v>
      </c>
      <c r="E6659" s="7" t="s">
        <v>35</v>
      </c>
      <c r="F6659" s="0" t="n">
        <v>10.64</v>
      </c>
      <c r="G6659" s="0" t="n">
        <v>3.857</v>
      </c>
      <c r="H6659" s="0" t="n">
        <v>0.2</v>
      </c>
      <c r="I6659" s="7" t="n">
        <f aca="false">YEAR(B6659)</f>
        <v>2017</v>
      </c>
      <c r="J6659" s="0" t="str">
        <f aca="false">I6659&amp;"-Q"&amp;ROUNDUP(MONTH(B6659)/3,0)</f>
        <v>2017-Q1</v>
      </c>
    </row>
    <row r="6660" customFormat="false" ht="15" hidden="false" customHeight="false" outlineLevel="0" collapsed="false">
      <c r="A6660" s="0" t="s">
        <v>3387</v>
      </c>
      <c r="B6660" s="6" t="n">
        <v>42786</v>
      </c>
      <c r="C6660" s="7" t="s">
        <v>33</v>
      </c>
      <c r="D6660" s="7" t="s">
        <v>81</v>
      </c>
      <c r="E6660" s="7" t="s">
        <v>31</v>
      </c>
      <c r="F6660" s="0" t="n">
        <v>68.704</v>
      </c>
      <c r="G6660" s="0" t="n">
        <v>16.3172</v>
      </c>
      <c r="H6660" s="0" t="n">
        <v>0.2</v>
      </c>
      <c r="I6660" s="7" t="n">
        <f aca="false">YEAR(B6660)</f>
        <v>2017</v>
      </c>
      <c r="J6660" s="0" t="str">
        <f aca="false">I6660&amp;"-Q"&amp;ROUNDUP(MONTH(B6660)/3,0)</f>
        <v>2017-Q1</v>
      </c>
    </row>
    <row r="6661" customFormat="false" ht="15" hidden="false" customHeight="false" outlineLevel="0" collapsed="false">
      <c r="A6661" s="0" t="s">
        <v>3387</v>
      </c>
      <c r="B6661" s="6" t="n">
        <v>42786</v>
      </c>
      <c r="C6661" s="7" t="s">
        <v>33</v>
      </c>
      <c r="D6661" s="7" t="s">
        <v>81</v>
      </c>
      <c r="E6661" s="7" t="s">
        <v>31</v>
      </c>
      <c r="F6661" s="0" t="n">
        <v>386.91</v>
      </c>
      <c r="G6661" s="0" t="n">
        <v>-185.7168</v>
      </c>
      <c r="H6661" s="0" t="n">
        <v>0.5</v>
      </c>
      <c r="I6661" s="7" t="n">
        <f aca="false">YEAR(B6661)</f>
        <v>2017</v>
      </c>
      <c r="J6661" s="0" t="str">
        <f aca="false">I6661&amp;"-Q"&amp;ROUNDUP(MONTH(B6661)/3,0)</f>
        <v>2017-Q1</v>
      </c>
    </row>
    <row r="6662" customFormat="false" ht="15" hidden="false" customHeight="false" outlineLevel="0" collapsed="false">
      <c r="A6662" s="0" t="s">
        <v>3388</v>
      </c>
      <c r="B6662" s="6" t="n">
        <v>42224</v>
      </c>
      <c r="C6662" s="7" t="s">
        <v>55</v>
      </c>
      <c r="D6662" s="7" t="s">
        <v>225</v>
      </c>
      <c r="E6662" s="7" t="s">
        <v>35</v>
      </c>
      <c r="F6662" s="0" t="n">
        <v>39.66</v>
      </c>
      <c r="G6662" s="0" t="n">
        <v>11.898</v>
      </c>
      <c r="H6662" s="0" t="n">
        <v>0</v>
      </c>
      <c r="I6662" s="7" t="n">
        <f aca="false">YEAR(B6662)</f>
        <v>2015</v>
      </c>
      <c r="J6662" s="0" t="str">
        <f aca="false">I6662&amp;"-Q"&amp;ROUNDUP(MONTH(B6662)/3,0)</f>
        <v>2015-Q3</v>
      </c>
    </row>
    <row r="6663" customFormat="false" ht="15" hidden="false" customHeight="false" outlineLevel="0" collapsed="false">
      <c r="A6663" s="0" t="s">
        <v>3388</v>
      </c>
      <c r="B6663" s="6" t="n">
        <v>42224</v>
      </c>
      <c r="C6663" s="7" t="s">
        <v>55</v>
      </c>
      <c r="D6663" s="7" t="s">
        <v>225</v>
      </c>
      <c r="E6663" s="7" t="s">
        <v>35</v>
      </c>
      <c r="F6663" s="0" t="n">
        <v>113.92</v>
      </c>
      <c r="G6663" s="0" t="n">
        <v>33.0368</v>
      </c>
      <c r="H6663" s="0" t="n">
        <v>0</v>
      </c>
      <c r="I6663" s="7" t="n">
        <f aca="false">YEAR(B6663)</f>
        <v>2015</v>
      </c>
      <c r="J6663" s="0" t="str">
        <f aca="false">I6663&amp;"-Q"&amp;ROUNDUP(MONTH(B6663)/3,0)</f>
        <v>2015-Q3</v>
      </c>
    </row>
    <row r="6664" customFormat="false" ht="15" hidden="false" customHeight="false" outlineLevel="0" collapsed="false">
      <c r="A6664" s="0" t="s">
        <v>3388</v>
      </c>
      <c r="B6664" s="6" t="n">
        <v>42224</v>
      </c>
      <c r="C6664" s="7" t="s">
        <v>55</v>
      </c>
      <c r="D6664" s="7" t="s">
        <v>225</v>
      </c>
      <c r="E6664" s="7" t="s">
        <v>35</v>
      </c>
      <c r="F6664" s="0" t="n">
        <v>447.86</v>
      </c>
      <c r="G6664" s="0" t="n">
        <v>210.4942</v>
      </c>
      <c r="H6664" s="0" t="n">
        <v>0</v>
      </c>
      <c r="I6664" s="7" t="n">
        <f aca="false">YEAR(B6664)</f>
        <v>2015</v>
      </c>
      <c r="J6664" s="0" t="str">
        <f aca="false">I6664&amp;"-Q"&amp;ROUNDUP(MONTH(B6664)/3,0)</f>
        <v>2015-Q3</v>
      </c>
    </row>
    <row r="6665" customFormat="false" ht="15" hidden="false" customHeight="false" outlineLevel="0" collapsed="false">
      <c r="A6665" s="0" t="s">
        <v>3389</v>
      </c>
      <c r="B6665" s="6" t="n">
        <v>43034</v>
      </c>
      <c r="C6665" s="7" t="s">
        <v>29</v>
      </c>
      <c r="D6665" s="7" t="s">
        <v>83</v>
      </c>
      <c r="E6665" s="7" t="s">
        <v>31</v>
      </c>
      <c r="F6665" s="0" t="n">
        <v>356.85</v>
      </c>
      <c r="G6665" s="0" t="n">
        <v>60.6645</v>
      </c>
      <c r="H6665" s="0" t="n">
        <v>0</v>
      </c>
      <c r="I6665" s="7" t="n">
        <f aca="false">YEAR(B6665)</f>
        <v>2017</v>
      </c>
      <c r="J6665" s="0" t="str">
        <f aca="false">I6665&amp;"-Q"&amp;ROUNDUP(MONTH(B6665)/3,0)</f>
        <v>2017-Q4</v>
      </c>
    </row>
    <row r="6666" customFormat="false" ht="15" hidden="false" customHeight="false" outlineLevel="0" collapsed="false">
      <c r="A6666" s="0" t="s">
        <v>3389</v>
      </c>
      <c r="B6666" s="6" t="n">
        <v>43034</v>
      </c>
      <c r="C6666" s="7" t="s">
        <v>29</v>
      </c>
      <c r="D6666" s="7" t="s">
        <v>83</v>
      </c>
      <c r="E6666" s="7" t="s">
        <v>35</v>
      </c>
      <c r="F6666" s="0" t="n">
        <v>251.58</v>
      </c>
      <c r="G6666" s="0" t="n">
        <v>113.211</v>
      </c>
      <c r="H6666" s="0" t="n">
        <v>0</v>
      </c>
      <c r="I6666" s="7" t="n">
        <f aca="false">YEAR(B6666)</f>
        <v>2017</v>
      </c>
      <c r="J6666" s="0" t="str">
        <f aca="false">I6666&amp;"-Q"&amp;ROUNDUP(MONTH(B6666)/3,0)</f>
        <v>2017-Q4</v>
      </c>
    </row>
    <row r="6667" customFormat="false" ht="15" hidden="false" customHeight="false" outlineLevel="0" collapsed="false">
      <c r="A6667" s="0" t="s">
        <v>3390</v>
      </c>
      <c r="B6667" s="6" t="n">
        <v>42565</v>
      </c>
      <c r="C6667" s="7" t="s">
        <v>45</v>
      </c>
      <c r="D6667" s="7" t="s">
        <v>46</v>
      </c>
      <c r="E6667" s="7" t="s">
        <v>35</v>
      </c>
      <c r="F6667" s="0" t="n">
        <v>219.84</v>
      </c>
      <c r="G6667" s="0" t="n">
        <v>79.692</v>
      </c>
      <c r="H6667" s="0" t="n">
        <v>0.2</v>
      </c>
      <c r="I6667" s="7" t="n">
        <f aca="false">YEAR(B6667)</f>
        <v>2016</v>
      </c>
      <c r="J6667" s="0" t="str">
        <f aca="false">I6667&amp;"-Q"&amp;ROUNDUP(MONTH(B6667)/3,0)</f>
        <v>2016-Q3</v>
      </c>
    </row>
    <row r="6668" customFormat="false" ht="15" hidden="false" customHeight="false" outlineLevel="0" collapsed="false">
      <c r="A6668" s="0" t="s">
        <v>3391</v>
      </c>
      <c r="B6668" s="6" t="n">
        <v>42867</v>
      </c>
      <c r="C6668" s="7" t="s">
        <v>55</v>
      </c>
      <c r="D6668" s="7" t="s">
        <v>161</v>
      </c>
      <c r="E6668" s="7" t="s">
        <v>31</v>
      </c>
      <c r="F6668" s="0" t="n">
        <v>42.85</v>
      </c>
      <c r="G6668" s="0" t="n">
        <v>15.426</v>
      </c>
      <c r="H6668" s="0" t="n">
        <v>0</v>
      </c>
      <c r="I6668" s="7" t="n">
        <f aca="false">YEAR(B6668)</f>
        <v>2017</v>
      </c>
      <c r="J6668" s="0" t="str">
        <f aca="false">I6668&amp;"-Q"&amp;ROUNDUP(MONTH(B6668)/3,0)</f>
        <v>2017-Q2</v>
      </c>
    </row>
    <row r="6669" customFormat="false" ht="15" hidden="false" customHeight="false" outlineLevel="0" collapsed="false">
      <c r="A6669" s="0" t="s">
        <v>3391</v>
      </c>
      <c r="B6669" s="6" t="n">
        <v>42867</v>
      </c>
      <c r="C6669" s="7" t="s">
        <v>55</v>
      </c>
      <c r="D6669" s="7" t="s">
        <v>161</v>
      </c>
      <c r="E6669" s="7" t="s">
        <v>35</v>
      </c>
      <c r="F6669" s="0" t="n">
        <v>6.16</v>
      </c>
      <c r="G6669" s="0" t="n">
        <v>2.9568</v>
      </c>
      <c r="H6669" s="0" t="n">
        <v>0</v>
      </c>
      <c r="I6669" s="7" t="n">
        <f aca="false">YEAR(B6669)</f>
        <v>2017</v>
      </c>
      <c r="J6669" s="0" t="str">
        <f aca="false">I6669&amp;"-Q"&amp;ROUNDUP(MONTH(B6669)/3,0)</f>
        <v>2017-Q2</v>
      </c>
    </row>
    <row r="6670" customFormat="false" ht="15" hidden="false" customHeight="false" outlineLevel="0" collapsed="false">
      <c r="A6670" s="0" t="s">
        <v>3391</v>
      </c>
      <c r="B6670" s="6" t="n">
        <v>42867</v>
      </c>
      <c r="C6670" s="7" t="s">
        <v>55</v>
      </c>
      <c r="D6670" s="7" t="s">
        <v>161</v>
      </c>
      <c r="E6670" s="7" t="s">
        <v>35</v>
      </c>
      <c r="F6670" s="0" t="n">
        <v>17</v>
      </c>
      <c r="G6670" s="0" t="n">
        <v>4.42</v>
      </c>
      <c r="H6670" s="0" t="n">
        <v>0</v>
      </c>
      <c r="I6670" s="7" t="n">
        <f aca="false">YEAR(B6670)</f>
        <v>2017</v>
      </c>
      <c r="J6670" s="0" t="str">
        <f aca="false">I6670&amp;"-Q"&amp;ROUNDUP(MONTH(B6670)/3,0)</f>
        <v>2017-Q2</v>
      </c>
    </row>
    <row r="6671" customFormat="false" ht="15" hidden="false" customHeight="false" outlineLevel="0" collapsed="false">
      <c r="A6671" s="0" t="s">
        <v>3391</v>
      </c>
      <c r="B6671" s="6" t="n">
        <v>42867</v>
      </c>
      <c r="C6671" s="7" t="s">
        <v>55</v>
      </c>
      <c r="D6671" s="7" t="s">
        <v>161</v>
      </c>
      <c r="E6671" s="7" t="s">
        <v>39</v>
      </c>
      <c r="F6671" s="0" t="n">
        <v>87.4</v>
      </c>
      <c r="G6671" s="0" t="n">
        <v>34.96</v>
      </c>
      <c r="H6671" s="0" t="n">
        <v>0</v>
      </c>
      <c r="I6671" s="7" t="n">
        <f aca="false">YEAR(B6671)</f>
        <v>2017</v>
      </c>
      <c r="J6671" s="0" t="str">
        <f aca="false">I6671&amp;"-Q"&amp;ROUNDUP(MONTH(B6671)/3,0)</f>
        <v>2017-Q2</v>
      </c>
    </row>
    <row r="6672" customFormat="false" ht="15" hidden="false" customHeight="false" outlineLevel="0" collapsed="false">
      <c r="A6672" s="0" t="s">
        <v>3392</v>
      </c>
      <c r="B6672" s="6" t="n">
        <v>42880</v>
      </c>
      <c r="C6672" s="7" t="s">
        <v>29</v>
      </c>
      <c r="D6672" s="7" t="s">
        <v>230</v>
      </c>
      <c r="E6672" s="7" t="s">
        <v>35</v>
      </c>
      <c r="F6672" s="0" t="n">
        <v>29.84</v>
      </c>
      <c r="G6672" s="0" t="n">
        <v>13.428</v>
      </c>
      <c r="H6672" s="0" t="n">
        <v>0</v>
      </c>
      <c r="I6672" s="7" t="n">
        <f aca="false">YEAR(B6672)</f>
        <v>2017</v>
      </c>
      <c r="J6672" s="0" t="str">
        <f aca="false">I6672&amp;"-Q"&amp;ROUNDUP(MONTH(B6672)/3,0)</f>
        <v>2017-Q2</v>
      </c>
    </row>
    <row r="6673" customFormat="false" ht="15" hidden="false" customHeight="false" outlineLevel="0" collapsed="false">
      <c r="A6673" s="0" t="s">
        <v>3393</v>
      </c>
      <c r="B6673" s="6" t="n">
        <v>41874</v>
      </c>
      <c r="C6673" s="7" t="s">
        <v>33</v>
      </c>
      <c r="D6673" s="7" t="s">
        <v>34</v>
      </c>
      <c r="E6673" s="7" t="s">
        <v>35</v>
      </c>
      <c r="F6673" s="0" t="n">
        <v>49.568</v>
      </c>
      <c r="G6673" s="0" t="n">
        <v>17.3488</v>
      </c>
      <c r="H6673" s="0" t="n">
        <v>0.2</v>
      </c>
      <c r="I6673" s="7" t="n">
        <f aca="false">YEAR(B6673)</f>
        <v>2014</v>
      </c>
      <c r="J6673" s="0" t="str">
        <f aca="false">I6673&amp;"-Q"&amp;ROUNDUP(MONTH(B6673)/3,0)</f>
        <v>2014-Q3</v>
      </c>
    </row>
    <row r="6674" customFormat="false" ht="15" hidden="false" customHeight="false" outlineLevel="0" collapsed="false">
      <c r="A6674" s="0" t="s">
        <v>3394</v>
      </c>
      <c r="B6674" s="6" t="n">
        <v>42258</v>
      </c>
      <c r="C6674" s="7" t="s">
        <v>33</v>
      </c>
      <c r="D6674" s="7" t="s">
        <v>34</v>
      </c>
      <c r="E6674" s="7" t="s">
        <v>35</v>
      </c>
      <c r="F6674" s="0" t="n">
        <v>265.86</v>
      </c>
      <c r="G6674" s="0" t="n">
        <v>79.758</v>
      </c>
      <c r="H6674" s="0" t="n">
        <v>0</v>
      </c>
      <c r="I6674" s="7" t="n">
        <f aca="false">YEAR(B6674)</f>
        <v>2015</v>
      </c>
      <c r="J6674" s="0" t="str">
        <f aca="false">I6674&amp;"-Q"&amp;ROUNDUP(MONTH(B6674)/3,0)</f>
        <v>2015-Q3</v>
      </c>
    </row>
    <row r="6675" customFormat="false" ht="15" hidden="false" customHeight="false" outlineLevel="0" collapsed="false">
      <c r="A6675" s="0" t="s">
        <v>3395</v>
      </c>
      <c r="B6675" s="6" t="n">
        <v>42252</v>
      </c>
      <c r="C6675" s="7" t="s">
        <v>29</v>
      </c>
      <c r="D6675" s="7" t="s">
        <v>83</v>
      </c>
      <c r="E6675" s="7" t="s">
        <v>31</v>
      </c>
      <c r="F6675" s="0" t="n">
        <v>67.96</v>
      </c>
      <c r="G6675" s="0" t="n">
        <v>12.2328</v>
      </c>
      <c r="H6675" s="0" t="n">
        <v>0</v>
      </c>
      <c r="I6675" s="7" t="n">
        <f aca="false">YEAR(B6675)</f>
        <v>2015</v>
      </c>
      <c r="J6675" s="0" t="str">
        <f aca="false">I6675&amp;"-Q"&amp;ROUNDUP(MONTH(B6675)/3,0)</f>
        <v>2015-Q3</v>
      </c>
    </row>
    <row r="6676" customFormat="false" ht="15" hidden="false" customHeight="false" outlineLevel="0" collapsed="false">
      <c r="A6676" s="0" t="s">
        <v>3396</v>
      </c>
      <c r="B6676" s="6" t="n">
        <v>42329</v>
      </c>
      <c r="C6676" s="7" t="s">
        <v>45</v>
      </c>
      <c r="D6676" s="7" t="s">
        <v>74</v>
      </c>
      <c r="E6676" s="7" t="s">
        <v>35</v>
      </c>
      <c r="F6676" s="0" t="n">
        <v>10.92</v>
      </c>
      <c r="G6676" s="0" t="n">
        <v>4.914</v>
      </c>
      <c r="H6676" s="0" t="n">
        <v>0</v>
      </c>
      <c r="I6676" s="7" t="n">
        <f aca="false">YEAR(B6676)</f>
        <v>2015</v>
      </c>
      <c r="J6676" s="0" t="str">
        <f aca="false">I6676&amp;"-Q"&amp;ROUNDUP(MONTH(B6676)/3,0)</f>
        <v>2015-Q4</v>
      </c>
    </row>
    <row r="6677" customFormat="false" ht="15" hidden="false" customHeight="false" outlineLevel="0" collapsed="false">
      <c r="A6677" s="0" t="s">
        <v>3396</v>
      </c>
      <c r="B6677" s="6" t="n">
        <v>42329</v>
      </c>
      <c r="C6677" s="7" t="s">
        <v>45</v>
      </c>
      <c r="D6677" s="7" t="s">
        <v>74</v>
      </c>
      <c r="E6677" s="7" t="s">
        <v>39</v>
      </c>
      <c r="F6677" s="0" t="n">
        <v>83.9</v>
      </c>
      <c r="G6677" s="0" t="n">
        <v>22.653</v>
      </c>
      <c r="H6677" s="0" t="n">
        <v>0</v>
      </c>
      <c r="I6677" s="7" t="n">
        <f aca="false">YEAR(B6677)</f>
        <v>2015</v>
      </c>
      <c r="J6677" s="0" t="str">
        <f aca="false">I6677&amp;"-Q"&amp;ROUNDUP(MONTH(B6677)/3,0)</f>
        <v>2015-Q4</v>
      </c>
    </row>
    <row r="6678" customFormat="false" ht="15" hidden="false" customHeight="false" outlineLevel="0" collapsed="false">
      <c r="A6678" s="0" t="s">
        <v>3396</v>
      </c>
      <c r="B6678" s="6" t="n">
        <v>42329</v>
      </c>
      <c r="C6678" s="7" t="s">
        <v>45</v>
      </c>
      <c r="D6678" s="7" t="s">
        <v>74</v>
      </c>
      <c r="E6678" s="7" t="s">
        <v>35</v>
      </c>
      <c r="F6678" s="0" t="n">
        <v>19.75</v>
      </c>
      <c r="G6678" s="0" t="n">
        <v>5.135</v>
      </c>
      <c r="H6678" s="0" t="n">
        <v>0</v>
      </c>
      <c r="I6678" s="7" t="n">
        <f aca="false">YEAR(B6678)</f>
        <v>2015</v>
      </c>
      <c r="J6678" s="0" t="str">
        <f aca="false">I6678&amp;"-Q"&amp;ROUNDUP(MONTH(B6678)/3,0)</f>
        <v>2015-Q4</v>
      </c>
    </row>
    <row r="6679" customFormat="false" ht="15" hidden="false" customHeight="false" outlineLevel="0" collapsed="false">
      <c r="A6679" s="0" t="s">
        <v>3396</v>
      </c>
      <c r="B6679" s="6" t="n">
        <v>42329</v>
      </c>
      <c r="C6679" s="7" t="s">
        <v>45</v>
      </c>
      <c r="D6679" s="7" t="s">
        <v>74</v>
      </c>
      <c r="E6679" s="7" t="s">
        <v>39</v>
      </c>
      <c r="F6679" s="0" t="n">
        <v>393.54</v>
      </c>
      <c r="G6679" s="0" t="n">
        <v>165.2868</v>
      </c>
      <c r="H6679" s="0" t="n">
        <v>0</v>
      </c>
      <c r="I6679" s="7" t="n">
        <f aca="false">YEAR(B6679)</f>
        <v>2015</v>
      </c>
      <c r="J6679" s="0" t="str">
        <f aca="false">I6679&amp;"-Q"&amp;ROUNDUP(MONTH(B6679)/3,0)</f>
        <v>2015-Q4</v>
      </c>
    </row>
    <row r="6680" customFormat="false" ht="15" hidden="false" customHeight="false" outlineLevel="0" collapsed="false">
      <c r="A6680" s="0" t="s">
        <v>3397</v>
      </c>
      <c r="B6680" s="6" t="n">
        <v>41922</v>
      </c>
      <c r="C6680" s="7" t="s">
        <v>33</v>
      </c>
      <c r="D6680" s="7" t="s">
        <v>81</v>
      </c>
      <c r="E6680" s="7" t="s">
        <v>31</v>
      </c>
      <c r="F6680" s="0" t="n">
        <v>46.872</v>
      </c>
      <c r="G6680" s="0" t="n">
        <v>3.5154</v>
      </c>
      <c r="H6680" s="0" t="n">
        <v>0.2</v>
      </c>
      <c r="I6680" s="7" t="n">
        <f aca="false">YEAR(B6680)</f>
        <v>2014</v>
      </c>
      <c r="J6680" s="0" t="str">
        <f aca="false">I6680&amp;"-Q"&amp;ROUNDUP(MONTH(B6680)/3,0)</f>
        <v>2014-Q4</v>
      </c>
    </row>
    <row r="6681" customFormat="false" ht="15" hidden="false" customHeight="false" outlineLevel="0" collapsed="false">
      <c r="A6681" s="0" t="s">
        <v>3398</v>
      </c>
      <c r="B6681" s="6" t="n">
        <v>42980</v>
      </c>
      <c r="C6681" s="7" t="s">
        <v>55</v>
      </c>
      <c r="D6681" s="7" t="s">
        <v>154</v>
      </c>
      <c r="E6681" s="7" t="s">
        <v>35</v>
      </c>
      <c r="F6681" s="0" t="n">
        <v>10.9</v>
      </c>
      <c r="G6681" s="0" t="n">
        <v>2.834</v>
      </c>
      <c r="H6681" s="0" t="n">
        <v>0</v>
      </c>
      <c r="I6681" s="7" t="n">
        <f aca="false">YEAR(B6681)</f>
        <v>2017</v>
      </c>
      <c r="J6681" s="0" t="str">
        <f aca="false">I6681&amp;"-Q"&amp;ROUNDUP(MONTH(B6681)/3,0)</f>
        <v>2017-Q3</v>
      </c>
    </row>
    <row r="6682" customFormat="false" ht="15" hidden="false" customHeight="false" outlineLevel="0" collapsed="false">
      <c r="A6682" s="0" t="s">
        <v>3398</v>
      </c>
      <c r="B6682" s="6" t="n">
        <v>42980</v>
      </c>
      <c r="C6682" s="7" t="s">
        <v>55</v>
      </c>
      <c r="D6682" s="7" t="s">
        <v>154</v>
      </c>
      <c r="E6682" s="7" t="s">
        <v>35</v>
      </c>
      <c r="F6682" s="0" t="n">
        <v>79.92</v>
      </c>
      <c r="G6682" s="0" t="n">
        <v>37.5624</v>
      </c>
      <c r="H6682" s="0" t="n">
        <v>0</v>
      </c>
      <c r="I6682" s="7" t="n">
        <f aca="false">YEAR(B6682)</f>
        <v>2017</v>
      </c>
      <c r="J6682" s="0" t="str">
        <f aca="false">I6682&amp;"-Q"&amp;ROUNDUP(MONTH(B6682)/3,0)</f>
        <v>2017-Q3</v>
      </c>
    </row>
    <row r="6683" customFormat="false" ht="15" hidden="false" customHeight="false" outlineLevel="0" collapsed="false">
      <c r="A6683" s="0" t="s">
        <v>3398</v>
      </c>
      <c r="B6683" s="6" t="n">
        <v>42980</v>
      </c>
      <c r="C6683" s="7" t="s">
        <v>55</v>
      </c>
      <c r="D6683" s="7" t="s">
        <v>154</v>
      </c>
      <c r="E6683" s="7" t="s">
        <v>35</v>
      </c>
      <c r="F6683" s="0" t="n">
        <v>146.82</v>
      </c>
      <c r="G6683" s="0" t="n">
        <v>73.41</v>
      </c>
      <c r="H6683" s="0" t="n">
        <v>0</v>
      </c>
      <c r="I6683" s="7" t="n">
        <f aca="false">YEAR(B6683)</f>
        <v>2017</v>
      </c>
      <c r="J6683" s="0" t="str">
        <f aca="false">I6683&amp;"-Q"&amp;ROUNDUP(MONTH(B6683)/3,0)</f>
        <v>2017-Q3</v>
      </c>
    </row>
    <row r="6684" customFormat="false" ht="15" hidden="false" customHeight="false" outlineLevel="0" collapsed="false">
      <c r="A6684" s="0" t="s">
        <v>3399</v>
      </c>
      <c r="B6684" s="6" t="n">
        <v>42736</v>
      </c>
      <c r="C6684" s="7" t="s">
        <v>45</v>
      </c>
      <c r="D6684" s="7" t="s">
        <v>48</v>
      </c>
      <c r="E6684" s="7" t="s">
        <v>35</v>
      </c>
      <c r="F6684" s="0" t="n">
        <v>3.6</v>
      </c>
      <c r="G6684" s="0" t="n">
        <v>1.728</v>
      </c>
      <c r="H6684" s="0" t="n">
        <v>0</v>
      </c>
      <c r="I6684" s="7" t="n">
        <f aca="false">YEAR(B6684)</f>
        <v>2017</v>
      </c>
      <c r="J6684" s="0" t="str">
        <f aca="false">I6684&amp;"-Q"&amp;ROUNDUP(MONTH(B6684)/3,0)</f>
        <v>2017-Q1</v>
      </c>
    </row>
    <row r="6685" customFormat="false" ht="15" hidden="false" customHeight="false" outlineLevel="0" collapsed="false">
      <c r="A6685" s="0" t="s">
        <v>3400</v>
      </c>
      <c r="B6685" s="6" t="n">
        <v>41948</v>
      </c>
      <c r="C6685" s="7" t="s">
        <v>33</v>
      </c>
      <c r="D6685" s="7" t="s">
        <v>34</v>
      </c>
      <c r="E6685" s="7" t="s">
        <v>31</v>
      </c>
      <c r="F6685" s="0" t="n">
        <v>20.04</v>
      </c>
      <c r="G6685" s="0" t="n">
        <v>8.8176</v>
      </c>
      <c r="H6685" s="0" t="n">
        <v>0</v>
      </c>
      <c r="I6685" s="7" t="n">
        <f aca="false">YEAR(B6685)</f>
        <v>2014</v>
      </c>
      <c r="J6685" s="0" t="str">
        <f aca="false">I6685&amp;"-Q"&amp;ROUNDUP(MONTH(B6685)/3,0)</f>
        <v>2014-Q4</v>
      </c>
    </row>
    <row r="6686" customFormat="false" ht="15" hidden="false" customHeight="false" outlineLevel="0" collapsed="false">
      <c r="A6686" s="0" t="s">
        <v>3401</v>
      </c>
      <c r="B6686" s="6" t="n">
        <v>42355</v>
      </c>
      <c r="C6686" s="7" t="s">
        <v>45</v>
      </c>
      <c r="D6686" s="7" t="s">
        <v>64</v>
      </c>
      <c r="E6686" s="7" t="s">
        <v>35</v>
      </c>
      <c r="F6686" s="0" t="n">
        <v>180.016</v>
      </c>
      <c r="G6686" s="0" t="n">
        <v>-15.7514</v>
      </c>
      <c r="H6686" s="0" t="n">
        <v>0.2</v>
      </c>
      <c r="I6686" s="7" t="n">
        <f aca="false">YEAR(B6686)</f>
        <v>2015</v>
      </c>
      <c r="J6686" s="0" t="str">
        <f aca="false">I6686&amp;"-Q"&amp;ROUNDUP(MONTH(B6686)/3,0)</f>
        <v>2015-Q4</v>
      </c>
    </row>
    <row r="6687" customFormat="false" ht="15" hidden="false" customHeight="false" outlineLevel="0" collapsed="false">
      <c r="A6687" s="0" t="s">
        <v>3401</v>
      </c>
      <c r="B6687" s="6" t="n">
        <v>42355</v>
      </c>
      <c r="C6687" s="7" t="s">
        <v>45</v>
      </c>
      <c r="D6687" s="7" t="s">
        <v>64</v>
      </c>
      <c r="E6687" s="7" t="s">
        <v>31</v>
      </c>
      <c r="F6687" s="0" t="n">
        <v>41.552</v>
      </c>
      <c r="G6687" s="0" t="n">
        <v>-19.7372</v>
      </c>
      <c r="H6687" s="0" t="n">
        <v>0.6</v>
      </c>
      <c r="I6687" s="7" t="n">
        <f aca="false">YEAR(B6687)</f>
        <v>2015</v>
      </c>
      <c r="J6687" s="0" t="str">
        <f aca="false">I6687&amp;"-Q"&amp;ROUNDUP(MONTH(B6687)/3,0)</f>
        <v>2015-Q4</v>
      </c>
    </row>
    <row r="6688" customFormat="false" ht="15" hidden="false" customHeight="false" outlineLevel="0" collapsed="false">
      <c r="A6688" s="0" t="s">
        <v>3401</v>
      </c>
      <c r="B6688" s="6" t="n">
        <v>42355</v>
      </c>
      <c r="C6688" s="7" t="s">
        <v>45</v>
      </c>
      <c r="D6688" s="7" t="s">
        <v>64</v>
      </c>
      <c r="E6688" s="7" t="s">
        <v>35</v>
      </c>
      <c r="F6688" s="0" t="n">
        <v>13.12</v>
      </c>
      <c r="G6688" s="0" t="n">
        <v>1.476</v>
      </c>
      <c r="H6688" s="0" t="n">
        <v>0.2</v>
      </c>
      <c r="I6688" s="7" t="n">
        <f aca="false">YEAR(B6688)</f>
        <v>2015</v>
      </c>
      <c r="J6688" s="0" t="str">
        <f aca="false">I6688&amp;"-Q"&amp;ROUNDUP(MONTH(B6688)/3,0)</f>
        <v>2015-Q4</v>
      </c>
    </row>
    <row r="6689" customFormat="false" ht="15" hidden="false" customHeight="false" outlineLevel="0" collapsed="false">
      <c r="A6689" s="0" t="s">
        <v>3402</v>
      </c>
      <c r="B6689" s="6" t="n">
        <v>42138</v>
      </c>
      <c r="C6689" s="7" t="s">
        <v>33</v>
      </c>
      <c r="D6689" s="7" t="s">
        <v>34</v>
      </c>
      <c r="E6689" s="7" t="s">
        <v>35</v>
      </c>
      <c r="F6689" s="0" t="n">
        <v>1117.92</v>
      </c>
      <c r="G6689" s="0" t="n">
        <v>55.896</v>
      </c>
      <c r="H6689" s="0" t="n">
        <v>0</v>
      </c>
      <c r="I6689" s="7" t="n">
        <f aca="false">YEAR(B6689)</f>
        <v>2015</v>
      </c>
      <c r="J6689" s="0" t="str">
        <f aca="false">I6689&amp;"-Q"&amp;ROUNDUP(MONTH(B6689)/3,0)</f>
        <v>2015-Q2</v>
      </c>
    </row>
    <row r="6690" customFormat="false" ht="15" hidden="false" customHeight="false" outlineLevel="0" collapsed="false">
      <c r="A6690" s="0" t="s">
        <v>3403</v>
      </c>
      <c r="B6690" s="6" t="n">
        <v>42804</v>
      </c>
      <c r="C6690" s="7" t="s">
        <v>33</v>
      </c>
      <c r="D6690" s="7" t="s">
        <v>34</v>
      </c>
      <c r="E6690" s="7" t="s">
        <v>39</v>
      </c>
      <c r="F6690" s="0" t="n">
        <v>111.96</v>
      </c>
      <c r="G6690" s="0" t="n">
        <v>21.2724</v>
      </c>
      <c r="H6690" s="0" t="n">
        <v>0</v>
      </c>
      <c r="I6690" s="7" t="n">
        <f aca="false">YEAR(B6690)</f>
        <v>2017</v>
      </c>
      <c r="J6690" s="0" t="str">
        <f aca="false">I6690&amp;"-Q"&amp;ROUNDUP(MONTH(B6690)/3,0)</f>
        <v>2017-Q1</v>
      </c>
    </row>
    <row r="6691" customFormat="false" ht="15" hidden="false" customHeight="false" outlineLevel="0" collapsed="false">
      <c r="A6691" s="0" t="s">
        <v>3404</v>
      </c>
      <c r="B6691" s="6" t="n">
        <v>43071</v>
      </c>
      <c r="C6691" s="7" t="s">
        <v>45</v>
      </c>
      <c r="D6691" s="7" t="s">
        <v>46</v>
      </c>
      <c r="E6691" s="7" t="s">
        <v>35</v>
      </c>
      <c r="F6691" s="0" t="n">
        <v>12.16</v>
      </c>
      <c r="G6691" s="0" t="n">
        <v>2.128</v>
      </c>
      <c r="H6691" s="0" t="n">
        <v>0.2</v>
      </c>
      <c r="I6691" s="7" t="n">
        <f aca="false">YEAR(B6691)</f>
        <v>2017</v>
      </c>
      <c r="J6691" s="0" t="str">
        <f aca="false">I6691&amp;"-Q"&amp;ROUNDUP(MONTH(B6691)/3,0)</f>
        <v>2017-Q4</v>
      </c>
    </row>
    <row r="6692" customFormat="false" ht="15" hidden="false" customHeight="false" outlineLevel="0" collapsed="false">
      <c r="A6692" s="0" t="s">
        <v>3405</v>
      </c>
      <c r="B6692" s="6" t="n">
        <v>42947</v>
      </c>
      <c r="C6692" s="7" t="s">
        <v>45</v>
      </c>
      <c r="D6692" s="7" t="s">
        <v>48</v>
      </c>
      <c r="E6692" s="7" t="s">
        <v>35</v>
      </c>
      <c r="F6692" s="0" t="n">
        <v>17.52</v>
      </c>
      <c r="G6692" s="0" t="n">
        <v>8.4096</v>
      </c>
      <c r="H6692" s="0" t="n">
        <v>0</v>
      </c>
      <c r="I6692" s="7" t="n">
        <f aca="false">YEAR(B6692)</f>
        <v>2017</v>
      </c>
      <c r="J6692" s="0" t="str">
        <f aca="false">I6692&amp;"-Q"&amp;ROUNDUP(MONTH(B6692)/3,0)</f>
        <v>2017-Q3</v>
      </c>
    </row>
    <row r="6693" customFormat="false" ht="15" hidden="false" customHeight="false" outlineLevel="0" collapsed="false">
      <c r="A6693" s="0" t="s">
        <v>3405</v>
      </c>
      <c r="B6693" s="6" t="n">
        <v>42947</v>
      </c>
      <c r="C6693" s="7" t="s">
        <v>45</v>
      </c>
      <c r="D6693" s="7" t="s">
        <v>48</v>
      </c>
      <c r="E6693" s="7" t="s">
        <v>35</v>
      </c>
      <c r="F6693" s="0" t="n">
        <v>155.88</v>
      </c>
      <c r="G6693" s="0" t="n">
        <v>54.558</v>
      </c>
      <c r="H6693" s="0" t="n">
        <v>0</v>
      </c>
      <c r="I6693" s="7" t="n">
        <f aca="false">YEAR(B6693)</f>
        <v>2017</v>
      </c>
      <c r="J6693" s="0" t="str">
        <f aca="false">I6693&amp;"-Q"&amp;ROUNDUP(MONTH(B6693)/3,0)</f>
        <v>2017-Q3</v>
      </c>
    </row>
    <row r="6694" customFormat="false" ht="15" hidden="false" customHeight="false" outlineLevel="0" collapsed="false">
      <c r="A6694" s="0" t="s">
        <v>3406</v>
      </c>
      <c r="B6694" s="6" t="n">
        <v>42958</v>
      </c>
      <c r="C6694" s="7" t="s">
        <v>29</v>
      </c>
      <c r="D6694" s="7" t="s">
        <v>152</v>
      </c>
      <c r="E6694" s="7" t="s">
        <v>35</v>
      </c>
      <c r="F6694" s="0" t="n">
        <v>477.51</v>
      </c>
      <c r="G6694" s="0" t="n">
        <v>219.6546</v>
      </c>
      <c r="H6694" s="0" t="n">
        <v>0</v>
      </c>
      <c r="I6694" s="7" t="n">
        <f aca="false">YEAR(B6694)</f>
        <v>2017</v>
      </c>
      <c r="J6694" s="0" t="str">
        <f aca="false">I6694&amp;"-Q"&amp;ROUNDUP(MONTH(B6694)/3,0)</f>
        <v>2017-Q3</v>
      </c>
    </row>
    <row r="6695" customFormat="false" ht="15" hidden="false" customHeight="false" outlineLevel="0" collapsed="false">
      <c r="A6695" s="0" t="s">
        <v>3407</v>
      </c>
      <c r="B6695" s="6" t="n">
        <v>43008</v>
      </c>
      <c r="C6695" s="7" t="s">
        <v>55</v>
      </c>
      <c r="D6695" s="7" t="s">
        <v>495</v>
      </c>
      <c r="E6695" s="7" t="s">
        <v>35</v>
      </c>
      <c r="F6695" s="0" t="n">
        <v>164.88</v>
      </c>
      <c r="G6695" s="0" t="n">
        <v>80.7912</v>
      </c>
      <c r="H6695" s="0" t="n">
        <v>0</v>
      </c>
      <c r="I6695" s="7" t="n">
        <f aca="false">YEAR(B6695)</f>
        <v>2017</v>
      </c>
      <c r="J6695" s="0" t="str">
        <f aca="false">I6695&amp;"-Q"&amp;ROUNDUP(MONTH(B6695)/3,0)</f>
        <v>2017-Q3</v>
      </c>
    </row>
    <row r="6696" customFormat="false" ht="15" hidden="false" customHeight="false" outlineLevel="0" collapsed="false">
      <c r="A6696" s="0" t="s">
        <v>3408</v>
      </c>
      <c r="B6696" s="6" t="n">
        <v>42608</v>
      </c>
      <c r="C6696" s="7" t="s">
        <v>45</v>
      </c>
      <c r="D6696" s="7" t="s">
        <v>48</v>
      </c>
      <c r="E6696" s="7" t="s">
        <v>39</v>
      </c>
      <c r="F6696" s="0" t="n">
        <v>47.97</v>
      </c>
      <c r="G6696" s="0" t="n">
        <v>14.8707</v>
      </c>
      <c r="H6696" s="0" t="n">
        <v>0</v>
      </c>
      <c r="I6696" s="7" t="n">
        <f aca="false">YEAR(B6696)</f>
        <v>2016</v>
      </c>
      <c r="J6696" s="0" t="str">
        <f aca="false">I6696&amp;"-Q"&amp;ROUNDUP(MONTH(B6696)/3,0)</f>
        <v>2016-Q3</v>
      </c>
    </row>
    <row r="6697" customFormat="false" ht="15" hidden="false" customHeight="false" outlineLevel="0" collapsed="false">
      <c r="A6697" s="0" t="s">
        <v>3409</v>
      </c>
      <c r="B6697" s="6" t="n">
        <v>42706</v>
      </c>
      <c r="C6697" s="7" t="s">
        <v>55</v>
      </c>
      <c r="D6697" s="7" t="s">
        <v>76</v>
      </c>
      <c r="E6697" s="7" t="s">
        <v>35</v>
      </c>
      <c r="F6697" s="0" t="n">
        <v>415.176</v>
      </c>
      <c r="G6697" s="0" t="n">
        <v>134.9322</v>
      </c>
      <c r="H6697" s="0" t="n">
        <v>0.2</v>
      </c>
      <c r="I6697" s="7" t="n">
        <f aca="false">YEAR(B6697)</f>
        <v>2016</v>
      </c>
      <c r="J6697" s="0" t="str">
        <f aca="false">I6697&amp;"-Q"&amp;ROUNDUP(MONTH(B6697)/3,0)</f>
        <v>2016-Q4</v>
      </c>
    </row>
    <row r="6698" customFormat="false" ht="15" hidden="false" customHeight="false" outlineLevel="0" collapsed="false">
      <c r="A6698" s="0" t="s">
        <v>3409</v>
      </c>
      <c r="B6698" s="6" t="n">
        <v>42706</v>
      </c>
      <c r="C6698" s="7" t="s">
        <v>55</v>
      </c>
      <c r="D6698" s="7" t="s">
        <v>76</v>
      </c>
      <c r="E6698" s="7" t="s">
        <v>35</v>
      </c>
      <c r="F6698" s="0" t="n">
        <v>35.232</v>
      </c>
      <c r="G6698" s="0" t="n">
        <v>11.4504</v>
      </c>
      <c r="H6698" s="0" t="n">
        <v>0.2</v>
      </c>
      <c r="I6698" s="7" t="n">
        <f aca="false">YEAR(B6698)</f>
        <v>2016</v>
      </c>
      <c r="J6698" s="0" t="str">
        <f aca="false">I6698&amp;"-Q"&amp;ROUNDUP(MONTH(B6698)/3,0)</f>
        <v>2016-Q4</v>
      </c>
    </row>
    <row r="6699" customFormat="false" ht="15" hidden="false" customHeight="false" outlineLevel="0" collapsed="false">
      <c r="A6699" s="0" t="s">
        <v>3409</v>
      </c>
      <c r="B6699" s="6" t="n">
        <v>42706</v>
      </c>
      <c r="C6699" s="7" t="s">
        <v>55</v>
      </c>
      <c r="D6699" s="7" t="s">
        <v>76</v>
      </c>
      <c r="E6699" s="7" t="s">
        <v>35</v>
      </c>
      <c r="F6699" s="0" t="n">
        <v>54.96</v>
      </c>
      <c r="G6699" s="0" t="n">
        <v>26.9304</v>
      </c>
      <c r="H6699" s="0" t="n">
        <v>0</v>
      </c>
      <c r="I6699" s="7" t="n">
        <f aca="false">YEAR(B6699)</f>
        <v>2016</v>
      </c>
      <c r="J6699" s="0" t="str">
        <f aca="false">I6699&amp;"-Q"&amp;ROUNDUP(MONTH(B6699)/3,0)</f>
        <v>2016-Q4</v>
      </c>
    </row>
    <row r="6700" customFormat="false" ht="15" hidden="false" customHeight="false" outlineLevel="0" collapsed="false">
      <c r="A6700" s="0" t="s">
        <v>3410</v>
      </c>
      <c r="B6700" s="6" t="n">
        <v>42937</v>
      </c>
      <c r="C6700" s="7" t="s">
        <v>33</v>
      </c>
      <c r="D6700" s="7" t="s">
        <v>34</v>
      </c>
      <c r="E6700" s="7" t="s">
        <v>35</v>
      </c>
      <c r="F6700" s="0" t="n">
        <v>16.34</v>
      </c>
      <c r="G6700" s="0" t="n">
        <v>7.6798</v>
      </c>
      <c r="H6700" s="0" t="n">
        <v>0</v>
      </c>
      <c r="I6700" s="7" t="n">
        <f aca="false">YEAR(B6700)</f>
        <v>2017</v>
      </c>
      <c r="J6700" s="0" t="str">
        <f aca="false">I6700&amp;"-Q"&amp;ROUNDUP(MONTH(B6700)/3,0)</f>
        <v>2017-Q3</v>
      </c>
    </row>
    <row r="6701" customFormat="false" ht="15" hidden="false" customHeight="false" outlineLevel="0" collapsed="false">
      <c r="A6701" s="0" t="s">
        <v>3410</v>
      </c>
      <c r="B6701" s="6" t="n">
        <v>42937</v>
      </c>
      <c r="C6701" s="7" t="s">
        <v>33</v>
      </c>
      <c r="D6701" s="7" t="s">
        <v>34</v>
      </c>
      <c r="E6701" s="7" t="s">
        <v>31</v>
      </c>
      <c r="F6701" s="0" t="n">
        <v>225.296</v>
      </c>
      <c r="G6701" s="0" t="n">
        <v>22.5296</v>
      </c>
      <c r="H6701" s="0" t="n">
        <v>0.2</v>
      </c>
      <c r="I6701" s="7" t="n">
        <f aca="false">YEAR(B6701)</f>
        <v>2017</v>
      </c>
      <c r="J6701" s="0" t="str">
        <f aca="false">I6701&amp;"-Q"&amp;ROUNDUP(MONTH(B6701)/3,0)</f>
        <v>2017-Q3</v>
      </c>
    </row>
    <row r="6702" customFormat="false" ht="15" hidden="false" customHeight="false" outlineLevel="0" collapsed="false">
      <c r="A6702" s="0" t="s">
        <v>3410</v>
      </c>
      <c r="B6702" s="6" t="n">
        <v>42937</v>
      </c>
      <c r="C6702" s="7" t="s">
        <v>33</v>
      </c>
      <c r="D6702" s="7" t="s">
        <v>34</v>
      </c>
      <c r="E6702" s="7" t="s">
        <v>35</v>
      </c>
      <c r="F6702" s="0" t="n">
        <v>50.352</v>
      </c>
      <c r="G6702" s="0" t="n">
        <v>17.6232</v>
      </c>
      <c r="H6702" s="0" t="n">
        <v>0.2</v>
      </c>
      <c r="I6702" s="7" t="n">
        <f aca="false">YEAR(B6702)</f>
        <v>2017</v>
      </c>
      <c r="J6702" s="0" t="str">
        <f aca="false">I6702&amp;"-Q"&amp;ROUNDUP(MONTH(B6702)/3,0)</f>
        <v>2017-Q3</v>
      </c>
    </row>
    <row r="6703" customFormat="false" ht="15" hidden="false" customHeight="false" outlineLevel="0" collapsed="false">
      <c r="A6703" s="0" t="s">
        <v>3411</v>
      </c>
      <c r="B6703" s="6" t="n">
        <v>42144</v>
      </c>
      <c r="C6703" s="7" t="s">
        <v>29</v>
      </c>
      <c r="D6703" s="7" t="s">
        <v>41</v>
      </c>
      <c r="E6703" s="7" t="s">
        <v>31</v>
      </c>
      <c r="F6703" s="0" t="n">
        <v>163.136</v>
      </c>
      <c r="G6703" s="0" t="n">
        <v>20.392</v>
      </c>
      <c r="H6703" s="0" t="n">
        <v>0.2</v>
      </c>
      <c r="I6703" s="7" t="n">
        <f aca="false">YEAR(B6703)</f>
        <v>2015</v>
      </c>
      <c r="J6703" s="0" t="str">
        <f aca="false">I6703&amp;"-Q"&amp;ROUNDUP(MONTH(B6703)/3,0)</f>
        <v>2015-Q2</v>
      </c>
    </row>
    <row r="6704" customFormat="false" ht="15" hidden="false" customHeight="false" outlineLevel="0" collapsed="false">
      <c r="A6704" s="0" t="s">
        <v>3411</v>
      </c>
      <c r="B6704" s="6" t="n">
        <v>42144</v>
      </c>
      <c r="C6704" s="7" t="s">
        <v>29</v>
      </c>
      <c r="D6704" s="7" t="s">
        <v>41</v>
      </c>
      <c r="E6704" s="7" t="s">
        <v>35</v>
      </c>
      <c r="F6704" s="0" t="n">
        <v>6.408</v>
      </c>
      <c r="G6704" s="0" t="n">
        <v>-4.9128</v>
      </c>
      <c r="H6704" s="0" t="n">
        <v>0.7</v>
      </c>
      <c r="I6704" s="7" t="n">
        <f aca="false">YEAR(B6704)</f>
        <v>2015</v>
      </c>
      <c r="J6704" s="0" t="str">
        <f aca="false">I6704&amp;"-Q"&amp;ROUNDUP(MONTH(B6704)/3,0)</f>
        <v>2015-Q2</v>
      </c>
    </row>
    <row r="6705" customFormat="false" ht="15" hidden="false" customHeight="false" outlineLevel="0" collapsed="false">
      <c r="A6705" s="0" t="s">
        <v>3412</v>
      </c>
      <c r="B6705" s="6" t="n">
        <v>42178</v>
      </c>
      <c r="C6705" s="7" t="s">
        <v>33</v>
      </c>
      <c r="D6705" s="7" t="s">
        <v>34</v>
      </c>
      <c r="E6705" s="7" t="s">
        <v>39</v>
      </c>
      <c r="F6705" s="0" t="n">
        <v>217.584</v>
      </c>
      <c r="G6705" s="0" t="n">
        <v>19.0386</v>
      </c>
      <c r="H6705" s="0" t="n">
        <v>0.2</v>
      </c>
      <c r="I6705" s="7" t="n">
        <f aca="false">YEAR(B6705)</f>
        <v>2015</v>
      </c>
      <c r="J6705" s="0" t="str">
        <f aca="false">I6705&amp;"-Q"&amp;ROUNDUP(MONTH(B6705)/3,0)</f>
        <v>2015-Q2</v>
      </c>
    </row>
    <row r="6706" customFormat="false" ht="15" hidden="false" customHeight="false" outlineLevel="0" collapsed="false">
      <c r="A6706" s="0" t="s">
        <v>3412</v>
      </c>
      <c r="B6706" s="6" t="n">
        <v>42178</v>
      </c>
      <c r="C6706" s="7" t="s">
        <v>33</v>
      </c>
      <c r="D6706" s="7" t="s">
        <v>34</v>
      </c>
      <c r="E6706" s="7" t="s">
        <v>35</v>
      </c>
      <c r="F6706" s="0" t="n">
        <v>5.43</v>
      </c>
      <c r="G6706" s="0" t="n">
        <v>1.7919</v>
      </c>
      <c r="H6706" s="0" t="n">
        <v>0</v>
      </c>
      <c r="I6706" s="7" t="n">
        <f aca="false">YEAR(B6706)</f>
        <v>2015</v>
      </c>
      <c r="J6706" s="0" t="str">
        <f aca="false">I6706&amp;"-Q"&amp;ROUNDUP(MONTH(B6706)/3,0)</f>
        <v>2015-Q2</v>
      </c>
    </row>
    <row r="6707" customFormat="false" ht="15" hidden="false" customHeight="false" outlineLevel="0" collapsed="false">
      <c r="A6707" s="0" t="s">
        <v>3412</v>
      </c>
      <c r="B6707" s="6" t="n">
        <v>42178</v>
      </c>
      <c r="C6707" s="7" t="s">
        <v>33</v>
      </c>
      <c r="D6707" s="7" t="s">
        <v>34</v>
      </c>
      <c r="E6707" s="7" t="s">
        <v>39</v>
      </c>
      <c r="F6707" s="0" t="n">
        <v>143.976</v>
      </c>
      <c r="G6707" s="0" t="n">
        <v>8.9985</v>
      </c>
      <c r="H6707" s="0" t="n">
        <v>0.2</v>
      </c>
      <c r="I6707" s="7" t="n">
        <f aca="false">YEAR(B6707)</f>
        <v>2015</v>
      </c>
      <c r="J6707" s="0" t="str">
        <f aca="false">I6707&amp;"-Q"&amp;ROUNDUP(MONTH(B6707)/3,0)</f>
        <v>2015-Q2</v>
      </c>
    </row>
    <row r="6708" customFormat="false" ht="15" hidden="false" customHeight="false" outlineLevel="0" collapsed="false">
      <c r="A6708" s="0" t="s">
        <v>3413</v>
      </c>
      <c r="B6708" s="6" t="n">
        <v>42623</v>
      </c>
      <c r="C6708" s="7" t="s">
        <v>29</v>
      </c>
      <c r="D6708" s="7" t="s">
        <v>37</v>
      </c>
      <c r="E6708" s="7" t="s">
        <v>39</v>
      </c>
      <c r="F6708" s="0" t="n">
        <v>519.68</v>
      </c>
      <c r="G6708" s="0" t="n">
        <v>58.464</v>
      </c>
      <c r="H6708" s="0" t="n">
        <v>0.2</v>
      </c>
      <c r="I6708" s="7" t="n">
        <f aca="false">YEAR(B6708)</f>
        <v>2016</v>
      </c>
      <c r="J6708" s="0" t="str">
        <f aca="false">I6708&amp;"-Q"&amp;ROUNDUP(MONTH(B6708)/3,0)</f>
        <v>2016-Q3</v>
      </c>
    </row>
    <row r="6709" customFormat="false" ht="15" hidden="false" customHeight="false" outlineLevel="0" collapsed="false">
      <c r="A6709" s="0" t="s">
        <v>3414</v>
      </c>
      <c r="B6709" s="6" t="n">
        <v>41742</v>
      </c>
      <c r="C6709" s="7" t="s">
        <v>55</v>
      </c>
      <c r="D6709" s="7" t="s">
        <v>495</v>
      </c>
      <c r="E6709" s="7" t="s">
        <v>35</v>
      </c>
      <c r="F6709" s="0" t="n">
        <v>7.83</v>
      </c>
      <c r="G6709" s="0" t="n">
        <v>3.6018</v>
      </c>
      <c r="H6709" s="0" t="n">
        <v>0</v>
      </c>
      <c r="I6709" s="7" t="n">
        <f aca="false">YEAR(B6709)</f>
        <v>2014</v>
      </c>
      <c r="J6709" s="0" t="str">
        <f aca="false">I6709&amp;"-Q"&amp;ROUNDUP(MONTH(B6709)/3,0)</f>
        <v>2014-Q2</v>
      </c>
    </row>
    <row r="6710" customFormat="false" ht="15" hidden="false" customHeight="false" outlineLevel="0" collapsed="false">
      <c r="A6710" s="0" t="s">
        <v>3415</v>
      </c>
      <c r="B6710" s="6" t="n">
        <v>42322</v>
      </c>
      <c r="C6710" s="7" t="s">
        <v>33</v>
      </c>
      <c r="D6710" s="7" t="s">
        <v>142</v>
      </c>
      <c r="E6710" s="7" t="s">
        <v>31</v>
      </c>
      <c r="F6710" s="0" t="n">
        <v>883.84</v>
      </c>
      <c r="G6710" s="0" t="n">
        <v>99.432</v>
      </c>
      <c r="H6710" s="0" t="n">
        <v>0.2</v>
      </c>
      <c r="I6710" s="7" t="n">
        <f aca="false">YEAR(B6710)</f>
        <v>2015</v>
      </c>
      <c r="J6710" s="0" t="str">
        <f aca="false">I6710&amp;"-Q"&amp;ROUNDUP(MONTH(B6710)/3,0)</f>
        <v>2015-Q4</v>
      </c>
    </row>
    <row r="6711" customFormat="false" ht="15" hidden="false" customHeight="false" outlineLevel="0" collapsed="false">
      <c r="A6711" s="0" t="s">
        <v>3415</v>
      </c>
      <c r="B6711" s="6" t="n">
        <v>42322</v>
      </c>
      <c r="C6711" s="7" t="s">
        <v>33</v>
      </c>
      <c r="D6711" s="7" t="s">
        <v>142</v>
      </c>
      <c r="E6711" s="7" t="s">
        <v>31</v>
      </c>
      <c r="F6711" s="0" t="n">
        <v>230.352</v>
      </c>
      <c r="G6711" s="0" t="n">
        <v>20.1558</v>
      </c>
      <c r="H6711" s="0" t="n">
        <v>0.2</v>
      </c>
      <c r="I6711" s="7" t="n">
        <f aca="false">YEAR(B6711)</f>
        <v>2015</v>
      </c>
      <c r="J6711" s="0" t="str">
        <f aca="false">I6711&amp;"-Q"&amp;ROUNDUP(MONTH(B6711)/3,0)</f>
        <v>2015-Q4</v>
      </c>
    </row>
    <row r="6712" customFormat="false" ht="15" hidden="false" customHeight="false" outlineLevel="0" collapsed="false">
      <c r="A6712" s="0" t="s">
        <v>3416</v>
      </c>
      <c r="B6712" s="6" t="n">
        <v>42713</v>
      </c>
      <c r="C6712" s="7" t="s">
        <v>33</v>
      </c>
      <c r="D6712" s="7" t="s">
        <v>34</v>
      </c>
      <c r="E6712" s="7" t="s">
        <v>35</v>
      </c>
      <c r="F6712" s="0" t="n">
        <v>273.92</v>
      </c>
      <c r="G6712" s="0" t="n">
        <v>99.296</v>
      </c>
      <c r="H6712" s="0" t="n">
        <v>0.2</v>
      </c>
      <c r="I6712" s="7" t="n">
        <f aca="false">YEAR(B6712)</f>
        <v>2016</v>
      </c>
      <c r="J6712" s="0" t="str">
        <f aca="false">I6712&amp;"-Q"&amp;ROUNDUP(MONTH(B6712)/3,0)</f>
        <v>2016-Q4</v>
      </c>
    </row>
    <row r="6713" customFormat="false" ht="15" hidden="false" customHeight="false" outlineLevel="0" collapsed="false">
      <c r="A6713" s="0" t="s">
        <v>3417</v>
      </c>
      <c r="B6713" s="6" t="n">
        <v>42965</v>
      </c>
      <c r="C6713" s="7" t="s">
        <v>55</v>
      </c>
      <c r="D6713" s="7" t="s">
        <v>116</v>
      </c>
      <c r="E6713" s="7" t="s">
        <v>35</v>
      </c>
      <c r="F6713" s="0" t="n">
        <v>9.912</v>
      </c>
      <c r="G6713" s="0" t="n">
        <v>1.239</v>
      </c>
      <c r="H6713" s="0" t="n">
        <v>0.2</v>
      </c>
      <c r="I6713" s="7" t="n">
        <f aca="false">YEAR(B6713)</f>
        <v>2017</v>
      </c>
      <c r="J6713" s="0" t="str">
        <f aca="false">I6713&amp;"-Q"&amp;ROUNDUP(MONTH(B6713)/3,0)</f>
        <v>2017-Q3</v>
      </c>
    </row>
    <row r="6714" customFormat="false" ht="15" hidden="false" customHeight="false" outlineLevel="0" collapsed="false">
      <c r="A6714" s="0" t="s">
        <v>3418</v>
      </c>
      <c r="B6714" s="6" t="n">
        <v>43083</v>
      </c>
      <c r="C6714" s="7" t="s">
        <v>45</v>
      </c>
      <c r="D6714" s="7" t="s">
        <v>64</v>
      </c>
      <c r="E6714" s="7" t="s">
        <v>31</v>
      </c>
      <c r="F6714" s="0" t="n">
        <v>266.352</v>
      </c>
      <c r="G6714" s="0" t="n">
        <v>-292.9872</v>
      </c>
      <c r="H6714" s="0" t="n">
        <v>0.6</v>
      </c>
      <c r="I6714" s="7" t="n">
        <f aca="false">YEAR(B6714)</f>
        <v>2017</v>
      </c>
      <c r="J6714" s="0" t="str">
        <f aca="false">I6714&amp;"-Q"&amp;ROUNDUP(MONTH(B6714)/3,0)</f>
        <v>2017-Q4</v>
      </c>
    </row>
    <row r="6715" customFormat="false" ht="15" hidden="false" customHeight="false" outlineLevel="0" collapsed="false">
      <c r="A6715" s="0" t="s">
        <v>3418</v>
      </c>
      <c r="B6715" s="6" t="n">
        <v>43083</v>
      </c>
      <c r="C6715" s="7" t="s">
        <v>45</v>
      </c>
      <c r="D6715" s="7" t="s">
        <v>64</v>
      </c>
      <c r="E6715" s="7" t="s">
        <v>31</v>
      </c>
      <c r="F6715" s="0" t="n">
        <v>56.328</v>
      </c>
      <c r="G6715" s="0" t="n">
        <v>-26.7558</v>
      </c>
      <c r="H6715" s="0" t="n">
        <v>0.6</v>
      </c>
      <c r="I6715" s="7" t="n">
        <f aca="false">YEAR(B6715)</f>
        <v>2017</v>
      </c>
      <c r="J6715" s="0" t="str">
        <f aca="false">I6715&amp;"-Q"&amp;ROUNDUP(MONTH(B6715)/3,0)</f>
        <v>2017-Q4</v>
      </c>
    </row>
    <row r="6716" customFormat="false" ht="15" hidden="false" customHeight="false" outlineLevel="0" collapsed="false">
      <c r="A6716" s="0" t="s">
        <v>3418</v>
      </c>
      <c r="B6716" s="6" t="n">
        <v>43083</v>
      </c>
      <c r="C6716" s="7" t="s">
        <v>45</v>
      </c>
      <c r="D6716" s="7" t="s">
        <v>64</v>
      </c>
      <c r="E6716" s="7" t="s">
        <v>39</v>
      </c>
      <c r="F6716" s="0" t="n">
        <v>39.264</v>
      </c>
      <c r="G6716" s="0" t="n">
        <v>-4.908</v>
      </c>
      <c r="H6716" s="0" t="n">
        <v>0.2</v>
      </c>
      <c r="I6716" s="7" t="n">
        <f aca="false">YEAR(B6716)</f>
        <v>2017</v>
      </c>
      <c r="J6716" s="0" t="str">
        <f aca="false">I6716&amp;"-Q"&amp;ROUNDUP(MONTH(B6716)/3,0)</f>
        <v>2017-Q4</v>
      </c>
    </row>
    <row r="6717" customFormat="false" ht="15" hidden="false" customHeight="false" outlineLevel="0" collapsed="false">
      <c r="A6717" s="0" t="s">
        <v>3418</v>
      </c>
      <c r="B6717" s="6" t="n">
        <v>43083</v>
      </c>
      <c r="C6717" s="7" t="s">
        <v>45</v>
      </c>
      <c r="D6717" s="7" t="s">
        <v>64</v>
      </c>
      <c r="E6717" s="7" t="s">
        <v>35</v>
      </c>
      <c r="F6717" s="0" t="n">
        <v>95.232</v>
      </c>
      <c r="G6717" s="0" t="n">
        <v>24.9984</v>
      </c>
      <c r="H6717" s="0" t="n">
        <v>0.2</v>
      </c>
      <c r="I6717" s="7" t="n">
        <f aca="false">YEAR(B6717)</f>
        <v>2017</v>
      </c>
      <c r="J6717" s="0" t="str">
        <f aca="false">I6717&amp;"-Q"&amp;ROUNDUP(MONTH(B6717)/3,0)</f>
        <v>2017-Q4</v>
      </c>
    </row>
    <row r="6718" customFormat="false" ht="15" hidden="false" customHeight="false" outlineLevel="0" collapsed="false">
      <c r="A6718" s="0" t="s">
        <v>3419</v>
      </c>
      <c r="B6718" s="6" t="n">
        <v>42468</v>
      </c>
      <c r="C6718" s="7" t="s">
        <v>29</v>
      </c>
      <c r="D6718" s="7" t="s">
        <v>301</v>
      </c>
      <c r="E6718" s="7" t="s">
        <v>35</v>
      </c>
      <c r="F6718" s="0" t="n">
        <v>30</v>
      </c>
      <c r="G6718" s="0" t="n">
        <v>14.4</v>
      </c>
      <c r="H6718" s="0" t="n">
        <v>0</v>
      </c>
      <c r="I6718" s="7" t="n">
        <f aca="false">YEAR(B6718)</f>
        <v>2016</v>
      </c>
      <c r="J6718" s="0" t="str">
        <f aca="false">I6718&amp;"-Q"&amp;ROUNDUP(MONTH(B6718)/3,0)</f>
        <v>2016-Q2</v>
      </c>
    </row>
    <row r="6719" customFormat="false" ht="15" hidden="false" customHeight="false" outlineLevel="0" collapsed="false">
      <c r="A6719" s="0" t="s">
        <v>3419</v>
      </c>
      <c r="B6719" s="6" t="n">
        <v>42468</v>
      </c>
      <c r="C6719" s="7" t="s">
        <v>29</v>
      </c>
      <c r="D6719" s="7" t="s">
        <v>301</v>
      </c>
      <c r="E6719" s="7" t="s">
        <v>35</v>
      </c>
      <c r="F6719" s="0" t="n">
        <v>25.92</v>
      </c>
      <c r="G6719" s="0" t="n">
        <v>12.7008</v>
      </c>
      <c r="H6719" s="0" t="n">
        <v>0</v>
      </c>
      <c r="I6719" s="7" t="n">
        <f aca="false">YEAR(B6719)</f>
        <v>2016</v>
      </c>
      <c r="J6719" s="0" t="str">
        <f aca="false">I6719&amp;"-Q"&amp;ROUNDUP(MONTH(B6719)/3,0)</f>
        <v>2016-Q2</v>
      </c>
    </row>
    <row r="6720" customFormat="false" ht="15" hidden="false" customHeight="false" outlineLevel="0" collapsed="false">
      <c r="A6720" s="0" t="s">
        <v>3419</v>
      </c>
      <c r="B6720" s="6" t="n">
        <v>42468</v>
      </c>
      <c r="C6720" s="7" t="s">
        <v>29</v>
      </c>
      <c r="D6720" s="7" t="s">
        <v>301</v>
      </c>
      <c r="E6720" s="7" t="s">
        <v>31</v>
      </c>
      <c r="F6720" s="0" t="n">
        <v>159.92</v>
      </c>
      <c r="G6720" s="0" t="n">
        <v>31.984</v>
      </c>
      <c r="H6720" s="0" t="n">
        <v>0</v>
      </c>
      <c r="I6720" s="7" t="n">
        <f aca="false">YEAR(B6720)</f>
        <v>2016</v>
      </c>
      <c r="J6720" s="0" t="str">
        <f aca="false">I6720&amp;"-Q"&amp;ROUNDUP(MONTH(B6720)/3,0)</f>
        <v>2016-Q2</v>
      </c>
    </row>
    <row r="6721" customFormat="false" ht="15" hidden="false" customHeight="false" outlineLevel="0" collapsed="false">
      <c r="A6721" s="0" t="s">
        <v>3420</v>
      </c>
      <c r="B6721" s="6" t="n">
        <v>42720</v>
      </c>
      <c r="C6721" s="7" t="s">
        <v>29</v>
      </c>
      <c r="D6721" s="7" t="s">
        <v>41</v>
      </c>
      <c r="E6721" s="7" t="s">
        <v>35</v>
      </c>
      <c r="F6721" s="0" t="n">
        <v>34.944</v>
      </c>
      <c r="G6721" s="0" t="n">
        <v>3.0576</v>
      </c>
      <c r="H6721" s="0" t="n">
        <v>0.2</v>
      </c>
      <c r="I6721" s="7" t="n">
        <f aca="false">YEAR(B6721)</f>
        <v>2016</v>
      </c>
      <c r="J6721" s="0" t="str">
        <f aca="false">I6721&amp;"-Q"&amp;ROUNDUP(MONTH(B6721)/3,0)</f>
        <v>2016-Q4</v>
      </c>
    </row>
    <row r="6722" customFormat="false" ht="15" hidden="false" customHeight="false" outlineLevel="0" collapsed="false">
      <c r="A6722" s="0" t="s">
        <v>3421</v>
      </c>
      <c r="B6722" s="6" t="n">
        <v>42997</v>
      </c>
      <c r="C6722" s="7" t="s">
        <v>33</v>
      </c>
      <c r="D6722" s="7" t="s">
        <v>34</v>
      </c>
      <c r="E6722" s="7" t="s">
        <v>39</v>
      </c>
      <c r="F6722" s="0" t="n">
        <v>149.95</v>
      </c>
      <c r="G6722" s="0" t="n">
        <v>31.4895</v>
      </c>
      <c r="H6722" s="0" t="n">
        <v>0</v>
      </c>
      <c r="I6722" s="7" t="n">
        <f aca="false">YEAR(B6722)</f>
        <v>2017</v>
      </c>
      <c r="J6722" s="0" t="str">
        <f aca="false">I6722&amp;"-Q"&amp;ROUNDUP(MONTH(B6722)/3,0)</f>
        <v>2017-Q3</v>
      </c>
    </row>
    <row r="6723" customFormat="false" ht="15" hidden="false" customHeight="false" outlineLevel="0" collapsed="false">
      <c r="A6723" s="0" t="s">
        <v>3421</v>
      </c>
      <c r="B6723" s="6" t="n">
        <v>42997</v>
      </c>
      <c r="C6723" s="7" t="s">
        <v>33</v>
      </c>
      <c r="D6723" s="7" t="s">
        <v>34</v>
      </c>
      <c r="E6723" s="7" t="s">
        <v>35</v>
      </c>
      <c r="F6723" s="0" t="n">
        <v>23.32</v>
      </c>
      <c r="G6723" s="0" t="n">
        <v>6.0632</v>
      </c>
      <c r="H6723" s="0" t="n">
        <v>0</v>
      </c>
      <c r="I6723" s="7" t="n">
        <f aca="false">YEAR(B6723)</f>
        <v>2017</v>
      </c>
      <c r="J6723" s="0" t="str">
        <f aca="false">I6723&amp;"-Q"&amp;ROUNDUP(MONTH(B6723)/3,0)</f>
        <v>2017-Q3</v>
      </c>
    </row>
    <row r="6724" customFormat="false" ht="15" hidden="false" customHeight="false" outlineLevel="0" collapsed="false">
      <c r="A6724" s="0" t="s">
        <v>3421</v>
      </c>
      <c r="B6724" s="6" t="n">
        <v>42997</v>
      </c>
      <c r="C6724" s="7" t="s">
        <v>33</v>
      </c>
      <c r="D6724" s="7" t="s">
        <v>34</v>
      </c>
      <c r="E6724" s="7" t="s">
        <v>35</v>
      </c>
      <c r="F6724" s="0" t="n">
        <v>16.74</v>
      </c>
      <c r="G6724" s="0" t="n">
        <v>4.8546</v>
      </c>
      <c r="H6724" s="0" t="n">
        <v>0</v>
      </c>
      <c r="I6724" s="7" t="n">
        <f aca="false">YEAR(B6724)</f>
        <v>2017</v>
      </c>
      <c r="J6724" s="0" t="str">
        <f aca="false">I6724&amp;"-Q"&amp;ROUNDUP(MONTH(B6724)/3,0)</f>
        <v>2017-Q3</v>
      </c>
    </row>
    <row r="6725" customFormat="false" ht="15" hidden="false" customHeight="false" outlineLevel="0" collapsed="false">
      <c r="A6725" s="0" t="s">
        <v>3422</v>
      </c>
      <c r="B6725" s="6" t="n">
        <v>42982</v>
      </c>
      <c r="C6725" s="7" t="s">
        <v>55</v>
      </c>
      <c r="D6725" s="7" t="s">
        <v>482</v>
      </c>
      <c r="E6725" s="7" t="s">
        <v>35</v>
      </c>
      <c r="F6725" s="0" t="n">
        <v>14.82</v>
      </c>
      <c r="G6725" s="0" t="n">
        <v>6.9654</v>
      </c>
      <c r="H6725" s="0" t="n">
        <v>0</v>
      </c>
      <c r="I6725" s="7" t="n">
        <f aca="false">YEAR(B6725)</f>
        <v>2017</v>
      </c>
      <c r="J6725" s="0" t="str">
        <f aca="false">I6725&amp;"-Q"&amp;ROUNDUP(MONTH(B6725)/3,0)</f>
        <v>2017-Q3</v>
      </c>
    </row>
    <row r="6726" customFormat="false" ht="15" hidden="false" customHeight="false" outlineLevel="0" collapsed="false">
      <c r="A6726" s="0" t="s">
        <v>3423</v>
      </c>
      <c r="B6726" s="6" t="n">
        <v>42625</v>
      </c>
      <c r="C6726" s="7" t="s">
        <v>33</v>
      </c>
      <c r="D6726" s="7" t="s">
        <v>43</v>
      </c>
      <c r="E6726" s="7" t="s">
        <v>35</v>
      </c>
      <c r="F6726" s="0" t="n">
        <v>10.47</v>
      </c>
      <c r="G6726" s="0" t="n">
        <v>4.8162</v>
      </c>
      <c r="H6726" s="0" t="n">
        <v>0</v>
      </c>
      <c r="I6726" s="7" t="n">
        <f aca="false">YEAR(B6726)</f>
        <v>2016</v>
      </c>
      <c r="J6726" s="0" t="str">
        <f aca="false">I6726&amp;"-Q"&amp;ROUNDUP(MONTH(B6726)/3,0)</f>
        <v>2016-Q3</v>
      </c>
    </row>
    <row r="6727" customFormat="false" ht="15" hidden="false" customHeight="false" outlineLevel="0" collapsed="false">
      <c r="A6727" s="0" t="s">
        <v>3423</v>
      </c>
      <c r="B6727" s="6" t="n">
        <v>42625</v>
      </c>
      <c r="C6727" s="7" t="s">
        <v>33</v>
      </c>
      <c r="D6727" s="7" t="s">
        <v>43</v>
      </c>
      <c r="E6727" s="7" t="s">
        <v>35</v>
      </c>
      <c r="F6727" s="0" t="n">
        <v>11.07</v>
      </c>
      <c r="G6727" s="0" t="n">
        <v>5.2029</v>
      </c>
      <c r="H6727" s="0" t="n">
        <v>0</v>
      </c>
      <c r="I6727" s="7" t="n">
        <f aca="false">YEAR(B6727)</f>
        <v>2016</v>
      </c>
      <c r="J6727" s="0" t="str">
        <f aca="false">I6727&amp;"-Q"&amp;ROUNDUP(MONTH(B6727)/3,0)</f>
        <v>2016-Q3</v>
      </c>
    </row>
    <row r="6728" customFormat="false" ht="15" hidden="false" customHeight="false" outlineLevel="0" collapsed="false">
      <c r="A6728" s="0" t="s">
        <v>3423</v>
      </c>
      <c r="B6728" s="6" t="n">
        <v>42625</v>
      </c>
      <c r="C6728" s="7" t="s">
        <v>33</v>
      </c>
      <c r="D6728" s="7" t="s">
        <v>43</v>
      </c>
      <c r="E6728" s="7" t="s">
        <v>35</v>
      </c>
      <c r="F6728" s="0" t="n">
        <v>20.704</v>
      </c>
      <c r="G6728" s="0" t="n">
        <v>7.764</v>
      </c>
      <c r="H6728" s="0" t="n">
        <v>0.2</v>
      </c>
      <c r="I6728" s="7" t="n">
        <f aca="false">YEAR(B6728)</f>
        <v>2016</v>
      </c>
      <c r="J6728" s="0" t="str">
        <f aca="false">I6728&amp;"-Q"&amp;ROUNDUP(MONTH(B6728)/3,0)</f>
        <v>2016-Q3</v>
      </c>
    </row>
    <row r="6729" customFormat="false" ht="15" hidden="false" customHeight="false" outlineLevel="0" collapsed="false">
      <c r="A6729" s="0" t="s">
        <v>3424</v>
      </c>
      <c r="B6729" s="6" t="n">
        <v>42957</v>
      </c>
      <c r="C6729" s="7" t="s">
        <v>45</v>
      </c>
      <c r="D6729" s="7" t="s">
        <v>74</v>
      </c>
      <c r="E6729" s="7" t="s">
        <v>35</v>
      </c>
      <c r="F6729" s="0" t="n">
        <v>177.2</v>
      </c>
      <c r="G6729" s="0" t="n">
        <v>83.284</v>
      </c>
      <c r="H6729" s="0" t="n">
        <v>0</v>
      </c>
      <c r="I6729" s="7" t="n">
        <f aca="false">YEAR(B6729)</f>
        <v>2017</v>
      </c>
      <c r="J6729" s="0" t="str">
        <f aca="false">I6729&amp;"-Q"&amp;ROUNDUP(MONTH(B6729)/3,0)</f>
        <v>2017-Q3</v>
      </c>
    </row>
    <row r="6730" customFormat="false" ht="15" hidden="false" customHeight="false" outlineLevel="0" collapsed="false">
      <c r="A6730" s="0" t="s">
        <v>3425</v>
      </c>
      <c r="B6730" s="6" t="n">
        <v>42678</v>
      </c>
      <c r="C6730" s="7" t="s">
        <v>29</v>
      </c>
      <c r="D6730" s="7" t="s">
        <v>37</v>
      </c>
      <c r="E6730" s="7" t="s">
        <v>31</v>
      </c>
      <c r="F6730" s="0" t="n">
        <v>50.496</v>
      </c>
      <c r="G6730" s="0" t="n">
        <v>8.2056</v>
      </c>
      <c r="H6730" s="0" t="n">
        <v>0.2</v>
      </c>
      <c r="I6730" s="7" t="n">
        <f aca="false">YEAR(B6730)</f>
        <v>2016</v>
      </c>
      <c r="J6730" s="0" t="str">
        <f aca="false">I6730&amp;"-Q"&amp;ROUNDUP(MONTH(B6730)/3,0)</f>
        <v>2016-Q4</v>
      </c>
    </row>
    <row r="6731" customFormat="false" ht="15" hidden="false" customHeight="false" outlineLevel="0" collapsed="false">
      <c r="A6731" s="0" t="s">
        <v>3426</v>
      </c>
      <c r="B6731" s="6" t="n">
        <v>42173</v>
      </c>
      <c r="C6731" s="7" t="s">
        <v>29</v>
      </c>
      <c r="D6731" s="7" t="s">
        <v>87</v>
      </c>
      <c r="E6731" s="7" t="s">
        <v>35</v>
      </c>
      <c r="F6731" s="0" t="n">
        <v>6.129</v>
      </c>
      <c r="G6731" s="0" t="n">
        <v>-4.4946</v>
      </c>
      <c r="H6731" s="0" t="n">
        <v>0.7</v>
      </c>
      <c r="I6731" s="7" t="n">
        <f aca="false">YEAR(B6731)</f>
        <v>2015</v>
      </c>
      <c r="J6731" s="0" t="str">
        <f aca="false">I6731&amp;"-Q"&amp;ROUNDUP(MONTH(B6731)/3,0)</f>
        <v>2015-Q2</v>
      </c>
    </row>
    <row r="6732" customFormat="false" ht="15" hidden="false" customHeight="false" outlineLevel="0" collapsed="false">
      <c r="A6732" s="0" t="s">
        <v>3426</v>
      </c>
      <c r="B6732" s="6" t="n">
        <v>42173</v>
      </c>
      <c r="C6732" s="7" t="s">
        <v>29</v>
      </c>
      <c r="D6732" s="7" t="s">
        <v>87</v>
      </c>
      <c r="E6732" s="7" t="s">
        <v>31</v>
      </c>
      <c r="F6732" s="0" t="n">
        <v>643.136</v>
      </c>
      <c r="G6732" s="0" t="n">
        <v>56.2744</v>
      </c>
      <c r="H6732" s="0" t="n">
        <v>0.2</v>
      </c>
      <c r="I6732" s="7" t="n">
        <f aca="false">YEAR(B6732)</f>
        <v>2015</v>
      </c>
      <c r="J6732" s="0" t="str">
        <f aca="false">I6732&amp;"-Q"&amp;ROUNDUP(MONTH(B6732)/3,0)</f>
        <v>2015-Q2</v>
      </c>
    </row>
    <row r="6733" customFormat="false" ht="15" hidden="false" customHeight="false" outlineLevel="0" collapsed="false">
      <c r="A6733" s="0" t="s">
        <v>3426</v>
      </c>
      <c r="B6733" s="6" t="n">
        <v>42173</v>
      </c>
      <c r="C6733" s="7" t="s">
        <v>29</v>
      </c>
      <c r="D6733" s="7" t="s">
        <v>87</v>
      </c>
      <c r="E6733" s="7" t="s">
        <v>35</v>
      </c>
      <c r="F6733" s="0" t="n">
        <v>20.736</v>
      </c>
      <c r="G6733" s="0" t="n">
        <v>7.2576</v>
      </c>
      <c r="H6733" s="0" t="n">
        <v>0.2</v>
      </c>
      <c r="I6733" s="7" t="n">
        <f aca="false">YEAR(B6733)</f>
        <v>2015</v>
      </c>
      <c r="J6733" s="0" t="str">
        <f aca="false">I6733&amp;"-Q"&amp;ROUNDUP(MONTH(B6733)/3,0)</f>
        <v>2015-Q2</v>
      </c>
    </row>
    <row r="6734" customFormat="false" ht="15" hidden="false" customHeight="false" outlineLevel="0" collapsed="false">
      <c r="A6734" s="0" t="s">
        <v>3427</v>
      </c>
      <c r="B6734" s="6" t="n">
        <v>41824</v>
      </c>
      <c r="C6734" s="7" t="s">
        <v>33</v>
      </c>
      <c r="D6734" s="7" t="s">
        <v>109</v>
      </c>
      <c r="E6734" s="7" t="s">
        <v>35</v>
      </c>
      <c r="F6734" s="0" t="n">
        <v>177.536</v>
      </c>
      <c r="G6734" s="0" t="n">
        <v>62.1376</v>
      </c>
      <c r="H6734" s="0" t="n">
        <v>0.2</v>
      </c>
      <c r="I6734" s="7" t="n">
        <f aca="false">YEAR(B6734)</f>
        <v>2014</v>
      </c>
      <c r="J6734" s="0" t="str">
        <f aca="false">I6734&amp;"-Q"&amp;ROUNDUP(MONTH(B6734)/3,0)</f>
        <v>2014-Q3</v>
      </c>
    </row>
    <row r="6735" customFormat="false" ht="15" hidden="false" customHeight="false" outlineLevel="0" collapsed="false">
      <c r="A6735" s="0" t="s">
        <v>3427</v>
      </c>
      <c r="B6735" s="6" t="n">
        <v>41824</v>
      </c>
      <c r="C6735" s="7" t="s">
        <v>33</v>
      </c>
      <c r="D6735" s="7" t="s">
        <v>109</v>
      </c>
      <c r="E6735" s="7" t="s">
        <v>35</v>
      </c>
      <c r="F6735" s="0" t="n">
        <v>32.432</v>
      </c>
      <c r="G6735" s="0" t="n">
        <v>3.2432</v>
      </c>
      <c r="H6735" s="0" t="n">
        <v>0.2</v>
      </c>
      <c r="I6735" s="7" t="n">
        <f aca="false">YEAR(B6735)</f>
        <v>2014</v>
      </c>
      <c r="J6735" s="0" t="str">
        <f aca="false">I6735&amp;"-Q"&amp;ROUNDUP(MONTH(B6735)/3,0)</f>
        <v>2014-Q3</v>
      </c>
    </row>
    <row r="6736" customFormat="false" ht="15" hidden="false" customHeight="false" outlineLevel="0" collapsed="false">
      <c r="A6736" s="0" t="s">
        <v>3428</v>
      </c>
      <c r="B6736" s="6" t="n">
        <v>42358</v>
      </c>
      <c r="C6736" s="7" t="s">
        <v>29</v>
      </c>
      <c r="D6736" s="7" t="s">
        <v>37</v>
      </c>
      <c r="E6736" s="7" t="s">
        <v>35</v>
      </c>
      <c r="F6736" s="0" t="n">
        <v>11.696</v>
      </c>
      <c r="G6736" s="0" t="n">
        <v>3.9474</v>
      </c>
      <c r="H6736" s="0" t="n">
        <v>0.2</v>
      </c>
      <c r="I6736" s="7" t="n">
        <f aca="false">YEAR(B6736)</f>
        <v>2015</v>
      </c>
      <c r="J6736" s="0" t="str">
        <f aca="false">I6736&amp;"-Q"&amp;ROUNDUP(MONTH(B6736)/3,0)</f>
        <v>2015-Q4</v>
      </c>
    </row>
    <row r="6737" customFormat="false" ht="15" hidden="false" customHeight="false" outlineLevel="0" collapsed="false">
      <c r="A6737" s="0" t="s">
        <v>3429</v>
      </c>
      <c r="B6737" s="6" t="n">
        <v>42470</v>
      </c>
      <c r="C6737" s="7" t="s">
        <v>33</v>
      </c>
      <c r="D6737" s="7" t="s">
        <v>34</v>
      </c>
      <c r="E6737" s="7" t="s">
        <v>35</v>
      </c>
      <c r="F6737" s="0" t="n">
        <v>113.76</v>
      </c>
      <c r="G6737" s="0" t="n">
        <v>44.3664</v>
      </c>
      <c r="H6737" s="0" t="n">
        <v>0</v>
      </c>
      <c r="I6737" s="7" t="n">
        <f aca="false">YEAR(B6737)</f>
        <v>2016</v>
      </c>
      <c r="J6737" s="0" t="str">
        <f aca="false">I6737&amp;"-Q"&amp;ROUNDUP(MONTH(B6737)/3,0)</f>
        <v>2016-Q2</v>
      </c>
    </row>
    <row r="6738" customFormat="false" ht="15" hidden="false" customHeight="false" outlineLevel="0" collapsed="false">
      <c r="A6738" s="0" t="s">
        <v>3429</v>
      </c>
      <c r="B6738" s="6" t="n">
        <v>42470</v>
      </c>
      <c r="C6738" s="7" t="s">
        <v>33</v>
      </c>
      <c r="D6738" s="7" t="s">
        <v>34</v>
      </c>
      <c r="E6738" s="7" t="s">
        <v>35</v>
      </c>
      <c r="F6738" s="0" t="n">
        <v>579.51</v>
      </c>
      <c r="G6738" s="0" t="n">
        <v>81.1314</v>
      </c>
      <c r="H6738" s="0" t="n">
        <v>0</v>
      </c>
      <c r="I6738" s="7" t="n">
        <f aca="false">YEAR(B6738)</f>
        <v>2016</v>
      </c>
      <c r="J6738" s="0" t="str">
        <f aca="false">I6738&amp;"-Q"&amp;ROUNDUP(MONTH(B6738)/3,0)</f>
        <v>2016-Q2</v>
      </c>
    </row>
    <row r="6739" customFormat="false" ht="15" hidden="false" customHeight="false" outlineLevel="0" collapsed="false">
      <c r="A6739" s="0" t="s">
        <v>3429</v>
      </c>
      <c r="B6739" s="6" t="n">
        <v>42470</v>
      </c>
      <c r="C6739" s="7" t="s">
        <v>33</v>
      </c>
      <c r="D6739" s="7" t="s">
        <v>34</v>
      </c>
      <c r="E6739" s="7" t="s">
        <v>35</v>
      </c>
      <c r="F6739" s="0" t="n">
        <v>150.66</v>
      </c>
      <c r="G6739" s="0" t="n">
        <v>6.0264</v>
      </c>
      <c r="H6739" s="0" t="n">
        <v>0</v>
      </c>
      <c r="I6739" s="7" t="n">
        <f aca="false">YEAR(B6739)</f>
        <v>2016</v>
      </c>
      <c r="J6739" s="0" t="str">
        <f aca="false">I6739&amp;"-Q"&amp;ROUNDUP(MONTH(B6739)/3,0)</f>
        <v>2016-Q2</v>
      </c>
    </row>
    <row r="6740" customFormat="false" ht="15" hidden="false" customHeight="false" outlineLevel="0" collapsed="false">
      <c r="A6740" s="0" t="s">
        <v>3429</v>
      </c>
      <c r="B6740" s="6" t="n">
        <v>42470</v>
      </c>
      <c r="C6740" s="7" t="s">
        <v>33</v>
      </c>
      <c r="D6740" s="7" t="s">
        <v>34</v>
      </c>
      <c r="E6740" s="7" t="s">
        <v>35</v>
      </c>
      <c r="F6740" s="0" t="n">
        <v>48.032</v>
      </c>
      <c r="G6740" s="0" t="n">
        <v>15.6104</v>
      </c>
      <c r="H6740" s="0" t="n">
        <v>0.2</v>
      </c>
      <c r="I6740" s="7" t="n">
        <f aca="false">YEAR(B6740)</f>
        <v>2016</v>
      </c>
      <c r="J6740" s="0" t="str">
        <f aca="false">I6740&amp;"-Q"&amp;ROUNDUP(MONTH(B6740)/3,0)</f>
        <v>2016-Q2</v>
      </c>
    </row>
    <row r="6741" customFormat="false" ht="15" hidden="false" customHeight="false" outlineLevel="0" collapsed="false">
      <c r="A6741" s="0" t="s">
        <v>3430</v>
      </c>
      <c r="B6741" s="6" t="n">
        <v>41785</v>
      </c>
      <c r="C6741" s="7" t="s">
        <v>45</v>
      </c>
      <c r="D6741" s="7" t="s">
        <v>64</v>
      </c>
      <c r="E6741" s="7" t="s">
        <v>35</v>
      </c>
      <c r="F6741" s="0" t="n">
        <v>102.624</v>
      </c>
      <c r="G6741" s="0" t="n">
        <v>7.6968</v>
      </c>
      <c r="H6741" s="0" t="n">
        <v>0.2</v>
      </c>
      <c r="I6741" s="7" t="n">
        <f aca="false">YEAR(B6741)</f>
        <v>2014</v>
      </c>
      <c r="J6741" s="0" t="str">
        <f aca="false">I6741&amp;"-Q"&amp;ROUNDUP(MONTH(B6741)/3,0)</f>
        <v>2014-Q2</v>
      </c>
    </row>
    <row r="6742" customFormat="false" ht="15" hidden="false" customHeight="false" outlineLevel="0" collapsed="false">
      <c r="A6742" s="0" t="s">
        <v>3430</v>
      </c>
      <c r="B6742" s="6" t="n">
        <v>41785</v>
      </c>
      <c r="C6742" s="7" t="s">
        <v>45</v>
      </c>
      <c r="D6742" s="7" t="s">
        <v>64</v>
      </c>
      <c r="E6742" s="7" t="s">
        <v>31</v>
      </c>
      <c r="F6742" s="0" t="n">
        <v>359.772</v>
      </c>
      <c r="G6742" s="0" t="n">
        <v>-5.1396</v>
      </c>
      <c r="H6742" s="0" t="n">
        <v>0.3</v>
      </c>
      <c r="I6742" s="7" t="n">
        <f aca="false">YEAR(B6742)</f>
        <v>2014</v>
      </c>
      <c r="J6742" s="0" t="str">
        <f aca="false">I6742&amp;"-Q"&amp;ROUNDUP(MONTH(B6742)/3,0)</f>
        <v>2014-Q2</v>
      </c>
    </row>
    <row r="6743" customFormat="false" ht="15" hidden="false" customHeight="false" outlineLevel="0" collapsed="false">
      <c r="A6743" s="0" t="s">
        <v>3430</v>
      </c>
      <c r="B6743" s="6" t="n">
        <v>41785</v>
      </c>
      <c r="C6743" s="7" t="s">
        <v>45</v>
      </c>
      <c r="D6743" s="7" t="s">
        <v>64</v>
      </c>
      <c r="E6743" s="7" t="s">
        <v>35</v>
      </c>
      <c r="F6743" s="0" t="n">
        <v>13.392</v>
      </c>
      <c r="G6743" s="0" t="n">
        <v>3.1806</v>
      </c>
      <c r="H6743" s="0" t="n">
        <v>0.2</v>
      </c>
      <c r="I6743" s="7" t="n">
        <f aca="false">YEAR(B6743)</f>
        <v>2014</v>
      </c>
      <c r="J6743" s="0" t="str">
        <f aca="false">I6743&amp;"-Q"&amp;ROUNDUP(MONTH(B6743)/3,0)</f>
        <v>2014-Q2</v>
      </c>
    </row>
    <row r="6744" customFormat="false" ht="15" hidden="false" customHeight="false" outlineLevel="0" collapsed="false">
      <c r="A6744" s="0" t="s">
        <v>3431</v>
      </c>
      <c r="B6744" s="6" t="n">
        <v>42922</v>
      </c>
      <c r="C6744" s="7" t="s">
        <v>33</v>
      </c>
      <c r="D6744" s="7" t="s">
        <v>34</v>
      </c>
      <c r="E6744" s="7" t="s">
        <v>31</v>
      </c>
      <c r="F6744" s="0" t="n">
        <v>122.136</v>
      </c>
      <c r="G6744" s="0" t="n">
        <v>-13.7403</v>
      </c>
      <c r="H6744" s="0" t="n">
        <v>0.2</v>
      </c>
      <c r="I6744" s="7" t="n">
        <f aca="false">YEAR(B6744)</f>
        <v>2017</v>
      </c>
      <c r="J6744" s="0" t="str">
        <f aca="false">I6744&amp;"-Q"&amp;ROUNDUP(MONTH(B6744)/3,0)</f>
        <v>2017-Q3</v>
      </c>
    </row>
    <row r="6745" customFormat="false" ht="15" hidden="false" customHeight="false" outlineLevel="0" collapsed="false">
      <c r="A6745" s="0" t="s">
        <v>3432</v>
      </c>
      <c r="B6745" s="6" t="n">
        <v>42051</v>
      </c>
      <c r="C6745" s="7" t="s">
        <v>55</v>
      </c>
      <c r="D6745" s="7" t="s">
        <v>482</v>
      </c>
      <c r="E6745" s="7" t="s">
        <v>35</v>
      </c>
      <c r="F6745" s="0" t="n">
        <v>35.88</v>
      </c>
      <c r="G6745" s="0" t="n">
        <v>16.146</v>
      </c>
      <c r="H6745" s="0" t="n">
        <v>0</v>
      </c>
      <c r="I6745" s="7" t="n">
        <f aca="false">YEAR(B6745)</f>
        <v>2015</v>
      </c>
      <c r="J6745" s="0" t="str">
        <f aca="false">I6745&amp;"-Q"&amp;ROUNDUP(MONTH(B6745)/3,0)</f>
        <v>2015-Q1</v>
      </c>
    </row>
    <row r="6746" customFormat="false" ht="15" hidden="false" customHeight="false" outlineLevel="0" collapsed="false">
      <c r="A6746" s="0" t="s">
        <v>3433</v>
      </c>
      <c r="B6746" s="6" t="n">
        <v>42902</v>
      </c>
      <c r="C6746" s="7" t="s">
        <v>55</v>
      </c>
      <c r="D6746" s="7" t="s">
        <v>116</v>
      </c>
      <c r="E6746" s="7" t="s">
        <v>39</v>
      </c>
      <c r="F6746" s="0" t="n">
        <v>479.952</v>
      </c>
      <c r="G6746" s="0" t="n">
        <v>107.9892</v>
      </c>
      <c r="H6746" s="0" t="n">
        <v>0.2</v>
      </c>
      <c r="I6746" s="7" t="n">
        <f aca="false">YEAR(B6746)</f>
        <v>2017</v>
      </c>
      <c r="J6746" s="0" t="str">
        <f aca="false">I6746&amp;"-Q"&amp;ROUNDUP(MONTH(B6746)/3,0)</f>
        <v>2017-Q2</v>
      </c>
    </row>
    <row r="6747" customFormat="false" ht="15" hidden="false" customHeight="false" outlineLevel="0" collapsed="false">
      <c r="A6747" s="0" t="s">
        <v>3433</v>
      </c>
      <c r="B6747" s="6" t="n">
        <v>42902</v>
      </c>
      <c r="C6747" s="7" t="s">
        <v>55</v>
      </c>
      <c r="D6747" s="7" t="s">
        <v>116</v>
      </c>
      <c r="E6747" s="7" t="s">
        <v>35</v>
      </c>
      <c r="F6747" s="0" t="n">
        <v>23.92</v>
      </c>
      <c r="G6747" s="0" t="n">
        <v>1.794</v>
      </c>
      <c r="H6747" s="0" t="n">
        <v>0.2</v>
      </c>
      <c r="I6747" s="7" t="n">
        <f aca="false">YEAR(B6747)</f>
        <v>2017</v>
      </c>
      <c r="J6747" s="0" t="str">
        <f aca="false">I6747&amp;"-Q"&amp;ROUNDUP(MONTH(B6747)/3,0)</f>
        <v>2017-Q2</v>
      </c>
    </row>
    <row r="6748" customFormat="false" ht="15" hidden="false" customHeight="false" outlineLevel="0" collapsed="false">
      <c r="A6748" s="0" t="s">
        <v>3434</v>
      </c>
      <c r="B6748" s="6" t="n">
        <v>43052</v>
      </c>
      <c r="C6748" s="7" t="s">
        <v>55</v>
      </c>
      <c r="D6748" s="7" t="s">
        <v>76</v>
      </c>
      <c r="E6748" s="7" t="s">
        <v>39</v>
      </c>
      <c r="F6748" s="0" t="n">
        <v>629.95</v>
      </c>
      <c r="G6748" s="0" t="n">
        <v>163.787</v>
      </c>
      <c r="H6748" s="0" t="n">
        <v>0</v>
      </c>
      <c r="I6748" s="7" t="n">
        <f aca="false">YEAR(B6748)</f>
        <v>2017</v>
      </c>
      <c r="J6748" s="0" t="str">
        <f aca="false">I6748&amp;"-Q"&amp;ROUNDUP(MONTH(B6748)/3,0)</f>
        <v>2017-Q4</v>
      </c>
    </row>
    <row r="6749" customFormat="false" ht="15" hidden="false" customHeight="false" outlineLevel="0" collapsed="false">
      <c r="A6749" s="0" t="s">
        <v>3435</v>
      </c>
      <c r="B6749" s="6" t="n">
        <v>43080</v>
      </c>
      <c r="C6749" s="7" t="s">
        <v>55</v>
      </c>
      <c r="D6749" s="7" t="s">
        <v>76</v>
      </c>
      <c r="E6749" s="7" t="s">
        <v>35</v>
      </c>
      <c r="F6749" s="0" t="n">
        <v>14.952</v>
      </c>
      <c r="G6749" s="0" t="n">
        <v>5.0463</v>
      </c>
      <c r="H6749" s="0" t="n">
        <v>0.2</v>
      </c>
      <c r="I6749" s="7" t="n">
        <f aca="false">YEAR(B6749)</f>
        <v>2017</v>
      </c>
      <c r="J6749" s="0" t="str">
        <f aca="false">I6749&amp;"-Q"&amp;ROUNDUP(MONTH(B6749)/3,0)</f>
        <v>2017-Q4</v>
      </c>
    </row>
    <row r="6750" customFormat="false" ht="15" hidden="false" customHeight="false" outlineLevel="0" collapsed="false">
      <c r="A6750" s="0" t="s">
        <v>3435</v>
      </c>
      <c r="B6750" s="6" t="n">
        <v>43080</v>
      </c>
      <c r="C6750" s="7" t="s">
        <v>55</v>
      </c>
      <c r="D6750" s="7" t="s">
        <v>76</v>
      </c>
      <c r="E6750" s="7" t="s">
        <v>35</v>
      </c>
      <c r="F6750" s="0" t="n">
        <v>17.94</v>
      </c>
      <c r="G6750" s="0" t="n">
        <v>8.073</v>
      </c>
      <c r="H6750" s="0" t="n">
        <v>0</v>
      </c>
      <c r="I6750" s="7" t="n">
        <f aca="false">YEAR(B6750)</f>
        <v>2017</v>
      </c>
      <c r="J6750" s="0" t="str">
        <f aca="false">I6750&amp;"-Q"&amp;ROUNDUP(MONTH(B6750)/3,0)</f>
        <v>2017-Q4</v>
      </c>
    </row>
    <row r="6751" customFormat="false" ht="15" hidden="false" customHeight="false" outlineLevel="0" collapsed="false">
      <c r="A6751" s="0" t="s">
        <v>3435</v>
      </c>
      <c r="B6751" s="6" t="n">
        <v>43080</v>
      </c>
      <c r="C6751" s="7" t="s">
        <v>55</v>
      </c>
      <c r="D6751" s="7" t="s">
        <v>76</v>
      </c>
      <c r="E6751" s="7" t="s">
        <v>39</v>
      </c>
      <c r="F6751" s="0" t="n">
        <v>116.98</v>
      </c>
      <c r="G6751" s="0" t="n">
        <v>29.245</v>
      </c>
      <c r="H6751" s="0" t="n">
        <v>0</v>
      </c>
      <c r="I6751" s="7" t="n">
        <f aca="false">YEAR(B6751)</f>
        <v>2017</v>
      </c>
      <c r="J6751" s="0" t="str">
        <f aca="false">I6751&amp;"-Q"&amp;ROUNDUP(MONTH(B6751)/3,0)</f>
        <v>2017-Q4</v>
      </c>
    </row>
    <row r="6752" customFormat="false" ht="15" hidden="false" customHeight="false" outlineLevel="0" collapsed="false">
      <c r="A6752" s="0" t="s">
        <v>3436</v>
      </c>
      <c r="B6752" s="6" t="n">
        <v>42549</v>
      </c>
      <c r="C6752" s="7" t="s">
        <v>55</v>
      </c>
      <c r="D6752" s="7" t="s">
        <v>161</v>
      </c>
      <c r="E6752" s="7" t="s">
        <v>31</v>
      </c>
      <c r="F6752" s="0" t="n">
        <v>121.96</v>
      </c>
      <c r="G6752" s="0" t="n">
        <v>20.7332</v>
      </c>
      <c r="H6752" s="0" t="n">
        <v>0</v>
      </c>
      <c r="I6752" s="7" t="n">
        <f aca="false">YEAR(B6752)</f>
        <v>2016</v>
      </c>
      <c r="J6752" s="0" t="str">
        <f aca="false">I6752&amp;"-Q"&amp;ROUNDUP(MONTH(B6752)/3,0)</f>
        <v>2016-Q2</v>
      </c>
    </row>
    <row r="6753" customFormat="false" ht="15" hidden="false" customHeight="false" outlineLevel="0" collapsed="false">
      <c r="A6753" s="0" t="s">
        <v>3436</v>
      </c>
      <c r="B6753" s="6" t="n">
        <v>42549</v>
      </c>
      <c r="C6753" s="7" t="s">
        <v>55</v>
      </c>
      <c r="D6753" s="7" t="s">
        <v>161</v>
      </c>
      <c r="E6753" s="7" t="s">
        <v>35</v>
      </c>
      <c r="F6753" s="0" t="n">
        <v>8.74</v>
      </c>
      <c r="G6753" s="0" t="n">
        <v>2.2724</v>
      </c>
      <c r="H6753" s="0" t="n">
        <v>0</v>
      </c>
      <c r="I6753" s="7" t="n">
        <f aca="false">YEAR(B6753)</f>
        <v>2016</v>
      </c>
      <c r="J6753" s="0" t="str">
        <f aca="false">I6753&amp;"-Q"&amp;ROUNDUP(MONTH(B6753)/3,0)</f>
        <v>2016-Q2</v>
      </c>
    </row>
    <row r="6754" customFormat="false" ht="15" hidden="false" customHeight="false" outlineLevel="0" collapsed="false">
      <c r="A6754" s="0" t="s">
        <v>3436</v>
      </c>
      <c r="B6754" s="6" t="n">
        <v>42549</v>
      </c>
      <c r="C6754" s="7" t="s">
        <v>55</v>
      </c>
      <c r="D6754" s="7" t="s">
        <v>161</v>
      </c>
      <c r="E6754" s="7" t="s">
        <v>35</v>
      </c>
      <c r="F6754" s="0" t="n">
        <v>61.96</v>
      </c>
      <c r="G6754" s="0" t="n">
        <v>27.882</v>
      </c>
      <c r="H6754" s="0" t="n">
        <v>0</v>
      </c>
      <c r="I6754" s="7" t="n">
        <f aca="false">YEAR(B6754)</f>
        <v>2016</v>
      </c>
      <c r="J6754" s="0" t="str">
        <f aca="false">I6754&amp;"-Q"&amp;ROUNDUP(MONTH(B6754)/3,0)</f>
        <v>2016-Q2</v>
      </c>
    </row>
    <row r="6755" customFormat="false" ht="15" hidden="false" customHeight="false" outlineLevel="0" collapsed="false">
      <c r="A6755" s="0" t="s">
        <v>3436</v>
      </c>
      <c r="B6755" s="6" t="n">
        <v>42549</v>
      </c>
      <c r="C6755" s="7" t="s">
        <v>55</v>
      </c>
      <c r="D6755" s="7" t="s">
        <v>161</v>
      </c>
      <c r="E6755" s="7" t="s">
        <v>35</v>
      </c>
      <c r="F6755" s="0" t="n">
        <v>7.96</v>
      </c>
      <c r="G6755" s="0" t="n">
        <v>3.7412</v>
      </c>
      <c r="H6755" s="0" t="n">
        <v>0</v>
      </c>
      <c r="I6755" s="7" t="n">
        <f aca="false">YEAR(B6755)</f>
        <v>2016</v>
      </c>
      <c r="J6755" s="0" t="str">
        <f aca="false">I6755&amp;"-Q"&amp;ROUNDUP(MONTH(B6755)/3,0)</f>
        <v>2016-Q2</v>
      </c>
    </row>
    <row r="6756" customFormat="false" ht="15" hidden="false" customHeight="false" outlineLevel="0" collapsed="false">
      <c r="A6756" s="0" t="s">
        <v>3436</v>
      </c>
      <c r="B6756" s="6" t="n">
        <v>42549</v>
      </c>
      <c r="C6756" s="7" t="s">
        <v>55</v>
      </c>
      <c r="D6756" s="7" t="s">
        <v>161</v>
      </c>
      <c r="E6756" s="7" t="s">
        <v>35</v>
      </c>
      <c r="F6756" s="0" t="n">
        <v>275.24</v>
      </c>
      <c r="G6756" s="0" t="n">
        <v>121.1056</v>
      </c>
      <c r="H6756" s="0" t="n">
        <v>0</v>
      </c>
      <c r="I6756" s="7" t="n">
        <f aca="false">YEAR(B6756)</f>
        <v>2016</v>
      </c>
      <c r="J6756" s="0" t="str">
        <f aca="false">I6756&amp;"-Q"&amp;ROUNDUP(MONTH(B6756)/3,0)</f>
        <v>2016-Q2</v>
      </c>
    </row>
    <row r="6757" customFormat="false" ht="15" hidden="false" customHeight="false" outlineLevel="0" collapsed="false">
      <c r="A6757" s="0" t="s">
        <v>3437</v>
      </c>
      <c r="B6757" s="6" t="n">
        <v>42993</v>
      </c>
      <c r="C6757" s="7" t="s">
        <v>55</v>
      </c>
      <c r="D6757" s="7" t="s">
        <v>161</v>
      </c>
      <c r="E6757" s="7" t="s">
        <v>31</v>
      </c>
      <c r="F6757" s="0" t="n">
        <v>47.4</v>
      </c>
      <c r="G6757" s="0" t="n">
        <v>18.96</v>
      </c>
      <c r="H6757" s="0" t="n">
        <v>0</v>
      </c>
      <c r="I6757" s="7" t="n">
        <f aca="false">YEAR(B6757)</f>
        <v>2017</v>
      </c>
      <c r="J6757" s="0" t="str">
        <f aca="false">I6757&amp;"-Q"&amp;ROUNDUP(MONTH(B6757)/3,0)</f>
        <v>2017-Q3</v>
      </c>
    </row>
    <row r="6758" customFormat="false" ht="15" hidden="false" customHeight="false" outlineLevel="0" collapsed="false">
      <c r="A6758" s="0" t="s">
        <v>3437</v>
      </c>
      <c r="B6758" s="6" t="n">
        <v>42993</v>
      </c>
      <c r="C6758" s="7" t="s">
        <v>55</v>
      </c>
      <c r="D6758" s="7" t="s">
        <v>161</v>
      </c>
      <c r="E6758" s="7" t="s">
        <v>31</v>
      </c>
      <c r="F6758" s="0" t="n">
        <v>512.96</v>
      </c>
      <c r="G6758" s="0" t="n">
        <v>143.6288</v>
      </c>
      <c r="H6758" s="0" t="n">
        <v>0</v>
      </c>
      <c r="I6758" s="7" t="n">
        <f aca="false">YEAR(B6758)</f>
        <v>2017</v>
      </c>
      <c r="J6758" s="0" t="str">
        <f aca="false">I6758&amp;"-Q"&amp;ROUNDUP(MONTH(B6758)/3,0)</f>
        <v>2017-Q3</v>
      </c>
    </row>
    <row r="6759" customFormat="false" ht="15" hidden="false" customHeight="false" outlineLevel="0" collapsed="false">
      <c r="A6759" s="0" t="s">
        <v>3437</v>
      </c>
      <c r="B6759" s="6" t="n">
        <v>42993</v>
      </c>
      <c r="C6759" s="7" t="s">
        <v>55</v>
      </c>
      <c r="D6759" s="7" t="s">
        <v>161</v>
      </c>
      <c r="E6759" s="7" t="s">
        <v>39</v>
      </c>
      <c r="F6759" s="0" t="n">
        <v>395.94</v>
      </c>
      <c r="G6759" s="0" t="n">
        <v>102.9444</v>
      </c>
      <c r="H6759" s="0" t="n">
        <v>0</v>
      </c>
      <c r="I6759" s="7" t="n">
        <f aca="false">YEAR(B6759)</f>
        <v>2017</v>
      </c>
      <c r="J6759" s="0" t="str">
        <f aca="false">I6759&amp;"-Q"&amp;ROUNDUP(MONTH(B6759)/3,0)</f>
        <v>2017-Q3</v>
      </c>
    </row>
    <row r="6760" customFormat="false" ht="15" hidden="false" customHeight="false" outlineLevel="0" collapsed="false">
      <c r="A6760" s="0" t="s">
        <v>3437</v>
      </c>
      <c r="B6760" s="6" t="n">
        <v>42993</v>
      </c>
      <c r="C6760" s="7" t="s">
        <v>55</v>
      </c>
      <c r="D6760" s="7" t="s">
        <v>161</v>
      </c>
      <c r="E6760" s="7" t="s">
        <v>35</v>
      </c>
      <c r="F6760" s="0" t="n">
        <v>81.96</v>
      </c>
      <c r="G6760" s="0" t="n">
        <v>0</v>
      </c>
      <c r="H6760" s="0" t="n">
        <v>0</v>
      </c>
      <c r="I6760" s="7" t="n">
        <f aca="false">YEAR(B6760)</f>
        <v>2017</v>
      </c>
      <c r="J6760" s="0" t="str">
        <f aca="false">I6760&amp;"-Q"&amp;ROUNDUP(MONTH(B6760)/3,0)</f>
        <v>2017-Q3</v>
      </c>
    </row>
    <row r="6761" customFormat="false" ht="15" hidden="false" customHeight="false" outlineLevel="0" collapsed="false">
      <c r="A6761" s="0" t="s">
        <v>3438</v>
      </c>
      <c r="B6761" s="6" t="n">
        <v>43071</v>
      </c>
      <c r="C6761" s="7" t="s">
        <v>29</v>
      </c>
      <c r="D6761" s="7" t="s">
        <v>41</v>
      </c>
      <c r="E6761" s="7" t="s">
        <v>35</v>
      </c>
      <c r="F6761" s="0" t="n">
        <v>32.776</v>
      </c>
      <c r="G6761" s="0" t="n">
        <v>2.4582</v>
      </c>
      <c r="H6761" s="0" t="n">
        <v>0.2</v>
      </c>
      <c r="I6761" s="7" t="n">
        <f aca="false">YEAR(B6761)</f>
        <v>2017</v>
      </c>
      <c r="J6761" s="0" t="str">
        <f aca="false">I6761&amp;"-Q"&amp;ROUNDUP(MONTH(B6761)/3,0)</f>
        <v>2017-Q4</v>
      </c>
    </row>
    <row r="6762" customFormat="false" ht="15" hidden="false" customHeight="false" outlineLevel="0" collapsed="false">
      <c r="A6762" s="0" t="s">
        <v>3439</v>
      </c>
      <c r="B6762" s="6" t="n">
        <v>42912</v>
      </c>
      <c r="C6762" s="7" t="s">
        <v>55</v>
      </c>
      <c r="D6762" s="7" t="s">
        <v>76</v>
      </c>
      <c r="E6762" s="7" t="s">
        <v>35</v>
      </c>
      <c r="F6762" s="0" t="n">
        <v>272.94</v>
      </c>
      <c r="G6762" s="0" t="n">
        <v>0</v>
      </c>
      <c r="H6762" s="0" t="n">
        <v>0</v>
      </c>
      <c r="I6762" s="7" t="n">
        <f aca="false">YEAR(B6762)</f>
        <v>2017</v>
      </c>
      <c r="J6762" s="0" t="str">
        <f aca="false">I6762&amp;"-Q"&amp;ROUNDUP(MONTH(B6762)/3,0)</f>
        <v>2017-Q2</v>
      </c>
    </row>
    <row r="6763" customFormat="false" ht="15" hidden="false" customHeight="false" outlineLevel="0" collapsed="false">
      <c r="A6763" s="0" t="s">
        <v>3440</v>
      </c>
      <c r="B6763" s="6" t="n">
        <v>42575</v>
      </c>
      <c r="C6763" s="7" t="s">
        <v>55</v>
      </c>
      <c r="D6763" s="7" t="s">
        <v>76</v>
      </c>
      <c r="E6763" s="7" t="s">
        <v>31</v>
      </c>
      <c r="F6763" s="0" t="n">
        <v>253.764</v>
      </c>
      <c r="G6763" s="0" t="n">
        <v>31.0156</v>
      </c>
      <c r="H6763" s="0" t="n">
        <v>0.1</v>
      </c>
      <c r="I6763" s="7" t="n">
        <f aca="false">YEAR(B6763)</f>
        <v>2016</v>
      </c>
      <c r="J6763" s="0" t="str">
        <f aca="false">I6763&amp;"-Q"&amp;ROUNDUP(MONTH(B6763)/3,0)</f>
        <v>2016-Q3</v>
      </c>
    </row>
    <row r="6764" customFormat="false" ht="15" hidden="false" customHeight="false" outlineLevel="0" collapsed="false">
      <c r="A6764" s="0" t="s">
        <v>3441</v>
      </c>
      <c r="B6764" s="6" t="n">
        <v>42615</v>
      </c>
      <c r="C6764" s="7" t="s">
        <v>45</v>
      </c>
      <c r="D6764" s="7" t="s">
        <v>64</v>
      </c>
      <c r="E6764" s="7" t="s">
        <v>35</v>
      </c>
      <c r="F6764" s="0" t="n">
        <v>29.24</v>
      </c>
      <c r="G6764" s="0" t="n">
        <v>9.8685</v>
      </c>
      <c r="H6764" s="0" t="n">
        <v>0.2</v>
      </c>
      <c r="I6764" s="7" t="n">
        <f aca="false">YEAR(B6764)</f>
        <v>2016</v>
      </c>
      <c r="J6764" s="0" t="str">
        <f aca="false">I6764&amp;"-Q"&amp;ROUNDUP(MONTH(B6764)/3,0)</f>
        <v>2016-Q3</v>
      </c>
    </row>
    <row r="6765" customFormat="false" ht="15" hidden="false" customHeight="false" outlineLevel="0" collapsed="false">
      <c r="A6765" s="0" t="s">
        <v>3441</v>
      </c>
      <c r="B6765" s="6" t="n">
        <v>42615</v>
      </c>
      <c r="C6765" s="7" t="s">
        <v>45</v>
      </c>
      <c r="D6765" s="7" t="s">
        <v>64</v>
      </c>
      <c r="E6765" s="7" t="s">
        <v>35</v>
      </c>
      <c r="F6765" s="0" t="n">
        <v>35.168</v>
      </c>
      <c r="G6765" s="0" t="n">
        <v>-8.3524</v>
      </c>
      <c r="H6765" s="0" t="n">
        <v>0.2</v>
      </c>
      <c r="I6765" s="7" t="n">
        <f aca="false">YEAR(B6765)</f>
        <v>2016</v>
      </c>
      <c r="J6765" s="0" t="str">
        <f aca="false">I6765&amp;"-Q"&amp;ROUNDUP(MONTH(B6765)/3,0)</f>
        <v>2016-Q3</v>
      </c>
    </row>
    <row r="6766" customFormat="false" ht="15" hidden="false" customHeight="false" outlineLevel="0" collapsed="false">
      <c r="A6766" s="0" t="s">
        <v>3441</v>
      </c>
      <c r="B6766" s="6" t="n">
        <v>42615</v>
      </c>
      <c r="C6766" s="7" t="s">
        <v>45</v>
      </c>
      <c r="D6766" s="7" t="s">
        <v>64</v>
      </c>
      <c r="E6766" s="7" t="s">
        <v>39</v>
      </c>
      <c r="F6766" s="0" t="n">
        <v>1362.9</v>
      </c>
      <c r="G6766" s="0" t="n">
        <v>-19.47</v>
      </c>
      <c r="H6766" s="0" t="n">
        <v>0.3</v>
      </c>
      <c r="I6766" s="7" t="n">
        <f aca="false">YEAR(B6766)</f>
        <v>2016</v>
      </c>
      <c r="J6766" s="0" t="str">
        <f aca="false">I6766&amp;"-Q"&amp;ROUNDUP(MONTH(B6766)/3,0)</f>
        <v>2016-Q3</v>
      </c>
    </row>
    <row r="6767" customFormat="false" ht="15" hidden="false" customHeight="false" outlineLevel="0" collapsed="false">
      <c r="A6767" s="0" t="s">
        <v>3442</v>
      </c>
      <c r="B6767" s="6" t="n">
        <v>42845</v>
      </c>
      <c r="C6767" s="7" t="s">
        <v>45</v>
      </c>
      <c r="D6767" s="7" t="s">
        <v>64</v>
      </c>
      <c r="E6767" s="7" t="s">
        <v>31</v>
      </c>
      <c r="F6767" s="0" t="n">
        <v>317.058</v>
      </c>
      <c r="G6767" s="0" t="n">
        <v>-18.1176</v>
      </c>
      <c r="H6767" s="0" t="n">
        <v>0.3</v>
      </c>
      <c r="I6767" s="7" t="n">
        <f aca="false">YEAR(B6767)</f>
        <v>2017</v>
      </c>
      <c r="J6767" s="0" t="str">
        <f aca="false">I6767&amp;"-Q"&amp;ROUNDUP(MONTH(B6767)/3,0)</f>
        <v>2017-Q2</v>
      </c>
    </row>
    <row r="6768" customFormat="false" ht="15" hidden="false" customHeight="false" outlineLevel="0" collapsed="false">
      <c r="A6768" s="0" t="s">
        <v>3442</v>
      </c>
      <c r="B6768" s="6" t="n">
        <v>42845</v>
      </c>
      <c r="C6768" s="7" t="s">
        <v>45</v>
      </c>
      <c r="D6768" s="7" t="s">
        <v>64</v>
      </c>
      <c r="E6768" s="7" t="s">
        <v>35</v>
      </c>
      <c r="F6768" s="0" t="n">
        <v>15.76</v>
      </c>
      <c r="G6768" s="0" t="n">
        <v>3.546</v>
      </c>
      <c r="H6768" s="0" t="n">
        <v>0.2</v>
      </c>
      <c r="I6768" s="7" t="n">
        <f aca="false">YEAR(B6768)</f>
        <v>2017</v>
      </c>
      <c r="J6768" s="0" t="str">
        <f aca="false">I6768&amp;"-Q"&amp;ROUNDUP(MONTH(B6768)/3,0)</f>
        <v>2017-Q2</v>
      </c>
    </row>
    <row r="6769" customFormat="false" ht="15" hidden="false" customHeight="false" outlineLevel="0" collapsed="false">
      <c r="A6769" s="0" t="s">
        <v>3442</v>
      </c>
      <c r="B6769" s="6" t="n">
        <v>42845</v>
      </c>
      <c r="C6769" s="7" t="s">
        <v>45</v>
      </c>
      <c r="D6769" s="7" t="s">
        <v>64</v>
      </c>
      <c r="E6769" s="7" t="s">
        <v>31</v>
      </c>
      <c r="F6769" s="0" t="n">
        <v>14.56</v>
      </c>
      <c r="G6769" s="0" t="n">
        <v>-6.188</v>
      </c>
      <c r="H6769" s="0" t="n">
        <v>0.6</v>
      </c>
      <c r="I6769" s="7" t="n">
        <f aca="false">YEAR(B6769)</f>
        <v>2017</v>
      </c>
      <c r="J6769" s="0" t="str">
        <f aca="false">I6769&amp;"-Q"&amp;ROUNDUP(MONTH(B6769)/3,0)</f>
        <v>2017-Q2</v>
      </c>
    </row>
    <row r="6770" customFormat="false" ht="15" hidden="false" customHeight="false" outlineLevel="0" collapsed="false">
      <c r="A6770" s="0" t="s">
        <v>3443</v>
      </c>
      <c r="B6770" s="6" t="n">
        <v>41863</v>
      </c>
      <c r="C6770" s="7" t="s">
        <v>55</v>
      </c>
      <c r="D6770" s="7" t="s">
        <v>161</v>
      </c>
      <c r="E6770" s="7" t="s">
        <v>35</v>
      </c>
      <c r="F6770" s="0" t="n">
        <v>196.21</v>
      </c>
      <c r="G6770" s="0" t="n">
        <v>98.105</v>
      </c>
      <c r="H6770" s="0" t="n">
        <v>0</v>
      </c>
      <c r="I6770" s="7" t="n">
        <f aca="false">YEAR(B6770)</f>
        <v>2014</v>
      </c>
      <c r="J6770" s="0" t="str">
        <f aca="false">I6770&amp;"-Q"&amp;ROUNDUP(MONTH(B6770)/3,0)</f>
        <v>2014-Q3</v>
      </c>
    </row>
    <row r="6771" customFormat="false" ht="15" hidden="false" customHeight="false" outlineLevel="0" collapsed="false">
      <c r="A6771" s="0" t="s">
        <v>3444</v>
      </c>
      <c r="B6771" s="6" t="n">
        <v>42997</v>
      </c>
      <c r="C6771" s="7" t="s">
        <v>29</v>
      </c>
      <c r="D6771" s="7" t="s">
        <v>230</v>
      </c>
      <c r="E6771" s="7" t="s">
        <v>35</v>
      </c>
      <c r="F6771" s="0" t="n">
        <v>35.4</v>
      </c>
      <c r="G6771" s="0" t="n">
        <v>13.452</v>
      </c>
      <c r="H6771" s="0" t="n">
        <v>0</v>
      </c>
      <c r="I6771" s="7" t="n">
        <f aca="false">YEAR(B6771)</f>
        <v>2017</v>
      </c>
      <c r="J6771" s="0" t="str">
        <f aca="false">I6771&amp;"-Q"&amp;ROUNDUP(MONTH(B6771)/3,0)</f>
        <v>2017-Q3</v>
      </c>
    </row>
    <row r="6772" customFormat="false" ht="15" hidden="false" customHeight="false" outlineLevel="0" collapsed="false">
      <c r="A6772" s="0" t="s">
        <v>3445</v>
      </c>
      <c r="B6772" s="6" t="n">
        <v>43078</v>
      </c>
      <c r="C6772" s="7" t="s">
        <v>33</v>
      </c>
      <c r="D6772" s="7" t="s">
        <v>81</v>
      </c>
      <c r="E6772" s="7" t="s">
        <v>35</v>
      </c>
      <c r="F6772" s="0" t="n">
        <v>419.4</v>
      </c>
      <c r="G6772" s="0" t="n">
        <v>146.79</v>
      </c>
      <c r="H6772" s="0" t="n">
        <v>0.2</v>
      </c>
      <c r="I6772" s="7" t="n">
        <f aca="false">YEAR(B6772)</f>
        <v>2017</v>
      </c>
      <c r="J6772" s="0" t="str">
        <f aca="false">I6772&amp;"-Q"&amp;ROUNDUP(MONTH(B6772)/3,0)</f>
        <v>2017-Q4</v>
      </c>
    </row>
    <row r="6773" customFormat="false" ht="15" hidden="false" customHeight="false" outlineLevel="0" collapsed="false">
      <c r="A6773" s="0" t="s">
        <v>3445</v>
      </c>
      <c r="B6773" s="6" t="n">
        <v>43078</v>
      </c>
      <c r="C6773" s="7" t="s">
        <v>33</v>
      </c>
      <c r="D6773" s="7" t="s">
        <v>81</v>
      </c>
      <c r="E6773" s="7" t="s">
        <v>35</v>
      </c>
      <c r="F6773" s="0" t="n">
        <v>13.005</v>
      </c>
      <c r="G6773" s="0" t="n">
        <v>-9.9705</v>
      </c>
      <c r="H6773" s="0" t="n">
        <v>0.7</v>
      </c>
      <c r="I6773" s="7" t="n">
        <f aca="false">YEAR(B6773)</f>
        <v>2017</v>
      </c>
      <c r="J6773" s="0" t="str">
        <f aca="false">I6773&amp;"-Q"&amp;ROUNDUP(MONTH(B6773)/3,0)</f>
        <v>2017-Q4</v>
      </c>
    </row>
    <row r="6774" customFormat="false" ht="15" hidden="false" customHeight="false" outlineLevel="0" collapsed="false">
      <c r="A6774" s="0" t="s">
        <v>3446</v>
      </c>
      <c r="B6774" s="6" t="n">
        <v>42678</v>
      </c>
      <c r="C6774" s="7" t="s">
        <v>33</v>
      </c>
      <c r="D6774" s="7" t="s">
        <v>34</v>
      </c>
      <c r="E6774" s="7" t="s">
        <v>35</v>
      </c>
      <c r="F6774" s="0" t="n">
        <v>7.712</v>
      </c>
      <c r="G6774" s="0" t="n">
        <v>2.7956</v>
      </c>
      <c r="H6774" s="0" t="n">
        <v>0.2</v>
      </c>
      <c r="I6774" s="7" t="n">
        <f aca="false">YEAR(B6774)</f>
        <v>2016</v>
      </c>
      <c r="J6774" s="0" t="str">
        <f aca="false">I6774&amp;"-Q"&amp;ROUNDUP(MONTH(B6774)/3,0)</f>
        <v>2016-Q4</v>
      </c>
    </row>
    <row r="6775" customFormat="false" ht="15" hidden="false" customHeight="false" outlineLevel="0" collapsed="false">
      <c r="A6775" s="0" t="s">
        <v>3446</v>
      </c>
      <c r="B6775" s="6" t="n">
        <v>42678</v>
      </c>
      <c r="C6775" s="7" t="s">
        <v>33</v>
      </c>
      <c r="D6775" s="7" t="s">
        <v>34</v>
      </c>
      <c r="E6775" s="7" t="s">
        <v>35</v>
      </c>
      <c r="F6775" s="0" t="n">
        <v>4.176</v>
      </c>
      <c r="G6775" s="0" t="n">
        <v>1.305</v>
      </c>
      <c r="H6775" s="0" t="n">
        <v>0.2</v>
      </c>
      <c r="I6775" s="7" t="n">
        <f aca="false">YEAR(B6775)</f>
        <v>2016</v>
      </c>
      <c r="J6775" s="0" t="str">
        <f aca="false">I6775&amp;"-Q"&amp;ROUNDUP(MONTH(B6775)/3,0)</f>
        <v>2016-Q4</v>
      </c>
    </row>
    <row r="6776" customFormat="false" ht="15" hidden="false" customHeight="false" outlineLevel="0" collapsed="false">
      <c r="A6776" s="0" t="s">
        <v>3446</v>
      </c>
      <c r="B6776" s="6" t="n">
        <v>42678</v>
      </c>
      <c r="C6776" s="7" t="s">
        <v>33</v>
      </c>
      <c r="D6776" s="7" t="s">
        <v>34</v>
      </c>
      <c r="E6776" s="7" t="s">
        <v>35</v>
      </c>
      <c r="F6776" s="0" t="n">
        <v>38.88</v>
      </c>
      <c r="G6776" s="0" t="n">
        <v>18.6624</v>
      </c>
      <c r="H6776" s="0" t="n">
        <v>0</v>
      </c>
      <c r="I6776" s="7" t="n">
        <f aca="false">YEAR(B6776)</f>
        <v>2016</v>
      </c>
      <c r="J6776" s="0" t="str">
        <f aca="false">I6776&amp;"-Q"&amp;ROUNDUP(MONTH(B6776)/3,0)</f>
        <v>2016-Q4</v>
      </c>
    </row>
    <row r="6777" customFormat="false" ht="15" hidden="false" customHeight="false" outlineLevel="0" collapsed="false">
      <c r="A6777" s="0" t="s">
        <v>3447</v>
      </c>
      <c r="B6777" s="6" t="n">
        <v>42092</v>
      </c>
      <c r="C6777" s="7" t="s">
        <v>55</v>
      </c>
      <c r="D6777" s="7" t="s">
        <v>76</v>
      </c>
      <c r="E6777" s="7" t="s">
        <v>35</v>
      </c>
      <c r="F6777" s="0" t="n">
        <v>17.64</v>
      </c>
      <c r="G6777" s="0" t="n">
        <v>8.1144</v>
      </c>
      <c r="H6777" s="0" t="n">
        <v>0</v>
      </c>
      <c r="I6777" s="7" t="n">
        <f aca="false">YEAR(B6777)</f>
        <v>2015</v>
      </c>
      <c r="J6777" s="0" t="str">
        <f aca="false">I6777&amp;"-Q"&amp;ROUNDUP(MONTH(B6777)/3,0)</f>
        <v>2015-Q1</v>
      </c>
    </row>
    <row r="6778" customFormat="false" ht="15" hidden="false" customHeight="false" outlineLevel="0" collapsed="false">
      <c r="A6778" s="0" t="s">
        <v>3448</v>
      </c>
      <c r="B6778" s="6" t="n">
        <v>42618</v>
      </c>
      <c r="C6778" s="7" t="s">
        <v>45</v>
      </c>
      <c r="D6778" s="7" t="s">
        <v>46</v>
      </c>
      <c r="E6778" s="7" t="s">
        <v>35</v>
      </c>
      <c r="F6778" s="0" t="n">
        <v>93.456</v>
      </c>
      <c r="G6778" s="0" t="n">
        <v>-17.523</v>
      </c>
      <c r="H6778" s="0" t="n">
        <v>0.2</v>
      </c>
      <c r="I6778" s="7" t="n">
        <f aca="false">YEAR(B6778)</f>
        <v>2016</v>
      </c>
      <c r="J6778" s="0" t="str">
        <f aca="false">I6778&amp;"-Q"&amp;ROUNDUP(MONTH(B6778)/3,0)</f>
        <v>2016-Q3</v>
      </c>
    </row>
    <row r="6779" customFormat="false" ht="15" hidden="false" customHeight="false" outlineLevel="0" collapsed="false">
      <c r="A6779" s="0" t="s">
        <v>3449</v>
      </c>
      <c r="B6779" s="6" t="n">
        <v>42763</v>
      </c>
      <c r="C6779" s="7" t="s">
        <v>55</v>
      </c>
      <c r="D6779" s="7" t="s">
        <v>76</v>
      </c>
      <c r="E6779" s="7" t="s">
        <v>39</v>
      </c>
      <c r="F6779" s="0" t="n">
        <v>449.91</v>
      </c>
      <c r="G6779" s="0" t="n">
        <v>157.4685</v>
      </c>
      <c r="H6779" s="0" t="n">
        <v>0</v>
      </c>
      <c r="I6779" s="7" t="n">
        <f aca="false">YEAR(B6779)</f>
        <v>2017</v>
      </c>
      <c r="J6779" s="0" t="str">
        <f aca="false">I6779&amp;"-Q"&amp;ROUNDUP(MONTH(B6779)/3,0)</f>
        <v>2017-Q1</v>
      </c>
    </row>
    <row r="6780" customFormat="false" ht="15" hidden="false" customHeight="false" outlineLevel="0" collapsed="false">
      <c r="A6780" s="0" t="s">
        <v>3450</v>
      </c>
      <c r="B6780" s="6" t="n">
        <v>42616</v>
      </c>
      <c r="C6780" s="7" t="s">
        <v>55</v>
      </c>
      <c r="D6780" s="7" t="s">
        <v>495</v>
      </c>
      <c r="E6780" s="7" t="s">
        <v>31</v>
      </c>
      <c r="F6780" s="0" t="n">
        <v>344.94</v>
      </c>
      <c r="G6780" s="0" t="n">
        <v>31.0446</v>
      </c>
      <c r="H6780" s="0" t="n">
        <v>0</v>
      </c>
      <c r="I6780" s="7" t="n">
        <f aca="false">YEAR(B6780)</f>
        <v>2016</v>
      </c>
      <c r="J6780" s="0" t="str">
        <f aca="false">I6780&amp;"-Q"&amp;ROUNDUP(MONTH(B6780)/3,0)</f>
        <v>2016-Q3</v>
      </c>
    </row>
    <row r="6781" customFormat="false" ht="15" hidden="false" customHeight="false" outlineLevel="0" collapsed="false">
      <c r="A6781" s="0" t="s">
        <v>3450</v>
      </c>
      <c r="B6781" s="6" t="n">
        <v>42616</v>
      </c>
      <c r="C6781" s="7" t="s">
        <v>55</v>
      </c>
      <c r="D6781" s="7" t="s">
        <v>495</v>
      </c>
      <c r="E6781" s="7" t="s">
        <v>31</v>
      </c>
      <c r="F6781" s="0" t="n">
        <v>14.76</v>
      </c>
      <c r="G6781" s="0" t="n">
        <v>4.2804</v>
      </c>
      <c r="H6781" s="0" t="n">
        <v>0</v>
      </c>
      <c r="I6781" s="7" t="n">
        <f aca="false">YEAR(B6781)</f>
        <v>2016</v>
      </c>
      <c r="J6781" s="0" t="str">
        <f aca="false">I6781&amp;"-Q"&amp;ROUNDUP(MONTH(B6781)/3,0)</f>
        <v>2016-Q3</v>
      </c>
    </row>
    <row r="6782" customFormat="false" ht="15" hidden="false" customHeight="false" outlineLevel="0" collapsed="false">
      <c r="A6782" s="0" t="s">
        <v>3450</v>
      </c>
      <c r="B6782" s="6" t="n">
        <v>42616</v>
      </c>
      <c r="C6782" s="7" t="s">
        <v>55</v>
      </c>
      <c r="D6782" s="7" t="s">
        <v>495</v>
      </c>
      <c r="E6782" s="7" t="s">
        <v>35</v>
      </c>
      <c r="F6782" s="0" t="n">
        <v>12.76</v>
      </c>
      <c r="G6782" s="0" t="n">
        <v>5.8696</v>
      </c>
      <c r="H6782" s="0" t="n">
        <v>0</v>
      </c>
      <c r="I6782" s="7" t="n">
        <f aca="false">YEAR(B6782)</f>
        <v>2016</v>
      </c>
      <c r="J6782" s="0" t="str">
        <f aca="false">I6782&amp;"-Q"&amp;ROUNDUP(MONTH(B6782)/3,0)</f>
        <v>2016-Q3</v>
      </c>
    </row>
    <row r="6783" customFormat="false" ht="15" hidden="false" customHeight="false" outlineLevel="0" collapsed="false">
      <c r="A6783" s="0" t="s">
        <v>3450</v>
      </c>
      <c r="B6783" s="6" t="n">
        <v>42616</v>
      </c>
      <c r="C6783" s="7" t="s">
        <v>55</v>
      </c>
      <c r="D6783" s="7" t="s">
        <v>495</v>
      </c>
      <c r="E6783" s="7" t="s">
        <v>35</v>
      </c>
      <c r="F6783" s="0" t="n">
        <v>58.48</v>
      </c>
      <c r="G6783" s="0" t="n">
        <v>27.4856</v>
      </c>
      <c r="H6783" s="0" t="n">
        <v>0</v>
      </c>
      <c r="I6783" s="7" t="n">
        <f aca="false">YEAR(B6783)</f>
        <v>2016</v>
      </c>
      <c r="J6783" s="0" t="str">
        <f aca="false">I6783&amp;"-Q"&amp;ROUNDUP(MONTH(B6783)/3,0)</f>
        <v>2016-Q3</v>
      </c>
    </row>
    <row r="6784" customFormat="false" ht="15" hidden="false" customHeight="false" outlineLevel="0" collapsed="false">
      <c r="A6784" s="0" t="s">
        <v>3451</v>
      </c>
      <c r="B6784" s="6" t="n">
        <v>42941</v>
      </c>
      <c r="C6784" s="7" t="s">
        <v>55</v>
      </c>
      <c r="D6784" s="7" t="s">
        <v>56</v>
      </c>
      <c r="E6784" s="7" t="s">
        <v>31</v>
      </c>
      <c r="F6784" s="0" t="n">
        <v>20.096</v>
      </c>
      <c r="G6784" s="0" t="n">
        <v>3.0144</v>
      </c>
      <c r="H6784" s="0" t="n">
        <v>0.2</v>
      </c>
      <c r="I6784" s="7" t="n">
        <f aca="false">YEAR(B6784)</f>
        <v>2017</v>
      </c>
      <c r="J6784" s="0" t="str">
        <f aca="false">I6784&amp;"-Q"&amp;ROUNDUP(MONTH(B6784)/3,0)</f>
        <v>2017-Q3</v>
      </c>
    </row>
    <row r="6785" customFormat="false" ht="15" hidden="false" customHeight="false" outlineLevel="0" collapsed="false">
      <c r="A6785" s="0" t="s">
        <v>3451</v>
      </c>
      <c r="B6785" s="6" t="n">
        <v>42941</v>
      </c>
      <c r="C6785" s="7" t="s">
        <v>55</v>
      </c>
      <c r="D6785" s="7" t="s">
        <v>56</v>
      </c>
      <c r="E6785" s="7" t="s">
        <v>35</v>
      </c>
      <c r="F6785" s="0" t="n">
        <v>37.752</v>
      </c>
      <c r="G6785" s="0" t="n">
        <v>4.2471</v>
      </c>
      <c r="H6785" s="0" t="n">
        <v>0.2</v>
      </c>
      <c r="I6785" s="7" t="n">
        <f aca="false">YEAR(B6785)</f>
        <v>2017</v>
      </c>
      <c r="J6785" s="0" t="str">
        <f aca="false">I6785&amp;"-Q"&amp;ROUNDUP(MONTH(B6785)/3,0)</f>
        <v>2017-Q3</v>
      </c>
    </row>
    <row r="6786" customFormat="false" ht="15" hidden="false" customHeight="false" outlineLevel="0" collapsed="false">
      <c r="A6786" s="0" t="s">
        <v>3451</v>
      </c>
      <c r="B6786" s="6" t="n">
        <v>42941</v>
      </c>
      <c r="C6786" s="7" t="s">
        <v>55</v>
      </c>
      <c r="D6786" s="7" t="s">
        <v>56</v>
      </c>
      <c r="E6786" s="7" t="s">
        <v>31</v>
      </c>
      <c r="F6786" s="0" t="n">
        <v>138.588</v>
      </c>
      <c r="G6786" s="0" t="n">
        <v>-34.647</v>
      </c>
      <c r="H6786" s="0" t="n">
        <v>0.4</v>
      </c>
      <c r="I6786" s="7" t="n">
        <f aca="false">YEAR(B6786)</f>
        <v>2017</v>
      </c>
      <c r="J6786" s="0" t="str">
        <f aca="false">I6786&amp;"-Q"&amp;ROUNDUP(MONTH(B6786)/3,0)</f>
        <v>2017-Q3</v>
      </c>
    </row>
    <row r="6787" customFormat="false" ht="15" hidden="false" customHeight="false" outlineLevel="0" collapsed="false">
      <c r="A6787" s="0" t="s">
        <v>3451</v>
      </c>
      <c r="B6787" s="6" t="n">
        <v>42941</v>
      </c>
      <c r="C6787" s="7" t="s">
        <v>55</v>
      </c>
      <c r="D6787" s="7" t="s">
        <v>56</v>
      </c>
      <c r="E6787" s="7" t="s">
        <v>35</v>
      </c>
      <c r="F6787" s="0" t="n">
        <v>259.92</v>
      </c>
      <c r="G6787" s="0" t="n">
        <v>-25.992</v>
      </c>
      <c r="H6787" s="0" t="n">
        <v>0.2</v>
      </c>
      <c r="I6787" s="7" t="n">
        <f aca="false">YEAR(B6787)</f>
        <v>2017</v>
      </c>
      <c r="J6787" s="0" t="str">
        <f aca="false">I6787&amp;"-Q"&amp;ROUNDUP(MONTH(B6787)/3,0)</f>
        <v>2017-Q3</v>
      </c>
    </row>
    <row r="6788" customFormat="false" ht="15" hidden="false" customHeight="false" outlineLevel="0" collapsed="false">
      <c r="A6788" s="0" t="s">
        <v>3451</v>
      </c>
      <c r="B6788" s="6" t="n">
        <v>42941</v>
      </c>
      <c r="C6788" s="7" t="s">
        <v>55</v>
      </c>
      <c r="D6788" s="7" t="s">
        <v>56</v>
      </c>
      <c r="E6788" s="7" t="s">
        <v>35</v>
      </c>
      <c r="F6788" s="0" t="n">
        <v>20.736</v>
      </c>
      <c r="G6788" s="0" t="n">
        <v>7.2576</v>
      </c>
      <c r="H6788" s="0" t="n">
        <v>0.2</v>
      </c>
      <c r="I6788" s="7" t="n">
        <f aca="false">YEAR(B6788)</f>
        <v>2017</v>
      </c>
      <c r="J6788" s="0" t="str">
        <f aca="false">I6788&amp;"-Q"&amp;ROUNDUP(MONTH(B6788)/3,0)</f>
        <v>2017-Q3</v>
      </c>
    </row>
    <row r="6789" customFormat="false" ht="15" hidden="false" customHeight="false" outlineLevel="0" collapsed="false">
      <c r="A6789" s="0" t="s">
        <v>3452</v>
      </c>
      <c r="B6789" s="6" t="n">
        <v>42260</v>
      </c>
      <c r="C6789" s="7" t="s">
        <v>29</v>
      </c>
      <c r="D6789" s="7" t="s">
        <v>230</v>
      </c>
      <c r="E6789" s="7" t="s">
        <v>31</v>
      </c>
      <c r="F6789" s="0" t="n">
        <v>129.93</v>
      </c>
      <c r="G6789" s="0" t="n">
        <v>12.993</v>
      </c>
      <c r="H6789" s="0" t="n">
        <v>0</v>
      </c>
      <c r="I6789" s="7" t="n">
        <f aca="false">YEAR(B6789)</f>
        <v>2015</v>
      </c>
      <c r="J6789" s="0" t="str">
        <f aca="false">I6789&amp;"-Q"&amp;ROUNDUP(MONTH(B6789)/3,0)</f>
        <v>2015-Q3</v>
      </c>
    </row>
    <row r="6790" customFormat="false" ht="15" hidden="false" customHeight="false" outlineLevel="0" collapsed="false">
      <c r="A6790" s="0" t="s">
        <v>3452</v>
      </c>
      <c r="B6790" s="6" t="n">
        <v>42260</v>
      </c>
      <c r="C6790" s="7" t="s">
        <v>29</v>
      </c>
      <c r="D6790" s="7" t="s">
        <v>230</v>
      </c>
      <c r="E6790" s="7" t="s">
        <v>35</v>
      </c>
      <c r="F6790" s="0" t="n">
        <v>69.93</v>
      </c>
      <c r="G6790" s="0" t="n">
        <v>31.4685</v>
      </c>
      <c r="H6790" s="0" t="n">
        <v>0</v>
      </c>
      <c r="I6790" s="7" t="n">
        <f aca="false">YEAR(B6790)</f>
        <v>2015</v>
      </c>
      <c r="J6790" s="0" t="str">
        <f aca="false">I6790&amp;"-Q"&amp;ROUNDUP(MONTH(B6790)/3,0)</f>
        <v>2015-Q3</v>
      </c>
    </row>
    <row r="6791" customFormat="false" ht="15" hidden="false" customHeight="false" outlineLevel="0" collapsed="false">
      <c r="A6791" s="0" t="s">
        <v>3453</v>
      </c>
      <c r="B6791" s="6" t="n">
        <v>42254</v>
      </c>
      <c r="C6791" s="7" t="s">
        <v>29</v>
      </c>
      <c r="D6791" s="7" t="s">
        <v>41</v>
      </c>
      <c r="E6791" s="7" t="s">
        <v>35</v>
      </c>
      <c r="F6791" s="0" t="n">
        <v>140.736</v>
      </c>
      <c r="G6791" s="0" t="n">
        <v>12.3144</v>
      </c>
      <c r="H6791" s="0" t="n">
        <v>0.2</v>
      </c>
      <c r="I6791" s="7" t="n">
        <f aca="false">YEAR(B6791)</f>
        <v>2015</v>
      </c>
      <c r="J6791" s="0" t="str">
        <f aca="false">I6791&amp;"-Q"&amp;ROUNDUP(MONTH(B6791)/3,0)</f>
        <v>2015-Q3</v>
      </c>
    </row>
    <row r="6792" customFormat="false" ht="15" hidden="false" customHeight="false" outlineLevel="0" collapsed="false">
      <c r="A6792" s="0" t="s">
        <v>3454</v>
      </c>
      <c r="B6792" s="6" t="n">
        <v>42690</v>
      </c>
      <c r="C6792" s="7" t="s">
        <v>33</v>
      </c>
      <c r="D6792" s="7" t="s">
        <v>34</v>
      </c>
      <c r="E6792" s="7" t="s">
        <v>35</v>
      </c>
      <c r="F6792" s="0" t="n">
        <v>8.32</v>
      </c>
      <c r="G6792" s="0" t="n">
        <v>2.808</v>
      </c>
      <c r="H6792" s="0" t="n">
        <v>0.2</v>
      </c>
      <c r="I6792" s="7" t="n">
        <f aca="false">YEAR(B6792)</f>
        <v>2016</v>
      </c>
      <c r="J6792" s="0" t="str">
        <f aca="false">I6792&amp;"-Q"&amp;ROUNDUP(MONTH(B6792)/3,0)</f>
        <v>2016-Q4</v>
      </c>
    </row>
    <row r="6793" customFormat="false" ht="15" hidden="false" customHeight="false" outlineLevel="0" collapsed="false">
      <c r="A6793" s="0" t="s">
        <v>3455</v>
      </c>
      <c r="B6793" s="6" t="n">
        <v>42684</v>
      </c>
      <c r="C6793" s="7" t="s">
        <v>33</v>
      </c>
      <c r="D6793" s="7" t="s">
        <v>34</v>
      </c>
      <c r="E6793" s="7" t="s">
        <v>31</v>
      </c>
      <c r="F6793" s="0" t="n">
        <v>9.98</v>
      </c>
      <c r="G6793" s="0" t="n">
        <v>2.7944</v>
      </c>
      <c r="H6793" s="0" t="n">
        <v>0</v>
      </c>
      <c r="I6793" s="7" t="n">
        <f aca="false">YEAR(B6793)</f>
        <v>2016</v>
      </c>
      <c r="J6793" s="0" t="str">
        <f aca="false">I6793&amp;"-Q"&amp;ROUNDUP(MONTH(B6793)/3,0)</f>
        <v>2016-Q4</v>
      </c>
    </row>
    <row r="6794" customFormat="false" ht="15" hidden="false" customHeight="false" outlineLevel="0" collapsed="false">
      <c r="A6794" s="0" t="s">
        <v>3456</v>
      </c>
      <c r="B6794" s="6" t="n">
        <v>41866</v>
      </c>
      <c r="C6794" s="7" t="s">
        <v>55</v>
      </c>
      <c r="D6794" s="7" t="s">
        <v>154</v>
      </c>
      <c r="E6794" s="7" t="s">
        <v>35</v>
      </c>
      <c r="F6794" s="0" t="n">
        <v>62.94</v>
      </c>
      <c r="G6794" s="0" t="n">
        <v>30.2112</v>
      </c>
      <c r="H6794" s="0" t="n">
        <v>0</v>
      </c>
      <c r="I6794" s="7" t="n">
        <f aca="false">YEAR(B6794)</f>
        <v>2014</v>
      </c>
      <c r="J6794" s="0" t="str">
        <f aca="false">I6794&amp;"-Q"&amp;ROUNDUP(MONTH(B6794)/3,0)</f>
        <v>2014-Q3</v>
      </c>
    </row>
    <row r="6795" customFormat="false" ht="15" hidden="false" customHeight="false" outlineLevel="0" collapsed="false">
      <c r="A6795" s="0" t="s">
        <v>3457</v>
      </c>
      <c r="B6795" s="6" t="n">
        <v>42324</v>
      </c>
      <c r="C6795" s="7" t="s">
        <v>45</v>
      </c>
      <c r="D6795" s="7" t="s">
        <v>64</v>
      </c>
      <c r="E6795" s="7" t="s">
        <v>35</v>
      </c>
      <c r="F6795" s="0" t="n">
        <v>21.488</v>
      </c>
      <c r="G6795" s="0" t="n">
        <v>1.6116</v>
      </c>
      <c r="H6795" s="0" t="n">
        <v>0.2</v>
      </c>
      <c r="I6795" s="7" t="n">
        <f aca="false">YEAR(B6795)</f>
        <v>2015</v>
      </c>
      <c r="J6795" s="0" t="str">
        <f aca="false">I6795&amp;"-Q"&amp;ROUNDUP(MONTH(B6795)/3,0)</f>
        <v>2015-Q4</v>
      </c>
    </row>
    <row r="6796" customFormat="false" ht="15" hidden="false" customHeight="false" outlineLevel="0" collapsed="false">
      <c r="A6796" s="0" t="s">
        <v>3457</v>
      </c>
      <c r="B6796" s="6" t="n">
        <v>42324</v>
      </c>
      <c r="C6796" s="7" t="s">
        <v>45</v>
      </c>
      <c r="D6796" s="7" t="s">
        <v>64</v>
      </c>
      <c r="E6796" s="7" t="s">
        <v>39</v>
      </c>
      <c r="F6796" s="0" t="n">
        <v>239.976</v>
      </c>
      <c r="G6796" s="0" t="n">
        <v>26.9973</v>
      </c>
      <c r="H6796" s="0" t="n">
        <v>0.2</v>
      </c>
      <c r="I6796" s="7" t="n">
        <f aca="false">YEAR(B6796)</f>
        <v>2015</v>
      </c>
      <c r="J6796" s="0" t="str">
        <f aca="false">I6796&amp;"-Q"&amp;ROUNDUP(MONTH(B6796)/3,0)</f>
        <v>2015-Q4</v>
      </c>
    </row>
    <row r="6797" customFormat="false" ht="15" hidden="false" customHeight="false" outlineLevel="0" collapsed="false">
      <c r="A6797" s="0" t="s">
        <v>3457</v>
      </c>
      <c r="B6797" s="6" t="n">
        <v>42324</v>
      </c>
      <c r="C6797" s="7" t="s">
        <v>45</v>
      </c>
      <c r="D6797" s="7" t="s">
        <v>64</v>
      </c>
      <c r="E6797" s="7" t="s">
        <v>31</v>
      </c>
      <c r="F6797" s="0" t="n">
        <v>34.504</v>
      </c>
      <c r="G6797" s="0" t="n">
        <v>-15.5268</v>
      </c>
      <c r="H6797" s="0" t="n">
        <v>0.6</v>
      </c>
      <c r="I6797" s="7" t="n">
        <f aca="false">YEAR(B6797)</f>
        <v>2015</v>
      </c>
      <c r="J6797" s="0" t="str">
        <f aca="false">I6797&amp;"-Q"&amp;ROUNDUP(MONTH(B6797)/3,0)</f>
        <v>2015-Q4</v>
      </c>
    </row>
    <row r="6798" customFormat="false" ht="15" hidden="false" customHeight="false" outlineLevel="0" collapsed="false">
      <c r="A6798" s="0" t="s">
        <v>3458</v>
      </c>
      <c r="B6798" s="6" t="n">
        <v>42241</v>
      </c>
      <c r="C6798" s="7" t="s">
        <v>45</v>
      </c>
      <c r="D6798" s="7" t="s">
        <v>46</v>
      </c>
      <c r="E6798" s="7" t="s">
        <v>31</v>
      </c>
      <c r="F6798" s="0" t="n">
        <v>20.104</v>
      </c>
      <c r="G6798" s="0" t="n">
        <v>-16.5858</v>
      </c>
      <c r="H6798" s="0" t="n">
        <v>0.6</v>
      </c>
      <c r="I6798" s="7" t="n">
        <f aca="false">YEAR(B6798)</f>
        <v>2015</v>
      </c>
      <c r="J6798" s="0" t="str">
        <f aca="false">I6798&amp;"-Q"&amp;ROUNDUP(MONTH(B6798)/3,0)</f>
        <v>2015-Q3</v>
      </c>
    </row>
    <row r="6799" customFormat="false" ht="15" hidden="false" customHeight="false" outlineLevel="0" collapsed="false">
      <c r="A6799" s="0" t="s">
        <v>3458</v>
      </c>
      <c r="B6799" s="6" t="n">
        <v>42241</v>
      </c>
      <c r="C6799" s="7" t="s">
        <v>45</v>
      </c>
      <c r="D6799" s="7" t="s">
        <v>46</v>
      </c>
      <c r="E6799" s="7" t="s">
        <v>35</v>
      </c>
      <c r="F6799" s="0" t="n">
        <v>3.798</v>
      </c>
      <c r="G6799" s="0" t="n">
        <v>-6.0768</v>
      </c>
      <c r="H6799" s="0" t="n">
        <v>0.8</v>
      </c>
      <c r="I6799" s="7" t="n">
        <f aca="false">YEAR(B6799)</f>
        <v>2015</v>
      </c>
      <c r="J6799" s="0" t="str">
        <f aca="false">I6799&amp;"-Q"&amp;ROUNDUP(MONTH(B6799)/3,0)</f>
        <v>2015-Q3</v>
      </c>
    </row>
    <row r="6800" customFormat="false" ht="15" hidden="false" customHeight="false" outlineLevel="0" collapsed="false">
      <c r="A6800" s="0" t="s">
        <v>3458</v>
      </c>
      <c r="B6800" s="6" t="n">
        <v>42241</v>
      </c>
      <c r="C6800" s="7" t="s">
        <v>45</v>
      </c>
      <c r="D6800" s="7" t="s">
        <v>46</v>
      </c>
      <c r="E6800" s="7" t="s">
        <v>31</v>
      </c>
      <c r="F6800" s="0" t="n">
        <v>7.88</v>
      </c>
      <c r="G6800" s="0" t="n">
        <v>-3.94</v>
      </c>
      <c r="H6800" s="0" t="n">
        <v>0.6</v>
      </c>
      <c r="I6800" s="7" t="n">
        <f aca="false">YEAR(B6800)</f>
        <v>2015</v>
      </c>
      <c r="J6800" s="0" t="str">
        <f aca="false">I6800&amp;"-Q"&amp;ROUNDUP(MONTH(B6800)/3,0)</f>
        <v>2015-Q3</v>
      </c>
    </row>
    <row r="6801" customFormat="false" ht="15" hidden="false" customHeight="false" outlineLevel="0" collapsed="false">
      <c r="A6801" s="0" t="s">
        <v>3459</v>
      </c>
      <c r="B6801" s="6" t="n">
        <v>42729</v>
      </c>
      <c r="C6801" s="7" t="s">
        <v>33</v>
      </c>
      <c r="D6801" s="7" t="s">
        <v>81</v>
      </c>
      <c r="E6801" s="7" t="s">
        <v>31</v>
      </c>
      <c r="F6801" s="0" t="n">
        <v>35.445</v>
      </c>
      <c r="G6801" s="0" t="n">
        <v>-24.1026</v>
      </c>
      <c r="H6801" s="0" t="n">
        <v>0.5</v>
      </c>
      <c r="I6801" s="7" t="n">
        <f aca="false">YEAR(B6801)</f>
        <v>2016</v>
      </c>
      <c r="J6801" s="0" t="str">
        <f aca="false">I6801&amp;"-Q"&amp;ROUNDUP(MONTH(B6801)/3,0)</f>
        <v>2016-Q4</v>
      </c>
    </row>
    <row r="6802" customFormat="false" ht="15" hidden="false" customHeight="false" outlineLevel="0" collapsed="false">
      <c r="A6802" s="0" t="s">
        <v>3459</v>
      </c>
      <c r="B6802" s="6" t="n">
        <v>42729</v>
      </c>
      <c r="C6802" s="7" t="s">
        <v>33</v>
      </c>
      <c r="D6802" s="7" t="s">
        <v>81</v>
      </c>
      <c r="E6802" s="7" t="s">
        <v>39</v>
      </c>
      <c r="F6802" s="0" t="n">
        <v>269.97</v>
      </c>
      <c r="G6802" s="0" t="n">
        <v>-386.957</v>
      </c>
      <c r="H6802" s="0" t="n">
        <v>0.7</v>
      </c>
      <c r="I6802" s="7" t="n">
        <f aca="false">YEAR(B6802)</f>
        <v>2016</v>
      </c>
      <c r="J6802" s="0" t="str">
        <f aca="false">I6802&amp;"-Q"&amp;ROUNDUP(MONTH(B6802)/3,0)</f>
        <v>2016-Q4</v>
      </c>
    </row>
    <row r="6803" customFormat="false" ht="15" hidden="false" customHeight="false" outlineLevel="0" collapsed="false">
      <c r="A6803" s="0" t="s">
        <v>3459</v>
      </c>
      <c r="B6803" s="6" t="n">
        <v>42729</v>
      </c>
      <c r="C6803" s="7" t="s">
        <v>33</v>
      </c>
      <c r="D6803" s="7" t="s">
        <v>81</v>
      </c>
      <c r="E6803" s="7" t="s">
        <v>39</v>
      </c>
      <c r="F6803" s="0" t="n">
        <v>45.12</v>
      </c>
      <c r="G6803" s="0" t="n">
        <v>-7.896</v>
      </c>
      <c r="H6803" s="0" t="n">
        <v>0.2</v>
      </c>
      <c r="I6803" s="7" t="n">
        <f aca="false">YEAR(B6803)</f>
        <v>2016</v>
      </c>
      <c r="J6803" s="0" t="str">
        <f aca="false">I6803&amp;"-Q"&amp;ROUNDUP(MONTH(B6803)/3,0)</f>
        <v>2016-Q4</v>
      </c>
    </row>
    <row r="6804" customFormat="false" ht="15" hidden="false" customHeight="false" outlineLevel="0" collapsed="false">
      <c r="A6804" s="0" t="s">
        <v>3459</v>
      </c>
      <c r="B6804" s="6" t="n">
        <v>42729</v>
      </c>
      <c r="C6804" s="7" t="s">
        <v>33</v>
      </c>
      <c r="D6804" s="7" t="s">
        <v>81</v>
      </c>
      <c r="E6804" s="7" t="s">
        <v>39</v>
      </c>
      <c r="F6804" s="0" t="n">
        <v>100.8</v>
      </c>
      <c r="G6804" s="0" t="n">
        <v>21.42</v>
      </c>
      <c r="H6804" s="0" t="n">
        <v>0.2</v>
      </c>
      <c r="I6804" s="7" t="n">
        <f aca="false">YEAR(B6804)</f>
        <v>2016</v>
      </c>
      <c r="J6804" s="0" t="str">
        <f aca="false">I6804&amp;"-Q"&amp;ROUNDUP(MONTH(B6804)/3,0)</f>
        <v>2016-Q4</v>
      </c>
    </row>
    <row r="6805" customFormat="false" ht="15" hidden="false" customHeight="false" outlineLevel="0" collapsed="false">
      <c r="A6805" s="0" t="s">
        <v>3459</v>
      </c>
      <c r="B6805" s="6" t="n">
        <v>42729</v>
      </c>
      <c r="C6805" s="7" t="s">
        <v>33</v>
      </c>
      <c r="D6805" s="7" t="s">
        <v>81</v>
      </c>
      <c r="E6805" s="7" t="s">
        <v>31</v>
      </c>
      <c r="F6805" s="0" t="n">
        <v>47.968</v>
      </c>
      <c r="G6805" s="0" t="n">
        <v>4.1972</v>
      </c>
      <c r="H6805" s="0" t="n">
        <v>0.2</v>
      </c>
      <c r="I6805" s="7" t="n">
        <f aca="false">YEAR(B6805)</f>
        <v>2016</v>
      </c>
      <c r="J6805" s="0" t="str">
        <f aca="false">I6805&amp;"-Q"&amp;ROUNDUP(MONTH(B6805)/3,0)</f>
        <v>2016-Q4</v>
      </c>
    </row>
    <row r="6806" customFormat="false" ht="15" hidden="false" customHeight="false" outlineLevel="0" collapsed="false">
      <c r="A6806" s="0" t="s">
        <v>3460</v>
      </c>
      <c r="B6806" s="6" t="n">
        <v>41917</v>
      </c>
      <c r="C6806" s="7" t="s">
        <v>33</v>
      </c>
      <c r="D6806" s="7" t="s">
        <v>34</v>
      </c>
      <c r="E6806" s="7" t="s">
        <v>39</v>
      </c>
      <c r="F6806" s="0" t="n">
        <v>99.98</v>
      </c>
      <c r="G6806" s="0" t="n">
        <v>34.993</v>
      </c>
      <c r="H6806" s="0" t="n">
        <v>0</v>
      </c>
      <c r="I6806" s="7" t="n">
        <f aca="false">YEAR(B6806)</f>
        <v>2014</v>
      </c>
      <c r="J6806" s="0" t="str">
        <f aca="false">I6806&amp;"-Q"&amp;ROUNDUP(MONTH(B6806)/3,0)</f>
        <v>2014-Q4</v>
      </c>
    </row>
    <row r="6807" customFormat="false" ht="15" hidden="false" customHeight="false" outlineLevel="0" collapsed="false">
      <c r="A6807" s="0" t="s">
        <v>3461</v>
      </c>
      <c r="B6807" s="6" t="n">
        <v>41965</v>
      </c>
      <c r="C6807" s="7" t="s">
        <v>29</v>
      </c>
      <c r="D6807" s="7" t="s">
        <v>230</v>
      </c>
      <c r="E6807" s="7" t="s">
        <v>35</v>
      </c>
      <c r="F6807" s="0" t="n">
        <v>9.96</v>
      </c>
      <c r="G6807" s="0" t="n">
        <v>4.8804</v>
      </c>
      <c r="H6807" s="0" t="n">
        <v>0</v>
      </c>
      <c r="I6807" s="7" t="n">
        <f aca="false">YEAR(B6807)</f>
        <v>2014</v>
      </c>
      <c r="J6807" s="0" t="str">
        <f aca="false">I6807&amp;"-Q"&amp;ROUNDUP(MONTH(B6807)/3,0)</f>
        <v>2014-Q4</v>
      </c>
    </row>
    <row r="6808" customFormat="false" ht="15" hidden="false" customHeight="false" outlineLevel="0" collapsed="false">
      <c r="A6808" s="0" t="s">
        <v>3462</v>
      </c>
      <c r="B6808" s="6" t="n">
        <v>43094</v>
      </c>
      <c r="C6808" s="7" t="s">
        <v>33</v>
      </c>
      <c r="D6808" s="7" t="s">
        <v>43</v>
      </c>
      <c r="E6808" s="7" t="s">
        <v>35</v>
      </c>
      <c r="F6808" s="0" t="n">
        <v>3.856</v>
      </c>
      <c r="G6808" s="0" t="n">
        <v>1.3978</v>
      </c>
      <c r="H6808" s="0" t="n">
        <v>0.2</v>
      </c>
      <c r="I6808" s="7" t="n">
        <f aca="false">YEAR(B6808)</f>
        <v>2017</v>
      </c>
      <c r="J6808" s="0" t="str">
        <f aca="false">I6808&amp;"-Q"&amp;ROUNDUP(MONTH(B6808)/3,0)</f>
        <v>2017-Q4</v>
      </c>
    </row>
    <row r="6809" customFormat="false" ht="15" hidden="false" customHeight="false" outlineLevel="0" collapsed="false">
      <c r="A6809" s="0" t="s">
        <v>3463</v>
      </c>
      <c r="B6809" s="6" t="n">
        <v>42094</v>
      </c>
      <c r="C6809" s="7" t="s">
        <v>45</v>
      </c>
      <c r="D6809" s="7" t="s">
        <v>46</v>
      </c>
      <c r="E6809" s="7" t="s">
        <v>35</v>
      </c>
      <c r="F6809" s="0" t="n">
        <v>98.376</v>
      </c>
      <c r="G6809" s="0" t="n">
        <v>35.6613</v>
      </c>
      <c r="H6809" s="0" t="n">
        <v>0.2</v>
      </c>
      <c r="I6809" s="7" t="n">
        <f aca="false">YEAR(B6809)</f>
        <v>2015</v>
      </c>
      <c r="J6809" s="0" t="str">
        <f aca="false">I6809&amp;"-Q"&amp;ROUNDUP(MONTH(B6809)/3,0)</f>
        <v>2015-Q1</v>
      </c>
    </row>
    <row r="6810" customFormat="false" ht="15" hidden="false" customHeight="false" outlineLevel="0" collapsed="false">
      <c r="A6810" s="0" t="s">
        <v>3463</v>
      </c>
      <c r="B6810" s="6" t="n">
        <v>42094</v>
      </c>
      <c r="C6810" s="7" t="s">
        <v>45</v>
      </c>
      <c r="D6810" s="7" t="s">
        <v>46</v>
      </c>
      <c r="E6810" s="7" t="s">
        <v>31</v>
      </c>
      <c r="F6810" s="0" t="n">
        <v>22.38</v>
      </c>
      <c r="G6810" s="0" t="n">
        <v>-7.833</v>
      </c>
      <c r="H6810" s="0" t="n">
        <v>0.6</v>
      </c>
      <c r="I6810" s="7" t="n">
        <f aca="false">YEAR(B6810)</f>
        <v>2015</v>
      </c>
      <c r="J6810" s="0" t="str">
        <f aca="false">I6810&amp;"-Q"&amp;ROUNDUP(MONTH(B6810)/3,0)</f>
        <v>2015-Q1</v>
      </c>
    </row>
    <row r="6811" customFormat="false" ht="15" hidden="false" customHeight="false" outlineLevel="0" collapsed="false">
      <c r="A6811" s="0" t="s">
        <v>3464</v>
      </c>
      <c r="B6811" s="6" t="n">
        <v>42992</v>
      </c>
      <c r="C6811" s="7" t="s">
        <v>55</v>
      </c>
      <c r="D6811" s="7" t="s">
        <v>56</v>
      </c>
      <c r="E6811" s="7" t="s">
        <v>35</v>
      </c>
      <c r="F6811" s="0" t="n">
        <v>3.882</v>
      </c>
      <c r="G6811" s="0" t="n">
        <v>-2.588</v>
      </c>
      <c r="H6811" s="0" t="n">
        <v>0.7</v>
      </c>
      <c r="I6811" s="7" t="n">
        <f aca="false">YEAR(B6811)</f>
        <v>2017</v>
      </c>
      <c r="J6811" s="0" t="str">
        <f aca="false">I6811&amp;"-Q"&amp;ROUNDUP(MONTH(B6811)/3,0)</f>
        <v>2017-Q3</v>
      </c>
    </row>
    <row r="6812" customFormat="false" ht="15" hidden="false" customHeight="false" outlineLevel="0" collapsed="false">
      <c r="A6812" s="0" t="s">
        <v>3464</v>
      </c>
      <c r="B6812" s="6" t="n">
        <v>42992</v>
      </c>
      <c r="C6812" s="7" t="s">
        <v>55</v>
      </c>
      <c r="D6812" s="7" t="s">
        <v>56</v>
      </c>
      <c r="E6812" s="7" t="s">
        <v>39</v>
      </c>
      <c r="F6812" s="0" t="n">
        <v>12.585</v>
      </c>
      <c r="G6812" s="0" t="n">
        <v>-18.0385</v>
      </c>
      <c r="H6812" s="0" t="n">
        <v>0.7</v>
      </c>
      <c r="I6812" s="7" t="n">
        <f aca="false">YEAR(B6812)</f>
        <v>2017</v>
      </c>
      <c r="J6812" s="0" t="str">
        <f aca="false">I6812&amp;"-Q"&amp;ROUNDUP(MONTH(B6812)/3,0)</f>
        <v>2017-Q3</v>
      </c>
    </row>
    <row r="6813" customFormat="false" ht="15" hidden="false" customHeight="false" outlineLevel="0" collapsed="false">
      <c r="A6813" s="0" t="s">
        <v>3464</v>
      </c>
      <c r="B6813" s="6" t="n">
        <v>42992</v>
      </c>
      <c r="C6813" s="7" t="s">
        <v>55</v>
      </c>
      <c r="D6813" s="7" t="s">
        <v>56</v>
      </c>
      <c r="E6813" s="7" t="s">
        <v>31</v>
      </c>
      <c r="F6813" s="0" t="n">
        <v>113.372</v>
      </c>
      <c r="G6813" s="0" t="n">
        <v>-29.1528</v>
      </c>
      <c r="H6813" s="0" t="n">
        <v>0.3</v>
      </c>
      <c r="I6813" s="7" t="n">
        <f aca="false">YEAR(B6813)</f>
        <v>2017</v>
      </c>
      <c r="J6813" s="0" t="str">
        <f aca="false">I6813&amp;"-Q"&amp;ROUNDUP(MONTH(B6813)/3,0)</f>
        <v>2017-Q3</v>
      </c>
    </row>
    <row r="6814" customFormat="false" ht="15" hidden="false" customHeight="false" outlineLevel="0" collapsed="false">
      <c r="A6814" s="0" t="s">
        <v>3464</v>
      </c>
      <c r="B6814" s="6" t="n">
        <v>42992</v>
      </c>
      <c r="C6814" s="7" t="s">
        <v>55</v>
      </c>
      <c r="D6814" s="7" t="s">
        <v>56</v>
      </c>
      <c r="E6814" s="7" t="s">
        <v>35</v>
      </c>
      <c r="F6814" s="0" t="n">
        <v>18.312</v>
      </c>
      <c r="G6814" s="0" t="n">
        <v>-12.208</v>
      </c>
      <c r="H6814" s="0" t="n">
        <v>0.7</v>
      </c>
      <c r="I6814" s="7" t="n">
        <f aca="false">YEAR(B6814)</f>
        <v>2017</v>
      </c>
      <c r="J6814" s="0" t="str">
        <f aca="false">I6814&amp;"-Q"&amp;ROUNDUP(MONTH(B6814)/3,0)</f>
        <v>2017-Q3</v>
      </c>
    </row>
    <row r="6815" customFormat="false" ht="15" hidden="false" customHeight="false" outlineLevel="0" collapsed="false">
      <c r="A6815" s="0" t="s">
        <v>3464</v>
      </c>
      <c r="B6815" s="6" t="n">
        <v>42992</v>
      </c>
      <c r="C6815" s="7" t="s">
        <v>55</v>
      </c>
      <c r="D6815" s="7" t="s">
        <v>56</v>
      </c>
      <c r="E6815" s="7" t="s">
        <v>31</v>
      </c>
      <c r="F6815" s="0" t="n">
        <v>127.936</v>
      </c>
      <c r="G6815" s="0" t="n">
        <v>4.7976</v>
      </c>
      <c r="H6815" s="0" t="n">
        <v>0.2</v>
      </c>
      <c r="I6815" s="7" t="n">
        <f aca="false">YEAR(B6815)</f>
        <v>2017</v>
      </c>
      <c r="J6815" s="0" t="str">
        <f aca="false">I6815&amp;"-Q"&amp;ROUNDUP(MONTH(B6815)/3,0)</f>
        <v>2017-Q3</v>
      </c>
    </row>
    <row r="6816" customFormat="false" ht="15" hidden="false" customHeight="false" outlineLevel="0" collapsed="false">
      <c r="A6816" s="0" t="s">
        <v>3464</v>
      </c>
      <c r="B6816" s="6" t="n">
        <v>42992</v>
      </c>
      <c r="C6816" s="7" t="s">
        <v>55</v>
      </c>
      <c r="D6816" s="7" t="s">
        <v>56</v>
      </c>
      <c r="E6816" s="7" t="s">
        <v>39</v>
      </c>
      <c r="F6816" s="0" t="n">
        <v>241.17</v>
      </c>
      <c r="G6816" s="0" t="n">
        <v>-168.819</v>
      </c>
      <c r="H6816" s="0" t="n">
        <v>0.7</v>
      </c>
      <c r="I6816" s="7" t="n">
        <f aca="false">YEAR(B6816)</f>
        <v>2017</v>
      </c>
      <c r="J6816" s="0" t="str">
        <f aca="false">I6816&amp;"-Q"&amp;ROUNDUP(MONTH(B6816)/3,0)</f>
        <v>2017-Q3</v>
      </c>
    </row>
    <row r="6817" customFormat="false" ht="15" hidden="false" customHeight="false" outlineLevel="0" collapsed="false">
      <c r="A6817" s="0" t="s">
        <v>3465</v>
      </c>
      <c r="B6817" s="6" t="n">
        <v>41807</v>
      </c>
      <c r="C6817" s="7" t="s">
        <v>33</v>
      </c>
      <c r="D6817" s="7" t="s">
        <v>43</v>
      </c>
      <c r="E6817" s="7" t="s">
        <v>31</v>
      </c>
      <c r="F6817" s="0" t="n">
        <v>6.24</v>
      </c>
      <c r="G6817" s="0" t="n">
        <v>2.6208</v>
      </c>
      <c r="H6817" s="0" t="n">
        <v>0</v>
      </c>
      <c r="I6817" s="7" t="n">
        <f aca="false">YEAR(B6817)</f>
        <v>2014</v>
      </c>
      <c r="J6817" s="0" t="str">
        <f aca="false">I6817&amp;"-Q"&amp;ROUNDUP(MONTH(B6817)/3,0)</f>
        <v>2014-Q2</v>
      </c>
    </row>
    <row r="6818" customFormat="false" ht="15" hidden="false" customHeight="false" outlineLevel="0" collapsed="false">
      <c r="A6818" s="0" t="s">
        <v>3465</v>
      </c>
      <c r="B6818" s="6" t="n">
        <v>41807</v>
      </c>
      <c r="C6818" s="7" t="s">
        <v>33</v>
      </c>
      <c r="D6818" s="7" t="s">
        <v>43</v>
      </c>
      <c r="E6818" s="7" t="s">
        <v>35</v>
      </c>
      <c r="F6818" s="0" t="n">
        <v>17.9</v>
      </c>
      <c r="G6818" s="0" t="n">
        <v>8.95</v>
      </c>
      <c r="H6818" s="0" t="n">
        <v>0</v>
      </c>
      <c r="I6818" s="7" t="n">
        <f aca="false">YEAR(B6818)</f>
        <v>2014</v>
      </c>
      <c r="J6818" s="0" t="str">
        <f aca="false">I6818&amp;"-Q"&amp;ROUNDUP(MONTH(B6818)/3,0)</f>
        <v>2014-Q2</v>
      </c>
    </row>
    <row r="6819" customFormat="false" ht="15" hidden="false" customHeight="false" outlineLevel="0" collapsed="false">
      <c r="A6819" s="0" t="s">
        <v>3465</v>
      </c>
      <c r="B6819" s="6" t="n">
        <v>41807</v>
      </c>
      <c r="C6819" s="7" t="s">
        <v>33</v>
      </c>
      <c r="D6819" s="7" t="s">
        <v>43</v>
      </c>
      <c r="E6819" s="7" t="s">
        <v>35</v>
      </c>
      <c r="F6819" s="0" t="n">
        <v>3266.376</v>
      </c>
      <c r="G6819" s="0" t="n">
        <v>1061.5722</v>
      </c>
      <c r="H6819" s="0" t="n">
        <v>0.2</v>
      </c>
      <c r="I6819" s="7" t="n">
        <f aca="false">YEAR(B6819)</f>
        <v>2014</v>
      </c>
      <c r="J6819" s="0" t="str">
        <f aca="false">I6819&amp;"-Q"&amp;ROUNDUP(MONTH(B6819)/3,0)</f>
        <v>2014-Q2</v>
      </c>
    </row>
    <row r="6820" customFormat="false" ht="15" hidden="false" customHeight="false" outlineLevel="0" collapsed="false">
      <c r="A6820" s="0" t="s">
        <v>3466</v>
      </c>
      <c r="B6820" s="6" t="n">
        <v>43097</v>
      </c>
      <c r="C6820" s="7" t="s">
        <v>45</v>
      </c>
      <c r="D6820" s="7" t="s">
        <v>64</v>
      </c>
      <c r="E6820" s="7" t="s">
        <v>35</v>
      </c>
      <c r="F6820" s="0" t="n">
        <v>1.68</v>
      </c>
      <c r="G6820" s="0" t="n">
        <v>-2.688</v>
      </c>
      <c r="H6820" s="0" t="n">
        <v>0.8</v>
      </c>
      <c r="I6820" s="7" t="n">
        <f aca="false">YEAR(B6820)</f>
        <v>2017</v>
      </c>
      <c r="J6820" s="0" t="str">
        <f aca="false">I6820&amp;"-Q"&amp;ROUNDUP(MONTH(B6820)/3,0)</f>
        <v>2017-Q4</v>
      </c>
    </row>
    <row r="6821" customFormat="false" ht="15" hidden="false" customHeight="false" outlineLevel="0" collapsed="false">
      <c r="A6821" s="0" t="s">
        <v>3466</v>
      </c>
      <c r="B6821" s="6" t="n">
        <v>43097</v>
      </c>
      <c r="C6821" s="7" t="s">
        <v>45</v>
      </c>
      <c r="D6821" s="7" t="s">
        <v>64</v>
      </c>
      <c r="E6821" s="7" t="s">
        <v>31</v>
      </c>
      <c r="F6821" s="0" t="n">
        <v>7.968</v>
      </c>
      <c r="G6821" s="0" t="n">
        <v>-2.3904</v>
      </c>
      <c r="H6821" s="0" t="n">
        <v>0.6</v>
      </c>
      <c r="I6821" s="7" t="n">
        <f aca="false">YEAR(B6821)</f>
        <v>2017</v>
      </c>
      <c r="J6821" s="0" t="str">
        <f aca="false">I6821&amp;"-Q"&amp;ROUNDUP(MONTH(B6821)/3,0)</f>
        <v>2017-Q4</v>
      </c>
    </row>
    <row r="6822" customFormat="false" ht="15" hidden="false" customHeight="false" outlineLevel="0" collapsed="false">
      <c r="A6822" s="0" t="s">
        <v>3466</v>
      </c>
      <c r="B6822" s="6" t="n">
        <v>43097</v>
      </c>
      <c r="C6822" s="7" t="s">
        <v>45</v>
      </c>
      <c r="D6822" s="7" t="s">
        <v>64</v>
      </c>
      <c r="E6822" s="7" t="s">
        <v>31</v>
      </c>
      <c r="F6822" s="0" t="n">
        <v>113.372</v>
      </c>
      <c r="G6822" s="0" t="n">
        <v>-3.2392</v>
      </c>
      <c r="H6822" s="0" t="n">
        <v>0.3</v>
      </c>
      <c r="I6822" s="7" t="n">
        <f aca="false">YEAR(B6822)</f>
        <v>2017</v>
      </c>
      <c r="J6822" s="0" t="str">
        <f aca="false">I6822&amp;"-Q"&amp;ROUNDUP(MONTH(B6822)/3,0)</f>
        <v>2017-Q4</v>
      </c>
    </row>
    <row r="6823" customFormat="false" ht="15" hidden="false" customHeight="false" outlineLevel="0" collapsed="false">
      <c r="A6823" s="0" t="s">
        <v>3466</v>
      </c>
      <c r="B6823" s="6" t="n">
        <v>43097</v>
      </c>
      <c r="C6823" s="7" t="s">
        <v>45</v>
      </c>
      <c r="D6823" s="7" t="s">
        <v>64</v>
      </c>
      <c r="E6823" s="7" t="s">
        <v>31</v>
      </c>
      <c r="F6823" s="0" t="n">
        <v>2.96</v>
      </c>
      <c r="G6823" s="0" t="n">
        <v>-1.406</v>
      </c>
      <c r="H6823" s="0" t="n">
        <v>0.6</v>
      </c>
      <c r="I6823" s="7" t="n">
        <f aca="false">YEAR(B6823)</f>
        <v>2017</v>
      </c>
      <c r="J6823" s="0" t="str">
        <f aca="false">I6823&amp;"-Q"&amp;ROUNDUP(MONTH(B6823)/3,0)</f>
        <v>2017-Q4</v>
      </c>
    </row>
    <row r="6824" customFormat="false" ht="15" hidden="false" customHeight="false" outlineLevel="0" collapsed="false">
      <c r="A6824" s="0" t="s">
        <v>3467</v>
      </c>
      <c r="B6824" s="6" t="n">
        <v>43041</v>
      </c>
      <c r="C6824" s="7" t="s">
        <v>33</v>
      </c>
      <c r="D6824" s="7" t="s">
        <v>34</v>
      </c>
      <c r="E6824" s="7" t="s">
        <v>35</v>
      </c>
      <c r="F6824" s="0" t="n">
        <v>168.1</v>
      </c>
      <c r="G6824" s="0" t="n">
        <v>43.706</v>
      </c>
      <c r="H6824" s="0" t="n">
        <v>0</v>
      </c>
      <c r="I6824" s="7" t="n">
        <f aca="false">YEAR(B6824)</f>
        <v>2017</v>
      </c>
      <c r="J6824" s="0" t="str">
        <f aca="false">I6824&amp;"-Q"&amp;ROUNDUP(MONTH(B6824)/3,0)</f>
        <v>2017-Q4</v>
      </c>
    </row>
    <row r="6825" customFormat="false" ht="15" hidden="false" customHeight="false" outlineLevel="0" collapsed="false">
      <c r="A6825" s="0" t="s">
        <v>3468</v>
      </c>
      <c r="B6825" s="6" t="n">
        <v>42210</v>
      </c>
      <c r="C6825" s="7" t="s">
        <v>29</v>
      </c>
      <c r="D6825" s="7" t="s">
        <v>91</v>
      </c>
      <c r="E6825" s="7" t="s">
        <v>35</v>
      </c>
      <c r="F6825" s="0" t="n">
        <v>98.46</v>
      </c>
      <c r="G6825" s="0" t="n">
        <v>49.23</v>
      </c>
      <c r="H6825" s="0" t="n">
        <v>0</v>
      </c>
      <c r="I6825" s="7" t="n">
        <f aca="false">YEAR(B6825)</f>
        <v>2015</v>
      </c>
      <c r="J6825" s="0" t="str">
        <f aca="false">I6825&amp;"-Q"&amp;ROUNDUP(MONTH(B6825)/3,0)</f>
        <v>2015-Q3</v>
      </c>
    </row>
    <row r="6826" customFormat="false" ht="15" hidden="false" customHeight="false" outlineLevel="0" collapsed="false">
      <c r="A6826" s="0" t="s">
        <v>3468</v>
      </c>
      <c r="B6826" s="6" t="n">
        <v>42210</v>
      </c>
      <c r="C6826" s="7" t="s">
        <v>29</v>
      </c>
      <c r="D6826" s="7" t="s">
        <v>91</v>
      </c>
      <c r="E6826" s="7" t="s">
        <v>31</v>
      </c>
      <c r="F6826" s="0" t="n">
        <v>358.58</v>
      </c>
      <c r="G6826" s="0" t="n">
        <v>39.4438</v>
      </c>
      <c r="H6826" s="0" t="n">
        <v>0</v>
      </c>
      <c r="I6826" s="7" t="n">
        <f aca="false">YEAR(B6826)</f>
        <v>2015</v>
      </c>
      <c r="J6826" s="0" t="str">
        <f aca="false">I6826&amp;"-Q"&amp;ROUNDUP(MONTH(B6826)/3,0)</f>
        <v>2015-Q3</v>
      </c>
    </row>
    <row r="6827" customFormat="false" ht="15" hidden="false" customHeight="false" outlineLevel="0" collapsed="false">
      <c r="A6827" s="0" t="s">
        <v>3469</v>
      </c>
      <c r="B6827" s="6" t="n">
        <v>42645</v>
      </c>
      <c r="C6827" s="7" t="s">
        <v>45</v>
      </c>
      <c r="D6827" s="7" t="s">
        <v>74</v>
      </c>
      <c r="E6827" s="7" t="s">
        <v>35</v>
      </c>
      <c r="F6827" s="0" t="n">
        <v>32.48</v>
      </c>
      <c r="G6827" s="0" t="n">
        <v>4.872</v>
      </c>
      <c r="H6827" s="0" t="n">
        <v>0</v>
      </c>
      <c r="I6827" s="7" t="n">
        <f aca="false">YEAR(B6827)</f>
        <v>2016</v>
      </c>
      <c r="J6827" s="0" t="str">
        <f aca="false">I6827&amp;"-Q"&amp;ROUNDUP(MONTH(B6827)/3,0)</f>
        <v>2016-Q4</v>
      </c>
    </row>
    <row r="6828" customFormat="false" ht="15" hidden="false" customHeight="false" outlineLevel="0" collapsed="false">
      <c r="A6828" s="0" t="s">
        <v>3469</v>
      </c>
      <c r="B6828" s="6" t="n">
        <v>42645</v>
      </c>
      <c r="C6828" s="7" t="s">
        <v>45</v>
      </c>
      <c r="D6828" s="7" t="s">
        <v>74</v>
      </c>
      <c r="E6828" s="7" t="s">
        <v>39</v>
      </c>
      <c r="F6828" s="0" t="n">
        <v>17499.95</v>
      </c>
      <c r="G6828" s="0" t="n">
        <v>8399.976</v>
      </c>
      <c r="H6828" s="0" t="n">
        <v>0</v>
      </c>
      <c r="I6828" s="7" t="n">
        <f aca="false">YEAR(B6828)</f>
        <v>2016</v>
      </c>
      <c r="J6828" s="0" t="str">
        <f aca="false">I6828&amp;"-Q"&amp;ROUNDUP(MONTH(B6828)/3,0)</f>
        <v>2016-Q4</v>
      </c>
    </row>
    <row r="6829" customFormat="false" ht="15" hidden="false" customHeight="false" outlineLevel="0" collapsed="false">
      <c r="A6829" s="0" t="s">
        <v>3469</v>
      </c>
      <c r="B6829" s="6" t="n">
        <v>42645</v>
      </c>
      <c r="C6829" s="7" t="s">
        <v>45</v>
      </c>
      <c r="D6829" s="7" t="s">
        <v>74</v>
      </c>
      <c r="E6829" s="7" t="s">
        <v>35</v>
      </c>
      <c r="F6829" s="0" t="n">
        <v>735.98</v>
      </c>
      <c r="G6829" s="0" t="n">
        <v>331.191</v>
      </c>
      <c r="H6829" s="0" t="n">
        <v>0</v>
      </c>
      <c r="I6829" s="7" t="n">
        <f aca="false">YEAR(B6829)</f>
        <v>2016</v>
      </c>
      <c r="J6829" s="0" t="str">
        <f aca="false">I6829&amp;"-Q"&amp;ROUNDUP(MONTH(B6829)/3,0)</f>
        <v>2016-Q4</v>
      </c>
    </row>
    <row r="6830" customFormat="false" ht="15" hidden="false" customHeight="false" outlineLevel="0" collapsed="false">
      <c r="A6830" s="0" t="s">
        <v>3469</v>
      </c>
      <c r="B6830" s="6" t="n">
        <v>42645</v>
      </c>
      <c r="C6830" s="7" t="s">
        <v>45</v>
      </c>
      <c r="D6830" s="7" t="s">
        <v>74</v>
      </c>
      <c r="E6830" s="7" t="s">
        <v>35</v>
      </c>
      <c r="F6830" s="0" t="n">
        <v>34.37</v>
      </c>
      <c r="G6830" s="0" t="n">
        <v>16.8413</v>
      </c>
      <c r="H6830" s="0" t="n">
        <v>0</v>
      </c>
      <c r="I6830" s="7" t="n">
        <f aca="false">YEAR(B6830)</f>
        <v>2016</v>
      </c>
      <c r="J6830" s="0" t="str">
        <f aca="false">I6830&amp;"-Q"&amp;ROUNDUP(MONTH(B6830)/3,0)</f>
        <v>2016-Q4</v>
      </c>
    </row>
    <row r="6831" customFormat="false" ht="15" hidden="false" customHeight="false" outlineLevel="0" collapsed="false">
      <c r="A6831" s="0" t="s">
        <v>3469</v>
      </c>
      <c r="B6831" s="6" t="n">
        <v>42645</v>
      </c>
      <c r="C6831" s="7" t="s">
        <v>45</v>
      </c>
      <c r="D6831" s="7" t="s">
        <v>74</v>
      </c>
      <c r="E6831" s="7" t="s">
        <v>35</v>
      </c>
      <c r="F6831" s="0" t="n">
        <v>33.96</v>
      </c>
      <c r="G6831" s="0" t="n">
        <v>9.5088</v>
      </c>
      <c r="H6831" s="0" t="n">
        <v>0</v>
      </c>
      <c r="I6831" s="7" t="n">
        <f aca="false">YEAR(B6831)</f>
        <v>2016</v>
      </c>
      <c r="J6831" s="0" t="str">
        <f aca="false">I6831&amp;"-Q"&amp;ROUNDUP(MONTH(B6831)/3,0)</f>
        <v>2016-Q4</v>
      </c>
    </row>
    <row r="6832" customFormat="false" ht="15" hidden="false" customHeight="false" outlineLevel="0" collapsed="false">
      <c r="A6832" s="0" t="s">
        <v>3470</v>
      </c>
      <c r="B6832" s="6" t="n">
        <v>42728</v>
      </c>
      <c r="C6832" s="7" t="s">
        <v>55</v>
      </c>
      <c r="D6832" s="7" t="s">
        <v>76</v>
      </c>
      <c r="E6832" s="7" t="s">
        <v>39</v>
      </c>
      <c r="F6832" s="0" t="n">
        <v>197.97</v>
      </c>
      <c r="G6832" s="0" t="n">
        <v>53.4519</v>
      </c>
      <c r="H6832" s="0" t="n">
        <v>0</v>
      </c>
      <c r="I6832" s="7" t="n">
        <f aca="false">YEAR(B6832)</f>
        <v>2016</v>
      </c>
      <c r="J6832" s="0" t="str">
        <f aca="false">I6832&amp;"-Q"&amp;ROUNDUP(MONTH(B6832)/3,0)</f>
        <v>2016-Q4</v>
      </c>
    </row>
    <row r="6833" customFormat="false" ht="15" hidden="false" customHeight="false" outlineLevel="0" collapsed="false">
      <c r="A6833" s="0" t="s">
        <v>3471</v>
      </c>
      <c r="B6833" s="6" t="n">
        <v>42937</v>
      </c>
      <c r="C6833" s="7" t="s">
        <v>55</v>
      </c>
      <c r="D6833" s="7" t="s">
        <v>76</v>
      </c>
      <c r="E6833" s="7" t="s">
        <v>35</v>
      </c>
      <c r="F6833" s="0" t="n">
        <v>17.48</v>
      </c>
      <c r="G6833" s="0" t="n">
        <v>4.5448</v>
      </c>
      <c r="H6833" s="0" t="n">
        <v>0</v>
      </c>
      <c r="I6833" s="7" t="n">
        <f aca="false">YEAR(B6833)</f>
        <v>2017</v>
      </c>
      <c r="J6833" s="0" t="str">
        <f aca="false">I6833&amp;"-Q"&amp;ROUNDUP(MONTH(B6833)/3,0)</f>
        <v>2017-Q3</v>
      </c>
    </row>
    <row r="6834" customFormat="false" ht="15" hidden="false" customHeight="false" outlineLevel="0" collapsed="false">
      <c r="A6834" s="0" t="s">
        <v>3472</v>
      </c>
      <c r="B6834" s="6" t="n">
        <v>42287</v>
      </c>
      <c r="C6834" s="7" t="s">
        <v>45</v>
      </c>
      <c r="D6834" s="7" t="s">
        <v>64</v>
      </c>
      <c r="E6834" s="7" t="s">
        <v>35</v>
      </c>
      <c r="F6834" s="0" t="n">
        <v>8.016</v>
      </c>
      <c r="G6834" s="0" t="n">
        <v>1.002</v>
      </c>
      <c r="H6834" s="0" t="n">
        <v>0.2</v>
      </c>
      <c r="I6834" s="7" t="n">
        <f aca="false">YEAR(B6834)</f>
        <v>2015</v>
      </c>
      <c r="J6834" s="0" t="str">
        <f aca="false">I6834&amp;"-Q"&amp;ROUNDUP(MONTH(B6834)/3,0)</f>
        <v>2015-Q4</v>
      </c>
    </row>
    <row r="6835" customFormat="false" ht="15" hidden="false" customHeight="false" outlineLevel="0" collapsed="false">
      <c r="A6835" s="0" t="s">
        <v>3473</v>
      </c>
      <c r="B6835" s="6" t="n">
        <v>42621</v>
      </c>
      <c r="C6835" s="7" t="s">
        <v>33</v>
      </c>
      <c r="D6835" s="7" t="s">
        <v>34</v>
      </c>
      <c r="E6835" s="7" t="s">
        <v>31</v>
      </c>
      <c r="F6835" s="0" t="n">
        <v>146.04</v>
      </c>
      <c r="G6835" s="0" t="n">
        <v>-12.7785</v>
      </c>
      <c r="H6835" s="0" t="n">
        <v>0.2</v>
      </c>
      <c r="I6835" s="7" t="n">
        <f aca="false">YEAR(B6835)</f>
        <v>2016</v>
      </c>
      <c r="J6835" s="0" t="str">
        <f aca="false">I6835&amp;"-Q"&amp;ROUNDUP(MONTH(B6835)/3,0)</f>
        <v>2016-Q3</v>
      </c>
    </row>
    <row r="6836" customFormat="false" ht="15" hidden="false" customHeight="false" outlineLevel="0" collapsed="false">
      <c r="A6836" s="0" t="s">
        <v>3474</v>
      </c>
      <c r="B6836" s="6" t="n">
        <v>42694</v>
      </c>
      <c r="C6836" s="7" t="s">
        <v>33</v>
      </c>
      <c r="D6836" s="7" t="s">
        <v>34</v>
      </c>
      <c r="E6836" s="7" t="s">
        <v>39</v>
      </c>
      <c r="F6836" s="0" t="n">
        <v>27.88</v>
      </c>
      <c r="G6836" s="0" t="n">
        <v>3.9032</v>
      </c>
      <c r="H6836" s="0" t="n">
        <v>0</v>
      </c>
      <c r="I6836" s="7" t="n">
        <f aca="false">YEAR(B6836)</f>
        <v>2016</v>
      </c>
      <c r="J6836" s="0" t="str">
        <f aca="false">I6836&amp;"-Q"&amp;ROUNDUP(MONTH(B6836)/3,0)</f>
        <v>2016-Q4</v>
      </c>
    </row>
    <row r="6837" customFormat="false" ht="15" hidden="false" customHeight="false" outlineLevel="0" collapsed="false">
      <c r="A6837" s="0" t="s">
        <v>3475</v>
      </c>
      <c r="B6837" s="6" t="n">
        <v>43023</v>
      </c>
      <c r="C6837" s="7" t="s">
        <v>33</v>
      </c>
      <c r="D6837" s="7" t="s">
        <v>34</v>
      </c>
      <c r="E6837" s="7" t="s">
        <v>35</v>
      </c>
      <c r="F6837" s="0" t="n">
        <v>152.65</v>
      </c>
      <c r="G6837" s="0" t="n">
        <v>70.219</v>
      </c>
      <c r="H6837" s="0" t="n">
        <v>0</v>
      </c>
      <c r="I6837" s="7" t="n">
        <f aca="false">YEAR(B6837)</f>
        <v>2017</v>
      </c>
      <c r="J6837" s="0" t="str">
        <f aca="false">I6837&amp;"-Q"&amp;ROUNDUP(MONTH(B6837)/3,0)</f>
        <v>2017-Q4</v>
      </c>
    </row>
    <row r="6838" customFormat="false" ht="15" hidden="false" customHeight="false" outlineLevel="0" collapsed="false">
      <c r="A6838" s="0" t="s">
        <v>3475</v>
      </c>
      <c r="B6838" s="6" t="n">
        <v>43023</v>
      </c>
      <c r="C6838" s="7" t="s">
        <v>33</v>
      </c>
      <c r="D6838" s="7" t="s">
        <v>34</v>
      </c>
      <c r="E6838" s="7" t="s">
        <v>31</v>
      </c>
      <c r="F6838" s="0" t="n">
        <v>22.72</v>
      </c>
      <c r="G6838" s="0" t="n">
        <v>9.3152</v>
      </c>
      <c r="H6838" s="0" t="n">
        <v>0</v>
      </c>
      <c r="I6838" s="7" t="n">
        <f aca="false">YEAR(B6838)</f>
        <v>2017</v>
      </c>
      <c r="J6838" s="0" t="str">
        <f aca="false">I6838&amp;"-Q"&amp;ROUNDUP(MONTH(B6838)/3,0)</f>
        <v>2017-Q4</v>
      </c>
    </row>
    <row r="6839" customFormat="false" ht="15" hidden="false" customHeight="false" outlineLevel="0" collapsed="false">
      <c r="A6839" s="0" t="s">
        <v>3476</v>
      </c>
      <c r="B6839" s="6" t="n">
        <v>42191</v>
      </c>
      <c r="C6839" s="7" t="s">
        <v>55</v>
      </c>
      <c r="D6839" s="7" t="s">
        <v>161</v>
      </c>
      <c r="E6839" s="7" t="s">
        <v>35</v>
      </c>
      <c r="F6839" s="0" t="n">
        <v>11.12</v>
      </c>
      <c r="G6839" s="0" t="n">
        <v>2.8912</v>
      </c>
      <c r="H6839" s="0" t="n">
        <v>0</v>
      </c>
      <c r="I6839" s="7" t="n">
        <f aca="false">YEAR(B6839)</f>
        <v>2015</v>
      </c>
      <c r="J6839" s="0" t="str">
        <f aca="false">I6839&amp;"-Q"&amp;ROUNDUP(MONTH(B6839)/3,0)</f>
        <v>2015-Q3</v>
      </c>
    </row>
    <row r="6840" customFormat="false" ht="15" hidden="false" customHeight="false" outlineLevel="0" collapsed="false">
      <c r="A6840" s="0" t="s">
        <v>3477</v>
      </c>
      <c r="B6840" s="6" t="n">
        <v>42771</v>
      </c>
      <c r="C6840" s="7" t="s">
        <v>33</v>
      </c>
      <c r="D6840" s="7" t="s">
        <v>34</v>
      </c>
      <c r="E6840" s="7" t="s">
        <v>35</v>
      </c>
      <c r="F6840" s="0" t="n">
        <v>1640.7</v>
      </c>
      <c r="G6840" s="0" t="n">
        <v>459.396</v>
      </c>
      <c r="H6840" s="0" t="n">
        <v>0</v>
      </c>
      <c r="I6840" s="7" t="n">
        <f aca="false">YEAR(B6840)</f>
        <v>2017</v>
      </c>
      <c r="J6840" s="0" t="str">
        <f aca="false">I6840&amp;"-Q"&amp;ROUNDUP(MONTH(B6840)/3,0)</f>
        <v>2017-Q1</v>
      </c>
    </row>
    <row r="6841" customFormat="false" ht="15" hidden="false" customHeight="false" outlineLevel="0" collapsed="false">
      <c r="A6841" s="0" t="s">
        <v>3477</v>
      </c>
      <c r="B6841" s="6" t="n">
        <v>42771</v>
      </c>
      <c r="C6841" s="7" t="s">
        <v>33</v>
      </c>
      <c r="D6841" s="7" t="s">
        <v>34</v>
      </c>
      <c r="E6841" s="7" t="s">
        <v>39</v>
      </c>
      <c r="F6841" s="0" t="n">
        <v>371.2</v>
      </c>
      <c r="G6841" s="0" t="n">
        <v>41.76</v>
      </c>
      <c r="H6841" s="0" t="n">
        <v>0.2</v>
      </c>
      <c r="I6841" s="7" t="n">
        <f aca="false">YEAR(B6841)</f>
        <v>2017</v>
      </c>
      <c r="J6841" s="0" t="str">
        <f aca="false">I6841&amp;"-Q"&amp;ROUNDUP(MONTH(B6841)/3,0)</f>
        <v>2017-Q1</v>
      </c>
    </row>
    <row r="6842" customFormat="false" ht="15" hidden="false" customHeight="false" outlineLevel="0" collapsed="false">
      <c r="A6842" s="0" t="s">
        <v>3478</v>
      </c>
      <c r="B6842" s="6" t="n">
        <v>42344</v>
      </c>
      <c r="C6842" s="7" t="s">
        <v>55</v>
      </c>
      <c r="D6842" s="7" t="s">
        <v>116</v>
      </c>
      <c r="E6842" s="7" t="s">
        <v>35</v>
      </c>
      <c r="F6842" s="0" t="n">
        <v>14.832</v>
      </c>
      <c r="G6842" s="0" t="n">
        <v>-10.3824</v>
      </c>
      <c r="H6842" s="0" t="n">
        <v>0.7</v>
      </c>
      <c r="I6842" s="7" t="n">
        <f aca="false">YEAR(B6842)</f>
        <v>2015</v>
      </c>
      <c r="J6842" s="0" t="str">
        <f aca="false">I6842&amp;"-Q"&amp;ROUNDUP(MONTH(B6842)/3,0)</f>
        <v>2015-Q4</v>
      </c>
    </row>
    <row r="6843" customFormat="false" ht="15" hidden="false" customHeight="false" outlineLevel="0" collapsed="false">
      <c r="A6843" s="0" t="s">
        <v>3479</v>
      </c>
      <c r="B6843" s="6" t="n">
        <v>42625</v>
      </c>
      <c r="C6843" s="7" t="s">
        <v>29</v>
      </c>
      <c r="D6843" s="7" t="s">
        <v>83</v>
      </c>
      <c r="E6843" s="7" t="s">
        <v>39</v>
      </c>
      <c r="F6843" s="0" t="n">
        <v>20.7</v>
      </c>
      <c r="G6843" s="0" t="n">
        <v>1.656</v>
      </c>
      <c r="H6843" s="0" t="n">
        <v>0</v>
      </c>
      <c r="I6843" s="7" t="n">
        <f aca="false">YEAR(B6843)</f>
        <v>2016</v>
      </c>
      <c r="J6843" s="0" t="str">
        <f aca="false">I6843&amp;"-Q"&amp;ROUNDUP(MONTH(B6843)/3,0)</f>
        <v>2016-Q3</v>
      </c>
    </row>
    <row r="6844" customFormat="false" ht="15" hidden="false" customHeight="false" outlineLevel="0" collapsed="false">
      <c r="A6844" s="0" t="s">
        <v>3479</v>
      </c>
      <c r="B6844" s="6" t="n">
        <v>42625</v>
      </c>
      <c r="C6844" s="7" t="s">
        <v>29</v>
      </c>
      <c r="D6844" s="7" t="s">
        <v>83</v>
      </c>
      <c r="E6844" s="7" t="s">
        <v>35</v>
      </c>
      <c r="F6844" s="0" t="n">
        <v>11.34</v>
      </c>
      <c r="G6844" s="0" t="n">
        <v>5.2164</v>
      </c>
      <c r="H6844" s="0" t="n">
        <v>0</v>
      </c>
      <c r="I6844" s="7" t="n">
        <f aca="false">YEAR(B6844)</f>
        <v>2016</v>
      </c>
      <c r="J6844" s="0" t="str">
        <f aca="false">I6844&amp;"-Q"&amp;ROUNDUP(MONTH(B6844)/3,0)</f>
        <v>2016-Q3</v>
      </c>
    </row>
    <row r="6845" customFormat="false" ht="15" hidden="false" customHeight="false" outlineLevel="0" collapsed="false">
      <c r="A6845" s="0" t="s">
        <v>3479</v>
      </c>
      <c r="B6845" s="6" t="n">
        <v>42625</v>
      </c>
      <c r="C6845" s="7" t="s">
        <v>29</v>
      </c>
      <c r="D6845" s="7" t="s">
        <v>83</v>
      </c>
      <c r="E6845" s="7" t="s">
        <v>35</v>
      </c>
      <c r="F6845" s="0" t="n">
        <v>67.9</v>
      </c>
      <c r="G6845" s="0" t="n">
        <v>0.679</v>
      </c>
      <c r="H6845" s="0" t="n">
        <v>0</v>
      </c>
      <c r="I6845" s="7" t="n">
        <f aca="false">YEAR(B6845)</f>
        <v>2016</v>
      </c>
      <c r="J6845" s="0" t="str">
        <f aca="false">I6845&amp;"-Q"&amp;ROUNDUP(MONTH(B6845)/3,0)</f>
        <v>2016-Q3</v>
      </c>
    </row>
    <row r="6846" customFormat="false" ht="15" hidden="false" customHeight="false" outlineLevel="0" collapsed="false">
      <c r="A6846" s="0" t="s">
        <v>3479</v>
      </c>
      <c r="B6846" s="6" t="n">
        <v>42625</v>
      </c>
      <c r="C6846" s="7" t="s">
        <v>29</v>
      </c>
      <c r="D6846" s="7" t="s">
        <v>83</v>
      </c>
      <c r="E6846" s="7" t="s">
        <v>31</v>
      </c>
      <c r="F6846" s="0" t="n">
        <v>1059.12</v>
      </c>
      <c r="G6846" s="0" t="n">
        <v>307.1448</v>
      </c>
      <c r="H6846" s="0" t="n">
        <v>0</v>
      </c>
      <c r="I6846" s="7" t="n">
        <f aca="false">YEAR(B6846)</f>
        <v>2016</v>
      </c>
      <c r="J6846" s="0" t="str">
        <f aca="false">I6846&amp;"-Q"&amp;ROUNDUP(MONTH(B6846)/3,0)</f>
        <v>2016-Q3</v>
      </c>
    </row>
    <row r="6847" customFormat="false" ht="15" hidden="false" customHeight="false" outlineLevel="0" collapsed="false">
      <c r="A6847" s="0" t="s">
        <v>3480</v>
      </c>
      <c r="B6847" s="6" t="n">
        <v>41826</v>
      </c>
      <c r="C6847" s="7" t="s">
        <v>33</v>
      </c>
      <c r="D6847" s="7" t="s">
        <v>34</v>
      </c>
      <c r="E6847" s="7" t="s">
        <v>31</v>
      </c>
      <c r="F6847" s="0" t="n">
        <v>478.48</v>
      </c>
      <c r="G6847" s="0" t="n">
        <v>47.848</v>
      </c>
      <c r="H6847" s="0" t="n">
        <v>0.2</v>
      </c>
      <c r="I6847" s="7" t="n">
        <f aca="false">YEAR(B6847)</f>
        <v>2014</v>
      </c>
      <c r="J6847" s="0" t="str">
        <f aca="false">I6847&amp;"-Q"&amp;ROUNDUP(MONTH(B6847)/3,0)</f>
        <v>2014-Q3</v>
      </c>
    </row>
    <row r="6848" customFormat="false" ht="15" hidden="false" customHeight="false" outlineLevel="0" collapsed="false">
      <c r="A6848" s="0" t="s">
        <v>3481</v>
      </c>
      <c r="B6848" s="6" t="n">
        <v>42499</v>
      </c>
      <c r="C6848" s="7" t="s">
        <v>33</v>
      </c>
      <c r="D6848" s="7" t="s">
        <v>34</v>
      </c>
      <c r="E6848" s="7" t="s">
        <v>35</v>
      </c>
      <c r="F6848" s="0" t="n">
        <v>32.04</v>
      </c>
      <c r="G6848" s="0" t="n">
        <v>14.418</v>
      </c>
      <c r="H6848" s="0" t="n">
        <v>0</v>
      </c>
      <c r="I6848" s="7" t="n">
        <f aca="false">YEAR(B6848)</f>
        <v>2016</v>
      </c>
      <c r="J6848" s="0" t="str">
        <f aca="false">I6848&amp;"-Q"&amp;ROUNDUP(MONTH(B6848)/3,0)</f>
        <v>2016-Q2</v>
      </c>
    </row>
    <row r="6849" customFormat="false" ht="15" hidden="false" customHeight="false" outlineLevel="0" collapsed="false">
      <c r="A6849" s="0" t="s">
        <v>3482</v>
      </c>
      <c r="B6849" s="6" t="n">
        <v>42569</v>
      </c>
      <c r="C6849" s="7" t="s">
        <v>33</v>
      </c>
      <c r="D6849" s="7" t="s">
        <v>81</v>
      </c>
      <c r="E6849" s="7" t="s">
        <v>39</v>
      </c>
      <c r="F6849" s="0" t="n">
        <v>55.992</v>
      </c>
      <c r="G6849" s="0" t="n">
        <v>3.4995</v>
      </c>
      <c r="H6849" s="0" t="n">
        <v>0.2</v>
      </c>
      <c r="I6849" s="7" t="n">
        <f aca="false">YEAR(B6849)</f>
        <v>2016</v>
      </c>
      <c r="J6849" s="0" t="str">
        <f aca="false">I6849&amp;"-Q"&amp;ROUNDUP(MONTH(B6849)/3,0)</f>
        <v>2016-Q3</v>
      </c>
    </row>
    <row r="6850" customFormat="false" ht="15" hidden="false" customHeight="false" outlineLevel="0" collapsed="false">
      <c r="A6850" s="0" t="s">
        <v>3483</v>
      </c>
      <c r="B6850" s="6" t="n">
        <v>42539</v>
      </c>
      <c r="C6850" s="7" t="s">
        <v>45</v>
      </c>
      <c r="D6850" s="7" t="s">
        <v>64</v>
      </c>
      <c r="E6850" s="7" t="s">
        <v>35</v>
      </c>
      <c r="F6850" s="0" t="n">
        <v>76.864</v>
      </c>
      <c r="G6850" s="0" t="n">
        <v>26.9024</v>
      </c>
      <c r="H6850" s="0" t="n">
        <v>0.2</v>
      </c>
      <c r="I6850" s="7" t="n">
        <f aca="false">YEAR(B6850)</f>
        <v>2016</v>
      </c>
      <c r="J6850" s="0" t="str">
        <f aca="false">I6850&amp;"-Q"&amp;ROUNDUP(MONTH(B6850)/3,0)</f>
        <v>2016-Q2</v>
      </c>
    </row>
    <row r="6851" customFormat="false" ht="15" hidden="false" customHeight="false" outlineLevel="0" collapsed="false">
      <c r="A6851" s="0" t="s">
        <v>3484</v>
      </c>
      <c r="B6851" s="6" t="n">
        <v>41749</v>
      </c>
      <c r="C6851" s="7" t="s">
        <v>33</v>
      </c>
      <c r="D6851" s="7" t="s">
        <v>34</v>
      </c>
      <c r="E6851" s="7" t="s">
        <v>31</v>
      </c>
      <c r="F6851" s="0" t="n">
        <v>59.92</v>
      </c>
      <c r="G6851" s="0" t="n">
        <v>27.5632</v>
      </c>
      <c r="H6851" s="0" t="n">
        <v>0</v>
      </c>
      <c r="I6851" s="7" t="n">
        <f aca="false">YEAR(B6851)</f>
        <v>2014</v>
      </c>
      <c r="J6851" s="0" t="str">
        <f aca="false">I6851&amp;"-Q"&amp;ROUNDUP(MONTH(B6851)/3,0)</f>
        <v>2014-Q2</v>
      </c>
    </row>
    <row r="6852" customFormat="false" ht="15" hidden="false" customHeight="false" outlineLevel="0" collapsed="false">
      <c r="A6852" s="0" t="s">
        <v>3485</v>
      </c>
      <c r="B6852" s="6" t="n">
        <v>42377</v>
      </c>
      <c r="C6852" s="7" t="s">
        <v>45</v>
      </c>
      <c r="D6852" s="7" t="s">
        <v>48</v>
      </c>
      <c r="E6852" s="7" t="s">
        <v>31</v>
      </c>
      <c r="F6852" s="0" t="n">
        <v>1565.88</v>
      </c>
      <c r="G6852" s="0" t="n">
        <v>407.1288</v>
      </c>
      <c r="H6852" s="0" t="n">
        <v>0</v>
      </c>
      <c r="I6852" s="7" t="n">
        <f aca="false">YEAR(B6852)</f>
        <v>2016</v>
      </c>
      <c r="J6852" s="0" t="str">
        <f aca="false">I6852&amp;"-Q"&amp;ROUNDUP(MONTH(B6852)/3,0)</f>
        <v>2016-Q1</v>
      </c>
    </row>
    <row r="6853" customFormat="false" ht="15" hidden="false" customHeight="false" outlineLevel="0" collapsed="false">
      <c r="A6853" s="0" t="s">
        <v>3485</v>
      </c>
      <c r="B6853" s="6" t="n">
        <v>42377</v>
      </c>
      <c r="C6853" s="7" t="s">
        <v>45</v>
      </c>
      <c r="D6853" s="7" t="s">
        <v>48</v>
      </c>
      <c r="E6853" s="7" t="s">
        <v>35</v>
      </c>
      <c r="F6853" s="0" t="n">
        <v>106.05</v>
      </c>
      <c r="G6853" s="0" t="n">
        <v>49.8435</v>
      </c>
      <c r="H6853" s="0" t="n">
        <v>0</v>
      </c>
      <c r="I6853" s="7" t="n">
        <f aca="false">YEAR(B6853)</f>
        <v>2016</v>
      </c>
      <c r="J6853" s="0" t="str">
        <f aca="false">I6853&amp;"-Q"&amp;ROUNDUP(MONTH(B6853)/3,0)</f>
        <v>2016-Q1</v>
      </c>
    </row>
    <row r="6854" customFormat="false" ht="15" hidden="false" customHeight="false" outlineLevel="0" collapsed="false">
      <c r="A6854" s="0" t="s">
        <v>3486</v>
      </c>
      <c r="B6854" s="6" t="n">
        <v>43092</v>
      </c>
      <c r="C6854" s="7" t="s">
        <v>29</v>
      </c>
      <c r="D6854" s="7" t="s">
        <v>301</v>
      </c>
      <c r="E6854" s="7" t="s">
        <v>35</v>
      </c>
      <c r="F6854" s="0" t="n">
        <v>62.04</v>
      </c>
      <c r="G6854" s="0" t="n">
        <v>17.3712</v>
      </c>
      <c r="H6854" s="0" t="n">
        <v>0</v>
      </c>
      <c r="I6854" s="7" t="n">
        <f aca="false">YEAR(B6854)</f>
        <v>2017</v>
      </c>
      <c r="J6854" s="0" t="str">
        <f aca="false">I6854&amp;"-Q"&amp;ROUNDUP(MONTH(B6854)/3,0)</f>
        <v>2017-Q4</v>
      </c>
    </row>
    <row r="6855" customFormat="false" ht="15" hidden="false" customHeight="false" outlineLevel="0" collapsed="false">
      <c r="A6855" s="0" t="s">
        <v>3486</v>
      </c>
      <c r="B6855" s="6" t="n">
        <v>43092</v>
      </c>
      <c r="C6855" s="7" t="s">
        <v>29</v>
      </c>
      <c r="D6855" s="7" t="s">
        <v>301</v>
      </c>
      <c r="E6855" s="7" t="s">
        <v>39</v>
      </c>
      <c r="F6855" s="0" t="n">
        <v>494.97</v>
      </c>
      <c r="G6855" s="0" t="n">
        <v>148.491</v>
      </c>
      <c r="H6855" s="0" t="n">
        <v>0</v>
      </c>
      <c r="I6855" s="7" t="n">
        <f aca="false">YEAR(B6855)</f>
        <v>2017</v>
      </c>
      <c r="J6855" s="0" t="str">
        <f aca="false">I6855&amp;"-Q"&amp;ROUNDUP(MONTH(B6855)/3,0)</f>
        <v>2017-Q4</v>
      </c>
    </row>
    <row r="6856" customFormat="false" ht="15" hidden="false" customHeight="false" outlineLevel="0" collapsed="false">
      <c r="A6856" s="0" t="s">
        <v>3486</v>
      </c>
      <c r="B6856" s="6" t="n">
        <v>43092</v>
      </c>
      <c r="C6856" s="7" t="s">
        <v>29</v>
      </c>
      <c r="D6856" s="7" t="s">
        <v>301</v>
      </c>
      <c r="E6856" s="7" t="s">
        <v>35</v>
      </c>
      <c r="F6856" s="0" t="n">
        <v>367.96</v>
      </c>
      <c r="G6856" s="0" t="n">
        <v>14.7184</v>
      </c>
      <c r="H6856" s="0" t="n">
        <v>0</v>
      </c>
      <c r="I6856" s="7" t="n">
        <f aca="false">YEAR(B6856)</f>
        <v>2017</v>
      </c>
      <c r="J6856" s="0" t="str">
        <f aca="false">I6856&amp;"-Q"&amp;ROUNDUP(MONTH(B6856)/3,0)</f>
        <v>2017-Q4</v>
      </c>
    </row>
    <row r="6857" customFormat="false" ht="15" hidden="false" customHeight="false" outlineLevel="0" collapsed="false">
      <c r="A6857" s="0" t="s">
        <v>3486</v>
      </c>
      <c r="B6857" s="6" t="n">
        <v>43092</v>
      </c>
      <c r="C6857" s="7" t="s">
        <v>29</v>
      </c>
      <c r="D6857" s="7" t="s">
        <v>301</v>
      </c>
      <c r="E6857" s="7" t="s">
        <v>35</v>
      </c>
      <c r="F6857" s="0" t="n">
        <v>44.96</v>
      </c>
      <c r="G6857" s="0" t="n">
        <v>20.6816</v>
      </c>
      <c r="H6857" s="0" t="n">
        <v>0</v>
      </c>
      <c r="I6857" s="7" t="n">
        <f aca="false">YEAR(B6857)</f>
        <v>2017</v>
      </c>
      <c r="J6857" s="0" t="str">
        <f aca="false">I6857&amp;"-Q"&amp;ROUNDUP(MONTH(B6857)/3,0)</f>
        <v>2017-Q4</v>
      </c>
    </row>
    <row r="6858" customFormat="false" ht="15" hidden="false" customHeight="false" outlineLevel="0" collapsed="false">
      <c r="A6858" s="0" t="s">
        <v>3486</v>
      </c>
      <c r="B6858" s="6" t="n">
        <v>43092</v>
      </c>
      <c r="C6858" s="7" t="s">
        <v>29</v>
      </c>
      <c r="D6858" s="7" t="s">
        <v>301</v>
      </c>
      <c r="E6858" s="7" t="s">
        <v>35</v>
      </c>
      <c r="F6858" s="0" t="n">
        <v>182.94</v>
      </c>
      <c r="G6858" s="0" t="n">
        <v>85.9818</v>
      </c>
      <c r="H6858" s="0" t="n">
        <v>0</v>
      </c>
      <c r="I6858" s="7" t="n">
        <f aca="false">YEAR(B6858)</f>
        <v>2017</v>
      </c>
      <c r="J6858" s="0" t="str">
        <f aca="false">I6858&amp;"-Q"&amp;ROUNDUP(MONTH(B6858)/3,0)</f>
        <v>2017-Q4</v>
      </c>
    </row>
    <row r="6859" customFormat="false" ht="15" hidden="false" customHeight="false" outlineLevel="0" collapsed="false">
      <c r="A6859" s="0" t="s">
        <v>3487</v>
      </c>
      <c r="B6859" s="6" t="n">
        <v>42842</v>
      </c>
      <c r="C6859" s="7" t="s">
        <v>33</v>
      </c>
      <c r="D6859" s="7" t="s">
        <v>34</v>
      </c>
      <c r="E6859" s="7" t="s">
        <v>35</v>
      </c>
      <c r="F6859" s="0" t="n">
        <v>28.14</v>
      </c>
      <c r="G6859" s="0" t="n">
        <v>13.5072</v>
      </c>
      <c r="H6859" s="0" t="n">
        <v>0</v>
      </c>
      <c r="I6859" s="7" t="n">
        <f aca="false">YEAR(B6859)</f>
        <v>2017</v>
      </c>
      <c r="J6859" s="0" t="str">
        <f aca="false">I6859&amp;"-Q"&amp;ROUNDUP(MONTH(B6859)/3,0)</f>
        <v>2017-Q2</v>
      </c>
    </row>
    <row r="6860" customFormat="false" ht="15" hidden="false" customHeight="false" outlineLevel="0" collapsed="false">
      <c r="A6860" s="0" t="s">
        <v>3487</v>
      </c>
      <c r="B6860" s="6" t="n">
        <v>42842</v>
      </c>
      <c r="C6860" s="7" t="s">
        <v>33</v>
      </c>
      <c r="D6860" s="7" t="s">
        <v>34</v>
      </c>
      <c r="E6860" s="7" t="s">
        <v>35</v>
      </c>
      <c r="F6860" s="0" t="n">
        <v>7.38</v>
      </c>
      <c r="G6860" s="0" t="n">
        <v>3.4686</v>
      </c>
      <c r="H6860" s="0" t="n">
        <v>0</v>
      </c>
      <c r="I6860" s="7" t="n">
        <f aca="false">YEAR(B6860)</f>
        <v>2017</v>
      </c>
      <c r="J6860" s="0" t="str">
        <f aca="false">I6860&amp;"-Q"&amp;ROUNDUP(MONTH(B6860)/3,0)</f>
        <v>2017-Q2</v>
      </c>
    </row>
    <row r="6861" customFormat="false" ht="15" hidden="false" customHeight="false" outlineLevel="0" collapsed="false">
      <c r="A6861" s="0" t="s">
        <v>3487</v>
      </c>
      <c r="B6861" s="6" t="n">
        <v>42842</v>
      </c>
      <c r="C6861" s="7" t="s">
        <v>33</v>
      </c>
      <c r="D6861" s="7" t="s">
        <v>34</v>
      </c>
      <c r="E6861" s="7" t="s">
        <v>35</v>
      </c>
      <c r="F6861" s="0" t="n">
        <v>10.9</v>
      </c>
      <c r="G6861" s="0" t="n">
        <v>3.597</v>
      </c>
      <c r="H6861" s="0" t="n">
        <v>0</v>
      </c>
      <c r="I6861" s="7" t="n">
        <f aca="false">YEAR(B6861)</f>
        <v>2017</v>
      </c>
      <c r="J6861" s="0" t="str">
        <f aca="false">I6861&amp;"-Q"&amp;ROUNDUP(MONTH(B6861)/3,0)</f>
        <v>2017-Q2</v>
      </c>
    </row>
    <row r="6862" customFormat="false" ht="15" hidden="false" customHeight="false" outlineLevel="0" collapsed="false">
      <c r="A6862" s="0" t="s">
        <v>3487</v>
      </c>
      <c r="B6862" s="6" t="n">
        <v>42842</v>
      </c>
      <c r="C6862" s="7" t="s">
        <v>33</v>
      </c>
      <c r="D6862" s="7" t="s">
        <v>34</v>
      </c>
      <c r="E6862" s="7" t="s">
        <v>39</v>
      </c>
      <c r="F6862" s="0" t="n">
        <v>274.89</v>
      </c>
      <c r="G6862" s="0" t="n">
        <v>46.7313</v>
      </c>
      <c r="H6862" s="0" t="n">
        <v>0</v>
      </c>
      <c r="I6862" s="7" t="n">
        <f aca="false">YEAR(B6862)</f>
        <v>2017</v>
      </c>
      <c r="J6862" s="0" t="str">
        <f aca="false">I6862&amp;"-Q"&amp;ROUNDUP(MONTH(B6862)/3,0)</f>
        <v>2017-Q2</v>
      </c>
    </row>
    <row r="6863" customFormat="false" ht="15" hidden="false" customHeight="false" outlineLevel="0" collapsed="false">
      <c r="A6863" s="0" t="s">
        <v>3487</v>
      </c>
      <c r="B6863" s="6" t="n">
        <v>42842</v>
      </c>
      <c r="C6863" s="7" t="s">
        <v>33</v>
      </c>
      <c r="D6863" s="7" t="s">
        <v>34</v>
      </c>
      <c r="E6863" s="7" t="s">
        <v>35</v>
      </c>
      <c r="F6863" s="0" t="n">
        <v>23.04</v>
      </c>
      <c r="G6863" s="0" t="n">
        <v>11.2896</v>
      </c>
      <c r="H6863" s="0" t="n">
        <v>0</v>
      </c>
      <c r="I6863" s="7" t="n">
        <f aca="false">YEAR(B6863)</f>
        <v>2017</v>
      </c>
      <c r="J6863" s="0" t="str">
        <f aca="false">I6863&amp;"-Q"&amp;ROUNDUP(MONTH(B6863)/3,0)</f>
        <v>2017-Q2</v>
      </c>
    </row>
    <row r="6864" customFormat="false" ht="15" hidden="false" customHeight="false" outlineLevel="0" collapsed="false">
      <c r="A6864" s="0" t="s">
        <v>3487</v>
      </c>
      <c r="B6864" s="6" t="n">
        <v>42842</v>
      </c>
      <c r="C6864" s="7" t="s">
        <v>33</v>
      </c>
      <c r="D6864" s="7" t="s">
        <v>34</v>
      </c>
      <c r="E6864" s="7" t="s">
        <v>31</v>
      </c>
      <c r="F6864" s="0" t="n">
        <v>218.352</v>
      </c>
      <c r="G6864" s="0" t="n">
        <v>-19.1058</v>
      </c>
      <c r="H6864" s="0" t="n">
        <v>0.2</v>
      </c>
      <c r="I6864" s="7" t="n">
        <f aca="false">YEAR(B6864)</f>
        <v>2017</v>
      </c>
      <c r="J6864" s="0" t="str">
        <f aca="false">I6864&amp;"-Q"&amp;ROUNDUP(MONTH(B6864)/3,0)</f>
        <v>2017-Q2</v>
      </c>
    </row>
    <row r="6865" customFormat="false" ht="15" hidden="false" customHeight="false" outlineLevel="0" collapsed="false">
      <c r="A6865" s="0" t="s">
        <v>3488</v>
      </c>
      <c r="B6865" s="6" t="n">
        <v>43070</v>
      </c>
      <c r="C6865" s="7" t="s">
        <v>45</v>
      </c>
      <c r="D6865" s="7" t="s">
        <v>46</v>
      </c>
      <c r="E6865" s="7" t="s">
        <v>35</v>
      </c>
      <c r="F6865" s="0" t="n">
        <v>10.368</v>
      </c>
      <c r="G6865" s="0" t="n">
        <v>3.6288</v>
      </c>
      <c r="H6865" s="0" t="n">
        <v>0.2</v>
      </c>
      <c r="I6865" s="7" t="n">
        <f aca="false">YEAR(B6865)</f>
        <v>2017</v>
      </c>
      <c r="J6865" s="0" t="str">
        <f aca="false">I6865&amp;"-Q"&amp;ROUNDUP(MONTH(B6865)/3,0)</f>
        <v>2017-Q4</v>
      </c>
    </row>
    <row r="6866" customFormat="false" ht="15" hidden="false" customHeight="false" outlineLevel="0" collapsed="false">
      <c r="A6866" s="0" t="s">
        <v>3489</v>
      </c>
      <c r="B6866" s="6" t="n">
        <v>42603</v>
      </c>
      <c r="C6866" s="7" t="s">
        <v>33</v>
      </c>
      <c r="D6866" s="7" t="s">
        <v>34</v>
      </c>
      <c r="E6866" s="7" t="s">
        <v>35</v>
      </c>
      <c r="F6866" s="0" t="n">
        <v>12.672</v>
      </c>
      <c r="G6866" s="0" t="n">
        <v>4.752</v>
      </c>
      <c r="H6866" s="0" t="n">
        <v>0.2</v>
      </c>
      <c r="I6866" s="7" t="n">
        <f aca="false">YEAR(B6866)</f>
        <v>2016</v>
      </c>
      <c r="J6866" s="0" t="str">
        <f aca="false">I6866&amp;"-Q"&amp;ROUNDUP(MONTH(B6866)/3,0)</f>
        <v>2016-Q3</v>
      </c>
    </row>
    <row r="6867" customFormat="false" ht="15" hidden="false" customHeight="false" outlineLevel="0" collapsed="false">
      <c r="A6867" s="0" t="s">
        <v>3489</v>
      </c>
      <c r="B6867" s="6" t="n">
        <v>42603</v>
      </c>
      <c r="C6867" s="7" t="s">
        <v>33</v>
      </c>
      <c r="D6867" s="7" t="s">
        <v>34</v>
      </c>
      <c r="E6867" s="7" t="s">
        <v>39</v>
      </c>
      <c r="F6867" s="0" t="n">
        <v>91.96</v>
      </c>
      <c r="G6867" s="0" t="n">
        <v>-20.691</v>
      </c>
      <c r="H6867" s="0" t="n">
        <v>0.2</v>
      </c>
      <c r="I6867" s="7" t="n">
        <f aca="false">YEAR(B6867)</f>
        <v>2016</v>
      </c>
      <c r="J6867" s="0" t="str">
        <f aca="false">I6867&amp;"-Q"&amp;ROUNDUP(MONTH(B6867)/3,0)</f>
        <v>2016-Q3</v>
      </c>
    </row>
    <row r="6868" customFormat="false" ht="15" hidden="false" customHeight="false" outlineLevel="0" collapsed="false">
      <c r="A6868" s="0" t="s">
        <v>3489</v>
      </c>
      <c r="B6868" s="6" t="n">
        <v>42603</v>
      </c>
      <c r="C6868" s="7" t="s">
        <v>33</v>
      </c>
      <c r="D6868" s="7" t="s">
        <v>34</v>
      </c>
      <c r="E6868" s="7" t="s">
        <v>39</v>
      </c>
      <c r="F6868" s="0" t="n">
        <v>254.97</v>
      </c>
      <c r="G6868" s="0" t="n">
        <v>91.7892</v>
      </c>
      <c r="H6868" s="0" t="n">
        <v>0</v>
      </c>
      <c r="I6868" s="7" t="n">
        <f aca="false">YEAR(B6868)</f>
        <v>2016</v>
      </c>
      <c r="J6868" s="0" t="str">
        <f aca="false">I6868&amp;"-Q"&amp;ROUNDUP(MONTH(B6868)/3,0)</f>
        <v>2016-Q3</v>
      </c>
    </row>
    <row r="6869" customFormat="false" ht="15" hidden="false" customHeight="false" outlineLevel="0" collapsed="false">
      <c r="A6869" s="0" t="s">
        <v>3489</v>
      </c>
      <c r="B6869" s="6" t="n">
        <v>42603</v>
      </c>
      <c r="C6869" s="7" t="s">
        <v>33</v>
      </c>
      <c r="D6869" s="7" t="s">
        <v>34</v>
      </c>
      <c r="E6869" s="7" t="s">
        <v>39</v>
      </c>
      <c r="F6869" s="0" t="n">
        <v>31.984</v>
      </c>
      <c r="G6869" s="0" t="n">
        <v>-7.996</v>
      </c>
      <c r="H6869" s="0" t="n">
        <v>0.2</v>
      </c>
      <c r="I6869" s="7" t="n">
        <f aca="false">YEAR(B6869)</f>
        <v>2016</v>
      </c>
      <c r="J6869" s="0" t="str">
        <f aca="false">I6869&amp;"-Q"&amp;ROUNDUP(MONTH(B6869)/3,0)</f>
        <v>2016-Q3</v>
      </c>
    </row>
    <row r="6870" customFormat="false" ht="15" hidden="false" customHeight="false" outlineLevel="0" collapsed="false">
      <c r="A6870" s="0" t="s">
        <v>3489</v>
      </c>
      <c r="B6870" s="6" t="n">
        <v>42603</v>
      </c>
      <c r="C6870" s="7" t="s">
        <v>33</v>
      </c>
      <c r="D6870" s="7" t="s">
        <v>34</v>
      </c>
      <c r="E6870" s="7" t="s">
        <v>31</v>
      </c>
      <c r="F6870" s="0" t="n">
        <v>2887.056</v>
      </c>
      <c r="G6870" s="0" t="n">
        <v>180.441</v>
      </c>
      <c r="H6870" s="0" t="n">
        <v>0.2</v>
      </c>
      <c r="I6870" s="7" t="n">
        <f aca="false">YEAR(B6870)</f>
        <v>2016</v>
      </c>
      <c r="J6870" s="0" t="str">
        <f aca="false">I6870&amp;"-Q"&amp;ROUNDUP(MONTH(B6870)/3,0)</f>
        <v>2016-Q3</v>
      </c>
    </row>
    <row r="6871" customFormat="false" ht="15" hidden="false" customHeight="false" outlineLevel="0" collapsed="false">
      <c r="A6871" s="0" t="s">
        <v>3489</v>
      </c>
      <c r="B6871" s="6" t="n">
        <v>42603</v>
      </c>
      <c r="C6871" s="7" t="s">
        <v>33</v>
      </c>
      <c r="D6871" s="7" t="s">
        <v>34</v>
      </c>
      <c r="E6871" s="7" t="s">
        <v>35</v>
      </c>
      <c r="F6871" s="0" t="n">
        <v>12.96</v>
      </c>
      <c r="G6871" s="0" t="n">
        <v>6.2208</v>
      </c>
      <c r="H6871" s="0" t="n">
        <v>0</v>
      </c>
      <c r="I6871" s="7" t="n">
        <f aca="false">YEAR(B6871)</f>
        <v>2016</v>
      </c>
      <c r="J6871" s="0" t="str">
        <f aca="false">I6871&amp;"-Q"&amp;ROUNDUP(MONTH(B6871)/3,0)</f>
        <v>2016-Q3</v>
      </c>
    </row>
    <row r="6872" customFormat="false" ht="15" hidden="false" customHeight="false" outlineLevel="0" collapsed="false">
      <c r="A6872" s="0" t="s">
        <v>3489</v>
      </c>
      <c r="B6872" s="6" t="n">
        <v>42603</v>
      </c>
      <c r="C6872" s="7" t="s">
        <v>33</v>
      </c>
      <c r="D6872" s="7" t="s">
        <v>34</v>
      </c>
      <c r="E6872" s="7" t="s">
        <v>35</v>
      </c>
      <c r="F6872" s="0" t="n">
        <v>47.52</v>
      </c>
      <c r="G6872" s="0" t="n">
        <v>21.384</v>
      </c>
      <c r="H6872" s="0" t="n">
        <v>0</v>
      </c>
      <c r="I6872" s="7" t="n">
        <f aca="false">YEAR(B6872)</f>
        <v>2016</v>
      </c>
      <c r="J6872" s="0" t="str">
        <f aca="false">I6872&amp;"-Q"&amp;ROUNDUP(MONTH(B6872)/3,0)</f>
        <v>2016-Q3</v>
      </c>
    </row>
    <row r="6873" customFormat="false" ht="15" hidden="false" customHeight="false" outlineLevel="0" collapsed="false">
      <c r="A6873" s="0" t="s">
        <v>3490</v>
      </c>
      <c r="B6873" s="6" t="n">
        <v>42709</v>
      </c>
      <c r="C6873" s="7" t="s">
        <v>45</v>
      </c>
      <c r="D6873" s="7" t="s">
        <v>64</v>
      </c>
      <c r="E6873" s="7" t="s">
        <v>35</v>
      </c>
      <c r="F6873" s="0" t="n">
        <v>11.952</v>
      </c>
      <c r="G6873" s="0" t="n">
        <v>3.8844</v>
      </c>
      <c r="H6873" s="0" t="n">
        <v>0.2</v>
      </c>
      <c r="I6873" s="7" t="n">
        <f aca="false">YEAR(B6873)</f>
        <v>2016</v>
      </c>
      <c r="J6873" s="0" t="str">
        <f aca="false">I6873&amp;"-Q"&amp;ROUNDUP(MONTH(B6873)/3,0)</f>
        <v>2016-Q4</v>
      </c>
    </row>
    <row r="6874" customFormat="false" ht="15" hidden="false" customHeight="false" outlineLevel="0" collapsed="false">
      <c r="A6874" s="0" t="s">
        <v>3491</v>
      </c>
      <c r="B6874" s="6" t="n">
        <v>42354</v>
      </c>
      <c r="C6874" s="7" t="s">
        <v>33</v>
      </c>
      <c r="D6874" s="7" t="s">
        <v>43</v>
      </c>
      <c r="E6874" s="7" t="s">
        <v>35</v>
      </c>
      <c r="F6874" s="0" t="n">
        <v>4.98</v>
      </c>
      <c r="G6874" s="0" t="n">
        <v>2.3406</v>
      </c>
      <c r="H6874" s="0" t="n">
        <v>0</v>
      </c>
      <c r="I6874" s="7" t="n">
        <f aca="false">YEAR(B6874)</f>
        <v>2015</v>
      </c>
      <c r="J6874" s="0" t="str">
        <f aca="false">I6874&amp;"-Q"&amp;ROUNDUP(MONTH(B6874)/3,0)</f>
        <v>2015-Q4</v>
      </c>
    </row>
    <row r="6875" customFormat="false" ht="15" hidden="false" customHeight="false" outlineLevel="0" collapsed="false">
      <c r="A6875" s="0" t="s">
        <v>3492</v>
      </c>
      <c r="B6875" s="6" t="n">
        <v>41929</v>
      </c>
      <c r="C6875" s="7" t="s">
        <v>45</v>
      </c>
      <c r="D6875" s="7" t="s">
        <v>46</v>
      </c>
      <c r="E6875" s="7" t="s">
        <v>35</v>
      </c>
      <c r="F6875" s="0" t="n">
        <v>10.78</v>
      </c>
      <c r="G6875" s="0" t="n">
        <v>-17.248</v>
      </c>
      <c r="H6875" s="0" t="n">
        <v>0.8</v>
      </c>
      <c r="I6875" s="7" t="n">
        <f aca="false">YEAR(B6875)</f>
        <v>2014</v>
      </c>
      <c r="J6875" s="0" t="str">
        <f aca="false">I6875&amp;"-Q"&amp;ROUNDUP(MONTH(B6875)/3,0)</f>
        <v>2014-Q4</v>
      </c>
    </row>
    <row r="6876" customFormat="false" ht="15" hidden="false" customHeight="false" outlineLevel="0" collapsed="false">
      <c r="A6876" s="0" t="s">
        <v>3492</v>
      </c>
      <c r="B6876" s="6" t="n">
        <v>41929</v>
      </c>
      <c r="C6876" s="7" t="s">
        <v>45</v>
      </c>
      <c r="D6876" s="7" t="s">
        <v>46</v>
      </c>
      <c r="E6876" s="7" t="s">
        <v>39</v>
      </c>
      <c r="F6876" s="0" t="n">
        <v>119.976</v>
      </c>
      <c r="G6876" s="0" t="n">
        <v>-17.9964</v>
      </c>
      <c r="H6876" s="0" t="n">
        <v>0.2</v>
      </c>
      <c r="I6876" s="7" t="n">
        <f aca="false">YEAR(B6876)</f>
        <v>2014</v>
      </c>
      <c r="J6876" s="0" t="str">
        <f aca="false">I6876&amp;"-Q"&amp;ROUNDUP(MONTH(B6876)/3,0)</f>
        <v>2014-Q4</v>
      </c>
    </row>
    <row r="6877" customFormat="false" ht="15" hidden="false" customHeight="false" outlineLevel="0" collapsed="false">
      <c r="A6877" s="0" t="s">
        <v>3493</v>
      </c>
      <c r="B6877" s="6" t="n">
        <v>42618</v>
      </c>
      <c r="C6877" s="7" t="s">
        <v>29</v>
      </c>
      <c r="D6877" s="7" t="s">
        <v>83</v>
      </c>
      <c r="E6877" s="7" t="s">
        <v>35</v>
      </c>
      <c r="F6877" s="0" t="n">
        <v>25.06</v>
      </c>
      <c r="G6877" s="0" t="n">
        <v>11.7782</v>
      </c>
      <c r="H6877" s="0" t="n">
        <v>0</v>
      </c>
      <c r="I6877" s="7" t="n">
        <f aca="false">YEAR(B6877)</f>
        <v>2016</v>
      </c>
      <c r="J6877" s="0" t="str">
        <f aca="false">I6877&amp;"-Q"&amp;ROUNDUP(MONTH(B6877)/3,0)</f>
        <v>2016-Q3</v>
      </c>
    </row>
    <row r="6878" customFormat="false" ht="15" hidden="false" customHeight="false" outlineLevel="0" collapsed="false">
      <c r="A6878" s="0" t="s">
        <v>3493</v>
      </c>
      <c r="B6878" s="6" t="n">
        <v>42618</v>
      </c>
      <c r="C6878" s="7" t="s">
        <v>29</v>
      </c>
      <c r="D6878" s="7" t="s">
        <v>83</v>
      </c>
      <c r="E6878" s="7" t="s">
        <v>31</v>
      </c>
      <c r="F6878" s="0" t="n">
        <v>1652.94</v>
      </c>
      <c r="G6878" s="0" t="n">
        <v>314.0586</v>
      </c>
      <c r="H6878" s="0" t="n">
        <v>0</v>
      </c>
      <c r="I6878" s="7" t="n">
        <f aca="false">YEAR(B6878)</f>
        <v>2016</v>
      </c>
      <c r="J6878" s="0" t="str">
        <f aca="false">I6878&amp;"-Q"&amp;ROUNDUP(MONTH(B6878)/3,0)</f>
        <v>2016-Q3</v>
      </c>
    </row>
    <row r="6879" customFormat="false" ht="15" hidden="false" customHeight="false" outlineLevel="0" collapsed="false">
      <c r="A6879" s="0" t="s">
        <v>3494</v>
      </c>
      <c r="B6879" s="6" t="n">
        <v>42292</v>
      </c>
      <c r="C6879" s="7" t="s">
        <v>45</v>
      </c>
      <c r="D6879" s="7" t="s">
        <v>46</v>
      </c>
      <c r="E6879" s="7" t="s">
        <v>31</v>
      </c>
      <c r="F6879" s="0" t="n">
        <v>131.376</v>
      </c>
      <c r="G6879" s="0" t="n">
        <v>-95.2476</v>
      </c>
      <c r="H6879" s="0" t="n">
        <v>0.6</v>
      </c>
      <c r="I6879" s="7" t="n">
        <f aca="false">YEAR(B6879)</f>
        <v>2015</v>
      </c>
      <c r="J6879" s="0" t="str">
        <f aca="false">I6879&amp;"-Q"&amp;ROUNDUP(MONTH(B6879)/3,0)</f>
        <v>2015-Q4</v>
      </c>
    </row>
    <row r="6880" customFormat="false" ht="15" hidden="false" customHeight="false" outlineLevel="0" collapsed="false">
      <c r="A6880" s="0" t="s">
        <v>3494</v>
      </c>
      <c r="B6880" s="6" t="n">
        <v>42292</v>
      </c>
      <c r="C6880" s="7" t="s">
        <v>45</v>
      </c>
      <c r="D6880" s="7" t="s">
        <v>46</v>
      </c>
      <c r="E6880" s="7" t="s">
        <v>35</v>
      </c>
      <c r="F6880" s="0" t="n">
        <v>5.344</v>
      </c>
      <c r="G6880" s="0" t="n">
        <v>1.8704</v>
      </c>
      <c r="H6880" s="0" t="n">
        <v>0.2</v>
      </c>
      <c r="I6880" s="7" t="n">
        <f aca="false">YEAR(B6880)</f>
        <v>2015</v>
      </c>
      <c r="J6880" s="0" t="str">
        <f aca="false">I6880&amp;"-Q"&amp;ROUNDUP(MONTH(B6880)/3,0)</f>
        <v>2015-Q4</v>
      </c>
    </row>
    <row r="6881" customFormat="false" ht="15" hidden="false" customHeight="false" outlineLevel="0" collapsed="false">
      <c r="A6881" s="0" t="s">
        <v>3495</v>
      </c>
      <c r="B6881" s="6" t="n">
        <v>42339</v>
      </c>
      <c r="C6881" s="7" t="s">
        <v>33</v>
      </c>
      <c r="D6881" s="7" t="s">
        <v>43</v>
      </c>
      <c r="E6881" s="7" t="s">
        <v>31</v>
      </c>
      <c r="F6881" s="0" t="n">
        <v>2003.92</v>
      </c>
      <c r="G6881" s="0" t="n">
        <v>125.245</v>
      </c>
      <c r="H6881" s="0" t="n">
        <v>0.2</v>
      </c>
      <c r="I6881" s="7" t="n">
        <f aca="false">YEAR(B6881)</f>
        <v>2015</v>
      </c>
      <c r="J6881" s="0" t="str">
        <f aca="false">I6881&amp;"-Q"&amp;ROUNDUP(MONTH(B6881)/3,0)</f>
        <v>2015-Q4</v>
      </c>
    </row>
    <row r="6882" customFormat="false" ht="15" hidden="false" customHeight="false" outlineLevel="0" collapsed="false">
      <c r="A6882" s="0" t="s">
        <v>3495</v>
      </c>
      <c r="B6882" s="6" t="n">
        <v>42339</v>
      </c>
      <c r="C6882" s="7" t="s">
        <v>33</v>
      </c>
      <c r="D6882" s="7" t="s">
        <v>43</v>
      </c>
      <c r="E6882" s="7" t="s">
        <v>35</v>
      </c>
      <c r="F6882" s="0" t="n">
        <v>32.4</v>
      </c>
      <c r="G6882" s="0" t="n">
        <v>15.552</v>
      </c>
      <c r="H6882" s="0" t="n">
        <v>0</v>
      </c>
      <c r="I6882" s="7" t="n">
        <f aca="false">YEAR(B6882)</f>
        <v>2015</v>
      </c>
      <c r="J6882" s="0" t="str">
        <f aca="false">I6882&amp;"-Q"&amp;ROUNDUP(MONTH(B6882)/3,0)</f>
        <v>2015-Q4</v>
      </c>
    </row>
    <row r="6883" customFormat="false" ht="15" hidden="false" customHeight="false" outlineLevel="0" collapsed="false">
      <c r="A6883" s="0" t="s">
        <v>3495</v>
      </c>
      <c r="B6883" s="6" t="n">
        <v>42339</v>
      </c>
      <c r="C6883" s="7" t="s">
        <v>33</v>
      </c>
      <c r="D6883" s="7" t="s">
        <v>43</v>
      </c>
      <c r="E6883" s="7" t="s">
        <v>31</v>
      </c>
      <c r="F6883" s="0" t="n">
        <v>1913.4</v>
      </c>
      <c r="G6883" s="0" t="n">
        <v>401.814</v>
      </c>
      <c r="H6883" s="0" t="n">
        <v>0</v>
      </c>
      <c r="I6883" s="7" t="n">
        <f aca="false">YEAR(B6883)</f>
        <v>2015</v>
      </c>
      <c r="J6883" s="0" t="str">
        <f aca="false">I6883&amp;"-Q"&amp;ROUNDUP(MONTH(B6883)/3,0)</f>
        <v>2015-Q4</v>
      </c>
    </row>
    <row r="6884" customFormat="false" ht="15" hidden="false" customHeight="false" outlineLevel="0" collapsed="false">
      <c r="A6884" s="0" t="s">
        <v>3495</v>
      </c>
      <c r="B6884" s="6" t="n">
        <v>42339</v>
      </c>
      <c r="C6884" s="7" t="s">
        <v>33</v>
      </c>
      <c r="D6884" s="7" t="s">
        <v>43</v>
      </c>
      <c r="E6884" s="7" t="s">
        <v>35</v>
      </c>
      <c r="F6884" s="0" t="n">
        <v>146.73</v>
      </c>
      <c r="G6884" s="0" t="n">
        <v>2.9346</v>
      </c>
      <c r="H6884" s="0" t="n">
        <v>0</v>
      </c>
      <c r="I6884" s="7" t="n">
        <f aca="false">YEAR(B6884)</f>
        <v>2015</v>
      </c>
      <c r="J6884" s="0" t="str">
        <f aca="false">I6884&amp;"-Q"&amp;ROUNDUP(MONTH(B6884)/3,0)</f>
        <v>2015-Q4</v>
      </c>
    </row>
    <row r="6885" customFormat="false" ht="15" hidden="false" customHeight="false" outlineLevel="0" collapsed="false">
      <c r="A6885" s="0" t="s">
        <v>3495</v>
      </c>
      <c r="B6885" s="6" t="n">
        <v>42339</v>
      </c>
      <c r="C6885" s="7" t="s">
        <v>33</v>
      </c>
      <c r="D6885" s="7" t="s">
        <v>43</v>
      </c>
      <c r="E6885" s="7" t="s">
        <v>35</v>
      </c>
      <c r="F6885" s="0" t="n">
        <v>114.2</v>
      </c>
      <c r="G6885" s="0" t="n">
        <v>52.532</v>
      </c>
      <c r="H6885" s="0" t="n">
        <v>0</v>
      </c>
      <c r="I6885" s="7" t="n">
        <f aca="false">YEAR(B6885)</f>
        <v>2015</v>
      </c>
      <c r="J6885" s="0" t="str">
        <f aca="false">I6885&amp;"-Q"&amp;ROUNDUP(MONTH(B6885)/3,0)</f>
        <v>2015-Q4</v>
      </c>
    </row>
    <row r="6886" customFormat="false" ht="15" hidden="false" customHeight="false" outlineLevel="0" collapsed="false">
      <c r="A6886" s="0" t="s">
        <v>3496</v>
      </c>
      <c r="B6886" s="6" t="n">
        <v>42155</v>
      </c>
      <c r="C6886" s="7" t="s">
        <v>45</v>
      </c>
      <c r="D6886" s="7" t="s">
        <v>68</v>
      </c>
      <c r="E6886" s="7" t="s">
        <v>31</v>
      </c>
      <c r="F6886" s="0" t="n">
        <v>2567.84</v>
      </c>
      <c r="G6886" s="0" t="n">
        <v>770.352</v>
      </c>
      <c r="H6886" s="0" t="n">
        <v>0</v>
      </c>
      <c r="I6886" s="7" t="n">
        <f aca="false">YEAR(B6886)</f>
        <v>2015</v>
      </c>
      <c r="J6886" s="0" t="str">
        <f aca="false">I6886&amp;"-Q"&amp;ROUNDUP(MONTH(B6886)/3,0)</f>
        <v>2015-Q2</v>
      </c>
    </row>
    <row r="6887" customFormat="false" ht="15" hidden="false" customHeight="false" outlineLevel="0" collapsed="false">
      <c r="A6887" s="0" t="s">
        <v>3497</v>
      </c>
      <c r="B6887" s="6" t="n">
        <v>42988</v>
      </c>
      <c r="C6887" s="7" t="s">
        <v>55</v>
      </c>
      <c r="D6887" s="7" t="s">
        <v>116</v>
      </c>
      <c r="E6887" s="7" t="s">
        <v>39</v>
      </c>
      <c r="F6887" s="0" t="n">
        <v>37.056</v>
      </c>
      <c r="G6887" s="0" t="n">
        <v>8.8008</v>
      </c>
      <c r="H6887" s="0" t="n">
        <v>0.2</v>
      </c>
      <c r="I6887" s="7" t="n">
        <f aca="false">YEAR(B6887)</f>
        <v>2017</v>
      </c>
      <c r="J6887" s="0" t="str">
        <f aca="false">I6887&amp;"-Q"&amp;ROUNDUP(MONTH(B6887)/3,0)</f>
        <v>2017-Q3</v>
      </c>
    </row>
    <row r="6888" customFormat="false" ht="15" hidden="false" customHeight="false" outlineLevel="0" collapsed="false">
      <c r="A6888" s="0" t="s">
        <v>3497</v>
      </c>
      <c r="B6888" s="6" t="n">
        <v>42988</v>
      </c>
      <c r="C6888" s="7" t="s">
        <v>55</v>
      </c>
      <c r="D6888" s="7" t="s">
        <v>116</v>
      </c>
      <c r="E6888" s="7" t="s">
        <v>39</v>
      </c>
      <c r="F6888" s="0" t="n">
        <v>259.896</v>
      </c>
      <c r="G6888" s="0" t="n">
        <v>-56.3108</v>
      </c>
      <c r="H6888" s="0" t="n">
        <v>0.4</v>
      </c>
      <c r="I6888" s="7" t="n">
        <f aca="false">YEAR(B6888)</f>
        <v>2017</v>
      </c>
      <c r="J6888" s="0" t="str">
        <f aca="false">I6888&amp;"-Q"&amp;ROUNDUP(MONTH(B6888)/3,0)</f>
        <v>2017-Q3</v>
      </c>
    </row>
    <row r="6889" customFormat="false" ht="15" hidden="false" customHeight="false" outlineLevel="0" collapsed="false">
      <c r="A6889" s="0" t="s">
        <v>3498</v>
      </c>
      <c r="B6889" s="6" t="n">
        <v>42850</v>
      </c>
      <c r="C6889" s="7" t="s">
        <v>33</v>
      </c>
      <c r="D6889" s="7" t="s">
        <v>34</v>
      </c>
      <c r="E6889" s="7" t="s">
        <v>35</v>
      </c>
      <c r="F6889" s="0" t="n">
        <v>19.05</v>
      </c>
      <c r="G6889" s="0" t="n">
        <v>8.763</v>
      </c>
      <c r="H6889" s="0" t="n">
        <v>0</v>
      </c>
      <c r="I6889" s="7" t="n">
        <f aca="false">YEAR(B6889)</f>
        <v>2017</v>
      </c>
      <c r="J6889" s="0" t="str">
        <f aca="false">I6889&amp;"-Q"&amp;ROUNDUP(MONTH(B6889)/3,0)</f>
        <v>2017-Q2</v>
      </c>
    </row>
    <row r="6890" customFormat="false" ht="15" hidden="false" customHeight="false" outlineLevel="0" collapsed="false">
      <c r="A6890" s="0" t="s">
        <v>3498</v>
      </c>
      <c r="B6890" s="6" t="n">
        <v>42850</v>
      </c>
      <c r="C6890" s="7" t="s">
        <v>33</v>
      </c>
      <c r="D6890" s="7" t="s">
        <v>34</v>
      </c>
      <c r="E6890" s="7" t="s">
        <v>35</v>
      </c>
      <c r="F6890" s="0" t="n">
        <v>73.344</v>
      </c>
      <c r="G6890" s="0" t="n">
        <v>27.504</v>
      </c>
      <c r="H6890" s="0" t="n">
        <v>0.2</v>
      </c>
      <c r="I6890" s="7" t="n">
        <f aca="false">YEAR(B6890)</f>
        <v>2017</v>
      </c>
      <c r="J6890" s="0" t="str">
        <f aca="false">I6890&amp;"-Q"&amp;ROUNDUP(MONTH(B6890)/3,0)</f>
        <v>2017-Q2</v>
      </c>
    </row>
    <row r="6891" customFormat="false" ht="15" hidden="false" customHeight="false" outlineLevel="0" collapsed="false">
      <c r="A6891" s="0" t="s">
        <v>3499</v>
      </c>
      <c r="B6891" s="6" t="n">
        <v>42996</v>
      </c>
      <c r="C6891" s="7" t="s">
        <v>29</v>
      </c>
      <c r="D6891" s="7" t="s">
        <v>230</v>
      </c>
      <c r="E6891" s="7" t="s">
        <v>39</v>
      </c>
      <c r="F6891" s="0" t="n">
        <v>95.68</v>
      </c>
      <c r="G6891" s="0" t="n">
        <v>26.7904</v>
      </c>
      <c r="H6891" s="0" t="n">
        <v>0</v>
      </c>
      <c r="I6891" s="7" t="n">
        <f aca="false">YEAR(B6891)</f>
        <v>2017</v>
      </c>
      <c r="J6891" s="0" t="str">
        <f aca="false">I6891&amp;"-Q"&amp;ROUNDUP(MONTH(B6891)/3,0)</f>
        <v>2017-Q3</v>
      </c>
    </row>
    <row r="6892" customFormat="false" ht="15" hidden="false" customHeight="false" outlineLevel="0" collapsed="false">
      <c r="A6892" s="0" t="s">
        <v>3499</v>
      </c>
      <c r="B6892" s="6" t="n">
        <v>42996</v>
      </c>
      <c r="C6892" s="7" t="s">
        <v>29</v>
      </c>
      <c r="D6892" s="7" t="s">
        <v>230</v>
      </c>
      <c r="E6892" s="7" t="s">
        <v>35</v>
      </c>
      <c r="F6892" s="0" t="n">
        <v>50.96</v>
      </c>
      <c r="G6892" s="0" t="n">
        <v>24.4608</v>
      </c>
      <c r="H6892" s="0" t="n">
        <v>0</v>
      </c>
      <c r="I6892" s="7" t="n">
        <f aca="false">YEAR(B6892)</f>
        <v>2017</v>
      </c>
      <c r="J6892" s="0" t="str">
        <f aca="false">I6892&amp;"-Q"&amp;ROUNDUP(MONTH(B6892)/3,0)</f>
        <v>2017-Q3</v>
      </c>
    </row>
    <row r="6893" customFormat="false" ht="15" hidden="false" customHeight="false" outlineLevel="0" collapsed="false">
      <c r="A6893" s="0" t="s">
        <v>3499</v>
      </c>
      <c r="B6893" s="6" t="n">
        <v>42996</v>
      </c>
      <c r="C6893" s="7" t="s">
        <v>29</v>
      </c>
      <c r="D6893" s="7" t="s">
        <v>230</v>
      </c>
      <c r="E6893" s="7" t="s">
        <v>35</v>
      </c>
      <c r="F6893" s="0" t="n">
        <v>113.94</v>
      </c>
      <c r="G6893" s="0" t="n">
        <v>34.182</v>
      </c>
      <c r="H6893" s="0" t="n">
        <v>0</v>
      </c>
      <c r="I6893" s="7" t="n">
        <f aca="false">YEAR(B6893)</f>
        <v>2017</v>
      </c>
      <c r="J6893" s="0" t="str">
        <f aca="false">I6893&amp;"-Q"&amp;ROUNDUP(MONTH(B6893)/3,0)</f>
        <v>2017-Q3</v>
      </c>
    </row>
    <row r="6894" customFormat="false" ht="15" hidden="false" customHeight="false" outlineLevel="0" collapsed="false">
      <c r="A6894" s="0" t="s">
        <v>3499</v>
      </c>
      <c r="B6894" s="6" t="n">
        <v>42996</v>
      </c>
      <c r="C6894" s="7" t="s">
        <v>29</v>
      </c>
      <c r="D6894" s="7" t="s">
        <v>230</v>
      </c>
      <c r="E6894" s="7" t="s">
        <v>35</v>
      </c>
      <c r="F6894" s="0" t="n">
        <v>25.92</v>
      </c>
      <c r="G6894" s="0" t="n">
        <v>12.4416</v>
      </c>
      <c r="H6894" s="0" t="n">
        <v>0</v>
      </c>
      <c r="I6894" s="7" t="n">
        <f aca="false">YEAR(B6894)</f>
        <v>2017</v>
      </c>
      <c r="J6894" s="0" t="str">
        <f aca="false">I6894&amp;"-Q"&amp;ROUNDUP(MONTH(B6894)/3,0)</f>
        <v>2017-Q3</v>
      </c>
    </row>
    <row r="6895" customFormat="false" ht="15" hidden="false" customHeight="false" outlineLevel="0" collapsed="false">
      <c r="A6895" s="0" t="s">
        <v>3499</v>
      </c>
      <c r="B6895" s="6" t="n">
        <v>42996</v>
      </c>
      <c r="C6895" s="7" t="s">
        <v>29</v>
      </c>
      <c r="D6895" s="7" t="s">
        <v>230</v>
      </c>
      <c r="E6895" s="7" t="s">
        <v>31</v>
      </c>
      <c r="F6895" s="0" t="n">
        <v>20.32</v>
      </c>
      <c r="G6895" s="0" t="n">
        <v>6.9088</v>
      </c>
      <c r="H6895" s="0" t="n">
        <v>0</v>
      </c>
      <c r="I6895" s="7" t="n">
        <f aca="false">YEAR(B6895)</f>
        <v>2017</v>
      </c>
      <c r="J6895" s="0" t="str">
        <f aca="false">I6895&amp;"-Q"&amp;ROUNDUP(MONTH(B6895)/3,0)</f>
        <v>2017-Q3</v>
      </c>
    </row>
    <row r="6896" customFormat="false" ht="15" hidden="false" customHeight="false" outlineLevel="0" collapsed="false">
      <c r="A6896" s="0" t="s">
        <v>3499</v>
      </c>
      <c r="B6896" s="6" t="n">
        <v>42996</v>
      </c>
      <c r="C6896" s="7" t="s">
        <v>29</v>
      </c>
      <c r="D6896" s="7" t="s">
        <v>230</v>
      </c>
      <c r="E6896" s="7" t="s">
        <v>39</v>
      </c>
      <c r="F6896" s="0" t="n">
        <v>411.98</v>
      </c>
      <c r="G6896" s="0" t="n">
        <v>119.4742</v>
      </c>
      <c r="H6896" s="0" t="n">
        <v>0</v>
      </c>
      <c r="I6896" s="7" t="n">
        <f aca="false">YEAR(B6896)</f>
        <v>2017</v>
      </c>
      <c r="J6896" s="0" t="str">
        <f aca="false">I6896&amp;"-Q"&amp;ROUNDUP(MONTH(B6896)/3,0)</f>
        <v>2017-Q3</v>
      </c>
    </row>
    <row r="6897" customFormat="false" ht="15" hidden="false" customHeight="false" outlineLevel="0" collapsed="false">
      <c r="A6897" s="0" t="s">
        <v>3499</v>
      </c>
      <c r="B6897" s="6" t="n">
        <v>42996</v>
      </c>
      <c r="C6897" s="7" t="s">
        <v>29</v>
      </c>
      <c r="D6897" s="7" t="s">
        <v>230</v>
      </c>
      <c r="E6897" s="7" t="s">
        <v>35</v>
      </c>
      <c r="F6897" s="0" t="n">
        <v>34.48</v>
      </c>
      <c r="G6897" s="0" t="n">
        <v>9.9992</v>
      </c>
      <c r="H6897" s="0" t="n">
        <v>0</v>
      </c>
      <c r="I6897" s="7" t="n">
        <f aca="false">YEAR(B6897)</f>
        <v>2017</v>
      </c>
      <c r="J6897" s="0" t="str">
        <f aca="false">I6897&amp;"-Q"&amp;ROUNDUP(MONTH(B6897)/3,0)</f>
        <v>2017-Q3</v>
      </c>
    </row>
    <row r="6898" customFormat="false" ht="15" hidden="false" customHeight="false" outlineLevel="0" collapsed="false">
      <c r="A6898" s="0" t="s">
        <v>3499</v>
      </c>
      <c r="B6898" s="6" t="n">
        <v>42996</v>
      </c>
      <c r="C6898" s="7" t="s">
        <v>29</v>
      </c>
      <c r="D6898" s="7" t="s">
        <v>230</v>
      </c>
      <c r="E6898" s="7" t="s">
        <v>35</v>
      </c>
      <c r="F6898" s="0" t="n">
        <v>244.55</v>
      </c>
      <c r="G6898" s="0" t="n">
        <v>114.9385</v>
      </c>
      <c r="H6898" s="0" t="n">
        <v>0</v>
      </c>
      <c r="I6898" s="7" t="n">
        <f aca="false">YEAR(B6898)</f>
        <v>2017</v>
      </c>
      <c r="J6898" s="0" t="str">
        <f aca="false">I6898&amp;"-Q"&amp;ROUNDUP(MONTH(B6898)/3,0)</f>
        <v>2017-Q3</v>
      </c>
    </row>
    <row r="6899" customFormat="false" ht="15" hidden="false" customHeight="false" outlineLevel="0" collapsed="false">
      <c r="A6899" s="0" t="s">
        <v>3500</v>
      </c>
      <c r="B6899" s="6" t="n">
        <v>42965</v>
      </c>
      <c r="C6899" s="7" t="s">
        <v>55</v>
      </c>
      <c r="D6899" s="7" t="s">
        <v>116</v>
      </c>
      <c r="E6899" s="7" t="s">
        <v>35</v>
      </c>
      <c r="F6899" s="0" t="n">
        <v>10.782</v>
      </c>
      <c r="G6899" s="0" t="n">
        <v>-7.9068</v>
      </c>
      <c r="H6899" s="0" t="n">
        <v>0.7</v>
      </c>
      <c r="I6899" s="7" t="n">
        <f aca="false">YEAR(B6899)</f>
        <v>2017</v>
      </c>
      <c r="J6899" s="0" t="str">
        <f aca="false">I6899&amp;"-Q"&amp;ROUNDUP(MONTH(B6899)/3,0)</f>
        <v>2017-Q3</v>
      </c>
    </row>
    <row r="6900" customFormat="false" ht="15" hidden="false" customHeight="false" outlineLevel="0" collapsed="false">
      <c r="A6900" s="0" t="s">
        <v>3501</v>
      </c>
      <c r="B6900" s="6" t="n">
        <v>42148</v>
      </c>
      <c r="C6900" s="7" t="s">
        <v>45</v>
      </c>
      <c r="D6900" s="7" t="s">
        <v>64</v>
      </c>
      <c r="E6900" s="7" t="s">
        <v>31</v>
      </c>
      <c r="F6900" s="0" t="n">
        <v>602.651</v>
      </c>
      <c r="G6900" s="0" t="n">
        <v>-163.5767</v>
      </c>
      <c r="H6900" s="0" t="n">
        <v>0.3</v>
      </c>
      <c r="I6900" s="7" t="n">
        <f aca="false">YEAR(B6900)</f>
        <v>2015</v>
      </c>
      <c r="J6900" s="0" t="str">
        <f aca="false">I6900&amp;"-Q"&amp;ROUNDUP(MONTH(B6900)/3,0)</f>
        <v>2015-Q2</v>
      </c>
    </row>
    <row r="6901" customFormat="false" ht="15" hidden="false" customHeight="false" outlineLevel="0" collapsed="false">
      <c r="A6901" s="0" t="s">
        <v>3501</v>
      </c>
      <c r="B6901" s="6" t="n">
        <v>42148</v>
      </c>
      <c r="C6901" s="7" t="s">
        <v>45</v>
      </c>
      <c r="D6901" s="7" t="s">
        <v>64</v>
      </c>
      <c r="E6901" s="7" t="s">
        <v>35</v>
      </c>
      <c r="F6901" s="0" t="n">
        <v>7.656</v>
      </c>
      <c r="G6901" s="0" t="n">
        <v>-13.0152</v>
      </c>
      <c r="H6901" s="0" t="n">
        <v>0.8</v>
      </c>
      <c r="I6901" s="7" t="n">
        <f aca="false">YEAR(B6901)</f>
        <v>2015</v>
      </c>
      <c r="J6901" s="0" t="str">
        <f aca="false">I6901&amp;"-Q"&amp;ROUNDUP(MONTH(B6901)/3,0)</f>
        <v>2015-Q2</v>
      </c>
    </row>
    <row r="6902" customFormat="false" ht="15" hidden="false" customHeight="false" outlineLevel="0" collapsed="false">
      <c r="A6902" s="0" t="s">
        <v>3502</v>
      </c>
      <c r="B6902" s="6" t="n">
        <v>42254</v>
      </c>
      <c r="C6902" s="7" t="s">
        <v>55</v>
      </c>
      <c r="D6902" s="7" t="s">
        <v>76</v>
      </c>
      <c r="E6902" s="7" t="s">
        <v>39</v>
      </c>
      <c r="F6902" s="0" t="n">
        <v>559.93</v>
      </c>
      <c r="G6902" s="0" t="n">
        <v>167.979</v>
      </c>
      <c r="H6902" s="0" t="n">
        <v>0</v>
      </c>
      <c r="I6902" s="7" t="n">
        <f aca="false">YEAR(B6902)</f>
        <v>2015</v>
      </c>
      <c r="J6902" s="0" t="str">
        <f aca="false">I6902&amp;"-Q"&amp;ROUNDUP(MONTH(B6902)/3,0)</f>
        <v>2015-Q3</v>
      </c>
    </row>
    <row r="6903" customFormat="false" ht="15" hidden="false" customHeight="false" outlineLevel="0" collapsed="false">
      <c r="A6903" s="0" t="s">
        <v>3503</v>
      </c>
      <c r="B6903" s="6" t="n">
        <v>42940</v>
      </c>
      <c r="C6903" s="7" t="s">
        <v>33</v>
      </c>
      <c r="D6903" s="7" t="s">
        <v>34</v>
      </c>
      <c r="E6903" s="7" t="s">
        <v>39</v>
      </c>
      <c r="F6903" s="0" t="n">
        <v>2399.96</v>
      </c>
      <c r="G6903" s="0" t="n">
        <v>839.986</v>
      </c>
      <c r="H6903" s="0" t="n">
        <v>0.2</v>
      </c>
      <c r="I6903" s="7" t="n">
        <f aca="false">YEAR(B6903)</f>
        <v>2017</v>
      </c>
      <c r="J6903" s="0" t="str">
        <f aca="false">I6903&amp;"-Q"&amp;ROUNDUP(MONTH(B6903)/3,0)</f>
        <v>2017-Q3</v>
      </c>
    </row>
    <row r="6904" customFormat="false" ht="15" hidden="false" customHeight="false" outlineLevel="0" collapsed="false">
      <c r="A6904" s="0" t="s">
        <v>3504</v>
      </c>
      <c r="B6904" s="6" t="n">
        <v>42980</v>
      </c>
      <c r="C6904" s="7" t="s">
        <v>45</v>
      </c>
      <c r="D6904" s="7" t="s">
        <v>64</v>
      </c>
      <c r="E6904" s="7" t="s">
        <v>35</v>
      </c>
      <c r="F6904" s="0" t="n">
        <v>16</v>
      </c>
      <c r="G6904" s="0" t="n">
        <v>5.6</v>
      </c>
      <c r="H6904" s="0" t="n">
        <v>0.2</v>
      </c>
      <c r="I6904" s="7" t="n">
        <f aca="false">YEAR(B6904)</f>
        <v>2017</v>
      </c>
      <c r="J6904" s="0" t="str">
        <f aca="false">I6904&amp;"-Q"&amp;ROUNDUP(MONTH(B6904)/3,0)</f>
        <v>2017-Q3</v>
      </c>
    </row>
    <row r="6905" customFormat="false" ht="15" hidden="false" customHeight="false" outlineLevel="0" collapsed="false">
      <c r="A6905" s="0" t="s">
        <v>3504</v>
      </c>
      <c r="B6905" s="6" t="n">
        <v>42980</v>
      </c>
      <c r="C6905" s="7" t="s">
        <v>45</v>
      </c>
      <c r="D6905" s="7" t="s">
        <v>64</v>
      </c>
      <c r="E6905" s="7" t="s">
        <v>35</v>
      </c>
      <c r="F6905" s="0" t="n">
        <v>5.588</v>
      </c>
      <c r="G6905" s="0" t="n">
        <v>-15.0876</v>
      </c>
      <c r="H6905" s="0" t="n">
        <v>0.8</v>
      </c>
      <c r="I6905" s="7" t="n">
        <f aca="false">YEAR(B6905)</f>
        <v>2017</v>
      </c>
      <c r="J6905" s="0" t="str">
        <f aca="false">I6905&amp;"-Q"&amp;ROUNDUP(MONTH(B6905)/3,0)</f>
        <v>2017-Q3</v>
      </c>
    </row>
    <row r="6906" customFormat="false" ht="15" hidden="false" customHeight="false" outlineLevel="0" collapsed="false">
      <c r="A6906" s="0" t="s">
        <v>3504</v>
      </c>
      <c r="B6906" s="6" t="n">
        <v>42980</v>
      </c>
      <c r="C6906" s="7" t="s">
        <v>45</v>
      </c>
      <c r="D6906" s="7" t="s">
        <v>64</v>
      </c>
      <c r="E6906" s="7" t="s">
        <v>35</v>
      </c>
      <c r="F6906" s="0" t="n">
        <v>235.92</v>
      </c>
      <c r="G6906" s="0" t="n">
        <v>-44.235</v>
      </c>
      <c r="H6906" s="0" t="n">
        <v>0.2</v>
      </c>
      <c r="I6906" s="7" t="n">
        <f aca="false">YEAR(B6906)</f>
        <v>2017</v>
      </c>
      <c r="J6906" s="0" t="str">
        <f aca="false">I6906&amp;"-Q"&amp;ROUNDUP(MONTH(B6906)/3,0)</f>
        <v>2017-Q3</v>
      </c>
    </row>
    <row r="6907" customFormat="false" ht="15" hidden="false" customHeight="false" outlineLevel="0" collapsed="false">
      <c r="A6907" s="0" t="s">
        <v>3505</v>
      </c>
      <c r="B6907" s="6" t="n">
        <v>43075</v>
      </c>
      <c r="C6907" s="7" t="s">
        <v>33</v>
      </c>
      <c r="D6907" s="7" t="s">
        <v>34</v>
      </c>
      <c r="E6907" s="7" t="s">
        <v>35</v>
      </c>
      <c r="F6907" s="0" t="n">
        <v>10.68</v>
      </c>
      <c r="G6907" s="0" t="n">
        <v>2.8836</v>
      </c>
      <c r="H6907" s="0" t="n">
        <v>0</v>
      </c>
      <c r="I6907" s="7" t="n">
        <f aca="false">YEAR(B6907)</f>
        <v>2017</v>
      </c>
      <c r="J6907" s="0" t="str">
        <f aca="false">I6907&amp;"-Q"&amp;ROUNDUP(MONTH(B6907)/3,0)</f>
        <v>2017-Q4</v>
      </c>
    </row>
    <row r="6908" customFormat="false" ht="15" hidden="false" customHeight="false" outlineLevel="0" collapsed="false">
      <c r="A6908" s="0" t="s">
        <v>3506</v>
      </c>
      <c r="B6908" s="6" t="n">
        <v>42875</v>
      </c>
      <c r="C6908" s="7" t="s">
        <v>45</v>
      </c>
      <c r="D6908" s="7" t="s">
        <v>70</v>
      </c>
      <c r="E6908" s="7" t="s">
        <v>35</v>
      </c>
      <c r="F6908" s="0" t="n">
        <v>41.28</v>
      </c>
      <c r="G6908" s="0" t="n">
        <v>19.8144</v>
      </c>
      <c r="H6908" s="0" t="n">
        <v>0</v>
      </c>
      <c r="I6908" s="7" t="n">
        <f aca="false">YEAR(B6908)</f>
        <v>2017</v>
      </c>
      <c r="J6908" s="0" t="str">
        <f aca="false">I6908&amp;"-Q"&amp;ROUNDUP(MONTH(B6908)/3,0)</f>
        <v>2017-Q2</v>
      </c>
    </row>
    <row r="6909" customFormat="false" ht="15" hidden="false" customHeight="false" outlineLevel="0" collapsed="false">
      <c r="A6909" s="0" t="s">
        <v>3507</v>
      </c>
      <c r="B6909" s="6" t="n">
        <v>42640</v>
      </c>
      <c r="C6909" s="7" t="s">
        <v>33</v>
      </c>
      <c r="D6909" s="7" t="s">
        <v>43</v>
      </c>
      <c r="E6909" s="7" t="s">
        <v>39</v>
      </c>
      <c r="F6909" s="0" t="n">
        <v>1001.584</v>
      </c>
      <c r="G6909" s="0" t="n">
        <v>125.198</v>
      </c>
      <c r="H6909" s="0" t="n">
        <v>0.2</v>
      </c>
      <c r="I6909" s="7" t="n">
        <f aca="false">YEAR(B6909)</f>
        <v>2016</v>
      </c>
      <c r="J6909" s="0" t="str">
        <f aca="false">I6909&amp;"-Q"&amp;ROUNDUP(MONTH(B6909)/3,0)</f>
        <v>2016-Q3</v>
      </c>
    </row>
    <row r="6910" customFormat="false" ht="15" hidden="false" customHeight="false" outlineLevel="0" collapsed="false">
      <c r="A6910" s="0" t="s">
        <v>3508</v>
      </c>
      <c r="B6910" s="6" t="n">
        <v>43079</v>
      </c>
      <c r="C6910" s="7" t="s">
        <v>29</v>
      </c>
      <c r="D6910" s="7" t="s">
        <v>96</v>
      </c>
      <c r="E6910" s="7" t="s">
        <v>31</v>
      </c>
      <c r="F6910" s="0" t="n">
        <v>14.76</v>
      </c>
      <c r="G6910" s="0" t="n">
        <v>4.2804</v>
      </c>
      <c r="H6910" s="0" t="n">
        <v>0</v>
      </c>
      <c r="I6910" s="7" t="n">
        <f aca="false">YEAR(B6910)</f>
        <v>2017</v>
      </c>
      <c r="J6910" s="0" t="str">
        <f aca="false">I6910&amp;"-Q"&amp;ROUNDUP(MONTH(B6910)/3,0)</f>
        <v>2017-Q4</v>
      </c>
    </row>
    <row r="6911" customFormat="false" ht="15" hidden="false" customHeight="false" outlineLevel="0" collapsed="false">
      <c r="A6911" s="0" t="s">
        <v>3509</v>
      </c>
      <c r="B6911" s="6" t="n">
        <v>41895</v>
      </c>
      <c r="C6911" s="7" t="s">
        <v>55</v>
      </c>
      <c r="D6911" s="7" t="s">
        <v>116</v>
      </c>
      <c r="E6911" s="7" t="s">
        <v>35</v>
      </c>
      <c r="F6911" s="0" t="n">
        <v>2.502</v>
      </c>
      <c r="G6911" s="0" t="n">
        <v>-2.0016</v>
      </c>
      <c r="H6911" s="0" t="n">
        <v>0.7</v>
      </c>
      <c r="I6911" s="7" t="n">
        <f aca="false">YEAR(B6911)</f>
        <v>2014</v>
      </c>
      <c r="J6911" s="0" t="str">
        <f aca="false">I6911&amp;"-Q"&amp;ROUNDUP(MONTH(B6911)/3,0)</f>
        <v>2014-Q3</v>
      </c>
    </row>
    <row r="6912" customFormat="false" ht="15" hidden="false" customHeight="false" outlineLevel="0" collapsed="false">
      <c r="A6912" s="0" t="s">
        <v>3510</v>
      </c>
      <c r="B6912" s="6" t="n">
        <v>42945</v>
      </c>
      <c r="C6912" s="7" t="s">
        <v>33</v>
      </c>
      <c r="D6912" s="7" t="s">
        <v>43</v>
      </c>
      <c r="E6912" s="7" t="s">
        <v>31</v>
      </c>
      <c r="F6912" s="0" t="n">
        <v>115.96</v>
      </c>
      <c r="G6912" s="0" t="n">
        <v>25.5112</v>
      </c>
      <c r="H6912" s="0" t="n">
        <v>0</v>
      </c>
      <c r="I6912" s="7" t="n">
        <f aca="false">YEAR(B6912)</f>
        <v>2017</v>
      </c>
      <c r="J6912" s="0" t="str">
        <f aca="false">I6912&amp;"-Q"&amp;ROUNDUP(MONTH(B6912)/3,0)</f>
        <v>2017-Q3</v>
      </c>
    </row>
    <row r="6913" customFormat="false" ht="15" hidden="false" customHeight="false" outlineLevel="0" collapsed="false">
      <c r="A6913" s="0" t="s">
        <v>3511</v>
      </c>
      <c r="B6913" s="6" t="n">
        <v>42948</v>
      </c>
      <c r="C6913" s="7" t="s">
        <v>33</v>
      </c>
      <c r="D6913" s="7" t="s">
        <v>34</v>
      </c>
      <c r="E6913" s="7" t="s">
        <v>35</v>
      </c>
      <c r="F6913" s="0" t="n">
        <v>186.54</v>
      </c>
      <c r="G6913" s="0" t="n">
        <v>50.3658</v>
      </c>
      <c r="H6913" s="0" t="n">
        <v>0</v>
      </c>
      <c r="I6913" s="7" t="n">
        <f aca="false">YEAR(B6913)</f>
        <v>2017</v>
      </c>
      <c r="J6913" s="0" t="str">
        <f aca="false">I6913&amp;"-Q"&amp;ROUNDUP(MONTH(B6913)/3,0)</f>
        <v>2017-Q3</v>
      </c>
    </row>
    <row r="6914" customFormat="false" ht="15" hidden="false" customHeight="false" outlineLevel="0" collapsed="false">
      <c r="A6914" s="0" t="s">
        <v>3512</v>
      </c>
      <c r="B6914" s="6" t="n">
        <v>42857</v>
      </c>
      <c r="C6914" s="7" t="s">
        <v>33</v>
      </c>
      <c r="D6914" s="7" t="s">
        <v>34</v>
      </c>
      <c r="E6914" s="7" t="s">
        <v>39</v>
      </c>
      <c r="F6914" s="0" t="n">
        <v>159.56</v>
      </c>
      <c r="G6914" s="0" t="n">
        <v>59.0372</v>
      </c>
      <c r="H6914" s="0" t="n">
        <v>0</v>
      </c>
      <c r="I6914" s="7" t="n">
        <f aca="false">YEAR(B6914)</f>
        <v>2017</v>
      </c>
      <c r="J6914" s="0" t="str">
        <f aca="false">I6914&amp;"-Q"&amp;ROUNDUP(MONTH(B6914)/3,0)</f>
        <v>2017-Q2</v>
      </c>
    </row>
    <row r="6915" customFormat="false" ht="15" hidden="false" customHeight="false" outlineLevel="0" collapsed="false">
      <c r="A6915" s="0" t="s">
        <v>3513</v>
      </c>
      <c r="B6915" s="6" t="n">
        <v>42167</v>
      </c>
      <c r="C6915" s="7" t="s">
        <v>29</v>
      </c>
      <c r="D6915" s="7" t="s">
        <v>37</v>
      </c>
      <c r="E6915" s="7" t="s">
        <v>39</v>
      </c>
      <c r="F6915" s="0" t="n">
        <v>55.984</v>
      </c>
      <c r="G6915" s="0" t="n">
        <v>4.1988</v>
      </c>
      <c r="H6915" s="0" t="n">
        <v>0.2</v>
      </c>
      <c r="I6915" s="7" t="n">
        <f aca="false">YEAR(B6915)</f>
        <v>2015</v>
      </c>
      <c r="J6915" s="0" t="str">
        <f aca="false">I6915&amp;"-Q"&amp;ROUNDUP(MONTH(B6915)/3,0)</f>
        <v>2015-Q2</v>
      </c>
    </row>
    <row r="6916" customFormat="false" ht="15" hidden="false" customHeight="false" outlineLevel="0" collapsed="false">
      <c r="A6916" s="0" t="s">
        <v>3514</v>
      </c>
      <c r="B6916" s="6" t="n">
        <v>41995</v>
      </c>
      <c r="C6916" s="7" t="s">
        <v>45</v>
      </c>
      <c r="D6916" s="7" t="s">
        <v>64</v>
      </c>
      <c r="E6916" s="7" t="s">
        <v>35</v>
      </c>
      <c r="F6916" s="0" t="n">
        <v>132.16</v>
      </c>
      <c r="G6916" s="0" t="n">
        <v>9.912</v>
      </c>
      <c r="H6916" s="0" t="n">
        <v>0.2</v>
      </c>
      <c r="I6916" s="7" t="n">
        <f aca="false">YEAR(B6916)</f>
        <v>2014</v>
      </c>
      <c r="J6916" s="0" t="str">
        <f aca="false">I6916&amp;"-Q"&amp;ROUNDUP(MONTH(B6916)/3,0)</f>
        <v>2014-Q4</v>
      </c>
    </row>
    <row r="6917" customFormat="false" ht="15" hidden="false" customHeight="false" outlineLevel="0" collapsed="false">
      <c r="A6917" s="0" t="s">
        <v>3514</v>
      </c>
      <c r="B6917" s="6" t="n">
        <v>41995</v>
      </c>
      <c r="C6917" s="7" t="s">
        <v>45</v>
      </c>
      <c r="D6917" s="7" t="s">
        <v>64</v>
      </c>
      <c r="E6917" s="7" t="s">
        <v>35</v>
      </c>
      <c r="F6917" s="0" t="n">
        <v>17.904</v>
      </c>
      <c r="G6917" s="0" t="n">
        <v>-31.332</v>
      </c>
      <c r="H6917" s="0" t="n">
        <v>0.8</v>
      </c>
      <c r="I6917" s="7" t="n">
        <f aca="false">YEAR(B6917)</f>
        <v>2014</v>
      </c>
      <c r="J6917" s="0" t="str">
        <f aca="false">I6917&amp;"-Q"&amp;ROUNDUP(MONTH(B6917)/3,0)</f>
        <v>2014-Q4</v>
      </c>
    </row>
    <row r="6918" customFormat="false" ht="15" hidden="false" customHeight="false" outlineLevel="0" collapsed="false">
      <c r="A6918" s="0" t="s">
        <v>3514</v>
      </c>
      <c r="B6918" s="6" t="n">
        <v>41995</v>
      </c>
      <c r="C6918" s="7" t="s">
        <v>45</v>
      </c>
      <c r="D6918" s="7" t="s">
        <v>64</v>
      </c>
      <c r="E6918" s="7" t="s">
        <v>35</v>
      </c>
      <c r="F6918" s="0" t="n">
        <v>124.032</v>
      </c>
      <c r="G6918" s="0" t="n">
        <v>44.9616</v>
      </c>
      <c r="H6918" s="0" t="n">
        <v>0.2</v>
      </c>
      <c r="I6918" s="7" t="n">
        <f aca="false">YEAR(B6918)</f>
        <v>2014</v>
      </c>
      <c r="J6918" s="0" t="str">
        <f aca="false">I6918&amp;"-Q"&amp;ROUNDUP(MONTH(B6918)/3,0)</f>
        <v>2014-Q4</v>
      </c>
    </row>
    <row r="6919" customFormat="false" ht="15" hidden="false" customHeight="false" outlineLevel="0" collapsed="false">
      <c r="A6919" s="0" t="s">
        <v>3515</v>
      </c>
      <c r="B6919" s="6" t="n">
        <v>41989</v>
      </c>
      <c r="C6919" s="7" t="s">
        <v>33</v>
      </c>
      <c r="D6919" s="7" t="s">
        <v>34</v>
      </c>
      <c r="E6919" s="7" t="s">
        <v>31</v>
      </c>
      <c r="F6919" s="0" t="n">
        <v>1403.92</v>
      </c>
      <c r="G6919" s="0" t="n">
        <v>70.196</v>
      </c>
      <c r="H6919" s="0" t="n">
        <v>0.2</v>
      </c>
      <c r="I6919" s="7" t="n">
        <f aca="false">YEAR(B6919)</f>
        <v>2014</v>
      </c>
      <c r="J6919" s="0" t="str">
        <f aca="false">I6919&amp;"-Q"&amp;ROUNDUP(MONTH(B6919)/3,0)</f>
        <v>2014-Q4</v>
      </c>
    </row>
    <row r="6920" customFormat="false" ht="15" hidden="false" customHeight="false" outlineLevel="0" collapsed="false">
      <c r="A6920" s="0" t="s">
        <v>3516</v>
      </c>
      <c r="B6920" s="6" t="n">
        <v>42476</v>
      </c>
      <c r="C6920" s="7" t="s">
        <v>33</v>
      </c>
      <c r="D6920" s="7" t="s">
        <v>43</v>
      </c>
      <c r="E6920" s="7" t="s">
        <v>35</v>
      </c>
      <c r="F6920" s="0" t="n">
        <v>28.8</v>
      </c>
      <c r="G6920" s="0" t="n">
        <v>0.864</v>
      </c>
      <c r="H6920" s="0" t="n">
        <v>0</v>
      </c>
      <c r="I6920" s="7" t="n">
        <f aca="false">YEAR(B6920)</f>
        <v>2016</v>
      </c>
      <c r="J6920" s="0" t="str">
        <f aca="false">I6920&amp;"-Q"&amp;ROUNDUP(MONTH(B6920)/3,0)</f>
        <v>2016-Q2</v>
      </c>
    </row>
    <row r="6921" customFormat="false" ht="15" hidden="false" customHeight="false" outlineLevel="0" collapsed="false">
      <c r="A6921" s="0" t="s">
        <v>3517</v>
      </c>
      <c r="B6921" s="6" t="n">
        <v>42145</v>
      </c>
      <c r="C6921" s="7" t="s">
        <v>55</v>
      </c>
      <c r="D6921" s="7" t="s">
        <v>56</v>
      </c>
      <c r="E6921" s="7" t="s">
        <v>35</v>
      </c>
      <c r="F6921" s="0" t="n">
        <v>24.588</v>
      </c>
      <c r="G6921" s="0" t="n">
        <v>-18.0312</v>
      </c>
      <c r="H6921" s="0" t="n">
        <v>0.7</v>
      </c>
      <c r="I6921" s="7" t="n">
        <f aca="false">YEAR(B6921)</f>
        <v>2015</v>
      </c>
      <c r="J6921" s="0" t="str">
        <f aca="false">I6921&amp;"-Q"&amp;ROUNDUP(MONTH(B6921)/3,0)</f>
        <v>2015-Q2</v>
      </c>
    </row>
    <row r="6922" customFormat="false" ht="15" hidden="false" customHeight="false" outlineLevel="0" collapsed="false">
      <c r="A6922" s="0" t="s">
        <v>3518</v>
      </c>
      <c r="B6922" s="6" t="n">
        <v>42792</v>
      </c>
      <c r="C6922" s="7" t="s">
        <v>33</v>
      </c>
      <c r="D6922" s="7" t="s">
        <v>34</v>
      </c>
      <c r="E6922" s="7" t="s">
        <v>35</v>
      </c>
      <c r="F6922" s="0" t="n">
        <v>356.79</v>
      </c>
      <c r="G6922" s="0" t="n">
        <v>99.9012</v>
      </c>
      <c r="H6922" s="0" t="n">
        <v>0</v>
      </c>
      <c r="I6922" s="7" t="n">
        <f aca="false">YEAR(B6922)</f>
        <v>2017</v>
      </c>
      <c r="J6922" s="0" t="str">
        <f aca="false">I6922&amp;"-Q"&amp;ROUNDUP(MONTH(B6922)/3,0)</f>
        <v>2017-Q1</v>
      </c>
    </row>
    <row r="6923" customFormat="false" ht="15" hidden="false" customHeight="false" outlineLevel="0" collapsed="false">
      <c r="A6923" s="0" t="s">
        <v>3519</v>
      </c>
      <c r="B6923" s="6" t="n">
        <v>42829</v>
      </c>
      <c r="C6923" s="7" t="s">
        <v>55</v>
      </c>
      <c r="D6923" s="7" t="s">
        <v>76</v>
      </c>
      <c r="E6923" s="7" t="s">
        <v>35</v>
      </c>
      <c r="F6923" s="0" t="n">
        <v>16.98</v>
      </c>
      <c r="G6923" s="0" t="n">
        <v>8.49</v>
      </c>
      <c r="H6923" s="0" t="n">
        <v>0</v>
      </c>
      <c r="I6923" s="7" t="n">
        <f aca="false">YEAR(B6923)</f>
        <v>2017</v>
      </c>
      <c r="J6923" s="0" t="str">
        <f aca="false">I6923&amp;"-Q"&amp;ROUNDUP(MONTH(B6923)/3,0)</f>
        <v>2017-Q2</v>
      </c>
    </row>
    <row r="6924" customFormat="false" ht="15" hidden="false" customHeight="false" outlineLevel="0" collapsed="false">
      <c r="A6924" s="0" t="s">
        <v>3520</v>
      </c>
      <c r="B6924" s="6" t="n">
        <v>42079</v>
      </c>
      <c r="C6924" s="7" t="s">
        <v>29</v>
      </c>
      <c r="D6924" s="7" t="s">
        <v>91</v>
      </c>
      <c r="E6924" s="7" t="s">
        <v>35</v>
      </c>
      <c r="F6924" s="0" t="n">
        <v>491.55</v>
      </c>
      <c r="G6924" s="0" t="n">
        <v>240.8595</v>
      </c>
      <c r="H6924" s="0" t="n">
        <v>0</v>
      </c>
      <c r="I6924" s="7" t="n">
        <f aca="false">YEAR(B6924)</f>
        <v>2015</v>
      </c>
      <c r="J6924" s="0" t="str">
        <f aca="false">I6924&amp;"-Q"&amp;ROUNDUP(MONTH(B6924)/3,0)</f>
        <v>2015-Q1</v>
      </c>
    </row>
    <row r="6925" customFormat="false" ht="15" hidden="false" customHeight="false" outlineLevel="0" collapsed="false">
      <c r="A6925" s="0" t="s">
        <v>3520</v>
      </c>
      <c r="B6925" s="6" t="n">
        <v>42079</v>
      </c>
      <c r="C6925" s="7" t="s">
        <v>29</v>
      </c>
      <c r="D6925" s="7" t="s">
        <v>91</v>
      </c>
      <c r="E6925" s="7" t="s">
        <v>35</v>
      </c>
      <c r="F6925" s="0" t="n">
        <v>7.38</v>
      </c>
      <c r="G6925" s="0" t="n">
        <v>3.3948</v>
      </c>
      <c r="H6925" s="0" t="n">
        <v>0</v>
      </c>
      <c r="I6925" s="7" t="n">
        <f aca="false">YEAR(B6925)</f>
        <v>2015</v>
      </c>
      <c r="J6925" s="0" t="str">
        <f aca="false">I6925&amp;"-Q"&amp;ROUNDUP(MONTH(B6925)/3,0)</f>
        <v>2015-Q1</v>
      </c>
    </row>
    <row r="6926" customFormat="false" ht="15" hidden="false" customHeight="false" outlineLevel="0" collapsed="false">
      <c r="A6926" s="0" t="s">
        <v>3521</v>
      </c>
      <c r="B6926" s="6" t="n">
        <v>42338</v>
      </c>
      <c r="C6926" s="7" t="s">
        <v>55</v>
      </c>
      <c r="D6926" s="7" t="s">
        <v>76</v>
      </c>
      <c r="E6926" s="7" t="s">
        <v>35</v>
      </c>
      <c r="F6926" s="0" t="n">
        <v>23.66</v>
      </c>
      <c r="G6926" s="0" t="n">
        <v>10.8836</v>
      </c>
      <c r="H6926" s="0" t="n">
        <v>0</v>
      </c>
      <c r="I6926" s="7" t="n">
        <f aca="false">YEAR(B6926)</f>
        <v>2015</v>
      </c>
      <c r="J6926" s="0" t="str">
        <f aca="false">I6926&amp;"-Q"&amp;ROUNDUP(MONTH(B6926)/3,0)</f>
        <v>2015-Q4</v>
      </c>
    </row>
    <row r="6927" customFormat="false" ht="15" hidden="false" customHeight="false" outlineLevel="0" collapsed="false">
      <c r="A6927" s="0" t="s">
        <v>3521</v>
      </c>
      <c r="B6927" s="6" t="n">
        <v>42338</v>
      </c>
      <c r="C6927" s="7" t="s">
        <v>55</v>
      </c>
      <c r="D6927" s="7" t="s">
        <v>76</v>
      </c>
      <c r="E6927" s="7" t="s">
        <v>31</v>
      </c>
      <c r="F6927" s="0" t="n">
        <v>681.408</v>
      </c>
      <c r="G6927" s="0" t="n">
        <v>42.588</v>
      </c>
      <c r="H6927" s="0" t="n">
        <v>0.2</v>
      </c>
      <c r="I6927" s="7" t="n">
        <f aca="false">YEAR(B6927)</f>
        <v>2015</v>
      </c>
      <c r="J6927" s="0" t="str">
        <f aca="false">I6927&amp;"-Q"&amp;ROUNDUP(MONTH(B6927)/3,0)</f>
        <v>2015-Q4</v>
      </c>
    </row>
    <row r="6928" customFormat="false" ht="15" hidden="false" customHeight="false" outlineLevel="0" collapsed="false">
      <c r="A6928" s="0" t="s">
        <v>3522</v>
      </c>
      <c r="B6928" s="6" t="n">
        <v>42579</v>
      </c>
      <c r="C6928" s="7" t="s">
        <v>33</v>
      </c>
      <c r="D6928" s="7" t="s">
        <v>34</v>
      </c>
      <c r="E6928" s="7" t="s">
        <v>35</v>
      </c>
      <c r="F6928" s="0" t="n">
        <v>18.9</v>
      </c>
      <c r="G6928" s="0" t="n">
        <v>8.694</v>
      </c>
      <c r="H6928" s="0" t="n">
        <v>0</v>
      </c>
      <c r="I6928" s="7" t="n">
        <f aca="false">YEAR(B6928)</f>
        <v>2016</v>
      </c>
      <c r="J6928" s="0" t="str">
        <f aca="false">I6928&amp;"-Q"&amp;ROUNDUP(MONTH(B6928)/3,0)</f>
        <v>2016-Q3</v>
      </c>
    </row>
    <row r="6929" customFormat="false" ht="15" hidden="false" customHeight="false" outlineLevel="0" collapsed="false">
      <c r="A6929" s="0" t="s">
        <v>3523</v>
      </c>
      <c r="B6929" s="6" t="n">
        <v>42544</v>
      </c>
      <c r="C6929" s="7" t="s">
        <v>33</v>
      </c>
      <c r="D6929" s="7" t="s">
        <v>34</v>
      </c>
      <c r="E6929" s="7" t="s">
        <v>35</v>
      </c>
      <c r="F6929" s="0" t="n">
        <v>93.68</v>
      </c>
      <c r="G6929" s="0" t="n">
        <v>25.2936</v>
      </c>
      <c r="H6929" s="0" t="n">
        <v>0</v>
      </c>
      <c r="I6929" s="7" t="n">
        <f aca="false">YEAR(B6929)</f>
        <v>2016</v>
      </c>
      <c r="J6929" s="0" t="str">
        <f aca="false">I6929&amp;"-Q"&amp;ROUNDUP(MONTH(B6929)/3,0)</f>
        <v>2016-Q2</v>
      </c>
    </row>
    <row r="6930" customFormat="false" ht="15" hidden="false" customHeight="false" outlineLevel="0" collapsed="false">
      <c r="A6930" s="0" t="s">
        <v>3523</v>
      </c>
      <c r="B6930" s="6" t="n">
        <v>42544</v>
      </c>
      <c r="C6930" s="7" t="s">
        <v>33</v>
      </c>
      <c r="D6930" s="7" t="s">
        <v>34</v>
      </c>
      <c r="E6930" s="7" t="s">
        <v>35</v>
      </c>
      <c r="F6930" s="0" t="n">
        <v>21.93</v>
      </c>
      <c r="G6930" s="0" t="n">
        <v>10.3071</v>
      </c>
      <c r="H6930" s="0" t="n">
        <v>0</v>
      </c>
      <c r="I6930" s="7" t="n">
        <f aca="false">YEAR(B6930)</f>
        <v>2016</v>
      </c>
      <c r="J6930" s="0" t="str">
        <f aca="false">I6930&amp;"-Q"&amp;ROUNDUP(MONTH(B6930)/3,0)</f>
        <v>2016-Q2</v>
      </c>
    </row>
    <row r="6931" customFormat="false" ht="15" hidden="false" customHeight="false" outlineLevel="0" collapsed="false">
      <c r="A6931" s="0" t="s">
        <v>3523</v>
      </c>
      <c r="B6931" s="6" t="n">
        <v>42544</v>
      </c>
      <c r="C6931" s="7" t="s">
        <v>33</v>
      </c>
      <c r="D6931" s="7" t="s">
        <v>34</v>
      </c>
      <c r="E6931" s="7" t="s">
        <v>39</v>
      </c>
      <c r="F6931" s="0" t="n">
        <v>862.344</v>
      </c>
      <c r="G6931" s="0" t="n">
        <v>97.0137</v>
      </c>
      <c r="H6931" s="0" t="n">
        <v>0.2</v>
      </c>
      <c r="I6931" s="7" t="n">
        <f aca="false">YEAR(B6931)</f>
        <v>2016</v>
      </c>
      <c r="J6931" s="0" t="str">
        <f aca="false">I6931&amp;"-Q"&amp;ROUNDUP(MONTH(B6931)/3,0)</f>
        <v>2016-Q2</v>
      </c>
    </row>
    <row r="6932" customFormat="false" ht="15" hidden="false" customHeight="false" outlineLevel="0" collapsed="false">
      <c r="A6932" s="0" t="s">
        <v>3523</v>
      </c>
      <c r="B6932" s="6" t="n">
        <v>42544</v>
      </c>
      <c r="C6932" s="7" t="s">
        <v>33</v>
      </c>
      <c r="D6932" s="7" t="s">
        <v>34</v>
      </c>
      <c r="E6932" s="7" t="s">
        <v>35</v>
      </c>
      <c r="F6932" s="0" t="n">
        <v>19.98</v>
      </c>
      <c r="G6932" s="0" t="n">
        <v>9.3906</v>
      </c>
      <c r="H6932" s="0" t="n">
        <v>0</v>
      </c>
      <c r="I6932" s="7" t="n">
        <f aca="false">YEAR(B6932)</f>
        <v>2016</v>
      </c>
      <c r="J6932" s="0" t="str">
        <f aca="false">I6932&amp;"-Q"&amp;ROUNDUP(MONTH(B6932)/3,0)</f>
        <v>2016-Q2</v>
      </c>
    </row>
    <row r="6933" customFormat="false" ht="15" hidden="false" customHeight="false" outlineLevel="0" collapsed="false">
      <c r="A6933" s="0" t="s">
        <v>3524</v>
      </c>
      <c r="B6933" s="6" t="n">
        <v>41834</v>
      </c>
      <c r="C6933" s="7" t="s">
        <v>55</v>
      </c>
      <c r="D6933" s="7" t="s">
        <v>56</v>
      </c>
      <c r="E6933" s="7" t="s">
        <v>39</v>
      </c>
      <c r="F6933" s="0" t="n">
        <v>13.494</v>
      </c>
      <c r="G6933" s="0" t="n">
        <v>-2.249</v>
      </c>
      <c r="H6933" s="0" t="n">
        <v>0.4</v>
      </c>
      <c r="I6933" s="7" t="n">
        <f aca="false">YEAR(B6933)</f>
        <v>2014</v>
      </c>
      <c r="J6933" s="0" t="str">
        <f aca="false">I6933&amp;"-Q"&amp;ROUNDUP(MONTH(B6933)/3,0)</f>
        <v>2014-Q3</v>
      </c>
    </row>
    <row r="6934" customFormat="false" ht="15" hidden="false" customHeight="false" outlineLevel="0" collapsed="false">
      <c r="A6934" s="0" t="s">
        <v>3524</v>
      </c>
      <c r="B6934" s="6" t="n">
        <v>41834</v>
      </c>
      <c r="C6934" s="7" t="s">
        <v>55</v>
      </c>
      <c r="D6934" s="7" t="s">
        <v>56</v>
      </c>
      <c r="E6934" s="7" t="s">
        <v>39</v>
      </c>
      <c r="F6934" s="0" t="n">
        <v>23.988</v>
      </c>
      <c r="G6934" s="0" t="n">
        <v>-13.993</v>
      </c>
      <c r="H6934" s="0" t="n">
        <v>0.4</v>
      </c>
      <c r="I6934" s="7" t="n">
        <f aca="false">YEAR(B6934)</f>
        <v>2014</v>
      </c>
      <c r="J6934" s="0" t="str">
        <f aca="false">I6934&amp;"-Q"&amp;ROUNDUP(MONTH(B6934)/3,0)</f>
        <v>2014-Q3</v>
      </c>
    </row>
    <row r="6935" customFormat="false" ht="15" hidden="false" customHeight="false" outlineLevel="0" collapsed="false">
      <c r="A6935" s="0" t="s">
        <v>3524</v>
      </c>
      <c r="B6935" s="6" t="n">
        <v>41834</v>
      </c>
      <c r="C6935" s="7" t="s">
        <v>55</v>
      </c>
      <c r="D6935" s="7" t="s">
        <v>56</v>
      </c>
      <c r="E6935" s="7" t="s">
        <v>31</v>
      </c>
      <c r="F6935" s="0" t="n">
        <v>31.984</v>
      </c>
      <c r="G6935" s="0" t="n">
        <v>1.1994</v>
      </c>
      <c r="H6935" s="0" t="n">
        <v>0.2</v>
      </c>
      <c r="I6935" s="7" t="n">
        <f aca="false">YEAR(B6935)</f>
        <v>2014</v>
      </c>
      <c r="J6935" s="0" t="str">
        <f aca="false">I6935&amp;"-Q"&amp;ROUNDUP(MONTH(B6935)/3,0)</f>
        <v>2014-Q3</v>
      </c>
    </row>
    <row r="6936" customFormat="false" ht="15" hidden="false" customHeight="false" outlineLevel="0" collapsed="false">
      <c r="A6936" s="0" t="s">
        <v>3524</v>
      </c>
      <c r="B6936" s="6" t="n">
        <v>41834</v>
      </c>
      <c r="C6936" s="7" t="s">
        <v>55</v>
      </c>
      <c r="D6936" s="7" t="s">
        <v>56</v>
      </c>
      <c r="E6936" s="7" t="s">
        <v>35</v>
      </c>
      <c r="F6936" s="0" t="n">
        <v>41.584</v>
      </c>
      <c r="G6936" s="0" t="n">
        <v>4.6782</v>
      </c>
      <c r="H6936" s="0" t="n">
        <v>0.2</v>
      </c>
      <c r="I6936" s="7" t="n">
        <f aca="false">YEAR(B6936)</f>
        <v>2014</v>
      </c>
      <c r="J6936" s="0" t="str">
        <f aca="false">I6936&amp;"-Q"&amp;ROUNDUP(MONTH(B6936)/3,0)</f>
        <v>2014-Q3</v>
      </c>
    </row>
    <row r="6937" customFormat="false" ht="15" hidden="false" customHeight="false" outlineLevel="0" collapsed="false">
      <c r="A6937" s="0" t="s">
        <v>3525</v>
      </c>
      <c r="B6937" s="6" t="n">
        <v>43069</v>
      </c>
      <c r="C6937" s="7" t="s">
        <v>45</v>
      </c>
      <c r="D6937" s="7" t="s">
        <v>46</v>
      </c>
      <c r="E6937" s="7" t="s">
        <v>39</v>
      </c>
      <c r="F6937" s="0" t="n">
        <v>95.976</v>
      </c>
      <c r="G6937" s="0" t="n">
        <v>-10.7973</v>
      </c>
      <c r="H6937" s="0" t="n">
        <v>0.2</v>
      </c>
      <c r="I6937" s="7" t="n">
        <f aca="false">YEAR(B6937)</f>
        <v>2017</v>
      </c>
      <c r="J6937" s="0" t="str">
        <f aca="false">I6937&amp;"-Q"&amp;ROUNDUP(MONTH(B6937)/3,0)</f>
        <v>2017-Q4</v>
      </c>
    </row>
    <row r="6938" customFormat="false" ht="15" hidden="false" customHeight="false" outlineLevel="0" collapsed="false">
      <c r="A6938" s="0" t="s">
        <v>3526</v>
      </c>
      <c r="B6938" s="6" t="n">
        <v>42615</v>
      </c>
      <c r="C6938" s="7" t="s">
        <v>45</v>
      </c>
      <c r="D6938" s="7" t="s">
        <v>64</v>
      </c>
      <c r="E6938" s="7" t="s">
        <v>31</v>
      </c>
      <c r="F6938" s="0" t="n">
        <v>84.272</v>
      </c>
      <c r="G6938" s="0" t="n">
        <v>-75.8448</v>
      </c>
      <c r="H6938" s="0" t="n">
        <v>0.6</v>
      </c>
      <c r="I6938" s="7" t="n">
        <f aca="false">YEAR(B6938)</f>
        <v>2016</v>
      </c>
      <c r="J6938" s="0" t="str">
        <f aca="false">I6938&amp;"-Q"&amp;ROUNDUP(MONTH(B6938)/3,0)</f>
        <v>2016-Q3</v>
      </c>
    </row>
    <row r="6939" customFormat="false" ht="15" hidden="false" customHeight="false" outlineLevel="0" collapsed="false">
      <c r="A6939" s="0" t="s">
        <v>3527</v>
      </c>
      <c r="B6939" s="6" t="n">
        <v>41805</v>
      </c>
      <c r="C6939" s="7" t="s">
        <v>45</v>
      </c>
      <c r="D6939" s="7" t="s">
        <v>46</v>
      </c>
      <c r="E6939" s="7" t="s">
        <v>35</v>
      </c>
      <c r="F6939" s="0" t="n">
        <v>36.544</v>
      </c>
      <c r="G6939" s="0" t="n">
        <v>11.8768</v>
      </c>
      <c r="H6939" s="0" t="n">
        <v>0.2</v>
      </c>
      <c r="I6939" s="7" t="n">
        <f aca="false">YEAR(B6939)</f>
        <v>2014</v>
      </c>
      <c r="J6939" s="0" t="str">
        <f aca="false">I6939&amp;"-Q"&amp;ROUNDUP(MONTH(B6939)/3,0)</f>
        <v>2014-Q2</v>
      </c>
    </row>
    <row r="6940" customFormat="false" ht="15" hidden="false" customHeight="false" outlineLevel="0" collapsed="false">
      <c r="A6940" s="0" t="s">
        <v>3528</v>
      </c>
      <c r="B6940" s="6" t="n">
        <v>42679</v>
      </c>
      <c r="C6940" s="7" t="s">
        <v>33</v>
      </c>
      <c r="D6940" s="7" t="s">
        <v>43</v>
      </c>
      <c r="E6940" s="7" t="s">
        <v>39</v>
      </c>
      <c r="F6940" s="0" t="n">
        <v>479.72</v>
      </c>
      <c r="G6940" s="0" t="n">
        <v>52.7692</v>
      </c>
      <c r="H6940" s="0" t="n">
        <v>0</v>
      </c>
      <c r="I6940" s="7" t="n">
        <f aca="false">YEAR(B6940)</f>
        <v>2016</v>
      </c>
      <c r="J6940" s="0" t="str">
        <f aca="false">I6940&amp;"-Q"&amp;ROUNDUP(MONTH(B6940)/3,0)</f>
        <v>2016-Q4</v>
      </c>
    </row>
    <row r="6941" customFormat="false" ht="15" hidden="false" customHeight="false" outlineLevel="0" collapsed="false">
      <c r="A6941" s="0" t="s">
        <v>3529</v>
      </c>
      <c r="B6941" s="6" t="n">
        <v>42912</v>
      </c>
      <c r="C6941" s="7" t="s">
        <v>55</v>
      </c>
      <c r="D6941" s="7" t="s">
        <v>76</v>
      </c>
      <c r="E6941" s="7" t="s">
        <v>35</v>
      </c>
      <c r="F6941" s="0" t="n">
        <v>102.368</v>
      </c>
      <c r="G6941" s="0" t="n">
        <v>37.1084</v>
      </c>
      <c r="H6941" s="0" t="n">
        <v>0.2</v>
      </c>
      <c r="I6941" s="7" t="n">
        <f aca="false">YEAR(B6941)</f>
        <v>2017</v>
      </c>
      <c r="J6941" s="0" t="str">
        <f aca="false">I6941&amp;"-Q"&amp;ROUNDUP(MONTH(B6941)/3,0)</f>
        <v>2017-Q2</v>
      </c>
    </row>
    <row r="6942" customFormat="false" ht="15" hidden="false" customHeight="false" outlineLevel="0" collapsed="false">
      <c r="A6942" s="0" t="s">
        <v>3529</v>
      </c>
      <c r="B6942" s="6" t="n">
        <v>42912</v>
      </c>
      <c r="C6942" s="7" t="s">
        <v>55</v>
      </c>
      <c r="D6942" s="7" t="s">
        <v>76</v>
      </c>
      <c r="E6942" s="7" t="s">
        <v>35</v>
      </c>
      <c r="F6942" s="0" t="n">
        <v>28.4</v>
      </c>
      <c r="G6942" s="0" t="n">
        <v>8.236</v>
      </c>
      <c r="H6942" s="0" t="n">
        <v>0</v>
      </c>
      <c r="I6942" s="7" t="n">
        <f aca="false">YEAR(B6942)</f>
        <v>2017</v>
      </c>
      <c r="J6942" s="0" t="str">
        <f aca="false">I6942&amp;"-Q"&amp;ROUNDUP(MONTH(B6942)/3,0)</f>
        <v>2017-Q2</v>
      </c>
    </row>
    <row r="6943" customFormat="false" ht="15" hidden="false" customHeight="false" outlineLevel="0" collapsed="false">
      <c r="A6943" s="0" t="s">
        <v>3529</v>
      </c>
      <c r="B6943" s="6" t="n">
        <v>42912</v>
      </c>
      <c r="C6943" s="7" t="s">
        <v>55</v>
      </c>
      <c r="D6943" s="7" t="s">
        <v>76</v>
      </c>
      <c r="E6943" s="7" t="s">
        <v>35</v>
      </c>
      <c r="F6943" s="0" t="n">
        <v>713.88</v>
      </c>
      <c r="G6943" s="0" t="n">
        <v>214.164</v>
      </c>
      <c r="H6943" s="0" t="n">
        <v>0</v>
      </c>
      <c r="I6943" s="7" t="n">
        <f aca="false">YEAR(B6943)</f>
        <v>2017</v>
      </c>
      <c r="J6943" s="0" t="str">
        <f aca="false">I6943&amp;"-Q"&amp;ROUNDUP(MONTH(B6943)/3,0)</f>
        <v>2017-Q2</v>
      </c>
    </row>
    <row r="6944" customFormat="false" ht="15" hidden="false" customHeight="false" outlineLevel="0" collapsed="false">
      <c r="A6944" s="0" t="s">
        <v>3529</v>
      </c>
      <c r="B6944" s="6" t="n">
        <v>42912</v>
      </c>
      <c r="C6944" s="7" t="s">
        <v>55</v>
      </c>
      <c r="D6944" s="7" t="s">
        <v>76</v>
      </c>
      <c r="E6944" s="7" t="s">
        <v>35</v>
      </c>
      <c r="F6944" s="0" t="n">
        <v>68.52</v>
      </c>
      <c r="G6944" s="0" t="n">
        <v>31.5192</v>
      </c>
      <c r="H6944" s="0" t="n">
        <v>0</v>
      </c>
      <c r="I6944" s="7" t="n">
        <f aca="false">YEAR(B6944)</f>
        <v>2017</v>
      </c>
      <c r="J6944" s="0" t="str">
        <f aca="false">I6944&amp;"-Q"&amp;ROUNDUP(MONTH(B6944)/3,0)</f>
        <v>2017-Q2</v>
      </c>
    </row>
    <row r="6945" customFormat="false" ht="15" hidden="false" customHeight="false" outlineLevel="0" collapsed="false">
      <c r="A6945" s="0" t="s">
        <v>3530</v>
      </c>
      <c r="B6945" s="6" t="n">
        <v>42210</v>
      </c>
      <c r="C6945" s="7" t="s">
        <v>33</v>
      </c>
      <c r="D6945" s="7" t="s">
        <v>34</v>
      </c>
      <c r="E6945" s="7" t="s">
        <v>39</v>
      </c>
      <c r="F6945" s="0" t="n">
        <v>623.96</v>
      </c>
      <c r="G6945" s="0" t="n">
        <v>38.9975</v>
      </c>
      <c r="H6945" s="0" t="n">
        <v>0.2</v>
      </c>
      <c r="I6945" s="7" t="n">
        <f aca="false">YEAR(B6945)</f>
        <v>2015</v>
      </c>
      <c r="J6945" s="0" t="str">
        <f aca="false">I6945&amp;"-Q"&amp;ROUNDUP(MONTH(B6945)/3,0)</f>
        <v>2015-Q3</v>
      </c>
    </row>
    <row r="6946" customFormat="false" ht="15" hidden="false" customHeight="false" outlineLevel="0" collapsed="false">
      <c r="A6946" s="0" t="s">
        <v>3531</v>
      </c>
      <c r="B6946" s="6" t="n">
        <v>41905</v>
      </c>
      <c r="C6946" s="7" t="s">
        <v>55</v>
      </c>
      <c r="D6946" s="7" t="s">
        <v>72</v>
      </c>
      <c r="E6946" s="7" t="s">
        <v>35</v>
      </c>
      <c r="F6946" s="0" t="n">
        <v>11.12</v>
      </c>
      <c r="G6946" s="0" t="n">
        <v>5.4488</v>
      </c>
      <c r="H6946" s="0" t="n">
        <v>0</v>
      </c>
      <c r="I6946" s="7" t="n">
        <f aca="false">YEAR(B6946)</f>
        <v>2014</v>
      </c>
      <c r="J6946" s="0" t="str">
        <f aca="false">I6946&amp;"-Q"&amp;ROUNDUP(MONTH(B6946)/3,0)</f>
        <v>2014-Q3</v>
      </c>
    </row>
    <row r="6947" customFormat="false" ht="15" hidden="false" customHeight="false" outlineLevel="0" collapsed="false">
      <c r="A6947" s="0" t="s">
        <v>3532</v>
      </c>
      <c r="B6947" s="6" t="n">
        <v>42643</v>
      </c>
      <c r="C6947" s="7" t="s">
        <v>55</v>
      </c>
      <c r="D6947" s="7" t="s">
        <v>76</v>
      </c>
      <c r="E6947" s="7" t="s">
        <v>31</v>
      </c>
      <c r="F6947" s="0" t="n">
        <v>523.92</v>
      </c>
      <c r="G6947" s="0" t="n">
        <v>-26.196</v>
      </c>
      <c r="H6947" s="0" t="n">
        <v>0.2</v>
      </c>
      <c r="I6947" s="7" t="n">
        <f aca="false">YEAR(B6947)</f>
        <v>2016</v>
      </c>
      <c r="J6947" s="0" t="str">
        <f aca="false">I6947&amp;"-Q"&amp;ROUNDUP(MONTH(B6947)/3,0)</f>
        <v>2016-Q3</v>
      </c>
    </row>
    <row r="6948" customFormat="false" ht="15" hidden="false" customHeight="false" outlineLevel="0" collapsed="false">
      <c r="A6948" s="0" t="s">
        <v>3533</v>
      </c>
      <c r="B6948" s="6" t="n">
        <v>42317</v>
      </c>
      <c r="C6948" s="7" t="s">
        <v>33</v>
      </c>
      <c r="D6948" s="7" t="s">
        <v>34</v>
      </c>
      <c r="E6948" s="7" t="s">
        <v>35</v>
      </c>
      <c r="F6948" s="0" t="n">
        <v>2.48</v>
      </c>
      <c r="G6948" s="0" t="n">
        <v>1.1656</v>
      </c>
      <c r="H6948" s="0" t="n">
        <v>0</v>
      </c>
      <c r="I6948" s="7" t="n">
        <f aca="false">YEAR(B6948)</f>
        <v>2015</v>
      </c>
      <c r="J6948" s="0" t="str">
        <f aca="false">I6948&amp;"-Q"&amp;ROUNDUP(MONTH(B6948)/3,0)</f>
        <v>2015-Q4</v>
      </c>
    </row>
    <row r="6949" customFormat="false" ht="15" hidden="false" customHeight="false" outlineLevel="0" collapsed="false">
      <c r="A6949" s="0" t="s">
        <v>3534</v>
      </c>
      <c r="B6949" s="6" t="n">
        <v>42119</v>
      </c>
      <c r="C6949" s="7" t="s">
        <v>45</v>
      </c>
      <c r="D6949" s="7" t="s">
        <v>64</v>
      </c>
      <c r="E6949" s="7" t="s">
        <v>35</v>
      </c>
      <c r="F6949" s="0" t="n">
        <v>221.024</v>
      </c>
      <c r="G6949" s="0" t="n">
        <v>-55.256</v>
      </c>
      <c r="H6949" s="0" t="n">
        <v>0.2</v>
      </c>
      <c r="I6949" s="7" t="n">
        <f aca="false">YEAR(B6949)</f>
        <v>2015</v>
      </c>
      <c r="J6949" s="0" t="str">
        <f aca="false">I6949&amp;"-Q"&amp;ROUNDUP(MONTH(B6949)/3,0)</f>
        <v>2015-Q2</v>
      </c>
    </row>
    <row r="6950" customFormat="false" ht="15" hidden="false" customHeight="false" outlineLevel="0" collapsed="false">
      <c r="A6950" s="0" t="s">
        <v>3534</v>
      </c>
      <c r="B6950" s="6" t="n">
        <v>42119</v>
      </c>
      <c r="C6950" s="7" t="s">
        <v>45</v>
      </c>
      <c r="D6950" s="7" t="s">
        <v>64</v>
      </c>
      <c r="E6950" s="7" t="s">
        <v>31</v>
      </c>
      <c r="F6950" s="0" t="n">
        <v>128.058</v>
      </c>
      <c r="G6950" s="0" t="n">
        <v>-23.7822</v>
      </c>
      <c r="H6950" s="0" t="n">
        <v>0.3</v>
      </c>
      <c r="I6950" s="7" t="n">
        <f aca="false">YEAR(B6950)</f>
        <v>2015</v>
      </c>
      <c r="J6950" s="0" t="str">
        <f aca="false">I6950&amp;"-Q"&amp;ROUNDUP(MONTH(B6950)/3,0)</f>
        <v>2015-Q2</v>
      </c>
    </row>
    <row r="6951" customFormat="false" ht="15" hidden="false" customHeight="false" outlineLevel="0" collapsed="false">
      <c r="A6951" s="0" t="s">
        <v>3535</v>
      </c>
      <c r="B6951" s="6" t="n">
        <v>43058</v>
      </c>
      <c r="C6951" s="7" t="s">
        <v>55</v>
      </c>
      <c r="D6951" s="7" t="s">
        <v>76</v>
      </c>
      <c r="E6951" s="7" t="s">
        <v>35</v>
      </c>
      <c r="F6951" s="0" t="n">
        <v>58.408</v>
      </c>
      <c r="G6951" s="0" t="n">
        <v>18.2525</v>
      </c>
      <c r="H6951" s="0" t="n">
        <v>0.2</v>
      </c>
      <c r="I6951" s="7" t="n">
        <f aca="false">YEAR(B6951)</f>
        <v>2017</v>
      </c>
      <c r="J6951" s="0" t="str">
        <f aca="false">I6951&amp;"-Q"&amp;ROUNDUP(MONTH(B6951)/3,0)</f>
        <v>2017-Q4</v>
      </c>
    </row>
    <row r="6952" customFormat="false" ht="15" hidden="false" customHeight="false" outlineLevel="0" collapsed="false">
      <c r="A6952" s="0" t="s">
        <v>3535</v>
      </c>
      <c r="B6952" s="6" t="n">
        <v>43058</v>
      </c>
      <c r="C6952" s="7" t="s">
        <v>55</v>
      </c>
      <c r="D6952" s="7" t="s">
        <v>76</v>
      </c>
      <c r="E6952" s="7" t="s">
        <v>31</v>
      </c>
      <c r="F6952" s="0" t="n">
        <v>79.974</v>
      </c>
      <c r="G6952" s="0" t="n">
        <v>-29.3238</v>
      </c>
      <c r="H6952" s="0" t="n">
        <v>0.4</v>
      </c>
      <c r="I6952" s="7" t="n">
        <f aca="false">YEAR(B6952)</f>
        <v>2017</v>
      </c>
      <c r="J6952" s="0" t="str">
        <f aca="false">I6952&amp;"-Q"&amp;ROUNDUP(MONTH(B6952)/3,0)</f>
        <v>2017-Q4</v>
      </c>
    </row>
    <row r="6953" customFormat="false" ht="15" hidden="false" customHeight="false" outlineLevel="0" collapsed="false">
      <c r="A6953" s="0" t="s">
        <v>3536</v>
      </c>
      <c r="B6953" s="6" t="n">
        <v>42328</v>
      </c>
      <c r="C6953" s="7" t="s">
        <v>45</v>
      </c>
      <c r="D6953" s="7" t="s">
        <v>46</v>
      </c>
      <c r="E6953" s="7" t="s">
        <v>39</v>
      </c>
      <c r="F6953" s="0" t="n">
        <v>479.988</v>
      </c>
      <c r="G6953" s="0" t="n">
        <v>55.9986</v>
      </c>
      <c r="H6953" s="0" t="n">
        <v>0.4</v>
      </c>
      <c r="I6953" s="7" t="n">
        <f aca="false">YEAR(B6953)</f>
        <v>2015</v>
      </c>
      <c r="J6953" s="0" t="str">
        <f aca="false">I6953&amp;"-Q"&amp;ROUNDUP(MONTH(B6953)/3,0)</f>
        <v>2015-Q4</v>
      </c>
    </row>
    <row r="6954" customFormat="false" ht="15" hidden="false" customHeight="false" outlineLevel="0" collapsed="false">
      <c r="A6954" s="0" t="s">
        <v>3537</v>
      </c>
      <c r="B6954" s="6" t="n">
        <v>42279</v>
      </c>
      <c r="C6954" s="7" t="s">
        <v>33</v>
      </c>
      <c r="D6954" s="7" t="s">
        <v>34</v>
      </c>
      <c r="E6954" s="7" t="s">
        <v>35</v>
      </c>
      <c r="F6954" s="0" t="n">
        <v>11.808</v>
      </c>
      <c r="G6954" s="0" t="n">
        <v>4.1328</v>
      </c>
      <c r="H6954" s="0" t="n">
        <v>0.2</v>
      </c>
      <c r="I6954" s="7" t="n">
        <f aca="false">YEAR(B6954)</f>
        <v>2015</v>
      </c>
      <c r="J6954" s="0" t="str">
        <f aca="false">I6954&amp;"-Q"&amp;ROUNDUP(MONTH(B6954)/3,0)</f>
        <v>2015-Q4</v>
      </c>
    </row>
    <row r="6955" customFormat="false" ht="15" hidden="false" customHeight="false" outlineLevel="0" collapsed="false">
      <c r="A6955" s="0" t="s">
        <v>3537</v>
      </c>
      <c r="B6955" s="6" t="n">
        <v>42279</v>
      </c>
      <c r="C6955" s="7" t="s">
        <v>33</v>
      </c>
      <c r="D6955" s="7" t="s">
        <v>34</v>
      </c>
      <c r="E6955" s="7" t="s">
        <v>35</v>
      </c>
      <c r="F6955" s="0" t="n">
        <v>53.568</v>
      </c>
      <c r="G6955" s="0" t="n">
        <v>19.4184</v>
      </c>
      <c r="H6955" s="0" t="n">
        <v>0.2</v>
      </c>
      <c r="I6955" s="7" t="n">
        <f aca="false">YEAR(B6955)</f>
        <v>2015</v>
      </c>
      <c r="J6955" s="0" t="str">
        <f aca="false">I6955&amp;"-Q"&amp;ROUNDUP(MONTH(B6955)/3,0)</f>
        <v>2015-Q4</v>
      </c>
    </row>
    <row r="6956" customFormat="false" ht="15" hidden="false" customHeight="false" outlineLevel="0" collapsed="false">
      <c r="A6956" s="0" t="s">
        <v>3537</v>
      </c>
      <c r="B6956" s="6" t="n">
        <v>42279</v>
      </c>
      <c r="C6956" s="7" t="s">
        <v>33</v>
      </c>
      <c r="D6956" s="7" t="s">
        <v>34</v>
      </c>
      <c r="E6956" s="7" t="s">
        <v>39</v>
      </c>
      <c r="F6956" s="0" t="n">
        <v>503.96</v>
      </c>
      <c r="G6956" s="0" t="n">
        <v>50.396</v>
      </c>
      <c r="H6956" s="0" t="n">
        <v>0.2</v>
      </c>
      <c r="I6956" s="7" t="n">
        <f aca="false">YEAR(B6956)</f>
        <v>2015</v>
      </c>
      <c r="J6956" s="0" t="str">
        <f aca="false">I6956&amp;"-Q"&amp;ROUNDUP(MONTH(B6956)/3,0)</f>
        <v>2015-Q4</v>
      </c>
    </row>
    <row r="6957" customFormat="false" ht="15" hidden="false" customHeight="false" outlineLevel="0" collapsed="false">
      <c r="A6957" s="0" t="s">
        <v>3538</v>
      </c>
      <c r="B6957" s="6" t="n">
        <v>42119</v>
      </c>
      <c r="C6957" s="7" t="s">
        <v>33</v>
      </c>
      <c r="D6957" s="7" t="s">
        <v>34</v>
      </c>
      <c r="E6957" s="7" t="s">
        <v>35</v>
      </c>
      <c r="F6957" s="0" t="n">
        <v>21.34</v>
      </c>
      <c r="G6957" s="0" t="n">
        <v>9.8164</v>
      </c>
      <c r="H6957" s="0" t="n">
        <v>0</v>
      </c>
      <c r="I6957" s="7" t="n">
        <f aca="false">YEAR(B6957)</f>
        <v>2015</v>
      </c>
      <c r="J6957" s="0" t="str">
        <f aca="false">I6957&amp;"-Q"&amp;ROUNDUP(MONTH(B6957)/3,0)</f>
        <v>2015-Q2</v>
      </c>
    </row>
    <row r="6958" customFormat="false" ht="15" hidden="false" customHeight="false" outlineLevel="0" collapsed="false">
      <c r="A6958" s="0" t="s">
        <v>3539</v>
      </c>
      <c r="B6958" s="6" t="n">
        <v>42565</v>
      </c>
      <c r="C6958" s="7" t="s">
        <v>29</v>
      </c>
      <c r="D6958" s="7" t="s">
        <v>230</v>
      </c>
      <c r="E6958" s="7" t="s">
        <v>35</v>
      </c>
      <c r="F6958" s="0" t="n">
        <v>36.4</v>
      </c>
      <c r="G6958" s="0" t="n">
        <v>17.108</v>
      </c>
      <c r="H6958" s="0" t="n">
        <v>0</v>
      </c>
      <c r="I6958" s="7" t="n">
        <f aca="false">YEAR(B6958)</f>
        <v>2016</v>
      </c>
      <c r="J6958" s="0" t="str">
        <f aca="false">I6958&amp;"-Q"&amp;ROUNDUP(MONTH(B6958)/3,0)</f>
        <v>2016-Q3</v>
      </c>
    </row>
    <row r="6959" customFormat="false" ht="15" hidden="false" customHeight="false" outlineLevel="0" collapsed="false">
      <c r="A6959" s="0" t="s">
        <v>3539</v>
      </c>
      <c r="B6959" s="6" t="n">
        <v>42565</v>
      </c>
      <c r="C6959" s="7" t="s">
        <v>29</v>
      </c>
      <c r="D6959" s="7" t="s">
        <v>230</v>
      </c>
      <c r="E6959" s="7" t="s">
        <v>31</v>
      </c>
      <c r="F6959" s="0" t="n">
        <v>51.75</v>
      </c>
      <c r="G6959" s="0" t="n">
        <v>15.525</v>
      </c>
      <c r="H6959" s="0" t="n">
        <v>0</v>
      </c>
      <c r="I6959" s="7" t="n">
        <f aca="false">YEAR(B6959)</f>
        <v>2016</v>
      </c>
      <c r="J6959" s="0" t="str">
        <f aca="false">I6959&amp;"-Q"&amp;ROUNDUP(MONTH(B6959)/3,0)</f>
        <v>2016-Q3</v>
      </c>
    </row>
    <row r="6960" customFormat="false" ht="15" hidden="false" customHeight="false" outlineLevel="0" collapsed="false">
      <c r="A6960" s="0" t="s">
        <v>3540</v>
      </c>
      <c r="B6960" s="6" t="n">
        <v>42274</v>
      </c>
      <c r="C6960" s="7" t="s">
        <v>33</v>
      </c>
      <c r="D6960" s="7" t="s">
        <v>34</v>
      </c>
      <c r="E6960" s="7" t="s">
        <v>35</v>
      </c>
      <c r="F6960" s="0" t="n">
        <v>15.51</v>
      </c>
      <c r="G6960" s="0" t="n">
        <v>4.3428</v>
      </c>
      <c r="H6960" s="0" t="n">
        <v>0</v>
      </c>
      <c r="I6960" s="7" t="n">
        <f aca="false">YEAR(B6960)</f>
        <v>2015</v>
      </c>
      <c r="J6960" s="0" t="str">
        <f aca="false">I6960&amp;"-Q"&amp;ROUNDUP(MONTH(B6960)/3,0)</f>
        <v>2015-Q3</v>
      </c>
    </row>
    <row r="6961" customFormat="false" ht="15" hidden="false" customHeight="false" outlineLevel="0" collapsed="false">
      <c r="A6961" s="0" t="s">
        <v>3540</v>
      </c>
      <c r="B6961" s="6" t="n">
        <v>42274</v>
      </c>
      <c r="C6961" s="7" t="s">
        <v>33</v>
      </c>
      <c r="D6961" s="7" t="s">
        <v>34</v>
      </c>
      <c r="E6961" s="7" t="s">
        <v>35</v>
      </c>
      <c r="F6961" s="0" t="n">
        <v>146.82</v>
      </c>
      <c r="G6961" s="0" t="n">
        <v>73.41</v>
      </c>
      <c r="H6961" s="0" t="n">
        <v>0</v>
      </c>
      <c r="I6961" s="7" t="n">
        <f aca="false">YEAR(B6961)</f>
        <v>2015</v>
      </c>
      <c r="J6961" s="0" t="str">
        <f aca="false">I6961&amp;"-Q"&amp;ROUNDUP(MONTH(B6961)/3,0)</f>
        <v>2015-Q3</v>
      </c>
    </row>
    <row r="6962" customFormat="false" ht="15" hidden="false" customHeight="false" outlineLevel="0" collapsed="false">
      <c r="A6962" s="0" t="s">
        <v>3540</v>
      </c>
      <c r="B6962" s="6" t="n">
        <v>42274</v>
      </c>
      <c r="C6962" s="7" t="s">
        <v>33</v>
      </c>
      <c r="D6962" s="7" t="s">
        <v>34</v>
      </c>
      <c r="E6962" s="7" t="s">
        <v>35</v>
      </c>
      <c r="F6962" s="0" t="n">
        <v>12.96</v>
      </c>
      <c r="G6962" s="0" t="n">
        <v>6.2208</v>
      </c>
      <c r="H6962" s="0" t="n">
        <v>0</v>
      </c>
      <c r="I6962" s="7" t="n">
        <f aca="false">YEAR(B6962)</f>
        <v>2015</v>
      </c>
      <c r="J6962" s="0" t="str">
        <f aca="false">I6962&amp;"-Q"&amp;ROUNDUP(MONTH(B6962)/3,0)</f>
        <v>2015-Q3</v>
      </c>
    </row>
    <row r="6963" customFormat="false" ht="15" hidden="false" customHeight="false" outlineLevel="0" collapsed="false">
      <c r="A6963" s="0" t="s">
        <v>3541</v>
      </c>
      <c r="B6963" s="6" t="n">
        <v>43049</v>
      </c>
      <c r="C6963" s="7" t="s">
        <v>33</v>
      </c>
      <c r="D6963" s="7" t="s">
        <v>34</v>
      </c>
      <c r="E6963" s="7" t="s">
        <v>35</v>
      </c>
      <c r="F6963" s="0" t="n">
        <v>7.8</v>
      </c>
      <c r="G6963" s="0" t="n">
        <v>2.106</v>
      </c>
      <c r="H6963" s="0" t="n">
        <v>0</v>
      </c>
      <c r="I6963" s="7" t="n">
        <f aca="false">YEAR(B6963)</f>
        <v>2017</v>
      </c>
      <c r="J6963" s="0" t="str">
        <f aca="false">I6963&amp;"-Q"&amp;ROUNDUP(MONTH(B6963)/3,0)</f>
        <v>2017-Q4</v>
      </c>
    </row>
    <row r="6964" customFormat="false" ht="15" hidden="false" customHeight="false" outlineLevel="0" collapsed="false">
      <c r="A6964" s="0" t="s">
        <v>3542</v>
      </c>
      <c r="B6964" s="6" t="n">
        <v>42567</v>
      </c>
      <c r="C6964" s="7" t="s">
        <v>29</v>
      </c>
      <c r="D6964" s="7" t="s">
        <v>96</v>
      </c>
      <c r="E6964" s="7" t="s">
        <v>35</v>
      </c>
      <c r="F6964" s="0" t="n">
        <v>10.2</v>
      </c>
      <c r="G6964" s="0" t="n">
        <v>4.794</v>
      </c>
      <c r="H6964" s="0" t="n">
        <v>0</v>
      </c>
      <c r="I6964" s="7" t="n">
        <f aca="false">YEAR(B6964)</f>
        <v>2016</v>
      </c>
      <c r="J6964" s="0" t="str">
        <f aca="false">I6964&amp;"-Q"&amp;ROUNDUP(MONTH(B6964)/3,0)</f>
        <v>2016-Q3</v>
      </c>
    </row>
    <row r="6965" customFormat="false" ht="15" hidden="false" customHeight="false" outlineLevel="0" collapsed="false">
      <c r="A6965" s="0" t="s">
        <v>3542</v>
      </c>
      <c r="B6965" s="6" t="n">
        <v>42567</v>
      </c>
      <c r="C6965" s="7" t="s">
        <v>29</v>
      </c>
      <c r="D6965" s="7" t="s">
        <v>96</v>
      </c>
      <c r="E6965" s="7" t="s">
        <v>35</v>
      </c>
      <c r="F6965" s="0" t="n">
        <v>22.32</v>
      </c>
      <c r="G6965" s="0" t="n">
        <v>5.58</v>
      </c>
      <c r="H6965" s="0" t="n">
        <v>0</v>
      </c>
      <c r="I6965" s="7" t="n">
        <f aca="false">YEAR(B6965)</f>
        <v>2016</v>
      </c>
      <c r="J6965" s="0" t="str">
        <f aca="false">I6965&amp;"-Q"&amp;ROUNDUP(MONTH(B6965)/3,0)</f>
        <v>2016-Q3</v>
      </c>
    </row>
    <row r="6966" customFormat="false" ht="15" hidden="false" customHeight="false" outlineLevel="0" collapsed="false">
      <c r="A6966" s="0" t="s">
        <v>3542</v>
      </c>
      <c r="B6966" s="6" t="n">
        <v>42567</v>
      </c>
      <c r="C6966" s="7" t="s">
        <v>29</v>
      </c>
      <c r="D6966" s="7" t="s">
        <v>96</v>
      </c>
      <c r="E6966" s="7" t="s">
        <v>35</v>
      </c>
      <c r="F6966" s="0" t="n">
        <v>24.1</v>
      </c>
      <c r="G6966" s="0" t="n">
        <v>11.086</v>
      </c>
      <c r="H6966" s="0" t="n">
        <v>0</v>
      </c>
      <c r="I6966" s="7" t="n">
        <f aca="false">YEAR(B6966)</f>
        <v>2016</v>
      </c>
      <c r="J6966" s="0" t="str">
        <f aca="false">I6966&amp;"-Q"&amp;ROUNDUP(MONTH(B6966)/3,0)</f>
        <v>2016-Q3</v>
      </c>
    </row>
    <row r="6967" customFormat="false" ht="15" hidden="false" customHeight="false" outlineLevel="0" collapsed="false">
      <c r="A6967" s="0" t="s">
        <v>3542</v>
      </c>
      <c r="B6967" s="6" t="n">
        <v>42567</v>
      </c>
      <c r="C6967" s="7" t="s">
        <v>29</v>
      </c>
      <c r="D6967" s="7" t="s">
        <v>96</v>
      </c>
      <c r="E6967" s="7" t="s">
        <v>39</v>
      </c>
      <c r="F6967" s="0" t="n">
        <v>75.98</v>
      </c>
      <c r="G6967" s="0" t="n">
        <v>18.2352</v>
      </c>
      <c r="H6967" s="0" t="n">
        <v>0</v>
      </c>
      <c r="I6967" s="7" t="n">
        <f aca="false">YEAR(B6967)</f>
        <v>2016</v>
      </c>
      <c r="J6967" s="0" t="str">
        <f aca="false">I6967&amp;"-Q"&amp;ROUNDUP(MONTH(B6967)/3,0)</f>
        <v>2016-Q3</v>
      </c>
    </row>
    <row r="6968" customFormat="false" ht="15" hidden="false" customHeight="false" outlineLevel="0" collapsed="false">
      <c r="A6968" s="0" t="s">
        <v>3542</v>
      </c>
      <c r="B6968" s="6" t="n">
        <v>42567</v>
      </c>
      <c r="C6968" s="7" t="s">
        <v>29</v>
      </c>
      <c r="D6968" s="7" t="s">
        <v>96</v>
      </c>
      <c r="E6968" s="7" t="s">
        <v>35</v>
      </c>
      <c r="F6968" s="0" t="n">
        <v>6.46</v>
      </c>
      <c r="G6968" s="0" t="n">
        <v>3.1654</v>
      </c>
      <c r="H6968" s="0" t="n">
        <v>0</v>
      </c>
      <c r="I6968" s="7" t="n">
        <f aca="false">YEAR(B6968)</f>
        <v>2016</v>
      </c>
      <c r="J6968" s="0" t="str">
        <f aca="false">I6968&amp;"-Q"&amp;ROUNDUP(MONTH(B6968)/3,0)</f>
        <v>2016-Q3</v>
      </c>
    </row>
    <row r="6969" customFormat="false" ht="15" hidden="false" customHeight="false" outlineLevel="0" collapsed="false">
      <c r="A6969" s="0" t="s">
        <v>3542</v>
      </c>
      <c r="B6969" s="6" t="n">
        <v>42567</v>
      </c>
      <c r="C6969" s="7" t="s">
        <v>29</v>
      </c>
      <c r="D6969" s="7" t="s">
        <v>96</v>
      </c>
      <c r="E6969" s="7" t="s">
        <v>35</v>
      </c>
      <c r="F6969" s="0" t="n">
        <v>60.12</v>
      </c>
      <c r="G6969" s="0" t="n">
        <v>28.8576</v>
      </c>
      <c r="H6969" s="0" t="n">
        <v>0</v>
      </c>
      <c r="I6969" s="7" t="n">
        <f aca="false">YEAR(B6969)</f>
        <v>2016</v>
      </c>
      <c r="J6969" s="0" t="str">
        <f aca="false">I6969&amp;"-Q"&amp;ROUNDUP(MONTH(B6969)/3,0)</f>
        <v>2016-Q3</v>
      </c>
    </row>
    <row r="6970" customFormat="false" ht="15" hidden="false" customHeight="false" outlineLevel="0" collapsed="false">
      <c r="A6970" s="0" t="s">
        <v>3543</v>
      </c>
      <c r="B6970" s="6" t="n">
        <v>42293</v>
      </c>
      <c r="C6970" s="7" t="s">
        <v>55</v>
      </c>
      <c r="D6970" s="7" t="s">
        <v>76</v>
      </c>
      <c r="E6970" s="7" t="s">
        <v>39</v>
      </c>
      <c r="F6970" s="0" t="n">
        <v>824.97</v>
      </c>
      <c r="G6970" s="0" t="n">
        <v>214.4922</v>
      </c>
      <c r="H6970" s="0" t="n">
        <v>0</v>
      </c>
      <c r="I6970" s="7" t="n">
        <f aca="false">YEAR(B6970)</f>
        <v>2015</v>
      </c>
      <c r="J6970" s="0" t="str">
        <f aca="false">I6970&amp;"-Q"&amp;ROUNDUP(MONTH(B6970)/3,0)</f>
        <v>2015-Q4</v>
      </c>
    </row>
    <row r="6971" customFormat="false" ht="15" hidden="false" customHeight="false" outlineLevel="0" collapsed="false">
      <c r="A6971" s="0" t="s">
        <v>3544</v>
      </c>
      <c r="B6971" s="6" t="n">
        <v>42379</v>
      </c>
      <c r="C6971" s="7" t="s">
        <v>33</v>
      </c>
      <c r="D6971" s="7" t="s">
        <v>43</v>
      </c>
      <c r="E6971" s="7" t="s">
        <v>31</v>
      </c>
      <c r="F6971" s="0" t="n">
        <v>24.85</v>
      </c>
      <c r="G6971" s="0" t="n">
        <v>7.7035</v>
      </c>
      <c r="H6971" s="0" t="n">
        <v>0</v>
      </c>
      <c r="I6971" s="7" t="n">
        <f aca="false">YEAR(B6971)</f>
        <v>2016</v>
      </c>
      <c r="J6971" s="0" t="str">
        <f aca="false">I6971&amp;"-Q"&amp;ROUNDUP(MONTH(B6971)/3,0)</f>
        <v>2016-Q1</v>
      </c>
    </row>
    <row r="6972" customFormat="false" ht="15" hidden="false" customHeight="false" outlineLevel="0" collapsed="false">
      <c r="A6972" s="0" t="s">
        <v>3545</v>
      </c>
      <c r="B6972" s="6" t="n">
        <v>42997</v>
      </c>
      <c r="C6972" s="7" t="s">
        <v>33</v>
      </c>
      <c r="D6972" s="7" t="s">
        <v>81</v>
      </c>
      <c r="E6972" s="7" t="s">
        <v>35</v>
      </c>
      <c r="F6972" s="0" t="n">
        <v>12.624</v>
      </c>
      <c r="G6972" s="0" t="n">
        <v>-2.5248</v>
      </c>
      <c r="H6972" s="0" t="n">
        <v>0.2</v>
      </c>
      <c r="I6972" s="7" t="n">
        <f aca="false">YEAR(B6972)</f>
        <v>2017</v>
      </c>
      <c r="J6972" s="0" t="str">
        <f aca="false">I6972&amp;"-Q"&amp;ROUNDUP(MONTH(B6972)/3,0)</f>
        <v>2017-Q3</v>
      </c>
    </row>
    <row r="6973" customFormat="false" ht="15" hidden="false" customHeight="false" outlineLevel="0" collapsed="false">
      <c r="A6973" s="0" t="s">
        <v>3545</v>
      </c>
      <c r="B6973" s="6" t="n">
        <v>42997</v>
      </c>
      <c r="C6973" s="7" t="s">
        <v>33</v>
      </c>
      <c r="D6973" s="7" t="s">
        <v>81</v>
      </c>
      <c r="E6973" s="7" t="s">
        <v>39</v>
      </c>
      <c r="F6973" s="0" t="n">
        <v>89.584</v>
      </c>
      <c r="G6973" s="0" t="n">
        <v>4.4792</v>
      </c>
      <c r="H6973" s="0" t="n">
        <v>0.2</v>
      </c>
      <c r="I6973" s="7" t="n">
        <f aca="false">YEAR(B6973)</f>
        <v>2017</v>
      </c>
      <c r="J6973" s="0" t="str">
        <f aca="false">I6973&amp;"-Q"&amp;ROUNDUP(MONTH(B6973)/3,0)</f>
        <v>2017-Q3</v>
      </c>
    </row>
    <row r="6974" customFormat="false" ht="15" hidden="false" customHeight="false" outlineLevel="0" collapsed="false">
      <c r="A6974" s="0" t="s">
        <v>3545</v>
      </c>
      <c r="B6974" s="6" t="n">
        <v>42997</v>
      </c>
      <c r="C6974" s="7" t="s">
        <v>33</v>
      </c>
      <c r="D6974" s="7" t="s">
        <v>81</v>
      </c>
      <c r="E6974" s="7" t="s">
        <v>39</v>
      </c>
      <c r="F6974" s="0" t="n">
        <v>471.92</v>
      </c>
      <c r="G6974" s="0" t="n">
        <v>29.495</v>
      </c>
      <c r="H6974" s="0" t="n">
        <v>0.2</v>
      </c>
      <c r="I6974" s="7" t="n">
        <f aca="false">YEAR(B6974)</f>
        <v>2017</v>
      </c>
      <c r="J6974" s="0" t="str">
        <f aca="false">I6974&amp;"-Q"&amp;ROUNDUP(MONTH(B6974)/3,0)</f>
        <v>2017-Q3</v>
      </c>
    </row>
    <row r="6975" customFormat="false" ht="15" hidden="false" customHeight="false" outlineLevel="0" collapsed="false">
      <c r="A6975" s="0" t="s">
        <v>3545</v>
      </c>
      <c r="B6975" s="6" t="n">
        <v>42997</v>
      </c>
      <c r="C6975" s="7" t="s">
        <v>33</v>
      </c>
      <c r="D6975" s="7" t="s">
        <v>81</v>
      </c>
      <c r="E6975" s="7" t="s">
        <v>35</v>
      </c>
      <c r="F6975" s="0" t="n">
        <v>18.18</v>
      </c>
      <c r="G6975" s="0" t="n">
        <v>-13.938</v>
      </c>
      <c r="H6975" s="0" t="n">
        <v>0.7</v>
      </c>
      <c r="I6975" s="7" t="n">
        <f aca="false">YEAR(B6975)</f>
        <v>2017</v>
      </c>
      <c r="J6975" s="0" t="str">
        <f aca="false">I6975&amp;"-Q"&amp;ROUNDUP(MONTH(B6975)/3,0)</f>
        <v>2017-Q3</v>
      </c>
    </row>
    <row r="6976" customFormat="false" ht="15" hidden="false" customHeight="false" outlineLevel="0" collapsed="false">
      <c r="A6976" s="0" t="s">
        <v>3546</v>
      </c>
      <c r="B6976" s="6" t="n">
        <v>42993</v>
      </c>
      <c r="C6976" s="7" t="s">
        <v>45</v>
      </c>
      <c r="D6976" s="7" t="s">
        <v>46</v>
      </c>
      <c r="E6976" s="7" t="s">
        <v>35</v>
      </c>
      <c r="F6976" s="0" t="n">
        <v>31.744</v>
      </c>
      <c r="G6976" s="0" t="n">
        <v>8.3328</v>
      </c>
      <c r="H6976" s="0" t="n">
        <v>0.2</v>
      </c>
      <c r="I6976" s="7" t="n">
        <f aca="false">YEAR(B6976)</f>
        <v>2017</v>
      </c>
      <c r="J6976" s="0" t="str">
        <f aca="false">I6976&amp;"-Q"&amp;ROUNDUP(MONTH(B6976)/3,0)</f>
        <v>2017-Q3</v>
      </c>
    </row>
    <row r="6977" customFormat="false" ht="15" hidden="false" customHeight="false" outlineLevel="0" collapsed="false">
      <c r="A6977" s="0" t="s">
        <v>3547</v>
      </c>
      <c r="B6977" s="6" t="n">
        <v>42183</v>
      </c>
      <c r="C6977" s="7" t="s">
        <v>33</v>
      </c>
      <c r="D6977" s="7" t="s">
        <v>81</v>
      </c>
      <c r="E6977" s="7" t="s">
        <v>35</v>
      </c>
      <c r="F6977" s="0" t="n">
        <v>5.904</v>
      </c>
      <c r="G6977" s="0" t="n">
        <v>1.9926</v>
      </c>
      <c r="H6977" s="0" t="n">
        <v>0.2</v>
      </c>
      <c r="I6977" s="7" t="n">
        <f aca="false">YEAR(B6977)</f>
        <v>2015</v>
      </c>
      <c r="J6977" s="0" t="str">
        <f aca="false">I6977&amp;"-Q"&amp;ROUNDUP(MONTH(B6977)/3,0)</f>
        <v>2015-Q2</v>
      </c>
    </row>
    <row r="6978" customFormat="false" ht="15" hidden="false" customHeight="false" outlineLevel="0" collapsed="false">
      <c r="A6978" s="0" t="s">
        <v>3547</v>
      </c>
      <c r="B6978" s="6" t="n">
        <v>42183</v>
      </c>
      <c r="C6978" s="7" t="s">
        <v>33</v>
      </c>
      <c r="D6978" s="7" t="s">
        <v>81</v>
      </c>
      <c r="E6978" s="7" t="s">
        <v>31</v>
      </c>
      <c r="F6978" s="0" t="n">
        <v>621.76</v>
      </c>
      <c r="G6978" s="0" t="n">
        <v>46.632</v>
      </c>
      <c r="H6978" s="0" t="n">
        <v>0.2</v>
      </c>
      <c r="I6978" s="7" t="n">
        <f aca="false">YEAR(B6978)</f>
        <v>2015</v>
      </c>
      <c r="J6978" s="0" t="str">
        <f aca="false">I6978&amp;"-Q"&amp;ROUNDUP(MONTH(B6978)/3,0)</f>
        <v>2015-Q2</v>
      </c>
    </row>
    <row r="6979" customFormat="false" ht="15" hidden="false" customHeight="false" outlineLevel="0" collapsed="false">
      <c r="A6979" s="0" t="s">
        <v>3548</v>
      </c>
      <c r="B6979" s="6" t="n">
        <v>42699</v>
      </c>
      <c r="C6979" s="7" t="s">
        <v>29</v>
      </c>
      <c r="D6979" s="7" t="s">
        <v>301</v>
      </c>
      <c r="E6979" s="7" t="s">
        <v>39</v>
      </c>
      <c r="F6979" s="0" t="n">
        <v>59.98</v>
      </c>
      <c r="G6979" s="0" t="n">
        <v>17.994</v>
      </c>
      <c r="H6979" s="0" t="n">
        <v>0</v>
      </c>
      <c r="I6979" s="7" t="n">
        <f aca="false">YEAR(B6979)</f>
        <v>2016</v>
      </c>
      <c r="J6979" s="0" t="str">
        <f aca="false">I6979&amp;"-Q"&amp;ROUNDUP(MONTH(B6979)/3,0)</f>
        <v>2016-Q4</v>
      </c>
    </row>
    <row r="6980" customFormat="false" ht="15" hidden="false" customHeight="false" outlineLevel="0" collapsed="false">
      <c r="A6980" s="0" t="s">
        <v>3549</v>
      </c>
      <c r="B6980" s="6" t="n">
        <v>43064</v>
      </c>
      <c r="C6980" s="7" t="s">
        <v>29</v>
      </c>
      <c r="D6980" s="7" t="s">
        <v>230</v>
      </c>
      <c r="E6980" s="7" t="s">
        <v>35</v>
      </c>
      <c r="F6980" s="0" t="n">
        <v>48.87</v>
      </c>
      <c r="G6980" s="0" t="n">
        <v>23.9463</v>
      </c>
      <c r="H6980" s="0" t="n">
        <v>0</v>
      </c>
      <c r="I6980" s="7" t="n">
        <f aca="false">YEAR(B6980)</f>
        <v>2017</v>
      </c>
      <c r="J6980" s="0" t="str">
        <f aca="false">I6980&amp;"-Q"&amp;ROUNDUP(MONTH(B6980)/3,0)</f>
        <v>2017-Q4</v>
      </c>
    </row>
    <row r="6981" customFormat="false" ht="15" hidden="false" customHeight="false" outlineLevel="0" collapsed="false">
      <c r="A6981" s="0" t="s">
        <v>3550</v>
      </c>
      <c r="B6981" s="6" t="n">
        <v>42749</v>
      </c>
      <c r="C6981" s="7" t="s">
        <v>33</v>
      </c>
      <c r="D6981" s="7" t="s">
        <v>34</v>
      </c>
      <c r="E6981" s="7" t="s">
        <v>35</v>
      </c>
      <c r="F6981" s="0" t="n">
        <v>154.9</v>
      </c>
      <c r="G6981" s="0" t="n">
        <v>69.705</v>
      </c>
      <c r="H6981" s="0" t="n">
        <v>0</v>
      </c>
      <c r="I6981" s="7" t="n">
        <f aca="false">YEAR(B6981)</f>
        <v>2017</v>
      </c>
      <c r="J6981" s="0" t="str">
        <f aca="false">I6981&amp;"-Q"&amp;ROUNDUP(MONTH(B6981)/3,0)</f>
        <v>2017-Q1</v>
      </c>
    </row>
    <row r="6982" customFormat="false" ht="15" hidden="false" customHeight="false" outlineLevel="0" collapsed="false">
      <c r="A6982" s="0" t="s">
        <v>3551</v>
      </c>
      <c r="B6982" s="6" t="n">
        <v>41950</v>
      </c>
      <c r="C6982" s="7" t="s">
        <v>55</v>
      </c>
      <c r="D6982" s="7" t="s">
        <v>76</v>
      </c>
      <c r="E6982" s="7" t="s">
        <v>35</v>
      </c>
      <c r="F6982" s="0" t="n">
        <v>5.92</v>
      </c>
      <c r="G6982" s="0" t="n">
        <v>2.8416</v>
      </c>
      <c r="H6982" s="0" t="n">
        <v>0</v>
      </c>
      <c r="I6982" s="7" t="n">
        <f aca="false">YEAR(B6982)</f>
        <v>2014</v>
      </c>
      <c r="J6982" s="0" t="str">
        <f aca="false">I6982&amp;"-Q"&amp;ROUNDUP(MONTH(B6982)/3,0)</f>
        <v>2014-Q4</v>
      </c>
    </row>
    <row r="6983" customFormat="false" ht="15" hidden="false" customHeight="false" outlineLevel="0" collapsed="false">
      <c r="A6983" s="0" t="s">
        <v>3551</v>
      </c>
      <c r="B6983" s="6" t="n">
        <v>41950</v>
      </c>
      <c r="C6983" s="7" t="s">
        <v>55</v>
      </c>
      <c r="D6983" s="7" t="s">
        <v>76</v>
      </c>
      <c r="E6983" s="7" t="s">
        <v>35</v>
      </c>
      <c r="F6983" s="0" t="n">
        <v>30.18</v>
      </c>
      <c r="G6983" s="0" t="n">
        <v>13.8828</v>
      </c>
      <c r="H6983" s="0" t="n">
        <v>0</v>
      </c>
      <c r="I6983" s="7" t="n">
        <f aca="false">YEAR(B6983)</f>
        <v>2014</v>
      </c>
      <c r="J6983" s="0" t="str">
        <f aca="false">I6983&amp;"-Q"&amp;ROUNDUP(MONTH(B6983)/3,0)</f>
        <v>2014-Q4</v>
      </c>
    </row>
    <row r="6984" customFormat="false" ht="15" hidden="false" customHeight="false" outlineLevel="0" collapsed="false">
      <c r="A6984" s="0" t="s">
        <v>3552</v>
      </c>
      <c r="B6984" s="6" t="n">
        <v>42614</v>
      </c>
      <c r="C6984" s="7" t="s">
        <v>45</v>
      </c>
      <c r="D6984" s="7" t="s">
        <v>70</v>
      </c>
      <c r="E6984" s="7" t="s">
        <v>35</v>
      </c>
      <c r="F6984" s="0" t="n">
        <v>24.1</v>
      </c>
      <c r="G6984" s="0" t="n">
        <v>11.086</v>
      </c>
      <c r="H6984" s="0" t="n">
        <v>0</v>
      </c>
      <c r="I6984" s="7" t="n">
        <f aca="false">YEAR(B6984)</f>
        <v>2016</v>
      </c>
      <c r="J6984" s="0" t="str">
        <f aca="false">I6984&amp;"-Q"&amp;ROUNDUP(MONTH(B6984)/3,0)</f>
        <v>2016-Q3</v>
      </c>
    </row>
    <row r="6985" customFormat="false" ht="15" hidden="false" customHeight="false" outlineLevel="0" collapsed="false">
      <c r="A6985" s="0" t="s">
        <v>3552</v>
      </c>
      <c r="B6985" s="6" t="n">
        <v>42614</v>
      </c>
      <c r="C6985" s="7" t="s">
        <v>45</v>
      </c>
      <c r="D6985" s="7" t="s">
        <v>70</v>
      </c>
      <c r="E6985" s="7" t="s">
        <v>39</v>
      </c>
      <c r="F6985" s="0" t="n">
        <v>8.78</v>
      </c>
      <c r="G6985" s="0" t="n">
        <v>2.2828</v>
      </c>
      <c r="H6985" s="0" t="n">
        <v>0</v>
      </c>
      <c r="I6985" s="7" t="n">
        <f aca="false">YEAR(B6985)</f>
        <v>2016</v>
      </c>
      <c r="J6985" s="0" t="str">
        <f aca="false">I6985&amp;"-Q"&amp;ROUNDUP(MONTH(B6985)/3,0)</f>
        <v>2016-Q3</v>
      </c>
    </row>
    <row r="6986" customFormat="false" ht="15" hidden="false" customHeight="false" outlineLevel="0" collapsed="false">
      <c r="A6986" s="0" t="s">
        <v>3552</v>
      </c>
      <c r="B6986" s="6" t="n">
        <v>42614</v>
      </c>
      <c r="C6986" s="7" t="s">
        <v>45</v>
      </c>
      <c r="D6986" s="7" t="s">
        <v>70</v>
      </c>
      <c r="E6986" s="7" t="s">
        <v>35</v>
      </c>
      <c r="F6986" s="0" t="n">
        <v>376.74</v>
      </c>
      <c r="G6986" s="0" t="n">
        <v>71.162</v>
      </c>
      <c r="H6986" s="0" t="n">
        <v>0.1</v>
      </c>
      <c r="I6986" s="7" t="n">
        <f aca="false">YEAR(B6986)</f>
        <v>2016</v>
      </c>
      <c r="J6986" s="0" t="str">
        <f aca="false">I6986&amp;"-Q"&amp;ROUNDUP(MONTH(B6986)/3,0)</f>
        <v>2016-Q3</v>
      </c>
    </row>
    <row r="6987" customFormat="false" ht="15" hidden="false" customHeight="false" outlineLevel="0" collapsed="false">
      <c r="A6987" s="0" t="s">
        <v>3552</v>
      </c>
      <c r="B6987" s="6" t="n">
        <v>42614</v>
      </c>
      <c r="C6987" s="7" t="s">
        <v>45</v>
      </c>
      <c r="D6987" s="7" t="s">
        <v>70</v>
      </c>
      <c r="E6987" s="7" t="s">
        <v>35</v>
      </c>
      <c r="F6987" s="0" t="n">
        <v>29.52</v>
      </c>
      <c r="G6987" s="0" t="n">
        <v>14.4648</v>
      </c>
      <c r="H6987" s="0" t="n">
        <v>0</v>
      </c>
      <c r="I6987" s="7" t="n">
        <f aca="false">YEAR(B6987)</f>
        <v>2016</v>
      </c>
      <c r="J6987" s="0" t="str">
        <f aca="false">I6987&amp;"-Q"&amp;ROUNDUP(MONTH(B6987)/3,0)</f>
        <v>2016-Q3</v>
      </c>
    </row>
    <row r="6988" customFormat="false" ht="15" hidden="false" customHeight="false" outlineLevel="0" collapsed="false">
      <c r="A6988" s="0" t="s">
        <v>3552</v>
      </c>
      <c r="B6988" s="6" t="n">
        <v>42614</v>
      </c>
      <c r="C6988" s="7" t="s">
        <v>45</v>
      </c>
      <c r="D6988" s="7" t="s">
        <v>70</v>
      </c>
      <c r="E6988" s="7" t="s">
        <v>35</v>
      </c>
      <c r="F6988" s="0" t="n">
        <v>11.96</v>
      </c>
      <c r="G6988" s="0" t="n">
        <v>2.99</v>
      </c>
      <c r="H6988" s="0" t="n">
        <v>0</v>
      </c>
      <c r="I6988" s="7" t="n">
        <f aca="false">YEAR(B6988)</f>
        <v>2016</v>
      </c>
      <c r="J6988" s="0" t="str">
        <f aca="false">I6988&amp;"-Q"&amp;ROUNDUP(MONTH(B6988)/3,0)</f>
        <v>2016-Q3</v>
      </c>
    </row>
    <row r="6989" customFormat="false" ht="15" hidden="false" customHeight="false" outlineLevel="0" collapsed="false">
      <c r="A6989" s="0" t="s">
        <v>3552</v>
      </c>
      <c r="B6989" s="6" t="n">
        <v>42614</v>
      </c>
      <c r="C6989" s="7" t="s">
        <v>45</v>
      </c>
      <c r="D6989" s="7" t="s">
        <v>70</v>
      </c>
      <c r="E6989" s="7" t="s">
        <v>35</v>
      </c>
      <c r="F6989" s="0" t="n">
        <v>26.4</v>
      </c>
      <c r="G6989" s="0" t="n">
        <v>12.672</v>
      </c>
      <c r="H6989" s="0" t="n">
        <v>0</v>
      </c>
      <c r="I6989" s="7" t="n">
        <f aca="false">YEAR(B6989)</f>
        <v>2016</v>
      </c>
      <c r="J6989" s="0" t="str">
        <f aca="false">I6989&amp;"-Q"&amp;ROUNDUP(MONTH(B6989)/3,0)</f>
        <v>2016-Q3</v>
      </c>
    </row>
    <row r="6990" customFormat="false" ht="15" hidden="false" customHeight="false" outlineLevel="0" collapsed="false">
      <c r="A6990" s="0" t="s">
        <v>3553</v>
      </c>
      <c r="B6990" s="6" t="n">
        <v>43050</v>
      </c>
      <c r="C6990" s="7" t="s">
        <v>29</v>
      </c>
      <c r="D6990" s="7" t="s">
        <v>37</v>
      </c>
      <c r="E6990" s="7" t="s">
        <v>35</v>
      </c>
      <c r="F6990" s="0" t="n">
        <v>1158.12</v>
      </c>
      <c r="G6990" s="0" t="n">
        <v>130.2885</v>
      </c>
      <c r="H6990" s="0" t="n">
        <v>0.2</v>
      </c>
      <c r="I6990" s="7" t="n">
        <f aca="false">YEAR(B6990)</f>
        <v>2017</v>
      </c>
      <c r="J6990" s="0" t="str">
        <f aca="false">I6990&amp;"-Q"&amp;ROUNDUP(MONTH(B6990)/3,0)</f>
        <v>2017-Q4</v>
      </c>
    </row>
    <row r="6991" customFormat="false" ht="15" hidden="false" customHeight="false" outlineLevel="0" collapsed="false">
      <c r="A6991" s="0" t="s">
        <v>3554</v>
      </c>
      <c r="B6991" s="6" t="n">
        <v>43080</v>
      </c>
      <c r="C6991" s="7" t="s">
        <v>45</v>
      </c>
      <c r="D6991" s="7" t="s">
        <v>46</v>
      </c>
      <c r="E6991" s="7" t="s">
        <v>35</v>
      </c>
      <c r="F6991" s="0" t="n">
        <v>1.392</v>
      </c>
      <c r="G6991" s="0" t="n">
        <v>-3.7584</v>
      </c>
      <c r="H6991" s="0" t="n">
        <v>0.8</v>
      </c>
      <c r="I6991" s="7" t="n">
        <f aca="false">YEAR(B6991)</f>
        <v>2017</v>
      </c>
      <c r="J6991" s="0" t="str">
        <f aca="false">I6991&amp;"-Q"&amp;ROUNDUP(MONTH(B6991)/3,0)</f>
        <v>2017-Q4</v>
      </c>
    </row>
    <row r="6992" customFormat="false" ht="15" hidden="false" customHeight="false" outlineLevel="0" collapsed="false">
      <c r="A6992" s="0" t="s">
        <v>3555</v>
      </c>
      <c r="B6992" s="6" t="n">
        <v>42316</v>
      </c>
      <c r="C6992" s="7" t="s">
        <v>29</v>
      </c>
      <c r="D6992" s="7" t="s">
        <v>83</v>
      </c>
      <c r="E6992" s="7" t="s">
        <v>35</v>
      </c>
      <c r="F6992" s="0" t="n">
        <v>44.43</v>
      </c>
      <c r="G6992" s="0" t="n">
        <v>18.6606</v>
      </c>
      <c r="H6992" s="0" t="n">
        <v>0</v>
      </c>
      <c r="I6992" s="7" t="n">
        <f aca="false">YEAR(B6992)</f>
        <v>2015</v>
      </c>
      <c r="J6992" s="0" t="str">
        <f aca="false">I6992&amp;"-Q"&amp;ROUNDUP(MONTH(B6992)/3,0)</f>
        <v>2015-Q4</v>
      </c>
    </row>
    <row r="6993" customFormat="false" ht="15" hidden="false" customHeight="false" outlineLevel="0" collapsed="false">
      <c r="A6993" s="0" t="s">
        <v>3555</v>
      </c>
      <c r="B6993" s="6" t="n">
        <v>42316</v>
      </c>
      <c r="C6993" s="7" t="s">
        <v>29</v>
      </c>
      <c r="D6993" s="7" t="s">
        <v>83</v>
      </c>
      <c r="E6993" s="7" t="s">
        <v>39</v>
      </c>
      <c r="F6993" s="0" t="n">
        <v>226.2</v>
      </c>
      <c r="G6993" s="0" t="n">
        <v>58.812</v>
      </c>
      <c r="H6993" s="0" t="n">
        <v>0</v>
      </c>
      <c r="I6993" s="7" t="n">
        <f aca="false">YEAR(B6993)</f>
        <v>2015</v>
      </c>
      <c r="J6993" s="0" t="str">
        <f aca="false">I6993&amp;"-Q"&amp;ROUNDUP(MONTH(B6993)/3,0)</f>
        <v>2015-Q4</v>
      </c>
    </row>
    <row r="6994" customFormat="false" ht="15" hidden="false" customHeight="false" outlineLevel="0" collapsed="false">
      <c r="A6994" s="0" t="s">
        <v>3555</v>
      </c>
      <c r="B6994" s="6" t="n">
        <v>42316</v>
      </c>
      <c r="C6994" s="7" t="s">
        <v>29</v>
      </c>
      <c r="D6994" s="7" t="s">
        <v>83</v>
      </c>
      <c r="E6994" s="7" t="s">
        <v>31</v>
      </c>
      <c r="F6994" s="0" t="n">
        <v>186.54</v>
      </c>
      <c r="G6994" s="0" t="n">
        <v>41.0388</v>
      </c>
      <c r="H6994" s="0" t="n">
        <v>0</v>
      </c>
      <c r="I6994" s="7" t="n">
        <f aca="false">YEAR(B6994)</f>
        <v>2015</v>
      </c>
      <c r="J6994" s="0" t="str">
        <f aca="false">I6994&amp;"-Q"&amp;ROUNDUP(MONTH(B6994)/3,0)</f>
        <v>2015-Q4</v>
      </c>
    </row>
    <row r="6995" customFormat="false" ht="15" hidden="false" customHeight="false" outlineLevel="0" collapsed="false">
      <c r="A6995" s="0" t="s">
        <v>3555</v>
      </c>
      <c r="B6995" s="6" t="n">
        <v>42316</v>
      </c>
      <c r="C6995" s="7" t="s">
        <v>29</v>
      </c>
      <c r="D6995" s="7" t="s">
        <v>83</v>
      </c>
      <c r="E6995" s="7" t="s">
        <v>35</v>
      </c>
      <c r="F6995" s="0" t="n">
        <v>265.86</v>
      </c>
      <c r="G6995" s="0" t="n">
        <v>79.758</v>
      </c>
      <c r="H6995" s="0" t="n">
        <v>0</v>
      </c>
      <c r="I6995" s="7" t="n">
        <f aca="false">YEAR(B6995)</f>
        <v>2015</v>
      </c>
      <c r="J6995" s="0" t="str">
        <f aca="false">I6995&amp;"-Q"&amp;ROUNDUP(MONTH(B6995)/3,0)</f>
        <v>2015-Q4</v>
      </c>
    </row>
    <row r="6996" customFormat="false" ht="15" hidden="false" customHeight="false" outlineLevel="0" collapsed="false">
      <c r="A6996" s="0" t="s">
        <v>3555</v>
      </c>
      <c r="B6996" s="6" t="n">
        <v>42316</v>
      </c>
      <c r="C6996" s="7" t="s">
        <v>29</v>
      </c>
      <c r="D6996" s="7" t="s">
        <v>83</v>
      </c>
      <c r="E6996" s="7" t="s">
        <v>35</v>
      </c>
      <c r="F6996" s="0" t="n">
        <v>27.9</v>
      </c>
      <c r="G6996" s="0" t="n">
        <v>6.975</v>
      </c>
      <c r="H6996" s="0" t="n">
        <v>0</v>
      </c>
      <c r="I6996" s="7" t="n">
        <f aca="false">YEAR(B6996)</f>
        <v>2015</v>
      </c>
      <c r="J6996" s="0" t="str">
        <f aca="false">I6996&amp;"-Q"&amp;ROUNDUP(MONTH(B6996)/3,0)</f>
        <v>2015-Q4</v>
      </c>
    </row>
    <row r="6997" customFormat="false" ht="15" hidden="false" customHeight="false" outlineLevel="0" collapsed="false">
      <c r="A6997" s="0" t="s">
        <v>3556</v>
      </c>
      <c r="B6997" s="6" t="n">
        <v>42327</v>
      </c>
      <c r="C6997" s="7" t="s">
        <v>33</v>
      </c>
      <c r="D6997" s="7" t="s">
        <v>248</v>
      </c>
      <c r="E6997" s="7" t="s">
        <v>35</v>
      </c>
      <c r="F6997" s="0" t="n">
        <v>31.08</v>
      </c>
      <c r="G6997" s="0" t="n">
        <v>8.3916</v>
      </c>
      <c r="H6997" s="0" t="n">
        <v>0</v>
      </c>
      <c r="I6997" s="7" t="n">
        <f aca="false">YEAR(B6997)</f>
        <v>2015</v>
      </c>
      <c r="J6997" s="0" t="str">
        <f aca="false">I6997&amp;"-Q"&amp;ROUNDUP(MONTH(B6997)/3,0)</f>
        <v>2015-Q4</v>
      </c>
    </row>
    <row r="6998" customFormat="false" ht="15" hidden="false" customHeight="false" outlineLevel="0" collapsed="false">
      <c r="A6998" s="0" t="s">
        <v>3557</v>
      </c>
      <c r="B6998" s="6" t="n">
        <v>43092</v>
      </c>
      <c r="C6998" s="7" t="s">
        <v>45</v>
      </c>
      <c r="D6998" s="7" t="s">
        <v>64</v>
      </c>
      <c r="E6998" s="7" t="s">
        <v>35</v>
      </c>
      <c r="F6998" s="0" t="n">
        <v>13.84</v>
      </c>
      <c r="G6998" s="0" t="n">
        <v>-22.144</v>
      </c>
      <c r="H6998" s="0" t="n">
        <v>0.8</v>
      </c>
      <c r="I6998" s="7" t="n">
        <f aca="false">YEAR(B6998)</f>
        <v>2017</v>
      </c>
      <c r="J6998" s="0" t="str">
        <f aca="false">I6998&amp;"-Q"&amp;ROUNDUP(MONTH(B6998)/3,0)</f>
        <v>2017-Q4</v>
      </c>
    </row>
    <row r="6999" customFormat="false" ht="15" hidden="false" customHeight="false" outlineLevel="0" collapsed="false">
      <c r="A6999" s="0" t="s">
        <v>3557</v>
      </c>
      <c r="B6999" s="6" t="n">
        <v>43092</v>
      </c>
      <c r="C6999" s="7" t="s">
        <v>45</v>
      </c>
      <c r="D6999" s="7" t="s">
        <v>64</v>
      </c>
      <c r="E6999" s="7" t="s">
        <v>35</v>
      </c>
      <c r="F6999" s="0" t="n">
        <v>175.872</v>
      </c>
      <c r="G6999" s="0" t="n">
        <v>63.7536</v>
      </c>
      <c r="H6999" s="0" t="n">
        <v>0.2</v>
      </c>
      <c r="I6999" s="7" t="n">
        <f aca="false">YEAR(B6999)</f>
        <v>2017</v>
      </c>
      <c r="J6999" s="0" t="str">
        <f aca="false">I6999&amp;"-Q"&amp;ROUNDUP(MONTH(B6999)/3,0)</f>
        <v>2017-Q4</v>
      </c>
    </row>
    <row r="7000" customFormat="false" ht="15" hidden="false" customHeight="false" outlineLevel="0" collapsed="false">
      <c r="A7000" s="0" t="s">
        <v>3558</v>
      </c>
      <c r="B7000" s="6" t="n">
        <v>42629</v>
      </c>
      <c r="C7000" s="7" t="s">
        <v>33</v>
      </c>
      <c r="D7000" s="7" t="s">
        <v>34</v>
      </c>
      <c r="E7000" s="7" t="s">
        <v>35</v>
      </c>
      <c r="F7000" s="0" t="n">
        <v>12.96</v>
      </c>
      <c r="G7000" s="0" t="n">
        <v>6.3504</v>
      </c>
      <c r="H7000" s="0" t="n">
        <v>0</v>
      </c>
      <c r="I7000" s="7" t="n">
        <f aca="false">YEAR(B7000)</f>
        <v>2016</v>
      </c>
      <c r="J7000" s="0" t="str">
        <f aca="false">I7000&amp;"-Q"&amp;ROUNDUP(MONTH(B7000)/3,0)</f>
        <v>2016-Q3</v>
      </c>
    </row>
    <row r="7001" customFormat="false" ht="15" hidden="false" customHeight="false" outlineLevel="0" collapsed="false">
      <c r="A7001" s="0" t="s">
        <v>3559</v>
      </c>
      <c r="B7001" s="6" t="n">
        <v>42881</v>
      </c>
      <c r="C7001" s="7" t="s">
        <v>29</v>
      </c>
      <c r="D7001" s="7" t="s">
        <v>30</v>
      </c>
      <c r="E7001" s="7" t="s">
        <v>35</v>
      </c>
      <c r="F7001" s="0" t="n">
        <v>208.44</v>
      </c>
      <c r="G7001" s="0" t="n">
        <v>62.532</v>
      </c>
      <c r="H7001" s="0" t="n">
        <v>0</v>
      </c>
      <c r="I7001" s="7" t="n">
        <f aca="false">YEAR(B7001)</f>
        <v>2017</v>
      </c>
      <c r="J7001" s="0" t="str">
        <f aca="false">I7001&amp;"-Q"&amp;ROUNDUP(MONTH(B7001)/3,0)</f>
        <v>2017-Q2</v>
      </c>
    </row>
    <row r="7002" customFormat="false" ht="15" hidden="false" customHeight="false" outlineLevel="0" collapsed="false">
      <c r="A7002" s="0" t="s">
        <v>3559</v>
      </c>
      <c r="B7002" s="6" t="n">
        <v>42881</v>
      </c>
      <c r="C7002" s="7" t="s">
        <v>29</v>
      </c>
      <c r="D7002" s="7" t="s">
        <v>30</v>
      </c>
      <c r="E7002" s="7" t="s">
        <v>35</v>
      </c>
      <c r="F7002" s="0" t="n">
        <v>25.76</v>
      </c>
      <c r="G7002" s="0" t="n">
        <v>0.7728</v>
      </c>
      <c r="H7002" s="0" t="n">
        <v>0</v>
      </c>
      <c r="I7002" s="7" t="n">
        <f aca="false">YEAR(B7002)</f>
        <v>2017</v>
      </c>
      <c r="J7002" s="0" t="str">
        <f aca="false">I7002&amp;"-Q"&amp;ROUNDUP(MONTH(B7002)/3,0)</f>
        <v>2017-Q2</v>
      </c>
    </row>
    <row r="7003" customFormat="false" ht="15" hidden="false" customHeight="false" outlineLevel="0" collapsed="false">
      <c r="A7003" s="0" t="s">
        <v>3560</v>
      </c>
      <c r="B7003" s="6" t="n">
        <v>42093</v>
      </c>
      <c r="C7003" s="7" t="s">
        <v>45</v>
      </c>
      <c r="D7003" s="7" t="s">
        <v>64</v>
      </c>
      <c r="E7003" s="7" t="s">
        <v>31</v>
      </c>
      <c r="F7003" s="0" t="n">
        <v>366.744</v>
      </c>
      <c r="G7003" s="0" t="n">
        <v>-110.0232</v>
      </c>
      <c r="H7003" s="0" t="n">
        <v>0.3</v>
      </c>
      <c r="I7003" s="7" t="n">
        <f aca="false">YEAR(B7003)</f>
        <v>2015</v>
      </c>
      <c r="J7003" s="0" t="str">
        <f aca="false">I7003&amp;"-Q"&amp;ROUNDUP(MONTH(B7003)/3,0)</f>
        <v>2015-Q1</v>
      </c>
    </row>
    <row r="7004" customFormat="false" ht="15" hidden="false" customHeight="false" outlineLevel="0" collapsed="false">
      <c r="A7004" s="0" t="s">
        <v>3561</v>
      </c>
      <c r="B7004" s="6" t="n">
        <v>41870</v>
      </c>
      <c r="C7004" s="7" t="s">
        <v>33</v>
      </c>
      <c r="D7004" s="7" t="s">
        <v>34</v>
      </c>
      <c r="E7004" s="7" t="s">
        <v>31</v>
      </c>
      <c r="F7004" s="0" t="n">
        <v>289.24</v>
      </c>
      <c r="G7004" s="0" t="n">
        <v>26.0316</v>
      </c>
      <c r="H7004" s="0" t="n">
        <v>0</v>
      </c>
      <c r="I7004" s="7" t="n">
        <f aca="false">YEAR(B7004)</f>
        <v>2014</v>
      </c>
      <c r="J7004" s="0" t="str">
        <f aca="false">I7004&amp;"-Q"&amp;ROUNDUP(MONTH(B7004)/3,0)</f>
        <v>2014-Q3</v>
      </c>
    </row>
    <row r="7005" customFormat="false" ht="15" hidden="false" customHeight="false" outlineLevel="0" collapsed="false">
      <c r="A7005" s="0" t="s">
        <v>3561</v>
      </c>
      <c r="B7005" s="6" t="n">
        <v>41870</v>
      </c>
      <c r="C7005" s="7" t="s">
        <v>33</v>
      </c>
      <c r="D7005" s="7" t="s">
        <v>34</v>
      </c>
      <c r="E7005" s="7" t="s">
        <v>35</v>
      </c>
      <c r="F7005" s="0" t="n">
        <v>69.456</v>
      </c>
      <c r="G7005" s="0" t="n">
        <v>22.5732</v>
      </c>
      <c r="H7005" s="0" t="n">
        <v>0.2</v>
      </c>
      <c r="I7005" s="7" t="n">
        <f aca="false">YEAR(B7005)</f>
        <v>2014</v>
      </c>
      <c r="J7005" s="0" t="str">
        <f aca="false">I7005&amp;"-Q"&amp;ROUNDUP(MONTH(B7005)/3,0)</f>
        <v>2014-Q3</v>
      </c>
    </row>
    <row r="7006" customFormat="false" ht="15" hidden="false" customHeight="false" outlineLevel="0" collapsed="false">
      <c r="A7006" s="0" t="s">
        <v>3562</v>
      </c>
      <c r="B7006" s="6" t="n">
        <v>41996</v>
      </c>
      <c r="C7006" s="7" t="s">
        <v>45</v>
      </c>
      <c r="D7006" s="7" t="s">
        <v>46</v>
      </c>
      <c r="E7006" s="7" t="s">
        <v>35</v>
      </c>
      <c r="F7006" s="0" t="n">
        <v>5.184</v>
      </c>
      <c r="G7006" s="0" t="n">
        <v>1.8144</v>
      </c>
      <c r="H7006" s="0" t="n">
        <v>0.2</v>
      </c>
      <c r="I7006" s="7" t="n">
        <f aca="false">YEAR(B7006)</f>
        <v>2014</v>
      </c>
      <c r="J7006" s="0" t="str">
        <f aca="false">I7006&amp;"-Q"&amp;ROUNDUP(MONTH(B7006)/3,0)</f>
        <v>2014-Q4</v>
      </c>
    </row>
    <row r="7007" customFormat="false" ht="15" hidden="false" customHeight="false" outlineLevel="0" collapsed="false">
      <c r="A7007" s="0" t="s">
        <v>3563</v>
      </c>
      <c r="B7007" s="6" t="n">
        <v>42309</v>
      </c>
      <c r="C7007" s="7" t="s">
        <v>55</v>
      </c>
      <c r="D7007" s="7" t="s">
        <v>76</v>
      </c>
      <c r="E7007" s="7" t="s">
        <v>31</v>
      </c>
      <c r="F7007" s="0" t="n">
        <v>205.164</v>
      </c>
      <c r="G7007" s="0" t="n">
        <v>13.6776</v>
      </c>
      <c r="H7007" s="0" t="n">
        <v>0.1</v>
      </c>
      <c r="I7007" s="7" t="n">
        <f aca="false">YEAR(B7007)</f>
        <v>2015</v>
      </c>
      <c r="J7007" s="0" t="str">
        <f aca="false">I7007&amp;"-Q"&amp;ROUNDUP(MONTH(B7007)/3,0)</f>
        <v>2015-Q4</v>
      </c>
    </row>
    <row r="7008" customFormat="false" ht="15" hidden="false" customHeight="false" outlineLevel="0" collapsed="false">
      <c r="A7008" s="0" t="s">
        <v>3564</v>
      </c>
      <c r="B7008" s="6" t="n">
        <v>41988</v>
      </c>
      <c r="C7008" s="7" t="s">
        <v>45</v>
      </c>
      <c r="D7008" s="7" t="s">
        <v>64</v>
      </c>
      <c r="E7008" s="7" t="s">
        <v>31</v>
      </c>
      <c r="F7008" s="0" t="n">
        <v>8.544</v>
      </c>
      <c r="G7008" s="0" t="n">
        <v>-7.476</v>
      </c>
      <c r="H7008" s="0" t="n">
        <v>0.6</v>
      </c>
      <c r="I7008" s="7" t="n">
        <f aca="false">YEAR(B7008)</f>
        <v>2014</v>
      </c>
      <c r="J7008" s="0" t="str">
        <f aca="false">I7008&amp;"-Q"&amp;ROUNDUP(MONTH(B7008)/3,0)</f>
        <v>2014-Q4</v>
      </c>
    </row>
    <row r="7009" customFormat="false" ht="15" hidden="false" customHeight="false" outlineLevel="0" collapsed="false">
      <c r="A7009" s="0" t="s">
        <v>3565</v>
      </c>
      <c r="B7009" s="6" t="n">
        <v>42237</v>
      </c>
      <c r="C7009" s="7" t="s">
        <v>55</v>
      </c>
      <c r="D7009" s="7" t="s">
        <v>116</v>
      </c>
      <c r="E7009" s="7" t="s">
        <v>35</v>
      </c>
      <c r="F7009" s="0" t="n">
        <v>12.828</v>
      </c>
      <c r="G7009" s="0" t="n">
        <v>-8.9796</v>
      </c>
      <c r="H7009" s="0" t="n">
        <v>0.7</v>
      </c>
      <c r="I7009" s="7" t="n">
        <f aca="false">YEAR(B7009)</f>
        <v>2015</v>
      </c>
      <c r="J7009" s="0" t="str">
        <f aca="false">I7009&amp;"-Q"&amp;ROUNDUP(MONTH(B7009)/3,0)</f>
        <v>2015-Q3</v>
      </c>
    </row>
    <row r="7010" customFormat="false" ht="15" hidden="false" customHeight="false" outlineLevel="0" collapsed="false">
      <c r="A7010" s="0" t="s">
        <v>3565</v>
      </c>
      <c r="B7010" s="6" t="n">
        <v>42237</v>
      </c>
      <c r="C7010" s="7" t="s">
        <v>55</v>
      </c>
      <c r="D7010" s="7" t="s">
        <v>116</v>
      </c>
      <c r="E7010" s="7" t="s">
        <v>31</v>
      </c>
      <c r="F7010" s="0" t="n">
        <v>598.458</v>
      </c>
      <c r="G7010" s="0" t="n">
        <v>-42.747</v>
      </c>
      <c r="H7010" s="0" t="n">
        <v>0.3</v>
      </c>
      <c r="I7010" s="7" t="n">
        <f aca="false">YEAR(B7010)</f>
        <v>2015</v>
      </c>
      <c r="J7010" s="0" t="str">
        <f aca="false">I7010&amp;"-Q"&amp;ROUNDUP(MONTH(B7010)/3,0)</f>
        <v>2015-Q3</v>
      </c>
    </row>
    <row r="7011" customFormat="false" ht="15" hidden="false" customHeight="false" outlineLevel="0" collapsed="false">
      <c r="A7011" s="0" t="s">
        <v>3565</v>
      </c>
      <c r="B7011" s="6" t="n">
        <v>42237</v>
      </c>
      <c r="C7011" s="7" t="s">
        <v>55</v>
      </c>
      <c r="D7011" s="7" t="s">
        <v>116</v>
      </c>
      <c r="E7011" s="7" t="s">
        <v>31</v>
      </c>
      <c r="F7011" s="0" t="n">
        <v>25.984</v>
      </c>
      <c r="G7011" s="0" t="n">
        <v>-3.8976</v>
      </c>
      <c r="H7011" s="0" t="n">
        <v>0.2</v>
      </c>
      <c r="I7011" s="7" t="n">
        <f aca="false">YEAR(B7011)</f>
        <v>2015</v>
      </c>
      <c r="J7011" s="0" t="str">
        <f aca="false">I7011&amp;"-Q"&amp;ROUNDUP(MONTH(B7011)/3,0)</f>
        <v>2015-Q3</v>
      </c>
    </row>
    <row r="7012" customFormat="false" ht="15" hidden="false" customHeight="false" outlineLevel="0" collapsed="false">
      <c r="A7012" s="0" t="s">
        <v>3566</v>
      </c>
      <c r="B7012" s="6" t="n">
        <v>41782</v>
      </c>
      <c r="C7012" s="7" t="s">
        <v>55</v>
      </c>
      <c r="D7012" s="7" t="s">
        <v>76</v>
      </c>
      <c r="E7012" s="7" t="s">
        <v>35</v>
      </c>
      <c r="F7012" s="0" t="n">
        <v>17.96</v>
      </c>
      <c r="G7012" s="0" t="n">
        <v>5.837</v>
      </c>
      <c r="H7012" s="0" t="n">
        <v>0.2</v>
      </c>
      <c r="I7012" s="7" t="n">
        <f aca="false">YEAR(B7012)</f>
        <v>2014</v>
      </c>
      <c r="J7012" s="0" t="str">
        <f aca="false">I7012&amp;"-Q"&amp;ROUNDUP(MONTH(B7012)/3,0)</f>
        <v>2014-Q2</v>
      </c>
    </row>
    <row r="7013" customFormat="false" ht="15" hidden="false" customHeight="false" outlineLevel="0" collapsed="false">
      <c r="A7013" s="0" t="s">
        <v>3566</v>
      </c>
      <c r="B7013" s="6" t="n">
        <v>41782</v>
      </c>
      <c r="C7013" s="7" t="s">
        <v>55</v>
      </c>
      <c r="D7013" s="7" t="s">
        <v>76</v>
      </c>
      <c r="E7013" s="7" t="s">
        <v>35</v>
      </c>
      <c r="F7013" s="0" t="n">
        <v>5.04</v>
      </c>
      <c r="G7013" s="0" t="n">
        <v>0.1512</v>
      </c>
      <c r="H7013" s="0" t="n">
        <v>0</v>
      </c>
      <c r="I7013" s="7" t="n">
        <f aca="false">YEAR(B7013)</f>
        <v>2014</v>
      </c>
      <c r="J7013" s="0" t="str">
        <f aca="false">I7013&amp;"-Q"&amp;ROUNDUP(MONTH(B7013)/3,0)</f>
        <v>2014-Q2</v>
      </c>
    </row>
    <row r="7014" customFormat="false" ht="15" hidden="false" customHeight="false" outlineLevel="0" collapsed="false">
      <c r="A7014" s="0" t="s">
        <v>3566</v>
      </c>
      <c r="B7014" s="6" t="n">
        <v>41782</v>
      </c>
      <c r="C7014" s="7" t="s">
        <v>55</v>
      </c>
      <c r="D7014" s="7" t="s">
        <v>76</v>
      </c>
      <c r="E7014" s="7" t="s">
        <v>35</v>
      </c>
      <c r="F7014" s="0" t="n">
        <v>208.16</v>
      </c>
      <c r="G7014" s="0" t="n">
        <v>56.2032</v>
      </c>
      <c r="H7014" s="0" t="n">
        <v>0</v>
      </c>
      <c r="I7014" s="7" t="n">
        <f aca="false">YEAR(B7014)</f>
        <v>2014</v>
      </c>
      <c r="J7014" s="0" t="str">
        <f aca="false">I7014&amp;"-Q"&amp;ROUNDUP(MONTH(B7014)/3,0)</f>
        <v>2014-Q2</v>
      </c>
    </row>
    <row r="7015" customFormat="false" ht="15" hidden="false" customHeight="false" outlineLevel="0" collapsed="false">
      <c r="A7015" s="0" t="s">
        <v>3567</v>
      </c>
      <c r="B7015" s="6" t="n">
        <v>43078</v>
      </c>
      <c r="C7015" s="7" t="s">
        <v>33</v>
      </c>
      <c r="D7015" s="7" t="s">
        <v>34</v>
      </c>
      <c r="E7015" s="7" t="s">
        <v>31</v>
      </c>
      <c r="F7015" s="0" t="n">
        <v>148.257</v>
      </c>
      <c r="G7015" s="0" t="n">
        <v>15.6978</v>
      </c>
      <c r="H7015" s="0" t="n">
        <v>0.15</v>
      </c>
      <c r="I7015" s="7" t="n">
        <f aca="false">YEAR(B7015)</f>
        <v>2017</v>
      </c>
      <c r="J7015" s="0" t="str">
        <f aca="false">I7015&amp;"-Q"&amp;ROUNDUP(MONTH(B7015)/3,0)</f>
        <v>2017-Q4</v>
      </c>
    </row>
    <row r="7016" customFormat="false" ht="15" hidden="false" customHeight="false" outlineLevel="0" collapsed="false">
      <c r="A7016" s="0" t="s">
        <v>3568</v>
      </c>
      <c r="B7016" s="6" t="n">
        <v>41709</v>
      </c>
      <c r="C7016" s="7" t="s">
        <v>29</v>
      </c>
      <c r="D7016" s="7" t="s">
        <v>30</v>
      </c>
      <c r="E7016" s="7" t="s">
        <v>35</v>
      </c>
      <c r="F7016" s="0" t="n">
        <v>146.76</v>
      </c>
      <c r="G7016" s="0" t="n">
        <v>38.1576</v>
      </c>
      <c r="H7016" s="0" t="n">
        <v>0</v>
      </c>
      <c r="I7016" s="7" t="n">
        <f aca="false">YEAR(B7016)</f>
        <v>2014</v>
      </c>
      <c r="J7016" s="0" t="str">
        <f aca="false">I7016&amp;"-Q"&amp;ROUNDUP(MONTH(B7016)/3,0)</f>
        <v>2014-Q1</v>
      </c>
    </row>
    <row r="7017" customFormat="false" ht="15" hidden="false" customHeight="false" outlineLevel="0" collapsed="false">
      <c r="A7017" s="0" t="s">
        <v>3568</v>
      </c>
      <c r="B7017" s="6" t="n">
        <v>41709</v>
      </c>
      <c r="C7017" s="7" t="s">
        <v>29</v>
      </c>
      <c r="D7017" s="7" t="s">
        <v>30</v>
      </c>
      <c r="E7017" s="7" t="s">
        <v>39</v>
      </c>
      <c r="F7017" s="0" t="n">
        <v>32.96</v>
      </c>
      <c r="G7017" s="0" t="n">
        <v>14.1728</v>
      </c>
      <c r="H7017" s="0" t="n">
        <v>0</v>
      </c>
      <c r="I7017" s="7" t="n">
        <f aca="false">YEAR(B7017)</f>
        <v>2014</v>
      </c>
      <c r="J7017" s="0" t="str">
        <f aca="false">I7017&amp;"-Q"&amp;ROUNDUP(MONTH(B7017)/3,0)</f>
        <v>2014-Q1</v>
      </c>
    </row>
    <row r="7018" customFormat="false" ht="15" hidden="false" customHeight="false" outlineLevel="0" collapsed="false">
      <c r="A7018" s="0" t="s">
        <v>3568</v>
      </c>
      <c r="B7018" s="6" t="n">
        <v>41709</v>
      </c>
      <c r="C7018" s="7" t="s">
        <v>29</v>
      </c>
      <c r="D7018" s="7" t="s">
        <v>30</v>
      </c>
      <c r="E7018" s="7" t="s">
        <v>39</v>
      </c>
      <c r="F7018" s="0" t="n">
        <v>587.97</v>
      </c>
      <c r="G7018" s="0" t="n">
        <v>164.6316</v>
      </c>
      <c r="H7018" s="0" t="n">
        <v>0</v>
      </c>
      <c r="I7018" s="7" t="n">
        <f aca="false">YEAR(B7018)</f>
        <v>2014</v>
      </c>
      <c r="J7018" s="0" t="str">
        <f aca="false">I7018&amp;"-Q"&amp;ROUNDUP(MONTH(B7018)/3,0)</f>
        <v>2014-Q1</v>
      </c>
    </row>
    <row r="7019" customFormat="false" ht="15" hidden="false" customHeight="false" outlineLevel="0" collapsed="false">
      <c r="A7019" s="0" t="s">
        <v>3568</v>
      </c>
      <c r="B7019" s="6" t="n">
        <v>41709</v>
      </c>
      <c r="C7019" s="7" t="s">
        <v>29</v>
      </c>
      <c r="D7019" s="7" t="s">
        <v>30</v>
      </c>
      <c r="E7019" s="7" t="s">
        <v>35</v>
      </c>
      <c r="F7019" s="0" t="n">
        <v>14.94</v>
      </c>
      <c r="G7019" s="0" t="n">
        <v>7.0218</v>
      </c>
      <c r="H7019" s="0" t="n">
        <v>0</v>
      </c>
      <c r="I7019" s="7" t="n">
        <f aca="false">YEAR(B7019)</f>
        <v>2014</v>
      </c>
      <c r="J7019" s="0" t="str">
        <f aca="false">I7019&amp;"-Q"&amp;ROUNDUP(MONTH(B7019)/3,0)</f>
        <v>2014-Q1</v>
      </c>
    </row>
    <row r="7020" customFormat="false" ht="15" hidden="false" customHeight="false" outlineLevel="0" collapsed="false">
      <c r="A7020" s="0" t="s">
        <v>3569</v>
      </c>
      <c r="B7020" s="6" t="n">
        <v>42544</v>
      </c>
      <c r="C7020" s="7" t="s">
        <v>55</v>
      </c>
      <c r="D7020" s="7" t="s">
        <v>76</v>
      </c>
      <c r="E7020" s="7" t="s">
        <v>35</v>
      </c>
      <c r="F7020" s="0" t="n">
        <v>25.83</v>
      </c>
      <c r="G7020" s="0" t="n">
        <v>12.1401</v>
      </c>
      <c r="H7020" s="0" t="n">
        <v>0</v>
      </c>
      <c r="I7020" s="7" t="n">
        <f aca="false">YEAR(B7020)</f>
        <v>2016</v>
      </c>
      <c r="J7020" s="0" t="str">
        <f aca="false">I7020&amp;"-Q"&amp;ROUNDUP(MONTH(B7020)/3,0)</f>
        <v>2016-Q2</v>
      </c>
    </row>
    <row r="7021" customFormat="false" ht="15" hidden="false" customHeight="false" outlineLevel="0" collapsed="false">
      <c r="A7021" s="0" t="s">
        <v>3570</v>
      </c>
      <c r="B7021" s="6" t="n">
        <v>41874</v>
      </c>
      <c r="C7021" s="7" t="s">
        <v>33</v>
      </c>
      <c r="D7021" s="7" t="s">
        <v>109</v>
      </c>
      <c r="E7021" s="7" t="s">
        <v>35</v>
      </c>
      <c r="F7021" s="0" t="n">
        <v>15.552</v>
      </c>
      <c r="G7021" s="0" t="n">
        <v>5.4432</v>
      </c>
      <c r="H7021" s="0" t="n">
        <v>0.2</v>
      </c>
      <c r="I7021" s="7" t="n">
        <f aca="false">YEAR(B7021)</f>
        <v>2014</v>
      </c>
      <c r="J7021" s="0" t="str">
        <f aca="false">I7021&amp;"-Q"&amp;ROUNDUP(MONTH(B7021)/3,0)</f>
        <v>2014-Q3</v>
      </c>
    </row>
    <row r="7022" customFormat="false" ht="15" hidden="false" customHeight="false" outlineLevel="0" collapsed="false">
      <c r="A7022" s="0" t="s">
        <v>3570</v>
      </c>
      <c r="B7022" s="6" t="n">
        <v>41874</v>
      </c>
      <c r="C7022" s="7" t="s">
        <v>33</v>
      </c>
      <c r="D7022" s="7" t="s">
        <v>109</v>
      </c>
      <c r="E7022" s="7" t="s">
        <v>35</v>
      </c>
      <c r="F7022" s="0" t="n">
        <v>6.8</v>
      </c>
      <c r="G7022" s="0" t="n">
        <v>0.51</v>
      </c>
      <c r="H7022" s="0" t="n">
        <v>0.2</v>
      </c>
      <c r="I7022" s="7" t="n">
        <f aca="false">YEAR(B7022)</f>
        <v>2014</v>
      </c>
      <c r="J7022" s="0" t="str">
        <f aca="false">I7022&amp;"-Q"&amp;ROUNDUP(MONTH(B7022)/3,0)</f>
        <v>2014-Q3</v>
      </c>
    </row>
    <row r="7023" customFormat="false" ht="15" hidden="false" customHeight="false" outlineLevel="0" collapsed="false">
      <c r="A7023" s="0" t="s">
        <v>3570</v>
      </c>
      <c r="B7023" s="6" t="n">
        <v>41874</v>
      </c>
      <c r="C7023" s="7" t="s">
        <v>33</v>
      </c>
      <c r="D7023" s="7" t="s">
        <v>109</v>
      </c>
      <c r="E7023" s="7" t="s">
        <v>31</v>
      </c>
      <c r="F7023" s="0" t="n">
        <v>4.224</v>
      </c>
      <c r="G7023" s="0" t="n">
        <v>1.2672</v>
      </c>
      <c r="H7023" s="0" t="n">
        <v>0.2</v>
      </c>
      <c r="I7023" s="7" t="n">
        <f aca="false">YEAR(B7023)</f>
        <v>2014</v>
      </c>
      <c r="J7023" s="0" t="str">
        <f aca="false">I7023&amp;"-Q"&amp;ROUNDUP(MONTH(B7023)/3,0)</f>
        <v>2014-Q3</v>
      </c>
    </row>
    <row r="7024" customFormat="false" ht="15" hidden="false" customHeight="false" outlineLevel="0" collapsed="false">
      <c r="A7024" s="0" t="s">
        <v>3570</v>
      </c>
      <c r="B7024" s="6" t="n">
        <v>41874</v>
      </c>
      <c r="C7024" s="7" t="s">
        <v>33</v>
      </c>
      <c r="D7024" s="7" t="s">
        <v>109</v>
      </c>
      <c r="E7024" s="7" t="s">
        <v>39</v>
      </c>
      <c r="F7024" s="0" t="n">
        <v>143.64</v>
      </c>
      <c r="G7024" s="0" t="n">
        <v>10.773</v>
      </c>
      <c r="H7024" s="0" t="n">
        <v>0.2</v>
      </c>
      <c r="I7024" s="7" t="n">
        <f aca="false">YEAR(B7024)</f>
        <v>2014</v>
      </c>
      <c r="J7024" s="0" t="str">
        <f aca="false">I7024&amp;"-Q"&amp;ROUNDUP(MONTH(B7024)/3,0)</f>
        <v>2014-Q3</v>
      </c>
    </row>
    <row r="7025" customFormat="false" ht="15" hidden="false" customHeight="false" outlineLevel="0" collapsed="false">
      <c r="A7025" s="0" t="s">
        <v>3570</v>
      </c>
      <c r="B7025" s="6" t="n">
        <v>41874</v>
      </c>
      <c r="C7025" s="7" t="s">
        <v>33</v>
      </c>
      <c r="D7025" s="7" t="s">
        <v>109</v>
      </c>
      <c r="E7025" s="7" t="s">
        <v>35</v>
      </c>
      <c r="F7025" s="0" t="n">
        <v>31.104</v>
      </c>
      <c r="G7025" s="0" t="n">
        <v>10.8864</v>
      </c>
      <c r="H7025" s="0" t="n">
        <v>0.2</v>
      </c>
      <c r="I7025" s="7" t="n">
        <f aca="false">YEAR(B7025)</f>
        <v>2014</v>
      </c>
      <c r="J7025" s="0" t="str">
        <f aca="false">I7025&amp;"-Q"&amp;ROUNDUP(MONTH(B7025)/3,0)</f>
        <v>2014-Q3</v>
      </c>
    </row>
    <row r="7026" customFormat="false" ht="15" hidden="false" customHeight="false" outlineLevel="0" collapsed="false">
      <c r="A7026" s="0" t="s">
        <v>3570</v>
      </c>
      <c r="B7026" s="6" t="n">
        <v>41874</v>
      </c>
      <c r="C7026" s="7" t="s">
        <v>33</v>
      </c>
      <c r="D7026" s="7" t="s">
        <v>109</v>
      </c>
      <c r="E7026" s="7" t="s">
        <v>35</v>
      </c>
      <c r="F7026" s="0" t="n">
        <v>223.056</v>
      </c>
      <c r="G7026" s="0" t="n">
        <v>69.705</v>
      </c>
      <c r="H7026" s="0" t="n">
        <v>0.2</v>
      </c>
      <c r="I7026" s="7" t="n">
        <f aca="false">YEAR(B7026)</f>
        <v>2014</v>
      </c>
      <c r="J7026" s="0" t="str">
        <f aca="false">I7026&amp;"-Q"&amp;ROUNDUP(MONTH(B7026)/3,0)</f>
        <v>2014-Q3</v>
      </c>
    </row>
    <row r="7027" customFormat="false" ht="15" hidden="false" customHeight="false" outlineLevel="0" collapsed="false">
      <c r="A7027" s="0" t="s">
        <v>3571</v>
      </c>
      <c r="B7027" s="6" t="n">
        <v>42772</v>
      </c>
      <c r="C7027" s="7" t="s">
        <v>55</v>
      </c>
      <c r="D7027" s="7" t="s">
        <v>76</v>
      </c>
      <c r="E7027" s="7" t="s">
        <v>39</v>
      </c>
      <c r="F7027" s="0" t="n">
        <v>227.46</v>
      </c>
      <c r="G7027" s="0" t="n">
        <v>65.9634</v>
      </c>
      <c r="H7027" s="0" t="n">
        <v>0</v>
      </c>
      <c r="I7027" s="7" t="n">
        <f aca="false">YEAR(B7027)</f>
        <v>2017</v>
      </c>
      <c r="J7027" s="0" t="str">
        <f aca="false">I7027&amp;"-Q"&amp;ROUNDUP(MONTH(B7027)/3,0)</f>
        <v>2017-Q1</v>
      </c>
    </row>
    <row r="7028" customFormat="false" ht="15" hidden="false" customHeight="false" outlineLevel="0" collapsed="false">
      <c r="A7028" s="0" t="s">
        <v>3571</v>
      </c>
      <c r="B7028" s="6" t="n">
        <v>42772</v>
      </c>
      <c r="C7028" s="7" t="s">
        <v>55</v>
      </c>
      <c r="D7028" s="7" t="s">
        <v>76</v>
      </c>
      <c r="E7028" s="7" t="s">
        <v>35</v>
      </c>
      <c r="F7028" s="0" t="n">
        <v>46.24</v>
      </c>
      <c r="G7028" s="0" t="n">
        <v>15.606</v>
      </c>
      <c r="H7028" s="0" t="n">
        <v>0.2</v>
      </c>
      <c r="I7028" s="7" t="n">
        <f aca="false">YEAR(B7028)</f>
        <v>2017</v>
      </c>
      <c r="J7028" s="0" t="str">
        <f aca="false">I7028&amp;"-Q"&amp;ROUNDUP(MONTH(B7028)/3,0)</f>
        <v>2017-Q1</v>
      </c>
    </row>
    <row r="7029" customFormat="false" ht="15" hidden="false" customHeight="false" outlineLevel="0" collapsed="false">
      <c r="A7029" s="0" t="s">
        <v>3572</v>
      </c>
      <c r="B7029" s="6" t="n">
        <v>42764</v>
      </c>
      <c r="C7029" s="7" t="s">
        <v>55</v>
      </c>
      <c r="D7029" s="7" t="s">
        <v>76</v>
      </c>
      <c r="E7029" s="7" t="s">
        <v>35</v>
      </c>
      <c r="F7029" s="0" t="n">
        <v>5.22</v>
      </c>
      <c r="G7029" s="0" t="n">
        <v>2.4012</v>
      </c>
      <c r="H7029" s="0" t="n">
        <v>0</v>
      </c>
      <c r="I7029" s="7" t="n">
        <f aca="false">YEAR(B7029)</f>
        <v>2017</v>
      </c>
      <c r="J7029" s="0" t="str">
        <f aca="false">I7029&amp;"-Q"&amp;ROUNDUP(MONTH(B7029)/3,0)</f>
        <v>2017-Q1</v>
      </c>
    </row>
    <row r="7030" customFormat="false" ht="15" hidden="false" customHeight="false" outlineLevel="0" collapsed="false">
      <c r="A7030" s="0" t="s">
        <v>3573</v>
      </c>
      <c r="B7030" s="6" t="n">
        <v>42724</v>
      </c>
      <c r="C7030" s="7" t="s">
        <v>45</v>
      </c>
      <c r="D7030" s="7" t="s">
        <v>53</v>
      </c>
      <c r="E7030" s="7" t="s">
        <v>35</v>
      </c>
      <c r="F7030" s="0" t="n">
        <v>33.9</v>
      </c>
      <c r="G7030" s="0" t="n">
        <v>15.594</v>
      </c>
      <c r="H7030" s="0" t="n">
        <v>0</v>
      </c>
      <c r="I7030" s="7" t="n">
        <f aca="false">YEAR(B7030)</f>
        <v>2016</v>
      </c>
      <c r="J7030" s="0" t="str">
        <f aca="false">I7030&amp;"-Q"&amp;ROUNDUP(MONTH(B7030)/3,0)</f>
        <v>2016-Q4</v>
      </c>
    </row>
    <row r="7031" customFormat="false" ht="15" hidden="false" customHeight="false" outlineLevel="0" collapsed="false">
      <c r="A7031" s="0" t="s">
        <v>3574</v>
      </c>
      <c r="B7031" s="6" t="n">
        <v>42685</v>
      </c>
      <c r="C7031" s="7" t="s">
        <v>55</v>
      </c>
      <c r="D7031" s="7" t="s">
        <v>76</v>
      </c>
      <c r="E7031" s="7" t="s">
        <v>35</v>
      </c>
      <c r="F7031" s="0" t="n">
        <v>28.14</v>
      </c>
      <c r="G7031" s="0" t="n">
        <v>7.8792</v>
      </c>
      <c r="H7031" s="0" t="n">
        <v>0</v>
      </c>
      <c r="I7031" s="7" t="n">
        <f aca="false">YEAR(B7031)</f>
        <v>2016</v>
      </c>
      <c r="J7031" s="0" t="str">
        <f aca="false">I7031&amp;"-Q"&amp;ROUNDUP(MONTH(B7031)/3,0)</f>
        <v>2016-Q4</v>
      </c>
    </row>
    <row r="7032" customFormat="false" ht="15" hidden="false" customHeight="false" outlineLevel="0" collapsed="false">
      <c r="A7032" s="0" t="s">
        <v>3574</v>
      </c>
      <c r="B7032" s="6" t="n">
        <v>42685</v>
      </c>
      <c r="C7032" s="7" t="s">
        <v>55</v>
      </c>
      <c r="D7032" s="7" t="s">
        <v>76</v>
      </c>
      <c r="E7032" s="7" t="s">
        <v>39</v>
      </c>
      <c r="F7032" s="0" t="n">
        <v>36</v>
      </c>
      <c r="G7032" s="0" t="n">
        <v>6.48</v>
      </c>
      <c r="H7032" s="0" t="n">
        <v>0</v>
      </c>
      <c r="I7032" s="7" t="n">
        <f aca="false">YEAR(B7032)</f>
        <v>2016</v>
      </c>
      <c r="J7032" s="0" t="str">
        <f aca="false">I7032&amp;"-Q"&amp;ROUNDUP(MONTH(B7032)/3,0)</f>
        <v>2016-Q4</v>
      </c>
    </row>
    <row r="7033" customFormat="false" ht="15" hidden="false" customHeight="false" outlineLevel="0" collapsed="false">
      <c r="A7033" s="0" t="s">
        <v>3574</v>
      </c>
      <c r="B7033" s="6" t="n">
        <v>42685</v>
      </c>
      <c r="C7033" s="7" t="s">
        <v>55</v>
      </c>
      <c r="D7033" s="7" t="s">
        <v>76</v>
      </c>
      <c r="E7033" s="7" t="s">
        <v>35</v>
      </c>
      <c r="F7033" s="0" t="n">
        <v>92.94</v>
      </c>
      <c r="G7033" s="0" t="n">
        <v>25.0938</v>
      </c>
      <c r="H7033" s="0" t="n">
        <v>0</v>
      </c>
      <c r="I7033" s="7" t="n">
        <f aca="false">YEAR(B7033)</f>
        <v>2016</v>
      </c>
      <c r="J7033" s="0" t="str">
        <f aca="false">I7033&amp;"-Q"&amp;ROUNDUP(MONTH(B7033)/3,0)</f>
        <v>2016-Q4</v>
      </c>
    </row>
    <row r="7034" customFormat="false" ht="15" hidden="false" customHeight="false" outlineLevel="0" collapsed="false">
      <c r="A7034" s="0" t="s">
        <v>3574</v>
      </c>
      <c r="B7034" s="6" t="n">
        <v>42685</v>
      </c>
      <c r="C7034" s="7" t="s">
        <v>55</v>
      </c>
      <c r="D7034" s="7" t="s">
        <v>76</v>
      </c>
      <c r="E7034" s="7" t="s">
        <v>31</v>
      </c>
      <c r="F7034" s="0" t="n">
        <v>245.646</v>
      </c>
      <c r="G7034" s="0" t="n">
        <v>8.1882</v>
      </c>
      <c r="H7034" s="0" t="n">
        <v>0.1</v>
      </c>
      <c r="I7034" s="7" t="n">
        <f aca="false">YEAR(B7034)</f>
        <v>2016</v>
      </c>
      <c r="J7034" s="0" t="str">
        <f aca="false">I7034&amp;"-Q"&amp;ROUNDUP(MONTH(B7034)/3,0)</f>
        <v>2016-Q4</v>
      </c>
    </row>
    <row r="7035" customFormat="false" ht="15" hidden="false" customHeight="false" outlineLevel="0" collapsed="false">
      <c r="A7035" s="0" t="s">
        <v>3574</v>
      </c>
      <c r="B7035" s="6" t="n">
        <v>42685</v>
      </c>
      <c r="C7035" s="7" t="s">
        <v>55</v>
      </c>
      <c r="D7035" s="7" t="s">
        <v>76</v>
      </c>
      <c r="E7035" s="7" t="s">
        <v>35</v>
      </c>
      <c r="F7035" s="0" t="n">
        <v>55.008</v>
      </c>
      <c r="G7035" s="0" t="n">
        <v>17.19</v>
      </c>
      <c r="H7035" s="0" t="n">
        <v>0.2</v>
      </c>
      <c r="I7035" s="7" t="n">
        <f aca="false">YEAR(B7035)</f>
        <v>2016</v>
      </c>
      <c r="J7035" s="0" t="str">
        <f aca="false">I7035&amp;"-Q"&amp;ROUNDUP(MONTH(B7035)/3,0)</f>
        <v>2016-Q4</v>
      </c>
    </row>
    <row r="7036" customFormat="false" ht="15" hidden="false" customHeight="false" outlineLevel="0" collapsed="false">
      <c r="A7036" s="0" t="s">
        <v>3574</v>
      </c>
      <c r="B7036" s="6" t="n">
        <v>42685</v>
      </c>
      <c r="C7036" s="7" t="s">
        <v>55</v>
      </c>
      <c r="D7036" s="7" t="s">
        <v>76</v>
      </c>
      <c r="E7036" s="7" t="s">
        <v>35</v>
      </c>
      <c r="F7036" s="0" t="n">
        <v>35.232</v>
      </c>
      <c r="G7036" s="0" t="n">
        <v>11.4504</v>
      </c>
      <c r="H7036" s="0" t="n">
        <v>0.2</v>
      </c>
      <c r="I7036" s="7" t="n">
        <f aca="false">YEAR(B7036)</f>
        <v>2016</v>
      </c>
      <c r="J7036" s="0" t="str">
        <f aca="false">I7036&amp;"-Q"&amp;ROUNDUP(MONTH(B7036)/3,0)</f>
        <v>2016-Q4</v>
      </c>
    </row>
    <row r="7037" customFormat="false" ht="15" hidden="false" customHeight="false" outlineLevel="0" collapsed="false">
      <c r="A7037" s="0" t="s">
        <v>3575</v>
      </c>
      <c r="B7037" s="6" t="n">
        <v>43048</v>
      </c>
      <c r="C7037" s="7" t="s">
        <v>33</v>
      </c>
      <c r="D7037" s="7" t="s">
        <v>34</v>
      </c>
      <c r="E7037" s="7" t="s">
        <v>31</v>
      </c>
      <c r="F7037" s="0" t="n">
        <v>523.392</v>
      </c>
      <c r="G7037" s="0" t="n">
        <v>52.3392</v>
      </c>
      <c r="H7037" s="0" t="n">
        <v>0.2</v>
      </c>
      <c r="I7037" s="7" t="n">
        <f aca="false">YEAR(B7037)</f>
        <v>2017</v>
      </c>
      <c r="J7037" s="0" t="str">
        <f aca="false">I7037&amp;"-Q"&amp;ROUNDUP(MONTH(B7037)/3,0)</f>
        <v>2017-Q4</v>
      </c>
    </row>
    <row r="7038" customFormat="false" ht="15" hidden="false" customHeight="false" outlineLevel="0" collapsed="false">
      <c r="A7038" s="0" t="s">
        <v>3576</v>
      </c>
      <c r="B7038" s="6" t="n">
        <v>41761</v>
      </c>
      <c r="C7038" s="7" t="s">
        <v>29</v>
      </c>
      <c r="D7038" s="7" t="s">
        <v>37</v>
      </c>
      <c r="E7038" s="7" t="s">
        <v>39</v>
      </c>
      <c r="F7038" s="0" t="n">
        <v>479.984</v>
      </c>
      <c r="G7038" s="0" t="n">
        <v>89.997</v>
      </c>
      <c r="H7038" s="0" t="n">
        <v>0.2</v>
      </c>
      <c r="I7038" s="7" t="n">
        <f aca="false">YEAR(B7038)</f>
        <v>2014</v>
      </c>
      <c r="J7038" s="0" t="str">
        <f aca="false">I7038&amp;"-Q"&amp;ROUNDUP(MONTH(B7038)/3,0)</f>
        <v>2014-Q2</v>
      </c>
    </row>
    <row r="7039" customFormat="false" ht="15" hidden="false" customHeight="false" outlineLevel="0" collapsed="false">
      <c r="A7039" s="0" t="s">
        <v>3577</v>
      </c>
      <c r="B7039" s="6" t="n">
        <v>43000</v>
      </c>
      <c r="C7039" s="7" t="s">
        <v>29</v>
      </c>
      <c r="D7039" s="7" t="s">
        <v>230</v>
      </c>
      <c r="E7039" s="7" t="s">
        <v>35</v>
      </c>
      <c r="F7039" s="0" t="n">
        <v>12.96</v>
      </c>
      <c r="G7039" s="0" t="n">
        <v>6.2208</v>
      </c>
      <c r="H7039" s="0" t="n">
        <v>0</v>
      </c>
      <c r="I7039" s="7" t="n">
        <f aca="false">YEAR(B7039)</f>
        <v>2017</v>
      </c>
      <c r="J7039" s="0" t="str">
        <f aca="false">I7039&amp;"-Q"&amp;ROUNDUP(MONTH(B7039)/3,0)</f>
        <v>2017-Q3</v>
      </c>
    </row>
    <row r="7040" customFormat="false" ht="15" hidden="false" customHeight="false" outlineLevel="0" collapsed="false">
      <c r="A7040" s="0" t="s">
        <v>3577</v>
      </c>
      <c r="B7040" s="6" t="n">
        <v>43000</v>
      </c>
      <c r="C7040" s="7" t="s">
        <v>29</v>
      </c>
      <c r="D7040" s="7" t="s">
        <v>230</v>
      </c>
      <c r="E7040" s="7" t="s">
        <v>35</v>
      </c>
      <c r="F7040" s="0" t="n">
        <v>17.94</v>
      </c>
      <c r="G7040" s="0" t="n">
        <v>6.4584</v>
      </c>
      <c r="H7040" s="0" t="n">
        <v>0</v>
      </c>
      <c r="I7040" s="7" t="n">
        <f aca="false">YEAR(B7040)</f>
        <v>2017</v>
      </c>
      <c r="J7040" s="0" t="str">
        <f aca="false">I7040&amp;"-Q"&amp;ROUNDUP(MONTH(B7040)/3,0)</f>
        <v>2017-Q3</v>
      </c>
    </row>
    <row r="7041" customFormat="false" ht="15" hidden="false" customHeight="false" outlineLevel="0" collapsed="false">
      <c r="A7041" s="0" t="s">
        <v>3578</v>
      </c>
      <c r="B7041" s="6" t="n">
        <v>43086</v>
      </c>
      <c r="C7041" s="7" t="s">
        <v>55</v>
      </c>
      <c r="D7041" s="7" t="s">
        <v>76</v>
      </c>
      <c r="E7041" s="7" t="s">
        <v>35</v>
      </c>
      <c r="F7041" s="0" t="n">
        <v>166.72</v>
      </c>
      <c r="G7041" s="0" t="n">
        <v>41.68</v>
      </c>
      <c r="H7041" s="0" t="n">
        <v>0</v>
      </c>
      <c r="I7041" s="7" t="n">
        <f aca="false">YEAR(B7041)</f>
        <v>2017</v>
      </c>
      <c r="J7041" s="0" t="str">
        <f aca="false">I7041&amp;"-Q"&amp;ROUNDUP(MONTH(B7041)/3,0)</f>
        <v>2017-Q4</v>
      </c>
    </row>
    <row r="7042" customFormat="false" ht="15" hidden="false" customHeight="false" outlineLevel="0" collapsed="false">
      <c r="A7042" s="0" t="s">
        <v>3578</v>
      </c>
      <c r="B7042" s="6" t="n">
        <v>43086</v>
      </c>
      <c r="C7042" s="7" t="s">
        <v>55</v>
      </c>
      <c r="D7042" s="7" t="s">
        <v>76</v>
      </c>
      <c r="E7042" s="7" t="s">
        <v>35</v>
      </c>
      <c r="F7042" s="0" t="n">
        <v>24.816</v>
      </c>
      <c r="G7042" s="0" t="n">
        <v>8.3754</v>
      </c>
      <c r="H7042" s="0" t="n">
        <v>0.2</v>
      </c>
      <c r="I7042" s="7" t="n">
        <f aca="false">YEAR(B7042)</f>
        <v>2017</v>
      </c>
      <c r="J7042" s="0" t="str">
        <f aca="false">I7042&amp;"-Q"&amp;ROUNDUP(MONTH(B7042)/3,0)</f>
        <v>2017-Q4</v>
      </c>
    </row>
    <row r="7043" customFormat="false" ht="15" hidden="false" customHeight="false" outlineLevel="0" collapsed="false">
      <c r="A7043" s="0" t="s">
        <v>3578</v>
      </c>
      <c r="B7043" s="6" t="n">
        <v>43086</v>
      </c>
      <c r="C7043" s="7" t="s">
        <v>55</v>
      </c>
      <c r="D7043" s="7" t="s">
        <v>76</v>
      </c>
      <c r="E7043" s="7" t="s">
        <v>31</v>
      </c>
      <c r="F7043" s="0" t="n">
        <v>124.36</v>
      </c>
      <c r="G7043" s="0" t="n">
        <v>27.3592</v>
      </c>
      <c r="H7043" s="0" t="n">
        <v>0</v>
      </c>
      <c r="I7043" s="7" t="n">
        <f aca="false">YEAR(B7043)</f>
        <v>2017</v>
      </c>
      <c r="J7043" s="0" t="str">
        <f aca="false">I7043&amp;"-Q"&amp;ROUNDUP(MONTH(B7043)/3,0)</f>
        <v>2017-Q4</v>
      </c>
    </row>
    <row r="7044" customFormat="false" ht="15" hidden="false" customHeight="false" outlineLevel="0" collapsed="false">
      <c r="A7044" s="0" t="s">
        <v>3579</v>
      </c>
      <c r="B7044" s="6" t="n">
        <v>42934</v>
      </c>
      <c r="C7044" s="7" t="s">
        <v>55</v>
      </c>
      <c r="D7044" s="7" t="s">
        <v>56</v>
      </c>
      <c r="E7044" s="7" t="s">
        <v>39</v>
      </c>
      <c r="F7044" s="0" t="n">
        <v>599.97</v>
      </c>
      <c r="G7044" s="0" t="n">
        <v>69.9965</v>
      </c>
      <c r="H7044" s="0" t="n">
        <v>0.4</v>
      </c>
      <c r="I7044" s="7" t="n">
        <f aca="false">YEAR(B7044)</f>
        <v>2017</v>
      </c>
      <c r="J7044" s="0" t="str">
        <f aca="false">I7044&amp;"-Q"&amp;ROUNDUP(MONTH(B7044)/3,0)</f>
        <v>2017-Q3</v>
      </c>
    </row>
    <row r="7045" customFormat="false" ht="15" hidden="false" customHeight="false" outlineLevel="0" collapsed="false">
      <c r="A7045" s="0" t="s">
        <v>3579</v>
      </c>
      <c r="B7045" s="6" t="n">
        <v>42934</v>
      </c>
      <c r="C7045" s="7" t="s">
        <v>55</v>
      </c>
      <c r="D7045" s="7" t="s">
        <v>56</v>
      </c>
      <c r="E7045" s="7" t="s">
        <v>31</v>
      </c>
      <c r="F7045" s="0" t="n">
        <v>198.744</v>
      </c>
      <c r="G7045" s="0" t="n">
        <v>-14.196</v>
      </c>
      <c r="H7045" s="0" t="n">
        <v>0.3</v>
      </c>
      <c r="I7045" s="7" t="n">
        <f aca="false">YEAR(B7045)</f>
        <v>2017</v>
      </c>
      <c r="J7045" s="0" t="str">
        <f aca="false">I7045&amp;"-Q"&amp;ROUNDUP(MONTH(B7045)/3,0)</f>
        <v>2017-Q3</v>
      </c>
    </row>
    <row r="7046" customFormat="false" ht="15" hidden="false" customHeight="false" outlineLevel="0" collapsed="false">
      <c r="A7046" s="0" t="s">
        <v>3579</v>
      </c>
      <c r="B7046" s="6" t="n">
        <v>42934</v>
      </c>
      <c r="C7046" s="7" t="s">
        <v>55</v>
      </c>
      <c r="D7046" s="7" t="s">
        <v>56</v>
      </c>
      <c r="E7046" s="7" t="s">
        <v>35</v>
      </c>
      <c r="F7046" s="0" t="n">
        <v>9.184</v>
      </c>
      <c r="G7046" s="0" t="n">
        <v>1.148</v>
      </c>
      <c r="H7046" s="0" t="n">
        <v>0.2</v>
      </c>
      <c r="I7046" s="7" t="n">
        <f aca="false">YEAR(B7046)</f>
        <v>2017</v>
      </c>
      <c r="J7046" s="0" t="str">
        <f aca="false">I7046&amp;"-Q"&amp;ROUNDUP(MONTH(B7046)/3,0)</f>
        <v>2017-Q3</v>
      </c>
    </row>
    <row r="7047" customFormat="false" ht="15" hidden="false" customHeight="false" outlineLevel="0" collapsed="false">
      <c r="A7047" s="0" t="s">
        <v>3580</v>
      </c>
      <c r="B7047" s="6" t="n">
        <v>42677</v>
      </c>
      <c r="C7047" s="7" t="s">
        <v>45</v>
      </c>
      <c r="D7047" s="7" t="s">
        <v>46</v>
      </c>
      <c r="E7047" s="7" t="s">
        <v>35</v>
      </c>
      <c r="F7047" s="0" t="n">
        <v>9.248</v>
      </c>
      <c r="G7047" s="0" t="n">
        <v>3.3524</v>
      </c>
      <c r="H7047" s="0" t="n">
        <v>0.2</v>
      </c>
      <c r="I7047" s="7" t="n">
        <f aca="false">YEAR(B7047)</f>
        <v>2016</v>
      </c>
      <c r="J7047" s="0" t="str">
        <f aca="false">I7047&amp;"-Q"&amp;ROUNDUP(MONTH(B7047)/3,0)</f>
        <v>2016-Q4</v>
      </c>
    </row>
    <row r="7048" customFormat="false" ht="15" hidden="false" customHeight="false" outlineLevel="0" collapsed="false">
      <c r="A7048" s="0" t="s">
        <v>3581</v>
      </c>
      <c r="B7048" s="6" t="n">
        <v>41737</v>
      </c>
      <c r="C7048" s="7" t="s">
        <v>33</v>
      </c>
      <c r="D7048" s="7" t="s">
        <v>34</v>
      </c>
      <c r="E7048" s="7" t="s">
        <v>31</v>
      </c>
      <c r="F7048" s="0" t="n">
        <v>99.592</v>
      </c>
      <c r="G7048" s="0" t="n">
        <v>2.4898</v>
      </c>
      <c r="H7048" s="0" t="n">
        <v>0.2</v>
      </c>
      <c r="I7048" s="7" t="n">
        <f aca="false">YEAR(B7048)</f>
        <v>2014</v>
      </c>
      <c r="J7048" s="0" t="str">
        <f aca="false">I7048&amp;"-Q"&amp;ROUNDUP(MONTH(B7048)/3,0)</f>
        <v>2014-Q2</v>
      </c>
    </row>
    <row r="7049" customFormat="false" ht="15" hidden="false" customHeight="false" outlineLevel="0" collapsed="false">
      <c r="A7049" s="0" t="s">
        <v>3581</v>
      </c>
      <c r="B7049" s="6" t="n">
        <v>41737</v>
      </c>
      <c r="C7049" s="7" t="s">
        <v>33</v>
      </c>
      <c r="D7049" s="7" t="s">
        <v>34</v>
      </c>
      <c r="E7049" s="7" t="s">
        <v>39</v>
      </c>
      <c r="F7049" s="0" t="n">
        <v>399.96</v>
      </c>
      <c r="G7049" s="0" t="n">
        <v>139.986</v>
      </c>
      <c r="H7049" s="0" t="n">
        <v>0</v>
      </c>
      <c r="I7049" s="7" t="n">
        <f aca="false">YEAR(B7049)</f>
        <v>2014</v>
      </c>
      <c r="J7049" s="0" t="str">
        <f aca="false">I7049&amp;"-Q"&amp;ROUNDUP(MONTH(B7049)/3,0)</f>
        <v>2014-Q2</v>
      </c>
    </row>
    <row r="7050" customFormat="false" ht="15" hidden="false" customHeight="false" outlineLevel="0" collapsed="false">
      <c r="A7050" s="0" t="s">
        <v>3582</v>
      </c>
      <c r="B7050" s="6" t="n">
        <v>42596</v>
      </c>
      <c r="C7050" s="7" t="s">
        <v>29</v>
      </c>
      <c r="D7050" s="7" t="s">
        <v>87</v>
      </c>
      <c r="E7050" s="7" t="s">
        <v>35</v>
      </c>
      <c r="F7050" s="0" t="n">
        <v>15.552</v>
      </c>
      <c r="G7050" s="0" t="n">
        <v>5.4432</v>
      </c>
      <c r="H7050" s="0" t="n">
        <v>0.2</v>
      </c>
      <c r="I7050" s="7" t="n">
        <f aca="false">YEAR(B7050)</f>
        <v>2016</v>
      </c>
      <c r="J7050" s="0" t="str">
        <f aca="false">I7050&amp;"-Q"&amp;ROUNDUP(MONTH(B7050)/3,0)</f>
        <v>2016-Q3</v>
      </c>
    </row>
    <row r="7051" customFormat="false" ht="15" hidden="false" customHeight="false" outlineLevel="0" collapsed="false">
      <c r="A7051" s="0" t="s">
        <v>3583</v>
      </c>
      <c r="B7051" s="6" t="n">
        <v>41907</v>
      </c>
      <c r="C7051" s="7" t="s">
        <v>33</v>
      </c>
      <c r="D7051" s="7" t="s">
        <v>109</v>
      </c>
      <c r="E7051" s="7" t="s">
        <v>35</v>
      </c>
      <c r="F7051" s="0" t="n">
        <v>14.576</v>
      </c>
      <c r="G7051" s="0" t="n">
        <v>2.3686</v>
      </c>
      <c r="H7051" s="0" t="n">
        <v>0.2</v>
      </c>
      <c r="I7051" s="7" t="n">
        <f aca="false">YEAR(B7051)</f>
        <v>2014</v>
      </c>
      <c r="J7051" s="0" t="str">
        <f aca="false">I7051&amp;"-Q"&amp;ROUNDUP(MONTH(B7051)/3,0)</f>
        <v>2014-Q3</v>
      </c>
    </row>
    <row r="7052" customFormat="false" ht="15" hidden="false" customHeight="false" outlineLevel="0" collapsed="false">
      <c r="A7052" s="0" t="s">
        <v>3584</v>
      </c>
      <c r="B7052" s="6" t="n">
        <v>42715</v>
      </c>
      <c r="C7052" s="7" t="s">
        <v>33</v>
      </c>
      <c r="D7052" s="7" t="s">
        <v>34</v>
      </c>
      <c r="E7052" s="7" t="s">
        <v>35</v>
      </c>
      <c r="F7052" s="0" t="n">
        <v>209.6</v>
      </c>
      <c r="G7052" s="0" t="n">
        <v>68.12</v>
      </c>
      <c r="H7052" s="0" t="n">
        <v>0.2</v>
      </c>
      <c r="I7052" s="7" t="n">
        <f aca="false">YEAR(B7052)</f>
        <v>2016</v>
      </c>
      <c r="J7052" s="0" t="str">
        <f aca="false">I7052&amp;"-Q"&amp;ROUNDUP(MONTH(B7052)/3,0)</f>
        <v>2016-Q4</v>
      </c>
    </row>
    <row r="7053" customFormat="false" ht="15" hidden="false" customHeight="false" outlineLevel="0" collapsed="false">
      <c r="A7053" s="0" t="s">
        <v>3584</v>
      </c>
      <c r="B7053" s="6" t="n">
        <v>42715</v>
      </c>
      <c r="C7053" s="7" t="s">
        <v>33</v>
      </c>
      <c r="D7053" s="7" t="s">
        <v>34</v>
      </c>
      <c r="E7053" s="7" t="s">
        <v>35</v>
      </c>
      <c r="F7053" s="0" t="n">
        <v>23.32</v>
      </c>
      <c r="G7053" s="0" t="n">
        <v>6.0632</v>
      </c>
      <c r="H7053" s="0" t="n">
        <v>0</v>
      </c>
      <c r="I7053" s="7" t="n">
        <f aca="false">YEAR(B7053)</f>
        <v>2016</v>
      </c>
      <c r="J7053" s="0" t="str">
        <f aca="false">I7053&amp;"-Q"&amp;ROUNDUP(MONTH(B7053)/3,0)</f>
        <v>2016-Q4</v>
      </c>
    </row>
    <row r="7054" customFormat="false" ht="15" hidden="false" customHeight="false" outlineLevel="0" collapsed="false">
      <c r="A7054" s="0" t="s">
        <v>3584</v>
      </c>
      <c r="B7054" s="6" t="n">
        <v>42715</v>
      </c>
      <c r="C7054" s="7" t="s">
        <v>33</v>
      </c>
      <c r="D7054" s="7" t="s">
        <v>34</v>
      </c>
      <c r="E7054" s="7" t="s">
        <v>35</v>
      </c>
      <c r="F7054" s="0" t="n">
        <v>30.98</v>
      </c>
      <c r="G7054" s="0" t="n">
        <v>13.941</v>
      </c>
      <c r="H7054" s="0" t="n">
        <v>0</v>
      </c>
      <c r="I7054" s="7" t="n">
        <f aca="false">YEAR(B7054)</f>
        <v>2016</v>
      </c>
      <c r="J7054" s="0" t="str">
        <f aca="false">I7054&amp;"-Q"&amp;ROUNDUP(MONTH(B7054)/3,0)</f>
        <v>2016-Q4</v>
      </c>
    </row>
    <row r="7055" customFormat="false" ht="15" hidden="false" customHeight="false" outlineLevel="0" collapsed="false">
      <c r="A7055" s="0" t="s">
        <v>3584</v>
      </c>
      <c r="B7055" s="6" t="n">
        <v>42715</v>
      </c>
      <c r="C7055" s="7" t="s">
        <v>33</v>
      </c>
      <c r="D7055" s="7" t="s">
        <v>34</v>
      </c>
      <c r="E7055" s="7" t="s">
        <v>39</v>
      </c>
      <c r="F7055" s="0" t="n">
        <v>119.96</v>
      </c>
      <c r="G7055" s="0" t="n">
        <v>25.1916</v>
      </c>
      <c r="H7055" s="0" t="n">
        <v>0</v>
      </c>
      <c r="I7055" s="7" t="n">
        <f aca="false">YEAR(B7055)</f>
        <v>2016</v>
      </c>
      <c r="J7055" s="0" t="str">
        <f aca="false">I7055&amp;"-Q"&amp;ROUNDUP(MONTH(B7055)/3,0)</f>
        <v>2016-Q4</v>
      </c>
    </row>
    <row r="7056" customFormat="false" ht="15" hidden="false" customHeight="false" outlineLevel="0" collapsed="false">
      <c r="A7056" s="0" t="s">
        <v>3584</v>
      </c>
      <c r="B7056" s="6" t="n">
        <v>42715</v>
      </c>
      <c r="C7056" s="7" t="s">
        <v>33</v>
      </c>
      <c r="D7056" s="7" t="s">
        <v>34</v>
      </c>
      <c r="E7056" s="7" t="s">
        <v>31</v>
      </c>
      <c r="F7056" s="0" t="n">
        <v>363.92</v>
      </c>
      <c r="G7056" s="0" t="n">
        <v>-31.843</v>
      </c>
      <c r="H7056" s="0" t="n">
        <v>0.2</v>
      </c>
      <c r="I7056" s="7" t="n">
        <f aca="false">YEAR(B7056)</f>
        <v>2016</v>
      </c>
      <c r="J7056" s="0" t="str">
        <f aca="false">I7056&amp;"-Q"&amp;ROUNDUP(MONTH(B7056)/3,0)</f>
        <v>2016-Q4</v>
      </c>
    </row>
    <row r="7057" customFormat="false" ht="15" hidden="false" customHeight="false" outlineLevel="0" collapsed="false">
      <c r="A7057" s="0" t="s">
        <v>3584</v>
      </c>
      <c r="B7057" s="6" t="n">
        <v>42715</v>
      </c>
      <c r="C7057" s="7" t="s">
        <v>33</v>
      </c>
      <c r="D7057" s="7" t="s">
        <v>34</v>
      </c>
      <c r="E7057" s="7" t="s">
        <v>35</v>
      </c>
      <c r="F7057" s="0" t="n">
        <v>35.808</v>
      </c>
      <c r="G7057" s="0" t="n">
        <v>11.19</v>
      </c>
      <c r="H7057" s="0" t="n">
        <v>0.2</v>
      </c>
      <c r="I7057" s="7" t="n">
        <f aca="false">YEAR(B7057)</f>
        <v>2016</v>
      </c>
      <c r="J7057" s="0" t="str">
        <f aca="false">I7057&amp;"-Q"&amp;ROUNDUP(MONTH(B7057)/3,0)</f>
        <v>2016-Q4</v>
      </c>
    </row>
    <row r="7058" customFormat="false" ht="15" hidden="false" customHeight="false" outlineLevel="0" collapsed="false">
      <c r="A7058" s="0" t="s">
        <v>3584</v>
      </c>
      <c r="B7058" s="6" t="n">
        <v>42715</v>
      </c>
      <c r="C7058" s="7" t="s">
        <v>33</v>
      </c>
      <c r="D7058" s="7" t="s">
        <v>34</v>
      </c>
      <c r="E7058" s="7" t="s">
        <v>35</v>
      </c>
      <c r="F7058" s="0" t="n">
        <v>122.688</v>
      </c>
      <c r="G7058" s="0" t="n">
        <v>39.8736</v>
      </c>
      <c r="H7058" s="0" t="n">
        <v>0.2</v>
      </c>
      <c r="I7058" s="7" t="n">
        <f aca="false">YEAR(B7058)</f>
        <v>2016</v>
      </c>
      <c r="J7058" s="0" t="str">
        <f aca="false">I7058&amp;"-Q"&amp;ROUNDUP(MONTH(B7058)/3,0)</f>
        <v>2016-Q4</v>
      </c>
    </row>
    <row r="7059" customFormat="false" ht="15" hidden="false" customHeight="false" outlineLevel="0" collapsed="false">
      <c r="A7059" s="0" t="s">
        <v>3584</v>
      </c>
      <c r="B7059" s="6" t="n">
        <v>42715</v>
      </c>
      <c r="C7059" s="7" t="s">
        <v>33</v>
      </c>
      <c r="D7059" s="7" t="s">
        <v>34</v>
      </c>
      <c r="E7059" s="7" t="s">
        <v>31</v>
      </c>
      <c r="F7059" s="0" t="n">
        <v>892.136</v>
      </c>
      <c r="G7059" s="0" t="n">
        <v>111.517</v>
      </c>
      <c r="H7059" s="0" t="n">
        <v>0.2</v>
      </c>
      <c r="I7059" s="7" t="n">
        <f aca="false">YEAR(B7059)</f>
        <v>2016</v>
      </c>
      <c r="J7059" s="0" t="str">
        <f aca="false">I7059&amp;"-Q"&amp;ROUNDUP(MONTH(B7059)/3,0)</f>
        <v>2016-Q4</v>
      </c>
    </row>
    <row r="7060" customFormat="false" ht="15" hidden="false" customHeight="false" outlineLevel="0" collapsed="false">
      <c r="A7060" s="0" t="s">
        <v>3584</v>
      </c>
      <c r="B7060" s="6" t="n">
        <v>42715</v>
      </c>
      <c r="C7060" s="7" t="s">
        <v>33</v>
      </c>
      <c r="D7060" s="7" t="s">
        <v>34</v>
      </c>
      <c r="E7060" s="7" t="s">
        <v>35</v>
      </c>
      <c r="F7060" s="0" t="n">
        <v>50.22</v>
      </c>
      <c r="G7060" s="0" t="n">
        <v>2.0088</v>
      </c>
      <c r="H7060" s="0" t="n">
        <v>0</v>
      </c>
      <c r="I7060" s="7" t="n">
        <f aca="false">YEAR(B7060)</f>
        <v>2016</v>
      </c>
      <c r="J7060" s="0" t="str">
        <f aca="false">I7060&amp;"-Q"&amp;ROUNDUP(MONTH(B7060)/3,0)</f>
        <v>2016-Q4</v>
      </c>
    </row>
    <row r="7061" customFormat="false" ht="15" hidden="false" customHeight="false" outlineLevel="0" collapsed="false">
      <c r="A7061" s="0" t="s">
        <v>3584</v>
      </c>
      <c r="B7061" s="6" t="n">
        <v>42715</v>
      </c>
      <c r="C7061" s="7" t="s">
        <v>33</v>
      </c>
      <c r="D7061" s="7" t="s">
        <v>34</v>
      </c>
      <c r="E7061" s="7" t="s">
        <v>35</v>
      </c>
      <c r="F7061" s="0" t="n">
        <v>83.42</v>
      </c>
      <c r="G7061" s="0" t="n">
        <v>24.1918</v>
      </c>
      <c r="H7061" s="0" t="n">
        <v>0</v>
      </c>
      <c r="I7061" s="7" t="n">
        <f aca="false">YEAR(B7061)</f>
        <v>2016</v>
      </c>
      <c r="J7061" s="0" t="str">
        <f aca="false">I7061&amp;"-Q"&amp;ROUNDUP(MONTH(B7061)/3,0)</f>
        <v>2016-Q4</v>
      </c>
    </row>
    <row r="7062" customFormat="false" ht="15" hidden="false" customHeight="false" outlineLevel="0" collapsed="false">
      <c r="A7062" s="0" t="s">
        <v>3584</v>
      </c>
      <c r="B7062" s="6" t="n">
        <v>42715</v>
      </c>
      <c r="C7062" s="7" t="s">
        <v>33</v>
      </c>
      <c r="D7062" s="7" t="s">
        <v>34</v>
      </c>
      <c r="E7062" s="7" t="s">
        <v>35</v>
      </c>
      <c r="F7062" s="0" t="n">
        <v>5.872</v>
      </c>
      <c r="G7062" s="0" t="n">
        <v>2.1286</v>
      </c>
      <c r="H7062" s="0" t="n">
        <v>0.2</v>
      </c>
      <c r="I7062" s="7" t="n">
        <f aca="false">YEAR(B7062)</f>
        <v>2016</v>
      </c>
      <c r="J7062" s="0" t="str">
        <f aca="false">I7062&amp;"-Q"&amp;ROUNDUP(MONTH(B7062)/3,0)</f>
        <v>2016-Q4</v>
      </c>
    </row>
    <row r="7063" customFormat="false" ht="15" hidden="false" customHeight="false" outlineLevel="0" collapsed="false">
      <c r="A7063" s="0" t="s">
        <v>3585</v>
      </c>
      <c r="B7063" s="6" t="n">
        <v>42038</v>
      </c>
      <c r="C7063" s="7" t="s">
        <v>33</v>
      </c>
      <c r="D7063" s="7" t="s">
        <v>50</v>
      </c>
      <c r="E7063" s="7" t="s">
        <v>35</v>
      </c>
      <c r="F7063" s="0" t="n">
        <v>12.144</v>
      </c>
      <c r="G7063" s="0" t="n">
        <v>4.0986</v>
      </c>
      <c r="H7063" s="0" t="n">
        <v>0.2</v>
      </c>
      <c r="I7063" s="7" t="n">
        <f aca="false">YEAR(B7063)</f>
        <v>2015</v>
      </c>
      <c r="J7063" s="0" t="str">
        <f aca="false">I7063&amp;"-Q"&amp;ROUNDUP(MONTH(B7063)/3,0)</f>
        <v>2015-Q1</v>
      </c>
    </row>
    <row r="7064" customFormat="false" ht="15" hidden="false" customHeight="false" outlineLevel="0" collapsed="false">
      <c r="A7064" s="0" t="s">
        <v>3586</v>
      </c>
      <c r="B7064" s="6" t="n">
        <v>42733</v>
      </c>
      <c r="C7064" s="7" t="s">
        <v>33</v>
      </c>
      <c r="D7064" s="7" t="s">
        <v>102</v>
      </c>
      <c r="E7064" s="7" t="s">
        <v>35</v>
      </c>
      <c r="F7064" s="0" t="n">
        <v>27.792</v>
      </c>
      <c r="G7064" s="0" t="n">
        <v>10.422</v>
      </c>
      <c r="H7064" s="0" t="n">
        <v>0.2</v>
      </c>
      <c r="I7064" s="7" t="n">
        <f aca="false">YEAR(B7064)</f>
        <v>2016</v>
      </c>
      <c r="J7064" s="0" t="str">
        <f aca="false">I7064&amp;"-Q"&amp;ROUNDUP(MONTH(B7064)/3,0)</f>
        <v>2016-Q4</v>
      </c>
    </row>
    <row r="7065" customFormat="false" ht="15" hidden="false" customHeight="false" outlineLevel="0" collapsed="false">
      <c r="A7065" s="0" t="s">
        <v>3587</v>
      </c>
      <c r="B7065" s="6" t="n">
        <v>42978</v>
      </c>
      <c r="C7065" s="7" t="s">
        <v>33</v>
      </c>
      <c r="D7065" s="7" t="s">
        <v>102</v>
      </c>
      <c r="E7065" s="7" t="s">
        <v>35</v>
      </c>
      <c r="F7065" s="0" t="n">
        <v>6.208</v>
      </c>
      <c r="G7065" s="0" t="n">
        <v>0.6984</v>
      </c>
      <c r="H7065" s="0" t="n">
        <v>0.2</v>
      </c>
      <c r="I7065" s="7" t="n">
        <f aca="false">YEAR(B7065)</f>
        <v>2017</v>
      </c>
      <c r="J7065" s="0" t="str">
        <f aca="false">I7065&amp;"-Q"&amp;ROUNDUP(MONTH(B7065)/3,0)</f>
        <v>2017-Q3</v>
      </c>
    </row>
    <row r="7066" customFormat="false" ht="15" hidden="false" customHeight="false" outlineLevel="0" collapsed="false">
      <c r="A7066" s="0" t="s">
        <v>3588</v>
      </c>
      <c r="B7066" s="6" t="n">
        <v>42770</v>
      </c>
      <c r="C7066" s="7" t="s">
        <v>55</v>
      </c>
      <c r="D7066" s="7" t="s">
        <v>76</v>
      </c>
      <c r="E7066" s="7" t="s">
        <v>35</v>
      </c>
      <c r="F7066" s="0" t="n">
        <v>32.67</v>
      </c>
      <c r="G7066" s="0" t="n">
        <v>8.4942</v>
      </c>
      <c r="H7066" s="0" t="n">
        <v>0</v>
      </c>
      <c r="I7066" s="7" t="n">
        <f aca="false">YEAR(B7066)</f>
        <v>2017</v>
      </c>
      <c r="J7066" s="0" t="str">
        <f aca="false">I7066&amp;"-Q"&amp;ROUNDUP(MONTH(B7066)/3,0)</f>
        <v>2017-Q1</v>
      </c>
    </row>
    <row r="7067" customFormat="false" ht="15" hidden="false" customHeight="false" outlineLevel="0" collapsed="false">
      <c r="A7067" s="0" t="s">
        <v>3589</v>
      </c>
      <c r="B7067" s="6" t="n">
        <v>41979</v>
      </c>
      <c r="C7067" s="7" t="s">
        <v>33</v>
      </c>
      <c r="D7067" s="7" t="s">
        <v>34</v>
      </c>
      <c r="E7067" s="7" t="s">
        <v>35</v>
      </c>
      <c r="F7067" s="0" t="n">
        <v>1261.33</v>
      </c>
      <c r="G7067" s="0" t="n">
        <v>327.9458</v>
      </c>
      <c r="H7067" s="0" t="n">
        <v>0</v>
      </c>
      <c r="I7067" s="7" t="n">
        <f aca="false">YEAR(B7067)</f>
        <v>2014</v>
      </c>
      <c r="J7067" s="0" t="str">
        <f aca="false">I7067&amp;"-Q"&amp;ROUNDUP(MONTH(B7067)/3,0)</f>
        <v>2014-Q4</v>
      </c>
    </row>
    <row r="7068" customFormat="false" ht="15" hidden="false" customHeight="false" outlineLevel="0" collapsed="false">
      <c r="A7068" s="0" t="s">
        <v>3590</v>
      </c>
      <c r="B7068" s="6" t="n">
        <v>42520</v>
      </c>
      <c r="C7068" s="7" t="s">
        <v>33</v>
      </c>
      <c r="D7068" s="7" t="s">
        <v>34</v>
      </c>
      <c r="E7068" s="7" t="s">
        <v>35</v>
      </c>
      <c r="F7068" s="0" t="n">
        <v>38.88</v>
      </c>
      <c r="G7068" s="0" t="n">
        <v>18.6624</v>
      </c>
      <c r="H7068" s="0" t="n">
        <v>0</v>
      </c>
      <c r="I7068" s="7" t="n">
        <f aca="false">YEAR(B7068)</f>
        <v>2016</v>
      </c>
      <c r="J7068" s="0" t="str">
        <f aca="false">I7068&amp;"-Q"&amp;ROUNDUP(MONTH(B7068)/3,0)</f>
        <v>2016-Q2</v>
      </c>
    </row>
    <row r="7069" customFormat="false" ht="15" hidden="false" customHeight="false" outlineLevel="0" collapsed="false">
      <c r="A7069" s="0" t="s">
        <v>3591</v>
      </c>
      <c r="B7069" s="6" t="n">
        <v>42511</v>
      </c>
      <c r="C7069" s="7" t="s">
        <v>45</v>
      </c>
      <c r="D7069" s="7" t="s">
        <v>46</v>
      </c>
      <c r="E7069" s="7" t="s">
        <v>35</v>
      </c>
      <c r="F7069" s="0" t="n">
        <v>1.964</v>
      </c>
      <c r="G7069" s="0" t="n">
        <v>-3.2406</v>
      </c>
      <c r="H7069" s="0" t="n">
        <v>0.8</v>
      </c>
      <c r="I7069" s="7" t="n">
        <f aca="false">YEAR(B7069)</f>
        <v>2016</v>
      </c>
      <c r="J7069" s="0" t="str">
        <f aca="false">I7069&amp;"-Q"&amp;ROUNDUP(MONTH(B7069)/3,0)</f>
        <v>2016-Q2</v>
      </c>
    </row>
    <row r="7070" customFormat="false" ht="15" hidden="false" customHeight="false" outlineLevel="0" collapsed="false">
      <c r="A7070" s="0" t="s">
        <v>3591</v>
      </c>
      <c r="B7070" s="6" t="n">
        <v>42511</v>
      </c>
      <c r="C7070" s="7" t="s">
        <v>45</v>
      </c>
      <c r="D7070" s="7" t="s">
        <v>46</v>
      </c>
      <c r="E7070" s="7" t="s">
        <v>35</v>
      </c>
      <c r="F7070" s="0" t="n">
        <v>82.656</v>
      </c>
      <c r="G7070" s="0" t="n">
        <v>30.996</v>
      </c>
      <c r="H7070" s="0" t="n">
        <v>0.2</v>
      </c>
      <c r="I7070" s="7" t="n">
        <f aca="false">YEAR(B7070)</f>
        <v>2016</v>
      </c>
      <c r="J7070" s="0" t="str">
        <f aca="false">I7070&amp;"-Q"&amp;ROUNDUP(MONTH(B7070)/3,0)</f>
        <v>2016-Q2</v>
      </c>
    </row>
    <row r="7071" customFormat="false" ht="15" hidden="false" customHeight="false" outlineLevel="0" collapsed="false">
      <c r="A7071" s="0" t="s">
        <v>3592</v>
      </c>
      <c r="B7071" s="6" t="n">
        <v>41860</v>
      </c>
      <c r="C7071" s="7" t="s">
        <v>33</v>
      </c>
      <c r="D7071" s="7" t="s">
        <v>34</v>
      </c>
      <c r="E7071" s="7" t="s">
        <v>35</v>
      </c>
      <c r="F7071" s="0" t="n">
        <v>5.98</v>
      </c>
      <c r="G7071" s="0" t="n">
        <v>2.691</v>
      </c>
      <c r="H7071" s="0" t="n">
        <v>0</v>
      </c>
      <c r="I7071" s="7" t="n">
        <f aca="false">YEAR(B7071)</f>
        <v>2014</v>
      </c>
      <c r="J7071" s="0" t="str">
        <f aca="false">I7071&amp;"-Q"&amp;ROUNDUP(MONTH(B7071)/3,0)</f>
        <v>2014-Q3</v>
      </c>
    </row>
    <row r="7072" customFormat="false" ht="15" hidden="false" customHeight="false" outlineLevel="0" collapsed="false">
      <c r="A7072" s="0" t="s">
        <v>3593</v>
      </c>
      <c r="B7072" s="6" t="n">
        <v>42618</v>
      </c>
      <c r="C7072" s="7" t="s">
        <v>45</v>
      </c>
      <c r="D7072" s="7" t="s">
        <v>64</v>
      </c>
      <c r="E7072" s="7" t="s">
        <v>35</v>
      </c>
      <c r="F7072" s="0" t="n">
        <v>9.248</v>
      </c>
      <c r="G7072" s="0" t="n">
        <v>3.3524</v>
      </c>
      <c r="H7072" s="0" t="n">
        <v>0.2</v>
      </c>
      <c r="I7072" s="7" t="n">
        <f aca="false">YEAR(B7072)</f>
        <v>2016</v>
      </c>
      <c r="J7072" s="0" t="str">
        <f aca="false">I7072&amp;"-Q"&amp;ROUNDUP(MONTH(B7072)/3,0)</f>
        <v>2016-Q3</v>
      </c>
    </row>
    <row r="7073" customFormat="false" ht="15" hidden="false" customHeight="false" outlineLevel="0" collapsed="false">
      <c r="A7073" s="0" t="s">
        <v>3594</v>
      </c>
      <c r="B7073" s="6" t="n">
        <v>42574</v>
      </c>
      <c r="C7073" s="7" t="s">
        <v>45</v>
      </c>
      <c r="D7073" s="7" t="s">
        <v>46</v>
      </c>
      <c r="E7073" s="7" t="s">
        <v>35</v>
      </c>
      <c r="F7073" s="0" t="n">
        <v>4.448</v>
      </c>
      <c r="G7073" s="0" t="n">
        <v>0.3336</v>
      </c>
      <c r="H7073" s="0" t="n">
        <v>0.2</v>
      </c>
      <c r="I7073" s="7" t="n">
        <f aca="false">YEAR(B7073)</f>
        <v>2016</v>
      </c>
      <c r="J7073" s="0" t="str">
        <f aca="false">I7073&amp;"-Q"&amp;ROUNDUP(MONTH(B7073)/3,0)</f>
        <v>2016-Q3</v>
      </c>
    </row>
    <row r="7074" customFormat="false" ht="15" hidden="false" customHeight="false" outlineLevel="0" collapsed="false">
      <c r="A7074" s="0" t="s">
        <v>3594</v>
      </c>
      <c r="B7074" s="6" t="n">
        <v>42574</v>
      </c>
      <c r="C7074" s="7" t="s">
        <v>45</v>
      </c>
      <c r="D7074" s="7" t="s">
        <v>46</v>
      </c>
      <c r="E7074" s="7" t="s">
        <v>35</v>
      </c>
      <c r="F7074" s="0" t="n">
        <v>5.184</v>
      </c>
      <c r="G7074" s="0" t="n">
        <v>1.8144</v>
      </c>
      <c r="H7074" s="0" t="n">
        <v>0.2</v>
      </c>
      <c r="I7074" s="7" t="n">
        <f aca="false">YEAR(B7074)</f>
        <v>2016</v>
      </c>
      <c r="J7074" s="0" t="str">
        <f aca="false">I7074&amp;"-Q"&amp;ROUNDUP(MONTH(B7074)/3,0)</f>
        <v>2016-Q3</v>
      </c>
    </row>
    <row r="7075" customFormat="false" ht="15" hidden="false" customHeight="false" outlineLevel="0" collapsed="false">
      <c r="A7075" s="0" t="s">
        <v>3594</v>
      </c>
      <c r="B7075" s="6" t="n">
        <v>42574</v>
      </c>
      <c r="C7075" s="7" t="s">
        <v>45</v>
      </c>
      <c r="D7075" s="7" t="s">
        <v>46</v>
      </c>
      <c r="E7075" s="7" t="s">
        <v>35</v>
      </c>
      <c r="F7075" s="0" t="n">
        <v>175.92</v>
      </c>
      <c r="G7075" s="0" t="n">
        <v>15.393</v>
      </c>
      <c r="H7075" s="0" t="n">
        <v>0.2</v>
      </c>
      <c r="I7075" s="7" t="n">
        <f aca="false">YEAR(B7075)</f>
        <v>2016</v>
      </c>
      <c r="J7075" s="0" t="str">
        <f aca="false">I7075&amp;"-Q"&amp;ROUNDUP(MONTH(B7075)/3,0)</f>
        <v>2016-Q3</v>
      </c>
    </row>
    <row r="7076" customFormat="false" ht="15" hidden="false" customHeight="false" outlineLevel="0" collapsed="false">
      <c r="A7076" s="0" t="s">
        <v>3594</v>
      </c>
      <c r="B7076" s="6" t="n">
        <v>42574</v>
      </c>
      <c r="C7076" s="7" t="s">
        <v>45</v>
      </c>
      <c r="D7076" s="7" t="s">
        <v>46</v>
      </c>
      <c r="E7076" s="7" t="s">
        <v>35</v>
      </c>
      <c r="F7076" s="0" t="n">
        <v>4.752</v>
      </c>
      <c r="G7076" s="0" t="n">
        <v>-8.316</v>
      </c>
      <c r="H7076" s="0" t="n">
        <v>0.8</v>
      </c>
      <c r="I7076" s="7" t="n">
        <f aca="false">YEAR(B7076)</f>
        <v>2016</v>
      </c>
      <c r="J7076" s="0" t="str">
        <f aca="false">I7076&amp;"-Q"&amp;ROUNDUP(MONTH(B7076)/3,0)</f>
        <v>2016-Q3</v>
      </c>
    </row>
    <row r="7077" customFormat="false" ht="15" hidden="false" customHeight="false" outlineLevel="0" collapsed="false">
      <c r="A7077" s="0" t="s">
        <v>3594</v>
      </c>
      <c r="B7077" s="6" t="n">
        <v>42574</v>
      </c>
      <c r="C7077" s="7" t="s">
        <v>45</v>
      </c>
      <c r="D7077" s="7" t="s">
        <v>46</v>
      </c>
      <c r="E7077" s="7" t="s">
        <v>35</v>
      </c>
      <c r="F7077" s="0" t="n">
        <v>13.344</v>
      </c>
      <c r="G7077" s="0" t="n">
        <v>1.0008</v>
      </c>
      <c r="H7077" s="0" t="n">
        <v>0.2</v>
      </c>
      <c r="I7077" s="7" t="n">
        <f aca="false">YEAR(B7077)</f>
        <v>2016</v>
      </c>
      <c r="J7077" s="0" t="str">
        <f aca="false">I7077&amp;"-Q"&amp;ROUNDUP(MONTH(B7077)/3,0)</f>
        <v>2016-Q3</v>
      </c>
    </row>
    <row r="7078" customFormat="false" ht="15" hidden="false" customHeight="false" outlineLevel="0" collapsed="false">
      <c r="A7078" s="0" t="s">
        <v>3595</v>
      </c>
      <c r="B7078" s="6" t="n">
        <v>42502</v>
      </c>
      <c r="C7078" s="7" t="s">
        <v>33</v>
      </c>
      <c r="D7078" s="7" t="s">
        <v>43</v>
      </c>
      <c r="E7078" s="7" t="s">
        <v>35</v>
      </c>
      <c r="F7078" s="0" t="n">
        <v>54.9</v>
      </c>
      <c r="G7078" s="0" t="n">
        <v>26.901</v>
      </c>
      <c r="H7078" s="0" t="n">
        <v>0</v>
      </c>
      <c r="I7078" s="7" t="n">
        <f aca="false">YEAR(B7078)</f>
        <v>2016</v>
      </c>
      <c r="J7078" s="0" t="str">
        <f aca="false">I7078&amp;"-Q"&amp;ROUNDUP(MONTH(B7078)/3,0)</f>
        <v>2016-Q2</v>
      </c>
    </row>
    <row r="7079" customFormat="false" ht="15" hidden="false" customHeight="false" outlineLevel="0" collapsed="false">
      <c r="A7079" s="0" t="s">
        <v>3596</v>
      </c>
      <c r="B7079" s="6" t="n">
        <v>42615</v>
      </c>
      <c r="C7079" s="7" t="s">
        <v>29</v>
      </c>
      <c r="D7079" s="7" t="s">
        <v>41</v>
      </c>
      <c r="E7079" s="7" t="s">
        <v>35</v>
      </c>
      <c r="F7079" s="0" t="n">
        <v>22.911</v>
      </c>
      <c r="G7079" s="0" t="n">
        <v>-17.5651</v>
      </c>
      <c r="H7079" s="0" t="n">
        <v>0.7</v>
      </c>
      <c r="I7079" s="7" t="n">
        <f aca="false">YEAR(B7079)</f>
        <v>2016</v>
      </c>
      <c r="J7079" s="0" t="str">
        <f aca="false">I7079&amp;"-Q"&amp;ROUNDUP(MONTH(B7079)/3,0)</f>
        <v>2016-Q3</v>
      </c>
    </row>
    <row r="7080" customFormat="false" ht="15" hidden="false" customHeight="false" outlineLevel="0" collapsed="false">
      <c r="A7080" s="0" t="s">
        <v>3596</v>
      </c>
      <c r="B7080" s="6" t="n">
        <v>42615</v>
      </c>
      <c r="C7080" s="7" t="s">
        <v>29</v>
      </c>
      <c r="D7080" s="7" t="s">
        <v>41</v>
      </c>
      <c r="E7080" s="7" t="s">
        <v>35</v>
      </c>
      <c r="F7080" s="0" t="n">
        <v>309.456</v>
      </c>
      <c r="G7080" s="0" t="n">
        <v>34.8138</v>
      </c>
      <c r="H7080" s="0" t="n">
        <v>0.2</v>
      </c>
      <c r="I7080" s="7" t="n">
        <f aca="false">YEAR(B7080)</f>
        <v>2016</v>
      </c>
      <c r="J7080" s="0" t="str">
        <f aca="false">I7080&amp;"-Q"&amp;ROUNDUP(MONTH(B7080)/3,0)</f>
        <v>2016-Q3</v>
      </c>
    </row>
    <row r="7081" customFormat="false" ht="15" hidden="false" customHeight="false" outlineLevel="0" collapsed="false">
      <c r="A7081" s="0" t="s">
        <v>3596</v>
      </c>
      <c r="B7081" s="6" t="n">
        <v>42615</v>
      </c>
      <c r="C7081" s="7" t="s">
        <v>29</v>
      </c>
      <c r="D7081" s="7" t="s">
        <v>41</v>
      </c>
      <c r="E7081" s="7" t="s">
        <v>35</v>
      </c>
      <c r="F7081" s="0" t="n">
        <v>19.456</v>
      </c>
      <c r="G7081" s="0" t="n">
        <v>3.4048</v>
      </c>
      <c r="H7081" s="0" t="n">
        <v>0.2</v>
      </c>
      <c r="I7081" s="7" t="n">
        <f aca="false">YEAR(B7081)</f>
        <v>2016</v>
      </c>
      <c r="J7081" s="0" t="str">
        <f aca="false">I7081&amp;"-Q"&amp;ROUNDUP(MONTH(B7081)/3,0)</f>
        <v>2016-Q3</v>
      </c>
    </row>
    <row r="7082" customFormat="false" ht="15" hidden="false" customHeight="false" outlineLevel="0" collapsed="false">
      <c r="A7082" s="0" t="s">
        <v>3596</v>
      </c>
      <c r="B7082" s="6" t="n">
        <v>42615</v>
      </c>
      <c r="C7082" s="7" t="s">
        <v>29</v>
      </c>
      <c r="D7082" s="7" t="s">
        <v>41</v>
      </c>
      <c r="E7082" s="7" t="s">
        <v>31</v>
      </c>
      <c r="F7082" s="0" t="n">
        <v>472.518</v>
      </c>
      <c r="G7082" s="0" t="n">
        <v>-149.6307</v>
      </c>
      <c r="H7082" s="0" t="n">
        <v>0.4</v>
      </c>
      <c r="I7082" s="7" t="n">
        <f aca="false">YEAR(B7082)</f>
        <v>2016</v>
      </c>
      <c r="J7082" s="0" t="str">
        <f aca="false">I7082&amp;"-Q"&amp;ROUNDUP(MONTH(B7082)/3,0)</f>
        <v>2016-Q3</v>
      </c>
    </row>
    <row r="7083" customFormat="false" ht="15" hidden="false" customHeight="false" outlineLevel="0" collapsed="false">
      <c r="A7083" s="0" t="s">
        <v>3596</v>
      </c>
      <c r="B7083" s="6" t="n">
        <v>42615</v>
      </c>
      <c r="C7083" s="7" t="s">
        <v>29</v>
      </c>
      <c r="D7083" s="7" t="s">
        <v>41</v>
      </c>
      <c r="E7083" s="7" t="s">
        <v>39</v>
      </c>
      <c r="F7083" s="0" t="n">
        <v>1012.68</v>
      </c>
      <c r="G7083" s="0" t="n">
        <v>303.804</v>
      </c>
      <c r="H7083" s="0" t="n">
        <v>0.2</v>
      </c>
      <c r="I7083" s="7" t="n">
        <f aca="false">YEAR(B7083)</f>
        <v>2016</v>
      </c>
      <c r="J7083" s="0" t="str">
        <f aca="false">I7083&amp;"-Q"&amp;ROUNDUP(MONTH(B7083)/3,0)</f>
        <v>2016-Q3</v>
      </c>
    </row>
    <row r="7084" customFormat="false" ht="15" hidden="false" customHeight="false" outlineLevel="0" collapsed="false">
      <c r="A7084" s="0" t="s">
        <v>3596</v>
      </c>
      <c r="B7084" s="6" t="n">
        <v>42615</v>
      </c>
      <c r="C7084" s="7" t="s">
        <v>29</v>
      </c>
      <c r="D7084" s="7" t="s">
        <v>41</v>
      </c>
      <c r="E7084" s="7" t="s">
        <v>35</v>
      </c>
      <c r="F7084" s="0" t="n">
        <v>17.22</v>
      </c>
      <c r="G7084" s="0" t="n">
        <v>-12.628</v>
      </c>
      <c r="H7084" s="0" t="n">
        <v>0.7</v>
      </c>
      <c r="I7084" s="7" t="n">
        <f aca="false">YEAR(B7084)</f>
        <v>2016</v>
      </c>
      <c r="J7084" s="0" t="str">
        <f aca="false">I7084&amp;"-Q"&amp;ROUNDUP(MONTH(B7084)/3,0)</f>
        <v>2016-Q3</v>
      </c>
    </row>
    <row r="7085" customFormat="false" ht="15" hidden="false" customHeight="false" outlineLevel="0" collapsed="false">
      <c r="A7085" s="0" t="s">
        <v>3597</v>
      </c>
      <c r="B7085" s="6" t="n">
        <v>42937</v>
      </c>
      <c r="C7085" s="7" t="s">
        <v>33</v>
      </c>
      <c r="D7085" s="7" t="s">
        <v>34</v>
      </c>
      <c r="E7085" s="7" t="s">
        <v>35</v>
      </c>
      <c r="F7085" s="0" t="n">
        <v>3.52</v>
      </c>
      <c r="G7085" s="0" t="n">
        <v>1.6896</v>
      </c>
      <c r="H7085" s="0" t="n">
        <v>0</v>
      </c>
      <c r="I7085" s="7" t="n">
        <f aca="false">YEAR(B7085)</f>
        <v>2017</v>
      </c>
      <c r="J7085" s="0" t="str">
        <f aca="false">I7085&amp;"-Q"&amp;ROUNDUP(MONTH(B7085)/3,0)</f>
        <v>2017-Q3</v>
      </c>
    </row>
    <row r="7086" customFormat="false" ht="15" hidden="false" customHeight="false" outlineLevel="0" collapsed="false">
      <c r="A7086" s="0" t="s">
        <v>3597</v>
      </c>
      <c r="B7086" s="6" t="n">
        <v>42937</v>
      </c>
      <c r="C7086" s="7" t="s">
        <v>33</v>
      </c>
      <c r="D7086" s="7" t="s">
        <v>34</v>
      </c>
      <c r="E7086" s="7" t="s">
        <v>39</v>
      </c>
      <c r="F7086" s="0" t="n">
        <v>1626.192</v>
      </c>
      <c r="G7086" s="0" t="n">
        <v>121.9644</v>
      </c>
      <c r="H7086" s="0" t="n">
        <v>0.2</v>
      </c>
      <c r="I7086" s="7" t="n">
        <f aca="false">YEAR(B7086)</f>
        <v>2017</v>
      </c>
      <c r="J7086" s="0" t="str">
        <f aca="false">I7086&amp;"-Q"&amp;ROUNDUP(MONTH(B7086)/3,0)</f>
        <v>2017-Q3</v>
      </c>
    </row>
    <row r="7087" customFormat="false" ht="15" hidden="false" customHeight="false" outlineLevel="0" collapsed="false">
      <c r="A7087" s="0" t="s">
        <v>3598</v>
      </c>
      <c r="B7087" s="6" t="n">
        <v>43003</v>
      </c>
      <c r="C7087" s="7" t="s">
        <v>55</v>
      </c>
      <c r="D7087" s="7" t="s">
        <v>56</v>
      </c>
      <c r="E7087" s="7" t="s">
        <v>35</v>
      </c>
      <c r="F7087" s="0" t="n">
        <v>8.595</v>
      </c>
      <c r="G7087" s="0" t="n">
        <v>-6.303</v>
      </c>
      <c r="H7087" s="0" t="n">
        <v>0.7</v>
      </c>
      <c r="I7087" s="7" t="n">
        <f aca="false">YEAR(B7087)</f>
        <v>2017</v>
      </c>
      <c r="J7087" s="0" t="str">
        <f aca="false">I7087&amp;"-Q"&amp;ROUNDUP(MONTH(B7087)/3,0)</f>
        <v>2017-Q3</v>
      </c>
    </row>
    <row r="7088" customFormat="false" ht="15" hidden="false" customHeight="false" outlineLevel="0" collapsed="false">
      <c r="A7088" s="0" t="s">
        <v>3598</v>
      </c>
      <c r="B7088" s="6" t="n">
        <v>43003</v>
      </c>
      <c r="C7088" s="7" t="s">
        <v>55</v>
      </c>
      <c r="D7088" s="7" t="s">
        <v>56</v>
      </c>
      <c r="E7088" s="7" t="s">
        <v>35</v>
      </c>
      <c r="F7088" s="0" t="n">
        <v>190.896</v>
      </c>
      <c r="G7088" s="0" t="n">
        <v>-42.9516</v>
      </c>
      <c r="H7088" s="0" t="n">
        <v>0.2</v>
      </c>
      <c r="I7088" s="7" t="n">
        <f aca="false">YEAR(B7088)</f>
        <v>2017</v>
      </c>
      <c r="J7088" s="0" t="str">
        <f aca="false">I7088&amp;"-Q"&amp;ROUNDUP(MONTH(B7088)/3,0)</f>
        <v>2017-Q3</v>
      </c>
    </row>
    <row r="7089" customFormat="false" ht="15" hidden="false" customHeight="false" outlineLevel="0" collapsed="false">
      <c r="A7089" s="0" t="s">
        <v>3599</v>
      </c>
      <c r="B7089" s="6" t="n">
        <v>42950</v>
      </c>
      <c r="C7089" s="7" t="s">
        <v>33</v>
      </c>
      <c r="D7089" s="7" t="s">
        <v>34</v>
      </c>
      <c r="E7089" s="7" t="s">
        <v>35</v>
      </c>
      <c r="F7089" s="0" t="n">
        <v>99.87</v>
      </c>
      <c r="G7089" s="0" t="n">
        <v>23.9688</v>
      </c>
      <c r="H7089" s="0" t="n">
        <v>0</v>
      </c>
      <c r="I7089" s="7" t="n">
        <f aca="false">YEAR(B7089)</f>
        <v>2017</v>
      </c>
      <c r="J7089" s="0" t="str">
        <f aca="false">I7089&amp;"-Q"&amp;ROUNDUP(MONTH(B7089)/3,0)</f>
        <v>2017-Q3</v>
      </c>
    </row>
    <row r="7090" customFormat="false" ht="15" hidden="false" customHeight="false" outlineLevel="0" collapsed="false">
      <c r="A7090" s="0" t="s">
        <v>3600</v>
      </c>
      <c r="B7090" s="6" t="n">
        <v>42302</v>
      </c>
      <c r="C7090" s="7" t="s">
        <v>33</v>
      </c>
      <c r="D7090" s="7" t="s">
        <v>248</v>
      </c>
      <c r="E7090" s="7" t="s">
        <v>35</v>
      </c>
      <c r="F7090" s="0" t="n">
        <v>79.36</v>
      </c>
      <c r="G7090" s="0" t="n">
        <v>23.808</v>
      </c>
      <c r="H7090" s="0" t="n">
        <v>0</v>
      </c>
      <c r="I7090" s="7" t="n">
        <f aca="false">YEAR(B7090)</f>
        <v>2015</v>
      </c>
      <c r="J7090" s="0" t="str">
        <f aca="false">I7090&amp;"-Q"&amp;ROUNDUP(MONTH(B7090)/3,0)</f>
        <v>2015-Q4</v>
      </c>
    </row>
    <row r="7091" customFormat="false" ht="15" hidden="false" customHeight="false" outlineLevel="0" collapsed="false">
      <c r="A7091" s="0" t="s">
        <v>3601</v>
      </c>
      <c r="B7091" s="6" t="n">
        <v>42901</v>
      </c>
      <c r="C7091" s="7" t="s">
        <v>33</v>
      </c>
      <c r="D7091" s="7" t="s">
        <v>34</v>
      </c>
      <c r="E7091" s="7" t="s">
        <v>39</v>
      </c>
      <c r="F7091" s="0" t="n">
        <v>119.96</v>
      </c>
      <c r="G7091" s="0" t="n">
        <v>7.4975</v>
      </c>
      <c r="H7091" s="0" t="n">
        <v>0.2</v>
      </c>
      <c r="I7091" s="7" t="n">
        <f aca="false">YEAR(B7091)</f>
        <v>2017</v>
      </c>
      <c r="J7091" s="0" t="str">
        <f aca="false">I7091&amp;"-Q"&amp;ROUNDUP(MONTH(B7091)/3,0)</f>
        <v>2017-Q2</v>
      </c>
    </row>
    <row r="7092" customFormat="false" ht="15" hidden="false" customHeight="false" outlineLevel="0" collapsed="false">
      <c r="A7092" s="0" t="s">
        <v>3602</v>
      </c>
      <c r="B7092" s="6" t="n">
        <v>42013</v>
      </c>
      <c r="C7092" s="7" t="s">
        <v>29</v>
      </c>
      <c r="D7092" s="7" t="s">
        <v>30</v>
      </c>
      <c r="E7092" s="7" t="s">
        <v>35</v>
      </c>
      <c r="F7092" s="0" t="n">
        <v>106.32</v>
      </c>
      <c r="G7092" s="0" t="n">
        <v>49.9704</v>
      </c>
      <c r="H7092" s="0" t="n">
        <v>0</v>
      </c>
      <c r="I7092" s="7" t="n">
        <f aca="false">YEAR(B7092)</f>
        <v>2015</v>
      </c>
      <c r="J7092" s="0" t="str">
        <f aca="false">I7092&amp;"-Q"&amp;ROUNDUP(MONTH(B7092)/3,0)</f>
        <v>2015-Q1</v>
      </c>
    </row>
    <row r="7093" customFormat="false" ht="15" hidden="false" customHeight="false" outlineLevel="0" collapsed="false">
      <c r="A7093" s="0" t="s">
        <v>3602</v>
      </c>
      <c r="B7093" s="6" t="n">
        <v>42013</v>
      </c>
      <c r="C7093" s="7" t="s">
        <v>29</v>
      </c>
      <c r="D7093" s="7" t="s">
        <v>30</v>
      </c>
      <c r="E7093" s="7" t="s">
        <v>35</v>
      </c>
      <c r="F7093" s="0" t="n">
        <v>163.44</v>
      </c>
      <c r="G7093" s="0" t="n">
        <v>45.7632</v>
      </c>
      <c r="H7093" s="0" t="n">
        <v>0</v>
      </c>
      <c r="I7093" s="7" t="n">
        <f aca="false">YEAR(B7093)</f>
        <v>2015</v>
      </c>
      <c r="J7093" s="0" t="str">
        <f aca="false">I7093&amp;"-Q"&amp;ROUNDUP(MONTH(B7093)/3,0)</f>
        <v>2015-Q1</v>
      </c>
    </row>
    <row r="7094" customFormat="false" ht="15" hidden="false" customHeight="false" outlineLevel="0" collapsed="false">
      <c r="A7094" s="0" t="s">
        <v>3602</v>
      </c>
      <c r="B7094" s="6" t="n">
        <v>42013</v>
      </c>
      <c r="C7094" s="7" t="s">
        <v>29</v>
      </c>
      <c r="D7094" s="7" t="s">
        <v>30</v>
      </c>
      <c r="E7094" s="7" t="s">
        <v>35</v>
      </c>
      <c r="F7094" s="0" t="n">
        <v>42.76</v>
      </c>
      <c r="G7094" s="0" t="n">
        <v>11.1176</v>
      </c>
      <c r="H7094" s="0" t="n">
        <v>0</v>
      </c>
      <c r="I7094" s="7" t="n">
        <f aca="false">YEAR(B7094)</f>
        <v>2015</v>
      </c>
      <c r="J7094" s="0" t="str">
        <f aca="false">I7094&amp;"-Q"&amp;ROUNDUP(MONTH(B7094)/3,0)</f>
        <v>2015-Q1</v>
      </c>
    </row>
    <row r="7095" customFormat="false" ht="15" hidden="false" customHeight="false" outlineLevel="0" collapsed="false">
      <c r="A7095" s="0" t="s">
        <v>3602</v>
      </c>
      <c r="B7095" s="6" t="n">
        <v>42013</v>
      </c>
      <c r="C7095" s="7" t="s">
        <v>29</v>
      </c>
      <c r="D7095" s="7" t="s">
        <v>30</v>
      </c>
      <c r="E7095" s="7" t="s">
        <v>35</v>
      </c>
      <c r="F7095" s="0" t="n">
        <v>51.55</v>
      </c>
      <c r="G7095" s="0" t="n">
        <v>24.2285</v>
      </c>
      <c r="H7095" s="0" t="n">
        <v>0</v>
      </c>
      <c r="I7095" s="7" t="n">
        <f aca="false">YEAR(B7095)</f>
        <v>2015</v>
      </c>
      <c r="J7095" s="0" t="str">
        <f aca="false">I7095&amp;"-Q"&amp;ROUNDUP(MONTH(B7095)/3,0)</f>
        <v>2015-Q1</v>
      </c>
    </row>
    <row r="7096" customFormat="false" ht="15" hidden="false" customHeight="false" outlineLevel="0" collapsed="false">
      <c r="A7096" s="0" t="s">
        <v>3603</v>
      </c>
      <c r="B7096" s="6" t="n">
        <v>42044</v>
      </c>
      <c r="C7096" s="7" t="s">
        <v>45</v>
      </c>
      <c r="D7096" s="7" t="s">
        <v>64</v>
      </c>
      <c r="E7096" s="7" t="s">
        <v>39</v>
      </c>
      <c r="F7096" s="0" t="n">
        <v>479.952</v>
      </c>
      <c r="G7096" s="0" t="n">
        <v>89.991</v>
      </c>
      <c r="H7096" s="0" t="n">
        <v>0.2</v>
      </c>
      <c r="I7096" s="7" t="n">
        <f aca="false">YEAR(B7096)</f>
        <v>2015</v>
      </c>
      <c r="J7096" s="0" t="str">
        <f aca="false">I7096&amp;"-Q"&amp;ROUNDUP(MONTH(B7096)/3,0)</f>
        <v>2015-Q1</v>
      </c>
    </row>
    <row r="7097" customFormat="false" ht="15" hidden="false" customHeight="false" outlineLevel="0" collapsed="false">
      <c r="A7097" s="0" t="s">
        <v>3604</v>
      </c>
      <c r="B7097" s="6" t="n">
        <v>42601</v>
      </c>
      <c r="C7097" s="7" t="s">
        <v>55</v>
      </c>
      <c r="D7097" s="7" t="s">
        <v>76</v>
      </c>
      <c r="E7097" s="7" t="s">
        <v>35</v>
      </c>
      <c r="F7097" s="0" t="n">
        <v>146.688</v>
      </c>
      <c r="G7097" s="0" t="n">
        <v>55.008</v>
      </c>
      <c r="H7097" s="0" t="n">
        <v>0.2</v>
      </c>
      <c r="I7097" s="7" t="n">
        <f aca="false">YEAR(B7097)</f>
        <v>2016</v>
      </c>
      <c r="J7097" s="0" t="str">
        <f aca="false">I7097&amp;"-Q"&amp;ROUNDUP(MONTH(B7097)/3,0)</f>
        <v>2016-Q3</v>
      </c>
    </row>
    <row r="7098" customFormat="false" ht="15" hidden="false" customHeight="false" outlineLevel="0" collapsed="false">
      <c r="A7098" s="0" t="s">
        <v>3604</v>
      </c>
      <c r="B7098" s="6" t="n">
        <v>42601</v>
      </c>
      <c r="C7098" s="7" t="s">
        <v>55</v>
      </c>
      <c r="D7098" s="7" t="s">
        <v>76</v>
      </c>
      <c r="E7098" s="7" t="s">
        <v>35</v>
      </c>
      <c r="F7098" s="0" t="n">
        <v>276.784</v>
      </c>
      <c r="G7098" s="0" t="n">
        <v>89.9548</v>
      </c>
      <c r="H7098" s="0" t="n">
        <v>0.2</v>
      </c>
      <c r="I7098" s="7" t="n">
        <f aca="false">YEAR(B7098)</f>
        <v>2016</v>
      </c>
      <c r="J7098" s="0" t="str">
        <f aca="false">I7098&amp;"-Q"&amp;ROUNDUP(MONTH(B7098)/3,0)</f>
        <v>2016-Q3</v>
      </c>
    </row>
    <row r="7099" customFormat="false" ht="15" hidden="false" customHeight="false" outlineLevel="0" collapsed="false">
      <c r="A7099" s="0" t="s">
        <v>3604</v>
      </c>
      <c r="B7099" s="6" t="n">
        <v>42601</v>
      </c>
      <c r="C7099" s="7" t="s">
        <v>55</v>
      </c>
      <c r="D7099" s="7" t="s">
        <v>76</v>
      </c>
      <c r="E7099" s="7" t="s">
        <v>35</v>
      </c>
      <c r="F7099" s="0" t="n">
        <v>25.32</v>
      </c>
      <c r="G7099" s="0" t="n">
        <v>9.1785</v>
      </c>
      <c r="H7099" s="0" t="n">
        <v>0.2</v>
      </c>
      <c r="I7099" s="7" t="n">
        <f aca="false">YEAR(B7099)</f>
        <v>2016</v>
      </c>
      <c r="J7099" s="0" t="str">
        <f aca="false">I7099&amp;"-Q"&amp;ROUNDUP(MONTH(B7099)/3,0)</f>
        <v>2016-Q3</v>
      </c>
    </row>
    <row r="7100" customFormat="false" ht="15" hidden="false" customHeight="false" outlineLevel="0" collapsed="false">
      <c r="A7100" s="0" t="s">
        <v>3605</v>
      </c>
      <c r="B7100" s="6" t="n">
        <v>43045</v>
      </c>
      <c r="C7100" s="7" t="s">
        <v>55</v>
      </c>
      <c r="D7100" s="7" t="s">
        <v>76</v>
      </c>
      <c r="E7100" s="7" t="s">
        <v>35</v>
      </c>
      <c r="F7100" s="0" t="n">
        <v>318.96</v>
      </c>
      <c r="G7100" s="0" t="n">
        <v>149.9112</v>
      </c>
      <c r="H7100" s="0" t="n">
        <v>0</v>
      </c>
      <c r="I7100" s="7" t="n">
        <f aca="false">YEAR(B7100)</f>
        <v>2017</v>
      </c>
      <c r="J7100" s="0" t="str">
        <f aca="false">I7100&amp;"-Q"&amp;ROUNDUP(MONTH(B7100)/3,0)</f>
        <v>2017-Q4</v>
      </c>
    </row>
    <row r="7101" customFormat="false" ht="15" hidden="false" customHeight="false" outlineLevel="0" collapsed="false">
      <c r="A7101" s="0" t="s">
        <v>3606</v>
      </c>
      <c r="B7101" s="6" t="n">
        <v>42364</v>
      </c>
      <c r="C7101" s="7" t="s">
        <v>55</v>
      </c>
      <c r="D7101" s="7" t="s">
        <v>76</v>
      </c>
      <c r="E7101" s="7" t="s">
        <v>35</v>
      </c>
      <c r="F7101" s="0" t="n">
        <v>212.64</v>
      </c>
      <c r="G7101" s="0" t="n">
        <v>99.9408</v>
      </c>
      <c r="H7101" s="0" t="n">
        <v>0</v>
      </c>
      <c r="I7101" s="7" t="n">
        <f aca="false">YEAR(B7101)</f>
        <v>2015</v>
      </c>
      <c r="J7101" s="0" t="str">
        <f aca="false">I7101&amp;"-Q"&amp;ROUNDUP(MONTH(B7101)/3,0)</f>
        <v>2015-Q4</v>
      </c>
    </row>
    <row r="7102" customFormat="false" ht="15" hidden="false" customHeight="false" outlineLevel="0" collapsed="false">
      <c r="A7102" s="0" t="s">
        <v>3607</v>
      </c>
      <c r="B7102" s="6" t="n">
        <v>41966</v>
      </c>
      <c r="C7102" s="7" t="s">
        <v>33</v>
      </c>
      <c r="D7102" s="7" t="s">
        <v>81</v>
      </c>
      <c r="E7102" s="7" t="s">
        <v>35</v>
      </c>
      <c r="F7102" s="0" t="n">
        <v>23.472</v>
      </c>
      <c r="G7102" s="0" t="n">
        <v>8.802</v>
      </c>
      <c r="H7102" s="0" t="n">
        <v>0.2</v>
      </c>
      <c r="I7102" s="7" t="n">
        <f aca="false">YEAR(B7102)</f>
        <v>2014</v>
      </c>
      <c r="J7102" s="0" t="str">
        <f aca="false">I7102&amp;"-Q"&amp;ROUNDUP(MONTH(B7102)/3,0)</f>
        <v>2014-Q4</v>
      </c>
    </row>
    <row r="7103" customFormat="false" ht="15" hidden="false" customHeight="false" outlineLevel="0" collapsed="false">
      <c r="A7103" s="0" t="s">
        <v>3608</v>
      </c>
      <c r="B7103" s="6" t="n">
        <v>42583</v>
      </c>
      <c r="C7103" s="7" t="s">
        <v>45</v>
      </c>
      <c r="D7103" s="7" t="s">
        <v>46</v>
      </c>
      <c r="E7103" s="7" t="s">
        <v>35</v>
      </c>
      <c r="F7103" s="0" t="n">
        <v>19.648</v>
      </c>
      <c r="G7103" s="0" t="n">
        <v>6.6312</v>
      </c>
      <c r="H7103" s="0" t="n">
        <v>0.2</v>
      </c>
      <c r="I7103" s="7" t="n">
        <f aca="false">YEAR(B7103)</f>
        <v>2016</v>
      </c>
      <c r="J7103" s="0" t="str">
        <f aca="false">I7103&amp;"-Q"&amp;ROUNDUP(MONTH(B7103)/3,0)</f>
        <v>2016-Q3</v>
      </c>
    </row>
    <row r="7104" customFormat="false" ht="15" hidden="false" customHeight="false" outlineLevel="0" collapsed="false">
      <c r="A7104" s="0" t="s">
        <v>3609</v>
      </c>
      <c r="B7104" s="6" t="n">
        <v>41903</v>
      </c>
      <c r="C7104" s="7" t="s">
        <v>55</v>
      </c>
      <c r="D7104" s="7" t="s">
        <v>56</v>
      </c>
      <c r="E7104" s="7" t="s">
        <v>35</v>
      </c>
      <c r="F7104" s="0" t="n">
        <v>6.57</v>
      </c>
      <c r="G7104" s="0" t="n">
        <v>-5.037</v>
      </c>
      <c r="H7104" s="0" t="n">
        <v>0.7</v>
      </c>
      <c r="I7104" s="7" t="n">
        <f aca="false">YEAR(B7104)</f>
        <v>2014</v>
      </c>
      <c r="J7104" s="0" t="str">
        <f aca="false">I7104&amp;"-Q"&amp;ROUNDUP(MONTH(B7104)/3,0)</f>
        <v>2014-Q3</v>
      </c>
    </row>
    <row r="7105" customFormat="false" ht="15" hidden="false" customHeight="false" outlineLevel="0" collapsed="false">
      <c r="A7105" s="0" t="s">
        <v>3610</v>
      </c>
      <c r="B7105" s="6" t="n">
        <v>42982</v>
      </c>
      <c r="C7105" s="7" t="s">
        <v>33</v>
      </c>
      <c r="D7105" s="7" t="s">
        <v>34</v>
      </c>
      <c r="E7105" s="7" t="s">
        <v>35</v>
      </c>
      <c r="F7105" s="0" t="n">
        <v>421.1</v>
      </c>
      <c r="G7105" s="0" t="n">
        <v>105.275</v>
      </c>
      <c r="H7105" s="0" t="n">
        <v>0</v>
      </c>
      <c r="I7105" s="7" t="n">
        <f aca="false">YEAR(B7105)</f>
        <v>2017</v>
      </c>
      <c r="J7105" s="0" t="str">
        <f aca="false">I7105&amp;"-Q"&amp;ROUNDUP(MONTH(B7105)/3,0)</f>
        <v>2017-Q3</v>
      </c>
    </row>
    <row r="7106" customFormat="false" ht="15" hidden="false" customHeight="false" outlineLevel="0" collapsed="false">
      <c r="A7106" s="0" t="s">
        <v>3611</v>
      </c>
      <c r="B7106" s="6" t="n">
        <v>42905</v>
      </c>
      <c r="C7106" s="7" t="s">
        <v>55</v>
      </c>
      <c r="D7106" s="7" t="s">
        <v>116</v>
      </c>
      <c r="E7106" s="7" t="s">
        <v>31</v>
      </c>
      <c r="F7106" s="0" t="n">
        <v>760.116</v>
      </c>
      <c r="G7106" s="0" t="n">
        <v>-43.4352</v>
      </c>
      <c r="H7106" s="0" t="n">
        <v>0.3</v>
      </c>
      <c r="I7106" s="7" t="n">
        <f aca="false">YEAR(B7106)</f>
        <v>2017</v>
      </c>
      <c r="J7106" s="0" t="str">
        <f aca="false">I7106&amp;"-Q"&amp;ROUNDUP(MONTH(B7106)/3,0)</f>
        <v>2017-Q2</v>
      </c>
    </row>
    <row r="7107" customFormat="false" ht="15" hidden="false" customHeight="false" outlineLevel="0" collapsed="false">
      <c r="A7107" s="0" t="s">
        <v>3611</v>
      </c>
      <c r="B7107" s="6" t="n">
        <v>42905</v>
      </c>
      <c r="C7107" s="7" t="s">
        <v>55</v>
      </c>
      <c r="D7107" s="7" t="s">
        <v>116</v>
      </c>
      <c r="E7107" s="7" t="s">
        <v>31</v>
      </c>
      <c r="F7107" s="0" t="n">
        <v>38.784</v>
      </c>
      <c r="G7107" s="0" t="n">
        <v>7.272</v>
      </c>
      <c r="H7107" s="0" t="n">
        <v>0.2</v>
      </c>
      <c r="I7107" s="7" t="n">
        <f aca="false">YEAR(B7107)</f>
        <v>2017</v>
      </c>
      <c r="J7107" s="0" t="str">
        <f aca="false">I7107&amp;"-Q"&amp;ROUNDUP(MONTH(B7107)/3,0)</f>
        <v>2017-Q2</v>
      </c>
    </row>
    <row r="7108" customFormat="false" ht="15" hidden="false" customHeight="false" outlineLevel="0" collapsed="false">
      <c r="A7108" s="0" t="s">
        <v>3611</v>
      </c>
      <c r="B7108" s="6" t="n">
        <v>42905</v>
      </c>
      <c r="C7108" s="7" t="s">
        <v>55</v>
      </c>
      <c r="D7108" s="7" t="s">
        <v>116</v>
      </c>
      <c r="E7108" s="7" t="s">
        <v>39</v>
      </c>
      <c r="F7108" s="0" t="n">
        <v>122.328</v>
      </c>
      <c r="G7108" s="0" t="n">
        <v>1.5291</v>
      </c>
      <c r="H7108" s="0" t="n">
        <v>0.2</v>
      </c>
      <c r="I7108" s="7" t="n">
        <f aca="false">YEAR(B7108)</f>
        <v>2017</v>
      </c>
      <c r="J7108" s="0" t="str">
        <f aca="false">I7108&amp;"-Q"&amp;ROUNDUP(MONTH(B7108)/3,0)</f>
        <v>2017-Q2</v>
      </c>
    </row>
    <row r="7109" customFormat="false" ht="15" hidden="false" customHeight="false" outlineLevel="0" collapsed="false">
      <c r="A7109" s="0" t="s">
        <v>3612</v>
      </c>
      <c r="B7109" s="6" t="n">
        <v>42479</v>
      </c>
      <c r="C7109" s="7" t="s">
        <v>55</v>
      </c>
      <c r="D7109" s="7" t="s">
        <v>76</v>
      </c>
      <c r="E7109" s="7" t="s">
        <v>39</v>
      </c>
      <c r="F7109" s="0" t="n">
        <v>25.98</v>
      </c>
      <c r="G7109" s="0" t="n">
        <v>0.7794</v>
      </c>
      <c r="H7109" s="0" t="n">
        <v>0</v>
      </c>
      <c r="I7109" s="7" t="n">
        <f aca="false">YEAR(B7109)</f>
        <v>2016</v>
      </c>
      <c r="J7109" s="0" t="str">
        <f aca="false">I7109&amp;"-Q"&amp;ROUNDUP(MONTH(B7109)/3,0)</f>
        <v>2016-Q2</v>
      </c>
    </row>
    <row r="7110" customFormat="false" ht="15" hidden="false" customHeight="false" outlineLevel="0" collapsed="false">
      <c r="A7110" s="0" t="s">
        <v>3612</v>
      </c>
      <c r="B7110" s="6" t="n">
        <v>42479</v>
      </c>
      <c r="C7110" s="7" t="s">
        <v>55</v>
      </c>
      <c r="D7110" s="7" t="s">
        <v>76</v>
      </c>
      <c r="E7110" s="7" t="s">
        <v>35</v>
      </c>
      <c r="F7110" s="0" t="n">
        <v>3.28</v>
      </c>
      <c r="G7110" s="0" t="n">
        <v>1.476</v>
      </c>
      <c r="H7110" s="0" t="n">
        <v>0</v>
      </c>
      <c r="I7110" s="7" t="n">
        <f aca="false">YEAR(B7110)</f>
        <v>2016</v>
      </c>
      <c r="J7110" s="0" t="str">
        <f aca="false">I7110&amp;"-Q"&amp;ROUNDUP(MONTH(B7110)/3,0)</f>
        <v>2016-Q2</v>
      </c>
    </row>
    <row r="7111" customFormat="false" ht="15" hidden="false" customHeight="false" outlineLevel="0" collapsed="false">
      <c r="A7111" s="0" t="s">
        <v>3612</v>
      </c>
      <c r="B7111" s="6" t="n">
        <v>42479</v>
      </c>
      <c r="C7111" s="7" t="s">
        <v>55</v>
      </c>
      <c r="D7111" s="7" t="s">
        <v>76</v>
      </c>
      <c r="E7111" s="7" t="s">
        <v>35</v>
      </c>
      <c r="F7111" s="0" t="n">
        <v>459.88</v>
      </c>
      <c r="G7111" s="0" t="n">
        <v>13.7964</v>
      </c>
      <c r="H7111" s="0" t="n">
        <v>0</v>
      </c>
      <c r="I7111" s="7" t="n">
        <f aca="false">YEAR(B7111)</f>
        <v>2016</v>
      </c>
      <c r="J7111" s="0" t="str">
        <f aca="false">I7111&amp;"-Q"&amp;ROUNDUP(MONTH(B7111)/3,0)</f>
        <v>2016-Q2</v>
      </c>
    </row>
    <row r="7112" customFormat="false" ht="15" hidden="false" customHeight="false" outlineLevel="0" collapsed="false">
      <c r="A7112" s="0" t="s">
        <v>3612</v>
      </c>
      <c r="B7112" s="6" t="n">
        <v>42479</v>
      </c>
      <c r="C7112" s="7" t="s">
        <v>55</v>
      </c>
      <c r="D7112" s="7" t="s">
        <v>76</v>
      </c>
      <c r="E7112" s="7" t="s">
        <v>35</v>
      </c>
      <c r="F7112" s="0" t="n">
        <v>7.76</v>
      </c>
      <c r="G7112" s="0" t="n">
        <v>2.2504</v>
      </c>
      <c r="H7112" s="0" t="n">
        <v>0</v>
      </c>
      <c r="I7112" s="7" t="n">
        <f aca="false">YEAR(B7112)</f>
        <v>2016</v>
      </c>
      <c r="J7112" s="0" t="str">
        <f aca="false">I7112&amp;"-Q"&amp;ROUNDUP(MONTH(B7112)/3,0)</f>
        <v>2016-Q2</v>
      </c>
    </row>
    <row r="7113" customFormat="false" ht="15" hidden="false" customHeight="false" outlineLevel="0" collapsed="false">
      <c r="A7113" s="0" t="s">
        <v>3612</v>
      </c>
      <c r="B7113" s="6" t="n">
        <v>42479</v>
      </c>
      <c r="C7113" s="7" t="s">
        <v>55</v>
      </c>
      <c r="D7113" s="7" t="s">
        <v>76</v>
      </c>
      <c r="E7113" s="7" t="s">
        <v>35</v>
      </c>
      <c r="F7113" s="0" t="n">
        <v>71.96</v>
      </c>
      <c r="G7113" s="0" t="n">
        <v>17.99</v>
      </c>
      <c r="H7113" s="0" t="n">
        <v>0</v>
      </c>
      <c r="I7113" s="7" t="n">
        <f aca="false">YEAR(B7113)</f>
        <v>2016</v>
      </c>
      <c r="J7113" s="0" t="str">
        <f aca="false">I7113&amp;"-Q"&amp;ROUNDUP(MONTH(B7113)/3,0)</f>
        <v>2016-Q2</v>
      </c>
    </row>
    <row r="7114" customFormat="false" ht="15" hidden="false" customHeight="false" outlineLevel="0" collapsed="false">
      <c r="A7114" s="0" t="s">
        <v>3612</v>
      </c>
      <c r="B7114" s="6" t="n">
        <v>42479</v>
      </c>
      <c r="C7114" s="7" t="s">
        <v>55</v>
      </c>
      <c r="D7114" s="7" t="s">
        <v>76</v>
      </c>
      <c r="E7114" s="7" t="s">
        <v>35</v>
      </c>
      <c r="F7114" s="0" t="n">
        <v>54.9</v>
      </c>
      <c r="G7114" s="0" t="n">
        <v>15.372</v>
      </c>
      <c r="H7114" s="0" t="n">
        <v>0</v>
      </c>
      <c r="I7114" s="7" t="n">
        <f aca="false">YEAR(B7114)</f>
        <v>2016</v>
      </c>
      <c r="J7114" s="0" t="str">
        <f aca="false">I7114&amp;"-Q"&amp;ROUNDUP(MONTH(B7114)/3,0)</f>
        <v>2016-Q2</v>
      </c>
    </row>
    <row r="7115" customFormat="false" ht="15" hidden="false" customHeight="false" outlineLevel="0" collapsed="false">
      <c r="A7115" s="0" t="s">
        <v>3612</v>
      </c>
      <c r="B7115" s="6" t="n">
        <v>42479</v>
      </c>
      <c r="C7115" s="7" t="s">
        <v>55</v>
      </c>
      <c r="D7115" s="7" t="s">
        <v>76</v>
      </c>
      <c r="E7115" s="7" t="s">
        <v>35</v>
      </c>
      <c r="F7115" s="0" t="n">
        <v>9.28</v>
      </c>
      <c r="G7115" s="0" t="n">
        <v>3.248</v>
      </c>
      <c r="H7115" s="0" t="n">
        <v>0.2</v>
      </c>
      <c r="I7115" s="7" t="n">
        <f aca="false">YEAR(B7115)</f>
        <v>2016</v>
      </c>
      <c r="J7115" s="0" t="str">
        <f aca="false">I7115&amp;"-Q"&amp;ROUNDUP(MONTH(B7115)/3,0)</f>
        <v>2016-Q2</v>
      </c>
    </row>
    <row r="7116" customFormat="false" ht="15" hidden="false" customHeight="false" outlineLevel="0" collapsed="false">
      <c r="A7116" s="0" t="s">
        <v>3613</v>
      </c>
      <c r="B7116" s="6" t="n">
        <v>42495</v>
      </c>
      <c r="C7116" s="7" t="s">
        <v>33</v>
      </c>
      <c r="D7116" s="7" t="s">
        <v>248</v>
      </c>
      <c r="E7116" s="7" t="s">
        <v>31</v>
      </c>
      <c r="F7116" s="0" t="n">
        <v>1685.88</v>
      </c>
      <c r="G7116" s="0" t="n">
        <v>320.3172</v>
      </c>
      <c r="H7116" s="0" t="n">
        <v>0</v>
      </c>
      <c r="I7116" s="7" t="n">
        <f aca="false">YEAR(B7116)</f>
        <v>2016</v>
      </c>
      <c r="J7116" s="0" t="str">
        <f aca="false">I7116&amp;"-Q"&amp;ROUNDUP(MONTH(B7116)/3,0)</f>
        <v>2016-Q2</v>
      </c>
    </row>
    <row r="7117" customFormat="false" ht="15" hidden="false" customHeight="false" outlineLevel="0" collapsed="false">
      <c r="A7117" s="0" t="s">
        <v>3613</v>
      </c>
      <c r="B7117" s="6" t="n">
        <v>42495</v>
      </c>
      <c r="C7117" s="7" t="s">
        <v>33</v>
      </c>
      <c r="D7117" s="7" t="s">
        <v>248</v>
      </c>
      <c r="E7117" s="7" t="s">
        <v>35</v>
      </c>
      <c r="F7117" s="0" t="n">
        <v>5.728</v>
      </c>
      <c r="G7117" s="0" t="n">
        <v>2.0048</v>
      </c>
      <c r="H7117" s="0" t="n">
        <v>0.2</v>
      </c>
      <c r="I7117" s="7" t="n">
        <f aca="false">YEAR(B7117)</f>
        <v>2016</v>
      </c>
      <c r="J7117" s="0" t="str">
        <f aca="false">I7117&amp;"-Q"&amp;ROUNDUP(MONTH(B7117)/3,0)</f>
        <v>2016-Q2</v>
      </c>
    </row>
    <row r="7118" customFormat="false" ht="15" hidden="false" customHeight="false" outlineLevel="0" collapsed="false">
      <c r="A7118" s="0" t="s">
        <v>3614</v>
      </c>
      <c r="B7118" s="6" t="n">
        <v>41930</v>
      </c>
      <c r="C7118" s="7" t="s">
        <v>33</v>
      </c>
      <c r="D7118" s="7" t="s">
        <v>43</v>
      </c>
      <c r="E7118" s="7" t="s">
        <v>35</v>
      </c>
      <c r="F7118" s="0" t="n">
        <v>61.96</v>
      </c>
      <c r="G7118" s="0" t="n">
        <v>27.882</v>
      </c>
      <c r="H7118" s="0" t="n">
        <v>0</v>
      </c>
      <c r="I7118" s="7" t="n">
        <f aca="false">YEAR(B7118)</f>
        <v>2014</v>
      </c>
      <c r="J7118" s="0" t="str">
        <f aca="false">I7118&amp;"-Q"&amp;ROUNDUP(MONTH(B7118)/3,0)</f>
        <v>2014-Q4</v>
      </c>
    </row>
    <row r="7119" customFormat="false" ht="15" hidden="false" customHeight="false" outlineLevel="0" collapsed="false">
      <c r="A7119" s="0" t="s">
        <v>3614</v>
      </c>
      <c r="B7119" s="6" t="n">
        <v>41930</v>
      </c>
      <c r="C7119" s="7" t="s">
        <v>33</v>
      </c>
      <c r="D7119" s="7" t="s">
        <v>43</v>
      </c>
      <c r="E7119" s="7" t="s">
        <v>35</v>
      </c>
      <c r="F7119" s="0" t="n">
        <v>1.344</v>
      </c>
      <c r="G7119" s="0" t="n">
        <v>0.4704</v>
      </c>
      <c r="H7119" s="0" t="n">
        <v>0.2</v>
      </c>
      <c r="I7119" s="7" t="n">
        <f aca="false">YEAR(B7119)</f>
        <v>2014</v>
      </c>
      <c r="J7119" s="0" t="str">
        <f aca="false">I7119&amp;"-Q"&amp;ROUNDUP(MONTH(B7119)/3,0)</f>
        <v>2014-Q4</v>
      </c>
    </row>
    <row r="7120" customFormat="false" ht="15" hidden="false" customHeight="false" outlineLevel="0" collapsed="false">
      <c r="A7120" s="0" t="s">
        <v>3615</v>
      </c>
      <c r="B7120" s="6" t="n">
        <v>42779</v>
      </c>
      <c r="C7120" s="7" t="s">
        <v>55</v>
      </c>
      <c r="D7120" s="7" t="s">
        <v>76</v>
      </c>
      <c r="E7120" s="7" t="s">
        <v>35</v>
      </c>
      <c r="F7120" s="0" t="n">
        <v>17.94</v>
      </c>
      <c r="G7120" s="0" t="n">
        <v>8.7906</v>
      </c>
      <c r="H7120" s="0" t="n">
        <v>0</v>
      </c>
      <c r="I7120" s="7" t="n">
        <f aca="false">YEAR(B7120)</f>
        <v>2017</v>
      </c>
      <c r="J7120" s="0" t="str">
        <f aca="false">I7120&amp;"-Q"&amp;ROUNDUP(MONTH(B7120)/3,0)</f>
        <v>2017-Q1</v>
      </c>
    </row>
    <row r="7121" customFormat="false" ht="15" hidden="false" customHeight="false" outlineLevel="0" collapsed="false">
      <c r="A7121" s="0" t="s">
        <v>3616</v>
      </c>
      <c r="B7121" s="6" t="n">
        <v>43056</v>
      </c>
      <c r="C7121" s="7" t="s">
        <v>33</v>
      </c>
      <c r="D7121" s="7" t="s">
        <v>43</v>
      </c>
      <c r="E7121" s="7" t="s">
        <v>35</v>
      </c>
      <c r="F7121" s="0" t="n">
        <v>13.904</v>
      </c>
      <c r="G7121" s="0" t="n">
        <v>4.5188</v>
      </c>
      <c r="H7121" s="0" t="n">
        <v>0.2</v>
      </c>
      <c r="I7121" s="7" t="n">
        <f aca="false">YEAR(B7121)</f>
        <v>2017</v>
      </c>
      <c r="J7121" s="0" t="str">
        <f aca="false">I7121&amp;"-Q"&amp;ROUNDUP(MONTH(B7121)/3,0)</f>
        <v>2017-Q4</v>
      </c>
    </row>
    <row r="7122" customFormat="false" ht="15" hidden="false" customHeight="false" outlineLevel="0" collapsed="false">
      <c r="A7122" s="0" t="s">
        <v>3617</v>
      </c>
      <c r="B7122" s="6" t="n">
        <v>41659</v>
      </c>
      <c r="C7122" s="7" t="s">
        <v>29</v>
      </c>
      <c r="D7122" s="7" t="s">
        <v>87</v>
      </c>
      <c r="E7122" s="7" t="s">
        <v>35</v>
      </c>
      <c r="F7122" s="0" t="n">
        <v>67.194</v>
      </c>
      <c r="G7122" s="0" t="n">
        <v>-51.5154</v>
      </c>
      <c r="H7122" s="0" t="n">
        <v>0.7</v>
      </c>
      <c r="I7122" s="7" t="n">
        <f aca="false">YEAR(B7122)</f>
        <v>2014</v>
      </c>
      <c r="J7122" s="0" t="str">
        <f aca="false">I7122&amp;"-Q"&amp;ROUNDUP(MONTH(B7122)/3,0)</f>
        <v>2014-Q1</v>
      </c>
    </row>
    <row r="7123" customFormat="false" ht="15" hidden="false" customHeight="false" outlineLevel="0" collapsed="false">
      <c r="A7123" s="0" t="s">
        <v>3618</v>
      </c>
      <c r="B7123" s="6" t="n">
        <v>43070</v>
      </c>
      <c r="C7123" s="7" t="s">
        <v>33</v>
      </c>
      <c r="D7123" s="7" t="s">
        <v>43</v>
      </c>
      <c r="E7123" s="7" t="s">
        <v>35</v>
      </c>
      <c r="F7123" s="0" t="n">
        <v>41.86</v>
      </c>
      <c r="G7123" s="0" t="n">
        <v>18.837</v>
      </c>
      <c r="H7123" s="0" t="n">
        <v>0</v>
      </c>
      <c r="I7123" s="7" t="n">
        <f aca="false">YEAR(B7123)</f>
        <v>2017</v>
      </c>
      <c r="J7123" s="0" t="str">
        <f aca="false">I7123&amp;"-Q"&amp;ROUNDUP(MONTH(B7123)/3,0)</f>
        <v>2017-Q4</v>
      </c>
    </row>
    <row r="7124" customFormat="false" ht="15" hidden="false" customHeight="false" outlineLevel="0" collapsed="false">
      <c r="A7124" s="0" t="s">
        <v>3618</v>
      </c>
      <c r="B7124" s="6" t="n">
        <v>43070</v>
      </c>
      <c r="C7124" s="7" t="s">
        <v>33</v>
      </c>
      <c r="D7124" s="7" t="s">
        <v>43</v>
      </c>
      <c r="E7124" s="7" t="s">
        <v>31</v>
      </c>
      <c r="F7124" s="0" t="n">
        <v>141.96</v>
      </c>
      <c r="G7124" s="0" t="n">
        <v>41.1684</v>
      </c>
      <c r="H7124" s="0" t="n">
        <v>0</v>
      </c>
      <c r="I7124" s="7" t="n">
        <f aca="false">YEAR(B7124)</f>
        <v>2017</v>
      </c>
      <c r="J7124" s="0" t="str">
        <f aca="false">I7124&amp;"-Q"&amp;ROUNDUP(MONTH(B7124)/3,0)</f>
        <v>2017-Q4</v>
      </c>
    </row>
    <row r="7125" customFormat="false" ht="15" hidden="false" customHeight="false" outlineLevel="0" collapsed="false">
      <c r="A7125" s="0" t="s">
        <v>3619</v>
      </c>
      <c r="B7125" s="6" t="n">
        <v>42225</v>
      </c>
      <c r="C7125" s="7" t="s">
        <v>55</v>
      </c>
      <c r="D7125" s="7" t="s">
        <v>76</v>
      </c>
      <c r="E7125" s="7" t="s">
        <v>31</v>
      </c>
      <c r="F7125" s="0" t="n">
        <v>10.02</v>
      </c>
      <c r="G7125" s="0" t="n">
        <v>4.4088</v>
      </c>
      <c r="H7125" s="0" t="n">
        <v>0</v>
      </c>
      <c r="I7125" s="7" t="n">
        <f aca="false">YEAR(B7125)</f>
        <v>2015</v>
      </c>
      <c r="J7125" s="0" t="str">
        <f aca="false">I7125&amp;"-Q"&amp;ROUNDUP(MONTH(B7125)/3,0)</f>
        <v>2015-Q3</v>
      </c>
    </row>
    <row r="7126" customFormat="false" ht="15" hidden="false" customHeight="false" outlineLevel="0" collapsed="false">
      <c r="A7126" s="0" t="s">
        <v>3619</v>
      </c>
      <c r="B7126" s="6" t="n">
        <v>42225</v>
      </c>
      <c r="C7126" s="7" t="s">
        <v>55</v>
      </c>
      <c r="D7126" s="7" t="s">
        <v>76</v>
      </c>
      <c r="E7126" s="7" t="s">
        <v>35</v>
      </c>
      <c r="F7126" s="0" t="n">
        <v>144.12</v>
      </c>
      <c r="G7126" s="0" t="n">
        <v>69.1776</v>
      </c>
      <c r="H7126" s="0" t="n">
        <v>0</v>
      </c>
      <c r="I7126" s="7" t="n">
        <f aca="false">YEAR(B7126)</f>
        <v>2015</v>
      </c>
      <c r="J7126" s="0" t="str">
        <f aca="false">I7126&amp;"-Q"&amp;ROUNDUP(MONTH(B7126)/3,0)</f>
        <v>2015-Q3</v>
      </c>
    </row>
    <row r="7127" customFormat="false" ht="15" hidden="false" customHeight="false" outlineLevel="0" collapsed="false">
      <c r="A7127" s="0" t="s">
        <v>3620</v>
      </c>
      <c r="B7127" s="6" t="n">
        <v>42640</v>
      </c>
      <c r="C7127" s="7" t="s">
        <v>29</v>
      </c>
      <c r="D7127" s="7" t="s">
        <v>230</v>
      </c>
      <c r="E7127" s="7" t="s">
        <v>35</v>
      </c>
      <c r="F7127" s="0" t="n">
        <v>17.94</v>
      </c>
      <c r="G7127" s="0" t="n">
        <v>8.7906</v>
      </c>
      <c r="H7127" s="0" t="n">
        <v>0</v>
      </c>
      <c r="I7127" s="7" t="n">
        <f aca="false">YEAR(B7127)</f>
        <v>2016</v>
      </c>
      <c r="J7127" s="0" t="str">
        <f aca="false">I7127&amp;"-Q"&amp;ROUNDUP(MONTH(B7127)/3,0)</f>
        <v>2016-Q3</v>
      </c>
    </row>
    <row r="7128" customFormat="false" ht="15" hidden="false" customHeight="false" outlineLevel="0" collapsed="false">
      <c r="A7128" s="0" t="s">
        <v>3620</v>
      </c>
      <c r="B7128" s="6" t="n">
        <v>42640</v>
      </c>
      <c r="C7128" s="7" t="s">
        <v>29</v>
      </c>
      <c r="D7128" s="7" t="s">
        <v>230</v>
      </c>
      <c r="E7128" s="7" t="s">
        <v>35</v>
      </c>
      <c r="F7128" s="0" t="n">
        <v>13.89</v>
      </c>
      <c r="G7128" s="0" t="n">
        <v>4.5837</v>
      </c>
      <c r="H7128" s="0" t="n">
        <v>0</v>
      </c>
      <c r="I7128" s="7" t="n">
        <f aca="false">YEAR(B7128)</f>
        <v>2016</v>
      </c>
      <c r="J7128" s="0" t="str">
        <f aca="false">I7128&amp;"-Q"&amp;ROUNDUP(MONTH(B7128)/3,0)</f>
        <v>2016-Q3</v>
      </c>
    </row>
    <row r="7129" customFormat="false" ht="15" hidden="false" customHeight="false" outlineLevel="0" collapsed="false">
      <c r="A7129" s="0" t="s">
        <v>3621</v>
      </c>
      <c r="B7129" s="6" t="n">
        <v>42688</v>
      </c>
      <c r="C7129" s="7" t="s">
        <v>55</v>
      </c>
      <c r="D7129" s="7" t="s">
        <v>72</v>
      </c>
      <c r="E7129" s="7" t="s">
        <v>35</v>
      </c>
      <c r="F7129" s="0" t="n">
        <v>16.45</v>
      </c>
      <c r="G7129" s="0" t="n">
        <v>7.567</v>
      </c>
      <c r="H7129" s="0" t="n">
        <v>0</v>
      </c>
      <c r="I7129" s="7" t="n">
        <f aca="false">YEAR(B7129)</f>
        <v>2016</v>
      </c>
      <c r="J7129" s="0" t="str">
        <f aca="false">I7129&amp;"-Q"&amp;ROUNDUP(MONTH(B7129)/3,0)</f>
        <v>2016-Q4</v>
      </c>
    </row>
    <row r="7130" customFormat="false" ht="15" hidden="false" customHeight="false" outlineLevel="0" collapsed="false">
      <c r="A7130" s="0" t="s">
        <v>3621</v>
      </c>
      <c r="B7130" s="6" t="n">
        <v>42688</v>
      </c>
      <c r="C7130" s="7" t="s">
        <v>55</v>
      </c>
      <c r="D7130" s="7" t="s">
        <v>72</v>
      </c>
      <c r="E7130" s="7" t="s">
        <v>31</v>
      </c>
      <c r="F7130" s="0" t="n">
        <v>19.92</v>
      </c>
      <c r="G7130" s="0" t="n">
        <v>6.5736</v>
      </c>
      <c r="H7130" s="0" t="n">
        <v>0</v>
      </c>
      <c r="I7130" s="7" t="n">
        <f aca="false">YEAR(B7130)</f>
        <v>2016</v>
      </c>
      <c r="J7130" s="0" t="str">
        <f aca="false">I7130&amp;"-Q"&amp;ROUNDUP(MONTH(B7130)/3,0)</f>
        <v>2016-Q4</v>
      </c>
    </row>
    <row r="7131" customFormat="false" ht="15" hidden="false" customHeight="false" outlineLevel="0" collapsed="false">
      <c r="A7131" s="0" t="s">
        <v>3622</v>
      </c>
      <c r="B7131" s="6" t="n">
        <v>42476</v>
      </c>
      <c r="C7131" s="7" t="s">
        <v>29</v>
      </c>
      <c r="D7131" s="7" t="s">
        <v>87</v>
      </c>
      <c r="E7131" s="7" t="s">
        <v>39</v>
      </c>
      <c r="F7131" s="0" t="n">
        <v>35.168</v>
      </c>
      <c r="G7131" s="0" t="n">
        <v>8.3524</v>
      </c>
      <c r="H7131" s="0" t="n">
        <v>0.2</v>
      </c>
      <c r="I7131" s="7" t="n">
        <f aca="false">YEAR(B7131)</f>
        <v>2016</v>
      </c>
      <c r="J7131" s="0" t="str">
        <f aca="false">I7131&amp;"-Q"&amp;ROUNDUP(MONTH(B7131)/3,0)</f>
        <v>2016-Q2</v>
      </c>
    </row>
    <row r="7132" customFormat="false" ht="15" hidden="false" customHeight="false" outlineLevel="0" collapsed="false">
      <c r="A7132" s="0" t="s">
        <v>3622</v>
      </c>
      <c r="B7132" s="6" t="n">
        <v>42476</v>
      </c>
      <c r="C7132" s="7" t="s">
        <v>29</v>
      </c>
      <c r="D7132" s="7" t="s">
        <v>87</v>
      </c>
      <c r="E7132" s="7" t="s">
        <v>35</v>
      </c>
      <c r="F7132" s="0" t="n">
        <v>123.088</v>
      </c>
      <c r="G7132" s="0" t="n">
        <v>40.0036</v>
      </c>
      <c r="H7132" s="0" t="n">
        <v>0.2</v>
      </c>
      <c r="I7132" s="7" t="n">
        <f aca="false">YEAR(B7132)</f>
        <v>2016</v>
      </c>
      <c r="J7132" s="0" t="str">
        <f aca="false">I7132&amp;"-Q"&amp;ROUNDUP(MONTH(B7132)/3,0)</f>
        <v>2016-Q2</v>
      </c>
    </row>
    <row r="7133" customFormat="false" ht="15" hidden="false" customHeight="false" outlineLevel="0" collapsed="false">
      <c r="A7133" s="0" t="s">
        <v>3623</v>
      </c>
      <c r="B7133" s="6" t="n">
        <v>43065</v>
      </c>
      <c r="C7133" s="7" t="s">
        <v>45</v>
      </c>
      <c r="D7133" s="7" t="s">
        <v>74</v>
      </c>
      <c r="E7133" s="7" t="s">
        <v>31</v>
      </c>
      <c r="F7133" s="0" t="n">
        <v>257.94</v>
      </c>
      <c r="G7133" s="0" t="n">
        <v>67.0644</v>
      </c>
      <c r="H7133" s="0" t="n">
        <v>0</v>
      </c>
      <c r="I7133" s="7" t="n">
        <f aca="false">YEAR(B7133)</f>
        <v>2017</v>
      </c>
      <c r="J7133" s="0" t="str">
        <f aca="false">I7133&amp;"-Q"&amp;ROUNDUP(MONTH(B7133)/3,0)</f>
        <v>2017-Q4</v>
      </c>
    </row>
    <row r="7134" customFormat="false" ht="15" hidden="false" customHeight="false" outlineLevel="0" collapsed="false">
      <c r="A7134" s="0" t="s">
        <v>3623</v>
      </c>
      <c r="B7134" s="6" t="n">
        <v>43065</v>
      </c>
      <c r="C7134" s="7" t="s">
        <v>45</v>
      </c>
      <c r="D7134" s="7" t="s">
        <v>74</v>
      </c>
      <c r="E7134" s="7" t="s">
        <v>39</v>
      </c>
      <c r="F7134" s="0" t="n">
        <v>1879.96</v>
      </c>
      <c r="G7134" s="0" t="n">
        <v>545.1884</v>
      </c>
      <c r="H7134" s="0" t="n">
        <v>0</v>
      </c>
      <c r="I7134" s="7" t="n">
        <f aca="false">YEAR(B7134)</f>
        <v>2017</v>
      </c>
      <c r="J7134" s="0" t="str">
        <f aca="false">I7134&amp;"-Q"&amp;ROUNDUP(MONTH(B7134)/3,0)</f>
        <v>2017-Q4</v>
      </c>
    </row>
    <row r="7135" customFormat="false" ht="15" hidden="false" customHeight="false" outlineLevel="0" collapsed="false">
      <c r="A7135" s="0" t="s">
        <v>3623</v>
      </c>
      <c r="B7135" s="6" t="n">
        <v>43065</v>
      </c>
      <c r="C7135" s="7" t="s">
        <v>45</v>
      </c>
      <c r="D7135" s="7" t="s">
        <v>74</v>
      </c>
      <c r="E7135" s="7" t="s">
        <v>31</v>
      </c>
      <c r="F7135" s="0" t="n">
        <v>27.46</v>
      </c>
      <c r="G7135" s="0" t="n">
        <v>9.8856</v>
      </c>
      <c r="H7135" s="0" t="n">
        <v>0</v>
      </c>
      <c r="I7135" s="7" t="n">
        <f aca="false">YEAR(B7135)</f>
        <v>2017</v>
      </c>
      <c r="J7135" s="0" t="str">
        <f aca="false">I7135&amp;"-Q"&amp;ROUNDUP(MONTH(B7135)/3,0)</f>
        <v>2017-Q4</v>
      </c>
    </row>
    <row r="7136" customFormat="false" ht="15" hidden="false" customHeight="false" outlineLevel="0" collapsed="false">
      <c r="A7136" s="0" t="s">
        <v>3623</v>
      </c>
      <c r="B7136" s="6" t="n">
        <v>43065</v>
      </c>
      <c r="C7136" s="7" t="s">
        <v>45</v>
      </c>
      <c r="D7136" s="7" t="s">
        <v>74</v>
      </c>
      <c r="E7136" s="7" t="s">
        <v>39</v>
      </c>
      <c r="F7136" s="0" t="n">
        <v>89.98</v>
      </c>
      <c r="G7136" s="0" t="n">
        <v>43.1904</v>
      </c>
      <c r="H7136" s="0" t="n">
        <v>0</v>
      </c>
      <c r="I7136" s="7" t="n">
        <f aca="false">YEAR(B7136)</f>
        <v>2017</v>
      </c>
      <c r="J7136" s="0" t="str">
        <f aca="false">I7136&amp;"-Q"&amp;ROUNDUP(MONTH(B7136)/3,0)</f>
        <v>2017-Q4</v>
      </c>
    </row>
    <row r="7137" customFormat="false" ht="15" hidden="false" customHeight="false" outlineLevel="0" collapsed="false">
      <c r="A7137" s="0" t="s">
        <v>3623</v>
      </c>
      <c r="B7137" s="6" t="n">
        <v>43065</v>
      </c>
      <c r="C7137" s="7" t="s">
        <v>45</v>
      </c>
      <c r="D7137" s="7" t="s">
        <v>74</v>
      </c>
      <c r="E7137" s="7" t="s">
        <v>31</v>
      </c>
      <c r="F7137" s="0" t="n">
        <v>828.6</v>
      </c>
      <c r="G7137" s="0" t="n">
        <v>240.294</v>
      </c>
      <c r="H7137" s="0" t="n">
        <v>0</v>
      </c>
      <c r="I7137" s="7" t="n">
        <f aca="false">YEAR(B7137)</f>
        <v>2017</v>
      </c>
      <c r="J7137" s="0" t="str">
        <f aca="false">I7137&amp;"-Q"&amp;ROUNDUP(MONTH(B7137)/3,0)</f>
        <v>2017-Q4</v>
      </c>
    </row>
    <row r="7138" customFormat="false" ht="15" hidden="false" customHeight="false" outlineLevel="0" collapsed="false">
      <c r="A7138" s="0" t="s">
        <v>3624</v>
      </c>
      <c r="B7138" s="6" t="n">
        <v>42328</v>
      </c>
      <c r="C7138" s="7" t="s">
        <v>29</v>
      </c>
      <c r="D7138" s="7" t="s">
        <v>37</v>
      </c>
      <c r="E7138" s="7" t="s">
        <v>35</v>
      </c>
      <c r="F7138" s="0" t="n">
        <v>7.23</v>
      </c>
      <c r="G7138" s="0" t="n">
        <v>-5.784</v>
      </c>
      <c r="H7138" s="0" t="n">
        <v>0.7</v>
      </c>
      <c r="I7138" s="7" t="n">
        <f aca="false">YEAR(B7138)</f>
        <v>2015</v>
      </c>
      <c r="J7138" s="0" t="str">
        <f aca="false">I7138&amp;"-Q"&amp;ROUNDUP(MONTH(B7138)/3,0)</f>
        <v>2015-Q4</v>
      </c>
    </row>
    <row r="7139" customFormat="false" ht="15" hidden="false" customHeight="false" outlineLevel="0" collapsed="false">
      <c r="A7139" s="0" t="s">
        <v>3624</v>
      </c>
      <c r="B7139" s="6" t="n">
        <v>42328</v>
      </c>
      <c r="C7139" s="7" t="s">
        <v>29</v>
      </c>
      <c r="D7139" s="7" t="s">
        <v>37</v>
      </c>
      <c r="E7139" s="7" t="s">
        <v>35</v>
      </c>
      <c r="F7139" s="0" t="n">
        <v>17.44</v>
      </c>
      <c r="G7139" s="0" t="n">
        <v>1.308</v>
      </c>
      <c r="H7139" s="0" t="n">
        <v>0.2</v>
      </c>
      <c r="I7139" s="7" t="n">
        <f aca="false">YEAR(B7139)</f>
        <v>2015</v>
      </c>
      <c r="J7139" s="0" t="str">
        <f aca="false">I7139&amp;"-Q"&amp;ROUNDUP(MONTH(B7139)/3,0)</f>
        <v>2015-Q4</v>
      </c>
    </row>
    <row r="7140" customFormat="false" ht="15" hidden="false" customHeight="false" outlineLevel="0" collapsed="false">
      <c r="A7140" s="0" t="s">
        <v>3624</v>
      </c>
      <c r="B7140" s="6" t="n">
        <v>42328</v>
      </c>
      <c r="C7140" s="7" t="s">
        <v>29</v>
      </c>
      <c r="D7140" s="7" t="s">
        <v>37</v>
      </c>
      <c r="E7140" s="7" t="s">
        <v>35</v>
      </c>
      <c r="F7140" s="0" t="n">
        <v>62.88</v>
      </c>
      <c r="G7140" s="0" t="n">
        <v>-50.304</v>
      </c>
      <c r="H7140" s="0" t="n">
        <v>0.7</v>
      </c>
      <c r="I7140" s="7" t="n">
        <f aca="false">YEAR(B7140)</f>
        <v>2015</v>
      </c>
      <c r="J7140" s="0" t="str">
        <f aca="false">I7140&amp;"-Q"&amp;ROUNDUP(MONTH(B7140)/3,0)</f>
        <v>2015-Q4</v>
      </c>
    </row>
    <row r="7141" customFormat="false" ht="15" hidden="false" customHeight="false" outlineLevel="0" collapsed="false">
      <c r="A7141" s="0" t="s">
        <v>3624</v>
      </c>
      <c r="B7141" s="6" t="n">
        <v>42328</v>
      </c>
      <c r="C7141" s="7" t="s">
        <v>29</v>
      </c>
      <c r="D7141" s="7" t="s">
        <v>37</v>
      </c>
      <c r="E7141" s="7" t="s">
        <v>31</v>
      </c>
      <c r="F7141" s="0" t="n">
        <v>290.352</v>
      </c>
      <c r="G7141" s="0" t="n">
        <v>-36.294</v>
      </c>
      <c r="H7141" s="0" t="n">
        <v>0.2</v>
      </c>
      <c r="I7141" s="7" t="n">
        <f aca="false">YEAR(B7141)</f>
        <v>2015</v>
      </c>
      <c r="J7141" s="0" t="str">
        <f aca="false">I7141&amp;"-Q"&amp;ROUNDUP(MONTH(B7141)/3,0)</f>
        <v>2015-Q4</v>
      </c>
    </row>
    <row r="7142" customFormat="false" ht="15" hidden="false" customHeight="false" outlineLevel="0" collapsed="false">
      <c r="A7142" s="0" t="s">
        <v>3625</v>
      </c>
      <c r="B7142" s="6" t="n">
        <v>42985</v>
      </c>
      <c r="C7142" s="7" t="s">
        <v>45</v>
      </c>
      <c r="D7142" s="7" t="s">
        <v>129</v>
      </c>
      <c r="E7142" s="7" t="s">
        <v>39</v>
      </c>
      <c r="F7142" s="0" t="n">
        <v>113.52</v>
      </c>
      <c r="G7142" s="0" t="n">
        <v>46.5432</v>
      </c>
      <c r="H7142" s="0" t="n">
        <v>0</v>
      </c>
      <c r="I7142" s="7" t="n">
        <f aca="false">YEAR(B7142)</f>
        <v>2017</v>
      </c>
      <c r="J7142" s="0" t="str">
        <f aca="false">I7142&amp;"-Q"&amp;ROUNDUP(MONTH(B7142)/3,0)</f>
        <v>2017-Q3</v>
      </c>
    </row>
    <row r="7143" customFormat="false" ht="15" hidden="false" customHeight="false" outlineLevel="0" collapsed="false">
      <c r="A7143" s="0" t="s">
        <v>3625</v>
      </c>
      <c r="B7143" s="6" t="n">
        <v>42985</v>
      </c>
      <c r="C7143" s="7" t="s">
        <v>45</v>
      </c>
      <c r="D7143" s="7" t="s">
        <v>129</v>
      </c>
      <c r="E7143" s="7" t="s">
        <v>31</v>
      </c>
      <c r="F7143" s="0" t="n">
        <v>135.3</v>
      </c>
      <c r="G7143" s="0" t="n">
        <v>37.884</v>
      </c>
      <c r="H7143" s="0" t="n">
        <v>0</v>
      </c>
      <c r="I7143" s="7" t="n">
        <f aca="false">YEAR(B7143)</f>
        <v>2017</v>
      </c>
      <c r="J7143" s="0" t="str">
        <f aca="false">I7143&amp;"-Q"&amp;ROUNDUP(MONTH(B7143)/3,0)</f>
        <v>2017-Q3</v>
      </c>
    </row>
    <row r="7144" customFormat="false" ht="15" hidden="false" customHeight="false" outlineLevel="0" collapsed="false">
      <c r="A7144" s="0" t="s">
        <v>3626</v>
      </c>
      <c r="B7144" s="6" t="n">
        <v>41967</v>
      </c>
      <c r="C7144" s="7" t="s">
        <v>29</v>
      </c>
      <c r="D7144" s="7" t="s">
        <v>83</v>
      </c>
      <c r="E7144" s="7" t="s">
        <v>31</v>
      </c>
      <c r="F7144" s="0" t="n">
        <v>111.15</v>
      </c>
      <c r="G7144" s="0" t="n">
        <v>48.906</v>
      </c>
      <c r="H7144" s="0" t="n">
        <v>0</v>
      </c>
      <c r="I7144" s="7" t="n">
        <f aca="false">YEAR(B7144)</f>
        <v>2014</v>
      </c>
      <c r="J7144" s="0" t="str">
        <f aca="false">I7144&amp;"-Q"&amp;ROUNDUP(MONTH(B7144)/3,0)</f>
        <v>2014-Q4</v>
      </c>
    </row>
    <row r="7145" customFormat="false" ht="15" hidden="false" customHeight="false" outlineLevel="0" collapsed="false">
      <c r="A7145" s="0" t="s">
        <v>3627</v>
      </c>
      <c r="B7145" s="6" t="n">
        <v>42805</v>
      </c>
      <c r="C7145" s="7" t="s">
        <v>55</v>
      </c>
      <c r="D7145" s="7" t="s">
        <v>56</v>
      </c>
      <c r="E7145" s="7" t="s">
        <v>39</v>
      </c>
      <c r="F7145" s="0" t="n">
        <v>776.85</v>
      </c>
      <c r="G7145" s="0" t="n">
        <v>-181.265</v>
      </c>
      <c r="H7145" s="0" t="n">
        <v>0.4</v>
      </c>
      <c r="I7145" s="7" t="n">
        <f aca="false">YEAR(B7145)</f>
        <v>2017</v>
      </c>
      <c r="J7145" s="0" t="str">
        <f aca="false">I7145&amp;"-Q"&amp;ROUNDUP(MONTH(B7145)/3,0)</f>
        <v>2017-Q1</v>
      </c>
    </row>
    <row r="7146" customFormat="false" ht="15" hidden="false" customHeight="false" outlineLevel="0" collapsed="false">
      <c r="A7146" s="0" t="s">
        <v>3627</v>
      </c>
      <c r="B7146" s="6" t="n">
        <v>42805</v>
      </c>
      <c r="C7146" s="7" t="s">
        <v>55</v>
      </c>
      <c r="D7146" s="7" t="s">
        <v>56</v>
      </c>
      <c r="E7146" s="7" t="s">
        <v>35</v>
      </c>
      <c r="F7146" s="0" t="n">
        <v>12.294</v>
      </c>
      <c r="G7146" s="0" t="n">
        <v>-8.6058</v>
      </c>
      <c r="H7146" s="0" t="n">
        <v>0.7</v>
      </c>
      <c r="I7146" s="7" t="n">
        <f aca="false">YEAR(B7146)</f>
        <v>2017</v>
      </c>
      <c r="J7146" s="0" t="str">
        <f aca="false">I7146&amp;"-Q"&amp;ROUNDUP(MONTH(B7146)/3,0)</f>
        <v>2017-Q1</v>
      </c>
    </row>
    <row r="7147" customFormat="false" ht="15" hidden="false" customHeight="false" outlineLevel="0" collapsed="false">
      <c r="A7147" s="0" t="s">
        <v>3627</v>
      </c>
      <c r="B7147" s="6" t="n">
        <v>42805</v>
      </c>
      <c r="C7147" s="7" t="s">
        <v>55</v>
      </c>
      <c r="D7147" s="7" t="s">
        <v>56</v>
      </c>
      <c r="E7147" s="7" t="s">
        <v>31</v>
      </c>
      <c r="F7147" s="0" t="n">
        <v>154.764</v>
      </c>
      <c r="G7147" s="0" t="n">
        <v>-46.4292</v>
      </c>
      <c r="H7147" s="0" t="n">
        <v>0.4</v>
      </c>
      <c r="I7147" s="7" t="n">
        <f aca="false">YEAR(B7147)</f>
        <v>2017</v>
      </c>
      <c r="J7147" s="0" t="str">
        <f aca="false">I7147&amp;"-Q"&amp;ROUNDUP(MONTH(B7147)/3,0)</f>
        <v>2017-Q1</v>
      </c>
    </row>
    <row r="7148" customFormat="false" ht="15" hidden="false" customHeight="false" outlineLevel="0" collapsed="false">
      <c r="A7148" s="0" t="s">
        <v>3627</v>
      </c>
      <c r="B7148" s="6" t="n">
        <v>42805</v>
      </c>
      <c r="C7148" s="7" t="s">
        <v>55</v>
      </c>
      <c r="D7148" s="7" t="s">
        <v>56</v>
      </c>
      <c r="E7148" s="7" t="s">
        <v>35</v>
      </c>
      <c r="F7148" s="0" t="n">
        <v>43.28</v>
      </c>
      <c r="G7148" s="0" t="n">
        <v>3.246</v>
      </c>
      <c r="H7148" s="0" t="n">
        <v>0.2</v>
      </c>
      <c r="I7148" s="7" t="n">
        <f aca="false">YEAR(B7148)</f>
        <v>2017</v>
      </c>
      <c r="J7148" s="0" t="str">
        <f aca="false">I7148&amp;"-Q"&amp;ROUNDUP(MONTH(B7148)/3,0)</f>
        <v>2017-Q1</v>
      </c>
    </row>
    <row r="7149" customFormat="false" ht="15" hidden="false" customHeight="false" outlineLevel="0" collapsed="false">
      <c r="A7149" s="0" t="s">
        <v>3628</v>
      </c>
      <c r="B7149" s="6" t="n">
        <v>42533</v>
      </c>
      <c r="C7149" s="7" t="s">
        <v>55</v>
      </c>
      <c r="D7149" s="7" t="s">
        <v>76</v>
      </c>
      <c r="E7149" s="7" t="s">
        <v>35</v>
      </c>
      <c r="F7149" s="0" t="n">
        <v>92.94</v>
      </c>
      <c r="G7149" s="0" t="n">
        <v>41.823</v>
      </c>
      <c r="H7149" s="0" t="n">
        <v>0</v>
      </c>
      <c r="I7149" s="7" t="n">
        <f aca="false">YEAR(B7149)</f>
        <v>2016</v>
      </c>
      <c r="J7149" s="0" t="str">
        <f aca="false">I7149&amp;"-Q"&amp;ROUNDUP(MONTH(B7149)/3,0)</f>
        <v>2016-Q2</v>
      </c>
    </row>
    <row r="7150" customFormat="false" ht="15" hidden="false" customHeight="false" outlineLevel="0" collapsed="false">
      <c r="A7150" s="0" t="s">
        <v>3628</v>
      </c>
      <c r="B7150" s="6" t="n">
        <v>42533</v>
      </c>
      <c r="C7150" s="7" t="s">
        <v>55</v>
      </c>
      <c r="D7150" s="7" t="s">
        <v>76</v>
      </c>
      <c r="E7150" s="7" t="s">
        <v>35</v>
      </c>
      <c r="F7150" s="0" t="n">
        <v>52.56</v>
      </c>
      <c r="G7150" s="0" t="n">
        <v>18.396</v>
      </c>
      <c r="H7150" s="0" t="n">
        <v>0</v>
      </c>
      <c r="I7150" s="7" t="n">
        <f aca="false">YEAR(B7150)</f>
        <v>2016</v>
      </c>
      <c r="J7150" s="0" t="str">
        <f aca="false">I7150&amp;"-Q"&amp;ROUNDUP(MONTH(B7150)/3,0)</f>
        <v>2016-Q2</v>
      </c>
    </row>
    <row r="7151" customFormat="false" ht="15" hidden="false" customHeight="false" outlineLevel="0" collapsed="false">
      <c r="A7151" s="0" t="s">
        <v>3629</v>
      </c>
      <c r="B7151" s="6" t="n">
        <v>42181</v>
      </c>
      <c r="C7151" s="7" t="s">
        <v>45</v>
      </c>
      <c r="D7151" s="7" t="s">
        <v>46</v>
      </c>
      <c r="E7151" s="7" t="s">
        <v>39</v>
      </c>
      <c r="F7151" s="0" t="n">
        <v>971.88</v>
      </c>
      <c r="G7151" s="0" t="n">
        <v>109.3365</v>
      </c>
      <c r="H7151" s="0" t="n">
        <v>0.2</v>
      </c>
      <c r="I7151" s="7" t="n">
        <f aca="false">YEAR(B7151)</f>
        <v>2015</v>
      </c>
      <c r="J7151" s="0" t="str">
        <f aca="false">I7151&amp;"-Q"&amp;ROUNDUP(MONTH(B7151)/3,0)</f>
        <v>2015-Q2</v>
      </c>
    </row>
    <row r="7152" customFormat="false" ht="15" hidden="false" customHeight="false" outlineLevel="0" collapsed="false">
      <c r="A7152" s="0" t="s">
        <v>3630</v>
      </c>
      <c r="B7152" s="6" t="n">
        <v>43091</v>
      </c>
      <c r="C7152" s="7" t="s">
        <v>29</v>
      </c>
      <c r="D7152" s="7" t="s">
        <v>91</v>
      </c>
      <c r="E7152" s="7" t="s">
        <v>31</v>
      </c>
      <c r="F7152" s="0" t="n">
        <v>141.96</v>
      </c>
      <c r="G7152" s="0" t="n">
        <v>35.49</v>
      </c>
      <c r="H7152" s="0" t="n">
        <v>0</v>
      </c>
      <c r="I7152" s="7" t="n">
        <f aca="false">YEAR(B7152)</f>
        <v>2017</v>
      </c>
      <c r="J7152" s="0" t="str">
        <f aca="false">I7152&amp;"-Q"&amp;ROUNDUP(MONTH(B7152)/3,0)</f>
        <v>2017-Q4</v>
      </c>
    </row>
    <row r="7153" customFormat="false" ht="15" hidden="false" customHeight="false" outlineLevel="0" collapsed="false">
      <c r="A7153" s="0" t="s">
        <v>3631</v>
      </c>
      <c r="B7153" s="6" t="n">
        <v>43091</v>
      </c>
      <c r="C7153" s="7" t="s">
        <v>33</v>
      </c>
      <c r="D7153" s="7" t="s">
        <v>81</v>
      </c>
      <c r="E7153" s="7" t="s">
        <v>31</v>
      </c>
      <c r="F7153" s="0" t="n">
        <v>182.55</v>
      </c>
      <c r="G7153" s="0" t="n">
        <v>-135.087</v>
      </c>
      <c r="H7153" s="0" t="n">
        <v>0.5</v>
      </c>
      <c r="I7153" s="7" t="n">
        <f aca="false">YEAR(B7153)</f>
        <v>2017</v>
      </c>
      <c r="J7153" s="0" t="str">
        <f aca="false">I7153&amp;"-Q"&amp;ROUNDUP(MONTH(B7153)/3,0)</f>
        <v>2017-Q4</v>
      </c>
    </row>
    <row r="7154" customFormat="false" ht="15" hidden="false" customHeight="false" outlineLevel="0" collapsed="false">
      <c r="A7154" s="0" t="s">
        <v>3632</v>
      </c>
      <c r="B7154" s="6" t="n">
        <v>41921</v>
      </c>
      <c r="C7154" s="7" t="s">
        <v>29</v>
      </c>
      <c r="D7154" s="7" t="s">
        <v>41</v>
      </c>
      <c r="E7154" s="7" t="s">
        <v>35</v>
      </c>
      <c r="F7154" s="0" t="n">
        <v>88.768</v>
      </c>
      <c r="G7154" s="0" t="n">
        <v>31.0688</v>
      </c>
      <c r="H7154" s="0" t="n">
        <v>0.2</v>
      </c>
      <c r="I7154" s="7" t="n">
        <f aca="false">YEAR(B7154)</f>
        <v>2014</v>
      </c>
      <c r="J7154" s="0" t="str">
        <f aca="false">I7154&amp;"-Q"&amp;ROUNDUP(MONTH(B7154)/3,0)</f>
        <v>2014-Q4</v>
      </c>
    </row>
    <row r="7155" customFormat="false" ht="15" hidden="false" customHeight="false" outlineLevel="0" collapsed="false">
      <c r="A7155" s="0" t="s">
        <v>3633</v>
      </c>
      <c r="B7155" s="6" t="n">
        <v>42348</v>
      </c>
      <c r="C7155" s="7" t="s">
        <v>45</v>
      </c>
      <c r="D7155" s="7" t="s">
        <v>64</v>
      </c>
      <c r="E7155" s="7" t="s">
        <v>35</v>
      </c>
      <c r="F7155" s="0" t="n">
        <v>53.088</v>
      </c>
      <c r="G7155" s="0" t="n">
        <v>-108.8304</v>
      </c>
      <c r="H7155" s="0" t="n">
        <v>0.8</v>
      </c>
      <c r="I7155" s="7" t="n">
        <f aca="false">YEAR(B7155)</f>
        <v>2015</v>
      </c>
      <c r="J7155" s="0" t="str">
        <f aca="false">I7155&amp;"-Q"&amp;ROUNDUP(MONTH(B7155)/3,0)</f>
        <v>2015-Q4</v>
      </c>
    </row>
    <row r="7156" customFormat="false" ht="15" hidden="false" customHeight="false" outlineLevel="0" collapsed="false">
      <c r="A7156" s="0" t="s">
        <v>3634</v>
      </c>
      <c r="B7156" s="6" t="n">
        <v>42363</v>
      </c>
      <c r="C7156" s="7" t="s">
        <v>29</v>
      </c>
      <c r="D7156" s="7" t="s">
        <v>230</v>
      </c>
      <c r="E7156" s="7" t="s">
        <v>31</v>
      </c>
      <c r="F7156" s="0" t="n">
        <v>275.88</v>
      </c>
      <c r="G7156" s="0" t="n">
        <v>46.8996</v>
      </c>
      <c r="H7156" s="0" t="n">
        <v>0</v>
      </c>
      <c r="I7156" s="7" t="n">
        <f aca="false">YEAR(B7156)</f>
        <v>2015</v>
      </c>
      <c r="J7156" s="0" t="str">
        <f aca="false">I7156&amp;"-Q"&amp;ROUNDUP(MONTH(B7156)/3,0)</f>
        <v>2015-Q4</v>
      </c>
    </row>
    <row r="7157" customFormat="false" ht="15" hidden="false" customHeight="false" outlineLevel="0" collapsed="false">
      <c r="A7157" s="0" t="s">
        <v>3634</v>
      </c>
      <c r="B7157" s="6" t="n">
        <v>42363</v>
      </c>
      <c r="C7157" s="7" t="s">
        <v>29</v>
      </c>
      <c r="D7157" s="7" t="s">
        <v>230</v>
      </c>
      <c r="E7157" s="7" t="s">
        <v>35</v>
      </c>
      <c r="F7157" s="0" t="n">
        <v>157.9</v>
      </c>
      <c r="G7157" s="0" t="n">
        <v>74.213</v>
      </c>
      <c r="H7157" s="0" t="n">
        <v>0</v>
      </c>
      <c r="I7157" s="7" t="n">
        <f aca="false">YEAR(B7157)</f>
        <v>2015</v>
      </c>
      <c r="J7157" s="0" t="str">
        <f aca="false">I7157&amp;"-Q"&amp;ROUNDUP(MONTH(B7157)/3,0)</f>
        <v>2015-Q4</v>
      </c>
    </row>
    <row r="7158" customFormat="false" ht="15" hidden="false" customHeight="false" outlineLevel="0" collapsed="false">
      <c r="A7158" s="0" t="s">
        <v>3635</v>
      </c>
      <c r="B7158" s="6" t="n">
        <v>42854</v>
      </c>
      <c r="C7158" s="7" t="s">
        <v>55</v>
      </c>
      <c r="D7158" s="7" t="s">
        <v>161</v>
      </c>
      <c r="E7158" s="7" t="s">
        <v>35</v>
      </c>
      <c r="F7158" s="0" t="n">
        <v>4.91</v>
      </c>
      <c r="G7158" s="0" t="n">
        <v>2.4059</v>
      </c>
      <c r="H7158" s="0" t="n">
        <v>0</v>
      </c>
      <c r="I7158" s="7" t="n">
        <f aca="false">YEAR(B7158)</f>
        <v>2017</v>
      </c>
      <c r="J7158" s="0" t="str">
        <f aca="false">I7158&amp;"-Q"&amp;ROUNDUP(MONTH(B7158)/3,0)</f>
        <v>2017-Q2</v>
      </c>
    </row>
    <row r="7159" customFormat="false" ht="15" hidden="false" customHeight="false" outlineLevel="0" collapsed="false">
      <c r="A7159" s="0" t="s">
        <v>3636</v>
      </c>
      <c r="B7159" s="6" t="n">
        <v>42457</v>
      </c>
      <c r="C7159" s="7" t="s">
        <v>33</v>
      </c>
      <c r="D7159" s="7" t="s">
        <v>34</v>
      </c>
      <c r="E7159" s="7" t="s">
        <v>35</v>
      </c>
      <c r="F7159" s="0" t="n">
        <v>87.92</v>
      </c>
      <c r="G7159" s="0" t="n">
        <v>0.8792</v>
      </c>
      <c r="H7159" s="0" t="n">
        <v>0</v>
      </c>
      <c r="I7159" s="7" t="n">
        <f aca="false">YEAR(B7159)</f>
        <v>2016</v>
      </c>
      <c r="J7159" s="0" t="str">
        <f aca="false">I7159&amp;"-Q"&amp;ROUNDUP(MONTH(B7159)/3,0)</f>
        <v>2016-Q1</v>
      </c>
    </row>
    <row r="7160" customFormat="false" ht="15" hidden="false" customHeight="false" outlineLevel="0" collapsed="false">
      <c r="A7160" s="0" t="s">
        <v>3636</v>
      </c>
      <c r="B7160" s="6" t="n">
        <v>42457</v>
      </c>
      <c r="C7160" s="7" t="s">
        <v>33</v>
      </c>
      <c r="D7160" s="7" t="s">
        <v>34</v>
      </c>
      <c r="E7160" s="7" t="s">
        <v>35</v>
      </c>
      <c r="F7160" s="0" t="n">
        <v>5.98</v>
      </c>
      <c r="G7160" s="0" t="n">
        <v>2.9302</v>
      </c>
      <c r="H7160" s="0" t="n">
        <v>0</v>
      </c>
      <c r="I7160" s="7" t="n">
        <f aca="false">YEAR(B7160)</f>
        <v>2016</v>
      </c>
      <c r="J7160" s="0" t="str">
        <f aca="false">I7160&amp;"-Q"&amp;ROUNDUP(MONTH(B7160)/3,0)</f>
        <v>2016-Q1</v>
      </c>
    </row>
    <row r="7161" customFormat="false" ht="15" hidden="false" customHeight="false" outlineLevel="0" collapsed="false">
      <c r="A7161" s="0" t="s">
        <v>3637</v>
      </c>
      <c r="B7161" s="6" t="n">
        <v>42137</v>
      </c>
      <c r="C7161" s="7" t="s">
        <v>45</v>
      </c>
      <c r="D7161" s="7" t="s">
        <v>64</v>
      </c>
      <c r="E7161" s="7" t="s">
        <v>39</v>
      </c>
      <c r="F7161" s="0" t="n">
        <v>222.384</v>
      </c>
      <c r="G7161" s="0" t="n">
        <v>16.6788</v>
      </c>
      <c r="H7161" s="0" t="n">
        <v>0.2</v>
      </c>
      <c r="I7161" s="7" t="n">
        <f aca="false">YEAR(B7161)</f>
        <v>2015</v>
      </c>
      <c r="J7161" s="0" t="str">
        <f aca="false">I7161&amp;"-Q"&amp;ROUNDUP(MONTH(B7161)/3,0)</f>
        <v>2015-Q2</v>
      </c>
    </row>
    <row r="7162" customFormat="false" ht="15" hidden="false" customHeight="false" outlineLevel="0" collapsed="false">
      <c r="A7162" s="0" t="s">
        <v>3637</v>
      </c>
      <c r="B7162" s="6" t="n">
        <v>42137</v>
      </c>
      <c r="C7162" s="7" t="s">
        <v>45</v>
      </c>
      <c r="D7162" s="7" t="s">
        <v>64</v>
      </c>
      <c r="E7162" s="7" t="s">
        <v>35</v>
      </c>
      <c r="F7162" s="0" t="n">
        <v>16</v>
      </c>
      <c r="G7162" s="0" t="n">
        <v>5.6</v>
      </c>
      <c r="H7162" s="0" t="n">
        <v>0.2</v>
      </c>
      <c r="I7162" s="7" t="n">
        <f aca="false">YEAR(B7162)</f>
        <v>2015</v>
      </c>
      <c r="J7162" s="0" t="str">
        <f aca="false">I7162&amp;"-Q"&amp;ROUNDUP(MONTH(B7162)/3,0)</f>
        <v>2015-Q2</v>
      </c>
    </row>
    <row r="7163" customFormat="false" ht="15" hidden="false" customHeight="false" outlineLevel="0" collapsed="false">
      <c r="A7163" s="0" t="s">
        <v>3638</v>
      </c>
      <c r="B7163" s="6" t="n">
        <v>41824</v>
      </c>
      <c r="C7163" s="7" t="s">
        <v>29</v>
      </c>
      <c r="D7163" s="7" t="s">
        <v>83</v>
      </c>
      <c r="E7163" s="7" t="s">
        <v>35</v>
      </c>
      <c r="F7163" s="0" t="n">
        <v>21.84</v>
      </c>
      <c r="G7163" s="0" t="n">
        <v>10.92</v>
      </c>
      <c r="H7163" s="0" t="n">
        <v>0</v>
      </c>
      <c r="I7163" s="7" t="n">
        <f aca="false">YEAR(B7163)</f>
        <v>2014</v>
      </c>
      <c r="J7163" s="0" t="str">
        <f aca="false">I7163&amp;"-Q"&amp;ROUNDUP(MONTH(B7163)/3,0)</f>
        <v>2014-Q3</v>
      </c>
    </row>
    <row r="7164" customFormat="false" ht="15" hidden="false" customHeight="false" outlineLevel="0" collapsed="false">
      <c r="A7164" s="0" t="s">
        <v>3638</v>
      </c>
      <c r="B7164" s="6" t="n">
        <v>41824</v>
      </c>
      <c r="C7164" s="7" t="s">
        <v>29</v>
      </c>
      <c r="D7164" s="7" t="s">
        <v>83</v>
      </c>
      <c r="E7164" s="7" t="s">
        <v>35</v>
      </c>
      <c r="F7164" s="0" t="n">
        <v>15.6</v>
      </c>
      <c r="G7164" s="0" t="n">
        <v>7.644</v>
      </c>
      <c r="H7164" s="0" t="n">
        <v>0</v>
      </c>
      <c r="I7164" s="7" t="n">
        <f aca="false">YEAR(B7164)</f>
        <v>2014</v>
      </c>
      <c r="J7164" s="0" t="str">
        <f aca="false">I7164&amp;"-Q"&amp;ROUNDUP(MONTH(B7164)/3,0)</f>
        <v>2014-Q3</v>
      </c>
    </row>
    <row r="7165" customFormat="false" ht="15" hidden="false" customHeight="false" outlineLevel="0" collapsed="false">
      <c r="A7165" s="0" t="s">
        <v>3639</v>
      </c>
      <c r="B7165" s="6" t="n">
        <v>41751</v>
      </c>
      <c r="C7165" s="7" t="s">
        <v>55</v>
      </c>
      <c r="D7165" s="7" t="s">
        <v>76</v>
      </c>
      <c r="E7165" s="7" t="s">
        <v>35</v>
      </c>
      <c r="F7165" s="0" t="n">
        <v>247.84</v>
      </c>
      <c r="G7165" s="0" t="n">
        <v>121.4416</v>
      </c>
      <c r="H7165" s="0" t="n">
        <v>0</v>
      </c>
      <c r="I7165" s="7" t="n">
        <f aca="false">YEAR(B7165)</f>
        <v>2014</v>
      </c>
      <c r="J7165" s="0" t="str">
        <f aca="false">I7165&amp;"-Q"&amp;ROUNDUP(MONTH(B7165)/3,0)</f>
        <v>2014-Q2</v>
      </c>
    </row>
    <row r="7166" customFormat="false" ht="15" hidden="false" customHeight="false" outlineLevel="0" collapsed="false">
      <c r="A7166" s="0" t="s">
        <v>3639</v>
      </c>
      <c r="B7166" s="6" t="n">
        <v>41751</v>
      </c>
      <c r="C7166" s="7" t="s">
        <v>55</v>
      </c>
      <c r="D7166" s="7" t="s">
        <v>76</v>
      </c>
      <c r="E7166" s="7" t="s">
        <v>35</v>
      </c>
      <c r="F7166" s="0" t="n">
        <v>9.912</v>
      </c>
      <c r="G7166" s="0" t="n">
        <v>3.3453</v>
      </c>
      <c r="H7166" s="0" t="n">
        <v>0.2</v>
      </c>
      <c r="I7166" s="7" t="n">
        <f aca="false">YEAR(B7166)</f>
        <v>2014</v>
      </c>
      <c r="J7166" s="0" t="str">
        <f aca="false">I7166&amp;"-Q"&amp;ROUNDUP(MONTH(B7166)/3,0)</f>
        <v>2014-Q2</v>
      </c>
    </row>
    <row r="7167" customFormat="false" ht="15" hidden="false" customHeight="false" outlineLevel="0" collapsed="false">
      <c r="A7167" s="0" t="s">
        <v>3640</v>
      </c>
      <c r="B7167" s="6" t="n">
        <v>42632</v>
      </c>
      <c r="C7167" s="7" t="s">
        <v>55</v>
      </c>
      <c r="D7167" s="7" t="s">
        <v>250</v>
      </c>
      <c r="E7167" s="7" t="s">
        <v>35</v>
      </c>
      <c r="F7167" s="0" t="n">
        <v>69.52</v>
      </c>
      <c r="G7167" s="0" t="n">
        <v>17.38</v>
      </c>
      <c r="H7167" s="0" t="n">
        <v>0</v>
      </c>
      <c r="I7167" s="7" t="n">
        <f aca="false">YEAR(B7167)</f>
        <v>2016</v>
      </c>
      <c r="J7167" s="0" t="str">
        <f aca="false">I7167&amp;"-Q"&amp;ROUNDUP(MONTH(B7167)/3,0)</f>
        <v>2016-Q3</v>
      </c>
    </row>
    <row r="7168" customFormat="false" ht="15" hidden="false" customHeight="false" outlineLevel="0" collapsed="false">
      <c r="A7168" s="0" t="s">
        <v>3641</v>
      </c>
      <c r="B7168" s="6" t="n">
        <v>41842</v>
      </c>
      <c r="C7168" s="7" t="s">
        <v>33</v>
      </c>
      <c r="D7168" s="7" t="s">
        <v>34</v>
      </c>
      <c r="E7168" s="7" t="s">
        <v>35</v>
      </c>
      <c r="F7168" s="0" t="n">
        <v>11.52</v>
      </c>
      <c r="G7168" s="0" t="n">
        <v>3.2256</v>
      </c>
      <c r="H7168" s="0" t="n">
        <v>0</v>
      </c>
      <c r="I7168" s="7" t="n">
        <f aca="false">YEAR(B7168)</f>
        <v>2014</v>
      </c>
      <c r="J7168" s="0" t="str">
        <f aca="false">I7168&amp;"-Q"&amp;ROUNDUP(MONTH(B7168)/3,0)</f>
        <v>2014-Q3</v>
      </c>
    </row>
    <row r="7169" customFormat="false" ht="15" hidden="false" customHeight="false" outlineLevel="0" collapsed="false">
      <c r="A7169" s="0" t="s">
        <v>3641</v>
      </c>
      <c r="B7169" s="6" t="n">
        <v>41842</v>
      </c>
      <c r="C7169" s="7" t="s">
        <v>33</v>
      </c>
      <c r="D7169" s="7" t="s">
        <v>34</v>
      </c>
      <c r="E7169" s="7" t="s">
        <v>31</v>
      </c>
      <c r="F7169" s="0" t="n">
        <v>717.72</v>
      </c>
      <c r="G7169" s="0" t="n">
        <v>71.772</v>
      </c>
      <c r="H7169" s="0" t="n">
        <v>0.2</v>
      </c>
      <c r="I7169" s="7" t="n">
        <f aca="false">YEAR(B7169)</f>
        <v>2014</v>
      </c>
      <c r="J7169" s="0" t="str">
        <f aca="false">I7169&amp;"-Q"&amp;ROUNDUP(MONTH(B7169)/3,0)</f>
        <v>2014-Q3</v>
      </c>
    </row>
    <row r="7170" customFormat="false" ht="15" hidden="false" customHeight="false" outlineLevel="0" collapsed="false">
      <c r="A7170" s="0" t="s">
        <v>3641</v>
      </c>
      <c r="B7170" s="6" t="n">
        <v>41842</v>
      </c>
      <c r="C7170" s="7" t="s">
        <v>33</v>
      </c>
      <c r="D7170" s="7" t="s">
        <v>34</v>
      </c>
      <c r="E7170" s="7" t="s">
        <v>35</v>
      </c>
      <c r="F7170" s="0" t="n">
        <v>236.5</v>
      </c>
      <c r="G7170" s="0" t="n">
        <v>68.585</v>
      </c>
      <c r="H7170" s="0" t="n">
        <v>0</v>
      </c>
      <c r="I7170" s="7" t="n">
        <f aca="false">YEAR(B7170)</f>
        <v>2014</v>
      </c>
      <c r="J7170" s="0" t="str">
        <f aca="false">I7170&amp;"-Q"&amp;ROUNDUP(MONTH(B7170)/3,0)</f>
        <v>2014-Q3</v>
      </c>
    </row>
    <row r="7171" customFormat="false" ht="15" hidden="false" customHeight="false" outlineLevel="0" collapsed="false">
      <c r="A7171" s="0" t="s">
        <v>3641</v>
      </c>
      <c r="B7171" s="6" t="n">
        <v>41842</v>
      </c>
      <c r="C7171" s="7" t="s">
        <v>33</v>
      </c>
      <c r="D7171" s="7" t="s">
        <v>34</v>
      </c>
      <c r="E7171" s="7" t="s">
        <v>31</v>
      </c>
      <c r="F7171" s="0" t="n">
        <v>170.352</v>
      </c>
      <c r="G7171" s="0" t="n">
        <v>19.1646</v>
      </c>
      <c r="H7171" s="0" t="n">
        <v>0.2</v>
      </c>
      <c r="I7171" s="7" t="n">
        <f aca="false">YEAR(B7171)</f>
        <v>2014</v>
      </c>
      <c r="J7171" s="0" t="str">
        <f aca="false">I7171&amp;"-Q"&amp;ROUNDUP(MONTH(B7171)/3,0)</f>
        <v>2014-Q3</v>
      </c>
    </row>
    <row r="7172" customFormat="false" ht="15" hidden="false" customHeight="false" outlineLevel="0" collapsed="false">
      <c r="A7172" s="0" t="s">
        <v>3642</v>
      </c>
      <c r="B7172" s="6" t="n">
        <v>43016</v>
      </c>
      <c r="C7172" s="7" t="s">
        <v>55</v>
      </c>
      <c r="D7172" s="7" t="s">
        <v>76</v>
      </c>
      <c r="E7172" s="7" t="s">
        <v>31</v>
      </c>
      <c r="F7172" s="0" t="n">
        <v>145.764</v>
      </c>
      <c r="G7172" s="0" t="n">
        <v>3.2392</v>
      </c>
      <c r="H7172" s="0" t="n">
        <v>0.1</v>
      </c>
      <c r="I7172" s="7" t="n">
        <f aca="false">YEAR(B7172)</f>
        <v>2017</v>
      </c>
      <c r="J7172" s="0" t="str">
        <f aca="false">I7172&amp;"-Q"&amp;ROUNDUP(MONTH(B7172)/3,0)</f>
        <v>2017-Q4</v>
      </c>
    </row>
    <row r="7173" customFormat="false" ht="15" hidden="false" customHeight="false" outlineLevel="0" collapsed="false">
      <c r="A7173" s="0" t="s">
        <v>3643</v>
      </c>
      <c r="B7173" s="6" t="n">
        <v>42850</v>
      </c>
      <c r="C7173" s="7" t="s">
        <v>33</v>
      </c>
      <c r="D7173" s="7" t="s">
        <v>34</v>
      </c>
      <c r="E7173" s="7" t="s">
        <v>39</v>
      </c>
      <c r="F7173" s="0" t="n">
        <v>107.97</v>
      </c>
      <c r="G7173" s="0" t="n">
        <v>22.6737</v>
      </c>
      <c r="H7173" s="0" t="n">
        <v>0</v>
      </c>
      <c r="I7173" s="7" t="n">
        <f aca="false">YEAR(B7173)</f>
        <v>2017</v>
      </c>
      <c r="J7173" s="0" t="str">
        <f aca="false">I7173&amp;"-Q"&amp;ROUNDUP(MONTH(B7173)/3,0)</f>
        <v>2017-Q2</v>
      </c>
    </row>
    <row r="7174" customFormat="false" ht="15" hidden="false" customHeight="false" outlineLevel="0" collapsed="false">
      <c r="A7174" s="0" t="s">
        <v>3644</v>
      </c>
      <c r="B7174" s="6" t="n">
        <v>42820</v>
      </c>
      <c r="C7174" s="7" t="s">
        <v>45</v>
      </c>
      <c r="D7174" s="7" t="s">
        <v>46</v>
      </c>
      <c r="E7174" s="7" t="s">
        <v>39</v>
      </c>
      <c r="F7174" s="0" t="n">
        <v>143.96</v>
      </c>
      <c r="G7174" s="0" t="n">
        <v>1.7995</v>
      </c>
      <c r="H7174" s="0" t="n">
        <v>0.2</v>
      </c>
      <c r="I7174" s="7" t="n">
        <f aca="false">YEAR(B7174)</f>
        <v>2017</v>
      </c>
      <c r="J7174" s="0" t="str">
        <f aca="false">I7174&amp;"-Q"&amp;ROUNDUP(MONTH(B7174)/3,0)</f>
        <v>2017-Q1</v>
      </c>
    </row>
    <row r="7175" customFormat="false" ht="15" hidden="false" customHeight="false" outlineLevel="0" collapsed="false">
      <c r="A7175" s="0" t="s">
        <v>3644</v>
      </c>
      <c r="B7175" s="6" t="n">
        <v>42820</v>
      </c>
      <c r="C7175" s="7" t="s">
        <v>45</v>
      </c>
      <c r="D7175" s="7" t="s">
        <v>46</v>
      </c>
      <c r="E7175" s="7" t="s">
        <v>39</v>
      </c>
      <c r="F7175" s="0" t="n">
        <v>2399.96</v>
      </c>
      <c r="G7175" s="0" t="n">
        <v>569.9905</v>
      </c>
      <c r="H7175" s="0" t="n">
        <v>0.2</v>
      </c>
      <c r="I7175" s="7" t="n">
        <f aca="false">YEAR(B7175)</f>
        <v>2017</v>
      </c>
      <c r="J7175" s="0" t="str">
        <f aca="false">I7175&amp;"-Q"&amp;ROUNDUP(MONTH(B7175)/3,0)</f>
        <v>2017-Q1</v>
      </c>
    </row>
    <row r="7176" customFormat="false" ht="15" hidden="false" customHeight="false" outlineLevel="0" collapsed="false">
      <c r="A7176" s="0" t="s">
        <v>3644</v>
      </c>
      <c r="B7176" s="6" t="n">
        <v>42820</v>
      </c>
      <c r="C7176" s="7" t="s">
        <v>45</v>
      </c>
      <c r="D7176" s="7" t="s">
        <v>46</v>
      </c>
      <c r="E7176" s="7" t="s">
        <v>35</v>
      </c>
      <c r="F7176" s="0" t="n">
        <v>74.352</v>
      </c>
      <c r="G7176" s="0" t="n">
        <v>23.235</v>
      </c>
      <c r="H7176" s="0" t="n">
        <v>0.2</v>
      </c>
      <c r="I7176" s="7" t="n">
        <f aca="false">YEAR(B7176)</f>
        <v>2017</v>
      </c>
      <c r="J7176" s="0" t="str">
        <f aca="false">I7176&amp;"-Q"&amp;ROUNDUP(MONTH(B7176)/3,0)</f>
        <v>2017-Q1</v>
      </c>
    </row>
    <row r="7177" customFormat="false" ht="15" hidden="false" customHeight="false" outlineLevel="0" collapsed="false">
      <c r="A7177" s="0" t="s">
        <v>3644</v>
      </c>
      <c r="B7177" s="6" t="n">
        <v>42820</v>
      </c>
      <c r="C7177" s="7" t="s">
        <v>45</v>
      </c>
      <c r="D7177" s="7" t="s">
        <v>46</v>
      </c>
      <c r="E7177" s="7" t="s">
        <v>35</v>
      </c>
      <c r="F7177" s="0" t="n">
        <v>87.168</v>
      </c>
      <c r="G7177" s="0" t="n">
        <v>-226.6368</v>
      </c>
      <c r="H7177" s="0" t="n">
        <v>0.8</v>
      </c>
      <c r="I7177" s="7" t="n">
        <f aca="false">YEAR(B7177)</f>
        <v>2017</v>
      </c>
      <c r="J7177" s="0" t="str">
        <f aca="false">I7177&amp;"-Q"&amp;ROUNDUP(MONTH(B7177)/3,0)</f>
        <v>2017-Q1</v>
      </c>
    </row>
    <row r="7178" customFormat="false" ht="15" hidden="false" customHeight="false" outlineLevel="0" collapsed="false">
      <c r="A7178" s="0" t="s">
        <v>3644</v>
      </c>
      <c r="B7178" s="6" t="n">
        <v>42820</v>
      </c>
      <c r="C7178" s="7" t="s">
        <v>45</v>
      </c>
      <c r="D7178" s="7" t="s">
        <v>46</v>
      </c>
      <c r="E7178" s="7" t="s">
        <v>35</v>
      </c>
      <c r="F7178" s="0" t="n">
        <v>32.232</v>
      </c>
      <c r="G7178" s="0" t="n">
        <v>2.4174</v>
      </c>
      <c r="H7178" s="0" t="n">
        <v>0.2</v>
      </c>
      <c r="I7178" s="7" t="n">
        <f aca="false">YEAR(B7178)</f>
        <v>2017</v>
      </c>
      <c r="J7178" s="0" t="str">
        <f aca="false">I7178&amp;"-Q"&amp;ROUNDUP(MONTH(B7178)/3,0)</f>
        <v>2017-Q1</v>
      </c>
    </row>
    <row r="7179" customFormat="false" ht="15" hidden="false" customHeight="false" outlineLevel="0" collapsed="false">
      <c r="A7179" s="0" t="s">
        <v>3645</v>
      </c>
      <c r="B7179" s="6" t="n">
        <v>42859</v>
      </c>
      <c r="C7179" s="7" t="s">
        <v>55</v>
      </c>
      <c r="D7179" s="7" t="s">
        <v>56</v>
      </c>
      <c r="E7179" s="7" t="s">
        <v>35</v>
      </c>
      <c r="F7179" s="0" t="n">
        <v>2.202</v>
      </c>
      <c r="G7179" s="0" t="n">
        <v>-1.5414</v>
      </c>
      <c r="H7179" s="0" t="n">
        <v>0.7</v>
      </c>
      <c r="I7179" s="7" t="n">
        <f aca="false">YEAR(B7179)</f>
        <v>2017</v>
      </c>
      <c r="J7179" s="0" t="str">
        <f aca="false">I7179&amp;"-Q"&amp;ROUNDUP(MONTH(B7179)/3,0)</f>
        <v>2017-Q2</v>
      </c>
    </row>
    <row r="7180" customFormat="false" ht="15" hidden="false" customHeight="false" outlineLevel="0" collapsed="false">
      <c r="A7180" s="0" t="s">
        <v>3645</v>
      </c>
      <c r="B7180" s="6" t="n">
        <v>42859</v>
      </c>
      <c r="C7180" s="7" t="s">
        <v>55</v>
      </c>
      <c r="D7180" s="7" t="s">
        <v>56</v>
      </c>
      <c r="E7180" s="7" t="s">
        <v>35</v>
      </c>
      <c r="F7180" s="0" t="n">
        <v>9.396</v>
      </c>
      <c r="G7180" s="0" t="n">
        <v>-7.5168</v>
      </c>
      <c r="H7180" s="0" t="n">
        <v>0.7</v>
      </c>
      <c r="I7180" s="7" t="n">
        <f aca="false">YEAR(B7180)</f>
        <v>2017</v>
      </c>
      <c r="J7180" s="0" t="str">
        <f aca="false">I7180&amp;"-Q"&amp;ROUNDUP(MONTH(B7180)/3,0)</f>
        <v>2017-Q2</v>
      </c>
    </row>
    <row r="7181" customFormat="false" ht="15" hidden="false" customHeight="false" outlineLevel="0" collapsed="false">
      <c r="A7181" s="0" t="s">
        <v>3646</v>
      </c>
      <c r="B7181" s="6" t="n">
        <v>42688</v>
      </c>
      <c r="C7181" s="7" t="s">
        <v>55</v>
      </c>
      <c r="D7181" s="7" t="s">
        <v>495</v>
      </c>
      <c r="E7181" s="7" t="s">
        <v>39</v>
      </c>
      <c r="F7181" s="0" t="n">
        <v>89.97</v>
      </c>
      <c r="G7181" s="0" t="n">
        <v>25.1916</v>
      </c>
      <c r="H7181" s="0" t="n">
        <v>0</v>
      </c>
      <c r="I7181" s="7" t="n">
        <f aca="false">YEAR(B7181)</f>
        <v>2016</v>
      </c>
      <c r="J7181" s="0" t="str">
        <f aca="false">I7181&amp;"-Q"&amp;ROUNDUP(MONTH(B7181)/3,0)</f>
        <v>2016-Q4</v>
      </c>
    </row>
    <row r="7182" customFormat="false" ht="15" hidden="false" customHeight="false" outlineLevel="0" collapsed="false">
      <c r="A7182" s="0" t="s">
        <v>3647</v>
      </c>
      <c r="B7182" s="6" t="n">
        <v>41645</v>
      </c>
      <c r="C7182" s="7" t="s">
        <v>29</v>
      </c>
      <c r="D7182" s="7" t="s">
        <v>230</v>
      </c>
      <c r="E7182" s="7" t="s">
        <v>35</v>
      </c>
      <c r="F7182" s="0" t="n">
        <v>12.78</v>
      </c>
      <c r="G7182" s="0" t="n">
        <v>5.2398</v>
      </c>
      <c r="H7182" s="0" t="n">
        <v>0</v>
      </c>
      <c r="I7182" s="7" t="n">
        <f aca="false">YEAR(B7182)</f>
        <v>2014</v>
      </c>
      <c r="J7182" s="0" t="str">
        <f aca="false">I7182&amp;"-Q"&amp;ROUNDUP(MONTH(B7182)/3,0)</f>
        <v>2014-Q1</v>
      </c>
    </row>
    <row r="7183" customFormat="false" ht="15" hidden="false" customHeight="false" outlineLevel="0" collapsed="false">
      <c r="A7183" s="0" t="s">
        <v>3648</v>
      </c>
      <c r="B7183" s="6" t="n">
        <v>42731</v>
      </c>
      <c r="C7183" s="7" t="s">
        <v>55</v>
      </c>
      <c r="D7183" s="7" t="s">
        <v>116</v>
      </c>
      <c r="E7183" s="7" t="s">
        <v>39</v>
      </c>
      <c r="F7183" s="0" t="n">
        <v>40</v>
      </c>
      <c r="G7183" s="0" t="n">
        <v>0.5</v>
      </c>
      <c r="H7183" s="0" t="n">
        <v>0.2</v>
      </c>
      <c r="I7183" s="7" t="n">
        <f aca="false">YEAR(B7183)</f>
        <v>2016</v>
      </c>
      <c r="J7183" s="0" t="str">
        <f aca="false">I7183&amp;"-Q"&amp;ROUNDUP(MONTH(B7183)/3,0)</f>
        <v>2016-Q4</v>
      </c>
    </row>
    <row r="7184" customFormat="false" ht="15" hidden="false" customHeight="false" outlineLevel="0" collapsed="false">
      <c r="A7184" s="0" t="s">
        <v>3649</v>
      </c>
      <c r="B7184" s="6" t="n">
        <v>42855</v>
      </c>
      <c r="C7184" s="7" t="s">
        <v>33</v>
      </c>
      <c r="D7184" s="7" t="s">
        <v>34</v>
      </c>
      <c r="E7184" s="7" t="s">
        <v>35</v>
      </c>
      <c r="F7184" s="0" t="n">
        <v>23.24</v>
      </c>
      <c r="G7184" s="0" t="n">
        <v>7.553</v>
      </c>
      <c r="H7184" s="0" t="n">
        <v>0.2</v>
      </c>
      <c r="I7184" s="7" t="n">
        <f aca="false">YEAR(B7184)</f>
        <v>2017</v>
      </c>
      <c r="J7184" s="0" t="str">
        <f aca="false">I7184&amp;"-Q"&amp;ROUNDUP(MONTH(B7184)/3,0)</f>
        <v>2017-Q2</v>
      </c>
    </row>
    <row r="7185" customFormat="false" ht="15" hidden="false" customHeight="false" outlineLevel="0" collapsed="false">
      <c r="A7185" s="0" t="s">
        <v>3650</v>
      </c>
      <c r="B7185" s="6" t="n">
        <v>42846</v>
      </c>
      <c r="C7185" s="7" t="s">
        <v>55</v>
      </c>
      <c r="D7185" s="7" t="s">
        <v>495</v>
      </c>
      <c r="E7185" s="7" t="s">
        <v>31</v>
      </c>
      <c r="F7185" s="0" t="n">
        <v>908.82</v>
      </c>
      <c r="G7185" s="0" t="n">
        <v>227.205</v>
      </c>
      <c r="H7185" s="0" t="n">
        <v>0</v>
      </c>
      <c r="I7185" s="7" t="n">
        <f aca="false">YEAR(B7185)</f>
        <v>2017</v>
      </c>
      <c r="J7185" s="0" t="str">
        <f aca="false">I7185&amp;"-Q"&amp;ROUNDUP(MONTH(B7185)/3,0)</f>
        <v>2017-Q2</v>
      </c>
    </row>
    <row r="7186" customFormat="false" ht="15" hidden="false" customHeight="false" outlineLevel="0" collapsed="false">
      <c r="A7186" s="0" t="s">
        <v>3651</v>
      </c>
      <c r="B7186" s="6" t="n">
        <v>42964</v>
      </c>
      <c r="C7186" s="7" t="s">
        <v>45</v>
      </c>
      <c r="D7186" s="7" t="s">
        <v>46</v>
      </c>
      <c r="E7186" s="7" t="s">
        <v>35</v>
      </c>
      <c r="F7186" s="0" t="n">
        <v>5.552</v>
      </c>
      <c r="G7186" s="0" t="n">
        <v>-1.041</v>
      </c>
      <c r="H7186" s="0" t="n">
        <v>0.2</v>
      </c>
      <c r="I7186" s="7" t="n">
        <f aca="false">YEAR(B7186)</f>
        <v>2017</v>
      </c>
      <c r="J7186" s="0" t="str">
        <f aca="false">I7186&amp;"-Q"&amp;ROUNDUP(MONTH(B7186)/3,0)</f>
        <v>2017-Q3</v>
      </c>
    </row>
    <row r="7187" customFormat="false" ht="15" hidden="false" customHeight="false" outlineLevel="0" collapsed="false">
      <c r="A7187" s="0" t="s">
        <v>3651</v>
      </c>
      <c r="B7187" s="6" t="n">
        <v>42964</v>
      </c>
      <c r="C7187" s="7" t="s">
        <v>45</v>
      </c>
      <c r="D7187" s="7" t="s">
        <v>46</v>
      </c>
      <c r="E7187" s="7" t="s">
        <v>35</v>
      </c>
      <c r="F7187" s="0" t="n">
        <v>8.016</v>
      </c>
      <c r="G7187" s="0" t="n">
        <v>1.002</v>
      </c>
      <c r="H7187" s="0" t="n">
        <v>0.2</v>
      </c>
      <c r="I7187" s="7" t="n">
        <f aca="false">YEAR(B7187)</f>
        <v>2017</v>
      </c>
      <c r="J7187" s="0" t="str">
        <f aca="false">I7187&amp;"-Q"&amp;ROUNDUP(MONTH(B7187)/3,0)</f>
        <v>2017-Q3</v>
      </c>
    </row>
    <row r="7188" customFormat="false" ht="15" hidden="false" customHeight="false" outlineLevel="0" collapsed="false">
      <c r="A7188" s="0" t="s">
        <v>3651</v>
      </c>
      <c r="B7188" s="6" t="n">
        <v>42964</v>
      </c>
      <c r="C7188" s="7" t="s">
        <v>45</v>
      </c>
      <c r="D7188" s="7" t="s">
        <v>46</v>
      </c>
      <c r="E7188" s="7" t="s">
        <v>31</v>
      </c>
      <c r="F7188" s="0" t="n">
        <v>74.592</v>
      </c>
      <c r="G7188" s="0" t="n">
        <v>-2.1312</v>
      </c>
      <c r="H7188" s="0" t="n">
        <v>0.3</v>
      </c>
      <c r="I7188" s="7" t="n">
        <f aca="false">YEAR(B7188)</f>
        <v>2017</v>
      </c>
      <c r="J7188" s="0" t="str">
        <f aca="false">I7188&amp;"-Q"&amp;ROUNDUP(MONTH(B7188)/3,0)</f>
        <v>2017-Q3</v>
      </c>
    </row>
    <row r="7189" customFormat="false" ht="15" hidden="false" customHeight="false" outlineLevel="0" collapsed="false">
      <c r="A7189" s="0" t="s">
        <v>3651</v>
      </c>
      <c r="B7189" s="6" t="n">
        <v>42964</v>
      </c>
      <c r="C7189" s="7" t="s">
        <v>45</v>
      </c>
      <c r="D7189" s="7" t="s">
        <v>46</v>
      </c>
      <c r="E7189" s="7" t="s">
        <v>31</v>
      </c>
      <c r="F7189" s="0" t="n">
        <v>16.784</v>
      </c>
      <c r="G7189" s="0" t="n">
        <v>-22.2388</v>
      </c>
      <c r="H7189" s="0" t="n">
        <v>0.6</v>
      </c>
      <c r="I7189" s="7" t="n">
        <f aca="false">YEAR(B7189)</f>
        <v>2017</v>
      </c>
      <c r="J7189" s="0" t="str">
        <f aca="false">I7189&amp;"-Q"&amp;ROUNDUP(MONTH(B7189)/3,0)</f>
        <v>2017-Q3</v>
      </c>
    </row>
    <row r="7190" customFormat="false" ht="15" hidden="false" customHeight="false" outlineLevel="0" collapsed="false">
      <c r="A7190" s="0" t="s">
        <v>3651</v>
      </c>
      <c r="B7190" s="6" t="n">
        <v>42964</v>
      </c>
      <c r="C7190" s="7" t="s">
        <v>45</v>
      </c>
      <c r="D7190" s="7" t="s">
        <v>46</v>
      </c>
      <c r="E7190" s="7" t="s">
        <v>35</v>
      </c>
      <c r="F7190" s="0" t="n">
        <v>38.864</v>
      </c>
      <c r="G7190" s="0" t="n">
        <v>-99.1032</v>
      </c>
      <c r="H7190" s="0" t="n">
        <v>0.8</v>
      </c>
      <c r="I7190" s="7" t="n">
        <f aca="false">YEAR(B7190)</f>
        <v>2017</v>
      </c>
      <c r="J7190" s="0" t="str">
        <f aca="false">I7190&amp;"-Q"&amp;ROUNDUP(MONTH(B7190)/3,0)</f>
        <v>2017-Q3</v>
      </c>
    </row>
    <row r="7191" customFormat="false" ht="15" hidden="false" customHeight="false" outlineLevel="0" collapsed="false">
      <c r="A7191" s="0" t="s">
        <v>3652</v>
      </c>
      <c r="B7191" s="6" t="n">
        <v>42686</v>
      </c>
      <c r="C7191" s="7" t="s">
        <v>33</v>
      </c>
      <c r="D7191" s="7" t="s">
        <v>34</v>
      </c>
      <c r="E7191" s="7" t="s">
        <v>39</v>
      </c>
      <c r="F7191" s="0" t="n">
        <v>203.976</v>
      </c>
      <c r="G7191" s="0" t="n">
        <v>25.497</v>
      </c>
      <c r="H7191" s="0" t="n">
        <v>0.2</v>
      </c>
      <c r="I7191" s="7" t="n">
        <f aca="false">YEAR(B7191)</f>
        <v>2016</v>
      </c>
      <c r="J7191" s="0" t="str">
        <f aca="false">I7191&amp;"-Q"&amp;ROUNDUP(MONTH(B7191)/3,0)</f>
        <v>2016-Q4</v>
      </c>
    </row>
    <row r="7192" customFormat="false" ht="15" hidden="false" customHeight="false" outlineLevel="0" collapsed="false">
      <c r="A7192" s="0" t="s">
        <v>3652</v>
      </c>
      <c r="B7192" s="6" t="n">
        <v>42686</v>
      </c>
      <c r="C7192" s="7" t="s">
        <v>33</v>
      </c>
      <c r="D7192" s="7" t="s">
        <v>34</v>
      </c>
      <c r="E7192" s="7" t="s">
        <v>31</v>
      </c>
      <c r="F7192" s="0" t="n">
        <v>674.352</v>
      </c>
      <c r="G7192" s="0" t="n">
        <v>-8.4294</v>
      </c>
      <c r="H7192" s="0" t="n">
        <v>0.2</v>
      </c>
      <c r="I7192" s="7" t="n">
        <f aca="false">YEAR(B7192)</f>
        <v>2016</v>
      </c>
      <c r="J7192" s="0" t="str">
        <f aca="false">I7192&amp;"-Q"&amp;ROUNDUP(MONTH(B7192)/3,0)</f>
        <v>2016-Q4</v>
      </c>
    </row>
    <row r="7193" customFormat="false" ht="15" hidden="false" customHeight="false" outlineLevel="0" collapsed="false">
      <c r="A7193" s="0" t="s">
        <v>3653</v>
      </c>
      <c r="B7193" s="6" t="n">
        <v>42644</v>
      </c>
      <c r="C7193" s="7" t="s">
        <v>29</v>
      </c>
      <c r="D7193" s="7" t="s">
        <v>37</v>
      </c>
      <c r="E7193" s="7" t="s">
        <v>35</v>
      </c>
      <c r="F7193" s="0" t="n">
        <v>5.388</v>
      </c>
      <c r="G7193" s="0" t="n">
        <v>-4.49</v>
      </c>
      <c r="H7193" s="0" t="n">
        <v>0.7</v>
      </c>
      <c r="I7193" s="7" t="n">
        <f aca="false">YEAR(B7193)</f>
        <v>2016</v>
      </c>
      <c r="J7193" s="0" t="str">
        <f aca="false">I7193&amp;"-Q"&amp;ROUNDUP(MONTH(B7193)/3,0)</f>
        <v>2016-Q4</v>
      </c>
    </row>
    <row r="7194" customFormat="false" ht="15" hidden="false" customHeight="false" outlineLevel="0" collapsed="false">
      <c r="A7194" s="0" t="s">
        <v>3653</v>
      </c>
      <c r="B7194" s="6" t="n">
        <v>42644</v>
      </c>
      <c r="C7194" s="7" t="s">
        <v>29</v>
      </c>
      <c r="D7194" s="7" t="s">
        <v>37</v>
      </c>
      <c r="E7194" s="7" t="s">
        <v>35</v>
      </c>
      <c r="F7194" s="0" t="n">
        <v>30.976</v>
      </c>
      <c r="G7194" s="0" t="n">
        <v>5.0336</v>
      </c>
      <c r="H7194" s="0" t="n">
        <v>0.2</v>
      </c>
      <c r="I7194" s="7" t="n">
        <f aca="false">YEAR(B7194)</f>
        <v>2016</v>
      </c>
      <c r="J7194" s="0" t="str">
        <f aca="false">I7194&amp;"-Q"&amp;ROUNDUP(MONTH(B7194)/3,0)</f>
        <v>2016-Q4</v>
      </c>
    </row>
    <row r="7195" customFormat="false" ht="15" hidden="false" customHeight="false" outlineLevel="0" collapsed="false">
      <c r="A7195" s="0" t="s">
        <v>3654</v>
      </c>
      <c r="B7195" s="6" t="n">
        <v>42412</v>
      </c>
      <c r="C7195" s="7" t="s">
        <v>29</v>
      </c>
      <c r="D7195" s="7" t="s">
        <v>230</v>
      </c>
      <c r="E7195" s="7" t="s">
        <v>35</v>
      </c>
      <c r="F7195" s="0" t="n">
        <v>1350.12</v>
      </c>
      <c r="G7195" s="0" t="n">
        <v>175.5156</v>
      </c>
      <c r="H7195" s="0" t="n">
        <v>0</v>
      </c>
      <c r="I7195" s="7" t="n">
        <f aca="false">YEAR(B7195)</f>
        <v>2016</v>
      </c>
      <c r="J7195" s="0" t="str">
        <f aca="false">I7195&amp;"-Q"&amp;ROUNDUP(MONTH(B7195)/3,0)</f>
        <v>2016-Q1</v>
      </c>
    </row>
    <row r="7196" customFormat="false" ht="15" hidden="false" customHeight="false" outlineLevel="0" collapsed="false">
      <c r="A7196" s="0" t="s">
        <v>3654</v>
      </c>
      <c r="B7196" s="6" t="n">
        <v>42412</v>
      </c>
      <c r="C7196" s="7" t="s">
        <v>29</v>
      </c>
      <c r="D7196" s="7" t="s">
        <v>230</v>
      </c>
      <c r="E7196" s="7" t="s">
        <v>35</v>
      </c>
      <c r="F7196" s="0" t="n">
        <v>15.92</v>
      </c>
      <c r="G7196" s="0" t="n">
        <v>7.4824</v>
      </c>
      <c r="H7196" s="0" t="n">
        <v>0</v>
      </c>
      <c r="I7196" s="7" t="n">
        <f aca="false">YEAR(B7196)</f>
        <v>2016</v>
      </c>
      <c r="J7196" s="0" t="str">
        <f aca="false">I7196&amp;"-Q"&amp;ROUNDUP(MONTH(B7196)/3,0)</f>
        <v>2016-Q1</v>
      </c>
    </row>
    <row r="7197" customFormat="false" ht="15" hidden="false" customHeight="false" outlineLevel="0" collapsed="false">
      <c r="A7197" s="0" t="s">
        <v>3655</v>
      </c>
      <c r="B7197" s="6" t="n">
        <v>42687</v>
      </c>
      <c r="C7197" s="7" t="s">
        <v>33</v>
      </c>
      <c r="D7197" s="7" t="s">
        <v>43</v>
      </c>
      <c r="E7197" s="7" t="s">
        <v>31</v>
      </c>
      <c r="F7197" s="0" t="n">
        <v>19.54</v>
      </c>
      <c r="G7197" s="0" t="n">
        <v>7.2298</v>
      </c>
      <c r="H7197" s="0" t="n">
        <v>0</v>
      </c>
      <c r="I7197" s="7" t="n">
        <f aca="false">YEAR(B7197)</f>
        <v>2016</v>
      </c>
      <c r="J7197" s="0" t="str">
        <f aca="false">I7197&amp;"-Q"&amp;ROUNDUP(MONTH(B7197)/3,0)</f>
        <v>2016-Q4</v>
      </c>
    </row>
    <row r="7198" customFormat="false" ht="15" hidden="false" customHeight="false" outlineLevel="0" collapsed="false">
      <c r="A7198" s="0" t="s">
        <v>3656</v>
      </c>
      <c r="B7198" s="6" t="n">
        <v>41755</v>
      </c>
      <c r="C7198" s="7" t="s">
        <v>33</v>
      </c>
      <c r="D7198" s="7" t="s">
        <v>34</v>
      </c>
      <c r="E7198" s="7" t="s">
        <v>35</v>
      </c>
      <c r="F7198" s="0" t="n">
        <v>21.4</v>
      </c>
      <c r="G7198" s="0" t="n">
        <v>6.206</v>
      </c>
      <c r="H7198" s="0" t="n">
        <v>0</v>
      </c>
      <c r="I7198" s="7" t="n">
        <f aca="false">YEAR(B7198)</f>
        <v>2014</v>
      </c>
      <c r="J7198" s="0" t="str">
        <f aca="false">I7198&amp;"-Q"&amp;ROUNDUP(MONTH(B7198)/3,0)</f>
        <v>2014-Q2</v>
      </c>
    </row>
    <row r="7199" customFormat="false" ht="15" hidden="false" customHeight="false" outlineLevel="0" collapsed="false">
      <c r="A7199" s="0" t="s">
        <v>3656</v>
      </c>
      <c r="B7199" s="6" t="n">
        <v>41755</v>
      </c>
      <c r="C7199" s="7" t="s">
        <v>33</v>
      </c>
      <c r="D7199" s="7" t="s">
        <v>34</v>
      </c>
      <c r="E7199" s="7" t="s">
        <v>35</v>
      </c>
      <c r="F7199" s="0" t="n">
        <v>12.6</v>
      </c>
      <c r="G7199" s="0" t="n">
        <v>5.796</v>
      </c>
      <c r="H7199" s="0" t="n">
        <v>0</v>
      </c>
      <c r="I7199" s="7" t="n">
        <f aca="false">YEAR(B7199)</f>
        <v>2014</v>
      </c>
      <c r="J7199" s="0" t="str">
        <f aca="false">I7199&amp;"-Q"&amp;ROUNDUP(MONTH(B7199)/3,0)</f>
        <v>2014-Q2</v>
      </c>
    </row>
    <row r="7200" customFormat="false" ht="15" hidden="false" customHeight="false" outlineLevel="0" collapsed="false">
      <c r="A7200" s="0" t="s">
        <v>3657</v>
      </c>
      <c r="B7200" s="6" t="n">
        <v>42227</v>
      </c>
      <c r="C7200" s="7" t="s">
        <v>55</v>
      </c>
      <c r="D7200" s="7" t="s">
        <v>76</v>
      </c>
      <c r="E7200" s="7" t="s">
        <v>35</v>
      </c>
      <c r="F7200" s="0" t="n">
        <v>11.96</v>
      </c>
      <c r="G7200" s="0" t="n">
        <v>3.1096</v>
      </c>
      <c r="H7200" s="0" t="n">
        <v>0</v>
      </c>
      <c r="I7200" s="7" t="n">
        <f aca="false">YEAR(B7200)</f>
        <v>2015</v>
      </c>
      <c r="J7200" s="0" t="str">
        <f aca="false">I7200&amp;"-Q"&amp;ROUNDUP(MONTH(B7200)/3,0)</f>
        <v>2015-Q3</v>
      </c>
    </row>
    <row r="7201" customFormat="false" ht="15" hidden="false" customHeight="false" outlineLevel="0" collapsed="false">
      <c r="A7201" s="0" t="s">
        <v>3657</v>
      </c>
      <c r="B7201" s="6" t="n">
        <v>42227</v>
      </c>
      <c r="C7201" s="7" t="s">
        <v>55</v>
      </c>
      <c r="D7201" s="7" t="s">
        <v>76</v>
      </c>
      <c r="E7201" s="7" t="s">
        <v>39</v>
      </c>
      <c r="F7201" s="0" t="n">
        <v>138</v>
      </c>
      <c r="G7201" s="0" t="n">
        <v>34.5</v>
      </c>
      <c r="H7201" s="0" t="n">
        <v>0</v>
      </c>
      <c r="I7201" s="7" t="n">
        <f aca="false">YEAR(B7201)</f>
        <v>2015</v>
      </c>
      <c r="J7201" s="0" t="str">
        <f aca="false">I7201&amp;"-Q"&amp;ROUNDUP(MONTH(B7201)/3,0)</f>
        <v>2015-Q3</v>
      </c>
    </row>
    <row r="7202" customFormat="false" ht="15" hidden="false" customHeight="false" outlineLevel="0" collapsed="false">
      <c r="A7202" s="0" t="s">
        <v>3658</v>
      </c>
      <c r="B7202" s="6" t="n">
        <v>42701</v>
      </c>
      <c r="C7202" s="7" t="s">
        <v>29</v>
      </c>
      <c r="D7202" s="7" t="s">
        <v>37</v>
      </c>
      <c r="E7202" s="7" t="s">
        <v>39</v>
      </c>
      <c r="F7202" s="0" t="n">
        <v>116.76</v>
      </c>
      <c r="G7202" s="0" t="n">
        <v>14.595</v>
      </c>
      <c r="H7202" s="0" t="n">
        <v>0.2</v>
      </c>
      <c r="I7202" s="7" t="n">
        <f aca="false">YEAR(B7202)</f>
        <v>2016</v>
      </c>
      <c r="J7202" s="0" t="str">
        <f aca="false">I7202&amp;"-Q"&amp;ROUNDUP(MONTH(B7202)/3,0)</f>
        <v>2016-Q4</v>
      </c>
    </row>
    <row r="7203" customFormat="false" ht="15" hidden="false" customHeight="false" outlineLevel="0" collapsed="false">
      <c r="A7203" s="0" t="s">
        <v>3658</v>
      </c>
      <c r="B7203" s="6" t="n">
        <v>42701</v>
      </c>
      <c r="C7203" s="7" t="s">
        <v>29</v>
      </c>
      <c r="D7203" s="7" t="s">
        <v>37</v>
      </c>
      <c r="E7203" s="7" t="s">
        <v>31</v>
      </c>
      <c r="F7203" s="0" t="n">
        <v>331.023</v>
      </c>
      <c r="G7203" s="0" t="n">
        <v>-114.3534</v>
      </c>
      <c r="H7203" s="0" t="n">
        <v>0.45</v>
      </c>
      <c r="I7203" s="7" t="n">
        <f aca="false">YEAR(B7203)</f>
        <v>2016</v>
      </c>
      <c r="J7203" s="0" t="str">
        <f aca="false">I7203&amp;"-Q"&amp;ROUNDUP(MONTH(B7203)/3,0)</f>
        <v>2016-Q4</v>
      </c>
    </row>
    <row r="7204" customFormat="false" ht="15" hidden="false" customHeight="false" outlineLevel="0" collapsed="false">
      <c r="A7204" s="0" t="s">
        <v>3659</v>
      </c>
      <c r="B7204" s="6" t="n">
        <v>42671</v>
      </c>
      <c r="C7204" s="7" t="s">
        <v>55</v>
      </c>
      <c r="D7204" s="7" t="s">
        <v>76</v>
      </c>
      <c r="E7204" s="7" t="s">
        <v>31</v>
      </c>
      <c r="F7204" s="0" t="n">
        <v>756.8</v>
      </c>
      <c r="G7204" s="0" t="n">
        <v>75.68</v>
      </c>
      <c r="H7204" s="0" t="n">
        <v>0</v>
      </c>
      <c r="I7204" s="7" t="n">
        <f aca="false">YEAR(B7204)</f>
        <v>2016</v>
      </c>
      <c r="J7204" s="0" t="str">
        <f aca="false">I7204&amp;"-Q"&amp;ROUNDUP(MONTH(B7204)/3,0)</f>
        <v>2016-Q4</v>
      </c>
    </row>
    <row r="7205" customFormat="false" ht="15" hidden="false" customHeight="false" outlineLevel="0" collapsed="false">
      <c r="A7205" s="0" t="s">
        <v>3660</v>
      </c>
      <c r="B7205" s="6" t="n">
        <v>42002</v>
      </c>
      <c r="C7205" s="7" t="s">
        <v>45</v>
      </c>
      <c r="D7205" s="7" t="s">
        <v>64</v>
      </c>
      <c r="E7205" s="7" t="s">
        <v>31</v>
      </c>
      <c r="F7205" s="0" t="n">
        <v>8.736</v>
      </c>
      <c r="G7205" s="0" t="n">
        <v>-4.8048</v>
      </c>
      <c r="H7205" s="0" t="n">
        <v>0.6</v>
      </c>
      <c r="I7205" s="7" t="n">
        <f aca="false">YEAR(B7205)</f>
        <v>2014</v>
      </c>
      <c r="J7205" s="0" t="str">
        <f aca="false">I7205&amp;"-Q"&amp;ROUNDUP(MONTH(B7205)/3,0)</f>
        <v>2014-Q4</v>
      </c>
    </row>
    <row r="7206" customFormat="false" ht="15" hidden="false" customHeight="false" outlineLevel="0" collapsed="false">
      <c r="A7206" s="0" t="s">
        <v>3661</v>
      </c>
      <c r="B7206" s="6" t="n">
        <v>42257</v>
      </c>
      <c r="C7206" s="7" t="s">
        <v>55</v>
      </c>
      <c r="D7206" s="7" t="s">
        <v>76</v>
      </c>
      <c r="E7206" s="7" t="s">
        <v>35</v>
      </c>
      <c r="F7206" s="0" t="n">
        <v>6.08</v>
      </c>
      <c r="G7206" s="0" t="n">
        <v>2.0672</v>
      </c>
      <c r="H7206" s="0" t="n">
        <v>0</v>
      </c>
      <c r="I7206" s="7" t="n">
        <f aca="false">YEAR(B7206)</f>
        <v>2015</v>
      </c>
      <c r="J7206" s="0" t="str">
        <f aca="false">I7206&amp;"-Q"&amp;ROUNDUP(MONTH(B7206)/3,0)</f>
        <v>2015-Q3</v>
      </c>
    </row>
    <row r="7207" customFormat="false" ht="15" hidden="false" customHeight="false" outlineLevel="0" collapsed="false">
      <c r="A7207" s="0" t="s">
        <v>3662</v>
      </c>
      <c r="B7207" s="6" t="n">
        <v>43010</v>
      </c>
      <c r="C7207" s="7" t="s">
        <v>33</v>
      </c>
      <c r="D7207" s="7" t="s">
        <v>34</v>
      </c>
      <c r="E7207" s="7" t="s">
        <v>31</v>
      </c>
      <c r="F7207" s="0" t="n">
        <v>17.46</v>
      </c>
      <c r="G7207" s="0" t="n">
        <v>5.9364</v>
      </c>
      <c r="H7207" s="0" t="n">
        <v>0</v>
      </c>
      <c r="I7207" s="7" t="n">
        <f aca="false">YEAR(B7207)</f>
        <v>2017</v>
      </c>
      <c r="J7207" s="0" t="str">
        <f aca="false">I7207&amp;"-Q"&amp;ROUNDUP(MONTH(B7207)/3,0)</f>
        <v>2017-Q4</v>
      </c>
    </row>
    <row r="7208" customFormat="false" ht="15" hidden="false" customHeight="false" outlineLevel="0" collapsed="false">
      <c r="A7208" s="0" t="s">
        <v>3662</v>
      </c>
      <c r="B7208" s="6" t="n">
        <v>43010</v>
      </c>
      <c r="C7208" s="7" t="s">
        <v>33</v>
      </c>
      <c r="D7208" s="7" t="s">
        <v>34</v>
      </c>
      <c r="E7208" s="7" t="s">
        <v>39</v>
      </c>
      <c r="F7208" s="0" t="n">
        <v>369.16</v>
      </c>
      <c r="G7208" s="0" t="n">
        <v>32.3015</v>
      </c>
      <c r="H7208" s="0" t="n">
        <v>0.2</v>
      </c>
      <c r="I7208" s="7" t="n">
        <f aca="false">YEAR(B7208)</f>
        <v>2017</v>
      </c>
      <c r="J7208" s="0" t="str">
        <f aca="false">I7208&amp;"-Q"&amp;ROUNDUP(MONTH(B7208)/3,0)</f>
        <v>2017-Q4</v>
      </c>
    </row>
    <row r="7209" customFormat="false" ht="15" hidden="false" customHeight="false" outlineLevel="0" collapsed="false">
      <c r="A7209" s="0" t="s">
        <v>3663</v>
      </c>
      <c r="B7209" s="6" t="n">
        <v>42624</v>
      </c>
      <c r="C7209" s="7" t="s">
        <v>33</v>
      </c>
      <c r="D7209" s="7" t="s">
        <v>81</v>
      </c>
      <c r="E7209" s="7" t="s">
        <v>35</v>
      </c>
      <c r="F7209" s="0" t="n">
        <v>2.912</v>
      </c>
      <c r="G7209" s="0" t="n">
        <v>0.91</v>
      </c>
      <c r="H7209" s="0" t="n">
        <v>0.2</v>
      </c>
      <c r="I7209" s="7" t="n">
        <f aca="false">YEAR(B7209)</f>
        <v>2016</v>
      </c>
      <c r="J7209" s="0" t="str">
        <f aca="false">I7209&amp;"-Q"&amp;ROUNDUP(MONTH(B7209)/3,0)</f>
        <v>2016-Q3</v>
      </c>
    </row>
    <row r="7210" customFormat="false" ht="15" hidden="false" customHeight="false" outlineLevel="0" collapsed="false">
      <c r="A7210" s="0" t="s">
        <v>3663</v>
      </c>
      <c r="B7210" s="6" t="n">
        <v>42624</v>
      </c>
      <c r="C7210" s="7" t="s">
        <v>33</v>
      </c>
      <c r="D7210" s="7" t="s">
        <v>81</v>
      </c>
      <c r="E7210" s="7" t="s">
        <v>35</v>
      </c>
      <c r="F7210" s="0" t="n">
        <v>20.736</v>
      </c>
      <c r="G7210" s="0" t="n">
        <v>7.2576</v>
      </c>
      <c r="H7210" s="0" t="n">
        <v>0.2</v>
      </c>
      <c r="I7210" s="7" t="n">
        <f aca="false">YEAR(B7210)</f>
        <v>2016</v>
      </c>
      <c r="J7210" s="0" t="str">
        <f aca="false">I7210&amp;"-Q"&amp;ROUNDUP(MONTH(B7210)/3,0)</f>
        <v>2016-Q3</v>
      </c>
    </row>
    <row r="7211" customFormat="false" ht="15" hidden="false" customHeight="false" outlineLevel="0" collapsed="false">
      <c r="A7211" s="0" t="s">
        <v>3663</v>
      </c>
      <c r="B7211" s="6" t="n">
        <v>42624</v>
      </c>
      <c r="C7211" s="7" t="s">
        <v>33</v>
      </c>
      <c r="D7211" s="7" t="s">
        <v>81</v>
      </c>
      <c r="E7211" s="7" t="s">
        <v>35</v>
      </c>
      <c r="F7211" s="0" t="n">
        <v>9.568</v>
      </c>
      <c r="G7211" s="0" t="n">
        <v>2.99</v>
      </c>
      <c r="H7211" s="0" t="n">
        <v>0.2</v>
      </c>
      <c r="I7211" s="7" t="n">
        <f aca="false">YEAR(B7211)</f>
        <v>2016</v>
      </c>
      <c r="J7211" s="0" t="str">
        <f aca="false">I7211&amp;"-Q"&amp;ROUNDUP(MONTH(B7211)/3,0)</f>
        <v>2016-Q3</v>
      </c>
    </row>
    <row r="7212" customFormat="false" ht="15" hidden="false" customHeight="false" outlineLevel="0" collapsed="false">
      <c r="A7212" s="0" t="s">
        <v>3664</v>
      </c>
      <c r="B7212" s="6" t="n">
        <v>42523</v>
      </c>
      <c r="C7212" s="7" t="s">
        <v>33</v>
      </c>
      <c r="D7212" s="7" t="s">
        <v>43</v>
      </c>
      <c r="E7212" s="7" t="s">
        <v>35</v>
      </c>
      <c r="F7212" s="0" t="n">
        <v>30.18</v>
      </c>
      <c r="G7212" s="0" t="n">
        <v>13.8828</v>
      </c>
      <c r="H7212" s="0" t="n">
        <v>0</v>
      </c>
      <c r="I7212" s="7" t="n">
        <f aca="false">YEAR(B7212)</f>
        <v>2016</v>
      </c>
      <c r="J7212" s="0" t="str">
        <f aca="false">I7212&amp;"-Q"&amp;ROUNDUP(MONTH(B7212)/3,0)</f>
        <v>2016-Q2</v>
      </c>
    </row>
    <row r="7213" customFormat="false" ht="15" hidden="false" customHeight="false" outlineLevel="0" collapsed="false">
      <c r="A7213" s="0" t="s">
        <v>3664</v>
      </c>
      <c r="B7213" s="6" t="n">
        <v>42523</v>
      </c>
      <c r="C7213" s="7" t="s">
        <v>33</v>
      </c>
      <c r="D7213" s="7" t="s">
        <v>43</v>
      </c>
      <c r="E7213" s="7" t="s">
        <v>35</v>
      </c>
      <c r="F7213" s="0" t="n">
        <v>51.648</v>
      </c>
      <c r="G7213" s="0" t="n">
        <v>18.7224</v>
      </c>
      <c r="H7213" s="0" t="n">
        <v>0.2</v>
      </c>
      <c r="I7213" s="7" t="n">
        <f aca="false">YEAR(B7213)</f>
        <v>2016</v>
      </c>
      <c r="J7213" s="0" t="str">
        <f aca="false">I7213&amp;"-Q"&amp;ROUNDUP(MONTH(B7213)/3,0)</f>
        <v>2016-Q2</v>
      </c>
    </row>
    <row r="7214" customFormat="false" ht="15" hidden="false" customHeight="false" outlineLevel="0" collapsed="false">
      <c r="A7214" s="0" t="s">
        <v>3664</v>
      </c>
      <c r="B7214" s="6" t="n">
        <v>42523</v>
      </c>
      <c r="C7214" s="7" t="s">
        <v>33</v>
      </c>
      <c r="D7214" s="7" t="s">
        <v>43</v>
      </c>
      <c r="E7214" s="7" t="s">
        <v>35</v>
      </c>
      <c r="F7214" s="0" t="n">
        <v>11.232</v>
      </c>
      <c r="G7214" s="0" t="n">
        <v>3.9312</v>
      </c>
      <c r="H7214" s="0" t="n">
        <v>0.2</v>
      </c>
      <c r="I7214" s="7" t="n">
        <f aca="false">YEAR(B7214)</f>
        <v>2016</v>
      </c>
      <c r="J7214" s="0" t="str">
        <f aca="false">I7214&amp;"-Q"&amp;ROUNDUP(MONTH(B7214)/3,0)</f>
        <v>2016-Q2</v>
      </c>
    </row>
    <row r="7215" customFormat="false" ht="15" hidden="false" customHeight="false" outlineLevel="0" collapsed="false">
      <c r="A7215" s="0" t="s">
        <v>3665</v>
      </c>
      <c r="B7215" s="6" t="n">
        <v>43023</v>
      </c>
      <c r="C7215" s="7" t="s">
        <v>33</v>
      </c>
      <c r="D7215" s="7" t="s">
        <v>34</v>
      </c>
      <c r="E7215" s="7" t="s">
        <v>35</v>
      </c>
      <c r="F7215" s="0" t="n">
        <v>14.73</v>
      </c>
      <c r="G7215" s="0" t="n">
        <v>7.2177</v>
      </c>
      <c r="H7215" s="0" t="n">
        <v>0</v>
      </c>
      <c r="I7215" s="7" t="n">
        <f aca="false">YEAR(B7215)</f>
        <v>2017</v>
      </c>
      <c r="J7215" s="0" t="str">
        <f aca="false">I7215&amp;"-Q"&amp;ROUNDUP(MONTH(B7215)/3,0)</f>
        <v>2017-Q4</v>
      </c>
    </row>
    <row r="7216" customFormat="false" ht="15" hidden="false" customHeight="false" outlineLevel="0" collapsed="false">
      <c r="A7216" s="0" t="s">
        <v>3666</v>
      </c>
      <c r="B7216" s="6" t="n">
        <v>42274</v>
      </c>
      <c r="C7216" s="7" t="s">
        <v>45</v>
      </c>
      <c r="D7216" s="7" t="s">
        <v>70</v>
      </c>
      <c r="E7216" s="7" t="s">
        <v>35</v>
      </c>
      <c r="F7216" s="0" t="n">
        <v>16.4</v>
      </c>
      <c r="G7216" s="0" t="n">
        <v>4.756</v>
      </c>
      <c r="H7216" s="0" t="n">
        <v>0</v>
      </c>
      <c r="I7216" s="7" t="n">
        <f aca="false">YEAR(B7216)</f>
        <v>2015</v>
      </c>
      <c r="J7216" s="0" t="str">
        <f aca="false">I7216&amp;"-Q"&amp;ROUNDUP(MONTH(B7216)/3,0)</f>
        <v>2015-Q3</v>
      </c>
    </row>
    <row r="7217" customFormat="false" ht="15" hidden="false" customHeight="false" outlineLevel="0" collapsed="false">
      <c r="A7217" s="0" t="s">
        <v>3666</v>
      </c>
      <c r="B7217" s="6" t="n">
        <v>42274</v>
      </c>
      <c r="C7217" s="7" t="s">
        <v>45</v>
      </c>
      <c r="D7217" s="7" t="s">
        <v>70</v>
      </c>
      <c r="E7217" s="7" t="s">
        <v>35</v>
      </c>
      <c r="F7217" s="0" t="n">
        <v>25.92</v>
      </c>
      <c r="G7217" s="0" t="n">
        <v>12.4416</v>
      </c>
      <c r="H7217" s="0" t="n">
        <v>0</v>
      </c>
      <c r="I7217" s="7" t="n">
        <f aca="false">YEAR(B7217)</f>
        <v>2015</v>
      </c>
      <c r="J7217" s="0" t="str">
        <f aca="false">I7217&amp;"-Q"&amp;ROUNDUP(MONTH(B7217)/3,0)</f>
        <v>2015-Q3</v>
      </c>
    </row>
    <row r="7218" customFormat="false" ht="15" hidden="false" customHeight="false" outlineLevel="0" collapsed="false">
      <c r="A7218" s="0" t="s">
        <v>3667</v>
      </c>
      <c r="B7218" s="6" t="n">
        <v>42127</v>
      </c>
      <c r="C7218" s="7" t="s">
        <v>33</v>
      </c>
      <c r="D7218" s="7" t="s">
        <v>34</v>
      </c>
      <c r="E7218" s="7" t="s">
        <v>35</v>
      </c>
      <c r="F7218" s="0" t="n">
        <v>8.82</v>
      </c>
      <c r="G7218" s="0" t="n">
        <v>2.5578</v>
      </c>
      <c r="H7218" s="0" t="n">
        <v>0</v>
      </c>
      <c r="I7218" s="7" t="n">
        <f aca="false">YEAR(B7218)</f>
        <v>2015</v>
      </c>
      <c r="J7218" s="0" t="str">
        <f aca="false">I7218&amp;"-Q"&amp;ROUNDUP(MONTH(B7218)/3,0)</f>
        <v>2015-Q2</v>
      </c>
    </row>
    <row r="7219" customFormat="false" ht="15" hidden="false" customHeight="false" outlineLevel="0" collapsed="false">
      <c r="A7219" s="0" t="s">
        <v>3667</v>
      </c>
      <c r="B7219" s="6" t="n">
        <v>42127</v>
      </c>
      <c r="C7219" s="7" t="s">
        <v>33</v>
      </c>
      <c r="D7219" s="7" t="s">
        <v>34</v>
      </c>
      <c r="E7219" s="7" t="s">
        <v>35</v>
      </c>
      <c r="F7219" s="0" t="n">
        <v>62.496</v>
      </c>
      <c r="G7219" s="0" t="n">
        <v>21.8736</v>
      </c>
      <c r="H7219" s="0" t="n">
        <v>0.2</v>
      </c>
      <c r="I7219" s="7" t="n">
        <f aca="false">YEAR(B7219)</f>
        <v>2015</v>
      </c>
      <c r="J7219" s="0" t="str">
        <f aca="false">I7219&amp;"-Q"&amp;ROUNDUP(MONTH(B7219)/3,0)</f>
        <v>2015-Q2</v>
      </c>
    </row>
    <row r="7220" customFormat="false" ht="15" hidden="false" customHeight="false" outlineLevel="0" collapsed="false">
      <c r="A7220" s="0" t="s">
        <v>3667</v>
      </c>
      <c r="B7220" s="6" t="n">
        <v>42127</v>
      </c>
      <c r="C7220" s="7" t="s">
        <v>33</v>
      </c>
      <c r="D7220" s="7" t="s">
        <v>34</v>
      </c>
      <c r="E7220" s="7" t="s">
        <v>39</v>
      </c>
      <c r="F7220" s="0" t="n">
        <v>339.96</v>
      </c>
      <c r="G7220" s="0" t="n">
        <v>122.3856</v>
      </c>
      <c r="H7220" s="0" t="n">
        <v>0</v>
      </c>
      <c r="I7220" s="7" t="n">
        <f aca="false">YEAR(B7220)</f>
        <v>2015</v>
      </c>
      <c r="J7220" s="0" t="str">
        <f aca="false">I7220&amp;"-Q"&amp;ROUNDUP(MONTH(B7220)/3,0)</f>
        <v>2015-Q2</v>
      </c>
    </row>
    <row r="7221" customFormat="false" ht="15" hidden="false" customHeight="false" outlineLevel="0" collapsed="false">
      <c r="A7221" s="0" t="s">
        <v>3667</v>
      </c>
      <c r="B7221" s="6" t="n">
        <v>42127</v>
      </c>
      <c r="C7221" s="7" t="s">
        <v>33</v>
      </c>
      <c r="D7221" s="7" t="s">
        <v>34</v>
      </c>
      <c r="E7221" s="7" t="s">
        <v>35</v>
      </c>
      <c r="F7221" s="0" t="n">
        <v>49.568</v>
      </c>
      <c r="G7221" s="0" t="n">
        <v>17.3488</v>
      </c>
      <c r="H7221" s="0" t="n">
        <v>0.2</v>
      </c>
      <c r="I7221" s="7" t="n">
        <f aca="false">YEAR(B7221)</f>
        <v>2015</v>
      </c>
      <c r="J7221" s="0" t="str">
        <f aca="false">I7221&amp;"-Q"&amp;ROUNDUP(MONTH(B7221)/3,0)</f>
        <v>2015-Q2</v>
      </c>
    </row>
    <row r="7222" customFormat="false" ht="15" hidden="false" customHeight="false" outlineLevel="0" collapsed="false">
      <c r="A7222" s="0" t="s">
        <v>3668</v>
      </c>
      <c r="B7222" s="6" t="n">
        <v>42744</v>
      </c>
      <c r="C7222" s="7" t="s">
        <v>55</v>
      </c>
      <c r="D7222" s="7" t="s">
        <v>56</v>
      </c>
      <c r="E7222" s="7" t="s">
        <v>35</v>
      </c>
      <c r="F7222" s="0" t="n">
        <v>274.491</v>
      </c>
      <c r="G7222" s="0" t="n">
        <v>-228.7425</v>
      </c>
      <c r="H7222" s="0" t="n">
        <v>0.7</v>
      </c>
      <c r="I7222" s="7" t="n">
        <f aca="false">YEAR(B7222)</f>
        <v>2017</v>
      </c>
      <c r="J7222" s="0" t="str">
        <f aca="false">I7222&amp;"-Q"&amp;ROUNDUP(MONTH(B7222)/3,0)</f>
        <v>2017-Q1</v>
      </c>
    </row>
    <row r="7223" customFormat="false" ht="15" hidden="false" customHeight="false" outlineLevel="0" collapsed="false">
      <c r="A7223" s="0" t="s">
        <v>3669</v>
      </c>
      <c r="B7223" s="6" t="n">
        <v>42762</v>
      </c>
      <c r="C7223" s="7" t="s">
        <v>55</v>
      </c>
      <c r="D7223" s="7" t="s">
        <v>76</v>
      </c>
      <c r="E7223" s="7" t="s">
        <v>39</v>
      </c>
      <c r="F7223" s="0" t="n">
        <v>137.94</v>
      </c>
      <c r="G7223" s="0" t="n">
        <v>35.8644</v>
      </c>
      <c r="H7223" s="0" t="n">
        <v>0</v>
      </c>
      <c r="I7223" s="7" t="n">
        <f aca="false">YEAR(B7223)</f>
        <v>2017</v>
      </c>
      <c r="J7223" s="0" t="str">
        <f aca="false">I7223&amp;"-Q"&amp;ROUNDUP(MONTH(B7223)/3,0)</f>
        <v>2017-Q1</v>
      </c>
    </row>
    <row r="7224" customFormat="false" ht="15" hidden="false" customHeight="false" outlineLevel="0" collapsed="false">
      <c r="A7224" s="0" t="s">
        <v>3670</v>
      </c>
      <c r="B7224" s="6" t="n">
        <v>42980</v>
      </c>
      <c r="C7224" s="7" t="s">
        <v>45</v>
      </c>
      <c r="D7224" s="7" t="s">
        <v>64</v>
      </c>
      <c r="E7224" s="7" t="s">
        <v>39</v>
      </c>
      <c r="F7224" s="0" t="n">
        <v>40.68</v>
      </c>
      <c r="G7224" s="0" t="n">
        <v>-7.119</v>
      </c>
      <c r="H7224" s="0" t="n">
        <v>0.2</v>
      </c>
      <c r="I7224" s="7" t="n">
        <f aca="false">YEAR(B7224)</f>
        <v>2017</v>
      </c>
      <c r="J7224" s="0" t="str">
        <f aca="false">I7224&amp;"-Q"&amp;ROUNDUP(MONTH(B7224)/3,0)</f>
        <v>2017-Q3</v>
      </c>
    </row>
    <row r="7225" customFormat="false" ht="15" hidden="false" customHeight="false" outlineLevel="0" collapsed="false">
      <c r="A7225" s="0" t="s">
        <v>3671</v>
      </c>
      <c r="B7225" s="6" t="n">
        <v>42565</v>
      </c>
      <c r="C7225" s="7" t="s">
        <v>33</v>
      </c>
      <c r="D7225" s="7" t="s">
        <v>34</v>
      </c>
      <c r="E7225" s="7" t="s">
        <v>39</v>
      </c>
      <c r="F7225" s="0" t="n">
        <v>110.376</v>
      </c>
      <c r="G7225" s="0" t="n">
        <v>12.4173</v>
      </c>
      <c r="H7225" s="0" t="n">
        <v>0.2</v>
      </c>
      <c r="I7225" s="7" t="n">
        <f aca="false">YEAR(B7225)</f>
        <v>2016</v>
      </c>
      <c r="J7225" s="0" t="str">
        <f aca="false">I7225&amp;"-Q"&amp;ROUNDUP(MONTH(B7225)/3,0)</f>
        <v>2016-Q3</v>
      </c>
    </row>
    <row r="7226" customFormat="false" ht="15" hidden="false" customHeight="false" outlineLevel="0" collapsed="false">
      <c r="A7226" s="0" t="s">
        <v>3671</v>
      </c>
      <c r="B7226" s="6" t="n">
        <v>42565</v>
      </c>
      <c r="C7226" s="7" t="s">
        <v>33</v>
      </c>
      <c r="D7226" s="7" t="s">
        <v>34</v>
      </c>
      <c r="E7226" s="7" t="s">
        <v>35</v>
      </c>
      <c r="F7226" s="0" t="n">
        <v>151.62</v>
      </c>
      <c r="G7226" s="0" t="n">
        <v>50.0346</v>
      </c>
      <c r="H7226" s="0" t="n">
        <v>0</v>
      </c>
      <c r="I7226" s="7" t="n">
        <f aca="false">YEAR(B7226)</f>
        <v>2016</v>
      </c>
      <c r="J7226" s="0" t="str">
        <f aca="false">I7226&amp;"-Q"&amp;ROUNDUP(MONTH(B7226)/3,0)</f>
        <v>2016-Q3</v>
      </c>
    </row>
    <row r="7227" customFormat="false" ht="15" hidden="false" customHeight="false" outlineLevel="0" collapsed="false">
      <c r="A7227" s="0" t="s">
        <v>3671</v>
      </c>
      <c r="B7227" s="6" t="n">
        <v>42565</v>
      </c>
      <c r="C7227" s="7" t="s">
        <v>33</v>
      </c>
      <c r="D7227" s="7" t="s">
        <v>34</v>
      </c>
      <c r="E7227" s="7" t="s">
        <v>31</v>
      </c>
      <c r="F7227" s="0" t="n">
        <v>30.8</v>
      </c>
      <c r="G7227" s="0" t="n">
        <v>10.164</v>
      </c>
      <c r="H7227" s="0" t="n">
        <v>0</v>
      </c>
      <c r="I7227" s="7" t="n">
        <f aca="false">YEAR(B7227)</f>
        <v>2016</v>
      </c>
      <c r="J7227" s="0" t="str">
        <f aca="false">I7227&amp;"-Q"&amp;ROUNDUP(MONTH(B7227)/3,0)</f>
        <v>2016-Q3</v>
      </c>
    </row>
    <row r="7228" customFormat="false" ht="15" hidden="false" customHeight="false" outlineLevel="0" collapsed="false">
      <c r="A7228" s="0" t="s">
        <v>3672</v>
      </c>
      <c r="B7228" s="6" t="n">
        <v>42790</v>
      </c>
      <c r="C7228" s="7" t="s">
        <v>55</v>
      </c>
      <c r="D7228" s="7" t="s">
        <v>56</v>
      </c>
      <c r="E7228" s="7" t="s">
        <v>35</v>
      </c>
      <c r="F7228" s="0" t="n">
        <v>123.92</v>
      </c>
      <c r="G7228" s="0" t="n">
        <v>38.725</v>
      </c>
      <c r="H7228" s="0" t="n">
        <v>0.2</v>
      </c>
      <c r="I7228" s="7" t="n">
        <f aca="false">YEAR(B7228)</f>
        <v>2017</v>
      </c>
      <c r="J7228" s="0" t="str">
        <f aca="false">I7228&amp;"-Q"&amp;ROUNDUP(MONTH(B7228)/3,0)</f>
        <v>2017-Q1</v>
      </c>
    </row>
    <row r="7229" customFormat="false" ht="15" hidden="false" customHeight="false" outlineLevel="0" collapsed="false">
      <c r="A7229" s="0" t="s">
        <v>3672</v>
      </c>
      <c r="B7229" s="6" t="n">
        <v>42790</v>
      </c>
      <c r="C7229" s="7" t="s">
        <v>55</v>
      </c>
      <c r="D7229" s="7" t="s">
        <v>56</v>
      </c>
      <c r="E7229" s="7" t="s">
        <v>39</v>
      </c>
      <c r="F7229" s="0" t="n">
        <v>1319.8</v>
      </c>
      <c r="G7229" s="0" t="n">
        <v>214.4675</v>
      </c>
      <c r="H7229" s="0" t="n">
        <v>0.2</v>
      </c>
      <c r="I7229" s="7" t="n">
        <f aca="false">YEAR(B7229)</f>
        <v>2017</v>
      </c>
      <c r="J7229" s="0" t="str">
        <f aca="false">I7229&amp;"-Q"&amp;ROUNDUP(MONTH(B7229)/3,0)</f>
        <v>2017-Q1</v>
      </c>
    </row>
    <row r="7230" customFormat="false" ht="15" hidden="false" customHeight="false" outlineLevel="0" collapsed="false">
      <c r="A7230" s="0" t="s">
        <v>3673</v>
      </c>
      <c r="B7230" s="6" t="n">
        <v>41840</v>
      </c>
      <c r="C7230" s="7" t="s">
        <v>33</v>
      </c>
      <c r="D7230" s="7" t="s">
        <v>34</v>
      </c>
      <c r="E7230" s="7" t="s">
        <v>35</v>
      </c>
      <c r="F7230" s="0" t="n">
        <v>89.712</v>
      </c>
      <c r="G7230" s="0" t="n">
        <v>30.2778</v>
      </c>
      <c r="H7230" s="0" t="n">
        <v>0.2</v>
      </c>
      <c r="I7230" s="7" t="n">
        <f aca="false">YEAR(B7230)</f>
        <v>2014</v>
      </c>
      <c r="J7230" s="0" t="str">
        <f aca="false">I7230&amp;"-Q"&amp;ROUNDUP(MONTH(B7230)/3,0)</f>
        <v>2014-Q3</v>
      </c>
    </row>
    <row r="7231" customFormat="false" ht="15" hidden="false" customHeight="false" outlineLevel="0" collapsed="false">
      <c r="A7231" s="0" t="s">
        <v>3673</v>
      </c>
      <c r="B7231" s="6" t="n">
        <v>41840</v>
      </c>
      <c r="C7231" s="7" t="s">
        <v>33</v>
      </c>
      <c r="D7231" s="7" t="s">
        <v>34</v>
      </c>
      <c r="E7231" s="7" t="s">
        <v>35</v>
      </c>
      <c r="F7231" s="0" t="n">
        <v>22.83</v>
      </c>
      <c r="G7231" s="0" t="n">
        <v>10.7301</v>
      </c>
      <c r="H7231" s="0" t="n">
        <v>0</v>
      </c>
      <c r="I7231" s="7" t="n">
        <f aca="false">YEAR(B7231)</f>
        <v>2014</v>
      </c>
      <c r="J7231" s="0" t="str">
        <f aca="false">I7231&amp;"-Q"&amp;ROUNDUP(MONTH(B7231)/3,0)</f>
        <v>2014-Q3</v>
      </c>
    </row>
    <row r="7232" customFormat="false" ht="15" hidden="false" customHeight="false" outlineLevel="0" collapsed="false">
      <c r="A7232" s="0" t="s">
        <v>3674</v>
      </c>
      <c r="B7232" s="6" t="n">
        <v>42807</v>
      </c>
      <c r="C7232" s="7" t="s">
        <v>55</v>
      </c>
      <c r="D7232" s="7" t="s">
        <v>154</v>
      </c>
      <c r="E7232" s="7" t="s">
        <v>35</v>
      </c>
      <c r="F7232" s="0" t="n">
        <v>30.88</v>
      </c>
      <c r="G7232" s="0" t="n">
        <v>15.44</v>
      </c>
      <c r="H7232" s="0" t="n">
        <v>0</v>
      </c>
      <c r="I7232" s="7" t="n">
        <f aca="false">YEAR(B7232)</f>
        <v>2017</v>
      </c>
      <c r="J7232" s="0" t="str">
        <f aca="false">I7232&amp;"-Q"&amp;ROUNDUP(MONTH(B7232)/3,0)</f>
        <v>2017-Q1</v>
      </c>
    </row>
    <row r="7233" customFormat="false" ht="15" hidden="false" customHeight="false" outlineLevel="0" collapsed="false">
      <c r="A7233" s="0" t="s">
        <v>3674</v>
      </c>
      <c r="B7233" s="6" t="n">
        <v>42807</v>
      </c>
      <c r="C7233" s="7" t="s">
        <v>55</v>
      </c>
      <c r="D7233" s="7" t="s">
        <v>154</v>
      </c>
      <c r="E7233" s="7" t="s">
        <v>35</v>
      </c>
      <c r="F7233" s="0" t="n">
        <v>465.16</v>
      </c>
      <c r="G7233" s="0" t="n">
        <v>120.9416</v>
      </c>
      <c r="H7233" s="0" t="n">
        <v>0</v>
      </c>
      <c r="I7233" s="7" t="n">
        <f aca="false">YEAR(B7233)</f>
        <v>2017</v>
      </c>
      <c r="J7233" s="0" t="str">
        <f aca="false">I7233&amp;"-Q"&amp;ROUNDUP(MONTH(B7233)/3,0)</f>
        <v>2017-Q1</v>
      </c>
    </row>
    <row r="7234" customFormat="false" ht="15" hidden="false" customHeight="false" outlineLevel="0" collapsed="false">
      <c r="A7234" s="0" t="s">
        <v>3674</v>
      </c>
      <c r="B7234" s="6" t="n">
        <v>42807</v>
      </c>
      <c r="C7234" s="7" t="s">
        <v>55</v>
      </c>
      <c r="D7234" s="7" t="s">
        <v>154</v>
      </c>
      <c r="E7234" s="7" t="s">
        <v>35</v>
      </c>
      <c r="F7234" s="0" t="n">
        <v>27.12</v>
      </c>
      <c r="G7234" s="0" t="n">
        <v>12.4752</v>
      </c>
      <c r="H7234" s="0" t="n">
        <v>0</v>
      </c>
      <c r="I7234" s="7" t="n">
        <f aca="false">YEAR(B7234)</f>
        <v>2017</v>
      </c>
      <c r="J7234" s="0" t="str">
        <f aca="false">I7234&amp;"-Q"&amp;ROUNDUP(MONTH(B7234)/3,0)</f>
        <v>2017-Q1</v>
      </c>
    </row>
    <row r="7235" customFormat="false" ht="15" hidden="false" customHeight="false" outlineLevel="0" collapsed="false">
      <c r="A7235" s="0" t="s">
        <v>3675</v>
      </c>
      <c r="B7235" s="6" t="n">
        <v>42437</v>
      </c>
      <c r="C7235" s="7" t="s">
        <v>55</v>
      </c>
      <c r="D7235" s="7" t="s">
        <v>76</v>
      </c>
      <c r="E7235" s="7" t="s">
        <v>31</v>
      </c>
      <c r="F7235" s="0" t="n">
        <v>113.6</v>
      </c>
      <c r="G7235" s="0" t="n">
        <v>44.304</v>
      </c>
      <c r="H7235" s="0" t="n">
        <v>0</v>
      </c>
      <c r="I7235" s="7" t="n">
        <f aca="false">YEAR(B7235)</f>
        <v>2016</v>
      </c>
      <c r="J7235" s="0" t="str">
        <f aca="false">I7235&amp;"-Q"&amp;ROUNDUP(MONTH(B7235)/3,0)</f>
        <v>2016-Q1</v>
      </c>
    </row>
    <row r="7236" customFormat="false" ht="15" hidden="false" customHeight="false" outlineLevel="0" collapsed="false">
      <c r="A7236" s="0" t="s">
        <v>3675</v>
      </c>
      <c r="B7236" s="6" t="n">
        <v>42437</v>
      </c>
      <c r="C7236" s="7" t="s">
        <v>55</v>
      </c>
      <c r="D7236" s="7" t="s">
        <v>76</v>
      </c>
      <c r="E7236" s="7" t="s">
        <v>35</v>
      </c>
      <c r="F7236" s="0" t="n">
        <v>12.96</v>
      </c>
      <c r="G7236" s="0" t="n">
        <v>6.3504</v>
      </c>
      <c r="H7236" s="0" t="n">
        <v>0</v>
      </c>
      <c r="I7236" s="7" t="n">
        <f aca="false">YEAR(B7236)</f>
        <v>2016</v>
      </c>
      <c r="J7236" s="0" t="str">
        <f aca="false">I7236&amp;"-Q"&amp;ROUNDUP(MONTH(B7236)/3,0)</f>
        <v>2016-Q1</v>
      </c>
    </row>
    <row r="7237" customFormat="false" ht="15" hidden="false" customHeight="false" outlineLevel="0" collapsed="false">
      <c r="A7237" s="0" t="s">
        <v>3675</v>
      </c>
      <c r="B7237" s="6" t="n">
        <v>42437</v>
      </c>
      <c r="C7237" s="7" t="s">
        <v>55</v>
      </c>
      <c r="D7237" s="7" t="s">
        <v>76</v>
      </c>
      <c r="E7237" s="7" t="s">
        <v>35</v>
      </c>
      <c r="F7237" s="0" t="n">
        <v>69.456</v>
      </c>
      <c r="G7237" s="0" t="n">
        <v>22.5732</v>
      </c>
      <c r="H7237" s="0" t="n">
        <v>0.2</v>
      </c>
      <c r="I7237" s="7" t="n">
        <f aca="false">YEAR(B7237)</f>
        <v>2016</v>
      </c>
      <c r="J7237" s="0" t="str">
        <f aca="false">I7237&amp;"-Q"&amp;ROUNDUP(MONTH(B7237)/3,0)</f>
        <v>2016-Q1</v>
      </c>
    </row>
    <row r="7238" customFormat="false" ht="15" hidden="false" customHeight="false" outlineLevel="0" collapsed="false">
      <c r="A7238" s="0" t="s">
        <v>3676</v>
      </c>
      <c r="B7238" s="6" t="n">
        <v>41980</v>
      </c>
      <c r="C7238" s="7" t="s">
        <v>33</v>
      </c>
      <c r="D7238" s="7" t="s">
        <v>34</v>
      </c>
      <c r="E7238" s="7" t="s">
        <v>35</v>
      </c>
      <c r="F7238" s="0" t="n">
        <v>8.64</v>
      </c>
      <c r="G7238" s="0" t="n">
        <v>2.4192</v>
      </c>
      <c r="H7238" s="0" t="n">
        <v>0</v>
      </c>
      <c r="I7238" s="7" t="n">
        <f aca="false">YEAR(B7238)</f>
        <v>2014</v>
      </c>
      <c r="J7238" s="0" t="str">
        <f aca="false">I7238&amp;"-Q"&amp;ROUNDUP(MONTH(B7238)/3,0)</f>
        <v>2014-Q4</v>
      </c>
    </row>
    <row r="7239" customFormat="false" ht="15" hidden="false" customHeight="false" outlineLevel="0" collapsed="false">
      <c r="A7239" s="0" t="s">
        <v>3677</v>
      </c>
      <c r="B7239" s="6" t="n">
        <v>42561</v>
      </c>
      <c r="C7239" s="7" t="s">
        <v>55</v>
      </c>
      <c r="D7239" s="7" t="s">
        <v>56</v>
      </c>
      <c r="E7239" s="7" t="s">
        <v>39</v>
      </c>
      <c r="F7239" s="0" t="n">
        <v>341.991</v>
      </c>
      <c r="G7239" s="0" t="n">
        <v>-319.1916</v>
      </c>
      <c r="H7239" s="0" t="n">
        <v>0.7</v>
      </c>
      <c r="I7239" s="7" t="n">
        <f aca="false">YEAR(B7239)</f>
        <v>2016</v>
      </c>
      <c r="J7239" s="0" t="str">
        <f aca="false">I7239&amp;"-Q"&amp;ROUNDUP(MONTH(B7239)/3,0)</f>
        <v>2016-Q3</v>
      </c>
    </row>
    <row r="7240" customFormat="false" ht="15" hidden="false" customHeight="false" outlineLevel="0" collapsed="false">
      <c r="A7240" s="0" t="s">
        <v>3678</v>
      </c>
      <c r="B7240" s="6" t="n">
        <v>42728</v>
      </c>
      <c r="C7240" s="7" t="s">
        <v>33</v>
      </c>
      <c r="D7240" s="7" t="s">
        <v>34</v>
      </c>
      <c r="E7240" s="7" t="s">
        <v>31</v>
      </c>
      <c r="F7240" s="0" t="n">
        <v>43.96</v>
      </c>
      <c r="G7240" s="0" t="n">
        <v>18.4632</v>
      </c>
      <c r="H7240" s="0" t="n">
        <v>0</v>
      </c>
      <c r="I7240" s="7" t="n">
        <f aca="false">YEAR(B7240)</f>
        <v>2016</v>
      </c>
      <c r="J7240" s="0" t="str">
        <f aca="false">I7240&amp;"-Q"&amp;ROUNDUP(MONTH(B7240)/3,0)</f>
        <v>2016-Q4</v>
      </c>
    </row>
    <row r="7241" customFormat="false" ht="15" hidden="false" customHeight="false" outlineLevel="0" collapsed="false">
      <c r="A7241" s="0" t="s">
        <v>3678</v>
      </c>
      <c r="B7241" s="6" t="n">
        <v>42728</v>
      </c>
      <c r="C7241" s="7" t="s">
        <v>33</v>
      </c>
      <c r="D7241" s="7" t="s">
        <v>34</v>
      </c>
      <c r="E7241" s="7" t="s">
        <v>35</v>
      </c>
      <c r="F7241" s="0" t="n">
        <v>39.76</v>
      </c>
      <c r="G7241" s="0" t="n">
        <v>18.6872</v>
      </c>
      <c r="H7241" s="0" t="n">
        <v>0</v>
      </c>
      <c r="I7241" s="7" t="n">
        <f aca="false">YEAR(B7241)</f>
        <v>2016</v>
      </c>
      <c r="J7241" s="0" t="str">
        <f aca="false">I7241&amp;"-Q"&amp;ROUNDUP(MONTH(B7241)/3,0)</f>
        <v>2016-Q4</v>
      </c>
    </row>
    <row r="7242" customFormat="false" ht="15" hidden="false" customHeight="false" outlineLevel="0" collapsed="false">
      <c r="A7242" s="0" t="s">
        <v>3679</v>
      </c>
      <c r="B7242" s="6" t="n">
        <v>42848</v>
      </c>
      <c r="C7242" s="7" t="s">
        <v>33</v>
      </c>
      <c r="D7242" s="7" t="s">
        <v>34</v>
      </c>
      <c r="E7242" s="7" t="s">
        <v>31</v>
      </c>
      <c r="F7242" s="0" t="n">
        <v>66.36</v>
      </c>
      <c r="G7242" s="0" t="n">
        <v>26.544</v>
      </c>
      <c r="H7242" s="0" t="n">
        <v>0</v>
      </c>
      <c r="I7242" s="7" t="n">
        <f aca="false">YEAR(B7242)</f>
        <v>2017</v>
      </c>
      <c r="J7242" s="0" t="str">
        <f aca="false">I7242&amp;"-Q"&amp;ROUNDUP(MONTH(B7242)/3,0)</f>
        <v>2017-Q2</v>
      </c>
    </row>
    <row r="7243" customFormat="false" ht="15" hidden="false" customHeight="false" outlineLevel="0" collapsed="false">
      <c r="A7243" s="0" t="s">
        <v>3679</v>
      </c>
      <c r="B7243" s="6" t="n">
        <v>42848</v>
      </c>
      <c r="C7243" s="7" t="s">
        <v>33</v>
      </c>
      <c r="D7243" s="7" t="s">
        <v>34</v>
      </c>
      <c r="E7243" s="7" t="s">
        <v>35</v>
      </c>
      <c r="F7243" s="0" t="n">
        <v>92.88</v>
      </c>
      <c r="G7243" s="0" t="n">
        <v>30.186</v>
      </c>
      <c r="H7243" s="0" t="n">
        <v>0.2</v>
      </c>
      <c r="I7243" s="7" t="n">
        <f aca="false">YEAR(B7243)</f>
        <v>2017</v>
      </c>
      <c r="J7243" s="0" t="str">
        <f aca="false">I7243&amp;"-Q"&amp;ROUNDUP(MONTH(B7243)/3,0)</f>
        <v>2017-Q2</v>
      </c>
    </row>
    <row r="7244" customFormat="false" ht="15" hidden="false" customHeight="false" outlineLevel="0" collapsed="false">
      <c r="A7244" s="0" t="s">
        <v>3679</v>
      </c>
      <c r="B7244" s="6" t="n">
        <v>42848</v>
      </c>
      <c r="C7244" s="7" t="s">
        <v>33</v>
      </c>
      <c r="D7244" s="7" t="s">
        <v>34</v>
      </c>
      <c r="E7244" s="7" t="s">
        <v>31</v>
      </c>
      <c r="F7244" s="0" t="n">
        <v>24.14</v>
      </c>
      <c r="G7244" s="0" t="n">
        <v>7.9662</v>
      </c>
      <c r="H7244" s="0" t="n">
        <v>0</v>
      </c>
      <c r="I7244" s="7" t="n">
        <f aca="false">YEAR(B7244)</f>
        <v>2017</v>
      </c>
      <c r="J7244" s="0" t="str">
        <f aca="false">I7244&amp;"-Q"&amp;ROUNDUP(MONTH(B7244)/3,0)</f>
        <v>2017-Q2</v>
      </c>
    </row>
    <row r="7245" customFormat="false" ht="15" hidden="false" customHeight="false" outlineLevel="0" collapsed="false">
      <c r="A7245" s="0" t="s">
        <v>3680</v>
      </c>
      <c r="B7245" s="6" t="n">
        <v>42964</v>
      </c>
      <c r="C7245" s="7" t="s">
        <v>55</v>
      </c>
      <c r="D7245" s="7" t="s">
        <v>56</v>
      </c>
      <c r="E7245" s="7" t="s">
        <v>31</v>
      </c>
      <c r="F7245" s="0" t="n">
        <v>4416.174</v>
      </c>
      <c r="G7245" s="0" t="n">
        <v>-630.882</v>
      </c>
      <c r="H7245" s="0" t="n">
        <v>0.3</v>
      </c>
      <c r="I7245" s="7" t="n">
        <f aca="false">YEAR(B7245)</f>
        <v>2017</v>
      </c>
      <c r="J7245" s="0" t="str">
        <f aca="false">I7245&amp;"-Q"&amp;ROUNDUP(MONTH(B7245)/3,0)</f>
        <v>2017-Q3</v>
      </c>
    </row>
    <row r="7246" customFormat="false" ht="15" hidden="false" customHeight="false" outlineLevel="0" collapsed="false">
      <c r="A7246" s="0" t="s">
        <v>3681</v>
      </c>
      <c r="B7246" s="6" t="n">
        <v>42877</v>
      </c>
      <c r="C7246" s="7" t="s">
        <v>33</v>
      </c>
      <c r="D7246" s="7" t="s">
        <v>34</v>
      </c>
      <c r="E7246" s="7" t="s">
        <v>35</v>
      </c>
      <c r="F7246" s="0" t="n">
        <v>49.56</v>
      </c>
      <c r="G7246" s="0" t="n">
        <v>18.8328</v>
      </c>
      <c r="H7246" s="0" t="n">
        <v>0</v>
      </c>
      <c r="I7246" s="7" t="n">
        <f aca="false">YEAR(B7246)</f>
        <v>2017</v>
      </c>
      <c r="J7246" s="0" t="str">
        <f aca="false">I7246&amp;"-Q"&amp;ROUNDUP(MONTH(B7246)/3,0)</f>
        <v>2017-Q2</v>
      </c>
    </row>
    <row r="7247" customFormat="false" ht="15" hidden="false" customHeight="false" outlineLevel="0" collapsed="false">
      <c r="A7247" s="0" t="s">
        <v>3682</v>
      </c>
      <c r="B7247" s="6" t="n">
        <v>42775</v>
      </c>
      <c r="C7247" s="7" t="s">
        <v>33</v>
      </c>
      <c r="D7247" s="7" t="s">
        <v>34</v>
      </c>
      <c r="E7247" s="7" t="s">
        <v>35</v>
      </c>
      <c r="F7247" s="0" t="n">
        <v>354.9</v>
      </c>
      <c r="G7247" s="0" t="n">
        <v>17.745</v>
      </c>
      <c r="H7247" s="0" t="n">
        <v>0</v>
      </c>
      <c r="I7247" s="7" t="n">
        <f aca="false">YEAR(B7247)</f>
        <v>2017</v>
      </c>
      <c r="J7247" s="0" t="str">
        <f aca="false">I7247&amp;"-Q"&amp;ROUNDUP(MONTH(B7247)/3,0)</f>
        <v>2017-Q1</v>
      </c>
    </row>
    <row r="7248" customFormat="false" ht="15" hidden="false" customHeight="false" outlineLevel="0" collapsed="false">
      <c r="A7248" s="0" t="s">
        <v>3683</v>
      </c>
      <c r="B7248" s="6" t="n">
        <v>41701</v>
      </c>
      <c r="C7248" s="7" t="s">
        <v>55</v>
      </c>
      <c r="D7248" s="7" t="s">
        <v>116</v>
      </c>
      <c r="E7248" s="7" t="s">
        <v>35</v>
      </c>
      <c r="F7248" s="0" t="n">
        <v>15.12</v>
      </c>
      <c r="G7248" s="0" t="n">
        <v>4.914</v>
      </c>
      <c r="H7248" s="0" t="n">
        <v>0.2</v>
      </c>
      <c r="I7248" s="7" t="n">
        <f aca="false">YEAR(B7248)</f>
        <v>2014</v>
      </c>
      <c r="J7248" s="0" t="str">
        <f aca="false">I7248&amp;"-Q"&amp;ROUNDUP(MONTH(B7248)/3,0)</f>
        <v>2014-Q1</v>
      </c>
    </row>
    <row r="7249" customFormat="false" ht="15" hidden="false" customHeight="false" outlineLevel="0" collapsed="false">
      <c r="A7249" s="0" t="s">
        <v>3683</v>
      </c>
      <c r="B7249" s="6" t="n">
        <v>41701</v>
      </c>
      <c r="C7249" s="7" t="s">
        <v>55</v>
      </c>
      <c r="D7249" s="7" t="s">
        <v>116</v>
      </c>
      <c r="E7249" s="7" t="s">
        <v>31</v>
      </c>
      <c r="F7249" s="0" t="n">
        <v>302.45</v>
      </c>
      <c r="G7249" s="0" t="n">
        <v>-199.617</v>
      </c>
      <c r="H7249" s="0" t="n">
        <v>0.5</v>
      </c>
      <c r="I7249" s="7" t="n">
        <f aca="false">YEAR(B7249)</f>
        <v>2014</v>
      </c>
      <c r="J7249" s="0" t="str">
        <f aca="false">I7249&amp;"-Q"&amp;ROUNDUP(MONTH(B7249)/3,0)</f>
        <v>2014-Q1</v>
      </c>
    </row>
    <row r="7250" customFormat="false" ht="15" hidden="false" customHeight="false" outlineLevel="0" collapsed="false">
      <c r="A7250" s="0" t="s">
        <v>3683</v>
      </c>
      <c r="B7250" s="6" t="n">
        <v>41701</v>
      </c>
      <c r="C7250" s="7" t="s">
        <v>55</v>
      </c>
      <c r="D7250" s="7" t="s">
        <v>116</v>
      </c>
      <c r="E7250" s="7" t="s">
        <v>35</v>
      </c>
      <c r="F7250" s="0" t="n">
        <v>44.672</v>
      </c>
      <c r="G7250" s="0" t="n">
        <v>-10.0512</v>
      </c>
      <c r="H7250" s="0" t="n">
        <v>0.2</v>
      </c>
      <c r="I7250" s="7" t="n">
        <f aca="false">YEAR(B7250)</f>
        <v>2014</v>
      </c>
      <c r="J7250" s="0" t="str">
        <f aca="false">I7250&amp;"-Q"&amp;ROUNDUP(MONTH(B7250)/3,0)</f>
        <v>2014-Q1</v>
      </c>
    </row>
    <row r="7251" customFormat="false" ht="15" hidden="false" customHeight="false" outlineLevel="0" collapsed="false">
      <c r="A7251" s="0" t="s">
        <v>3684</v>
      </c>
      <c r="B7251" s="6" t="n">
        <v>42159</v>
      </c>
      <c r="C7251" s="7" t="s">
        <v>33</v>
      </c>
      <c r="D7251" s="7" t="s">
        <v>34</v>
      </c>
      <c r="E7251" s="7" t="s">
        <v>39</v>
      </c>
      <c r="F7251" s="0" t="n">
        <v>119.98</v>
      </c>
      <c r="G7251" s="0" t="n">
        <v>35.994</v>
      </c>
      <c r="H7251" s="0" t="n">
        <v>0</v>
      </c>
      <c r="I7251" s="7" t="n">
        <f aca="false">YEAR(B7251)</f>
        <v>2015</v>
      </c>
      <c r="J7251" s="0" t="str">
        <f aca="false">I7251&amp;"-Q"&amp;ROUNDUP(MONTH(B7251)/3,0)</f>
        <v>2015-Q2</v>
      </c>
    </row>
    <row r="7252" customFormat="false" ht="15" hidden="false" customHeight="false" outlineLevel="0" collapsed="false">
      <c r="A7252" s="0" t="s">
        <v>3684</v>
      </c>
      <c r="B7252" s="6" t="n">
        <v>42159</v>
      </c>
      <c r="C7252" s="7" t="s">
        <v>33</v>
      </c>
      <c r="D7252" s="7" t="s">
        <v>34</v>
      </c>
      <c r="E7252" s="7" t="s">
        <v>39</v>
      </c>
      <c r="F7252" s="0" t="n">
        <v>989.97</v>
      </c>
      <c r="G7252" s="0" t="n">
        <v>395.988</v>
      </c>
      <c r="H7252" s="0" t="n">
        <v>0</v>
      </c>
      <c r="I7252" s="7" t="n">
        <f aca="false">YEAR(B7252)</f>
        <v>2015</v>
      </c>
      <c r="J7252" s="0" t="str">
        <f aca="false">I7252&amp;"-Q"&amp;ROUNDUP(MONTH(B7252)/3,0)</f>
        <v>2015-Q2</v>
      </c>
    </row>
    <row r="7253" customFormat="false" ht="15" hidden="false" customHeight="false" outlineLevel="0" collapsed="false">
      <c r="A7253" s="0" t="s">
        <v>3685</v>
      </c>
      <c r="B7253" s="6" t="n">
        <v>42609</v>
      </c>
      <c r="C7253" s="7" t="s">
        <v>29</v>
      </c>
      <c r="D7253" s="7" t="s">
        <v>37</v>
      </c>
      <c r="E7253" s="7" t="s">
        <v>35</v>
      </c>
      <c r="F7253" s="0" t="n">
        <v>9.216</v>
      </c>
      <c r="G7253" s="0" t="n">
        <v>3.3408</v>
      </c>
      <c r="H7253" s="0" t="n">
        <v>0.2</v>
      </c>
      <c r="I7253" s="7" t="n">
        <f aca="false">YEAR(B7253)</f>
        <v>2016</v>
      </c>
      <c r="J7253" s="0" t="str">
        <f aca="false">I7253&amp;"-Q"&amp;ROUNDUP(MONTH(B7253)/3,0)</f>
        <v>2016-Q3</v>
      </c>
    </row>
    <row r="7254" customFormat="false" ht="15" hidden="false" customHeight="false" outlineLevel="0" collapsed="false">
      <c r="A7254" s="0" t="s">
        <v>3686</v>
      </c>
      <c r="B7254" s="6" t="n">
        <v>42625</v>
      </c>
      <c r="C7254" s="7" t="s">
        <v>45</v>
      </c>
      <c r="D7254" s="7" t="s">
        <v>70</v>
      </c>
      <c r="E7254" s="7" t="s">
        <v>35</v>
      </c>
      <c r="F7254" s="0" t="n">
        <v>68.52</v>
      </c>
      <c r="G7254" s="0" t="n">
        <v>31.5192</v>
      </c>
      <c r="H7254" s="0" t="n">
        <v>0</v>
      </c>
      <c r="I7254" s="7" t="n">
        <f aca="false">YEAR(B7254)</f>
        <v>2016</v>
      </c>
      <c r="J7254" s="0" t="str">
        <f aca="false">I7254&amp;"-Q"&amp;ROUNDUP(MONTH(B7254)/3,0)</f>
        <v>2016-Q3</v>
      </c>
    </row>
    <row r="7255" customFormat="false" ht="15" hidden="false" customHeight="false" outlineLevel="0" collapsed="false">
      <c r="A7255" s="0" t="s">
        <v>3687</v>
      </c>
      <c r="B7255" s="6" t="n">
        <v>42520</v>
      </c>
      <c r="C7255" s="7" t="s">
        <v>45</v>
      </c>
      <c r="D7255" s="7" t="s">
        <v>48</v>
      </c>
      <c r="E7255" s="7" t="s">
        <v>35</v>
      </c>
      <c r="F7255" s="0" t="n">
        <v>364.74</v>
      </c>
      <c r="G7255" s="0" t="n">
        <v>109.422</v>
      </c>
      <c r="H7255" s="0" t="n">
        <v>0</v>
      </c>
      <c r="I7255" s="7" t="n">
        <f aca="false">YEAR(B7255)</f>
        <v>2016</v>
      </c>
      <c r="J7255" s="0" t="str">
        <f aca="false">I7255&amp;"-Q"&amp;ROUNDUP(MONTH(B7255)/3,0)</f>
        <v>2016-Q2</v>
      </c>
    </row>
    <row r="7256" customFormat="false" ht="15" hidden="false" customHeight="false" outlineLevel="0" collapsed="false">
      <c r="A7256" s="0" t="s">
        <v>3687</v>
      </c>
      <c r="B7256" s="6" t="n">
        <v>42520</v>
      </c>
      <c r="C7256" s="7" t="s">
        <v>45</v>
      </c>
      <c r="D7256" s="7" t="s">
        <v>48</v>
      </c>
      <c r="E7256" s="7" t="s">
        <v>31</v>
      </c>
      <c r="F7256" s="0" t="n">
        <v>47.4</v>
      </c>
      <c r="G7256" s="0" t="n">
        <v>21.33</v>
      </c>
      <c r="H7256" s="0" t="n">
        <v>0</v>
      </c>
      <c r="I7256" s="7" t="n">
        <f aca="false">YEAR(B7256)</f>
        <v>2016</v>
      </c>
      <c r="J7256" s="0" t="str">
        <f aca="false">I7256&amp;"-Q"&amp;ROUNDUP(MONTH(B7256)/3,0)</f>
        <v>2016-Q2</v>
      </c>
    </row>
    <row r="7257" customFormat="false" ht="15" hidden="false" customHeight="false" outlineLevel="0" collapsed="false">
      <c r="A7257" s="0" t="s">
        <v>3687</v>
      </c>
      <c r="B7257" s="6" t="n">
        <v>42520</v>
      </c>
      <c r="C7257" s="7" t="s">
        <v>45</v>
      </c>
      <c r="D7257" s="7" t="s">
        <v>48</v>
      </c>
      <c r="E7257" s="7" t="s">
        <v>35</v>
      </c>
      <c r="F7257" s="0" t="n">
        <v>49.76</v>
      </c>
      <c r="G7257" s="0" t="n">
        <v>13.9328</v>
      </c>
      <c r="H7257" s="0" t="n">
        <v>0</v>
      </c>
      <c r="I7257" s="7" t="n">
        <f aca="false">YEAR(B7257)</f>
        <v>2016</v>
      </c>
      <c r="J7257" s="0" t="str">
        <f aca="false">I7257&amp;"-Q"&amp;ROUNDUP(MONTH(B7257)/3,0)</f>
        <v>2016-Q2</v>
      </c>
    </row>
    <row r="7258" customFormat="false" ht="15" hidden="false" customHeight="false" outlineLevel="0" collapsed="false">
      <c r="A7258" s="0" t="s">
        <v>3687</v>
      </c>
      <c r="B7258" s="6" t="n">
        <v>42520</v>
      </c>
      <c r="C7258" s="7" t="s">
        <v>45</v>
      </c>
      <c r="D7258" s="7" t="s">
        <v>48</v>
      </c>
      <c r="E7258" s="7" t="s">
        <v>35</v>
      </c>
      <c r="F7258" s="0" t="n">
        <v>5.56</v>
      </c>
      <c r="G7258" s="0" t="n">
        <v>1.4456</v>
      </c>
      <c r="H7258" s="0" t="n">
        <v>0</v>
      </c>
      <c r="I7258" s="7" t="n">
        <f aca="false">YEAR(B7258)</f>
        <v>2016</v>
      </c>
      <c r="J7258" s="0" t="str">
        <f aca="false">I7258&amp;"-Q"&amp;ROUNDUP(MONTH(B7258)/3,0)</f>
        <v>2016-Q2</v>
      </c>
    </row>
    <row r="7259" customFormat="false" ht="15" hidden="false" customHeight="false" outlineLevel="0" collapsed="false">
      <c r="A7259" s="0" t="s">
        <v>3687</v>
      </c>
      <c r="B7259" s="6" t="n">
        <v>42520</v>
      </c>
      <c r="C7259" s="7" t="s">
        <v>45</v>
      </c>
      <c r="D7259" s="7" t="s">
        <v>48</v>
      </c>
      <c r="E7259" s="7" t="s">
        <v>35</v>
      </c>
      <c r="F7259" s="0" t="n">
        <v>629.1</v>
      </c>
      <c r="G7259" s="0" t="n">
        <v>301.968</v>
      </c>
      <c r="H7259" s="0" t="n">
        <v>0</v>
      </c>
      <c r="I7259" s="7" t="n">
        <f aca="false">YEAR(B7259)</f>
        <v>2016</v>
      </c>
      <c r="J7259" s="0" t="str">
        <f aca="false">I7259&amp;"-Q"&amp;ROUNDUP(MONTH(B7259)/3,0)</f>
        <v>2016-Q2</v>
      </c>
    </row>
    <row r="7260" customFormat="false" ht="15" hidden="false" customHeight="false" outlineLevel="0" collapsed="false">
      <c r="A7260" s="0" t="s">
        <v>3687</v>
      </c>
      <c r="B7260" s="6" t="n">
        <v>42520</v>
      </c>
      <c r="C7260" s="7" t="s">
        <v>45</v>
      </c>
      <c r="D7260" s="7" t="s">
        <v>48</v>
      </c>
      <c r="E7260" s="7" t="s">
        <v>35</v>
      </c>
      <c r="F7260" s="0" t="n">
        <v>14.7</v>
      </c>
      <c r="G7260" s="0" t="n">
        <v>3.969</v>
      </c>
      <c r="H7260" s="0" t="n">
        <v>0</v>
      </c>
      <c r="I7260" s="7" t="n">
        <f aca="false">YEAR(B7260)</f>
        <v>2016</v>
      </c>
      <c r="J7260" s="0" t="str">
        <f aca="false">I7260&amp;"-Q"&amp;ROUNDUP(MONTH(B7260)/3,0)</f>
        <v>2016-Q2</v>
      </c>
    </row>
    <row r="7261" customFormat="false" ht="15" hidden="false" customHeight="false" outlineLevel="0" collapsed="false">
      <c r="A7261" s="0" t="s">
        <v>3687</v>
      </c>
      <c r="B7261" s="6" t="n">
        <v>42520</v>
      </c>
      <c r="C7261" s="7" t="s">
        <v>45</v>
      </c>
      <c r="D7261" s="7" t="s">
        <v>48</v>
      </c>
      <c r="E7261" s="7" t="s">
        <v>35</v>
      </c>
      <c r="F7261" s="0" t="n">
        <v>45.36</v>
      </c>
      <c r="G7261" s="0" t="n">
        <v>21.7728</v>
      </c>
      <c r="H7261" s="0" t="n">
        <v>0</v>
      </c>
      <c r="I7261" s="7" t="n">
        <f aca="false">YEAR(B7261)</f>
        <v>2016</v>
      </c>
      <c r="J7261" s="0" t="str">
        <f aca="false">I7261&amp;"-Q"&amp;ROUNDUP(MONTH(B7261)/3,0)</f>
        <v>2016-Q2</v>
      </c>
    </row>
    <row r="7262" customFormat="false" ht="15" hidden="false" customHeight="false" outlineLevel="0" collapsed="false">
      <c r="A7262" s="0" t="s">
        <v>3687</v>
      </c>
      <c r="B7262" s="6" t="n">
        <v>42520</v>
      </c>
      <c r="C7262" s="7" t="s">
        <v>45</v>
      </c>
      <c r="D7262" s="7" t="s">
        <v>48</v>
      </c>
      <c r="E7262" s="7" t="s">
        <v>39</v>
      </c>
      <c r="F7262" s="0" t="n">
        <v>125.99</v>
      </c>
      <c r="G7262" s="0" t="n">
        <v>35.2772</v>
      </c>
      <c r="H7262" s="0" t="n">
        <v>0</v>
      </c>
      <c r="I7262" s="7" t="n">
        <f aca="false">YEAR(B7262)</f>
        <v>2016</v>
      </c>
      <c r="J7262" s="0" t="str">
        <f aca="false">I7262&amp;"-Q"&amp;ROUNDUP(MONTH(B7262)/3,0)</f>
        <v>2016-Q2</v>
      </c>
    </row>
    <row r="7263" customFormat="false" ht="15" hidden="false" customHeight="false" outlineLevel="0" collapsed="false">
      <c r="A7263" s="0" t="s">
        <v>3688</v>
      </c>
      <c r="B7263" s="6" t="n">
        <v>42896</v>
      </c>
      <c r="C7263" s="7" t="s">
        <v>33</v>
      </c>
      <c r="D7263" s="7" t="s">
        <v>34</v>
      </c>
      <c r="E7263" s="7" t="s">
        <v>35</v>
      </c>
      <c r="F7263" s="0" t="n">
        <v>14.7</v>
      </c>
      <c r="G7263" s="0" t="n">
        <v>4.116</v>
      </c>
      <c r="H7263" s="0" t="n">
        <v>0</v>
      </c>
      <c r="I7263" s="7" t="n">
        <f aca="false">YEAR(B7263)</f>
        <v>2017</v>
      </c>
      <c r="J7263" s="0" t="str">
        <f aca="false">I7263&amp;"-Q"&amp;ROUNDUP(MONTH(B7263)/3,0)</f>
        <v>2017-Q2</v>
      </c>
    </row>
    <row r="7264" customFormat="false" ht="15" hidden="false" customHeight="false" outlineLevel="0" collapsed="false">
      <c r="A7264" s="0" t="s">
        <v>3689</v>
      </c>
      <c r="B7264" s="6" t="n">
        <v>43030</v>
      </c>
      <c r="C7264" s="7" t="s">
        <v>55</v>
      </c>
      <c r="D7264" s="7" t="s">
        <v>56</v>
      </c>
      <c r="E7264" s="7" t="s">
        <v>39</v>
      </c>
      <c r="F7264" s="0" t="n">
        <v>32.7</v>
      </c>
      <c r="G7264" s="0" t="n">
        <v>-6.54</v>
      </c>
      <c r="H7264" s="0" t="n">
        <v>0.4</v>
      </c>
      <c r="I7264" s="7" t="n">
        <f aca="false">YEAR(B7264)</f>
        <v>2017</v>
      </c>
      <c r="J7264" s="0" t="str">
        <f aca="false">I7264&amp;"-Q"&amp;ROUNDUP(MONTH(B7264)/3,0)</f>
        <v>2017-Q4</v>
      </c>
    </row>
    <row r="7265" customFormat="false" ht="15" hidden="false" customHeight="false" outlineLevel="0" collapsed="false">
      <c r="A7265" s="0" t="s">
        <v>3689</v>
      </c>
      <c r="B7265" s="6" t="n">
        <v>43030</v>
      </c>
      <c r="C7265" s="7" t="s">
        <v>55</v>
      </c>
      <c r="D7265" s="7" t="s">
        <v>56</v>
      </c>
      <c r="E7265" s="7" t="s">
        <v>35</v>
      </c>
      <c r="F7265" s="0" t="n">
        <v>31.68</v>
      </c>
      <c r="G7265" s="0" t="n">
        <v>11.088</v>
      </c>
      <c r="H7265" s="0" t="n">
        <v>0.2</v>
      </c>
      <c r="I7265" s="7" t="n">
        <f aca="false">YEAR(B7265)</f>
        <v>2017</v>
      </c>
      <c r="J7265" s="0" t="str">
        <f aca="false">I7265&amp;"-Q"&amp;ROUNDUP(MONTH(B7265)/3,0)</f>
        <v>2017-Q4</v>
      </c>
    </row>
    <row r="7266" customFormat="false" ht="15" hidden="false" customHeight="false" outlineLevel="0" collapsed="false">
      <c r="A7266" s="0" t="s">
        <v>3690</v>
      </c>
      <c r="B7266" s="6" t="n">
        <v>42899</v>
      </c>
      <c r="C7266" s="7" t="s">
        <v>29</v>
      </c>
      <c r="D7266" s="7" t="s">
        <v>83</v>
      </c>
      <c r="E7266" s="7" t="s">
        <v>35</v>
      </c>
      <c r="F7266" s="0" t="n">
        <v>181.86</v>
      </c>
      <c r="G7266" s="0" t="n">
        <v>50.9208</v>
      </c>
      <c r="H7266" s="0" t="n">
        <v>0</v>
      </c>
      <c r="I7266" s="7" t="n">
        <f aca="false">YEAR(B7266)</f>
        <v>2017</v>
      </c>
      <c r="J7266" s="0" t="str">
        <f aca="false">I7266&amp;"-Q"&amp;ROUNDUP(MONTH(B7266)/3,0)</f>
        <v>2017-Q2</v>
      </c>
    </row>
    <row r="7267" customFormat="false" ht="15" hidden="false" customHeight="false" outlineLevel="0" collapsed="false">
      <c r="A7267" s="0" t="s">
        <v>3691</v>
      </c>
      <c r="B7267" s="6" t="n">
        <v>41966</v>
      </c>
      <c r="C7267" s="7" t="s">
        <v>45</v>
      </c>
      <c r="D7267" s="7" t="s">
        <v>46</v>
      </c>
      <c r="E7267" s="7" t="s">
        <v>31</v>
      </c>
      <c r="F7267" s="0" t="n">
        <v>155.372</v>
      </c>
      <c r="G7267" s="0" t="n">
        <v>-35.5136</v>
      </c>
      <c r="H7267" s="0" t="n">
        <v>0.3</v>
      </c>
      <c r="I7267" s="7" t="n">
        <f aca="false">YEAR(B7267)</f>
        <v>2014</v>
      </c>
      <c r="J7267" s="0" t="str">
        <f aca="false">I7267&amp;"-Q"&amp;ROUNDUP(MONTH(B7267)/3,0)</f>
        <v>2014-Q4</v>
      </c>
    </row>
    <row r="7268" customFormat="false" ht="15" hidden="false" customHeight="false" outlineLevel="0" collapsed="false">
      <c r="A7268" s="0" t="s">
        <v>3692</v>
      </c>
      <c r="B7268" s="6" t="n">
        <v>42963</v>
      </c>
      <c r="C7268" s="7" t="s">
        <v>29</v>
      </c>
      <c r="D7268" s="7" t="s">
        <v>87</v>
      </c>
      <c r="E7268" s="7" t="s">
        <v>35</v>
      </c>
      <c r="F7268" s="0" t="n">
        <v>13.428</v>
      </c>
      <c r="G7268" s="0" t="n">
        <v>-11.19</v>
      </c>
      <c r="H7268" s="0" t="n">
        <v>0.7</v>
      </c>
      <c r="I7268" s="7" t="n">
        <f aca="false">YEAR(B7268)</f>
        <v>2017</v>
      </c>
      <c r="J7268" s="0" t="str">
        <f aca="false">I7268&amp;"-Q"&amp;ROUNDUP(MONTH(B7268)/3,0)</f>
        <v>2017-Q3</v>
      </c>
    </row>
    <row r="7269" customFormat="false" ht="15" hidden="false" customHeight="false" outlineLevel="0" collapsed="false">
      <c r="A7269" s="0" t="s">
        <v>3692</v>
      </c>
      <c r="B7269" s="6" t="n">
        <v>42963</v>
      </c>
      <c r="C7269" s="7" t="s">
        <v>29</v>
      </c>
      <c r="D7269" s="7" t="s">
        <v>87</v>
      </c>
      <c r="E7269" s="7" t="s">
        <v>35</v>
      </c>
      <c r="F7269" s="0" t="n">
        <v>67.136</v>
      </c>
      <c r="G7269" s="0" t="n">
        <v>-0.8392</v>
      </c>
      <c r="H7269" s="0" t="n">
        <v>0.2</v>
      </c>
      <c r="I7269" s="7" t="n">
        <f aca="false">YEAR(B7269)</f>
        <v>2017</v>
      </c>
      <c r="J7269" s="0" t="str">
        <f aca="false">I7269&amp;"-Q"&amp;ROUNDUP(MONTH(B7269)/3,0)</f>
        <v>2017-Q3</v>
      </c>
    </row>
    <row r="7270" customFormat="false" ht="15" hidden="false" customHeight="false" outlineLevel="0" collapsed="false">
      <c r="A7270" s="0" t="s">
        <v>3693</v>
      </c>
      <c r="B7270" s="6" t="n">
        <v>42383</v>
      </c>
      <c r="C7270" s="7" t="s">
        <v>29</v>
      </c>
      <c r="D7270" s="7" t="s">
        <v>41</v>
      </c>
      <c r="E7270" s="7" t="s">
        <v>35</v>
      </c>
      <c r="F7270" s="0" t="n">
        <v>89.568</v>
      </c>
      <c r="G7270" s="0" t="n">
        <v>32.4684</v>
      </c>
      <c r="H7270" s="0" t="n">
        <v>0.2</v>
      </c>
      <c r="I7270" s="7" t="n">
        <f aca="false">YEAR(B7270)</f>
        <v>2016</v>
      </c>
      <c r="J7270" s="0" t="str">
        <f aca="false">I7270&amp;"-Q"&amp;ROUNDUP(MONTH(B7270)/3,0)</f>
        <v>2016-Q1</v>
      </c>
    </row>
    <row r="7271" customFormat="false" ht="15" hidden="false" customHeight="false" outlineLevel="0" collapsed="false">
      <c r="A7271" s="0" t="s">
        <v>3693</v>
      </c>
      <c r="B7271" s="6" t="n">
        <v>42383</v>
      </c>
      <c r="C7271" s="7" t="s">
        <v>29</v>
      </c>
      <c r="D7271" s="7" t="s">
        <v>41</v>
      </c>
      <c r="E7271" s="7" t="s">
        <v>31</v>
      </c>
      <c r="F7271" s="0" t="n">
        <v>315.776</v>
      </c>
      <c r="G7271" s="0" t="n">
        <v>31.5776</v>
      </c>
      <c r="H7271" s="0" t="n">
        <v>0.2</v>
      </c>
      <c r="I7271" s="7" t="n">
        <f aca="false">YEAR(B7271)</f>
        <v>2016</v>
      </c>
      <c r="J7271" s="0" t="str">
        <f aca="false">I7271&amp;"-Q"&amp;ROUNDUP(MONTH(B7271)/3,0)</f>
        <v>2016-Q1</v>
      </c>
    </row>
    <row r="7272" customFormat="false" ht="15" hidden="false" customHeight="false" outlineLevel="0" collapsed="false">
      <c r="A7272" s="0" t="s">
        <v>3694</v>
      </c>
      <c r="B7272" s="6" t="n">
        <v>42629</v>
      </c>
      <c r="C7272" s="7" t="s">
        <v>33</v>
      </c>
      <c r="D7272" s="7" t="s">
        <v>34</v>
      </c>
      <c r="E7272" s="7" t="s">
        <v>31</v>
      </c>
      <c r="F7272" s="0" t="n">
        <v>273.666</v>
      </c>
      <c r="G7272" s="0" t="n">
        <v>-12.8784</v>
      </c>
      <c r="H7272" s="0" t="n">
        <v>0.15</v>
      </c>
      <c r="I7272" s="7" t="n">
        <f aca="false">YEAR(B7272)</f>
        <v>2016</v>
      </c>
      <c r="J7272" s="0" t="str">
        <f aca="false">I7272&amp;"-Q"&amp;ROUNDUP(MONTH(B7272)/3,0)</f>
        <v>2016-Q3</v>
      </c>
    </row>
    <row r="7273" customFormat="false" ht="15" hidden="false" customHeight="false" outlineLevel="0" collapsed="false">
      <c r="A7273" s="0" t="s">
        <v>3694</v>
      </c>
      <c r="B7273" s="6" t="n">
        <v>42629</v>
      </c>
      <c r="C7273" s="7" t="s">
        <v>33</v>
      </c>
      <c r="D7273" s="7" t="s">
        <v>34</v>
      </c>
      <c r="E7273" s="7" t="s">
        <v>35</v>
      </c>
      <c r="F7273" s="0" t="n">
        <v>17.48</v>
      </c>
      <c r="G7273" s="0" t="n">
        <v>4.5448</v>
      </c>
      <c r="H7273" s="0" t="n">
        <v>0</v>
      </c>
      <c r="I7273" s="7" t="n">
        <f aca="false">YEAR(B7273)</f>
        <v>2016</v>
      </c>
      <c r="J7273" s="0" t="str">
        <f aca="false">I7273&amp;"-Q"&amp;ROUNDUP(MONTH(B7273)/3,0)</f>
        <v>2016-Q3</v>
      </c>
    </row>
    <row r="7274" customFormat="false" ht="15" hidden="false" customHeight="false" outlineLevel="0" collapsed="false">
      <c r="A7274" s="0" t="s">
        <v>3695</v>
      </c>
      <c r="B7274" s="6" t="n">
        <v>42653</v>
      </c>
      <c r="C7274" s="7" t="s">
        <v>29</v>
      </c>
      <c r="D7274" s="7" t="s">
        <v>41</v>
      </c>
      <c r="E7274" s="7" t="s">
        <v>35</v>
      </c>
      <c r="F7274" s="0" t="n">
        <v>20.608</v>
      </c>
      <c r="G7274" s="0" t="n">
        <v>-4.3792</v>
      </c>
      <c r="H7274" s="0" t="n">
        <v>0.2</v>
      </c>
      <c r="I7274" s="7" t="n">
        <f aca="false">YEAR(B7274)</f>
        <v>2016</v>
      </c>
      <c r="J7274" s="0" t="str">
        <f aca="false">I7274&amp;"-Q"&amp;ROUNDUP(MONTH(B7274)/3,0)</f>
        <v>2016-Q4</v>
      </c>
    </row>
    <row r="7275" customFormat="false" ht="15" hidden="false" customHeight="false" outlineLevel="0" collapsed="false">
      <c r="A7275" s="0" t="s">
        <v>3695</v>
      </c>
      <c r="B7275" s="6" t="n">
        <v>42653</v>
      </c>
      <c r="C7275" s="7" t="s">
        <v>29</v>
      </c>
      <c r="D7275" s="7" t="s">
        <v>41</v>
      </c>
      <c r="E7275" s="7" t="s">
        <v>35</v>
      </c>
      <c r="F7275" s="0" t="n">
        <v>4.095</v>
      </c>
      <c r="G7275" s="0" t="n">
        <v>-2.73</v>
      </c>
      <c r="H7275" s="0" t="n">
        <v>0.7</v>
      </c>
      <c r="I7275" s="7" t="n">
        <f aca="false">YEAR(B7275)</f>
        <v>2016</v>
      </c>
      <c r="J7275" s="0" t="str">
        <f aca="false">I7275&amp;"-Q"&amp;ROUNDUP(MONTH(B7275)/3,0)</f>
        <v>2016-Q4</v>
      </c>
    </row>
    <row r="7276" customFormat="false" ht="15" hidden="false" customHeight="false" outlineLevel="0" collapsed="false">
      <c r="A7276" s="0" t="s">
        <v>3696</v>
      </c>
      <c r="B7276" s="6" t="n">
        <v>42321</v>
      </c>
      <c r="C7276" s="7" t="s">
        <v>33</v>
      </c>
      <c r="D7276" s="7" t="s">
        <v>310</v>
      </c>
      <c r="E7276" s="7" t="s">
        <v>39</v>
      </c>
      <c r="F7276" s="0" t="n">
        <v>339.96</v>
      </c>
      <c r="G7276" s="0" t="n">
        <v>42.495</v>
      </c>
      <c r="H7276" s="0" t="n">
        <v>0.2</v>
      </c>
      <c r="I7276" s="7" t="n">
        <f aca="false">YEAR(B7276)</f>
        <v>2015</v>
      </c>
      <c r="J7276" s="0" t="str">
        <f aca="false">I7276&amp;"-Q"&amp;ROUNDUP(MONTH(B7276)/3,0)</f>
        <v>2015-Q4</v>
      </c>
    </row>
    <row r="7277" customFormat="false" ht="15" hidden="false" customHeight="false" outlineLevel="0" collapsed="false">
      <c r="A7277" s="0" t="s">
        <v>3696</v>
      </c>
      <c r="B7277" s="6" t="n">
        <v>42321</v>
      </c>
      <c r="C7277" s="7" t="s">
        <v>33</v>
      </c>
      <c r="D7277" s="7" t="s">
        <v>310</v>
      </c>
      <c r="E7277" s="7" t="s">
        <v>31</v>
      </c>
      <c r="F7277" s="0" t="n">
        <v>63.98</v>
      </c>
      <c r="G7277" s="0" t="n">
        <v>21.7532</v>
      </c>
      <c r="H7277" s="0" t="n">
        <v>0</v>
      </c>
      <c r="I7277" s="7" t="n">
        <f aca="false">YEAR(B7277)</f>
        <v>2015</v>
      </c>
      <c r="J7277" s="0" t="str">
        <f aca="false">I7277&amp;"-Q"&amp;ROUNDUP(MONTH(B7277)/3,0)</f>
        <v>2015-Q4</v>
      </c>
    </row>
    <row r="7278" customFormat="false" ht="15" hidden="false" customHeight="false" outlineLevel="0" collapsed="false">
      <c r="A7278" s="0" t="s">
        <v>3697</v>
      </c>
      <c r="B7278" s="6" t="n">
        <v>41945</v>
      </c>
      <c r="C7278" s="7" t="s">
        <v>29</v>
      </c>
      <c r="D7278" s="7" t="s">
        <v>37</v>
      </c>
      <c r="E7278" s="7" t="s">
        <v>39</v>
      </c>
      <c r="F7278" s="0" t="n">
        <v>799.92</v>
      </c>
      <c r="G7278" s="0" t="n">
        <v>239.976</v>
      </c>
      <c r="H7278" s="0" t="n">
        <v>0.2</v>
      </c>
      <c r="I7278" s="7" t="n">
        <f aca="false">YEAR(B7278)</f>
        <v>2014</v>
      </c>
      <c r="J7278" s="0" t="str">
        <f aca="false">I7278&amp;"-Q"&amp;ROUNDUP(MONTH(B7278)/3,0)</f>
        <v>2014-Q4</v>
      </c>
    </row>
    <row r="7279" customFormat="false" ht="15" hidden="false" customHeight="false" outlineLevel="0" collapsed="false">
      <c r="A7279" s="0" t="s">
        <v>3698</v>
      </c>
      <c r="B7279" s="6" t="n">
        <v>42570</v>
      </c>
      <c r="C7279" s="7" t="s">
        <v>33</v>
      </c>
      <c r="D7279" s="7" t="s">
        <v>34</v>
      </c>
      <c r="E7279" s="7" t="s">
        <v>39</v>
      </c>
      <c r="F7279" s="0" t="n">
        <v>35.984</v>
      </c>
      <c r="G7279" s="0" t="n">
        <v>4.498</v>
      </c>
      <c r="H7279" s="0" t="n">
        <v>0.2</v>
      </c>
      <c r="I7279" s="7" t="n">
        <f aca="false">YEAR(B7279)</f>
        <v>2016</v>
      </c>
      <c r="J7279" s="0" t="str">
        <f aca="false">I7279&amp;"-Q"&amp;ROUNDUP(MONTH(B7279)/3,0)</f>
        <v>2016-Q3</v>
      </c>
    </row>
    <row r="7280" customFormat="false" ht="15" hidden="false" customHeight="false" outlineLevel="0" collapsed="false">
      <c r="A7280" s="0" t="s">
        <v>3698</v>
      </c>
      <c r="B7280" s="6" t="n">
        <v>42570</v>
      </c>
      <c r="C7280" s="7" t="s">
        <v>33</v>
      </c>
      <c r="D7280" s="7" t="s">
        <v>34</v>
      </c>
      <c r="E7280" s="7" t="s">
        <v>39</v>
      </c>
      <c r="F7280" s="0" t="n">
        <v>389.97</v>
      </c>
      <c r="G7280" s="0" t="n">
        <v>132.5898</v>
      </c>
      <c r="H7280" s="0" t="n">
        <v>0</v>
      </c>
      <c r="I7280" s="7" t="n">
        <f aca="false">YEAR(B7280)</f>
        <v>2016</v>
      </c>
      <c r="J7280" s="0" t="str">
        <f aca="false">I7280&amp;"-Q"&amp;ROUNDUP(MONTH(B7280)/3,0)</f>
        <v>2016-Q3</v>
      </c>
    </row>
    <row r="7281" customFormat="false" ht="15" hidden="false" customHeight="false" outlineLevel="0" collapsed="false">
      <c r="A7281" s="0" t="s">
        <v>3699</v>
      </c>
      <c r="B7281" s="6" t="n">
        <v>42504</v>
      </c>
      <c r="C7281" s="7" t="s">
        <v>33</v>
      </c>
      <c r="D7281" s="7" t="s">
        <v>81</v>
      </c>
      <c r="E7281" s="7" t="s">
        <v>39</v>
      </c>
      <c r="F7281" s="0" t="n">
        <v>185.528</v>
      </c>
      <c r="G7281" s="0" t="n">
        <v>48.7011</v>
      </c>
      <c r="H7281" s="0" t="n">
        <v>0.2</v>
      </c>
      <c r="I7281" s="7" t="n">
        <f aca="false">YEAR(B7281)</f>
        <v>2016</v>
      </c>
      <c r="J7281" s="0" t="str">
        <f aca="false">I7281&amp;"-Q"&amp;ROUNDUP(MONTH(B7281)/3,0)</f>
        <v>2016-Q2</v>
      </c>
    </row>
    <row r="7282" customFormat="false" ht="15" hidden="false" customHeight="false" outlineLevel="0" collapsed="false">
      <c r="A7282" s="0" t="s">
        <v>3700</v>
      </c>
      <c r="B7282" s="6" t="n">
        <v>42056</v>
      </c>
      <c r="C7282" s="7" t="s">
        <v>55</v>
      </c>
      <c r="D7282" s="7" t="s">
        <v>495</v>
      </c>
      <c r="E7282" s="7" t="s">
        <v>35</v>
      </c>
      <c r="F7282" s="0" t="n">
        <v>2541.98</v>
      </c>
      <c r="G7282" s="0" t="n">
        <v>1270.99</v>
      </c>
      <c r="H7282" s="0" t="n">
        <v>0</v>
      </c>
      <c r="I7282" s="7" t="n">
        <f aca="false">YEAR(B7282)</f>
        <v>2015</v>
      </c>
      <c r="J7282" s="0" t="str">
        <f aca="false">I7282&amp;"-Q"&amp;ROUNDUP(MONTH(B7282)/3,0)</f>
        <v>2015-Q1</v>
      </c>
    </row>
    <row r="7283" customFormat="false" ht="15" hidden="false" customHeight="false" outlineLevel="0" collapsed="false">
      <c r="A7283" s="0" t="s">
        <v>3701</v>
      </c>
      <c r="B7283" s="6" t="n">
        <v>43024</v>
      </c>
      <c r="C7283" s="7" t="s">
        <v>33</v>
      </c>
      <c r="D7283" s="7" t="s">
        <v>81</v>
      </c>
      <c r="E7283" s="7" t="s">
        <v>39</v>
      </c>
      <c r="F7283" s="0" t="n">
        <v>599.985</v>
      </c>
      <c r="G7283" s="0" t="n">
        <v>-479.988</v>
      </c>
      <c r="H7283" s="0" t="n">
        <v>0.7</v>
      </c>
      <c r="I7283" s="7" t="n">
        <f aca="false">YEAR(B7283)</f>
        <v>2017</v>
      </c>
      <c r="J7283" s="0" t="str">
        <f aca="false">I7283&amp;"-Q"&amp;ROUNDUP(MONTH(B7283)/3,0)</f>
        <v>2017-Q4</v>
      </c>
    </row>
    <row r="7284" customFormat="false" ht="15" hidden="false" customHeight="false" outlineLevel="0" collapsed="false">
      <c r="A7284" s="0" t="s">
        <v>3702</v>
      </c>
      <c r="B7284" s="6" t="n">
        <v>42908</v>
      </c>
      <c r="C7284" s="7" t="s">
        <v>45</v>
      </c>
      <c r="D7284" s="7" t="s">
        <v>64</v>
      </c>
      <c r="E7284" s="7" t="s">
        <v>35</v>
      </c>
      <c r="F7284" s="0" t="n">
        <v>3.036</v>
      </c>
      <c r="G7284" s="0" t="n">
        <v>-5.0094</v>
      </c>
      <c r="H7284" s="0" t="n">
        <v>0.8</v>
      </c>
      <c r="I7284" s="7" t="n">
        <f aca="false">YEAR(B7284)</f>
        <v>2017</v>
      </c>
      <c r="J7284" s="0" t="str">
        <f aca="false">I7284&amp;"-Q"&amp;ROUNDUP(MONTH(B7284)/3,0)</f>
        <v>2017-Q2</v>
      </c>
    </row>
    <row r="7285" customFormat="false" ht="15" hidden="false" customHeight="false" outlineLevel="0" collapsed="false">
      <c r="A7285" s="0" t="s">
        <v>3703</v>
      </c>
      <c r="B7285" s="6" t="n">
        <v>42987</v>
      </c>
      <c r="C7285" s="7" t="s">
        <v>55</v>
      </c>
      <c r="D7285" s="7" t="s">
        <v>116</v>
      </c>
      <c r="E7285" s="7" t="s">
        <v>35</v>
      </c>
      <c r="F7285" s="0" t="n">
        <v>25.92</v>
      </c>
      <c r="G7285" s="0" t="n">
        <v>3.888</v>
      </c>
      <c r="H7285" s="0" t="n">
        <v>0.2</v>
      </c>
      <c r="I7285" s="7" t="n">
        <f aca="false">YEAR(B7285)</f>
        <v>2017</v>
      </c>
      <c r="J7285" s="0" t="str">
        <f aca="false">I7285&amp;"-Q"&amp;ROUNDUP(MONTH(B7285)/3,0)</f>
        <v>2017-Q3</v>
      </c>
    </row>
    <row r="7286" customFormat="false" ht="15" hidden="false" customHeight="false" outlineLevel="0" collapsed="false">
      <c r="A7286" s="0" t="s">
        <v>3703</v>
      </c>
      <c r="B7286" s="6" t="n">
        <v>42987</v>
      </c>
      <c r="C7286" s="7" t="s">
        <v>55</v>
      </c>
      <c r="D7286" s="7" t="s">
        <v>116</v>
      </c>
      <c r="E7286" s="7" t="s">
        <v>31</v>
      </c>
      <c r="F7286" s="0" t="n">
        <v>66.112</v>
      </c>
      <c r="G7286" s="0" t="n">
        <v>-9.0904</v>
      </c>
      <c r="H7286" s="0" t="n">
        <v>0.2</v>
      </c>
      <c r="I7286" s="7" t="n">
        <f aca="false">YEAR(B7286)</f>
        <v>2017</v>
      </c>
      <c r="J7286" s="0" t="str">
        <f aca="false">I7286&amp;"-Q"&amp;ROUNDUP(MONTH(B7286)/3,0)</f>
        <v>2017-Q3</v>
      </c>
    </row>
    <row r="7287" customFormat="false" ht="15" hidden="false" customHeight="false" outlineLevel="0" collapsed="false">
      <c r="A7287" s="0" t="s">
        <v>3704</v>
      </c>
      <c r="B7287" s="6" t="n">
        <v>43022</v>
      </c>
      <c r="C7287" s="7" t="s">
        <v>33</v>
      </c>
      <c r="D7287" s="7" t="s">
        <v>34</v>
      </c>
      <c r="E7287" s="7" t="s">
        <v>39</v>
      </c>
      <c r="F7287" s="0" t="n">
        <v>46.36</v>
      </c>
      <c r="G7287" s="0" t="n">
        <v>15.2988</v>
      </c>
      <c r="H7287" s="0" t="n">
        <v>0</v>
      </c>
      <c r="I7287" s="7" t="n">
        <f aca="false">YEAR(B7287)</f>
        <v>2017</v>
      </c>
      <c r="J7287" s="0" t="str">
        <f aca="false">I7287&amp;"-Q"&amp;ROUNDUP(MONTH(B7287)/3,0)</f>
        <v>2017-Q4</v>
      </c>
    </row>
    <row r="7288" customFormat="false" ht="15" hidden="false" customHeight="false" outlineLevel="0" collapsed="false">
      <c r="A7288" s="0" t="s">
        <v>3705</v>
      </c>
      <c r="B7288" s="6" t="n">
        <v>42541</v>
      </c>
      <c r="C7288" s="7" t="s">
        <v>45</v>
      </c>
      <c r="D7288" s="7" t="s">
        <v>138</v>
      </c>
      <c r="E7288" s="7" t="s">
        <v>39</v>
      </c>
      <c r="F7288" s="0" t="n">
        <v>6.9</v>
      </c>
      <c r="G7288" s="0" t="n">
        <v>0.552</v>
      </c>
      <c r="H7288" s="0" t="n">
        <v>0</v>
      </c>
      <c r="I7288" s="7" t="n">
        <f aca="false">YEAR(B7288)</f>
        <v>2016</v>
      </c>
      <c r="J7288" s="0" t="str">
        <f aca="false">I7288&amp;"-Q"&amp;ROUNDUP(MONTH(B7288)/3,0)</f>
        <v>2016-Q2</v>
      </c>
    </row>
    <row r="7289" customFormat="false" ht="15" hidden="false" customHeight="false" outlineLevel="0" collapsed="false">
      <c r="A7289" s="0" t="s">
        <v>3705</v>
      </c>
      <c r="B7289" s="6" t="n">
        <v>42541</v>
      </c>
      <c r="C7289" s="7" t="s">
        <v>45</v>
      </c>
      <c r="D7289" s="7" t="s">
        <v>138</v>
      </c>
      <c r="E7289" s="7" t="s">
        <v>31</v>
      </c>
      <c r="F7289" s="0" t="n">
        <v>57.69</v>
      </c>
      <c r="G7289" s="0" t="n">
        <v>23.6529</v>
      </c>
      <c r="H7289" s="0" t="n">
        <v>0</v>
      </c>
      <c r="I7289" s="7" t="n">
        <f aca="false">YEAR(B7289)</f>
        <v>2016</v>
      </c>
      <c r="J7289" s="0" t="str">
        <f aca="false">I7289&amp;"-Q"&amp;ROUNDUP(MONTH(B7289)/3,0)</f>
        <v>2016-Q2</v>
      </c>
    </row>
    <row r="7290" customFormat="false" ht="15" hidden="false" customHeight="false" outlineLevel="0" collapsed="false">
      <c r="A7290" s="0" t="s">
        <v>3706</v>
      </c>
      <c r="B7290" s="6" t="n">
        <v>41884</v>
      </c>
      <c r="C7290" s="7" t="s">
        <v>45</v>
      </c>
      <c r="D7290" s="7" t="s">
        <v>46</v>
      </c>
      <c r="E7290" s="7" t="s">
        <v>39</v>
      </c>
      <c r="F7290" s="0" t="n">
        <v>559.71</v>
      </c>
      <c r="G7290" s="0" t="n">
        <v>-121.2705</v>
      </c>
      <c r="H7290" s="0" t="n">
        <v>0.4</v>
      </c>
      <c r="I7290" s="7" t="n">
        <f aca="false">YEAR(B7290)</f>
        <v>2014</v>
      </c>
      <c r="J7290" s="0" t="str">
        <f aca="false">I7290&amp;"-Q"&amp;ROUNDUP(MONTH(B7290)/3,0)</f>
        <v>2014-Q3</v>
      </c>
    </row>
    <row r="7291" customFormat="false" ht="15" hidden="false" customHeight="false" outlineLevel="0" collapsed="false">
      <c r="A7291" s="0" t="s">
        <v>3707</v>
      </c>
      <c r="B7291" s="6" t="n">
        <v>42399</v>
      </c>
      <c r="C7291" s="7" t="s">
        <v>33</v>
      </c>
      <c r="D7291" s="7" t="s">
        <v>34</v>
      </c>
      <c r="E7291" s="7" t="s">
        <v>35</v>
      </c>
      <c r="F7291" s="0" t="n">
        <v>305.01</v>
      </c>
      <c r="G7291" s="0" t="n">
        <v>76.2525</v>
      </c>
      <c r="H7291" s="0" t="n">
        <v>0</v>
      </c>
      <c r="I7291" s="7" t="n">
        <f aca="false">YEAR(B7291)</f>
        <v>2016</v>
      </c>
      <c r="J7291" s="0" t="str">
        <f aca="false">I7291&amp;"-Q"&amp;ROUNDUP(MONTH(B7291)/3,0)</f>
        <v>2016-Q1</v>
      </c>
    </row>
    <row r="7292" customFormat="false" ht="15" hidden="false" customHeight="false" outlineLevel="0" collapsed="false">
      <c r="A7292" s="0" t="s">
        <v>3707</v>
      </c>
      <c r="B7292" s="6" t="n">
        <v>42399</v>
      </c>
      <c r="C7292" s="7" t="s">
        <v>33</v>
      </c>
      <c r="D7292" s="7" t="s">
        <v>34</v>
      </c>
      <c r="E7292" s="7" t="s">
        <v>35</v>
      </c>
      <c r="F7292" s="0" t="n">
        <v>50.784</v>
      </c>
      <c r="G7292" s="0" t="n">
        <v>17.7744</v>
      </c>
      <c r="H7292" s="0" t="n">
        <v>0.2</v>
      </c>
      <c r="I7292" s="7" t="n">
        <f aca="false">YEAR(B7292)</f>
        <v>2016</v>
      </c>
      <c r="J7292" s="0" t="str">
        <f aca="false">I7292&amp;"-Q"&amp;ROUNDUP(MONTH(B7292)/3,0)</f>
        <v>2016-Q1</v>
      </c>
    </row>
    <row r="7293" customFormat="false" ht="15" hidden="false" customHeight="false" outlineLevel="0" collapsed="false">
      <c r="A7293" s="0" t="s">
        <v>3707</v>
      </c>
      <c r="B7293" s="6" t="n">
        <v>42399</v>
      </c>
      <c r="C7293" s="7" t="s">
        <v>33</v>
      </c>
      <c r="D7293" s="7" t="s">
        <v>34</v>
      </c>
      <c r="E7293" s="7" t="s">
        <v>35</v>
      </c>
      <c r="F7293" s="0" t="n">
        <v>26.01</v>
      </c>
      <c r="G7293" s="0" t="n">
        <v>12.2247</v>
      </c>
      <c r="H7293" s="0" t="n">
        <v>0</v>
      </c>
      <c r="I7293" s="7" t="n">
        <f aca="false">YEAR(B7293)</f>
        <v>2016</v>
      </c>
      <c r="J7293" s="0" t="str">
        <f aca="false">I7293&amp;"-Q"&amp;ROUNDUP(MONTH(B7293)/3,0)</f>
        <v>2016-Q1</v>
      </c>
    </row>
    <row r="7294" customFormat="false" ht="15" hidden="false" customHeight="false" outlineLevel="0" collapsed="false">
      <c r="A7294" s="0" t="s">
        <v>3708</v>
      </c>
      <c r="B7294" s="6" t="n">
        <v>43073</v>
      </c>
      <c r="C7294" s="7" t="s">
        <v>29</v>
      </c>
      <c r="D7294" s="7" t="s">
        <v>87</v>
      </c>
      <c r="E7294" s="7" t="s">
        <v>39</v>
      </c>
      <c r="F7294" s="0" t="n">
        <v>649</v>
      </c>
      <c r="G7294" s="0" t="n">
        <v>-272.58</v>
      </c>
      <c r="H7294" s="0" t="n">
        <v>0.5</v>
      </c>
      <c r="I7294" s="7" t="n">
        <f aca="false">YEAR(B7294)</f>
        <v>2017</v>
      </c>
      <c r="J7294" s="0" t="str">
        <f aca="false">I7294&amp;"-Q"&amp;ROUNDUP(MONTH(B7294)/3,0)</f>
        <v>2017-Q4</v>
      </c>
    </row>
    <row r="7295" customFormat="false" ht="15" hidden="false" customHeight="false" outlineLevel="0" collapsed="false">
      <c r="A7295" s="0" t="s">
        <v>3709</v>
      </c>
      <c r="B7295" s="6" t="n">
        <v>42392</v>
      </c>
      <c r="C7295" s="7" t="s">
        <v>33</v>
      </c>
      <c r="D7295" s="7" t="s">
        <v>34</v>
      </c>
      <c r="E7295" s="7" t="s">
        <v>31</v>
      </c>
      <c r="F7295" s="0" t="n">
        <v>59.99</v>
      </c>
      <c r="G7295" s="0" t="n">
        <v>21.5964</v>
      </c>
      <c r="H7295" s="0" t="n">
        <v>0</v>
      </c>
      <c r="I7295" s="7" t="n">
        <f aca="false">YEAR(B7295)</f>
        <v>2016</v>
      </c>
      <c r="J7295" s="0" t="str">
        <f aca="false">I7295&amp;"-Q"&amp;ROUNDUP(MONTH(B7295)/3,0)</f>
        <v>2016-Q1</v>
      </c>
    </row>
    <row r="7296" customFormat="false" ht="15" hidden="false" customHeight="false" outlineLevel="0" collapsed="false">
      <c r="A7296" s="0" t="s">
        <v>3710</v>
      </c>
      <c r="B7296" s="6" t="n">
        <v>42150</v>
      </c>
      <c r="C7296" s="7" t="s">
        <v>33</v>
      </c>
      <c r="D7296" s="7" t="s">
        <v>43</v>
      </c>
      <c r="E7296" s="7" t="s">
        <v>31</v>
      </c>
      <c r="F7296" s="0" t="n">
        <v>20.24</v>
      </c>
      <c r="G7296" s="0" t="n">
        <v>7.8936</v>
      </c>
      <c r="H7296" s="0" t="n">
        <v>0</v>
      </c>
      <c r="I7296" s="7" t="n">
        <f aca="false">YEAR(B7296)</f>
        <v>2015</v>
      </c>
      <c r="J7296" s="0" t="str">
        <f aca="false">I7296&amp;"-Q"&amp;ROUNDUP(MONTH(B7296)/3,0)</f>
        <v>2015-Q2</v>
      </c>
    </row>
    <row r="7297" customFormat="false" ht="15" hidden="false" customHeight="false" outlineLevel="0" collapsed="false">
      <c r="A7297" s="0" t="s">
        <v>3711</v>
      </c>
      <c r="B7297" s="6" t="n">
        <v>41763</v>
      </c>
      <c r="C7297" s="7" t="s">
        <v>45</v>
      </c>
      <c r="D7297" s="7" t="s">
        <v>46</v>
      </c>
      <c r="E7297" s="7" t="s">
        <v>35</v>
      </c>
      <c r="F7297" s="0" t="n">
        <v>37.84</v>
      </c>
      <c r="G7297" s="0" t="n">
        <v>2.838</v>
      </c>
      <c r="H7297" s="0" t="n">
        <v>0.2</v>
      </c>
      <c r="I7297" s="7" t="n">
        <f aca="false">YEAR(B7297)</f>
        <v>2014</v>
      </c>
      <c r="J7297" s="0" t="str">
        <f aca="false">I7297&amp;"-Q"&amp;ROUNDUP(MONTH(B7297)/3,0)</f>
        <v>2014-Q2</v>
      </c>
    </row>
    <row r="7298" customFormat="false" ht="15" hidden="false" customHeight="false" outlineLevel="0" collapsed="false">
      <c r="A7298" s="0" t="s">
        <v>3711</v>
      </c>
      <c r="B7298" s="6" t="n">
        <v>41763</v>
      </c>
      <c r="C7298" s="7" t="s">
        <v>45</v>
      </c>
      <c r="D7298" s="7" t="s">
        <v>46</v>
      </c>
      <c r="E7298" s="7" t="s">
        <v>35</v>
      </c>
      <c r="F7298" s="0" t="n">
        <v>5.472</v>
      </c>
      <c r="G7298" s="0" t="n">
        <v>1.8468</v>
      </c>
      <c r="H7298" s="0" t="n">
        <v>0.2</v>
      </c>
      <c r="I7298" s="7" t="n">
        <f aca="false">YEAR(B7298)</f>
        <v>2014</v>
      </c>
      <c r="J7298" s="0" t="str">
        <f aca="false">I7298&amp;"-Q"&amp;ROUNDUP(MONTH(B7298)/3,0)</f>
        <v>2014-Q2</v>
      </c>
    </row>
    <row r="7299" customFormat="false" ht="15" hidden="false" customHeight="false" outlineLevel="0" collapsed="false">
      <c r="A7299" s="0" t="s">
        <v>3712</v>
      </c>
      <c r="B7299" s="6" t="n">
        <v>42045</v>
      </c>
      <c r="C7299" s="7" t="s">
        <v>55</v>
      </c>
      <c r="D7299" s="7" t="s">
        <v>56</v>
      </c>
      <c r="E7299" s="7" t="s">
        <v>35</v>
      </c>
      <c r="F7299" s="0" t="n">
        <v>77.24</v>
      </c>
      <c r="G7299" s="0" t="n">
        <v>7.724</v>
      </c>
      <c r="H7299" s="0" t="n">
        <v>0.2</v>
      </c>
      <c r="I7299" s="7" t="n">
        <f aca="false">YEAR(B7299)</f>
        <v>2015</v>
      </c>
      <c r="J7299" s="0" t="str">
        <f aca="false">I7299&amp;"-Q"&amp;ROUNDUP(MONTH(B7299)/3,0)</f>
        <v>2015-Q1</v>
      </c>
    </row>
    <row r="7300" customFormat="false" ht="15" hidden="false" customHeight="false" outlineLevel="0" collapsed="false">
      <c r="A7300" s="0" t="s">
        <v>3713</v>
      </c>
      <c r="B7300" s="6" t="n">
        <v>41961</v>
      </c>
      <c r="C7300" s="7" t="s">
        <v>45</v>
      </c>
      <c r="D7300" s="7" t="s">
        <v>64</v>
      </c>
      <c r="E7300" s="7" t="s">
        <v>31</v>
      </c>
      <c r="F7300" s="0" t="n">
        <v>292.1</v>
      </c>
      <c r="G7300" s="0" t="n">
        <v>-175.26</v>
      </c>
      <c r="H7300" s="0" t="n">
        <v>0.5</v>
      </c>
      <c r="I7300" s="7" t="n">
        <f aca="false">YEAR(B7300)</f>
        <v>2014</v>
      </c>
      <c r="J7300" s="0" t="str">
        <f aca="false">I7300&amp;"-Q"&amp;ROUNDUP(MONTH(B7300)/3,0)</f>
        <v>2014-Q4</v>
      </c>
    </row>
    <row r="7301" customFormat="false" ht="15" hidden="false" customHeight="false" outlineLevel="0" collapsed="false">
      <c r="A7301" s="0" t="s">
        <v>3713</v>
      </c>
      <c r="B7301" s="6" t="n">
        <v>41961</v>
      </c>
      <c r="C7301" s="7" t="s">
        <v>45</v>
      </c>
      <c r="D7301" s="7" t="s">
        <v>64</v>
      </c>
      <c r="E7301" s="7" t="s">
        <v>31</v>
      </c>
      <c r="F7301" s="0" t="n">
        <v>8.544</v>
      </c>
      <c r="G7301" s="0" t="n">
        <v>-7.476</v>
      </c>
      <c r="H7301" s="0" t="n">
        <v>0.6</v>
      </c>
      <c r="I7301" s="7" t="n">
        <f aca="false">YEAR(B7301)</f>
        <v>2014</v>
      </c>
      <c r="J7301" s="0" t="str">
        <f aca="false">I7301&amp;"-Q"&amp;ROUNDUP(MONTH(B7301)/3,0)</f>
        <v>2014-Q4</v>
      </c>
    </row>
    <row r="7302" customFormat="false" ht="15" hidden="false" customHeight="false" outlineLevel="0" collapsed="false">
      <c r="A7302" s="0" t="s">
        <v>3713</v>
      </c>
      <c r="B7302" s="6" t="n">
        <v>41961</v>
      </c>
      <c r="C7302" s="7" t="s">
        <v>45</v>
      </c>
      <c r="D7302" s="7" t="s">
        <v>64</v>
      </c>
      <c r="E7302" s="7" t="s">
        <v>31</v>
      </c>
      <c r="F7302" s="0" t="n">
        <v>424.116</v>
      </c>
      <c r="G7302" s="0" t="n">
        <v>-30.294</v>
      </c>
      <c r="H7302" s="0" t="n">
        <v>0.3</v>
      </c>
      <c r="I7302" s="7" t="n">
        <f aca="false">YEAR(B7302)</f>
        <v>2014</v>
      </c>
      <c r="J7302" s="0" t="str">
        <f aca="false">I7302&amp;"-Q"&amp;ROUNDUP(MONTH(B7302)/3,0)</f>
        <v>2014-Q4</v>
      </c>
    </row>
    <row r="7303" customFormat="false" ht="15" hidden="false" customHeight="false" outlineLevel="0" collapsed="false">
      <c r="A7303" s="0" t="s">
        <v>3713</v>
      </c>
      <c r="B7303" s="6" t="n">
        <v>41961</v>
      </c>
      <c r="C7303" s="7" t="s">
        <v>45</v>
      </c>
      <c r="D7303" s="7" t="s">
        <v>64</v>
      </c>
      <c r="E7303" s="7" t="s">
        <v>35</v>
      </c>
      <c r="F7303" s="0" t="n">
        <v>2.892</v>
      </c>
      <c r="G7303" s="0" t="n">
        <v>-4.9164</v>
      </c>
      <c r="H7303" s="0" t="n">
        <v>0.8</v>
      </c>
      <c r="I7303" s="7" t="n">
        <f aca="false">YEAR(B7303)</f>
        <v>2014</v>
      </c>
      <c r="J7303" s="0" t="str">
        <f aca="false">I7303&amp;"-Q"&amp;ROUNDUP(MONTH(B7303)/3,0)</f>
        <v>2014-Q4</v>
      </c>
    </row>
    <row r="7304" customFormat="false" ht="15" hidden="false" customHeight="false" outlineLevel="0" collapsed="false">
      <c r="A7304" s="0" t="s">
        <v>3713</v>
      </c>
      <c r="B7304" s="6" t="n">
        <v>41961</v>
      </c>
      <c r="C7304" s="7" t="s">
        <v>45</v>
      </c>
      <c r="D7304" s="7" t="s">
        <v>64</v>
      </c>
      <c r="E7304" s="7" t="s">
        <v>35</v>
      </c>
      <c r="F7304" s="0" t="n">
        <v>381.72</v>
      </c>
      <c r="G7304" s="0" t="n">
        <v>-66.801</v>
      </c>
      <c r="H7304" s="0" t="n">
        <v>0.2</v>
      </c>
      <c r="I7304" s="7" t="n">
        <f aca="false">YEAR(B7304)</f>
        <v>2014</v>
      </c>
      <c r="J7304" s="0" t="str">
        <f aca="false">I7304&amp;"-Q"&amp;ROUNDUP(MONTH(B7304)/3,0)</f>
        <v>2014-Q4</v>
      </c>
    </row>
    <row r="7305" customFormat="false" ht="15" hidden="false" customHeight="false" outlineLevel="0" collapsed="false">
      <c r="A7305" s="0" t="s">
        <v>3714</v>
      </c>
      <c r="B7305" s="6" t="n">
        <v>42982</v>
      </c>
      <c r="C7305" s="7" t="s">
        <v>29</v>
      </c>
      <c r="D7305" s="7" t="s">
        <v>37</v>
      </c>
      <c r="E7305" s="7" t="s">
        <v>31</v>
      </c>
      <c r="F7305" s="0" t="n">
        <v>97.184</v>
      </c>
      <c r="G7305" s="0" t="n">
        <v>6.074</v>
      </c>
      <c r="H7305" s="0" t="n">
        <v>0.2</v>
      </c>
      <c r="I7305" s="7" t="n">
        <f aca="false">YEAR(B7305)</f>
        <v>2017</v>
      </c>
      <c r="J7305" s="0" t="str">
        <f aca="false">I7305&amp;"-Q"&amp;ROUNDUP(MONTH(B7305)/3,0)</f>
        <v>2017-Q3</v>
      </c>
    </row>
    <row r="7306" customFormat="false" ht="15" hidden="false" customHeight="false" outlineLevel="0" collapsed="false">
      <c r="A7306" s="0" t="s">
        <v>3714</v>
      </c>
      <c r="B7306" s="6" t="n">
        <v>42982</v>
      </c>
      <c r="C7306" s="7" t="s">
        <v>29</v>
      </c>
      <c r="D7306" s="7" t="s">
        <v>37</v>
      </c>
      <c r="E7306" s="7" t="s">
        <v>35</v>
      </c>
      <c r="F7306" s="0" t="n">
        <v>10.368</v>
      </c>
      <c r="G7306" s="0" t="n">
        <v>3.6288</v>
      </c>
      <c r="H7306" s="0" t="n">
        <v>0.2</v>
      </c>
      <c r="I7306" s="7" t="n">
        <f aca="false">YEAR(B7306)</f>
        <v>2017</v>
      </c>
      <c r="J7306" s="0" t="str">
        <f aca="false">I7306&amp;"-Q"&amp;ROUNDUP(MONTH(B7306)/3,0)</f>
        <v>2017-Q3</v>
      </c>
    </row>
    <row r="7307" customFormat="false" ht="15" hidden="false" customHeight="false" outlineLevel="0" collapsed="false">
      <c r="A7307" s="0" t="s">
        <v>3715</v>
      </c>
      <c r="B7307" s="6" t="n">
        <v>41727</v>
      </c>
      <c r="C7307" s="7" t="s">
        <v>45</v>
      </c>
      <c r="D7307" s="7" t="s">
        <v>46</v>
      </c>
      <c r="E7307" s="7" t="s">
        <v>31</v>
      </c>
      <c r="F7307" s="0" t="n">
        <v>890.841</v>
      </c>
      <c r="G7307" s="0" t="n">
        <v>-152.7156</v>
      </c>
      <c r="H7307" s="0" t="n">
        <v>0.3</v>
      </c>
      <c r="I7307" s="7" t="n">
        <f aca="false">YEAR(B7307)</f>
        <v>2014</v>
      </c>
      <c r="J7307" s="0" t="str">
        <f aca="false">I7307&amp;"-Q"&amp;ROUNDUP(MONTH(B7307)/3,0)</f>
        <v>2014-Q1</v>
      </c>
    </row>
    <row r="7308" customFormat="false" ht="15" hidden="false" customHeight="false" outlineLevel="0" collapsed="false">
      <c r="A7308" s="0" t="s">
        <v>3716</v>
      </c>
      <c r="B7308" s="6" t="n">
        <v>42679</v>
      </c>
      <c r="C7308" s="7" t="s">
        <v>33</v>
      </c>
      <c r="D7308" s="7" t="s">
        <v>34</v>
      </c>
      <c r="E7308" s="7" t="s">
        <v>39</v>
      </c>
      <c r="F7308" s="0" t="n">
        <v>72</v>
      </c>
      <c r="G7308" s="0" t="n">
        <v>12.96</v>
      </c>
      <c r="H7308" s="0" t="n">
        <v>0</v>
      </c>
      <c r="I7308" s="7" t="n">
        <f aca="false">YEAR(B7308)</f>
        <v>2016</v>
      </c>
      <c r="J7308" s="0" t="str">
        <f aca="false">I7308&amp;"-Q"&amp;ROUNDUP(MONTH(B7308)/3,0)</f>
        <v>2016-Q4</v>
      </c>
    </row>
    <row r="7309" customFormat="false" ht="15" hidden="false" customHeight="false" outlineLevel="0" collapsed="false">
      <c r="A7309" s="0" t="s">
        <v>3716</v>
      </c>
      <c r="B7309" s="6" t="n">
        <v>42679</v>
      </c>
      <c r="C7309" s="7" t="s">
        <v>33</v>
      </c>
      <c r="D7309" s="7" t="s">
        <v>34</v>
      </c>
      <c r="E7309" s="7" t="s">
        <v>31</v>
      </c>
      <c r="F7309" s="0" t="n">
        <v>113.888</v>
      </c>
      <c r="G7309" s="0" t="n">
        <v>9.9652</v>
      </c>
      <c r="H7309" s="0" t="n">
        <v>0.2</v>
      </c>
      <c r="I7309" s="7" t="n">
        <f aca="false">YEAR(B7309)</f>
        <v>2016</v>
      </c>
      <c r="J7309" s="0" t="str">
        <f aca="false">I7309&amp;"-Q"&amp;ROUNDUP(MONTH(B7309)/3,0)</f>
        <v>2016-Q4</v>
      </c>
    </row>
    <row r="7310" customFormat="false" ht="15" hidden="false" customHeight="false" outlineLevel="0" collapsed="false">
      <c r="A7310" s="0" t="s">
        <v>3716</v>
      </c>
      <c r="B7310" s="6" t="n">
        <v>42679</v>
      </c>
      <c r="C7310" s="7" t="s">
        <v>33</v>
      </c>
      <c r="D7310" s="7" t="s">
        <v>34</v>
      </c>
      <c r="E7310" s="7" t="s">
        <v>35</v>
      </c>
      <c r="F7310" s="0" t="n">
        <v>158.13</v>
      </c>
      <c r="G7310" s="0" t="n">
        <v>77.4837</v>
      </c>
      <c r="H7310" s="0" t="n">
        <v>0</v>
      </c>
      <c r="I7310" s="7" t="n">
        <f aca="false">YEAR(B7310)</f>
        <v>2016</v>
      </c>
      <c r="J7310" s="0" t="str">
        <f aca="false">I7310&amp;"-Q"&amp;ROUNDUP(MONTH(B7310)/3,0)</f>
        <v>2016-Q4</v>
      </c>
    </row>
    <row r="7311" customFormat="false" ht="15" hidden="false" customHeight="false" outlineLevel="0" collapsed="false">
      <c r="A7311" s="0" t="s">
        <v>3717</v>
      </c>
      <c r="B7311" s="6" t="n">
        <v>42896</v>
      </c>
      <c r="C7311" s="7" t="s">
        <v>55</v>
      </c>
      <c r="D7311" s="7" t="s">
        <v>76</v>
      </c>
      <c r="E7311" s="7" t="s">
        <v>35</v>
      </c>
      <c r="F7311" s="0" t="n">
        <v>14.13</v>
      </c>
      <c r="G7311" s="0" t="n">
        <v>0.7065</v>
      </c>
      <c r="H7311" s="0" t="n">
        <v>0</v>
      </c>
      <c r="I7311" s="7" t="n">
        <f aca="false">YEAR(B7311)</f>
        <v>2017</v>
      </c>
      <c r="J7311" s="0" t="str">
        <f aca="false">I7311&amp;"-Q"&amp;ROUNDUP(MONTH(B7311)/3,0)</f>
        <v>2017-Q2</v>
      </c>
    </row>
    <row r="7312" customFormat="false" ht="15" hidden="false" customHeight="false" outlineLevel="0" collapsed="false">
      <c r="A7312" s="0" t="s">
        <v>3718</v>
      </c>
      <c r="B7312" s="6" t="n">
        <v>42226</v>
      </c>
      <c r="C7312" s="7" t="s">
        <v>45</v>
      </c>
      <c r="D7312" s="7" t="s">
        <v>70</v>
      </c>
      <c r="E7312" s="7" t="s">
        <v>35</v>
      </c>
      <c r="F7312" s="0" t="n">
        <v>64.75</v>
      </c>
      <c r="G7312" s="0" t="n">
        <v>29.1375</v>
      </c>
      <c r="H7312" s="0" t="n">
        <v>0</v>
      </c>
      <c r="I7312" s="7" t="n">
        <f aca="false">YEAR(B7312)</f>
        <v>2015</v>
      </c>
      <c r="J7312" s="0" t="str">
        <f aca="false">I7312&amp;"-Q"&amp;ROUNDUP(MONTH(B7312)/3,0)</f>
        <v>2015-Q3</v>
      </c>
    </row>
    <row r="7313" customFormat="false" ht="15" hidden="false" customHeight="false" outlineLevel="0" collapsed="false">
      <c r="A7313" s="0" t="s">
        <v>3719</v>
      </c>
      <c r="B7313" s="6" t="n">
        <v>42286</v>
      </c>
      <c r="C7313" s="7" t="s">
        <v>29</v>
      </c>
      <c r="D7313" s="7" t="s">
        <v>37</v>
      </c>
      <c r="E7313" s="7" t="s">
        <v>35</v>
      </c>
      <c r="F7313" s="0" t="n">
        <v>1.872</v>
      </c>
      <c r="G7313" s="0" t="n">
        <v>-1.3104</v>
      </c>
      <c r="H7313" s="0" t="n">
        <v>0.7</v>
      </c>
      <c r="I7313" s="7" t="n">
        <f aca="false">YEAR(B7313)</f>
        <v>2015</v>
      </c>
      <c r="J7313" s="0" t="str">
        <f aca="false">I7313&amp;"-Q"&amp;ROUNDUP(MONTH(B7313)/3,0)</f>
        <v>2015-Q4</v>
      </c>
    </row>
    <row r="7314" customFormat="false" ht="15" hidden="false" customHeight="false" outlineLevel="0" collapsed="false">
      <c r="A7314" s="0" t="s">
        <v>3719</v>
      </c>
      <c r="B7314" s="6" t="n">
        <v>42286</v>
      </c>
      <c r="C7314" s="7" t="s">
        <v>29</v>
      </c>
      <c r="D7314" s="7" t="s">
        <v>37</v>
      </c>
      <c r="E7314" s="7" t="s">
        <v>35</v>
      </c>
      <c r="F7314" s="0" t="n">
        <v>11.214</v>
      </c>
      <c r="G7314" s="0" t="n">
        <v>-8.5974</v>
      </c>
      <c r="H7314" s="0" t="n">
        <v>0.7</v>
      </c>
      <c r="I7314" s="7" t="n">
        <f aca="false">YEAR(B7314)</f>
        <v>2015</v>
      </c>
      <c r="J7314" s="0" t="str">
        <f aca="false">I7314&amp;"-Q"&amp;ROUNDUP(MONTH(B7314)/3,0)</f>
        <v>2015-Q4</v>
      </c>
    </row>
    <row r="7315" customFormat="false" ht="15" hidden="false" customHeight="false" outlineLevel="0" collapsed="false">
      <c r="A7315" s="0" t="s">
        <v>3719</v>
      </c>
      <c r="B7315" s="6" t="n">
        <v>42286</v>
      </c>
      <c r="C7315" s="7" t="s">
        <v>29</v>
      </c>
      <c r="D7315" s="7" t="s">
        <v>37</v>
      </c>
      <c r="E7315" s="7" t="s">
        <v>35</v>
      </c>
      <c r="F7315" s="0" t="n">
        <v>37.376</v>
      </c>
      <c r="G7315" s="0" t="n">
        <v>7.4752</v>
      </c>
      <c r="H7315" s="0" t="n">
        <v>0.2</v>
      </c>
      <c r="I7315" s="7" t="n">
        <f aca="false">YEAR(B7315)</f>
        <v>2015</v>
      </c>
      <c r="J7315" s="0" t="str">
        <f aca="false">I7315&amp;"-Q"&amp;ROUNDUP(MONTH(B7315)/3,0)</f>
        <v>2015-Q4</v>
      </c>
    </row>
    <row r="7316" customFormat="false" ht="15" hidden="false" customHeight="false" outlineLevel="0" collapsed="false">
      <c r="A7316" s="0" t="s">
        <v>3720</v>
      </c>
      <c r="B7316" s="6" t="n">
        <v>42518</v>
      </c>
      <c r="C7316" s="7" t="s">
        <v>45</v>
      </c>
      <c r="D7316" s="7" t="s">
        <v>64</v>
      </c>
      <c r="E7316" s="7" t="s">
        <v>39</v>
      </c>
      <c r="F7316" s="0" t="n">
        <v>286.4</v>
      </c>
      <c r="G7316" s="0" t="n">
        <v>25.06</v>
      </c>
      <c r="H7316" s="0" t="n">
        <v>0.2</v>
      </c>
      <c r="I7316" s="7" t="n">
        <f aca="false">YEAR(B7316)</f>
        <v>2016</v>
      </c>
      <c r="J7316" s="0" t="str">
        <f aca="false">I7316&amp;"-Q"&amp;ROUNDUP(MONTH(B7316)/3,0)</f>
        <v>2016-Q2</v>
      </c>
    </row>
    <row r="7317" customFormat="false" ht="15" hidden="false" customHeight="false" outlineLevel="0" collapsed="false">
      <c r="A7317" s="0" t="s">
        <v>3721</v>
      </c>
      <c r="B7317" s="6" t="n">
        <v>42866</v>
      </c>
      <c r="C7317" s="7" t="s">
        <v>55</v>
      </c>
      <c r="D7317" s="7" t="s">
        <v>76</v>
      </c>
      <c r="E7317" s="7" t="s">
        <v>35</v>
      </c>
      <c r="F7317" s="0" t="n">
        <v>43.92</v>
      </c>
      <c r="G7317" s="0" t="n">
        <v>12.7368</v>
      </c>
      <c r="H7317" s="0" t="n">
        <v>0</v>
      </c>
      <c r="I7317" s="7" t="n">
        <f aca="false">YEAR(B7317)</f>
        <v>2017</v>
      </c>
      <c r="J7317" s="0" t="str">
        <f aca="false">I7317&amp;"-Q"&amp;ROUNDUP(MONTH(B7317)/3,0)</f>
        <v>2017-Q2</v>
      </c>
    </row>
    <row r="7318" customFormat="false" ht="15" hidden="false" customHeight="false" outlineLevel="0" collapsed="false">
      <c r="A7318" s="0" t="s">
        <v>3722</v>
      </c>
      <c r="B7318" s="6" t="n">
        <v>42659</v>
      </c>
      <c r="C7318" s="7" t="s">
        <v>55</v>
      </c>
      <c r="D7318" s="7" t="s">
        <v>76</v>
      </c>
      <c r="E7318" s="7" t="s">
        <v>31</v>
      </c>
      <c r="F7318" s="0" t="n">
        <v>142.182</v>
      </c>
      <c r="G7318" s="0" t="n">
        <v>-37.9152</v>
      </c>
      <c r="H7318" s="0" t="n">
        <v>0.4</v>
      </c>
      <c r="I7318" s="7" t="n">
        <f aca="false">YEAR(B7318)</f>
        <v>2016</v>
      </c>
      <c r="J7318" s="0" t="str">
        <f aca="false">I7318&amp;"-Q"&amp;ROUNDUP(MONTH(B7318)/3,0)</f>
        <v>2016-Q4</v>
      </c>
    </row>
    <row r="7319" customFormat="false" ht="15" hidden="false" customHeight="false" outlineLevel="0" collapsed="false">
      <c r="A7319" s="0" t="s">
        <v>3723</v>
      </c>
      <c r="B7319" s="6" t="n">
        <v>43056</v>
      </c>
      <c r="C7319" s="7" t="s">
        <v>33</v>
      </c>
      <c r="D7319" s="7" t="s">
        <v>102</v>
      </c>
      <c r="E7319" s="7" t="s">
        <v>35</v>
      </c>
      <c r="F7319" s="0" t="n">
        <v>19.608</v>
      </c>
      <c r="G7319" s="0" t="n">
        <v>6.6177</v>
      </c>
      <c r="H7319" s="0" t="n">
        <v>0.2</v>
      </c>
      <c r="I7319" s="7" t="n">
        <f aca="false">YEAR(B7319)</f>
        <v>2017</v>
      </c>
      <c r="J7319" s="0" t="str">
        <f aca="false">I7319&amp;"-Q"&amp;ROUNDUP(MONTH(B7319)/3,0)</f>
        <v>2017-Q4</v>
      </c>
    </row>
    <row r="7320" customFormat="false" ht="15" hidden="false" customHeight="false" outlineLevel="0" collapsed="false">
      <c r="A7320" s="0" t="s">
        <v>3723</v>
      </c>
      <c r="B7320" s="6" t="n">
        <v>43056</v>
      </c>
      <c r="C7320" s="7" t="s">
        <v>33</v>
      </c>
      <c r="D7320" s="7" t="s">
        <v>102</v>
      </c>
      <c r="E7320" s="7" t="s">
        <v>35</v>
      </c>
      <c r="F7320" s="0" t="n">
        <v>4.158</v>
      </c>
      <c r="G7320" s="0" t="n">
        <v>-3.465</v>
      </c>
      <c r="H7320" s="0" t="n">
        <v>0.7</v>
      </c>
      <c r="I7320" s="7" t="n">
        <f aca="false">YEAR(B7320)</f>
        <v>2017</v>
      </c>
      <c r="J7320" s="0" t="str">
        <f aca="false">I7320&amp;"-Q"&amp;ROUNDUP(MONTH(B7320)/3,0)</f>
        <v>2017-Q4</v>
      </c>
    </row>
    <row r="7321" customFormat="false" ht="15" hidden="false" customHeight="false" outlineLevel="0" collapsed="false">
      <c r="A7321" s="0" t="s">
        <v>3724</v>
      </c>
      <c r="B7321" s="6" t="n">
        <v>43065</v>
      </c>
      <c r="C7321" s="7" t="s">
        <v>55</v>
      </c>
      <c r="D7321" s="7" t="s">
        <v>76</v>
      </c>
      <c r="E7321" s="7" t="s">
        <v>39</v>
      </c>
      <c r="F7321" s="0" t="n">
        <v>979.95</v>
      </c>
      <c r="G7321" s="0" t="n">
        <v>264.5865</v>
      </c>
      <c r="H7321" s="0" t="n">
        <v>0</v>
      </c>
      <c r="I7321" s="7" t="n">
        <f aca="false">YEAR(B7321)</f>
        <v>2017</v>
      </c>
      <c r="J7321" s="0" t="str">
        <f aca="false">I7321&amp;"-Q"&amp;ROUNDUP(MONTH(B7321)/3,0)</f>
        <v>2017-Q4</v>
      </c>
    </row>
    <row r="7322" customFormat="false" ht="15" hidden="false" customHeight="false" outlineLevel="0" collapsed="false">
      <c r="A7322" s="0" t="s">
        <v>3724</v>
      </c>
      <c r="B7322" s="6" t="n">
        <v>43065</v>
      </c>
      <c r="C7322" s="7" t="s">
        <v>55</v>
      </c>
      <c r="D7322" s="7" t="s">
        <v>76</v>
      </c>
      <c r="E7322" s="7" t="s">
        <v>31</v>
      </c>
      <c r="F7322" s="0" t="n">
        <v>135.3</v>
      </c>
      <c r="G7322" s="0" t="n">
        <v>37.884</v>
      </c>
      <c r="H7322" s="0" t="n">
        <v>0</v>
      </c>
      <c r="I7322" s="7" t="n">
        <f aca="false">YEAR(B7322)</f>
        <v>2017</v>
      </c>
      <c r="J7322" s="0" t="str">
        <f aca="false">I7322&amp;"-Q"&amp;ROUNDUP(MONTH(B7322)/3,0)</f>
        <v>2017-Q4</v>
      </c>
    </row>
    <row r="7323" customFormat="false" ht="15" hidden="false" customHeight="false" outlineLevel="0" collapsed="false">
      <c r="A7323" s="0" t="s">
        <v>3725</v>
      </c>
      <c r="B7323" s="6" t="n">
        <v>42981</v>
      </c>
      <c r="C7323" s="7" t="s">
        <v>45</v>
      </c>
      <c r="D7323" s="7" t="s">
        <v>64</v>
      </c>
      <c r="E7323" s="7" t="s">
        <v>35</v>
      </c>
      <c r="F7323" s="0" t="n">
        <v>8.904</v>
      </c>
      <c r="G7323" s="0" t="n">
        <v>3.339</v>
      </c>
      <c r="H7323" s="0" t="n">
        <v>0.2</v>
      </c>
      <c r="I7323" s="7" t="n">
        <f aca="false">YEAR(B7323)</f>
        <v>2017</v>
      </c>
      <c r="J7323" s="0" t="str">
        <f aca="false">I7323&amp;"-Q"&amp;ROUNDUP(MONTH(B7323)/3,0)</f>
        <v>2017-Q3</v>
      </c>
    </row>
    <row r="7324" customFormat="false" ht="15" hidden="false" customHeight="false" outlineLevel="0" collapsed="false">
      <c r="A7324" s="0" t="s">
        <v>3725</v>
      </c>
      <c r="B7324" s="6" t="n">
        <v>42981</v>
      </c>
      <c r="C7324" s="7" t="s">
        <v>45</v>
      </c>
      <c r="D7324" s="7" t="s">
        <v>64</v>
      </c>
      <c r="E7324" s="7" t="s">
        <v>39</v>
      </c>
      <c r="F7324" s="0" t="n">
        <v>100.8</v>
      </c>
      <c r="G7324" s="0" t="n">
        <v>21.42</v>
      </c>
      <c r="H7324" s="0" t="n">
        <v>0.2</v>
      </c>
      <c r="I7324" s="7" t="n">
        <f aca="false">YEAR(B7324)</f>
        <v>2017</v>
      </c>
      <c r="J7324" s="0" t="str">
        <f aca="false">I7324&amp;"-Q"&amp;ROUNDUP(MONTH(B7324)/3,0)</f>
        <v>2017-Q3</v>
      </c>
    </row>
    <row r="7325" customFormat="false" ht="15" hidden="false" customHeight="false" outlineLevel="0" collapsed="false">
      <c r="A7325" s="0" t="s">
        <v>3726</v>
      </c>
      <c r="B7325" s="6" t="n">
        <v>43074</v>
      </c>
      <c r="C7325" s="7" t="s">
        <v>55</v>
      </c>
      <c r="D7325" s="7" t="s">
        <v>76</v>
      </c>
      <c r="E7325" s="7" t="s">
        <v>31</v>
      </c>
      <c r="F7325" s="0" t="n">
        <v>41.96</v>
      </c>
      <c r="G7325" s="0" t="n">
        <v>10.9096</v>
      </c>
      <c r="H7325" s="0" t="n">
        <v>0</v>
      </c>
      <c r="I7325" s="7" t="n">
        <f aca="false">YEAR(B7325)</f>
        <v>2017</v>
      </c>
      <c r="J7325" s="0" t="str">
        <f aca="false">I7325&amp;"-Q"&amp;ROUNDUP(MONTH(B7325)/3,0)</f>
        <v>2017-Q4</v>
      </c>
    </row>
    <row r="7326" customFormat="false" ht="15" hidden="false" customHeight="false" outlineLevel="0" collapsed="false">
      <c r="A7326" s="0" t="s">
        <v>3726</v>
      </c>
      <c r="B7326" s="6" t="n">
        <v>43074</v>
      </c>
      <c r="C7326" s="7" t="s">
        <v>55</v>
      </c>
      <c r="D7326" s="7" t="s">
        <v>76</v>
      </c>
      <c r="E7326" s="7" t="s">
        <v>35</v>
      </c>
      <c r="F7326" s="0" t="n">
        <v>9.45</v>
      </c>
      <c r="G7326" s="0" t="n">
        <v>4.536</v>
      </c>
      <c r="H7326" s="0" t="n">
        <v>0</v>
      </c>
      <c r="I7326" s="7" t="n">
        <f aca="false">YEAR(B7326)</f>
        <v>2017</v>
      </c>
      <c r="J7326" s="0" t="str">
        <f aca="false">I7326&amp;"-Q"&amp;ROUNDUP(MONTH(B7326)/3,0)</f>
        <v>2017-Q4</v>
      </c>
    </row>
    <row r="7327" customFormat="false" ht="15" hidden="false" customHeight="false" outlineLevel="0" collapsed="false">
      <c r="A7327" s="0" t="s">
        <v>3727</v>
      </c>
      <c r="B7327" s="6" t="n">
        <v>43049</v>
      </c>
      <c r="C7327" s="7" t="s">
        <v>33</v>
      </c>
      <c r="D7327" s="7" t="s">
        <v>43</v>
      </c>
      <c r="E7327" s="7" t="s">
        <v>35</v>
      </c>
      <c r="F7327" s="0" t="n">
        <v>400.8</v>
      </c>
      <c r="G7327" s="0" t="n">
        <v>112.224</v>
      </c>
      <c r="H7327" s="0" t="n">
        <v>0</v>
      </c>
      <c r="I7327" s="7" t="n">
        <f aca="false">YEAR(B7327)</f>
        <v>2017</v>
      </c>
      <c r="J7327" s="0" t="str">
        <f aca="false">I7327&amp;"-Q"&amp;ROUNDUP(MONTH(B7327)/3,0)</f>
        <v>2017-Q4</v>
      </c>
    </row>
    <row r="7328" customFormat="false" ht="15" hidden="false" customHeight="false" outlineLevel="0" collapsed="false">
      <c r="A7328" s="0" t="s">
        <v>3727</v>
      </c>
      <c r="B7328" s="6" t="n">
        <v>43049</v>
      </c>
      <c r="C7328" s="7" t="s">
        <v>33</v>
      </c>
      <c r="D7328" s="7" t="s">
        <v>43</v>
      </c>
      <c r="E7328" s="7" t="s">
        <v>35</v>
      </c>
      <c r="F7328" s="0" t="n">
        <v>28.792</v>
      </c>
      <c r="G7328" s="0" t="n">
        <v>10.0772</v>
      </c>
      <c r="H7328" s="0" t="n">
        <v>0.2</v>
      </c>
      <c r="I7328" s="7" t="n">
        <f aca="false">YEAR(B7328)</f>
        <v>2017</v>
      </c>
      <c r="J7328" s="0" t="str">
        <f aca="false">I7328&amp;"-Q"&amp;ROUNDUP(MONTH(B7328)/3,0)</f>
        <v>2017-Q4</v>
      </c>
    </row>
    <row r="7329" customFormat="false" ht="15" hidden="false" customHeight="false" outlineLevel="0" collapsed="false">
      <c r="A7329" s="0" t="s">
        <v>3728</v>
      </c>
      <c r="B7329" s="6" t="n">
        <v>41716</v>
      </c>
      <c r="C7329" s="7" t="s">
        <v>33</v>
      </c>
      <c r="D7329" s="7" t="s">
        <v>34</v>
      </c>
      <c r="E7329" s="7" t="s">
        <v>31</v>
      </c>
      <c r="F7329" s="0" t="n">
        <v>111</v>
      </c>
      <c r="G7329" s="0" t="n">
        <v>14.43</v>
      </c>
      <c r="H7329" s="0" t="n">
        <v>0</v>
      </c>
      <c r="I7329" s="7" t="n">
        <f aca="false">YEAR(B7329)</f>
        <v>2014</v>
      </c>
      <c r="J7329" s="0" t="str">
        <f aca="false">I7329&amp;"-Q"&amp;ROUNDUP(MONTH(B7329)/3,0)</f>
        <v>2014-Q1</v>
      </c>
    </row>
    <row r="7330" customFormat="false" ht="15" hidden="false" customHeight="false" outlineLevel="0" collapsed="false">
      <c r="A7330" s="0" t="s">
        <v>3728</v>
      </c>
      <c r="B7330" s="6" t="n">
        <v>41716</v>
      </c>
      <c r="C7330" s="7" t="s">
        <v>33</v>
      </c>
      <c r="D7330" s="7" t="s">
        <v>34</v>
      </c>
      <c r="E7330" s="7" t="s">
        <v>39</v>
      </c>
      <c r="F7330" s="0" t="n">
        <v>1279.968</v>
      </c>
      <c r="G7330" s="0" t="n">
        <v>415.9896</v>
      </c>
      <c r="H7330" s="0" t="n">
        <v>0.2</v>
      </c>
      <c r="I7330" s="7" t="n">
        <f aca="false">YEAR(B7330)</f>
        <v>2014</v>
      </c>
      <c r="J7330" s="0" t="str">
        <f aca="false">I7330&amp;"-Q"&amp;ROUNDUP(MONTH(B7330)/3,0)</f>
        <v>2014-Q1</v>
      </c>
    </row>
    <row r="7331" customFormat="false" ht="15" hidden="false" customHeight="false" outlineLevel="0" collapsed="false">
      <c r="A7331" s="0" t="s">
        <v>3728</v>
      </c>
      <c r="B7331" s="6" t="n">
        <v>41716</v>
      </c>
      <c r="C7331" s="7" t="s">
        <v>33</v>
      </c>
      <c r="D7331" s="7" t="s">
        <v>34</v>
      </c>
      <c r="E7331" s="7" t="s">
        <v>35</v>
      </c>
      <c r="F7331" s="0" t="n">
        <v>1856.19</v>
      </c>
      <c r="G7331" s="0" t="n">
        <v>334.1142</v>
      </c>
      <c r="H7331" s="0" t="n">
        <v>0</v>
      </c>
      <c r="I7331" s="7" t="n">
        <f aca="false">YEAR(B7331)</f>
        <v>2014</v>
      </c>
      <c r="J7331" s="0" t="str">
        <f aca="false">I7331&amp;"-Q"&amp;ROUNDUP(MONTH(B7331)/3,0)</f>
        <v>2014-Q1</v>
      </c>
    </row>
    <row r="7332" customFormat="false" ht="15" hidden="false" customHeight="false" outlineLevel="0" collapsed="false">
      <c r="A7332" s="0" t="s">
        <v>3729</v>
      </c>
      <c r="B7332" s="6" t="n">
        <v>42686</v>
      </c>
      <c r="C7332" s="7" t="s">
        <v>45</v>
      </c>
      <c r="D7332" s="7" t="s">
        <v>64</v>
      </c>
      <c r="E7332" s="7" t="s">
        <v>31</v>
      </c>
      <c r="F7332" s="0" t="n">
        <v>22.752</v>
      </c>
      <c r="G7332" s="0" t="n">
        <v>-8.532</v>
      </c>
      <c r="H7332" s="0" t="n">
        <v>0.6</v>
      </c>
      <c r="I7332" s="7" t="n">
        <f aca="false">YEAR(B7332)</f>
        <v>2016</v>
      </c>
      <c r="J7332" s="0" t="str">
        <f aca="false">I7332&amp;"-Q"&amp;ROUNDUP(MONTH(B7332)/3,0)</f>
        <v>2016-Q4</v>
      </c>
    </row>
    <row r="7333" customFormat="false" ht="15" hidden="false" customHeight="false" outlineLevel="0" collapsed="false">
      <c r="A7333" s="0" t="s">
        <v>3730</v>
      </c>
      <c r="B7333" s="6" t="n">
        <v>43034</v>
      </c>
      <c r="C7333" s="7" t="s">
        <v>55</v>
      </c>
      <c r="D7333" s="7" t="s">
        <v>56</v>
      </c>
      <c r="E7333" s="7" t="s">
        <v>39</v>
      </c>
      <c r="F7333" s="0" t="n">
        <v>61.542</v>
      </c>
      <c r="G7333" s="0" t="n">
        <v>-13.3341</v>
      </c>
      <c r="H7333" s="0" t="n">
        <v>0.4</v>
      </c>
      <c r="I7333" s="7" t="n">
        <f aca="false">YEAR(B7333)</f>
        <v>2017</v>
      </c>
      <c r="J7333" s="0" t="str">
        <f aca="false">I7333&amp;"-Q"&amp;ROUNDUP(MONTH(B7333)/3,0)</f>
        <v>2017-Q4</v>
      </c>
    </row>
    <row r="7334" customFormat="false" ht="15" hidden="false" customHeight="false" outlineLevel="0" collapsed="false">
      <c r="A7334" s="0" t="s">
        <v>3730</v>
      </c>
      <c r="B7334" s="6" t="n">
        <v>43034</v>
      </c>
      <c r="C7334" s="7" t="s">
        <v>55</v>
      </c>
      <c r="D7334" s="7" t="s">
        <v>56</v>
      </c>
      <c r="E7334" s="7" t="s">
        <v>35</v>
      </c>
      <c r="F7334" s="0" t="n">
        <v>81.438</v>
      </c>
      <c r="G7334" s="0" t="n">
        <v>-65.1504</v>
      </c>
      <c r="H7334" s="0" t="n">
        <v>0.7</v>
      </c>
      <c r="I7334" s="7" t="n">
        <f aca="false">YEAR(B7334)</f>
        <v>2017</v>
      </c>
      <c r="J7334" s="0" t="str">
        <f aca="false">I7334&amp;"-Q"&amp;ROUNDUP(MONTH(B7334)/3,0)</f>
        <v>2017-Q4</v>
      </c>
    </row>
    <row r="7335" customFormat="false" ht="15" hidden="false" customHeight="false" outlineLevel="0" collapsed="false">
      <c r="A7335" s="0" t="s">
        <v>3731</v>
      </c>
      <c r="B7335" s="6" t="n">
        <v>42105</v>
      </c>
      <c r="C7335" s="7" t="s">
        <v>29</v>
      </c>
      <c r="D7335" s="7" t="s">
        <v>37</v>
      </c>
      <c r="E7335" s="7" t="s">
        <v>31</v>
      </c>
      <c r="F7335" s="0" t="n">
        <v>67.36</v>
      </c>
      <c r="G7335" s="0" t="n">
        <v>10.104</v>
      </c>
      <c r="H7335" s="0" t="n">
        <v>0.2</v>
      </c>
      <c r="I7335" s="7" t="n">
        <f aca="false">YEAR(B7335)</f>
        <v>2015</v>
      </c>
      <c r="J7335" s="0" t="str">
        <f aca="false">I7335&amp;"-Q"&amp;ROUNDUP(MONTH(B7335)/3,0)</f>
        <v>2015-Q2</v>
      </c>
    </row>
    <row r="7336" customFormat="false" ht="15" hidden="false" customHeight="false" outlineLevel="0" collapsed="false">
      <c r="A7336" s="0" t="s">
        <v>3731</v>
      </c>
      <c r="B7336" s="6" t="n">
        <v>42105</v>
      </c>
      <c r="C7336" s="7" t="s">
        <v>29</v>
      </c>
      <c r="D7336" s="7" t="s">
        <v>37</v>
      </c>
      <c r="E7336" s="7" t="s">
        <v>31</v>
      </c>
      <c r="F7336" s="0" t="n">
        <v>54.528</v>
      </c>
      <c r="G7336" s="0" t="n">
        <v>14.3136</v>
      </c>
      <c r="H7336" s="0" t="n">
        <v>0.2</v>
      </c>
      <c r="I7336" s="7" t="n">
        <f aca="false">YEAR(B7336)</f>
        <v>2015</v>
      </c>
      <c r="J7336" s="0" t="str">
        <f aca="false">I7336&amp;"-Q"&amp;ROUNDUP(MONTH(B7336)/3,0)</f>
        <v>2015-Q2</v>
      </c>
    </row>
    <row r="7337" customFormat="false" ht="15" hidden="false" customHeight="false" outlineLevel="0" collapsed="false">
      <c r="A7337" s="0" t="s">
        <v>3732</v>
      </c>
      <c r="B7337" s="6" t="n">
        <v>42363</v>
      </c>
      <c r="C7337" s="7" t="s">
        <v>55</v>
      </c>
      <c r="D7337" s="7" t="s">
        <v>76</v>
      </c>
      <c r="E7337" s="7" t="s">
        <v>39</v>
      </c>
      <c r="F7337" s="0" t="n">
        <v>843.9</v>
      </c>
      <c r="G7337" s="0" t="n">
        <v>371.316</v>
      </c>
      <c r="H7337" s="0" t="n">
        <v>0</v>
      </c>
      <c r="I7337" s="7" t="n">
        <f aca="false">YEAR(B7337)</f>
        <v>2015</v>
      </c>
      <c r="J7337" s="0" t="str">
        <f aca="false">I7337&amp;"-Q"&amp;ROUNDUP(MONTH(B7337)/3,0)</f>
        <v>2015-Q4</v>
      </c>
    </row>
    <row r="7338" customFormat="false" ht="15" hidden="false" customHeight="false" outlineLevel="0" collapsed="false">
      <c r="A7338" s="0" t="s">
        <v>3732</v>
      </c>
      <c r="B7338" s="6" t="n">
        <v>42363</v>
      </c>
      <c r="C7338" s="7" t="s">
        <v>55</v>
      </c>
      <c r="D7338" s="7" t="s">
        <v>76</v>
      </c>
      <c r="E7338" s="7" t="s">
        <v>31</v>
      </c>
      <c r="F7338" s="0" t="n">
        <v>449.568</v>
      </c>
      <c r="G7338" s="0" t="n">
        <v>56.196</v>
      </c>
      <c r="H7338" s="0" t="n">
        <v>0.2</v>
      </c>
      <c r="I7338" s="7" t="n">
        <f aca="false">YEAR(B7338)</f>
        <v>2015</v>
      </c>
      <c r="J7338" s="0" t="str">
        <f aca="false">I7338&amp;"-Q"&amp;ROUNDUP(MONTH(B7338)/3,0)</f>
        <v>2015-Q4</v>
      </c>
    </row>
    <row r="7339" customFormat="false" ht="15" hidden="false" customHeight="false" outlineLevel="0" collapsed="false">
      <c r="A7339" s="0" t="s">
        <v>3733</v>
      </c>
      <c r="B7339" s="6" t="n">
        <v>42999</v>
      </c>
      <c r="C7339" s="7" t="s">
        <v>33</v>
      </c>
      <c r="D7339" s="7" t="s">
        <v>34</v>
      </c>
      <c r="E7339" s="7" t="s">
        <v>35</v>
      </c>
      <c r="F7339" s="0" t="n">
        <v>15.51</v>
      </c>
      <c r="G7339" s="0" t="n">
        <v>3.8775</v>
      </c>
      <c r="H7339" s="0" t="n">
        <v>0</v>
      </c>
      <c r="I7339" s="7" t="n">
        <f aca="false">YEAR(B7339)</f>
        <v>2017</v>
      </c>
      <c r="J7339" s="0" t="str">
        <f aca="false">I7339&amp;"-Q"&amp;ROUNDUP(MONTH(B7339)/3,0)</f>
        <v>2017-Q3</v>
      </c>
    </row>
    <row r="7340" customFormat="false" ht="15" hidden="false" customHeight="false" outlineLevel="0" collapsed="false">
      <c r="A7340" s="0" t="s">
        <v>3734</v>
      </c>
      <c r="B7340" s="6" t="n">
        <v>41993</v>
      </c>
      <c r="C7340" s="7" t="s">
        <v>55</v>
      </c>
      <c r="D7340" s="7" t="s">
        <v>76</v>
      </c>
      <c r="E7340" s="7" t="s">
        <v>31</v>
      </c>
      <c r="F7340" s="0" t="n">
        <v>192.186</v>
      </c>
      <c r="G7340" s="0" t="n">
        <v>36.3018</v>
      </c>
      <c r="H7340" s="0" t="n">
        <v>0.1</v>
      </c>
      <c r="I7340" s="7" t="n">
        <f aca="false">YEAR(B7340)</f>
        <v>2014</v>
      </c>
      <c r="J7340" s="0" t="str">
        <f aca="false">I7340&amp;"-Q"&amp;ROUNDUP(MONTH(B7340)/3,0)</f>
        <v>2014-Q4</v>
      </c>
    </row>
    <row r="7341" customFormat="false" ht="15" hidden="false" customHeight="false" outlineLevel="0" collapsed="false">
      <c r="A7341" s="0" t="s">
        <v>3735</v>
      </c>
      <c r="B7341" s="6" t="n">
        <v>42203</v>
      </c>
      <c r="C7341" s="7" t="s">
        <v>55</v>
      </c>
      <c r="D7341" s="7" t="s">
        <v>76</v>
      </c>
      <c r="E7341" s="7" t="s">
        <v>35</v>
      </c>
      <c r="F7341" s="0" t="n">
        <v>5.76</v>
      </c>
      <c r="G7341" s="0" t="n">
        <v>1.6128</v>
      </c>
      <c r="H7341" s="0" t="n">
        <v>0</v>
      </c>
      <c r="I7341" s="7" t="n">
        <f aca="false">YEAR(B7341)</f>
        <v>2015</v>
      </c>
      <c r="J7341" s="0" t="str">
        <f aca="false">I7341&amp;"-Q"&amp;ROUNDUP(MONTH(B7341)/3,0)</f>
        <v>2015-Q3</v>
      </c>
    </row>
    <row r="7342" customFormat="false" ht="15" hidden="false" customHeight="false" outlineLevel="0" collapsed="false">
      <c r="A7342" s="0" t="s">
        <v>3736</v>
      </c>
      <c r="B7342" s="6" t="n">
        <v>41846</v>
      </c>
      <c r="C7342" s="7" t="s">
        <v>29</v>
      </c>
      <c r="D7342" s="7" t="s">
        <v>230</v>
      </c>
      <c r="E7342" s="7" t="s">
        <v>31</v>
      </c>
      <c r="F7342" s="0" t="n">
        <v>67.88</v>
      </c>
      <c r="G7342" s="0" t="n">
        <v>18.3276</v>
      </c>
      <c r="H7342" s="0" t="n">
        <v>0</v>
      </c>
      <c r="I7342" s="7" t="n">
        <f aca="false">YEAR(B7342)</f>
        <v>2014</v>
      </c>
      <c r="J7342" s="0" t="str">
        <f aca="false">I7342&amp;"-Q"&amp;ROUNDUP(MONTH(B7342)/3,0)</f>
        <v>2014-Q3</v>
      </c>
    </row>
    <row r="7343" customFormat="false" ht="15" hidden="false" customHeight="false" outlineLevel="0" collapsed="false">
      <c r="A7343" s="0" t="s">
        <v>3736</v>
      </c>
      <c r="B7343" s="6" t="n">
        <v>41846</v>
      </c>
      <c r="C7343" s="7" t="s">
        <v>29</v>
      </c>
      <c r="D7343" s="7" t="s">
        <v>230</v>
      </c>
      <c r="E7343" s="7" t="s">
        <v>35</v>
      </c>
      <c r="F7343" s="0" t="n">
        <v>162.89</v>
      </c>
      <c r="G7343" s="0" t="n">
        <v>76.5583</v>
      </c>
      <c r="H7343" s="0" t="n">
        <v>0</v>
      </c>
      <c r="I7343" s="7" t="n">
        <f aca="false">YEAR(B7343)</f>
        <v>2014</v>
      </c>
      <c r="J7343" s="0" t="str">
        <f aca="false">I7343&amp;"-Q"&amp;ROUNDUP(MONTH(B7343)/3,0)</f>
        <v>2014-Q3</v>
      </c>
    </row>
    <row r="7344" customFormat="false" ht="15" hidden="false" customHeight="false" outlineLevel="0" collapsed="false">
      <c r="A7344" s="0" t="s">
        <v>3736</v>
      </c>
      <c r="B7344" s="6" t="n">
        <v>41846</v>
      </c>
      <c r="C7344" s="7" t="s">
        <v>29</v>
      </c>
      <c r="D7344" s="7" t="s">
        <v>230</v>
      </c>
      <c r="E7344" s="7" t="s">
        <v>31</v>
      </c>
      <c r="F7344" s="0" t="n">
        <v>25.71</v>
      </c>
      <c r="G7344" s="0" t="n">
        <v>9.2556</v>
      </c>
      <c r="H7344" s="0" t="n">
        <v>0</v>
      </c>
      <c r="I7344" s="7" t="n">
        <f aca="false">YEAR(B7344)</f>
        <v>2014</v>
      </c>
      <c r="J7344" s="0" t="str">
        <f aca="false">I7344&amp;"-Q"&amp;ROUNDUP(MONTH(B7344)/3,0)</f>
        <v>2014-Q3</v>
      </c>
    </row>
    <row r="7345" customFormat="false" ht="15" hidden="false" customHeight="false" outlineLevel="0" collapsed="false">
      <c r="A7345" s="0" t="s">
        <v>3737</v>
      </c>
      <c r="B7345" s="6" t="n">
        <v>41999</v>
      </c>
      <c r="C7345" s="7" t="s">
        <v>55</v>
      </c>
      <c r="D7345" s="7" t="s">
        <v>76</v>
      </c>
      <c r="E7345" s="7" t="s">
        <v>35</v>
      </c>
      <c r="F7345" s="0" t="n">
        <v>191.88</v>
      </c>
      <c r="G7345" s="0" t="n">
        <v>19.188</v>
      </c>
      <c r="H7345" s="0" t="n">
        <v>0</v>
      </c>
      <c r="I7345" s="7" t="n">
        <f aca="false">YEAR(B7345)</f>
        <v>2014</v>
      </c>
      <c r="J7345" s="0" t="str">
        <f aca="false">I7345&amp;"-Q"&amp;ROUNDUP(MONTH(B7345)/3,0)</f>
        <v>2014-Q4</v>
      </c>
    </row>
    <row r="7346" customFormat="false" ht="15" hidden="false" customHeight="false" outlineLevel="0" collapsed="false">
      <c r="A7346" s="0" t="s">
        <v>3738</v>
      </c>
      <c r="B7346" s="6" t="n">
        <v>43080</v>
      </c>
      <c r="C7346" s="7" t="s">
        <v>29</v>
      </c>
      <c r="D7346" s="7" t="s">
        <v>37</v>
      </c>
      <c r="E7346" s="7" t="s">
        <v>31</v>
      </c>
      <c r="F7346" s="0" t="n">
        <v>721.875</v>
      </c>
      <c r="G7346" s="0" t="n">
        <v>-420</v>
      </c>
      <c r="H7346" s="0" t="n">
        <v>0.45</v>
      </c>
      <c r="I7346" s="7" t="n">
        <f aca="false">YEAR(B7346)</f>
        <v>2017</v>
      </c>
      <c r="J7346" s="0" t="str">
        <f aca="false">I7346&amp;"-Q"&amp;ROUNDUP(MONTH(B7346)/3,0)</f>
        <v>2017-Q4</v>
      </c>
    </row>
    <row r="7347" customFormat="false" ht="15" hidden="false" customHeight="false" outlineLevel="0" collapsed="false">
      <c r="A7347" s="0" t="s">
        <v>3738</v>
      </c>
      <c r="B7347" s="6" t="n">
        <v>43080</v>
      </c>
      <c r="C7347" s="7" t="s">
        <v>29</v>
      </c>
      <c r="D7347" s="7" t="s">
        <v>37</v>
      </c>
      <c r="E7347" s="7" t="s">
        <v>39</v>
      </c>
      <c r="F7347" s="0" t="n">
        <v>73.568</v>
      </c>
      <c r="G7347" s="0" t="n">
        <v>-16.5528</v>
      </c>
      <c r="H7347" s="0" t="n">
        <v>0.2</v>
      </c>
      <c r="I7347" s="7" t="n">
        <f aca="false">YEAR(B7347)</f>
        <v>2017</v>
      </c>
      <c r="J7347" s="0" t="str">
        <f aca="false">I7347&amp;"-Q"&amp;ROUNDUP(MONTH(B7347)/3,0)</f>
        <v>2017-Q4</v>
      </c>
    </row>
    <row r="7348" customFormat="false" ht="15" hidden="false" customHeight="false" outlineLevel="0" collapsed="false">
      <c r="A7348" s="0" t="s">
        <v>3738</v>
      </c>
      <c r="B7348" s="6" t="n">
        <v>43080</v>
      </c>
      <c r="C7348" s="7" t="s">
        <v>29</v>
      </c>
      <c r="D7348" s="7" t="s">
        <v>37</v>
      </c>
      <c r="E7348" s="7" t="s">
        <v>35</v>
      </c>
      <c r="F7348" s="0" t="n">
        <v>13.584</v>
      </c>
      <c r="G7348" s="0" t="n">
        <v>1.3584</v>
      </c>
      <c r="H7348" s="0" t="n">
        <v>0.2</v>
      </c>
      <c r="I7348" s="7" t="n">
        <f aca="false">YEAR(B7348)</f>
        <v>2017</v>
      </c>
      <c r="J7348" s="0" t="str">
        <f aca="false">I7348&amp;"-Q"&amp;ROUNDUP(MONTH(B7348)/3,0)</f>
        <v>2017-Q4</v>
      </c>
    </row>
    <row r="7349" customFormat="false" ht="15" hidden="false" customHeight="false" outlineLevel="0" collapsed="false">
      <c r="A7349" s="0" t="s">
        <v>3738</v>
      </c>
      <c r="B7349" s="6" t="n">
        <v>43080</v>
      </c>
      <c r="C7349" s="7" t="s">
        <v>29</v>
      </c>
      <c r="D7349" s="7" t="s">
        <v>37</v>
      </c>
      <c r="E7349" s="7" t="s">
        <v>31</v>
      </c>
      <c r="F7349" s="0" t="n">
        <v>64.784</v>
      </c>
      <c r="G7349" s="0" t="n">
        <v>-12.147</v>
      </c>
      <c r="H7349" s="0" t="n">
        <v>0.2</v>
      </c>
      <c r="I7349" s="7" t="n">
        <f aca="false">YEAR(B7349)</f>
        <v>2017</v>
      </c>
      <c r="J7349" s="0" t="str">
        <f aca="false">I7349&amp;"-Q"&amp;ROUNDUP(MONTH(B7349)/3,0)</f>
        <v>2017-Q4</v>
      </c>
    </row>
    <row r="7350" customFormat="false" ht="15" hidden="false" customHeight="false" outlineLevel="0" collapsed="false">
      <c r="A7350" s="0" t="s">
        <v>3739</v>
      </c>
      <c r="B7350" s="6" t="n">
        <v>41701</v>
      </c>
      <c r="C7350" s="7" t="s">
        <v>45</v>
      </c>
      <c r="D7350" s="7" t="s">
        <v>46</v>
      </c>
      <c r="E7350" s="7" t="s">
        <v>35</v>
      </c>
      <c r="F7350" s="0" t="n">
        <v>176.772</v>
      </c>
      <c r="G7350" s="0" t="n">
        <v>-459.6072</v>
      </c>
      <c r="H7350" s="0" t="n">
        <v>0.8</v>
      </c>
      <c r="I7350" s="7" t="n">
        <f aca="false">YEAR(B7350)</f>
        <v>2014</v>
      </c>
      <c r="J7350" s="0" t="str">
        <f aca="false">I7350&amp;"-Q"&amp;ROUNDUP(MONTH(B7350)/3,0)</f>
        <v>2014-Q1</v>
      </c>
    </row>
    <row r="7351" customFormat="false" ht="15" hidden="false" customHeight="false" outlineLevel="0" collapsed="false">
      <c r="A7351" s="0" t="s">
        <v>3740</v>
      </c>
      <c r="B7351" s="6" t="n">
        <v>43029</v>
      </c>
      <c r="C7351" s="7" t="s">
        <v>45</v>
      </c>
      <c r="D7351" s="7" t="s">
        <v>48</v>
      </c>
      <c r="E7351" s="7" t="s">
        <v>35</v>
      </c>
      <c r="F7351" s="0" t="n">
        <v>38.82</v>
      </c>
      <c r="G7351" s="0" t="n">
        <v>19.41</v>
      </c>
      <c r="H7351" s="0" t="n">
        <v>0</v>
      </c>
      <c r="I7351" s="7" t="n">
        <f aca="false">YEAR(B7351)</f>
        <v>2017</v>
      </c>
      <c r="J7351" s="0" t="str">
        <f aca="false">I7351&amp;"-Q"&amp;ROUNDUP(MONTH(B7351)/3,0)</f>
        <v>2017-Q4</v>
      </c>
    </row>
    <row r="7352" customFormat="false" ht="15" hidden="false" customHeight="false" outlineLevel="0" collapsed="false">
      <c r="A7352" s="0" t="s">
        <v>3740</v>
      </c>
      <c r="B7352" s="6" t="n">
        <v>43029</v>
      </c>
      <c r="C7352" s="7" t="s">
        <v>45</v>
      </c>
      <c r="D7352" s="7" t="s">
        <v>48</v>
      </c>
      <c r="E7352" s="7" t="s">
        <v>35</v>
      </c>
      <c r="F7352" s="0" t="n">
        <v>21.9</v>
      </c>
      <c r="G7352" s="0" t="n">
        <v>10.512</v>
      </c>
      <c r="H7352" s="0" t="n">
        <v>0</v>
      </c>
      <c r="I7352" s="7" t="n">
        <f aca="false">YEAR(B7352)</f>
        <v>2017</v>
      </c>
      <c r="J7352" s="0" t="str">
        <f aca="false">I7352&amp;"-Q"&amp;ROUNDUP(MONTH(B7352)/3,0)</f>
        <v>2017-Q4</v>
      </c>
    </row>
    <row r="7353" customFormat="false" ht="15" hidden="false" customHeight="false" outlineLevel="0" collapsed="false">
      <c r="A7353" s="0" t="s">
        <v>3741</v>
      </c>
      <c r="B7353" s="6" t="n">
        <v>43049</v>
      </c>
      <c r="C7353" s="7" t="s">
        <v>33</v>
      </c>
      <c r="D7353" s="7" t="s">
        <v>34</v>
      </c>
      <c r="E7353" s="7" t="s">
        <v>39</v>
      </c>
      <c r="F7353" s="0" t="n">
        <v>111.79</v>
      </c>
      <c r="G7353" s="0" t="n">
        <v>43.5981</v>
      </c>
      <c r="H7353" s="0" t="n">
        <v>0</v>
      </c>
      <c r="I7353" s="7" t="n">
        <f aca="false">YEAR(B7353)</f>
        <v>2017</v>
      </c>
      <c r="J7353" s="0" t="str">
        <f aca="false">I7353&amp;"-Q"&amp;ROUNDUP(MONTH(B7353)/3,0)</f>
        <v>2017-Q4</v>
      </c>
    </row>
    <row r="7354" customFormat="false" ht="15" hidden="false" customHeight="false" outlineLevel="0" collapsed="false">
      <c r="A7354" s="0" t="s">
        <v>3742</v>
      </c>
      <c r="B7354" s="6" t="n">
        <v>42810</v>
      </c>
      <c r="C7354" s="7" t="s">
        <v>55</v>
      </c>
      <c r="D7354" s="7" t="s">
        <v>116</v>
      </c>
      <c r="E7354" s="7" t="s">
        <v>39</v>
      </c>
      <c r="F7354" s="0" t="n">
        <v>445.44</v>
      </c>
      <c r="G7354" s="0" t="n">
        <v>-81.664</v>
      </c>
      <c r="H7354" s="0" t="n">
        <v>0.4</v>
      </c>
      <c r="I7354" s="7" t="n">
        <f aca="false">YEAR(B7354)</f>
        <v>2017</v>
      </c>
      <c r="J7354" s="0" t="str">
        <f aca="false">I7354&amp;"-Q"&amp;ROUNDUP(MONTH(B7354)/3,0)</f>
        <v>2017-Q1</v>
      </c>
    </row>
    <row r="7355" customFormat="false" ht="15" hidden="false" customHeight="false" outlineLevel="0" collapsed="false">
      <c r="A7355" s="0" t="s">
        <v>3743</v>
      </c>
      <c r="B7355" s="6" t="n">
        <v>42635</v>
      </c>
      <c r="C7355" s="7" t="s">
        <v>55</v>
      </c>
      <c r="D7355" s="7" t="s">
        <v>56</v>
      </c>
      <c r="E7355" s="7" t="s">
        <v>35</v>
      </c>
      <c r="F7355" s="0" t="n">
        <v>16.52</v>
      </c>
      <c r="G7355" s="0" t="n">
        <v>5.369</v>
      </c>
      <c r="H7355" s="0" t="n">
        <v>0.2</v>
      </c>
      <c r="I7355" s="7" t="n">
        <f aca="false">YEAR(B7355)</f>
        <v>2016</v>
      </c>
      <c r="J7355" s="0" t="str">
        <f aca="false">I7355&amp;"-Q"&amp;ROUNDUP(MONTH(B7355)/3,0)</f>
        <v>2016-Q3</v>
      </c>
    </row>
    <row r="7356" customFormat="false" ht="15" hidden="false" customHeight="false" outlineLevel="0" collapsed="false">
      <c r="A7356" s="0" t="s">
        <v>3744</v>
      </c>
      <c r="B7356" s="6" t="n">
        <v>42772</v>
      </c>
      <c r="C7356" s="7" t="s">
        <v>33</v>
      </c>
      <c r="D7356" s="7" t="s">
        <v>34</v>
      </c>
      <c r="E7356" s="7" t="s">
        <v>35</v>
      </c>
      <c r="F7356" s="0" t="n">
        <v>29.9</v>
      </c>
      <c r="G7356" s="0" t="n">
        <v>13.455</v>
      </c>
      <c r="H7356" s="0" t="n">
        <v>0</v>
      </c>
      <c r="I7356" s="7" t="n">
        <f aca="false">YEAR(B7356)</f>
        <v>2017</v>
      </c>
      <c r="J7356" s="0" t="str">
        <f aca="false">I7356&amp;"-Q"&amp;ROUNDUP(MONTH(B7356)/3,0)</f>
        <v>2017-Q1</v>
      </c>
    </row>
    <row r="7357" customFormat="false" ht="15" hidden="false" customHeight="false" outlineLevel="0" collapsed="false">
      <c r="A7357" s="0" t="s">
        <v>3745</v>
      </c>
      <c r="B7357" s="6" t="n">
        <v>42369</v>
      </c>
      <c r="C7357" s="7" t="s">
        <v>45</v>
      </c>
      <c r="D7357" s="7" t="s">
        <v>70</v>
      </c>
      <c r="E7357" s="7" t="s">
        <v>35</v>
      </c>
      <c r="F7357" s="0" t="n">
        <v>116.4</v>
      </c>
      <c r="G7357" s="0" t="n">
        <v>52.38</v>
      </c>
      <c r="H7357" s="0" t="n">
        <v>0</v>
      </c>
      <c r="I7357" s="7" t="n">
        <f aca="false">YEAR(B7357)</f>
        <v>2015</v>
      </c>
      <c r="J7357" s="0" t="str">
        <f aca="false">I7357&amp;"-Q"&amp;ROUNDUP(MONTH(B7357)/3,0)</f>
        <v>2015-Q4</v>
      </c>
    </row>
    <row r="7358" customFormat="false" ht="15" hidden="false" customHeight="false" outlineLevel="0" collapsed="false">
      <c r="A7358" s="0" t="s">
        <v>3746</v>
      </c>
      <c r="B7358" s="6" t="n">
        <v>42652</v>
      </c>
      <c r="C7358" s="7" t="s">
        <v>33</v>
      </c>
      <c r="D7358" s="7" t="s">
        <v>81</v>
      </c>
      <c r="E7358" s="7" t="s">
        <v>35</v>
      </c>
      <c r="F7358" s="0" t="n">
        <v>1.408</v>
      </c>
      <c r="G7358" s="0" t="n">
        <v>0.1584</v>
      </c>
      <c r="H7358" s="0" t="n">
        <v>0.2</v>
      </c>
      <c r="I7358" s="7" t="n">
        <f aca="false">YEAR(B7358)</f>
        <v>2016</v>
      </c>
      <c r="J7358" s="0" t="str">
        <f aca="false">I7358&amp;"-Q"&amp;ROUNDUP(MONTH(B7358)/3,0)</f>
        <v>2016-Q4</v>
      </c>
    </row>
    <row r="7359" customFormat="false" ht="15" hidden="false" customHeight="false" outlineLevel="0" collapsed="false">
      <c r="A7359" s="0" t="s">
        <v>3746</v>
      </c>
      <c r="B7359" s="6" t="n">
        <v>42652</v>
      </c>
      <c r="C7359" s="7" t="s">
        <v>33</v>
      </c>
      <c r="D7359" s="7" t="s">
        <v>81</v>
      </c>
      <c r="E7359" s="7" t="s">
        <v>31</v>
      </c>
      <c r="F7359" s="0" t="n">
        <v>169.568</v>
      </c>
      <c r="G7359" s="0" t="n">
        <v>0</v>
      </c>
      <c r="H7359" s="0" t="n">
        <v>0.2</v>
      </c>
      <c r="I7359" s="7" t="n">
        <f aca="false">YEAR(B7359)</f>
        <v>2016</v>
      </c>
      <c r="J7359" s="0" t="str">
        <f aca="false">I7359&amp;"-Q"&amp;ROUNDUP(MONTH(B7359)/3,0)</f>
        <v>2016-Q4</v>
      </c>
    </row>
    <row r="7360" customFormat="false" ht="15" hidden="false" customHeight="false" outlineLevel="0" collapsed="false">
      <c r="A7360" s="0" t="s">
        <v>3747</v>
      </c>
      <c r="B7360" s="6" t="n">
        <v>42003</v>
      </c>
      <c r="C7360" s="7" t="s">
        <v>55</v>
      </c>
      <c r="D7360" s="7" t="s">
        <v>56</v>
      </c>
      <c r="E7360" s="7" t="s">
        <v>39</v>
      </c>
      <c r="F7360" s="0" t="n">
        <v>251.964</v>
      </c>
      <c r="G7360" s="0" t="n">
        <v>-50.3928</v>
      </c>
      <c r="H7360" s="0" t="n">
        <v>0.4</v>
      </c>
      <c r="I7360" s="7" t="n">
        <f aca="false">YEAR(B7360)</f>
        <v>2014</v>
      </c>
      <c r="J7360" s="0" t="str">
        <f aca="false">I7360&amp;"-Q"&amp;ROUNDUP(MONTH(B7360)/3,0)</f>
        <v>2014-Q4</v>
      </c>
    </row>
    <row r="7361" customFormat="false" ht="15" hidden="false" customHeight="false" outlineLevel="0" collapsed="false">
      <c r="A7361" s="0" t="s">
        <v>3747</v>
      </c>
      <c r="B7361" s="6" t="n">
        <v>42003</v>
      </c>
      <c r="C7361" s="7" t="s">
        <v>55</v>
      </c>
      <c r="D7361" s="7" t="s">
        <v>56</v>
      </c>
      <c r="E7361" s="7" t="s">
        <v>31</v>
      </c>
      <c r="F7361" s="0" t="n">
        <v>523.764</v>
      </c>
      <c r="G7361" s="0" t="n">
        <v>-192.0468</v>
      </c>
      <c r="H7361" s="0" t="n">
        <v>0.4</v>
      </c>
      <c r="I7361" s="7" t="n">
        <f aca="false">YEAR(B7361)</f>
        <v>2014</v>
      </c>
      <c r="J7361" s="0" t="str">
        <f aca="false">I7361&amp;"-Q"&amp;ROUNDUP(MONTH(B7361)/3,0)</f>
        <v>2014-Q4</v>
      </c>
    </row>
    <row r="7362" customFormat="false" ht="15" hidden="false" customHeight="false" outlineLevel="0" collapsed="false">
      <c r="A7362" s="0" t="s">
        <v>3748</v>
      </c>
      <c r="B7362" s="6" t="n">
        <v>42472</v>
      </c>
      <c r="C7362" s="7" t="s">
        <v>33</v>
      </c>
      <c r="D7362" s="7" t="s">
        <v>34</v>
      </c>
      <c r="E7362" s="7" t="s">
        <v>35</v>
      </c>
      <c r="F7362" s="0" t="n">
        <v>19.44</v>
      </c>
      <c r="G7362" s="0" t="n">
        <v>9.3312</v>
      </c>
      <c r="H7362" s="0" t="n">
        <v>0</v>
      </c>
      <c r="I7362" s="7" t="n">
        <f aca="false">YEAR(B7362)</f>
        <v>2016</v>
      </c>
      <c r="J7362" s="0" t="str">
        <f aca="false">I7362&amp;"-Q"&amp;ROUNDUP(MONTH(B7362)/3,0)</f>
        <v>2016-Q2</v>
      </c>
    </row>
    <row r="7363" customFormat="false" ht="15" hidden="false" customHeight="false" outlineLevel="0" collapsed="false">
      <c r="A7363" s="0" t="s">
        <v>3748</v>
      </c>
      <c r="B7363" s="6" t="n">
        <v>42472</v>
      </c>
      <c r="C7363" s="7" t="s">
        <v>33</v>
      </c>
      <c r="D7363" s="7" t="s">
        <v>34</v>
      </c>
      <c r="E7363" s="7" t="s">
        <v>31</v>
      </c>
      <c r="F7363" s="0" t="n">
        <v>194.352</v>
      </c>
      <c r="G7363" s="0" t="n">
        <v>-36.441</v>
      </c>
      <c r="H7363" s="0" t="n">
        <v>0.2</v>
      </c>
      <c r="I7363" s="7" t="n">
        <f aca="false">YEAR(B7363)</f>
        <v>2016</v>
      </c>
      <c r="J7363" s="0" t="str">
        <f aca="false">I7363&amp;"-Q"&amp;ROUNDUP(MONTH(B7363)/3,0)</f>
        <v>2016-Q2</v>
      </c>
    </row>
    <row r="7364" customFormat="false" ht="15" hidden="false" customHeight="false" outlineLevel="0" collapsed="false">
      <c r="A7364" s="0" t="s">
        <v>3748</v>
      </c>
      <c r="B7364" s="6" t="n">
        <v>42472</v>
      </c>
      <c r="C7364" s="7" t="s">
        <v>33</v>
      </c>
      <c r="D7364" s="7" t="s">
        <v>34</v>
      </c>
      <c r="E7364" s="7" t="s">
        <v>35</v>
      </c>
      <c r="F7364" s="0" t="n">
        <v>36.624</v>
      </c>
      <c r="G7364" s="0" t="n">
        <v>13.734</v>
      </c>
      <c r="H7364" s="0" t="n">
        <v>0.2</v>
      </c>
      <c r="I7364" s="7" t="n">
        <f aca="false">YEAR(B7364)</f>
        <v>2016</v>
      </c>
      <c r="J7364" s="0" t="str">
        <f aca="false">I7364&amp;"-Q"&amp;ROUNDUP(MONTH(B7364)/3,0)</f>
        <v>2016-Q2</v>
      </c>
    </row>
    <row r="7365" customFormat="false" ht="15" hidden="false" customHeight="false" outlineLevel="0" collapsed="false">
      <c r="A7365" s="0" t="s">
        <v>3749</v>
      </c>
      <c r="B7365" s="6" t="n">
        <v>42702</v>
      </c>
      <c r="C7365" s="7" t="s">
        <v>55</v>
      </c>
      <c r="D7365" s="7" t="s">
        <v>56</v>
      </c>
      <c r="E7365" s="7" t="s">
        <v>39</v>
      </c>
      <c r="F7365" s="0" t="n">
        <v>340.182</v>
      </c>
      <c r="G7365" s="0" t="n">
        <v>-73.7061</v>
      </c>
      <c r="H7365" s="0" t="n">
        <v>0.4</v>
      </c>
      <c r="I7365" s="7" t="n">
        <f aca="false">YEAR(B7365)</f>
        <v>2016</v>
      </c>
      <c r="J7365" s="0" t="str">
        <f aca="false">I7365&amp;"-Q"&amp;ROUNDUP(MONTH(B7365)/3,0)</f>
        <v>2016-Q4</v>
      </c>
    </row>
    <row r="7366" customFormat="false" ht="15" hidden="false" customHeight="false" outlineLevel="0" collapsed="false">
      <c r="A7366" s="0" t="s">
        <v>3749</v>
      </c>
      <c r="B7366" s="6" t="n">
        <v>42702</v>
      </c>
      <c r="C7366" s="7" t="s">
        <v>55</v>
      </c>
      <c r="D7366" s="7" t="s">
        <v>56</v>
      </c>
      <c r="E7366" s="7" t="s">
        <v>35</v>
      </c>
      <c r="F7366" s="0" t="n">
        <v>12.672</v>
      </c>
      <c r="G7366" s="0" t="n">
        <v>2.6928</v>
      </c>
      <c r="H7366" s="0" t="n">
        <v>0.2</v>
      </c>
      <c r="I7366" s="7" t="n">
        <f aca="false">YEAR(B7366)</f>
        <v>2016</v>
      </c>
      <c r="J7366" s="0" t="str">
        <f aca="false">I7366&amp;"-Q"&amp;ROUNDUP(MONTH(B7366)/3,0)</f>
        <v>2016-Q4</v>
      </c>
    </row>
    <row r="7367" customFormat="false" ht="15" hidden="false" customHeight="false" outlineLevel="0" collapsed="false">
      <c r="A7367" s="0" t="s">
        <v>3749</v>
      </c>
      <c r="B7367" s="6" t="n">
        <v>42702</v>
      </c>
      <c r="C7367" s="7" t="s">
        <v>55</v>
      </c>
      <c r="D7367" s="7" t="s">
        <v>56</v>
      </c>
      <c r="E7367" s="7" t="s">
        <v>35</v>
      </c>
      <c r="F7367" s="0" t="n">
        <v>6.888</v>
      </c>
      <c r="G7367" s="0" t="n">
        <v>-5.0512</v>
      </c>
      <c r="H7367" s="0" t="n">
        <v>0.7</v>
      </c>
      <c r="I7367" s="7" t="n">
        <f aca="false">YEAR(B7367)</f>
        <v>2016</v>
      </c>
      <c r="J7367" s="0" t="str">
        <f aca="false">I7367&amp;"-Q"&amp;ROUNDUP(MONTH(B7367)/3,0)</f>
        <v>2016-Q4</v>
      </c>
    </row>
    <row r="7368" customFormat="false" ht="15" hidden="false" customHeight="false" outlineLevel="0" collapsed="false">
      <c r="A7368" s="0" t="s">
        <v>3749</v>
      </c>
      <c r="B7368" s="6" t="n">
        <v>42702</v>
      </c>
      <c r="C7368" s="7" t="s">
        <v>55</v>
      </c>
      <c r="D7368" s="7" t="s">
        <v>56</v>
      </c>
      <c r="E7368" s="7" t="s">
        <v>35</v>
      </c>
      <c r="F7368" s="0" t="n">
        <v>32.544</v>
      </c>
      <c r="G7368" s="0" t="n">
        <v>-7.7292</v>
      </c>
      <c r="H7368" s="0" t="n">
        <v>0.2</v>
      </c>
      <c r="I7368" s="7" t="n">
        <f aca="false">YEAR(B7368)</f>
        <v>2016</v>
      </c>
      <c r="J7368" s="0" t="str">
        <f aca="false">I7368&amp;"-Q"&amp;ROUNDUP(MONTH(B7368)/3,0)</f>
        <v>2016-Q4</v>
      </c>
    </row>
    <row r="7369" customFormat="false" ht="15" hidden="false" customHeight="false" outlineLevel="0" collapsed="false">
      <c r="A7369" s="0" t="s">
        <v>3749</v>
      </c>
      <c r="B7369" s="6" t="n">
        <v>42702</v>
      </c>
      <c r="C7369" s="7" t="s">
        <v>55</v>
      </c>
      <c r="D7369" s="7" t="s">
        <v>56</v>
      </c>
      <c r="E7369" s="7" t="s">
        <v>31</v>
      </c>
      <c r="F7369" s="0" t="n">
        <v>347.802</v>
      </c>
      <c r="G7369" s="0" t="n">
        <v>-24.843</v>
      </c>
      <c r="H7369" s="0" t="n">
        <v>0.3</v>
      </c>
      <c r="I7369" s="7" t="n">
        <f aca="false">YEAR(B7369)</f>
        <v>2016</v>
      </c>
      <c r="J7369" s="0" t="str">
        <f aca="false">I7369&amp;"-Q"&amp;ROUNDUP(MONTH(B7369)/3,0)</f>
        <v>2016-Q4</v>
      </c>
    </row>
    <row r="7370" customFormat="false" ht="15" hidden="false" customHeight="false" outlineLevel="0" collapsed="false">
      <c r="A7370" s="0" t="s">
        <v>3750</v>
      </c>
      <c r="B7370" s="6" t="n">
        <v>42840</v>
      </c>
      <c r="C7370" s="7" t="s">
        <v>29</v>
      </c>
      <c r="D7370" s="7" t="s">
        <v>37</v>
      </c>
      <c r="E7370" s="7" t="s">
        <v>35</v>
      </c>
      <c r="F7370" s="0" t="n">
        <v>15.57</v>
      </c>
      <c r="G7370" s="0" t="n">
        <v>-11.937</v>
      </c>
      <c r="H7370" s="0" t="n">
        <v>0.7</v>
      </c>
      <c r="I7370" s="7" t="n">
        <f aca="false">YEAR(B7370)</f>
        <v>2017</v>
      </c>
      <c r="J7370" s="0" t="str">
        <f aca="false">I7370&amp;"-Q"&amp;ROUNDUP(MONTH(B7370)/3,0)</f>
        <v>2017-Q2</v>
      </c>
    </row>
    <row r="7371" customFormat="false" ht="15" hidden="false" customHeight="false" outlineLevel="0" collapsed="false">
      <c r="A7371" s="0" t="s">
        <v>3751</v>
      </c>
      <c r="B7371" s="6" t="n">
        <v>42072</v>
      </c>
      <c r="C7371" s="7" t="s">
        <v>29</v>
      </c>
      <c r="D7371" s="7" t="s">
        <v>41</v>
      </c>
      <c r="E7371" s="7" t="s">
        <v>35</v>
      </c>
      <c r="F7371" s="0" t="n">
        <v>4.608</v>
      </c>
      <c r="G7371" s="0" t="n">
        <v>1.6704</v>
      </c>
      <c r="H7371" s="0" t="n">
        <v>0.2</v>
      </c>
      <c r="I7371" s="7" t="n">
        <f aca="false">YEAR(B7371)</f>
        <v>2015</v>
      </c>
      <c r="J7371" s="0" t="str">
        <f aca="false">I7371&amp;"-Q"&amp;ROUNDUP(MONTH(B7371)/3,0)</f>
        <v>2015-Q1</v>
      </c>
    </row>
    <row r="7372" customFormat="false" ht="15" hidden="false" customHeight="false" outlineLevel="0" collapsed="false">
      <c r="A7372" s="0" t="s">
        <v>3752</v>
      </c>
      <c r="B7372" s="6" t="n">
        <v>41940</v>
      </c>
      <c r="C7372" s="7" t="s">
        <v>45</v>
      </c>
      <c r="D7372" s="7" t="s">
        <v>946</v>
      </c>
      <c r="E7372" s="7" t="s">
        <v>39</v>
      </c>
      <c r="F7372" s="0" t="n">
        <v>257.98</v>
      </c>
      <c r="G7372" s="0" t="n">
        <v>74.8142</v>
      </c>
      <c r="H7372" s="0" t="n">
        <v>0</v>
      </c>
      <c r="I7372" s="7" t="n">
        <f aca="false">YEAR(B7372)</f>
        <v>2014</v>
      </c>
      <c r="J7372" s="0" t="str">
        <f aca="false">I7372&amp;"-Q"&amp;ROUNDUP(MONTH(B7372)/3,0)</f>
        <v>2014-Q4</v>
      </c>
    </row>
    <row r="7373" customFormat="false" ht="15" hidden="false" customHeight="false" outlineLevel="0" collapsed="false">
      <c r="A7373" s="0" t="s">
        <v>3753</v>
      </c>
      <c r="B7373" s="6" t="n">
        <v>42742</v>
      </c>
      <c r="C7373" s="7" t="s">
        <v>33</v>
      </c>
      <c r="D7373" s="7" t="s">
        <v>34</v>
      </c>
      <c r="E7373" s="7" t="s">
        <v>35</v>
      </c>
      <c r="F7373" s="0" t="n">
        <v>153.78</v>
      </c>
      <c r="G7373" s="0" t="n">
        <v>44.5962</v>
      </c>
      <c r="H7373" s="0" t="n">
        <v>0</v>
      </c>
      <c r="I7373" s="7" t="n">
        <f aca="false">YEAR(B7373)</f>
        <v>2017</v>
      </c>
      <c r="J7373" s="0" t="str">
        <f aca="false">I7373&amp;"-Q"&amp;ROUNDUP(MONTH(B7373)/3,0)</f>
        <v>2017-Q1</v>
      </c>
    </row>
    <row r="7374" customFormat="false" ht="15" hidden="false" customHeight="false" outlineLevel="0" collapsed="false">
      <c r="A7374" s="0" t="s">
        <v>3753</v>
      </c>
      <c r="B7374" s="6" t="n">
        <v>42742</v>
      </c>
      <c r="C7374" s="7" t="s">
        <v>33</v>
      </c>
      <c r="D7374" s="7" t="s">
        <v>34</v>
      </c>
      <c r="E7374" s="7" t="s">
        <v>35</v>
      </c>
      <c r="F7374" s="0" t="n">
        <v>61.02</v>
      </c>
      <c r="G7374" s="0" t="n">
        <v>0.6102</v>
      </c>
      <c r="H7374" s="0" t="n">
        <v>0</v>
      </c>
      <c r="I7374" s="7" t="n">
        <f aca="false">YEAR(B7374)</f>
        <v>2017</v>
      </c>
      <c r="J7374" s="0" t="str">
        <f aca="false">I7374&amp;"-Q"&amp;ROUNDUP(MONTH(B7374)/3,0)</f>
        <v>2017-Q1</v>
      </c>
    </row>
    <row r="7375" customFormat="false" ht="15" hidden="false" customHeight="false" outlineLevel="0" collapsed="false">
      <c r="A7375" s="0" t="s">
        <v>3753</v>
      </c>
      <c r="B7375" s="6" t="n">
        <v>42742</v>
      </c>
      <c r="C7375" s="7" t="s">
        <v>33</v>
      </c>
      <c r="D7375" s="7" t="s">
        <v>34</v>
      </c>
      <c r="E7375" s="7" t="s">
        <v>35</v>
      </c>
      <c r="F7375" s="0" t="n">
        <v>110.11</v>
      </c>
      <c r="G7375" s="0" t="n">
        <v>31.9319</v>
      </c>
      <c r="H7375" s="0" t="n">
        <v>0</v>
      </c>
      <c r="I7375" s="7" t="n">
        <f aca="false">YEAR(B7375)</f>
        <v>2017</v>
      </c>
      <c r="J7375" s="0" t="str">
        <f aca="false">I7375&amp;"-Q"&amp;ROUNDUP(MONTH(B7375)/3,0)</f>
        <v>2017-Q1</v>
      </c>
    </row>
    <row r="7376" customFormat="false" ht="15" hidden="false" customHeight="false" outlineLevel="0" collapsed="false">
      <c r="A7376" s="0" t="s">
        <v>3753</v>
      </c>
      <c r="B7376" s="6" t="n">
        <v>42742</v>
      </c>
      <c r="C7376" s="7" t="s">
        <v>33</v>
      </c>
      <c r="D7376" s="7" t="s">
        <v>34</v>
      </c>
      <c r="E7376" s="7" t="s">
        <v>35</v>
      </c>
      <c r="F7376" s="0" t="n">
        <v>7.89</v>
      </c>
      <c r="G7376" s="0" t="n">
        <v>3.5505</v>
      </c>
      <c r="H7376" s="0" t="n">
        <v>0</v>
      </c>
      <c r="I7376" s="7" t="n">
        <f aca="false">YEAR(B7376)</f>
        <v>2017</v>
      </c>
      <c r="J7376" s="0" t="str">
        <f aca="false">I7376&amp;"-Q"&amp;ROUNDUP(MONTH(B7376)/3,0)</f>
        <v>2017-Q1</v>
      </c>
    </row>
    <row r="7377" customFormat="false" ht="15" hidden="false" customHeight="false" outlineLevel="0" collapsed="false">
      <c r="A7377" s="0" t="s">
        <v>3754</v>
      </c>
      <c r="B7377" s="6" t="n">
        <v>42960</v>
      </c>
      <c r="C7377" s="7" t="s">
        <v>33</v>
      </c>
      <c r="D7377" s="7" t="s">
        <v>34</v>
      </c>
      <c r="E7377" s="7" t="s">
        <v>35</v>
      </c>
      <c r="F7377" s="0" t="n">
        <v>36.024</v>
      </c>
      <c r="G7377" s="0" t="n">
        <v>11.7078</v>
      </c>
      <c r="H7377" s="0" t="n">
        <v>0.2</v>
      </c>
      <c r="I7377" s="7" t="n">
        <f aca="false">YEAR(B7377)</f>
        <v>2017</v>
      </c>
      <c r="J7377" s="0" t="str">
        <f aca="false">I7377&amp;"-Q"&amp;ROUNDUP(MONTH(B7377)/3,0)</f>
        <v>2017-Q3</v>
      </c>
    </row>
    <row r="7378" customFormat="false" ht="15" hidden="false" customHeight="false" outlineLevel="0" collapsed="false">
      <c r="A7378" s="0" t="s">
        <v>3755</v>
      </c>
      <c r="B7378" s="6" t="n">
        <v>43041</v>
      </c>
      <c r="C7378" s="7" t="s">
        <v>45</v>
      </c>
      <c r="D7378" s="7" t="s">
        <v>64</v>
      </c>
      <c r="E7378" s="7" t="s">
        <v>35</v>
      </c>
      <c r="F7378" s="0" t="n">
        <v>54.336</v>
      </c>
      <c r="G7378" s="0" t="n">
        <v>5.4336</v>
      </c>
      <c r="H7378" s="0" t="n">
        <v>0.2</v>
      </c>
      <c r="I7378" s="7" t="n">
        <f aca="false">YEAR(B7378)</f>
        <v>2017</v>
      </c>
      <c r="J7378" s="0" t="str">
        <f aca="false">I7378&amp;"-Q"&amp;ROUNDUP(MONTH(B7378)/3,0)</f>
        <v>2017-Q4</v>
      </c>
    </row>
    <row r="7379" customFormat="false" ht="15" hidden="false" customHeight="false" outlineLevel="0" collapsed="false">
      <c r="A7379" s="0" t="s">
        <v>3756</v>
      </c>
      <c r="B7379" s="6" t="n">
        <v>41901</v>
      </c>
      <c r="C7379" s="7" t="s">
        <v>33</v>
      </c>
      <c r="D7379" s="7" t="s">
        <v>43</v>
      </c>
      <c r="E7379" s="7" t="s">
        <v>35</v>
      </c>
      <c r="F7379" s="0" t="n">
        <v>92.52</v>
      </c>
      <c r="G7379" s="0" t="n">
        <v>24.9804</v>
      </c>
      <c r="H7379" s="0" t="n">
        <v>0</v>
      </c>
      <c r="I7379" s="7" t="n">
        <f aca="false">YEAR(B7379)</f>
        <v>2014</v>
      </c>
      <c r="J7379" s="0" t="str">
        <f aca="false">I7379&amp;"-Q"&amp;ROUNDUP(MONTH(B7379)/3,0)</f>
        <v>2014-Q3</v>
      </c>
    </row>
    <row r="7380" customFormat="false" ht="15" hidden="false" customHeight="false" outlineLevel="0" collapsed="false">
      <c r="A7380" s="0" t="s">
        <v>3757</v>
      </c>
      <c r="B7380" s="6" t="n">
        <v>42155</v>
      </c>
      <c r="C7380" s="7" t="s">
        <v>29</v>
      </c>
      <c r="D7380" s="7" t="s">
        <v>41</v>
      </c>
      <c r="E7380" s="7" t="s">
        <v>35</v>
      </c>
      <c r="F7380" s="0" t="n">
        <v>10.272</v>
      </c>
      <c r="G7380" s="0" t="n">
        <v>1.1556</v>
      </c>
      <c r="H7380" s="0" t="n">
        <v>0.2</v>
      </c>
      <c r="I7380" s="7" t="n">
        <f aca="false">YEAR(B7380)</f>
        <v>2015</v>
      </c>
      <c r="J7380" s="0" t="str">
        <f aca="false">I7380&amp;"-Q"&amp;ROUNDUP(MONTH(B7380)/3,0)</f>
        <v>2015-Q2</v>
      </c>
    </row>
    <row r="7381" customFormat="false" ht="15" hidden="false" customHeight="false" outlineLevel="0" collapsed="false">
      <c r="A7381" s="0" t="s">
        <v>3758</v>
      </c>
      <c r="B7381" s="6" t="n">
        <v>42626</v>
      </c>
      <c r="C7381" s="7" t="s">
        <v>45</v>
      </c>
      <c r="D7381" s="7" t="s">
        <v>53</v>
      </c>
      <c r="E7381" s="7" t="s">
        <v>35</v>
      </c>
      <c r="F7381" s="0" t="n">
        <v>40.74</v>
      </c>
      <c r="G7381" s="0" t="n">
        <v>0.4074</v>
      </c>
      <c r="H7381" s="0" t="n">
        <v>0</v>
      </c>
      <c r="I7381" s="7" t="n">
        <f aca="false">YEAR(B7381)</f>
        <v>2016</v>
      </c>
      <c r="J7381" s="0" t="str">
        <f aca="false">I7381&amp;"-Q"&amp;ROUNDUP(MONTH(B7381)/3,0)</f>
        <v>2016-Q3</v>
      </c>
    </row>
    <row r="7382" customFormat="false" ht="15" hidden="false" customHeight="false" outlineLevel="0" collapsed="false">
      <c r="A7382" s="0" t="s">
        <v>3758</v>
      </c>
      <c r="B7382" s="6" t="n">
        <v>42626</v>
      </c>
      <c r="C7382" s="7" t="s">
        <v>45</v>
      </c>
      <c r="D7382" s="7" t="s">
        <v>53</v>
      </c>
      <c r="E7382" s="7" t="s">
        <v>35</v>
      </c>
      <c r="F7382" s="0" t="n">
        <v>14.4</v>
      </c>
      <c r="G7382" s="0" t="n">
        <v>7.056</v>
      </c>
      <c r="H7382" s="0" t="n">
        <v>0</v>
      </c>
      <c r="I7382" s="7" t="n">
        <f aca="false">YEAR(B7382)</f>
        <v>2016</v>
      </c>
      <c r="J7382" s="0" t="str">
        <f aca="false">I7382&amp;"-Q"&amp;ROUNDUP(MONTH(B7382)/3,0)</f>
        <v>2016-Q3</v>
      </c>
    </row>
    <row r="7383" customFormat="false" ht="15" hidden="false" customHeight="false" outlineLevel="0" collapsed="false">
      <c r="A7383" s="0" t="s">
        <v>3758</v>
      </c>
      <c r="B7383" s="6" t="n">
        <v>42626</v>
      </c>
      <c r="C7383" s="7" t="s">
        <v>45</v>
      </c>
      <c r="D7383" s="7" t="s">
        <v>53</v>
      </c>
      <c r="E7383" s="7" t="s">
        <v>39</v>
      </c>
      <c r="F7383" s="0" t="n">
        <v>149.95</v>
      </c>
      <c r="G7383" s="0" t="n">
        <v>41.986</v>
      </c>
      <c r="H7383" s="0" t="n">
        <v>0</v>
      </c>
      <c r="I7383" s="7" t="n">
        <f aca="false">YEAR(B7383)</f>
        <v>2016</v>
      </c>
      <c r="J7383" s="0" t="str">
        <f aca="false">I7383&amp;"-Q"&amp;ROUNDUP(MONTH(B7383)/3,0)</f>
        <v>2016-Q3</v>
      </c>
    </row>
    <row r="7384" customFormat="false" ht="15" hidden="false" customHeight="false" outlineLevel="0" collapsed="false">
      <c r="A7384" s="0" t="s">
        <v>3758</v>
      </c>
      <c r="B7384" s="6" t="n">
        <v>42626</v>
      </c>
      <c r="C7384" s="7" t="s">
        <v>45</v>
      </c>
      <c r="D7384" s="7" t="s">
        <v>53</v>
      </c>
      <c r="E7384" s="7" t="s">
        <v>35</v>
      </c>
      <c r="F7384" s="0" t="n">
        <v>16.9</v>
      </c>
      <c r="G7384" s="0" t="n">
        <v>5.07</v>
      </c>
      <c r="H7384" s="0" t="n">
        <v>0</v>
      </c>
      <c r="I7384" s="7" t="n">
        <f aca="false">YEAR(B7384)</f>
        <v>2016</v>
      </c>
      <c r="J7384" s="0" t="str">
        <f aca="false">I7384&amp;"-Q"&amp;ROUNDUP(MONTH(B7384)/3,0)</f>
        <v>2016-Q3</v>
      </c>
    </row>
    <row r="7385" customFormat="false" ht="15" hidden="false" customHeight="false" outlineLevel="0" collapsed="false">
      <c r="A7385" s="0" t="s">
        <v>3758</v>
      </c>
      <c r="B7385" s="6" t="n">
        <v>42626</v>
      </c>
      <c r="C7385" s="7" t="s">
        <v>45</v>
      </c>
      <c r="D7385" s="7" t="s">
        <v>53</v>
      </c>
      <c r="E7385" s="7" t="s">
        <v>35</v>
      </c>
      <c r="F7385" s="0" t="n">
        <v>17.61</v>
      </c>
      <c r="G7385" s="0" t="n">
        <v>8.4528</v>
      </c>
      <c r="H7385" s="0" t="n">
        <v>0</v>
      </c>
      <c r="I7385" s="7" t="n">
        <f aca="false">YEAR(B7385)</f>
        <v>2016</v>
      </c>
      <c r="J7385" s="0" t="str">
        <f aca="false">I7385&amp;"-Q"&amp;ROUNDUP(MONTH(B7385)/3,0)</f>
        <v>2016-Q3</v>
      </c>
    </row>
    <row r="7386" customFormat="false" ht="15" hidden="false" customHeight="false" outlineLevel="0" collapsed="false">
      <c r="A7386" s="0" t="s">
        <v>3758</v>
      </c>
      <c r="B7386" s="6" t="n">
        <v>42626</v>
      </c>
      <c r="C7386" s="7" t="s">
        <v>45</v>
      </c>
      <c r="D7386" s="7" t="s">
        <v>53</v>
      </c>
      <c r="E7386" s="7" t="s">
        <v>35</v>
      </c>
      <c r="F7386" s="0" t="n">
        <v>378</v>
      </c>
      <c r="G7386" s="0" t="n">
        <v>136.08</v>
      </c>
      <c r="H7386" s="0" t="n">
        <v>0</v>
      </c>
      <c r="I7386" s="7" t="n">
        <f aca="false">YEAR(B7386)</f>
        <v>2016</v>
      </c>
      <c r="J7386" s="0" t="str">
        <f aca="false">I7386&amp;"-Q"&amp;ROUNDUP(MONTH(B7386)/3,0)</f>
        <v>2016-Q3</v>
      </c>
    </row>
    <row r="7387" customFormat="false" ht="15" hidden="false" customHeight="false" outlineLevel="0" collapsed="false">
      <c r="A7387" s="0" t="s">
        <v>3758</v>
      </c>
      <c r="B7387" s="6" t="n">
        <v>42626</v>
      </c>
      <c r="C7387" s="7" t="s">
        <v>45</v>
      </c>
      <c r="D7387" s="7" t="s">
        <v>53</v>
      </c>
      <c r="E7387" s="7" t="s">
        <v>35</v>
      </c>
      <c r="F7387" s="0" t="n">
        <v>17.64</v>
      </c>
      <c r="G7387" s="0" t="n">
        <v>8.6436</v>
      </c>
      <c r="H7387" s="0" t="n">
        <v>0</v>
      </c>
      <c r="I7387" s="7" t="n">
        <f aca="false">YEAR(B7387)</f>
        <v>2016</v>
      </c>
      <c r="J7387" s="0" t="str">
        <f aca="false">I7387&amp;"-Q"&amp;ROUNDUP(MONTH(B7387)/3,0)</f>
        <v>2016-Q3</v>
      </c>
    </row>
    <row r="7388" customFormat="false" ht="15" hidden="false" customHeight="false" outlineLevel="0" collapsed="false">
      <c r="A7388" s="0" t="s">
        <v>3758</v>
      </c>
      <c r="B7388" s="6" t="n">
        <v>42626</v>
      </c>
      <c r="C7388" s="7" t="s">
        <v>45</v>
      </c>
      <c r="D7388" s="7" t="s">
        <v>53</v>
      </c>
      <c r="E7388" s="7" t="s">
        <v>35</v>
      </c>
      <c r="F7388" s="0" t="n">
        <v>373.08</v>
      </c>
      <c r="G7388" s="0" t="n">
        <v>100.7316</v>
      </c>
      <c r="H7388" s="0" t="n">
        <v>0</v>
      </c>
      <c r="I7388" s="7" t="n">
        <f aca="false">YEAR(B7388)</f>
        <v>2016</v>
      </c>
      <c r="J7388" s="0" t="str">
        <f aca="false">I7388&amp;"-Q"&amp;ROUNDUP(MONTH(B7388)/3,0)</f>
        <v>2016-Q3</v>
      </c>
    </row>
    <row r="7389" customFormat="false" ht="15" hidden="false" customHeight="false" outlineLevel="0" collapsed="false">
      <c r="A7389" s="0" t="s">
        <v>3758</v>
      </c>
      <c r="B7389" s="6" t="n">
        <v>42626</v>
      </c>
      <c r="C7389" s="7" t="s">
        <v>45</v>
      </c>
      <c r="D7389" s="7" t="s">
        <v>53</v>
      </c>
      <c r="E7389" s="7" t="s">
        <v>31</v>
      </c>
      <c r="F7389" s="0" t="n">
        <v>1336.44</v>
      </c>
      <c r="G7389" s="0" t="n">
        <v>387.5676</v>
      </c>
      <c r="H7389" s="0" t="n">
        <v>0</v>
      </c>
      <c r="I7389" s="7" t="n">
        <f aca="false">YEAR(B7389)</f>
        <v>2016</v>
      </c>
      <c r="J7389" s="0" t="str">
        <f aca="false">I7389&amp;"-Q"&amp;ROUNDUP(MONTH(B7389)/3,0)</f>
        <v>2016-Q3</v>
      </c>
    </row>
    <row r="7390" customFormat="false" ht="15" hidden="false" customHeight="false" outlineLevel="0" collapsed="false">
      <c r="A7390" s="0" t="s">
        <v>3758</v>
      </c>
      <c r="B7390" s="6" t="n">
        <v>42626</v>
      </c>
      <c r="C7390" s="7" t="s">
        <v>45</v>
      </c>
      <c r="D7390" s="7" t="s">
        <v>53</v>
      </c>
      <c r="E7390" s="7" t="s">
        <v>39</v>
      </c>
      <c r="F7390" s="0" t="n">
        <v>29.97</v>
      </c>
      <c r="G7390" s="0" t="n">
        <v>0.2997</v>
      </c>
      <c r="H7390" s="0" t="n">
        <v>0</v>
      </c>
      <c r="I7390" s="7" t="n">
        <f aca="false">YEAR(B7390)</f>
        <v>2016</v>
      </c>
      <c r="J7390" s="0" t="str">
        <f aca="false">I7390&amp;"-Q"&amp;ROUNDUP(MONTH(B7390)/3,0)</f>
        <v>2016-Q3</v>
      </c>
    </row>
    <row r="7391" customFormat="false" ht="15" hidden="false" customHeight="false" outlineLevel="0" collapsed="false">
      <c r="A7391" s="0" t="s">
        <v>3759</v>
      </c>
      <c r="B7391" s="6" t="n">
        <v>43068</v>
      </c>
      <c r="C7391" s="7" t="s">
        <v>29</v>
      </c>
      <c r="D7391" s="7" t="s">
        <v>87</v>
      </c>
      <c r="E7391" s="7" t="s">
        <v>31</v>
      </c>
      <c r="F7391" s="0" t="n">
        <v>390.368</v>
      </c>
      <c r="G7391" s="0" t="n">
        <v>48.796</v>
      </c>
      <c r="H7391" s="0" t="n">
        <v>0.2</v>
      </c>
      <c r="I7391" s="7" t="n">
        <f aca="false">YEAR(B7391)</f>
        <v>2017</v>
      </c>
      <c r="J7391" s="0" t="str">
        <f aca="false">I7391&amp;"-Q"&amp;ROUNDUP(MONTH(B7391)/3,0)</f>
        <v>2017-Q4</v>
      </c>
    </row>
    <row r="7392" customFormat="false" ht="15" hidden="false" customHeight="false" outlineLevel="0" collapsed="false">
      <c r="A7392" s="0" t="s">
        <v>3759</v>
      </c>
      <c r="B7392" s="6" t="n">
        <v>43068</v>
      </c>
      <c r="C7392" s="7" t="s">
        <v>29</v>
      </c>
      <c r="D7392" s="7" t="s">
        <v>87</v>
      </c>
      <c r="E7392" s="7" t="s">
        <v>31</v>
      </c>
      <c r="F7392" s="0" t="n">
        <v>101.52</v>
      </c>
      <c r="G7392" s="0" t="n">
        <v>19.035</v>
      </c>
      <c r="H7392" s="0" t="n">
        <v>0.2</v>
      </c>
      <c r="I7392" s="7" t="n">
        <f aca="false">YEAR(B7392)</f>
        <v>2017</v>
      </c>
      <c r="J7392" s="0" t="str">
        <f aca="false">I7392&amp;"-Q"&amp;ROUNDUP(MONTH(B7392)/3,0)</f>
        <v>2017-Q4</v>
      </c>
    </row>
    <row r="7393" customFormat="false" ht="15" hidden="false" customHeight="false" outlineLevel="0" collapsed="false">
      <c r="A7393" s="0" t="s">
        <v>3760</v>
      </c>
      <c r="B7393" s="6" t="n">
        <v>43073</v>
      </c>
      <c r="C7393" s="7" t="s">
        <v>55</v>
      </c>
      <c r="D7393" s="7" t="s">
        <v>116</v>
      </c>
      <c r="E7393" s="7" t="s">
        <v>35</v>
      </c>
      <c r="F7393" s="0" t="n">
        <v>74.352</v>
      </c>
      <c r="G7393" s="0" t="n">
        <v>23.235</v>
      </c>
      <c r="H7393" s="0" t="n">
        <v>0.2</v>
      </c>
      <c r="I7393" s="7" t="n">
        <f aca="false">YEAR(B7393)</f>
        <v>2017</v>
      </c>
      <c r="J7393" s="0" t="str">
        <f aca="false">I7393&amp;"-Q"&amp;ROUNDUP(MONTH(B7393)/3,0)</f>
        <v>2017-Q4</v>
      </c>
    </row>
    <row r="7394" customFormat="false" ht="15" hidden="false" customHeight="false" outlineLevel="0" collapsed="false">
      <c r="A7394" s="0" t="s">
        <v>3761</v>
      </c>
      <c r="B7394" s="6" t="n">
        <v>42857</v>
      </c>
      <c r="C7394" s="7" t="s">
        <v>33</v>
      </c>
      <c r="D7394" s="7" t="s">
        <v>34</v>
      </c>
      <c r="E7394" s="7" t="s">
        <v>35</v>
      </c>
      <c r="F7394" s="0" t="n">
        <v>15.7</v>
      </c>
      <c r="G7394" s="0" t="n">
        <v>7.065</v>
      </c>
      <c r="H7394" s="0" t="n">
        <v>0</v>
      </c>
      <c r="I7394" s="7" t="n">
        <f aca="false">YEAR(B7394)</f>
        <v>2017</v>
      </c>
      <c r="J7394" s="0" t="str">
        <f aca="false">I7394&amp;"-Q"&amp;ROUNDUP(MONTH(B7394)/3,0)</f>
        <v>2017-Q2</v>
      </c>
    </row>
    <row r="7395" customFormat="false" ht="15" hidden="false" customHeight="false" outlineLevel="0" collapsed="false">
      <c r="A7395" s="0" t="s">
        <v>3761</v>
      </c>
      <c r="B7395" s="6" t="n">
        <v>42857</v>
      </c>
      <c r="C7395" s="7" t="s">
        <v>33</v>
      </c>
      <c r="D7395" s="7" t="s">
        <v>34</v>
      </c>
      <c r="E7395" s="7" t="s">
        <v>35</v>
      </c>
      <c r="F7395" s="0" t="n">
        <v>59.52</v>
      </c>
      <c r="G7395" s="0" t="n">
        <v>15.4752</v>
      </c>
      <c r="H7395" s="0" t="n">
        <v>0</v>
      </c>
      <c r="I7395" s="7" t="n">
        <f aca="false">YEAR(B7395)</f>
        <v>2017</v>
      </c>
      <c r="J7395" s="0" t="str">
        <f aca="false">I7395&amp;"-Q"&amp;ROUNDUP(MONTH(B7395)/3,0)</f>
        <v>2017-Q2</v>
      </c>
    </row>
    <row r="7396" customFormat="false" ht="15" hidden="false" customHeight="false" outlineLevel="0" collapsed="false">
      <c r="A7396" s="0" t="s">
        <v>3761</v>
      </c>
      <c r="B7396" s="6" t="n">
        <v>42857</v>
      </c>
      <c r="C7396" s="7" t="s">
        <v>33</v>
      </c>
      <c r="D7396" s="7" t="s">
        <v>34</v>
      </c>
      <c r="E7396" s="7" t="s">
        <v>35</v>
      </c>
      <c r="F7396" s="0" t="n">
        <v>34.4</v>
      </c>
      <c r="G7396" s="0" t="n">
        <v>15.824</v>
      </c>
      <c r="H7396" s="0" t="n">
        <v>0</v>
      </c>
      <c r="I7396" s="7" t="n">
        <f aca="false">YEAR(B7396)</f>
        <v>2017</v>
      </c>
      <c r="J7396" s="0" t="str">
        <f aca="false">I7396&amp;"-Q"&amp;ROUNDUP(MONTH(B7396)/3,0)</f>
        <v>2017-Q2</v>
      </c>
    </row>
    <row r="7397" customFormat="false" ht="15" hidden="false" customHeight="false" outlineLevel="0" collapsed="false">
      <c r="A7397" s="0" t="s">
        <v>3762</v>
      </c>
      <c r="B7397" s="6" t="n">
        <v>42729</v>
      </c>
      <c r="C7397" s="7" t="s">
        <v>55</v>
      </c>
      <c r="D7397" s="7" t="s">
        <v>76</v>
      </c>
      <c r="E7397" s="7" t="s">
        <v>31</v>
      </c>
      <c r="F7397" s="0" t="n">
        <v>313.176</v>
      </c>
      <c r="G7397" s="0" t="n">
        <v>-120.0508</v>
      </c>
      <c r="H7397" s="0" t="n">
        <v>0.4</v>
      </c>
      <c r="I7397" s="7" t="n">
        <f aca="false">YEAR(B7397)</f>
        <v>2016</v>
      </c>
      <c r="J7397" s="0" t="str">
        <f aca="false">I7397&amp;"-Q"&amp;ROUNDUP(MONTH(B7397)/3,0)</f>
        <v>2016-Q4</v>
      </c>
    </row>
    <row r="7398" customFormat="false" ht="15" hidden="false" customHeight="false" outlineLevel="0" collapsed="false">
      <c r="A7398" s="0" t="s">
        <v>3762</v>
      </c>
      <c r="B7398" s="6" t="n">
        <v>42729</v>
      </c>
      <c r="C7398" s="7" t="s">
        <v>55</v>
      </c>
      <c r="D7398" s="7" t="s">
        <v>76</v>
      </c>
      <c r="E7398" s="7" t="s">
        <v>31</v>
      </c>
      <c r="F7398" s="0" t="n">
        <v>866.646</v>
      </c>
      <c r="G7398" s="0" t="n">
        <v>173.3292</v>
      </c>
      <c r="H7398" s="0" t="n">
        <v>0.1</v>
      </c>
      <c r="I7398" s="7" t="n">
        <f aca="false">YEAR(B7398)</f>
        <v>2016</v>
      </c>
      <c r="J7398" s="0" t="str">
        <f aca="false">I7398&amp;"-Q"&amp;ROUNDUP(MONTH(B7398)/3,0)</f>
        <v>2016-Q4</v>
      </c>
    </row>
    <row r="7399" customFormat="false" ht="15" hidden="false" customHeight="false" outlineLevel="0" collapsed="false">
      <c r="A7399" s="0" t="s">
        <v>3763</v>
      </c>
      <c r="B7399" s="6" t="n">
        <v>41912</v>
      </c>
      <c r="C7399" s="7" t="s">
        <v>55</v>
      </c>
      <c r="D7399" s="7" t="s">
        <v>116</v>
      </c>
      <c r="E7399" s="7" t="s">
        <v>35</v>
      </c>
      <c r="F7399" s="0" t="n">
        <v>795.408</v>
      </c>
      <c r="G7399" s="0" t="n">
        <v>59.6556</v>
      </c>
      <c r="H7399" s="0" t="n">
        <v>0.2</v>
      </c>
      <c r="I7399" s="7" t="n">
        <f aca="false">YEAR(B7399)</f>
        <v>2014</v>
      </c>
      <c r="J7399" s="0" t="str">
        <f aca="false">I7399&amp;"-Q"&amp;ROUNDUP(MONTH(B7399)/3,0)</f>
        <v>2014-Q3</v>
      </c>
    </row>
    <row r="7400" customFormat="false" ht="15" hidden="false" customHeight="false" outlineLevel="0" collapsed="false">
      <c r="A7400" s="0" t="s">
        <v>3764</v>
      </c>
      <c r="B7400" s="6" t="n">
        <v>41832</v>
      </c>
      <c r="C7400" s="7" t="s">
        <v>45</v>
      </c>
      <c r="D7400" s="7" t="s">
        <v>64</v>
      </c>
      <c r="E7400" s="7" t="s">
        <v>35</v>
      </c>
      <c r="F7400" s="0" t="n">
        <v>35.856</v>
      </c>
      <c r="G7400" s="0" t="n">
        <v>12.9978</v>
      </c>
      <c r="H7400" s="0" t="n">
        <v>0.2</v>
      </c>
      <c r="I7400" s="7" t="n">
        <f aca="false">YEAR(B7400)</f>
        <v>2014</v>
      </c>
      <c r="J7400" s="0" t="str">
        <f aca="false">I7400&amp;"-Q"&amp;ROUNDUP(MONTH(B7400)/3,0)</f>
        <v>2014-Q3</v>
      </c>
    </row>
    <row r="7401" customFormat="false" ht="15" hidden="false" customHeight="false" outlineLevel="0" collapsed="false">
      <c r="A7401" s="0" t="s">
        <v>3764</v>
      </c>
      <c r="B7401" s="6" t="n">
        <v>41832</v>
      </c>
      <c r="C7401" s="7" t="s">
        <v>45</v>
      </c>
      <c r="D7401" s="7" t="s">
        <v>64</v>
      </c>
      <c r="E7401" s="7" t="s">
        <v>39</v>
      </c>
      <c r="F7401" s="0" t="n">
        <v>23.84</v>
      </c>
      <c r="G7401" s="0" t="n">
        <v>3.278</v>
      </c>
      <c r="H7401" s="0" t="n">
        <v>0.2</v>
      </c>
      <c r="I7401" s="7" t="n">
        <f aca="false">YEAR(B7401)</f>
        <v>2014</v>
      </c>
      <c r="J7401" s="0" t="str">
        <f aca="false">I7401&amp;"-Q"&amp;ROUNDUP(MONTH(B7401)/3,0)</f>
        <v>2014-Q3</v>
      </c>
    </row>
    <row r="7402" customFormat="false" ht="15" hidden="false" customHeight="false" outlineLevel="0" collapsed="false">
      <c r="A7402" s="0" t="s">
        <v>3765</v>
      </c>
      <c r="B7402" s="6" t="n">
        <v>42621</v>
      </c>
      <c r="C7402" s="7" t="s">
        <v>33</v>
      </c>
      <c r="D7402" s="7" t="s">
        <v>43</v>
      </c>
      <c r="E7402" s="7" t="s">
        <v>31</v>
      </c>
      <c r="F7402" s="0" t="n">
        <v>43.13</v>
      </c>
      <c r="G7402" s="0" t="n">
        <v>14.6642</v>
      </c>
      <c r="H7402" s="0" t="n">
        <v>0</v>
      </c>
      <c r="I7402" s="7" t="n">
        <f aca="false">YEAR(B7402)</f>
        <v>2016</v>
      </c>
      <c r="J7402" s="0" t="str">
        <f aca="false">I7402&amp;"-Q"&amp;ROUNDUP(MONTH(B7402)/3,0)</f>
        <v>2016-Q3</v>
      </c>
    </row>
    <row r="7403" customFormat="false" ht="15" hidden="false" customHeight="false" outlineLevel="0" collapsed="false">
      <c r="A7403" s="0" t="s">
        <v>3765</v>
      </c>
      <c r="B7403" s="6" t="n">
        <v>42621</v>
      </c>
      <c r="C7403" s="7" t="s">
        <v>33</v>
      </c>
      <c r="D7403" s="7" t="s">
        <v>43</v>
      </c>
      <c r="E7403" s="7" t="s">
        <v>35</v>
      </c>
      <c r="F7403" s="0" t="n">
        <v>30.87</v>
      </c>
      <c r="G7403" s="0" t="n">
        <v>14.2002</v>
      </c>
      <c r="H7403" s="0" t="n">
        <v>0</v>
      </c>
      <c r="I7403" s="7" t="n">
        <f aca="false">YEAR(B7403)</f>
        <v>2016</v>
      </c>
      <c r="J7403" s="0" t="str">
        <f aca="false">I7403&amp;"-Q"&amp;ROUNDUP(MONTH(B7403)/3,0)</f>
        <v>2016-Q3</v>
      </c>
    </row>
    <row r="7404" customFormat="false" ht="15" hidden="false" customHeight="false" outlineLevel="0" collapsed="false">
      <c r="A7404" s="0" t="s">
        <v>3766</v>
      </c>
      <c r="B7404" s="6" t="n">
        <v>42953</v>
      </c>
      <c r="C7404" s="7" t="s">
        <v>55</v>
      </c>
      <c r="D7404" s="7" t="s">
        <v>76</v>
      </c>
      <c r="E7404" s="7" t="s">
        <v>35</v>
      </c>
      <c r="F7404" s="0" t="n">
        <v>70.12</v>
      </c>
      <c r="G7404" s="0" t="n">
        <v>21.036</v>
      </c>
      <c r="H7404" s="0" t="n">
        <v>0</v>
      </c>
      <c r="I7404" s="7" t="n">
        <f aca="false">YEAR(B7404)</f>
        <v>2017</v>
      </c>
      <c r="J7404" s="0" t="str">
        <f aca="false">I7404&amp;"-Q"&amp;ROUNDUP(MONTH(B7404)/3,0)</f>
        <v>2017-Q3</v>
      </c>
    </row>
    <row r="7405" customFormat="false" ht="15" hidden="false" customHeight="false" outlineLevel="0" collapsed="false">
      <c r="A7405" s="0" t="s">
        <v>3767</v>
      </c>
      <c r="B7405" s="6" t="n">
        <v>42138</v>
      </c>
      <c r="C7405" s="7" t="s">
        <v>33</v>
      </c>
      <c r="D7405" s="7" t="s">
        <v>34</v>
      </c>
      <c r="E7405" s="7" t="s">
        <v>31</v>
      </c>
      <c r="F7405" s="0" t="n">
        <v>509.9575</v>
      </c>
      <c r="G7405" s="0" t="n">
        <v>41.9965</v>
      </c>
      <c r="H7405" s="0" t="n">
        <v>0.15</v>
      </c>
      <c r="I7405" s="7" t="n">
        <f aca="false">YEAR(B7405)</f>
        <v>2015</v>
      </c>
      <c r="J7405" s="0" t="str">
        <f aca="false">I7405&amp;"-Q"&amp;ROUNDUP(MONTH(B7405)/3,0)</f>
        <v>2015-Q2</v>
      </c>
    </row>
    <row r="7406" customFormat="false" ht="15" hidden="false" customHeight="false" outlineLevel="0" collapsed="false">
      <c r="A7406" s="0" t="s">
        <v>3767</v>
      </c>
      <c r="B7406" s="6" t="n">
        <v>42138</v>
      </c>
      <c r="C7406" s="7" t="s">
        <v>33</v>
      </c>
      <c r="D7406" s="7" t="s">
        <v>34</v>
      </c>
      <c r="E7406" s="7" t="s">
        <v>31</v>
      </c>
      <c r="F7406" s="0" t="n">
        <v>122.91</v>
      </c>
      <c r="G7406" s="0" t="n">
        <v>34.4148</v>
      </c>
      <c r="H7406" s="0" t="n">
        <v>0</v>
      </c>
      <c r="I7406" s="7" t="n">
        <f aca="false">YEAR(B7406)</f>
        <v>2015</v>
      </c>
      <c r="J7406" s="0" t="str">
        <f aca="false">I7406&amp;"-Q"&amp;ROUNDUP(MONTH(B7406)/3,0)</f>
        <v>2015-Q2</v>
      </c>
    </row>
    <row r="7407" customFormat="false" ht="15" hidden="false" customHeight="false" outlineLevel="0" collapsed="false">
      <c r="A7407" s="0" t="s">
        <v>3767</v>
      </c>
      <c r="B7407" s="6" t="n">
        <v>42138</v>
      </c>
      <c r="C7407" s="7" t="s">
        <v>33</v>
      </c>
      <c r="D7407" s="7" t="s">
        <v>34</v>
      </c>
      <c r="E7407" s="7" t="s">
        <v>31</v>
      </c>
      <c r="F7407" s="0" t="n">
        <v>97.568</v>
      </c>
      <c r="G7407" s="0" t="n">
        <v>-6.098</v>
      </c>
      <c r="H7407" s="0" t="n">
        <v>0.2</v>
      </c>
      <c r="I7407" s="7" t="n">
        <f aca="false">YEAR(B7407)</f>
        <v>2015</v>
      </c>
      <c r="J7407" s="0" t="str">
        <f aca="false">I7407&amp;"-Q"&amp;ROUNDUP(MONTH(B7407)/3,0)</f>
        <v>2015-Q2</v>
      </c>
    </row>
    <row r="7408" customFormat="false" ht="15" hidden="false" customHeight="false" outlineLevel="0" collapsed="false">
      <c r="A7408" s="0" t="s">
        <v>3767</v>
      </c>
      <c r="B7408" s="6" t="n">
        <v>42138</v>
      </c>
      <c r="C7408" s="7" t="s">
        <v>33</v>
      </c>
      <c r="D7408" s="7" t="s">
        <v>34</v>
      </c>
      <c r="E7408" s="7" t="s">
        <v>31</v>
      </c>
      <c r="F7408" s="0" t="n">
        <v>722.352</v>
      </c>
      <c r="G7408" s="0" t="n">
        <v>81.2646</v>
      </c>
      <c r="H7408" s="0" t="n">
        <v>0.2</v>
      </c>
      <c r="I7408" s="7" t="n">
        <f aca="false">YEAR(B7408)</f>
        <v>2015</v>
      </c>
      <c r="J7408" s="0" t="str">
        <f aca="false">I7408&amp;"-Q"&amp;ROUNDUP(MONTH(B7408)/3,0)</f>
        <v>2015-Q2</v>
      </c>
    </row>
    <row r="7409" customFormat="false" ht="15" hidden="false" customHeight="false" outlineLevel="0" collapsed="false">
      <c r="A7409" s="0" t="s">
        <v>3768</v>
      </c>
      <c r="B7409" s="6" t="n">
        <v>42755</v>
      </c>
      <c r="C7409" s="7" t="s">
        <v>45</v>
      </c>
      <c r="D7409" s="7" t="s">
        <v>64</v>
      </c>
      <c r="E7409" s="7" t="s">
        <v>35</v>
      </c>
      <c r="F7409" s="0" t="n">
        <v>11.52</v>
      </c>
      <c r="G7409" s="0" t="n">
        <v>4.176</v>
      </c>
      <c r="H7409" s="0" t="n">
        <v>0.2</v>
      </c>
      <c r="I7409" s="7" t="n">
        <f aca="false">YEAR(B7409)</f>
        <v>2017</v>
      </c>
      <c r="J7409" s="0" t="str">
        <f aca="false">I7409&amp;"-Q"&amp;ROUNDUP(MONTH(B7409)/3,0)</f>
        <v>2017-Q1</v>
      </c>
    </row>
    <row r="7410" customFormat="false" ht="15" hidden="false" customHeight="false" outlineLevel="0" collapsed="false">
      <c r="A7410" s="0" t="s">
        <v>3769</v>
      </c>
      <c r="B7410" s="6" t="n">
        <v>42520</v>
      </c>
      <c r="C7410" s="7" t="s">
        <v>33</v>
      </c>
      <c r="D7410" s="7" t="s">
        <v>34</v>
      </c>
      <c r="E7410" s="7" t="s">
        <v>31</v>
      </c>
      <c r="F7410" s="0" t="n">
        <v>167.84</v>
      </c>
      <c r="G7410" s="0" t="n">
        <v>11.7488</v>
      </c>
      <c r="H7410" s="0" t="n">
        <v>0</v>
      </c>
      <c r="I7410" s="7" t="n">
        <f aca="false">YEAR(B7410)</f>
        <v>2016</v>
      </c>
      <c r="J7410" s="0" t="str">
        <f aca="false">I7410&amp;"-Q"&amp;ROUNDUP(MONTH(B7410)/3,0)</f>
        <v>2016-Q2</v>
      </c>
    </row>
    <row r="7411" customFormat="false" ht="15" hidden="false" customHeight="false" outlineLevel="0" collapsed="false">
      <c r="A7411" s="0" t="s">
        <v>3770</v>
      </c>
      <c r="B7411" s="6" t="n">
        <v>41737</v>
      </c>
      <c r="C7411" s="7" t="s">
        <v>55</v>
      </c>
      <c r="D7411" s="7" t="s">
        <v>116</v>
      </c>
      <c r="E7411" s="7" t="s">
        <v>31</v>
      </c>
      <c r="F7411" s="0" t="n">
        <v>172.11</v>
      </c>
      <c r="G7411" s="0" t="n">
        <v>-94.6605</v>
      </c>
      <c r="H7411" s="0" t="n">
        <v>0.4</v>
      </c>
      <c r="I7411" s="7" t="n">
        <f aca="false">YEAR(B7411)</f>
        <v>2014</v>
      </c>
      <c r="J7411" s="0" t="str">
        <f aca="false">I7411&amp;"-Q"&amp;ROUNDUP(MONTH(B7411)/3,0)</f>
        <v>2014-Q2</v>
      </c>
    </row>
    <row r="7412" customFormat="false" ht="15" hidden="false" customHeight="false" outlineLevel="0" collapsed="false">
      <c r="A7412" s="0" t="s">
        <v>3771</v>
      </c>
      <c r="B7412" s="6" t="n">
        <v>41843</v>
      </c>
      <c r="C7412" s="7" t="s">
        <v>55</v>
      </c>
      <c r="D7412" s="7" t="s">
        <v>76</v>
      </c>
      <c r="E7412" s="7" t="s">
        <v>39</v>
      </c>
      <c r="F7412" s="0" t="n">
        <v>99.98</v>
      </c>
      <c r="G7412" s="0" t="n">
        <v>7.9984</v>
      </c>
      <c r="H7412" s="0" t="n">
        <v>0</v>
      </c>
      <c r="I7412" s="7" t="n">
        <f aca="false">YEAR(B7412)</f>
        <v>2014</v>
      </c>
      <c r="J7412" s="0" t="str">
        <f aca="false">I7412&amp;"-Q"&amp;ROUNDUP(MONTH(B7412)/3,0)</f>
        <v>2014-Q3</v>
      </c>
    </row>
    <row r="7413" customFormat="false" ht="15" hidden="false" customHeight="false" outlineLevel="0" collapsed="false">
      <c r="A7413" s="0" t="s">
        <v>3772</v>
      </c>
      <c r="B7413" s="6" t="n">
        <v>42885</v>
      </c>
      <c r="C7413" s="7" t="s">
        <v>33</v>
      </c>
      <c r="D7413" s="7" t="s">
        <v>102</v>
      </c>
      <c r="E7413" s="7" t="s">
        <v>39</v>
      </c>
      <c r="F7413" s="0" t="n">
        <v>156.792</v>
      </c>
      <c r="G7413" s="0" t="n">
        <v>17.6391</v>
      </c>
      <c r="H7413" s="0" t="n">
        <v>0.2</v>
      </c>
      <c r="I7413" s="7" t="n">
        <f aca="false">YEAR(B7413)</f>
        <v>2017</v>
      </c>
      <c r="J7413" s="0" t="str">
        <f aca="false">I7413&amp;"-Q"&amp;ROUNDUP(MONTH(B7413)/3,0)</f>
        <v>2017-Q2</v>
      </c>
    </row>
    <row r="7414" customFormat="false" ht="15" hidden="false" customHeight="false" outlineLevel="0" collapsed="false">
      <c r="A7414" s="0" t="s">
        <v>3772</v>
      </c>
      <c r="B7414" s="6" t="n">
        <v>42885</v>
      </c>
      <c r="C7414" s="7" t="s">
        <v>33</v>
      </c>
      <c r="D7414" s="7" t="s">
        <v>102</v>
      </c>
      <c r="E7414" s="7" t="s">
        <v>39</v>
      </c>
      <c r="F7414" s="0" t="n">
        <v>35.36</v>
      </c>
      <c r="G7414" s="0" t="n">
        <v>-3.094</v>
      </c>
      <c r="H7414" s="0" t="n">
        <v>0.2</v>
      </c>
      <c r="I7414" s="7" t="n">
        <f aca="false">YEAR(B7414)</f>
        <v>2017</v>
      </c>
      <c r="J7414" s="0" t="str">
        <f aca="false">I7414&amp;"-Q"&amp;ROUNDUP(MONTH(B7414)/3,0)</f>
        <v>2017-Q2</v>
      </c>
    </row>
    <row r="7415" customFormat="false" ht="15" hidden="false" customHeight="false" outlineLevel="0" collapsed="false">
      <c r="A7415" s="0" t="s">
        <v>3772</v>
      </c>
      <c r="B7415" s="6" t="n">
        <v>42885</v>
      </c>
      <c r="C7415" s="7" t="s">
        <v>33</v>
      </c>
      <c r="D7415" s="7" t="s">
        <v>102</v>
      </c>
      <c r="E7415" s="7" t="s">
        <v>31</v>
      </c>
      <c r="F7415" s="0" t="n">
        <v>13.592</v>
      </c>
      <c r="G7415" s="0" t="n">
        <v>-0.3398</v>
      </c>
      <c r="H7415" s="0" t="n">
        <v>0.2</v>
      </c>
      <c r="I7415" s="7" t="n">
        <f aca="false">YEAR(B7415)</f>
        <v>2017</v>
      </c>
      <c r="J7415" s="0" t="str">
        <f aca="false">I7415&amp;"-Q"&amp;ROUNDUP(MONTH(B7415)/3,0)</f>
        <v>2017-Q2</v>
      </c>
    </row>
    <row r="7416" customFormat="false" ht="15" hidden="false" customHeight="false" outlineLevel="0" collapsed="false">
      <c r="A7416" s="0" t="s">
        <v>3773</v>
      </c>
      <c r="B7416" s="6" t="n">
        <v>42442</v>
      </c>
      <c r="C7416" s="7" t="s">
        <v>55</v>
      </c>
      <c r="D7416" s="7" t="s">
        <v>56</v>
      </c>
      <c r="E7416" s="7" t="s">
        <v>31</v>
      </c>
      <c r="F7416" s="0" t="n">
        <v>386.68</v>
      </c>
      <c r="G7416" s="0" t="n">
        <v>-5.524</v>
      </c>
      <c r="H7416" s="0" t="n">
        <v>0.3</v>
      </c>
      <c r="I7416" s="7" t="n">
        <f aca="false">YEAR(B7416)</f>
        <v>2016</v>
      </c>
      <c r="J7416" s="0" t="str">
        <f aca="false">I7416&amp;"-Q"&amp;ROUNDUP(MONTH(B7416)/3,0)</f>
        <v>2016-Q1</v>
      </c>
    </row>
    <row r="7417" customFormat="false" ht="15" hidden="false" customHeight="false" outlineLevel="0" collapsed="false">
      <c r="A7417" s="0" t="s">
        <v>3773</v>
      </c>
      <c r="B7417" s="6" t="n">
        <v>42442</v>
      </c>
      <c r="C7417" s="7" t="s">
        <v>55</v>
      </c>
      <c r="D7417" s="7" t="s">
        <v>56</v>
      </c>
      <c r="E7417" s="7" t="s">
        <v>39</v>
      </c>
      <c r="F7417" s="0" t="n">
        <v>379.96</v>
      </c>
      <c r="G7417" s="0" t="n">
        <v>47.495</v>
      </c>
      <c r="H7417" s="0" t="n">
        <v>0.2</v>
      </c>
      <c r="I7417" s="7" t="n">
        <f aca="false">YEAR(B7417)</f>
        <v>2016</v>
      </c>
      <c r="J7417" s="0" t="str">
        <f aca="false">I7417&amp;"-Q"&amp;ROUNDUP(MONTH(B7417)/3,0)</f>
        <v>2016-Q1</v>
      </c>
    </row>
    <row r="7418" customFormat="false" ht="15" hidden="false" customHeight="false" outlineLevel="0" collapsed="false">
      <c r="A7418" s="0" t="s">
        <v>3773</v>
      </c>
      <c r="B7418" s="6" t="n">
        <v>42442</v>
      </c>
      <c r="C7418" s="7" t="s">
        <v>55</v>
      </c>
      <c r="D7418" s="7" t="s">
        <v>56</v>
      </c>
      <c r="E7418" s="7" t="s">
        <v>39</v>
      </c>
      <c r="F7418" s="0" t="n">
        <v>539.91</v>
      </c>
      <c r="G7418" s="0" t="n">
        <v>-116.9805</v>
      </c>
      <c r="H7418" s="0" t="n">
        <v>0.4</v>
      </c>
      <c r="I7418" s="7" t="n">
        <f aca="false">YEAR(B7418)</f>
        <v>2016</v>
      </c>
      <c r="J7418" s="0" t="str">
        <f aca="false">I7418&amp;"-Q"&amp;ROUNDUP(MONTH(B7418)/3,0)</f>
        <v>2016-Q1</v>
      </c>
    </row>
    <row r="7419" customFormat="false" ht="15" hidden="false" customHeight="false" outlineLevel="0" collapsed="false">
      <c r="A7419" s="0" t="s">
        <v>3773</v>
      </c>
      <c r="B7419" s="6" t="n">
        <v>42442</v>
      </c>
      <c r="C7419" s="7" t="s">
        <v>55</v>
      </c>
      <c r="D7419" s="7" t="s">
        <v>56</v>
      </c>
      <c r="E7419" s="7" t="s">
        <v>35</v>
      </c>
      <c r="F7419" s="0" t="n">
        <v>41.24</v>
      </c>
      <c r="G7419" s="0" t="n">
        <v>13.9185</v>
      </c>
      <c r="H7419" s="0" t="n">
        <v>0.2</v>
      </c>
      <c r="I7419" s="7" t="n">
        <f aca="false">YEAR(B7419)</f>
        <v>2016</v>
      </c>
      <c r="J7419" s="0" t="str">
        <f aca="false">I7419&amp;"-Q"&amp;ROUNDUP(MONTH(B7419)/3,0)</f>
        <v>2016-Q1</v>
      </c>
    </row>
    <row r="7420" customFormat="false" ht="15" hidden="false" customHeight="false" outlineLevel="0" collapsed="false">
      <c r="A7420" s="0" t="s">
        <v>3773</v>
      </c>
      <c r="B7420" s="6" t="n">
        <v>42442</v>
      </c>
      <c r="C7420" s="7" t="s">
        <v>55</v>
      </c>
      <c r="D7420" s="7" t="s">
        <v>56</v>
      </c>
      <c r="E7420" s="7" t="s">
        <v>35</v>
      </c>
      <c r="F7420" s="0" t="n">
        <v>51.897</v>
      </c>
      <c r="G7420" s="0" t="n">
        <v>-41.5176</v>
      </c>
      <c r="H7420" s="0" t="n">
        <v>0.7</v>
      </c>
      <c r="I7420" s="7" t="n">
        <f aca="false">YEAR(B7420)</f>
        <v>2016</v>
      </c>
      <c r="J7420" s="0" t="str">
        <f aca="false">I7420&amp;"-Q"&amp;ROUNDUP(MONTH(B7420)/3,0)</f>
        <v>2016-Q1</v>
      </c>
    </row>
    <row r="7421" customFormat="false" ht="15" hidden="false" customHeight="false" outlineLevel="0" collapsed="false">
      <c r="A7421" s="0" t="s">
        <v>3773</v>
      </c>
      <c r="B7421" s="6" t="n">
        <v>42442</v>
      </c>
      <c r="C7421" s="7" t="s">
        <v>55</v>
      </c>
      <c r="D7421" s="7" t="s">
        <v>56</v>
      </c>
      <c r="E7421" s="7" t="s">
        <v>35</v>
      </c>
      <c r="F7421" s="0" t="n">
        <v>552.56</v>
      </c>
      <c r="G7421" s="0" t="n">
        <v>-138.14</v>
      </c>
      <c r="H7421" s="0" t="n">
        <v>0.2</v>
      </c>
      <c r="I7421" s="7" t="n">
        <f aca="false">YEAR(B7421)</f>
        <v>2016</v>
      </c>
      <c r="J7421" s="0" t="str">
        <f aca="false">I7421&amp;"-Q"&amp;ROUNDUP(MONTH(B7421)/3,0)</f>
        <v>2016-Q1</v>
      </c>
    </row>
    <row r="7422" customFormat="false" ht="15" hidden="false" customHeight="false" outlineLevel="0" collapsed="false">
      <c r="A7422" s="0" t="s">
        <v>3773</v>
      </c>
      <c r="B7422" s="6" t="n">
        <v>42442</v>
      </c>
      <c r="C7422" s="7" t="s">
        <v>55</v>
      </c>
      <c r="D7422" s="7" t="s">
        <v>56</v>
      </c>
      <c r="E7422" s="7" t="s">
        <v>35</v>
      </c>
      <c r="F7422" s="0" t="n">
        <v>23.16</v>
      </c>
      <c r="G7422" s="0" t="n">
        <v>-15.44</v>
      </c>
      <c r="H7422" s="0" t="n">
        <v>0.7</v>
      </c>
      <c r="I7422" s="7" t="n">
        <f aca="false">YEAR(B7422)</f>
        <v>2016</v>
      </c>
      <c r="J7422" s="0" t="str">
        <f aca="false">I7422&amp;"-Q"&amp;ROUNDUP(MONTH(B7422)/3,0)</f>
        <v>2016-Q1</v>
      </c>
    </row>
    <row r="7423" customFormat="false" ht="15" hidden="false" customHeight="false" outlineLevel="0" collapsed="false">
      <c r="A7423" s="0" t="s">
        <v>3773</v>
      </c>
      <c r="B7423" s="6" t="n">
        <v>42442</v>
      </c>
      <c r="C7423" s="7" t="s">
        <v>55</v>
      </c>
      <c r="D7423" s="7" t="s">
        <v>56</v>
      </c>
      <c r="E7423" s="7" t="s">
        <v>35</v>
      </c>
      <c r="F7423" s="0" t="n">
        <v>126.08</v>
      </c>
      <c r="G7423" s="0" t="n">
        <v>-28.368</v>
      </c>
      <c r="H7423" s="0" t="n">
        <v>0.2</v>
      </c>
      <c r="I7423" s="7" t="n">
        <f aca="false">YEAR(B7423)</f>
        <v>2016</v>
      </c>
      <c r="J7423" s="0" t="str">
        <f aca="false">I7423&amp;"-Q"&amp;ROUNDUP(MONTH(B7423)/3,0)</f>
        <v>2016-Q1</v>
      </c>
    </row>
    <row r="7424" customFormat="false" ht="15" hidden="false" customHeight="false" outlineLevel="0" collapsed="false">
      <c r="A7424" s="0" t="s">
        <v>3773</v>
      </c>
      <c r="B7424" s="6" t="n">
        <v>42442</v>
      </c>
      <c r="C7424" s="7" t="s">
        <v>55</v>
      </c>
      <c r="D7424" s="7" t="s">
        <v>56</v>
      </c>
      <c r="E7424" s="7" t="s">
        <v>39</v>
      </c>
      <c r="F7424" s="0" t="n">
        <v>449.1</v>
      </c>
      <c r="G7424" s="0" t="n">
        <v>-643.71</v>
      </c>
      <c r="H7424" s="0" t="n">
        <v>0.7</v>
      </c>
      <c r="I7424" s="7" t="n">
        <f aca="false">YEAR(B7424)</f>
        <v>2016</v>
      </c>
      <c r="J7424" s="0" t="str">
        <f aca="false">I7424&amp;"-Q"&amp;ROUNDUP(MONTH(B7424)/3,0)</f>
        <v>2016-Q1</v>
      </c>
    </row>
    <row r="7425" customFormat="false" ht="15" hidden="false" customHeight="false" outlineLevel="0" collapsed="false">
      <c r="A7425" s="0" t="s">
        <v>3774</v>
      </c>
      <c r="B7425" s="6" t="n">
        <v>42835</v>
      </c>
      <c r="C7425" s="7" t="s">
        <v>55</v>
      </c>
      <c r="D7425" s="7" t="s">
        <v>56</v>
      </c>
      <c r="E7425" s="7" t="s">
        <v>35</v>
      </c>
      <c r="F7425" s="0" t="n">
        <v>195.104</v>
      </c>
      <c r="G7425" s="0" t="n">
        <v>21.9492</v>
      </c>
      <c r="H7425" s="0" t="n">
        <v>0.2</v>
      </c>
      <c r="I7425" s="7" t="n">
        <f aca="false">YEAR(B7425)</f>
        <v>2017</v>
      </c>
      <c r="J7425" s="0" t="str">
        <f aca="false">I7425&amp;"-Q"&amp;ROUNDUP(MONTH(B7425)/3,0)</f>
        <v>2017-Q2</v>
      </c>
    </row>
    <row r="7426" customFormat="false" ht="15" hidden="false" customHeight="false" outlineLevel="0" collapsed="false">
      <c r="A7426" s="0" t="s">
        <v>3774</v>
      </c>
      <c r="B7426" s="6" t="n">
        <v>42835</v>
      </c>
      <c r="C7426" s="7" t="s">
        <v>55</v>
      </c>
      <c r="D7426" s="7" t="s">
        <v>56</v>
      </c>
      <c r="E7426" s="7" t="s">
        <v>31</v>
      </c>
      <c r="F7426" s="0" t="n">
        <v>36.672</v>
      </c>
      <c r="G7426" s="0" t="n">
        <v>6.4176</v>
      </c>
      <c r="H7426" s="0" t="n">
        <v>0.2</v>
      </c>
      <c r="I7426" s="7" t="n">
        <f aca="false">YEAR(B7426)</f>
        <v>2017</v>
      </c>
      <c r="J7426" s="0" t="str">
        <f aca="false">I7426&amp;"-Q"&amp;ROUNDUP(MONTH(B7426)/3,0)</f>
        <v>2017-Q2</v>
      </c>
    </row>
    <row r="7427" customFormat="false" ht="15" hidden="false" customHeight="false" outlineLevel="0" collapsed="false">
      <c r="A7427" s="0" t="s">
        <v>3775</v>
      </c>
      <c r="B7427" s="6" t="n">
        <v>42546</v>
      </c>
      <c r="C7427" s="7" t="s">
        <v>45</v>
      </c>
      <c r="D7427" s="7" t="s">
        <v>46</v>
      </c>
      <c r="E7427" s="7" t="s">
        <v>31</v>
      </c>
      <c r="F7427" s="0" t="n">
        <v>85.246</v>
      </c>
      <c r="G7427" s="0" t="n">
        <v>-6.089</v>
      </c>
      <c r="H7427" s="0" t="n">
        <v>0.3</v>
      </c>
      <c r="I7427" s="7" t="n">
        <f aca="false">YEAR(B7427)</f>
        <v>2016</v>
      </c>
      <c r="J7427" s="0" t="str">
        <f aca="false">I7427&amp;"-Q"&amp;ROUNDUP(MONTH(B7427)/3,0)</f>
        <v>2016-Q2</v>
      </c>
    </row>
    <row r="7428" customFormat="false" ht="15" hidden="false" customHeight="false" outlineLevel="0" collapsed="false">
      <c r="A7428" s="0" t="s">
        <v>3775</v>
      </c>
      <c r="B7428" s="6" t="n">
        <v>42546</v>
      </c>
      <c r="C7428" s="7" t="s">
        <v>45</v>
      </c>
      <c r="D7428" s="7" t="s">
        <v>46</v>
      </c>
      <c r="E7428" s="7" t="s">
        <v>31</v>
      </c>
      <c r="F7428" s="0" t="n">
        <v>32.712</v>
      </c>
      <c r="G7428" s="0" t="n">
        <v>-26.1696</v>
      </c>
      <c r="H7428" s="0" t="n">
        <v>0.6</v>
      </c>
      <c r="I7428" s="7" t="n">
        <f aca="false">YEAR(B7428)</f>
        <v>2016</v>
      </c>
      <c r="J7428" s="0" t="str">
        <f aca="false">I7428&amp;"-Q"&amp;ROUNDUP(MONTH(B7428)/3,0)</f>
        <v>2016-Q2</v>
      </c>
    </row>
    <row r="7429" customFormat="false" ht="15" hidden="false" customHeight="false" outlineLevel="0" collapsed="false">
      <c r="A7429" s="0" t="s">
        <v>3776</v>
      </c>
      <c r="B7429" s="6" t="n">
        <v>41715</v>
      </c>
      <c r="C7429" s="7" t="s">
        <v>29</v>
      </c>
      <c r="D7429" s="7" t="s">
        <v>265</v>
      </c>
      <c r="E7429" s="7" t="s">
        <v>35</v>
      </c>
      <c r="F7429" s="0" t="n">
        <v>11.43</v>
      </c>
      <c r="G7429" s="0" t="n">
        <v>5.3721</v>
      </c>
      <c r="H7429" s="0" t="n">
        <v>0</v>
      </c>
      <c r="I7429" s="7" t="n">
        <f aca="false">YEAR(B7429)</f>
        <v>2014</v>
      </c>
      <c r="J7429" s="0" t="str">
        <f aca="false">I7429&amp;"-Q"&amp;ROUNDUP(MONTH(B7429)/3,0)</f>
        <v>2014-Q1</v>
      </c>
    </row>
    <row r="7430" customFormat="false" ht="15" hidden="false" customHeight="false" outlineLevel="0" collapsed="false">
      <c r="A7430" s="0" t="s">
        <v>3776</v>
      </c>
      <c r="B7430" s="6" t="n">
        <v>41715</v>
      </c>
      <c r="C7430" s="7" t="s">
        <v>29</v>
      </c>
      <c r="D7430" s="7" t="s">
        <v>265</v>
      </c>
      <c r="E7430" s="7" t="s">
        <v>35</v>
      </c>
      <c r="F7430" s="0" t="n">
        <v>30.44</v>
      </c>
      <c r="G7430" s="0" t="n">
        <v>14.9156</v>
      </c>
      <c r="H7430" s="0" t="n">
        <v>0</v>
      </c>
      <c r="I7430" s="7" t="n">
        <f aca="false">YEAR(B7430)</f>
        <v>2014</v>
      </c>
      <c r="J7430" s="0" t="str">
        <f aca="false">I7430&amp;"-Q"&amp;ROUNDUP(MONTH(B7430)/3,0)</f>
        <v>2014-Q1</v>
      </c>
    </row>
    <row r="7431" customFormat="false" ht="15" hidden="false" customHeight="false" outlineLevel="0" collapsed="false">
      <c r="A7431" s="0" t="s">
        <v>3776</v>
      </c>
      <c r="B7431" s="6" t="n">
        <v>41715</v>
      </c>
      <c r="C7431" s="7" t="s">
        <v>29</v>
      </c>
      <c r="D7431" s="7" t="s">
        <v>265</v>
      </c>
      <c r="E7431" s="7" t="s">
        <v>35</v>
      </c>
      <c r="F7431" s="0" t="n">
        <v>12.96</v>
      </c>
      <c r="G7431" s="0" t="n">
        <v>6.3504</v>
      </c>
      <c r="H7431" s="0" t="n">
        <v>0</v>
      </c>
      <c r="I7431" s="7" t="n">
        <f aca="false">YEAR(B7431)</f>
        <v>2014</v>
      </c>
      <c r="J7431" s="0" t="str">
        <f aca="false">I7431&amp;"-Q"&amp;ROUNDUP(MONTH(B7431)/3,0)</f>
        <v>2014-Q1</v>
      </c>
    </row>
    <row r="7432" customFormat="false" ht="15" hidden="false" customHeight="false" outlineLevel="0" collapsed="false">
      <c r="A7432" s="0" t="s">
        <v>3776</v>
      </c>
      <c r="B7432" s="6" t="n">
        <v>41715</v>
      </c>
      <c r="C7432" s="7" t="s">
        <v>29</v>
      </c>
      <c r="D7432" s="7" t="s">
        <v>265</v>
      </c>
      <c r="E7432" s="7" t="s">
        <v>35</v>
      </c>
      <c r="F7432" s="0" t="n">
        <v>16</v>
      </c>
      <c r="G7432" s="0" t="n">
        <v>7.68</v>
      </c>
      <c r="H7432" s="0" t="n">
        <v>0</v>
      </c>
      <c r="I7432" s="7" t="n">
        <f aca="false">YEAR(B7432)</f>
        <v>2014</v>
      </c>
      <c r="J7432" s="0" t="str">
        <f aca="false">I7432&amp;"-Q"&amp;ROUNDUP(MONTH(B7432)/3,0)</f>
        <v>2014-Q1</v>
      </c>
    </row>
    <row r="7433" customFormat="false" ht="15" hidden="false" customHeight="false" outlineLevel="0" collapsed="false">
      <c r="A7433" s="0" t="s">
        <v>3776</v>
      </c>
      <c r="B7433" s="6" t="n">
        <v>41715</v>
      </c>
      <c r="C7433" s="7" t="s">
        <v>29</v>
      </c>
      <c r="D7433" s="7" t="s">
        <v>265</v>
      </c>
      <c r="E7433" s="7" t="s">
        <v>35</v>
      </c>
      <c r="F7433" s="0" t="n">
        <v>32.67</v>
      </c>
      <c r="G7433" s="0" t="n">
        <v>8.4942</v>
      </c>
      <c r="H7433" s="0" t="n">
        <v>0</v>
      </c>
      <c r="I7433" s="7" t="n">
        <f aca="false">YEAR(B7433)</f>
        <v>2014</v>
      </c>
      <c r="J7433" s="0" t="str">
        <f aca="false">I7433&amp;"-Q"&amp;ROUNDUP(MONTH(B7433)/3,0)</f>
        <v>2014-Q1</v>
      </c>
    </row>
    <row r="7434" customFormat="false" ht="15" hidden="false" customHeight="false" outlineLevel="0" collapsed="false">
      <c r="A7434" s="0" t="s">
        <v>3777</v>
      </c>
      <c r="B7434" s="6" t="n">
        <v>41860</v>
      </c>
      <c r="C7434" s="7" t="s">
        <v>33</v>
      </c>
      <c r="D7434" s="7" t="s">
        <v>81</v>
      </c>
      <c r="E7434" s="7" t="s">
        <v>35</v>
      </c>
      <c r="F7434" s="0" t="n">
        <v>4.464</v>
      </c>
      <c r="G7434" s="0" t="n">
        <v>-0.9486</v>
      </c>
      <c r="H7434" s="0" t="n">
        <v>0.2</v>
      </c>
      <c r="I7434" s="7" t="n">
        <f aca="false">YEAR(B7434)</f>
        <v>2014</v>
      </c>
      <c r="J7434" s="0" t="str">
        <f aca="false">I7434&amp;"-Q"&amp;ROUNDUP(MONTH(B7434)/3,0)</f>
        <v>2014-Q3</v>
      </c>
    </row>
    <row r="7435" customFormat="false" ht="15" hidden="false" customHeight="false" outlineLevel="0" collapsed="false">
      <c r="A7435" s="0" t="s">
        <v>3777</v>
      </c>
      <c r="B7435" s="6" t="n">
        <v>41860</v>
      </c>
      <c r="C7435" s="7" t="s">
        <v>33</v>
      </c>
      <c r="D7435" s="7" t="s">
        <v>81</v>
      </c>
      <c r="E7435" s="7" t="s">
        <v>35</v>
      </c>
      <c r="F7435" s="0" t="n">
        <v>9.345</v>
      </c>
      <c r="G7435" s="0" t="n">
        <v>-6.5415</v>
      </c>
      <c r="H7435" s="0" t="n">
        <v>0.7</v>
      </c>
      <c r="I7435" s="7" t="n">
        <f aca="false">YEAR(B7435)</f>
        <v>2014</v>
      </c>
      <c r="J7435" s="0" t="str">
        <f aca="false">I7435&amp;"-Q"&amp;ROUNDUP(MONTH(B7435)/3,0)</f>
        <v>2014-Q3</v>
      </c>
    </row>
    <row r="7436" customFormat="false" ht="15" hidden="false" customHeight="false" outlineLevel="0" collapsed="false">
      <c r="A7436" s="0" t="s">
        <v>3778</v>
      </c>
      <c r="B7436" s="6" t="n">
        <v>42211</v>
      </c>
      <c r="C7436" s="7" t="s">
        <v>33</v>
      </c>
      <c r="D7436" s="7" t="s">
        <v>34</v>
      </c>
      <c r="E7436" s="7" t="s">
        <v>35</v>
      </c>
      <c r="F7436" s="0" t="n">
        <v>9.144</v>
      </c>
      <c r="G7436" s="0" t="n">
        <v>3.0861</v>
      </c>
      <c r="H7436" s="0" t="n">
        <v>0.2</v>
      </c>
      <c r="I7436" s="7" t="n">
        <f aca="false">YEAR(B7436)</f>
        <v>2015</v>
      </c>
      <c r="J7436" s="0" t="str">
        <f aca="false">I7436&amp;"-Q"&amp;ROUNDUP(MONTH(B7436)/3,0)</f>
        <v>2015-Q3</v>
      </c>
    </row>
    <row r="7437" customFormat="false" ht="15" hidden="false" customHeight="false" outlineLevel="0" collapsed="false">
      <c r="A7437" s="0" t="s">
        <v>3778</v>
      </c>
      <c r="B7437" s="6" t="n">
        <v>42211</v>
      </c>
      <c r="C7437" s="7" t="s">
        <v>33</v>
      </c>
      <c r="D7437" s="7" t="s">
        <v>34</v>
      </c>
      <c r="E7437" s="7" t="s">
        <v>35</v>
      </c>
      <c r="F7437" s="0" t="n">
        <v>23.136</v>
      </c>
      <c r="G7437" s="0" t="n">
        <v>8.3868</v>
      </c>
      <c r="H7437" s="0" t="n">
        <v>0.2</v>
      </c>
      <c r="I7437" s="7" t="n">
        <f aca="false">YEAR(B7437)</f>
        <v>2015</v>
      </c>
      <c r="J7437" s="0" t="str">
        <f aca="false">I7437&amp;"-Q"&amp;ROUNDUP(MONTH(B7437)/3,0)</f>
        <v>2015-Q3</v>
      </c>
    </row>
    <row r="7438" customFormat="false" ht="15" hidden="false" customHeight="false" outlineLevel="0" collapsed="false">
      <c r="A7438" s="0" t="s">
        <v>3778</v>
      </c>
      <c r="B7438" s="6" t="n">
        <v>42211</v>
      </c>
      <c r="C7438" s="7" t="s">
        <v>33</v>
      </c>
      <c r="D7438" s="7" t="s">
        <v>34</v>
      </c>
      <c r="E7438" s="7" t="s">
        <v>35</v>
      </c>
      <c r="F7438" s="0" t="n">
        <v>99.2</v>
      </c>
      <c r="G7438" s="0" t="n">
        <v>25.792</v>
      </c>
      <c r="H7438" s="0" t="n">
        <v>0</v>
      </c>
      <c r="I7438" s="7" t="n">
        <f aca="false">YEAR(B7438)</f>
        <v>2015</v>
      </c>
      <c r="J7438" s="0" t="str">
        <f aca="false">I7438&amp;"-Q"&amp;ROUNDUP(MONTH(B7438)/3,0)</f>
        <v>2015-Q3</v>
      </c>
    </row>
    <row r="7439" customFormat="false" ht="15" hidden="false" customHeight="false" outlineLevel="0" collapsed="false">
      <c r="A7439" s="0" t="s">
        <v>3779</v>
      </c>
      <c r="B7439" s="6" t="n">
        <v>41685</v>
      </c>
      <c r="C7439" s="7" t="s">
        <v>33</v>
      </c>
      <c r="D7439" s="7" t="s">
        <v>43</v>
      </c>
      <c r="E7439" s="7" t="s">
        <v>35</v>
      </c>
      <c r="F7439" s="0" t="n">
        <v>21.36</v>
      </c>
      <c r="G7439" s="0" t="n">
        <v>7.209</v>
      </c>
      <c r="H7439" s="0" t="n">
        <v>0.2</v>
      </c>
      <c r="I7439" s="7" t="n">
        <f aca="false">YEAR(B7439)</f>
        <v>2014</v>
      </c>
      <c r="J7439" s="0" t="str">
        <f aca="false">I7439&amp;"-Q"&amp;ROUNDUP(MONTH(B7439)/3,0)</f>
        <v>2014-Q1</v>
      </c>
    </row>
    <row r="7440" customFormat="false" ht="15" hidden="false" customHeight="false" outlineLevel="0" collapsed="false">
      <c r="A7440" s="0" t="s">
        <v>3780</v>
      </c>
      <c r="B7440" s="6" t="n">
        <v>42087</v>
      </c>
      <c r="C7440" s="7" t="s">
        <v>33</v>
      </c>
      <c r="D7440" s="7" t="s">
        <v>43</v>
      </c>
      <c r="E7440" s="7" t="s">
        <v>31</v>
      </c>
      <c r="F7440" s="0" t="n">
        <v>46.9</v>
      </c>
      <c r="G7440" s="0" t="n">
        <v>13.132</v>
      </c>
      <c r="H7440" s="0" t="n">
        <v>0</v>
      </c>
      <c r="I7440" s="7" t="n">
        <f aca="false">YEAR(B7440)</f>
        <v>2015</v>
      </c>
      <c r="J7440" s="0" t="str">
        <f aca="false">I7440&amp;"-Q"&amp;ROUNDUP(MONTH(B7440)/3,0)</f>
        <v>2015-Q1</v>
      </c>
    </row>
    <row r="7441" customFormat="false" ht="15" hidden="false" customHeight="false" outlineLevel="0" collapsed="false">
      <c r="A7441" s="0" t="s">
        <v>3781</v>
      </c>
      <c r="B7441" s="6" t="n">
        <v>42980</v>
      </c>
      <c r="C7441" s="7" t="s">
        <v>33</v>
      </c>
      <c r="D7441" s="7" t="s">
        <v>34</v>
      </c>
      <c r="E7441" s="7" t="s">
        <v>35</v>
      </c>
      <c r="F7441" s="0" t="n">
        <v>18.72</v>
      </c>
      <c r="G7441" s="0" t="n">
        <v>6.552</v>
      </c>
      <c r="H7441" s="0" t="n">
        <v>0.2</v>
      </c>
      <c r="I7441" s="7" t="n">
        <f aca="false">YEAR(B7441)</f>
        <v>2017</v>
      </c>
      <c r="J7441" s="0" t="str">
        <f aca="false">I7441&amp;"-Q"&amp;ROUNDUP(MONTH(B7441)/3,0)</f>
        <v>2017-Q3</v>
      </c>
    </row>
    <row r="7442" customFormat="false" ht="15" hidden="false" customHeight="false" outlineLevel="0" collapsed="false">
      <c r="A7442" s="0" t="s">
        <v>3781</v>
      </c>
      <c r="B7442" s="6" t="n">
        <v>42980</v>
      </c>
      <c r="C7442" s="7" t="s">
        <v>33</v>
      </c>
      <c r="D7442" s="7" t="s">
        <v>34</v>
      </c>
      <c r="E7442" s="7" t="s">
        <v>31</v>
      </c>
      <c r="F7442" s="0" t="n">
        <v>236.528</v>
      </c>
      <c r="G7442" s="0" t="n">
        <v>-2.9566</v>
      </c>
      <c r="H7442" s="0" t="n">
        <v>0.2</v>
      </c>
      <c r="I7442" s="7" t="n">
        <f aca="false">YEAR(B7442)</f>
        <v>2017</v>
      </c>
      <c r="J7442" s="0" t="str">
        <f aca="false">I7442&amp;"-Q"&amp;ROUNDUP(MONTH(B7442)/3,0)</f>
        <v>2017-Q3</v>
      </c>
    </row>
    <row r="7443" customFormat="false" ht="15" hidden="false" customHeight="false" outlineLevel="0" collapsed="false">
      <c r="A7443" s="0" t="s">
        <v>3782</v>
      </c>
      <c r="B7443" s="6" t="n">
        <v>42324</v>
      </c>
      <c r="C7443" s="7" t="s">
        <v>33</v>
      </c>
      <c r="D7443" s="7" t="s">
        <v>34</v>
      </c>
      <c r="E7443" s="7" t="s">
        <v>35</v>
      </c>
      <c r="F7443" s="0" t="n">
        <v>18.9</v>
      </c>
      <c r="G7443" s="0" t="n">
        <v>8.694</v>
      </c>
      <c r="H7443" s="0" t="n">
        <v>0</v>
      </c>
      <c r="I7443" s="7" t="n">
        <f aca="false">YEAR(B7443)</f>
        <v>2015</v>
      </c>
      <c r="J7443" s="0" t="str">
        <f aca="false">I7443&amp;"-Q"&amp;ROUNDUP(MONTH(B7443)/3,0)</f>
        <v>2015-Q4</v>
      </c>
    </row>
    <row r="7444" customFormat="false" ht="15" hidden="false" customHeight="false" outlineLevel="0" collapsed="false">
      <c r="A7444" s="0" t="s">
        <v>3783</v>
      </c>
      <c r="B7444" s="6" t="n">
        <v>41982</v>
      </c>
      <c r="C7444" s="7" t="s">
        <v>45</v>
      </c>
      <c r="D7444" s="7" t="s">
        <v>46</v>
      </c>
      <c r="E7444" s="7" t="s">
        <v>35</v>
      </c>
      <c r="F7444" s="0" t="n">
        <v>10.688</v>
      </c>
      <c r="G7444" s="0" t="n">
        <v>3.7408</v>
      </c>
      <c r="H7444" s="0" t="n">
        <v>0.2</v>
      </c>
      <c r="I7444" s="7" t="n">
        <f aca="false">YEAR(B7444)</f>
        <v>2014</v>
      </c>
      <c r="J7444" s="0" t="str">
        <f aca="false">I7444&amp;"-Q"&amp;ROUNDUP(MONTH(B7444)/3,0)</f>
        <v>2014-Q4</v>
      </c>
    </row>
    <row r="7445" customFormat="false" ht="15" hidden="false" customHeight="false" outlineLevel="0" collapsed="false">
      <c r="A7445" s="0" t="s">
        <v>3783</v>
      </c>
      <c r="B7445" s="6" t="n">
        <v>41982</v>
      </c>
      <c r="C7445" s="7" t="s">
        <v>45</v>
      </c>
      <c r="D7445" s="7" t="s">
        <v>46</v>
      </c>
      <c r="E7445" s="7" t="s">
        <v>35</v>
      </c>
      <c r="F7445" s="0" t="n">
        <v>237.096</v>
      </c>
      <c r="G7445" s="0" t="n">
        <v>20.7459</v>
      </c>
      <c r="H7445" s="0" t="n">
        <v>0.2</v>
      </c>
      <c r="I7445" s="7" t="n">
        <f aca="false">YEAR(B7445)</f>
        <v>2014</v>
      </c>
      <c r="J7445" s="0" t="str">
        <f aca="false">I7445&amp;"-Q"&amp;ROUNDUP(MONTH(B7445)/3,0)</f>
        <v>2014-Q4</v>
      </c>
    </row>
    <row r="7446" customFormat="false" ht="15" hidden="false" customHeight="false" outlineLevel="0" collapsed="false">
      <c r="A7446" s="0" t="s">
        <v>3784</v>
      </c>
      <c r="B7446" s="6" t="n">
        <v>42769</v>
      </c>
      <c r="C7446" s="7" t="s">
        <v>45</v>
      </c>
      <c r="D7446" s="7" t="s">
        <v>64</v>
      </c>
      <c r="E7446" s="7" t="s">
        <v>35</v>
      </c>
      <c r="F7446" s="0" t="n">
        <v>5.184</v>
      </c>
      <c r="G7446" s="0" t="n">
        <v>1.8144</v>
      </c>
      <c r="H7446" s="0" t="n">
        <v>0.2</v>
      </c>
      <c r="I7446" s="7" t="n">
        <f aca="false">YEAR(B7446)</f>
        <v>2017</v>
      </c>
      <c r="J7446" s="0" t="str">
        <f aca="false">I7446&amp;"-Q"&amp;ROUNDUP(MONTH(B7446)/3,0)</f>
        <v>2017-Q1</v>
      </c>
    </row>
    <row r="7447" customFormat="false" ht="15" hidden="false" customHeight="false" outlineLevel="0" collapsed="false">
      <c r="A7447" s="0" t="s">
        <v>3784</v>
      </c>
      <c r="B7447" s="6" t="n">
        <v>42769</v>
      </c>
      <c r="C7447" s="7" t="s">
        <v>45</v>
      </c>
      <c r="D7447" s="7" t="s">
        <v>64</v>
      </c>
      <c r="E7447" s="7" t="s">
        <v>35</v>
      </c>
      <c r="F7447" s="0" t="n">
        <v>65.584</v>
      </c>
      <c r="G7447" s="0" t="n">
        <v>23.7742</v>
      </c>
      <c r="H7447" s="0" t="n">
        <v>0.2</v>
      </c>
      <c r="I7447" s="7" t="n">
        <f aca="false">YEAR(B7447)</f>
        <v>2017</v>
      </c>
      <c r="J7447" s="0" t="str">
        <f aca="false">I7447&amp;"-Q"&amp;ROUNDUP(MONTH(B7447)/3,0)</f>
        <v>2017-Q1</v>
      </c>
    </row>
    <row r="7448" customFormat="false" ht="15" hidden="false" customHeight="false" outlineLevel="0" collapsed="false">
      <c r="A7448" s="0" t="s">
        <v>3784</v>
      </c>
      <c r="B7448" s="6" t="n">
        <v>42769</v>
      </c>
      <c r="C7448" s="7" t="s">
        <v>45</v>
      </c>
      <c r="D7448" s="7" t="s">
        <v>64</v>
      </c>
      <c r="E7448" s="7" t="s">
        <v>31</v>
      </c>
      <c r="F7448" s="0" t="n">
        <v>22.2</v>
      </c>
      <c r="G7448" s="0" t="n">
        <v>-26.085</v>
      </c>
      <c r="H7448" s="0" t="n">
        <v>0.6</v>
      </c>
      <c r="I7448" s="7" t="n">
        <f aca="false">YEAR(B7448)</f>
        <v>2017</v>
      </c>
      <c r="J7448" s="0" t="str">
        <f aca="false">I7448&amp;"-Q"&amp;ROUNDUP(MONTH(B7448)/3,0)</f>
        <v>2017-Q1</v>
      </c>
    </row>
    <row r="7449" customFormat="false" ht="15" hidden="false" customHeight="false" outlineLevel="0" collapsed="false">
      <c r="A7449" s="0" t="s">
        <v>3784</v>
      </c>
      <c r="B7449" s="6" t="n">
        <v>42769</v>
      </c>
      <c r="C7449" s="7" t="s">
        <v>45</v>
      </c>
      <c r="D7449" s="7" t="s">
        <v>64</v>
      </c>
      <c r="E7449" s="7" t="s">
        <v>35</v>
      </c>
      <c r="F7449" s="0" t="n">
        <v>419.4</v>
      </c>
      <c r="G7449" s="0" t="n">
        <v>146.79</v>
      </c>
      <c r="H7449" s="0" t="n">
        <v>0.2</v>
      </c>
      <c r="I7449" s="7" t="n">
        <f aca="false">YEAR(B7449)</f>
        <v>2017</v>
      </c>
      <c r="J7449" s="0" t="str">
        <f aca="false">I7449&amp;"-Q"&amp;ROUNDUP(MONTH(B7449)/3,0)</f>
        <v>2017-Q1</v>
      </c>
    </row>
    <row r="7450" customFormat="false" ht="15" hidden="false" customHeight="false" outlineLevel="0" collapsed="false">
      <c r="A7450" s="0" t="s">
        <v>3785</v>
      </c>
      <c r="B7450" s="6" t="n">
        <v>43050</v>
      </c>
      <c r="C7450" s="7" t="s">
        <v>29</v>
      </c>
      <c r="D7450" s="7" t="s">
        <v>87</v>
      </c>
      <c r="E7450" s="7" t="s">
        <v>31</v>
      </c>
      <c r="F7450" s="0" t="n">
        <v>88.92</v>
      </c>
      <c r="G7450" s="0" t="n">
        <v>14.4495</v>
      </c>
      <c r="H7450" s="0" t="n">
        <v>0.2</v>
      </c>
      <c r="I7450" s="7" t="n">
        <f aca="false">YEAR(B7450)</f>
        <v>2017</v>
      </c>
      <c r="J7450" s="0" t="str">
        <f aca="false">I7450&amp;"-Q"&amp;ROUNDUP(MONTH(B7450)/3,0)</f>
        <v>2017-Q4</v>
      </c>
    </row>
    <row r="7451" customFormat="false" ht="15" hidden="false" customHeight="false" outlineLevel="0" collapsed="false">
      <c r="A7451" s="0" t="s">
        <v>3786</v>
      </c>
      <c r="B7451" s="6" t="n">
        <v>42995</v>
      </c>
      <c r="C7451" s="7" t="s">
        <v>45</v>
      </c>
      <c r="D7451" s="7" t="s">
        <v>46</v>
      </c>
      <c r="E7451" s="7" t="s">
        <v>35</v>
      </c>
      <c r="F7451" s="0" t="n">
        <v>9.912</v>
      </c>
      <c r="G7451" s="0" t="n">
        <v>3.2214</v>
      </c>
      <c r="H7451" s="0" t="n">
        <v>0.2</v>
      </c>
      <c r="I7451" s="7" t="n">
        <f aca="false">YEAR(B7451)</f>
        <v>2017</v>
      </c>
      <c r="J7451" s="0" t="str">
        <f aca="false">I7451&amp;"-Q"&amp;ROUNDUP(MONTH(B7451)/3,0)</f>
        <v>2017-Q3</v>
      </c>
    </row>
    <row r="7452" customFormat="false" ht="15" hidden="false" customHeight="false" outlineLevel="0" collapsed="false">
      <c r="A7452" s="0" t="s">
        <v>3786</v>
      </c>
      <c r="B7452" s="6" t="n">
        <v>42995</v>
      </c>
      <c r="C7452" s="7" t="s">
        <v>45</v>
      </c>
      <c r="D7452" s="7" t="s">
        <v>46</v>
      </c>
      <c r="E7452" s="7" t="s">
        <v>31</v>
      </c>
      <c r="F7452" s="0" t="n">
        <v>318.43</v>
      </c>
      <c r="G7452" s="0" t="n">
        <v>-77.333</v>
      </c>
      <c r="H7452" s="0" t="n">
        <v>0.3</v>
      </c>
      <c r="I7452" s="7" t="n">
        <f aca="false">YEAR(B7452)</f>
        <v>2017</v>
      </c>
      <c r="J7452" s="0" t="str">
        <f aca="false">I7452&amp;"-Q"&amp;ROUNDUP(MONTH(B7452)/3,0)</f>
        <v>2017-Q3</v>
      </c>
    </row>
    <row r="7453" customFormat="false" ht="15" hidden="false" customHeight="false" outlineLevel="0" collapsed="false">
      <c r="A7453" s="0" t="s">
        <v>3786</v>
      </c>
      <c r="B7453" s="6" t="n">
        <v>42995</v>
      </c>
      <c r="C7453" s="7" t="s">
        <v>45</v>
      </c>
      <c r="D7453" s="7" t="s">
        <v>46</v>
      </c>
      <c r="E7453" s="7" t="s">
        <v>35</v>
      </c>
      <c r="F7453" s="0" t="n">
        <v>5.8</v>
      </c>
      <c r="G7453" s="0" t="n">
        <v>-10.15</v>
      </c>
      <c r="H7453" s="0" t="n">
        <v>0.8</v>
      </c>
      <c r="I7453" s="7" t="n">
        <f aca="false">YEAR(B7453)</f>
        <v>2017</v>
      </c>
      <c r="J7453" s="0" t="str">
        <f aca="false">I7453&amp;"-Q"&amp;ROUNDUP(MONTH(B7453)/3,0)</f>
        <v>2017-Q3</v>
      </c>
    </row>
    <row r="7454" customFormat="false" ht="15" hidden="false" customHeight="false" outlineLevel="0" collapsed="false">
      <c r="A7454" s="0" t="s">
        <v>3786</v>
      </c>
      <c r="B7454" s="6" t="n">
        <v>42995</v>
      </c>
      <c r="C7454" s="7" t="s">
        <v>45</v>
      </c>
      <c r="D7454" s="7" t="s">
        <v>46</v>
      </c>
      <c r="E7454" s="7" t="s">
        <v>39</v>
      </c>
      <c r="F7454" s="0" t="n">
        <v>1415.76</v>
      </c>
      <c r="G7454" s="0" t="n">
        <v>88.485</v>
      </c>
      <c r="H7454" s="0" t="n">
        <v>0.2</v>
      </c>
      <c r="I7454" s="7" t="n">
        <f aca="false">YEAR(B7454)</f>
        <v>2017</v>
      </c>
      <c r="J7454" s="0" t="str">
        <f aca="false">I7454&amp;"-Q"&amp;ROUNDUP(MONTH(B7454)/3,0)</f>
        <v>2017-Q3</v>
      </c>
    </row>
    <row r="7455" customFormat="false" ht="15" hidden="false" customHeight="false" outlineLevel="0" collapsed="false">
      <c r="A7455" s="0" t="s">
        <v>3787</v>
      </c>
      <c r="B7455" s="6" t="n">
        <v>42911</v>
      </c>
      <c r="C7455" s="7" t="s">
        <v>45</v>
      </c>
      <c r="D7455" s="7" t="s">
        <v>64</v>
      </c>
      <c r="E7455" s="7" t="s">
        <v>39</v>
      </c>
      <c r="F7455" s="0" t="n">
        <v>148.48</v>
      </c>
      <c r="G7455" s="0" t="n">
        <v>16.704</v>
      </c>
      <c r="H7455" s="0" t="n">
        <v>0.2</v>
      </c>
      <c r="I7455" s="7" t="n">
        <f aca="false">YEAR(B7455)</f>
        <v>2017</v>
      </c>
      <c r="J7455" s="0" t="str">
        <f aca="false">I7455&amp;"-Q"&amp;ROUNDUP(MONTH(B7455)/3,0)</f>
        <v>2017-Q2</v>
      </c>
    </row>
    <row r="7456" customFormat="false" ht="15" hidden="false" customHeight="false" outlineLevel="0" collapsed="false">
      <c r="A7456" s="0" t="s">
        <v>3788</v>
      </c>
      <c r="B7456" s="6" t="n">
        <v>42581</v>
      </c>
      <c r="C7456" s="7" t="s">
        <v>45</v>
      </c>
      <c r="D7456" s="7" t="s">
        <v>64</v>
      </c>
      <c r="E7456" s="7" t="s">
        <v>35</v>
      </c>
      <c r="F7456" s="0" t="n">
        <v>9.248</v>
      </c>
      <c r="G7456" s="0" t="n">
        <v>3.1212</v>
      </c>
      <c r="H7456" s="0" t="n">
        <v>0.2</v>
      </c>
      <c r="I7456" s="7" t="n">
        <f aca="false">YEAR(B7456)</f>
        <v>2016</v>
      </c>
      <c r="J7456" s="0" t="str">
        <f aca="false">I7456&amp;"-Q"&amp;ROUNDUP(MONTH(B7456)/3,0)</f>
        <v>2016-Q3</v>
      </c>
    </row>
    <row r="7457" customFormat="false" ht="15" hidden="false" customHeight="false" outlineLevel="0" collapsed="false">
      <c r="A7457" s="0" t="s">
        <v>3788</v>
      </c>
      <c r="B7457" s="6" t="n">
        <v>42581</v>
      </c>
      <c r="C7457" s="7" t="s">
        <v>45</v>
      </c>
      <c r="D7457" s="7" t="s">
        <v>64</v>
      </c>
      <c r="E7457" s="7" t="s">
        <v>35</v>
      </c>
      <c r="F7457" s="0" t="n">
        <v>1036.624</v>
      </c>
      <c r="G7457" s="0" t="n">
        <v>51.8312</v>
      </c>
      <c r="H7457" s="0" t="n">
        <v>0.2</v>
      </c>
      <c r="I7457" s="7" t="n">
        <f aca="false">YEAR(B7457)</f>
        <v>2016</v>
      </c>
      <c r="J7457" s="0" t="str">
        <f aca="false">I7457&amp;"-Q"&amp;ROUNDUP(MONTH(B7457)/3,0)</f>
        <v>2016-Q3</v>
      </c>
    </row>
    <row r="7458" customFormat="false" ht="15" hidden="false" customHeight="false" outlineLevel="0" collapsed="false">
      <c r="A7458" s="0" t="s">
        <v>3789</v>
      </c>
      <c r="B7458" s="6" t="n">
        <v>42110</v>
      </c>
      <c r="C7458" s="7" t="s">
        <v>29</v>
      </c>
      <c r="D7458" s="7" t="s">
        <v>83</v>
      </c>
      <c r="E7458" s="7" t="s">
        <v>39</v>
      </c>
      <c r="F7458" s="0" t="n">
        <v>569.64</v>
      </c>
      <c r="G7458" s="0" t="n">
        <v>148.1064</v>
      </c>
      <c r="H7458" s="0" t="n">
        <v>0</v>
      </c>
      <c r="I7458" s="7" t="n">
        <f aca="false">YEAR(B7458)</f>
        <v>2015</v>
      </c>
      <c r="J7458" s="0" t="str">
        <f aca="false">I7458&amp;"-Q"&amp;ROUNDUP(MONTH(B7458)/3,0)</f>
        <v>2015-Q2</v>
      </c>
    </row>
    <row r="7459" customFormat="false" ht="15" hidden="false" customHeight="false" outlineLevel="0" collapsed="false">
      <c r="A7459" s="0" t="s">
        <v>3789</v>
      </c>
      <c r="B7459" s="6" t="n">
        <v>42110</v>
      </c>
      <c r="C7459" s="7" t="s">
        <v>29</v>
      </c>
      <c r="D7459" s="7" t="s">
        <v>83</v>
      </c>
      <c r="E7459" s="7" t="s">
        <v>35</v>
      </c>
      <c r="F7459" s="0" t="n">
        <v>9.14</v>
      </c>
      <c r="G7459" s="0" t="n">
        <v>4.57</v>
      </c>
      <c r="H7459" s="0" t="n">
        <v>0</v>
      </c>
      <c r="I7459" s="7" t="n">
        <f aca="false">YEAR(B7459)</f>
        <v>2015</v>
      </c>
      <c r="J7459" s="0" t="str">
        <f aca="false">I7459&amp;"-Q"&amp;ROUNDUP(MONTH(B7459)/3,0)</f>
        <v>2015-Q2</v>
      </c>
    </row>
    <row r="7460" customFormat="false" ht="15" hidden="false" customHeight="false" outlineLevel="0" collapsed="false">
      <c r="A7460" s="0" t="s">
        <v>3789</v>
      </c>
      <c r="B7460" s="6" t="n">
        <v>42110</v>
      </c>
      <c r="C7460" s="7" t="s">
        <v>29</v>
      </c>
      <c r="D7460" s="7" t="s">
        <v>83</v>
      </c>
      <c r="E7460" s="7" t="s">
        <v>31</v>
      </c>
      <c r="F7460" s="0" t="n">
        <v>1196.86</v>
      </c>
      <c r="G7460" s="0" t="n">
        <v>119.686</v>
      </c>
      <c r="H7460" s="0" t="n">
        <v>0</v>
      </c>
      <c r="I7460" s="7" t="n">
        <f aca="false">YEAR(B7460)</f>
        <v>2015</v>
      </c>
      <c r="J7460" s="0" t="str">
        <f aca="false">I7460&amp;"-Q"&amp;ROUNDUP(MONTH(B7460)/3,0)</f>
        <v>2015-Q2</v>
      </c>
    </row>
    <row r="7461" customFormat="false" ht="15" hidden="false" customHeight="false" outlineLevel="0" collapsed="false">
      <c r="A7461" s="0" t="s">
        <v>3789</v>
      </c>
      <c r="B7461" s="6" t="n">
        <v>42110</v>
      </c>
      <c r="C7461" s="7" t="s">
        <v>29</v>
      </c>
      <c r="D7461" s="7" t="s">
        <v>83</v>
      </c>
      <c r="E7461" s="7" t="s">
        <v>31</v>
      </c>
      <c r="F7461" s="0" t="n">
        <v>523.26</v>
      </c>
      <c r="G7461" s="0" t="n">
        <v>125.5824</v>
      </c>
      <c r="H7461" s="0" t="n">
        <v>0</v>
      </c>
      <c r="I7461" s="7" t="n">
        <f aca="false">YEAR(B7461)</f>
        <v>2015</v>
      </c>
      <c r="J7461" s="0" t="str">
        <f aca="false">I7461&amp;"-Q"&amp;ROUNDUP(MONTH(B7461)/3,0)</f>
        <v>2015-Q2</v>
      </c>
    </row>
    <row r="7462" customFormat="false" ht="15" hidden="false" customHeight="false" outlineLevel="0" collapsed="false">
      <c r="A7462" s="0" t="s">
        <v>3790</v>
      </c>
      <c r="B7462" s="6" t="n">
        <v>42105</v>
      </c>
      <c r="C7462" s="7" t="s">
        <v>33</v>
      </c>
      <c r="D7462" s="7" t="s">
        <v>34</v>
      </c>
      <c r="E7462" s="7" t="s">
        <v>39</v>
      </c>
      <c r="F7462" s="0" t="n">
        <v>639.968</v>
      </c>
      <c r="G7462" s="0" t="n">
        <v>215.9892</v>
      </c>
      <c r="H7462" s="0" t="n">
        <v>0.2</v>
      </c>
      <c r="I7462" s="7" t="n">
        <f aca="false">YEAR(B7462)</f>
        <v>2015</v>
      </c>
      <c r="J7462" s="0" t="str">
        <f aca="false">I7462&amp;"-Q"&amp;ROUNDUP(MONTH(B7462)/3,0)</f>
        <v>2015-Q2</v>
      </c>
    </row>
    <row r="7463" customFormat="false" ht="15" hidden="false" customHeight="false" outlineLevel="0" collapsed="false">
      <c r="A7463" s="0" t="s">
        <v>3790</v>
      </c>
      <c r="B7463" s="6" t="n">
        <v>42105</v>
      </c>
      <c r="C7463" s="7" t="s">
        <v>33</v>
      </c>
      <c r="D7463" s="7" t="s">
        <v>34</v>
      </c>
      <c r="E7463" s="7" t="s">
        <v>35</v>
      </c>
      <c r="F7463" s="0" t="n">
        <v>52.76</v>
      </c>
      <c r="G7463" s="0" t="n">
        <v>24.2696</v>
      </c>
      <c r="H7463" s="0" t="n">
        <v>0</v>
      </c>
      <c r="I7463" s="7" t="n">
        <f aca="false">YEAR(B7463)</f>
        <v>2015</v>
      </c>
      <c r="J7463" s="0" t="str">
        <f aca="false">I7463&amp;"-Q"&amp;ROUNDUP(MONTH(B7463)/3,0)</f>
        <v>2015-Q2</v>
      </c>
    </row>
    <row r="7464" customFormat="false" ht="15" hidden="false" customHeight="false" outlineLevel="0" collapsed="false">
      <c r="A7464" s="0" t="s">
        <v>3791</v>
      </c>
      <c r="B7464" s="6" t="n">
        <v>42062</v>
      </c>
      <c r="C7464" s="7" t="s">
        <v>33</v>
      </c>
      <c r="D7464" s="7" t="s">
        <v>43</v>
      </c>
      <c r="E7464" s="7" t="s">
        <v>39</v>
      </c>
      <c r="F7464" s="0" t="n">
        <v>538.92</v>
      </c>
      <c r="G7464" s="0" t="n">
        <v>80.838</v>
      </c>
      <c r="H7464" s="0" t="n">
        <v>0</v>
      </c>
      <c r="I7464" s="7" t="n">
        <f aca="false">YEAR(B7464)</f>
        <v>2015</v>
      </c>
      <c r="J7464" s="0" t="str">
        <f aca="false">I7464&amp;"-Q"&amp;ROUNDUP(MONTH(B7464)/3,0)</f>
        <v>2015-Q1</v>
      </c>
    </row>
    <row r="7465" customFormat="false" ht="15" hidden="false" customHeight="false" outlineLevel="0" collapsed="false">
      <c r="A7465" s="0" t="s">
        <v>3792</v>
      </c>
      <c r="B7465" s="6" t="n">
        <v>42621</v>
      </c>
      <c r="C7465" s="7" t="s">
        <v>33</v>
      </c>
      <c r="D7465" s="7" t="s">
        <v>34</v>
      </c>
      <c r="E7465" s="7" t="s">
        <v>35</v>
      </c>
      <c r="F7465" s="0" t="n">
        <v>14.88</v>
      </c>
      <c r="G7465" s="0" t="n">
        <v>3.72</v>
      </c>
      <c r="H7465" s="0" t="n">
        <v>0</v>
      </c>
      <c r="I7465" s="7" t="n">
        <f aca="false">YEAR(B7465)</f>
        <v>2016</v>
      </c>
      <c r="J7465" s="0" t="str">
        <f aca="false">I7465&amp;"-Q"&amp;ROUNDUP(MONTH(B7465)/3,0)</f>
        <v>2016-Q3</v>
      </c>
    </row>
    <row r="7466" customFormat="false" ht="15" hidden="false" customHeight="false" outlineLevel="0" collapsed="false">
      <c r="A7466" s="0" t="s">
        <v>3792</v>
      </c>
      <c r="B7466" s="6" t="n">
        <v>42621</v>
      </c>
      <c r="C7466" s="7" t="s">
        <v>33</v>
      </c>
      <c r="D7466" s="7" t="s">
        <v>34</v>
      </c>
      <c r="E7466" s="7" t="s">
        <v>35</v>
      </c>
      <c r="F7466" s="0" t="n">
        <v>34.24</v>
      </c>
      <c r="G7466" s="0" t="n">
        <v>15.408</v>
      </c>
      <c r="H7466" s="0" t="n">
        <v>0</v>
      </c>
      <c r="I7466" s="7" t="n">
        <f aca="false">YEAR(B7466)</f>
        <v>2016</v>
      </c>
      <c r="J7466" s="0" t="str">
        <f aca="false">I7466&amp;"-Q"&amp;ROUNDUP(MONTH(B7466)/3,0)</f>
        <v>2016-Q3</v>
      </c>
    </row>
    <row r="7467" customFormat="false" ht="15" hidden="false" customHeight="false" outlineLevel="0" collapsed="false">
      <c r="A7467" s="0" t="s">
        <v>3792</v>
      </c>
      <c r="B7467" s="6" t="n">
        <v>42621</v>
      </c>
      <c r="C7467" s="7" t="s">
        <v>33</v>
      </c>
      <c r="D7467" s="7" t="s">
        <v>34</v>
      </c>
      <c r="E7467" s="7" t="s">
        <v>35</v>
      </c>
      <c r="F7467" s="0" t="n">
        <v>261.74</v>
      </c>
      <c r="G7467" s="0" t="n">
        <v>65.435</v>
      </c>
      <c r="H7467" s="0" t="n">
        <v>0</v>
      </c>
      <c r="I7467" s="7" t="n">
        <f aca="false">YEAR(B7467)</f>
        <v>2016</v>
      </c>
      <c r="J7467" s="0" t="str">
        <f aca="false">I7467&amp;"-Q"&amp;ROUNDUP(MONTH(B7467)/3,0)</f>
        <v>2016-Q3</v>
      </c>
    </row>
    <row r="7468" customFormat="false" ht="15" hidden="false" customHeight="false" outlineLevel="0" collapsed="false">
      <c r="A7468" s="0" t="s">
        <v>3793</v>
      </c>
      <c r="B7468" s="6" t="n">
        <v>42509</v>
      </c>
      <c r="C7468" s="7" t="s">
        <v>33</v>
      </c>
      <c r="D7468" s="7" t="s">
        <v>34</v>
      </c>
      <c r="E7468" s="7" t="s">
        <v>35</v>
      </c>
      <c r="F7468" s="0" t="n">
        <v>87.84</v>
      </c>
      <c r="G7468" s="0" t="n">
        <v>23.7168</v>
      </c>
      <c r="H7468" s="0" t="n">
        <v>0</v>
      </c>
      <c r="I7468" s="7" t="n">
        <f aca="false">YEAR(B7468)</f>
        <v>2016</v>
      </c>
      <c r="J7468" s="0" t="str">
        <f aca="false">I7468&amp;"-Q"&amp;ROUNDUP(MONTH(B7468)/3,0)</f>
        <v>2016-Q2</v>
      </c>
    </row>
    <row r="7469" customFormat="false" ht="15" hidden="false" customHeight="false" outlineLevel="0" collapsed="false">
      <c r="A7469" s="0" t="s">
        <v>3794</v>
      </c>
      <c r="B7469" s="6" t="n">
        <v>43050</v>
      </c>
      <c r="C7469" s="7" t="s">
        <v>33</v>
      </c>
      <c r="D7469" s="7" t="s">
        <v>34</v>
      </c>
      <c r="E7469" s="7" t="s">
        <v>31</v>
      </c>
      <c r="F7469" s="0" t="n">
        <v>34.92</v>
      </c>
      <c r="G7469" s="0" t="n">
        <v>11.8728</v>
      </c>
      <c r="H7469" s="0" t="n">
        <v>0</v>
      </c>
      <c r="I7469" s="7" t="n">
        <f aca="false">YEAR(B7469)</f>
        <v>2017</v>
      </c>
      <c r="J7469" s="0" t="str">
        <f aca="false">I7469&amp;"-Q"&amp;ROUNDUP(MONTH(B7469)/3,0)</f>
        <v>2017-Q4</v>
      </c>
    </row>
    <row r="7470" customFormat="false" ht="15" hidden="false" customHeight="false" outlineLevel="0" collapsed="false">
      <c r="A7470" s="0" t="s">
        <v>3795</v>
      </c>
      <c r="B7470" s="6" t="n">
        <v>41897</v>
      </c>
      <c r="C7470" s="7" t="s">
        <v>55</v>
      </c>
      <c r="D7470" s="7" t="s">
        <v>76</v>
      </c>
      <c r="E7470" s="7" t="s">
        <v>35</v>
      </c>
      <c r="F7470" s="0" t="n">
        <v>14.94</v>
      </c>
      <c r="G7470" s="0" t="n">
        <v>7.0218</v>
      </c>
      <c r="H7470" s="0" t="n">
        <v>0</v>
      </c>
      <c r="I7470" s="7" t="n">
        <f aca="false">YEAR(B7470)</f>
        <v>2014</v>
      </c>
      <c r="J7470" s="0" t="str">
        <f aca="false">I7470&amp;"-Q"&amp;ROUNDUP(MONTH(B7470)/3,0)</f>
        <v>2014-Q3</v>
      </c>
    </row>
    <row r="7471" customFormat="false" ht="15" hidden="false" customHeight="false" outlineLevel="0" collapsed="false">
      <c r="A7471" s="0" t="s">
        <v>3795</v>
      </c>
      <c r="B7471" s="6" t="n">
        <v>41897</v>
      </c>
      <c r="C7471" s="7" t="s">
        <v>55</v>
      </c>
      <c r="D7471" s="7" t="s">
        <v>76</v>
      </c>
      <c r="E7471" s="7" t="s">
        <v>31</v>
      </c>
      <c r="F7471" s="0" t="n">
        <v>14.56</v>
      </c>
      <c r="G7471" s="0" t="n">
        <v>6.2608</v>
      </c>
      <c r="H7471" s="0" t="n">
        <v>0</v>
      </c>
      <c r="I7471" s="7" t="n">
        <f aca="false">YEAR(B7471)</f>
        <v>2014</v>
      </c>
      <c r="J7471" s="0" t="str">
        <f aca="false">I7471&amp;"-Q"&amp;ROUNDUP(MONTH(B7471)/3,0)</f>
        <v>2014-Q3</v>
      </c>
    </row>
    <row r="7472" customFormat="false" ht="15" hidden="false" customHeight="false" outlineLevel="0" collapsed="false">
      <c r="A7472" s="0" t="s">
        <v>3796</v>
      </c>
      <c r="B7472" s="6" t="n">
        <v>42262</v>
      </c>
      <c r="C7472" s="7" t="s">
        <v>55</v>
      </c>
      <c r="D7472" s="7" t="s">
        <v>56</v>
      </c>
      <c r="E7472" s="7" t="s">
        <v>35</v>
      </c>
      <c r="F7472" s="0" t="n">
        <v>3.576</v>
      </c>
      <c r="G7472" s="0" t="n">
        <v>-2.8608</v>
      </c>
      <c r="H7472" s="0" t="n">
        <v>0.7</v>
      </c>
      <c r="I7472" s="7" t="n">
        <f aca="false">YEAR(B7472)</f>
        <v>2015</v>
      </c>
      <c r="J7472" s="0" t="str">
        <f aca="false">I7472&amp;"-Q"&amp;ROUNDUP(MONTH(B7472)/3,0)</f>
        <v>2015-Q3</v>
      </c>
    </row>
    <row r="7473" customFormat="false" ht="15" hidden="false" customHeight="false" outlineLevel="0" collapsed="false">
      <c r="A7473" s="0" t="s">
        <v>3796</v>
      </c>
      <c r="B7473" s="6" t="n">
        <v>42262</v>
      </c>
      <c r="C7473" s="7" t="s">
        <v>55</v>
      </c>
      <c r="D7473" s="7" t="s">
        <v>56</v>
      </c>
      <c r="E7473" s="7" t="s">
        <v>35</v>
      </c>
      <c r="F7473" s="0" t="n">
        <v>147.184</v>
      </c>
      <c r="G7473" s="0" t="n">
        <v>-29.4368</v>
      </c>
      <c r="H7473" s="0" t="n">
        <v>0.2</v>
      </c>
      <c r="I7473" s="7" t="n">
        <f aca="false">YEAR(B7473)</f>
        <v>2015</v>
      </c>
      <c r="J7473" s="0" t="str">
        <f aca="false">I7473&amp;"-Q"&amp;ROUNDUP(MONTH(B7473)/3,0)</f>
        <v>2015-Q3</v>
      </c>
    </row>
    <row r="7474" customFormat="false" ht="15" hidden="false" customHeight="false" outlineLevel="0" collapsed="false">
      <c r="A7474" s="0" t="s">
        <v>3797</v>
      </c>
      <c r="B7474" s="6" t="n">
        <v>42552</v>
      </c>
      <c r="C7474" s="7" t="s">
        <v>33</v>
      </c>
      <c r="D7474" s="7" t="s">
        <v>50</v>
      </c>
      <c r="E7474" s="7" t="s">
        <v>39</v>
      </c>
      <c r="F7474" s="0" t="n">
        <v>1499.95</v>
      </c>
      <c r="G7474" s="0" t="n">
        <v>449.985</v>
      </c>
      <c r="H7474" s="0" t="n">
        <v>0</v>
      </c>
      <c r="I7474" s="7" t="n">
        <f aca="false">YEAR(B7474)</f>
        <v>2016</v>
      </c>
      <c r="J7474" s="0" t="str">
        <f aca="false">I7474&amp;"-Q"&amp;ROUNDUP(MONTH(B7474)/3,0)</f>
        <v>2016-Q3</v>
      </c>
    </row>
    <row r="7475" customFormat="false" ht="15" hidden="false" customHeight="false" outlineLevel="0" collapsed="false">
      <c r="A7475" s="0" t="s">
        <v>3798</v>
      </c>
      <c r="B7475" s="6" t="n">
        <v>42470</v>
      </c>
      <c r="C7475" s="7" t="s">
        <v>45</v>
      </c>
      <c r="D7475" s="7" t="s">
        <v>64</v>
      </c>
      <c r="E7475" s="7" t="s">
        <v>35</v>
      </c>
      <c r="F7475" s="0" t="n">
        <v>13.568</v>
      </c>
      <c r="G7475" s="0" t="n">
        <v>3.2224</v>
      </c>
      <c r="H7475" s="0" t="n">
        <v>0.2</v>
      </c>
      <c r="I7475" s="7" t="n">
        <f aca="false">YEAR(B7475)</f>
        <v>2016</v>
      </c>
      <c r="J7475" s="0" t="str">
        <f aca="false">I7475&amp;"-Q"&amp;ROUNDUP(MONTH(B7475)/3,0)</f>
        <v>2016-Q2</v>
      </c>
    </row>
    <row r="7476" customFormat="false" ht="15" hidden="false" customHeight="false" outlineLevel="0" collapsed="false">
      <c r="A7476" s="0" t="s">
        <v>3799</v>
      </c>
      <c r="B7476" s="6" t="n">
        <v>41645</v>
      </c>
      <c r="C7476" s="7" t="s">
        <v>29</v>
      </c>
      <c r="D7476" s="7" t="s">
        <v>30</v>
      </c>
      <c r="E7476" s="7" t="s">
        <v>31</v>
      </c>
      <c r="F7476" s="0" t="n">
        <v>2573.82</v>
      </c>
      <c r="G7476" s="0" t="n">
        <v>746.4078</v>
      </c>
      <c r="H7476" s="0" t="n">
        <v>0</v>
      </c>
      <c r="I7476" s="7" t="n">
        <f aca="false">YEAR(B7476)</f>
        <v>2014</v>
      </c>
      <c r="J7476" s="0" t="str">
        <f aca="false">I7476&amp;"-Q"&amp;ROUNDUP(MONTH(B7476)/3,0)</f>
        <v>2014-Q1</v>
      </c>
    </row>
    <row r="7477" customFormat="false" ht="15" hidden="false" customHeight="false" outlineLevel="0" collapsed="false">
      <c r="A7477" s="0" t="s">
        <v>3799</v>
      </c>
      <c r="B7477" s="6" t="n">
        <v>41645</v>
      </c>
      <c r="C7477" s="7" t="s">
        <v>29</v>
      </c>
      <c r="D7477" s="7" t="s">
        <v>30</v>
      </c>
      <c r="E7477" s="7" t="s">
        <v>35</v>
      </c>
      <c r="F7477" s="0" t="n">
        <v>609.98</v>
      </c>
      <c r="G7477" s="0" t="n">
        <v>274.491</v>
      </c>
      <c r="H7477" s="0" t="n">
        <v>0</v>
      </c>
      <c r="I7477" s="7" t="n">
        <f aca="false">YEAR(B7477)</f>
        <v>2014</v>
      </c>
      <c r="J7477" s="0" t="str">
        <f aca="false">I7477&amp;"-Q"&amp;ROUNDUP(MONTH(B7477)/3,0)</f>
        <v>2014-Q1</v>
      </c>
    </row>
    <row r="7478" customFormat="false" ht="15" hidden="false" customHeight="false" outlineLevel="0" collapsed="false">
      <c r="A7478" s="0" t="s">
        <v>3799</v>
      </c>
      <c r="B7478" s="6" t="n">
        <v>41645</v>
      </c>
      <c r="C7478" s="7" t="s">
        <v>29</v>
      </c>
      <c r="D7478" s="7" t="s">
        <v>30</v>
      </c>
      <c r="E7478" s="7" t="s">
        <v>35</v>
      </c>
      <c r="F7478" s="0" t="n">
        <v>5.48</v>
      </c>
      <c r="G7478" s="0" t="n">
        <v>1.4796</v>
      </c>
      <c r="H7478" s="0" t="n">
        <v>0</v>
      </c>
      <c r="I7478" s="7" t="n">
        <f aca="false">YEAR(B7478)</f>
        <v>2014</v>
      </c>
      <c r="J7478" s="0" t="str">
        <f aca="false">I7478&amp;"-Q"&amp;ROUNDUP(MONTH(B7478)/3,0)</f>
        <v>2014-Q1</v>
      </c>
    </row>
    <row r="7479" customFormat="false" ht="15" hidden="false" customHeight="false" outlineLevel="0" collapsed="false">
      <c r="A7479" s="0" t="s">
        <v>3799</v>
      </c>
      <c r="B7479" s="6" t="n">
        <v>41645</v>
      </c>
      <c r="C7479" s="7" t="s">
        <v>29</v>
      </c>
      <c r="D7479" s="7" t="s">
        <v>30</v>
      </c>
      <c r="E7479" s="7" t="s">
        <v>39</v>
      </c>
      <c r="F7479" s="0" t="n">
        <v>391.98</v>
      </c>
      <c r="G7479" s="0" t="n">
        <v>113.6742</v>
      </c>
      <c r="H7479" s="0" t="n">
        <v>0</v>
      </c>
      <c r="I7479" s="7" t="n">
        <f aca="false">YEAR(B7479)</f>
        <v>2014</v>
      </c>
      <c r="J7479" s="0" t="str">
        <f aca="false">I7479&amp;"-Q"&amp;ROUNDUP(MONTH(B7479)/3,0)</f>
        <v>2014-Q1</v>
      </c>
    </row>
    <row r="7480" customFormat="false" ht="15" hidden="false" customHeight="false" outlineLevel="0" collapsed="false">
      <c r="A7480" s="0" t="s">
        <v>3799</v>
      </c>
      <c r="B7480" s="6" t="n">
        <v>41645</v>
      </c>
      <c r="C7480" s="7" t="s">
        <v>29</v>
      </c>
      <c r="D7480" s="7" t="s">
        <v>30</v>
      </c>
      <c r="E7480" s="7" t="s">
        <v>39</v>
      </c>
      <c r="F7480" s="0" t="n">
        <v>755.96</v>
      </c>
      <c r="G7480" s="0" t="n">
        <v>204.1092</v>
      </c>
      <c r="H7480" s="0" t="n">
        <v>0</v>
      </c>
      <c r="I7480" s="7" t="n">
        <f aca="false">YEAR(B7480)</f>
        <v>2014</v>
      </c>
      <c r="J7480" s="0" t="str">
        <f aca="false">I7480&amp;"-Q"&amp;ROUNDUP(MONTH(B7480)/3,0)</f>
        <v>2014-Q1</v>
      </c>
    </row>
    <row r="7481" customFormat="false" ht="15" hidden="false" customHeight="false" outlineLevel="0" collapsed="false">
      <c r="A7481" s="0" t="s">
        <v>3799</v>
      </c>
      <c r="B7481" s="6" t="n">
        <v>41645</v>
      </c>
      <c r="C7481" s="7" t="s">
        <v>29</v>
      </c>
      <c r="D7481" s="7" t="s">
        <v>30</v>
      </c>
      <c r="E7481" s="7" t="s">
        <v>35</v>
      </c>
      <c r="F7481" s="0" t="n">
        <v>31.12</v>
      </c>
      <c r="G7481" s="0" t="n">
        <v>0.3112</v>
      </c>
      <c r="H7481" s="0" t="n">
        <v>0</v>
      </c>
      <c r="I7481" s="7" t="n">
        <f aca="false">YEAR(B7481)</f>
        <v>2014</v>
      </c>
      <c r="J7481" s="0" t="str">
        <f aca="false">I7481&amp;"-Q"&amp;ROUNDUP(MONTH(B7481)/3,0)</f>
        <v>2014-Q1</v>
      </c>
    </row>
    <row r="7482" customFormat="false" ht="15" hidden="false" customHeight="false" outlineLevel="0" collapsed="false">
      <c r="A7482" s="0" t="s">
        <v>3799</v>
      </c>
      <c r="B7482" s="6" t="n">
        <v>41645</v>
      </c>
      <c r="C7482" s="7" t="s">
        <v>29</v>
      </c>
      <c r="D7482" s="7" t="s">
        <v>30</v>
      </c>
      <c r="E7482" s="7" t="s">
        <v>35</v>
      </c>
      <c r="F7482" s="0" t="n">
        <v>6.54</v>
      </c>
      <c r="G7482" s="0" t="n">
        <v>3.0084</v>
      </c>
      <c r="H7482" s="0" t="n">
        <v>0</v>
      </c>
      <c r="I7482" s="7" t="n">
        <f aca="false">YEAR(B7482)</f>
        <v>2014</v>
      </c>
      <c r="J7482" s="0" t="str">
        <f aca="false">I7482&amp;"-Q"&amp;ROUNDUP(MONTH(B7482)/3,0)</f>
        <v>2014-Q1</v>
      </c>
    </row>
    <row r="7483" customFormat="false" ht="15" hidden="false" customHeight="false" outlineLevel="0" collapsed="false">
      <c r="A7483" s="0" t="s">
        <v>3800</v>
      </c>
      <c r="B7483" s="6" t="n">
        <v>42614</v>
      </c>
      <c r="C7483" s="7" t="s">
        <v>33</v>
      </c>
      <c r="D7483" s="7" t="s">
        <v>34</v>
      </c>
      <c r="E7483" s="7" t="s">
        <v>35</v>
      </c>
      <c r="F7483" s="0" t="n">
        <v>12.78</v>
      </c>
      <c r="G7483" s="0" t="n">
        <v>5.751</v>
      </c>
      <c r="H7483" s="0" t="n">
        <v>0</v>
      </c>
      <c r="I7483" s="7" t="n">
        <f aca="false">YEAR(B7483)</f>
        <v>2016</v>
      </c>
      <c r="J7483" s="0" t="str">
        <f aca="false">I7483&amp;"-Q"&amp;ROUNDUP(MONTH(B7483)/3,0)</f>
        <v>2016-Q3</v>
      </c>
    </row>
    <row r="7484" customFormat="false" ht="15" hidden="false" customHeight="false" outlineLevel="0" collapsed="false">
      <c r="A7484" s="0" t="s">
        <v>3801</v>
      </c>
      <c r="B7484" s="6" t="n">
        <v>41905</v>
      </c>
      <c r="C7484" s="7" t="s">
        <v>55</v>
      </c>
      <c r="D7484" s="7" t="s">
        <v>76</v>
      </c>
      <c r="E7484" s="7" t="s">
        <v>35</v>
      </c>
      <c r="F7484" s="0" t="n">
        <v>18.464</v>
      </c>
      <c r="G7484" s="0" t="n">
        <v>6.924</v>
      </c>
      <c r="H7484" s="0" t="n">
        <v>0.2</v>
      </c>
      <c r="I7484" s="7" t="n">
        <f aca="false">YEAR(B7484)</f>
        <v>2014</v>
      </c>
      <c r="J7484" s="0" t="str">
        <f aca="false">I7484&amp;"-Q"&amp;ROUNDUP(MONTH(B7484)/3,0)</f>
        <v>2014-Q3</v>
      </c>
    </row>
    <row r="7485" customFormat="false" ht="15" hidden="false" customHeight="false" outlineLevel="0" collapsed="false">
      <c r="A7485" s="0" t="s">
        <v>3802</v>
      </c>
      <c r="B7485" s="6" t="n">
        <v>41988</v>
      </c>
      <c r="C7485" s="7" t="s">
        <v>55</v>
      </c>
      <c r="D7485" s="7" t="s">
        <v>56</v>
      </c>
      <c r="E7485" s="7" t="s">
        <v>31</v>
      </c>
      <c r="F7485" s="0" t="n">
        <v>445.802</v>
      </c>
      <c r="G7485" s="0" t="n">
        <v>-108.2662</v>
      </c>
      <c r="H7485" s="0" t="n">
        <v>0.3</v>
      </c>
      <c r="I7485" s="7" t="n">
        <f aca="false">YEAR(B7485)</f>
        <v>2014</v>
      </c>
      <c r="J7485" s="0" t="str">
        <f aca="false">I7485&amp;"-Q"&amp;ROUNDUP(MONTH(B7485)/3,0)</f>
        <v>2014-Q4</v>
      </c>
    </row>
    <row r="7486" customFormat="false" ht="15" hidden="false" customHeight="false" outlineLevel="0" collapsed="false">
      <c r="A7486" s="0" t="s">
        <v>3803</v>
      </c>
      <c r="B7486" s="6" t="n">
        <v>43097</v>
      </c>
      <c r="C7486" s="7" t="s">
        <v>45</v>
      </c>
      <c r="D7486" s="7" t="s">
        <v>2250</v>
      </c>
      <c r="E7486" s="7" t="s">
        <v>35</v>
      </c>
      <c r="F7486" s="0" t="n">
        <v>2.48</v>
      </c>
      <c r="G7486" s="0" t="n">
        <v>0.868</v>
      </c>
      <c r="H7486" s="0" t="n">
        <v>0</v>
      </c>
      <c r="I7486" s="7" t="n">
        <f aca="false">YEAR(B7486)</f>
        <v>2017</v>
      </c>
      <c r="J7486" s="0" t="str">
        <f aca="false">I7486&amp;"-Q"&amp;ROUNDUP(MONTH(B7486)/3,0)</f>
        <v>2017-Q4</v>
      </c>
    </row>
    <row r="7487" customFormat="false" ht="15" hidden="false" customHeight="false" outlineLevel="0" collapsed="false">
      <c r="A7487" s="0" t="s">
        <v>3803</v>
      </c>
      <c r="B7487" s="6" t="n">
        <v>43097</v>
      </c>
      <c r="C7487" s="7" t="s">
        <v>45</v>
      </c>
      <c r="D7487" s="7" t="s">
        <v>2250</v>
      </c>
      <c r="E7487" s="7" t="s">
        <v>35</v>
      </c>
      <c r="F7487" s="0" t="n">
        <v>25.9</v>
      </c>
      <c r="G7487" s="0" t="n">
        <v>12.691</v>
      </c>
      <c r="H7487" s="0" t="n">
        <v>0</v>
      </c>
      <c r="I7487" s="7" t="n">
        <f aca="false">YEAR(B7487)</f>
        <v>2017</v>
      </c>
      <c r="J7487" s="0" t="str">
        <f aca="false">I7487&amp;"-Q"&amp;ROUNDUP(MONTH(B7487)/3,0)</f>
        <v>2017-Q4</v>
      </c>
    </row>
    <row r="7488" customFormat="false" ht="15" hidden="false" customHeight="false" outlineLevel="0" collapsed="false">
      <c r="A7488" s="0" t="s">
        <v>3804</v>
      </c>
      <c r="B7488" s="6" t="n">
        <v>42357</v>
      </c>
      <c r="C7488" s="7" t="s">
        <v>55</v>
      </c>
      <c r="D7488" s="7" t="s">
        <v>482</v>
      </c>
      <c r="E7488" s="7" t="s">
        <v>35</v>
      </c>
      <c r="F7488" s="0" t="n">
        <v>29.9</v>
      </c>
      <c r="G7488" s="0" t="n">
        <v>14.651</v>
      </c>
      <c r="H7488" s="0" t="n">
        <v>0</v>
      </c>
      <c r="I7488" s="7" t="n">
        <f aca="false">YEAR(B7488)</f>
        <v>2015</v>
      </c>
      <c r="J7488" s="0" t="str">
        <f aca="false">I7488&amp;"-Q"&amp;ROUNDUP(MONTH(B7488)/3,0)</f>
        <v>2015-Q4</v>
      </c>
    </row>
    <row r="7489" customFormat="false" ht="15" hidden="false" customHeight="false" outlineLevel="0" collapsed="false">
      <c r="A7489" s="0" t="s">
        <v>3804</v>
      </c>
      <c r="B7489" s="6" t="n">
        <v>42357</v>
      </c>
      <c r="C7489" s="7" t="s">
        <v>55</v>
      </c>
      <c r="D7489" s="7" t="s">
        <v>482</v>
      </c>
      <c r="E7489" s="7" t="s">
        <v>39</v>
      </c>
      <c r="F7489" s="0" t="n">
        <v>2249.91</v>
      </c>
      <c r="G7489" s="0" t="n">
        <v>517.4793</v>
      </c>
      <c r="H7489" s="0" t="n">
        <v>0</v>
      </c>
      <c r="I7489" s="7" t="n">
        <f aca="false">YEAR(B7489)</f>
        <v>2015</v>
      </c>
      <c r="J7489" s="0" t="str">
        <f aca="false">I7489&amp;"-Q"&amp;ROUNDUP(MONTH(B7489)/3,0)</f>
        <v>2015-Q4</v>
      </c>
    </row>
    <row r="7490" customFormat="false" ht="15" hidden="false" customHeight="false" outlineLevel="0" collapsed="false">
      <c r="A7490" s="0" t="s">
        <v>3804</v>
      </c>
      <c r="B7490" s="6" t="n">
        <v>42357</v>
      </c>
      <c r="C7490" s="7" t="s">
        <v>55</v>
      </c>
      <c r="D7490" s="7" t="s">
        <v>482</v>
      </c>
      <c r="E7490" s="7" t="s">
        <v>31</v>
      </c>
      <c r="F7490" s="0" t="n">
        <v>1053.164</v>
      </c>
      <c r="G7490" s="0" t="n">
        <v>-105.3164</v>
      </c>
      <c r="H7490" s="0" t="n">
        <v>0.3</v>
      </c>
      <c r="I7490" s="7" t="n">
        <f aca="false">YEAR(B7490)</f>
        <v>2015</v>
      </c>
      <c r="J7490" s="0" t="str">
        <f aca="false">I7490&amp;"-Q"&amp;ROUNDUP(MONTH(B7490)/3,0)</f>
        <v>2015-Q4</v>
      </c>
    </row>
    <row r="7491" customFormat="false" ht="15" hidden="false" customHeight="false" outlineLevel="0" collapsed="false">
      <c r="A7491" s="0" t="s">
        <v>3805</v>
      </c>
      <c r="B7491" s="6" t="n">
        <v>43044</v>
      </c>
      <c r="C7491" s="7" t="s">
        <v>33</v>
      </c>
      <c r="D7491" s="7" t="s">
        <v>34</v>
      </c>
      <c r="E7491" s="7" t="s">
        <v>35</v>
      </c>
      <c r="F7491" s="0" t="n">
        <v>12.96</v>
      </c>
      <c r="G7491" s="0" t="n">
        <v>6.2208</v>
      </c>
      <c r="H7491" s="0" t="n">
        <v>0</v>
      </c>
      <c r="I7491" s="7" t="n">
        <f aca="false">YEAR(B7491)</f>
        <v>2017</v>
      </c>
      <c r="J7491" s="0" t="str">
        <f aca="false">I7491&amp;"-Q"&amp;ROUNDUP(MONTH(B7491)/3,0)</f>
        <v>2017-Q4</v>
      </c>
    </row>
    <row r="7492" customFormat="false" ht="15" hidden="false" customHeight="false" outlineLevel="0" collapsed="false">
      <c r="A7492" s="0" t="s">
        <v>3806</v>
      </c>
      <c r="B7492" s="6" t="n">
        <v>42257</v>
      </c>
      <c r="C7492" s="7" t="s">
        <v>33</v>
      </c>
      <c r="D7492" s="7" t="s">
        <v>34</v>
      </c>
      <c r="E7492" s="7" t="s">
        <v>31</v>
      </c>
      <c r="F7492" s="0" t="n">
        <v>106.68</v>
      </c>
      <c r="G7492" s="0" t="n">
        <v>33.0708</v>
      </c>
      <c r="H7492" s="0" t="n">
        <v>0</v>
      </c>
      <c r="I7492" s="7" t="n">
        <f aca="false">YEAR(B7492)</f>
        <v>2015</v>
      </c>
      <c r="J7492" s="0" t="str">
        <f aca="false">I7492&amp;"-Q"&amp;ROUNDUP(MONTH(B7492)/3,0)</f>
        <v>2015-Q3</v>
      </c>
    </row>
    <row r="7493" customFormat="false" ht="15" hidden="false" customHeight="false" outlineLevel="0" collapsed="false">
      <c r="A7493" s="0" t="s">
        <v>3807</v>
      </c>
      <c r="B7493" s="6" t="n">
        <v>43055</v>
      </c>
      <c r="C7493" s="7" t="s">
        <v>55</v>
      </c>
      <c r="D7493" s="7" t="s">
        <v>76</v>
      </c>
      <c r="E7493" s="7" t="s">
        <v>39</v>
      </c>
      <c r="F7493" s="0" t="n">
        <v>119.94</v>
      </c>
      <c r="G7493" s="0" t="n">
        <v>5.997</v>
      </c>
      <c r="H7493" s="0" t="n">
        <v>0</v>
      </c>
      <c r="I7493" s="7" t="n">
        <f aca="false">YEAR(B7493)</f>
        <v>2017</v>
      </c>
      <c r="J7493" s="0" t="str">
        <f aca="false">I7493&amp;"-Q"&amp;ROUNDUP(MONTH(B7493)/3,0)</f>
        <v>2017-Q4</v>
      </c>
    </row>
    <row r="7494" customFormat="false" ht="15" hidden="false" customHeight="false" outlineLevel="0" collapsed="false">
      <c r="A7494" s="0" t="s">
        <v>3808</v>
      </c>
      <c r="B7494" s="6" t="n">
        <v>42989</v>
      </c>
      <c r="C7494" s="7" t="s">
        <v>45</v>
      </c>
      <c r="D7494" s="7" t="s">
        <v>46</v>
      </c>
      <c r="E7494" s="7" t="s">
        <v>35</v>
      </c>
      <c r="F7494" s="0" t="n">
        <v>10.272</v>
      </c>
      <c r="G7494" s="0" t="n">
        <v>3.21</v>
      </c>
      <c r="H7494" s="0" t="n">
        <v>0.2</v>
      </c>
      <c r="I7494" s="7" t="n">
        <f aca="false">YEAR(B7494)</f>
        <v>2017</v>
      </c>
      <c r="J7494" s="0" t="str">
        <f aca="false">I7494&amp;"-Q"&amp;ROUNDUP(MONTH(B7494)/3,0)</f>
        <v>2017-Q3</v>
      </c>
    </row>
    <row r="7495" customFormat="false" ht="15" hidden="false" customHeight="false" outlineLevel="0" collapsed="false">
      <c r="A7495" s="0" t="s">
        <v>3808</v>
      </c>
      <c r="B7495" s="6" t="n">
        <v>42989</v>
      </c>
      <c r="C7495" s="7" t="s">
        <v>45</v>
      </c>
      <c r="D7495" s="7" t="s">
        <v>46</v>
      </c>
      <c r="E7495" s="7" t="s">
        <v>31</v>
      </c>
      <c r="F7495" s="0" t="n">
        <v>512.19</v>
      </c>
      <c r="G7495" s="0" t="n">
        <v>-65.853</v>
      </c>
      <c r="H7495" s="0" t="n">
        <v>0.3</v>
      </c>
      <c r="I7495" s="7" t="n">
        <f aca="false">YEAR(B7495)</f>
        <v>2017</v>
      </c>
      <c r="J7495" s="0" t="str">
        <f aca="false">I7495&amp;"-Q"&amp;ROUNDUP(MONTH(B7495)/3,0)</f>
        <v>2017-Q3</v>
      </c>
    </row>
    <row r="7496" customFormat="false" ht="15" hidden="false" customHeight="false" outlineLevel="0" collapsed="false">
      <c r="A7496" s="0" t="s">
        <v>3808</v>
      </c>
      <c r="B7496" s="6" t="n">
        <v>42989</v>
      </c>
      <c r="C7496" s="7" t="s">
        <v>45</v>
      </c>
      <c r="D7496" s="7" t="s">
        <v>46</v>
      </c>
      <c r="E7496" s="7" t="s">
        <v>35</v>
      </c>
      <c r="F7496" s="0" t="n">
        <v>1.556</v>
      </c>
      <c r="G7496" s="0" t="n">
        <v>-4.2012</v>
      </c>
      <c r="H7496" s="0" t="n">
        <v>0.8</v>
      </c>
      <c r="I7496" s="7" t="n">
        <f aca="false">YEAR(B7496)</f>
        <v>2017</v>
      </c>
      <c r="J7496" s="0" t="str">
        <f aca="false">I7496&amp;"-Q"&amp;ROUNDUP(MONTH(B7496)/3,0)</f>
        <v>2017-Q3</v>
      </c>
    </row>
    <row r="7497" customFormat="false" ht="15" hidden="false" customHeight="false" outlineLevel="0" collapsed="false">
      <c r="A7497" s="0" t="s">
        <v>3809</v>
      </c>
      <c r="B7497" s="6" t="n">
        <v>42930</v>
      </c>
      <c r="C7497" s="7" t="s">
        <v>33</v>
      </c>
      <c r="D7497" s="7" t="s">
        <v>34</v>
      </c>
      <c r="E7497" s="7" t="s">
        <v>35</v>
      </c>
      <c r="F7497" s="0" t="n">
        <v>4.448</v>
      </c>
      <c r="G7497" s="0" t="n">
        <v>1.4456</v>
      </c>
      <c r="H7497" s="0" t="n">
        <v>0.2</v>
      </c>
      <c r="I7497" s="7" t="n">
        <f aca="false">YEAR(B7497)</f>
        <v>2017</v>
      </c>
      <c r="J7497" s="0" t="str">
        <f aca="false">I7497&amp;"-Q"&amp;ROUNDUP(MONTH(B7497)/3,0)</f>
        <v>2017-Q3</v>
      </c>
    </row>
    <row r="7498" customFormat="false" ht="15" hidden="false" customHeight="false" outlineLevel="0" collapsed="false">
      <c r="A7498" s="0" t="s">
        <v>3809</v>
      </c>
      <c r="B7498" s="6" t="n">
        <v>42930</v>
      </c>
      <c r="C7498" s="7" t="s">
        <v>33</v>
      </c>
      <c r="D7498" s="7" t="s">
        <v>34</v>
      </c>
      <c r="E7498" s="7" t="s">
        <v>31</v>
      </c>
      <c r="F7498" s="0" t="n">
        <v>276.69</v>
      </c>
      <c r="G7498" s="0" t="n">
        <v>49.8042</v>
      </c>
      <c r="H7498" s="0" t="n">
        <v>0</v>
      </c>
      <c r="I7498" s="7" t="n">
        <f aca="false">YEAR(B7498)</f>
        <v>2017</v>
      </c>
      <c r="J7498" s="0" t="str">
        <f aca="false">I7498&amp;"-Q"&amp;ROUNDUP(MONTH(B7498)/3,0)</f>
        <v>2017-Q3</v>
      </c>
    </row>
    <row r="7499" customFormat="false" ht="15" hidden="false" customHeight="false" outlineLevel="0" collapsed="false">
      <c r="A7499" s="0" t="s">
        <v>3809</v>
      </c>
      <c r="B7499" s="6" t="n">
        <v>42930</v>
      </c>
      <c r="C7499" s="7" t="s">
        <v>33</v>
      </c>
      <c r="D7499" s="7" t="s">
        <v>34</v>
      </c>
      <c r="E7499" s="7" t="s">
        <v>35</v>
      </c>
      <c r="F7499" s="0" t="n">
        <v>4.96</v>
      </c>
      <c r="G7499" s="0" t="n">
        <v>2.3312</v>
      </c>
      <c r="H7499" s="0" t="n">
        <v>0</v>
      </c>
      <c r="I7499" s="7" t="n">
        <f aca="false">YEAR(B7499)</f>
        <v>2017</v>
      </c>
      <c r="J7499" s="0" t="str">
        <f aca="false">I7499&amp;"-Q"&amp;ROUNDUP(MONTH(B7499)/3,0)</f>
        <v>2017-Q3</v>
      </c>
    </row>
    <row r="7500" customFormat="false" ht="15" hidden="false" customHeight="false" outlineLevel="0" collapsed="false">
      <c r="A7500" s="0" t="s">
        <v>3809</v>
      </c>
      <c r="B7500" s="6" t="n">
        <v>42930</v>
      </c>
      <c r="C7500" s="7" t="s">
        <v>33</v>
      </c>
      <c r="D7500" s="7" t="s">
        <v>34</v>
      </c>
      <c r="E7500" s="7" t="s">
        <v>35</v>
      </c>
      <c r="F7500" s="0" t="n">
        <v>71.92</v>
      </c>
      <c r="G7500" s="0" t="n">
        <v>20.8568</v>
      </c>
      <c r="H7500" s="0" t="n">
        <v>0</v>
      </c>
      <c r="I7500" s="7" t="n">
        <f aca="false">YEAR(B7500)</f>
        <v>2017</v>
      </c>
      <c r="J7500" s="0" t="str">
        <f aca="false">I7500&amp;"-Q"&amp;ROUNDUP(MONTH(B7500)/3,0)</f>
        <v>2017-Q3</v>
      </c>
    </row>
    <row r="7501" customFormat="false" ht="15" hidden="false" customHeight="false" outlineLevel="0" collapsed="false">
      <c r="A7501" s="0" t="s">
        <v>3809</v>
      </c>
      <c r="B7501" s="6" t="n">
        <v>42930</v>
      </c>
      <c r="C7501" s="7" t="s">
        <v>33</v>
      </c>
      <c r="D7501" s="7" t="s">
        <v>34</v>
      </c>
      <c r="E7501" s="7" t="s">
        <v>31</v>
      </c>
      <c r="F7501" s="0" t="n">
        <v>18.84</v>
      </c>
      <c r="G7501" s="0" t="n">
        <v>7.9128</v>
      </c>
      <c r="H7501" s="0" t="n">
        <v>0</v>
      </c>
      <c r="I7501" s="7" t="n">
        <f aca="false">YEAR(B7501)</f>
        <v>2017</v>
      </c>
      <c r="J7501" s="0" t="str">
        <f aca="false">I7501&amp;"-Q"&amp;ROUNDUP(MONTH(B7501)/3,0)</f>
        <v>2017-Q3</v>
      </c>
    </row>
    <row r="7502" customFormat="false" ht="15" hidden="false" customHeight="false" outlineLevel="0" collapsed="false">
      <c r="A7502" s="0" t="s">
        <v>3809</v>
      </c>
      <c r="B7502" s="6" t="n">
        <v>42930</v>
      </c>
      <c r="C7502" s="7" t="s">
        <v>33</v>
      </c>
      <c r="D7502" s="7" t="s">
        <v>34</v>
      </c>
      <c r="E7502" s="7" t="s">
        <v>39</v>
      </c>
      <c r="F7502" s="0" t="n">
        <v>140.97</v>
      </c>
      <c r="G7502" s="0" t="n">
        <v>19.7358</v>
      </c>
      <c r="H7502" s="0" t="n">
        <v>0</v>
      </c>
      <c r="I7502" s="7" t="n">
        <f aca="false">YEAR(B7502)</f>
        <v>2017</v>
      </c>
      <c r="J7502" s="0" t="str">
        <f aca="false">I7502&amp;"-Q"&amp;ROUNDUP(MONTH(B7502)/3,0)</f>
        <v>2017-Q3</v>
      </c>
    </row>
    <row r="7503" customFormat="false" ht="15" hidden="false" customHeight="false" outlineLevel="0" collapsed="false">
      <c r="A7503" s="0" t="s">
        <v>3809</v>
      </c>
      <c r="B7503" s="6" t="n">
        <v>42930</v>
      </c>
      <c r="C7503" s="7" t="s">
        <v>33</v>
      </c>
      <c r="D7503" s="7" t="s">
        <v>34</v>
      </c>
      <c r="E7503" s="7" t="s">
        <v>39</v>
      </c>
      <c r="F7503" s="0" t="n">
        <v>470.376</v>
      </c>
      <c r="G7503" s="0" t="n">
        <v>52.9173</v>
      </c>
      <c r="H7503" s="0" t="n">
        <v>0.2</v>
      </c>
      <c r="I7503" s="7" t="n">
        <f aca="false">YEAR(B7503)</f>
        <v>2017</v>
      </c>
      <c r="J7503" s="0" t="str">
        <f aca="false">I7503&amp;"-Q"&amp;ROUNDUP(MONTH(B7503)/3,0)</f>
        <v>2017-Q3</v>
      </c>
    </row>
    <row r="7504" customFormat="false" ht="15" hidden="false" customHeight="false" outlineLevel="0" collapsed="false">
      <c r="A7504" s="0" t="s">
        <v>3810</v>
      </c>
      <c r="B7504" s="6" t="n">
        <v>42824</v>
      </c>
      <c r="C7504" s="7" t="s">
        <v>33</v>
      </c>
      <c r="D7504" s="7" t="s">
        <v>34</v>
      </c>
      <c r="E7504" s="7" t="s">
        <v>35</v>
      </c>
      <c r="F7504" s="0" t="n">
        <v>6.08</v>
      </c>
      <c r="G7504" s="0" t="n">
        <v>2.0672</v>
      </c>
      <c r="H7504" s="0" t="n">
        <v>0</v>
      </c>
      <c r="I7504" s="7" t="n">
        <f aca="false">YEAR(B7504)</f>
        <v>2017</v>
      </c>
      <c r="J7504" s="0" t="str">
        <f aca="false">I7504&amp;"-Q"&amp;ROUNDUP(MONTH(B7504)/3,0)</f>
        <v>2017-Q1</v>
      </c>
    </row>
    <row r="7505" customFormat="false" ht="15" hidden="false" customHeight="false" outlineLevel="0" collapsed="false">
      <c r="A7505" s="0" t="s">
        <v>3810</v>
      </c>
      <c r="B7505" s="6" t="n">
        <v>42824</v>
      </c>
      <c r="C7505" s="7" t="s">
        <v>33</v>
      </c>
      <c r="D7505" s="7" t="s">
        <v>34</v>
      </c>
      <c r="E7505" s="7" t="s">
        <v>39</v>
      </c>
      <c r="F7505" s="0" t="n">
        <v>164.792</v>
      </c>
      <c r="G7505" s="0" t="n">
        <v>18.5391</v>
      </c>
      <c r="H7505" s="0" t="n">
        <v>0.2</v>
      </c>
      <c r="I7505" s="7" t="n">
        <f aca="false">YEAR(B7505)</f>
        <v>2017</v>
      </c>
      <c r="J7505" s="0" t="str">
        <f aca="false">I7505&amp;"-Q"&amp;ROUNDUP(MONTH(B7505)/3,0)</f>
        <v>2017-Q1</v>
      </c>
    </row>
    <row r="7506" customFormat="false" ht="15" hidden="false" customHeight="false" outlineLevel="0" collapsed="false">
      <c r="A7506" s="0" t="s">
        <v>3811</v>
      </c>
      <c r="B7506" s="6" t="n">
        <v>42400</v>
      </c>
      <c r="C7506" s="7" t="s">
        <v>55</v>
      </c>
      <c r="D7506" s="7" t="s">
        <v>161</v>
      </c>
      <c r="E7506" s="7" t="s">
        <v>35</v>
      </c>
      <c r="F7506" s="0" t="n">
        <v>23.36</v>
      </c>
      <c r="G7506" s="0" t="n">
        <v>11.68</v>
      </c>
      <c r="H7506" s="0" t="n">
        <v>0</v>
      </c>
      <c r="I7506" s="7" t="n">
        <f aca="false">YEAR(B7506)</f>
        <v>2016</v>
      </c>
      <c r="J7506" s="0" t="str">
        <f aca="false">I7506&amp;"-Q"&amp;ROUNDUP(MONTH(B7506)/3,0)</f>
        <v>2016-Q1</v>
      </c>
    </row>
    <row r="7507" customFormat="false" ht="15" hidden="false" customHeight="false" outlineLevel="0" collapsed="false">
      <c r="A7507" s="0" t="s">
        <v>3812</v>
      </c>
      <c r="B7507" s="6" t="n">
        <v>42894</v>
      </c>
      <c r="C7507" s="7" t="s">
        <v>45</v>
      </c>
      <c r="D7507" s="7" t="s">
        <v>64</v>
      </c>
      <c r="E7507" s="7" t="s">
        <v>35</v>
      </c>
      <c r="F7507" s="0" t="n">
        <v>12.176</v>
      </c>
      <c r="G7507" s="0" t="n">
        <v>-18.8728</v>
      </c>
      <c r="H7507" s="0" t="n">
        <v>0.8</v>
      </c>
      <c r="I7507" s="7" t="n">
        <f aca="false">YEAR(B7507)</f>
        <v>2017</v>
      </c>
      <c r="J7507" s="0" t="str">
        <f aca="false">I7507&amp;"-Q"&amp;ROUNDUP(MONTH(B7507)/3,0)</f>
        <v>2017-Q2</v>
      </c>
    </row>
    <row r="7508" customFormat="false" ht="15" hidden="false" customHeight="false" outlineLevel="0" collapsed="false">
      <c r="A7508" s="0" t="s">
        <v>3813</v>
      </c>
      <c r="B7508" s="6" t="n">
        <v>41945</v>
      </c>
      <c r="C7508" s="7" t="s">
        <v>33</v>
      </c>
      <c r="D7508" s="7" t="s">
        <v>34</v>
      </c>
      <c r="E7508" s="7" t="s">
        <v>39</v>
      </c>
      <c r="F7508" s="0" t="n">
        <v>46.384</v>
      </c>
      <c r="G7508" s="0" t="n">
        <v>5.2182</v>
      </c>
      <c r="H7508" s="0" t="n">
        <v>0.2</v>
      </c>
      <c r="I7508" s="7" t="n">
        <f aca="false">YEAR(B7508)</f>
        <v>2014</v>
      </c>
      <c r="J7508" s="0" t="str">
        <f aca="false">I7508&amp;"-Q"&amp;ROUNDUP(MONTH(B7508)/3,0)</f>
        <v>2014-Q4</v>
      </c>
    </row>
    <row r="7509" customFormat="false" ht="15" hidden="false" customHeight="false" outlineLevel="0" collapsed="false">
      <c r="A7509" s="0" t="s">
        <v>3813</v>
      </c>
      <c r="B7509" s="6" t="n">
        <v>41945</v>
      </c>
      <c r="C7509" s="7" t="s">
        <v>33</v>
      </c>
      <c r="D7509" s="7" t="s">
        <v>34</v>
      </c>
      <c r="E7509" s="7" t="s">
        <v>35</v>
      </c>
      <c r="F7509" s="0" t="n">
        <v>362.92</v>
      </c>
      <c r="G7509" s="0" t="n">
        <v>105.2468</v>
      </c>
      <c r="H7509" s="0" t="n">
        <v>0</v>
      </c>
      <c r="I7509" s="7" t="n">
        <f aca="false">YEAR(B7509)</f>
        <v>2014</v>
      </c>
      <c r="J7509" s="0" t="str">
        <f aca="false">I7509&amp;"-Q"&amp;ROUNDUP(MONTH(B7509)/3,0)</f>
        <v>2014-Q4</v>
      </c>
    </row>
    <row r="7510" customFormat="false" ht="15" hidden="false" customHeight="false" outlineLevel="0" collapsed="false">
      <c r="A7510" s="0" t="s">
        <v>3814</v>
      </c>
      <c r="B7510" s="6" t="n">
        <v>42930</v>
      </c>
      <c r="C7510" s="7" t="s">
        <v>55</v>
      </c>
      <c r="D7510" s="7" t="s">
        <v>116</v>
      </c>
      <c r="E7510" s="7" t="s">
        <v>35</v>
      </c>
      <c r="F7510" s="0" t="n">
        <v>9.248</v>
      </c>
      <c r="G7510" s="0" t="n">
        <v>3.3524</v>
      </c>
      <c r="H7510" s="0" t="n">
        <v>0.2</v>
      </c>
      <c r="I7510" s="7" t="n">
        <f aca="false">YEAR(B7510)</f>
        <v>2017</v>
      </c>
      <c r="J7510" s="0" t="str">
        <f aca="false">I7510&amp;"-Q"&amp;ROUNDUP(MONTH(B7510)/3,0)</f>
        <v>2017-Q3</v>
      </c>
    </row>
    <row r="7511" customFormat="false" ht="15" hidden="false" customHeight="false" outlineLevel="0" collapsed="false">
      <c r="A7511" s="0" t="s">
        <v>3814</v>
      </c>
      <c r="B7511" s="6" t="n">
        <v>42930</v>
      </c>
      <c r="C7511" s="7" t="s">
        <v>55</v>
      </c>
      <c r="D7511" s="7" t="s">
        <v>116</v>
      </c>
      <c r="E7511" s="7" t="s">
        <v>39</v>
      </c>
      <c r="F7511" s="0" t="n">
        <v>1889.946</v>
      </c>
      <c r="G7511" s="0" t="n">
        <v>-377.9892</v>
      </c>
      <c r="H7511" s="0" t="n">
        <v>0.4</v>
      </c>
      <c r="I7511" s="7" t="n">
        <f aca="false">YEAR(B7511)</f>
        <v>2017</v>
      </c>
      <c r="J7511" s="0" t="str">
        <f aca="false">I7511&amp;"-Q"&amp;ROUNDUP(MONTH(B7511)/3,0)</f>
        <v>2017-Q3</v>
      </c>
    </row>
    <row r="7512" customFormat="false" ht="15" hidden="false" customHeight="false" outlineLevel="0" collapsed="false">
      <c r="A7512" s="0" t="s">
        <v>3814</v>
      </c>
      <c r="B7512" s="6" t="n">
        <v>42930</v>
      </c>
      <c r="C7512" s="7" t="s">
        <v>55</v>
      </c>
      <c r="D7512" s="7" t="s">
        <v>116</v>
      </c>
      <c r="E7512" s="7" t="s">
        <v>35</v>
      </c>
      <c r="F7512" s="0" t="n">
        <v>62.04</v>
      </c>
      <c r="G7512" s="0" t="n">
        <v>4.653</v>
      </c>
      <c r="H7512" s="0" t="n">
        <v>0.2</v>
      </c>
      <c r="I7512" s="7" t="n">
        <f aca="false">YEAR(B7512)</f>
        <v>2017</v>
      </c>
      <c r="J7512" s="0" t="str">
        <f aca="false">I7512&amp;"-Q"&amp;ROUNDUP(MONTH(B7512)/3,0)</f>
        <v>2017-Q3</v>
      </c>
    </row>
    <row r="7513" customFormat="false" ht="15" hidden="false" customHeight="false" outlineLevel="0" collapsed="false">
      <c r="A7513" s="0" t="s">
        <v>3814</v>
      </c>
      <c r="B7513" s="6" t="n">
        <v>42930</v>
      </c>
      <c r="C7513" s="7" t="s">
        <v>55</v>
      </c>
      <c r="D7513" s="7" t="s">
        <v>116</v>
      </c>
      <c r="E7513" s="7" t="s">
        <v>31</v>
      </c>
      <c r="F7513" s="0" t="n">
        <v>396.92</v>
      </c>
      <c r="G7513" s="0" t="n">
        <v>148.845</v>
      </c>
      <c r="H7513" s="0" t="n">
        <v>0.2</v>
      </c>
      <c r="I7513" s="7" t="n">
        <f aca="false">YEAR(B7513)</f>
        <v>2017</v>
      </c>
      <c r="J7513" s="0" t="str">
        <f aca="false">I7513&amp;"-Q"&amp;ROUNDUP(MONTH(B7513)/3,0)</f>
        <v>2017-Q3</v>
      </c>
    </row>
    <row r="7514" customFormat="false" ht="15" hidden="false" customHeight="false" outlineLevel="0" collapsed="false">
      <c r="A7514" s="0" t="s">
        <v>3814</v>
      </c>
      <c r="B7514" s="6" t="n">
        <v>42930</v>
      </c>
      <c r="C7514" s="7" t="s">
        <v>55</v>
      </c>
      <c r="D7514" s="7" t="s">
        <v>116</v>
      </c>
      <c r="E7514" s="7" t="s">
        <v>35</v>
      </c>
      <c r="F7514" s="0" t="n">
        <v>239.456</v>
      </c>
      <c r="G7514" s="0" t="n">
        <v>17.9592</v>
      </c>
      <c r="H7514" s="0" t="n">
        <v>0.2</v>
      </c>
      <c r="I7514" s="7" t="n">
        <f aca="false">YEAR(B7514)</f>
        <v>2017</v>
      </c>
      <c r="J7514" s="0" t="str">
        <f aca="false">I7514&amp;"-Q"&amp;ROUNDUP(MONTH(B7514)/3,0)</f>
        <v>2017-Q3</v>
      </c>
    </row>
    <row r="7515" customFormat="false" ht="15" hidden="false" customHeight="false" outlineLevel="0" collapsed="false">
      <c r="A7515" s="0" t="s">
        <v>3814</v>
      </c>
      <c r="B7515" s="6" t="n">
        <v>42930</v>
      </c>
      <c r="C7515" s="7" t="s">
        <v>55</v>
      </c>
      <c r="D7515" s="7" t="s">
        <v>116</v>
      </c>
      <c r="E7515" s="7" t="s">
        <v>35</v>
      </c>
      <c r="F7515" s="0" t="n">
        <v>13.12</v>
      </c>
      <c r="G7515" s="0" t="n">
        <v>2.132</v>
      </c>
      <c r="H7515" s="0" t="n">
        <v>0.2</v>
      </c>
      <c r="I7515" s="7" t="n">
        <f aca="false">YEAR(B7515)</f>
        <v>2017</v>
      </c>
      <c r="J7515" s="0" t="str">
        <f aca="false">I7515&amp;"-Q"&amp;ROUNDUP(MONTH(B7515)/3,0)</f>
        <v>2017-Q3</v>
      </c>
    </row>
    <row r="7516" customFormat="false" ht="15" hidden="false" customHeight="false" outlineLevel="0" collapsed="false">
      <c r="A7516" s="0" t="s">
        <v>3815</v>
      </c>
      <c r="B7516" s="6" t="n">
        <v>43078</v>
      </c>
      <c r="C7516" s="7" t="s">
        <v>29</v>
      </c>
      <c r="D7516" s="7" t="s">
        <v>30</v>
      </c>
      <c r="E7516" s="7" t="s">
        <v>35</v>
      </c>
      <c r="F7516" s="0" t="n">
        <v>29.36</v>
      </c>
      <c r="G7516" s="0" t="n">
        <v>13.5056</v>
      </c>
      <c r="H7516" s="0" t="n">
        <v>0</v>
      </c>
      <c r="I7516" s="7" t="n">
        <f aca="false">YEAR(B7516)</f>
        <v>2017</v>
      </c>
      <c r="J7516" s="0" t="str">
        <f aca="false">I7516&amp;"-Q"&amp;ROUNDUP(MONTH(B7516)/3,0)</f>
        <v>2017-Q4</v>
      </c>
    </row>
    <row r="7517" customFormat="false" ht="15" hidden="false" customHeight="false" outlineLevel="0" collapsed="false">
      <c r="A7517" s="0" t="s">
        <v>3815</v>
      </c>
      <c r="B7517" s="6" t="n">
        <v>43078</v>
      </c>
      <c r="C7517" s="7" t="s">
        <v>29</v>
      </c>
      <c r="D7517" s="7" t="s">
        <v>30</v>
      </c>
      <c r="E7517" s="7" t="s">
        <v>35</v>
      </c>
      <c r="F7517" s="0" t="n">
        <v>214.9</v>
      </c>
      <c r="G7517" s="0" t="n">
        <v>62.321</v>
      </c>
      <c r="H7517" s="0" t="n">
        <v>0</v>
      </c>
      <c r="I7517" s="7" t="n">
        <f aca="false">YEAR(B7517)</f>
        <v>2017</v>
      </c>
      <c r="J7517" s="0" t="str">
        <f aca="false">I7517&amp;"-Q"&amp;ROUNDUP(MONTH(B7517)/3,0)</f>
        <v>2017-Q4</v>
      </c>
    </row>
    <row r="7518" customFormat="false" ht="15" hidden="false" customHeight="false" outlineLevel="0" collapsed="false">
      <c r="A7518" s="0" t="s">
        <v>3815</v>
      </c>
      <c r="B7518" s="6" t="n">
        <v>43078</v>
      </c>
      <c r="C7518" s="7" t="s">
        <v>29</v>
      </c>
      <c r="D7518" s="7" t="s">
        <v>30</v>
      </c>
      <c r="E7518" s="7" t="s">
        <v>35</v>
      </c>
      <c r="F7518" s="0" t="n">
        <v>15.92</v>
      </c>
      <c r="G7518" s="0" t="n">
        <v>7.4824</v>
      </c>
      <c r="H7518" s="0" t="n">
        <v>0</v>
      </c>
      <c r="I7518" s="7" t="n">
        <f aca="false">YEAR(B7518)</f>
        <v>2017</v>
      </c>
      <c r="J7518" s="0" t="str">
        <f aca="false">I7518&amp;"-Q"&amp;ROUNDUP(MONTH(B7518)/3,0)</f>
        <v>2017-Q4</v>
      </c>
    </row>
    <row r="7519" customFormat="false" ht="15" hidden="false" customHeight="false" outlineLevel="0" collapsed="false">
      <c r="A7519" s="0" t="s">
        <v>3815</v>
      </c>
      <c r="B7519" s="6" t="n">
        <v>43078</v>
      </c>
      <c r="C7519" s="7" t="s">
        <v>29</v>
      </c>
      <c r="D7519" s="7" t="s">
        <v>30</v>
      </c>
      <c r="E7519" s="7" t="s">
        <v>39</v>
      </c>
      <c r="F7519" s="0" t="n">
        <v>146.45</v>
      </c>
      <c r="G7519" s="0" t="n">
        <v>48.3285</v>
      </c>
      <c r="H7519" s="0" t="n">
        <v>0</v>
      </c>
      <c r="I7519" s="7" t="n">
        <f aca="false">YEAR(B7519)</f>
        <v>2017</v>
      </c>
      <c r="J7519" s="0" t="str">
        <f aca="false">I7519&amp;"-Q"&amp;ROUNDUP(MONTH(B7519)/3,0)</f>
        <v>2017-Q4</v>
      </c>
    </row>
    <row r="7520" customFormat="false" ht="15" hidden="false" customHeight="false" outlineLevel="0" collapsed="false">
      <c r="A7520" s="0" t="s">
        <v>3815</v>
      </c>
      <c r="B7520" s="6" t="n">
        <v>43078</v>
      </c>
      <c r="C7520" s="7" t="s">
        <v>29</v>
      </c>
      <c r="D7520" s="7" t="s">
        <v>30</v>
      </c>
      <c r="E7520" s="7" t="s">
        <v>35</v>
      </c>
      <c r="F7520" s="0" t="n">
        <v>15.14</v>
      </c>
      <c r="G7520" s="0" t="n">
        <v>0.6056</v>
      </c>
      <c r="H7520" s="0" t="n">
        <v>0</v>
      </c>
      <c r="I7520" s="7" t="n">
        <f aca="false">YEAR(B7520)</f>
        <v>2017</v>
      </c>
      <c r="J7520" s="0" t="str">
        <f aca="false">I7520&amp;"-Q"&amp;ROUNDUP(MONTH(B7520)/3,0)</f>
        <v>2017-Q4</v>
      </c>
    </row>
    <row r="7521" customFormat="false" ht="15" hidden="false" customHeight="false" outlineLevel="0" collapsed="false">
      <c r="A7521" s="0" t="s">
        <v>3815</v>
      </c>
      <c r="B7521" s="6" t="n">
        <v>43078</v>
      </c>
      <c r="C7521" s="7" t="s">
        <v>29</v>
      </c>
      <c r="D7521" s="7" t="s">
        <v>30</v>
      </c>
      <c r="E7521" s="7" t="s">
        <v>35</v>
      </c>
      <c r="F7521" s="0" t="n">
        <v>5.76</v>
      </c>
      <c r="G7521" s="0" t="n">
        <v>2.6496</v>
      </c>
      <c r="H7521" s="0" t="n">
        <v>0</v>
      </c>
      <c r="I7521" s="7" t="n">
        <f aca="false">YEAR(B7521)</f>
        <v>2017</v>
      </c>
      <c r="J7521" s="0" t="str">
        <f aca="false">I7521&amp;"-Q"&amp;ROUNDUP(MONTH(B7521)/3,0)</f>
        <v>2017-Q4</v>
      </c>
    </row>
    <row r="7522" customFormat="false" ht="15" hidden="false" customHeight="false" outlineLevel="0" collapsed="false">
      <c r="A7522" s="0" t="s">
        <v>3815</v>
      </c>
      <c r="B7522" s="6" t="n">
        <v>43078</v>
      </c>
      <c r="C7522" s="7" t="s">
        <v>29</v>
      </c>
      <c r="D7522" s="7" t="s">
        <v>30</v>
      </c>
      <c r="E7522" s="7" t="s">
        <v>39</v>
      </c>
      <c r="F7522" s="0" t="n">
        <v>1399.98</v>
      </c>
      <c r="G7522" s="0" t="n">
        <v>629.991</v>
      </c>
      <c r="H7522" s="0" t="n">
        <v>0</v>
      </c>
      <c r="I7522" s="7" t="n">
        <f aca="false">YEAR(B7522)</f>
        <v>2017</v>
      </c>
      <c r="J7522" s="0" t="str">
        <f aca="false">I7522&amp;"-Q"&amp;ROUNDUP(MONTH(B7522)/3,0)</f>
        <v>2017-Q4</v>
      </c>
    </row>
    <row r="7523" customFormat="false" ht="15" hidden="false" customHeight="false" outlineLevel="0" collapsed="false">
      <c r="A7523" s="0" t="s">
        <v>3816</v>
      </c>
      <c r="B7523" s="6" t="n">
        <v>42618</v>
      </c>
      <c r="C7523" s="7" t="s">
        <v>55</v>
      </c>
      <c r="D7523" s="7" t="s">
        <v>116</v>
      </c>
      <c r="E7523" s="7" t="s">
        <v>35</v>
      </c>
      <c r="F7523" s="0" t="n">
        <v>8.952</v>
      </c>
      <c r="G7523" s="0" t="n">
        <v>-7.46</v>
      </c>
      <c r="H7523" s="0" t="n">
        <v>0.7</v>
      </c>
      <c r="I7523" s="7" t="n">
        <f aca="false">YEAR(B7523)</f>
        <v>2016</v>
      </c>
      <c r="J7523" s="0" t="str">
        <f aca="false">I7523&amp;"-Q"&amp;ROUNDUP(MONTH(B7523)/3,0)</f>
        <v>2016-Q3</v>
      </c>
    </row>
    <row r="7524" customFormat="false" ht="15" hidden="false" customHeight="false" outlineLevel="0" collapsed="false">
      <c r="A7524" s="0" t="s">
        <v>3816</v>
      </c>
      <c r="B7524" s="6" t="n">
        <v>42618</v>
      </c>
      <c r="C7524" s="7" t="s">
        <v>55</v>
      </c>
      <c r="D7524" s="7" t="s">
        <v>116</v>
      </c>
      <c r="E7524" s="7" t="s">
        <v>35</v>
      </c>
      <c r="F7524" s="0" t="n">
        <v>8.856</v>
      </c>
      <c r="G7524" s="0" t="n">
        <v>-6.4944</v>
      </c>
      <c r="H7524" s="0" t="n">
        <v>0.7</v>
      </c>
      <c r="I7524" s="7" t="n">
        <f aca="false">YEAR(B7524)</f>
        <v>2016</v>
      </c>
      <c r="J7524" s="0" t="str">
        <f aca="false">I7524&amp;"-Q"&amp;ROUNDUP(MONTH(B7524)/3,0)</f>
        <v>2016-Q3</v>
      </c>
    </row>
    <row r="7525" customFormat="false" ht="15" hidden="false" customHeight="false" outlineLevel="0" collapsed="false">
      <c r="A7525" s="0" t="s">
        <v>3816</v>
      </c>
      <c r="B7525" s="6" t="n">
        <v>42618</v>
      </c>
      <c r="C7525" s="7" t="s">
        <v>55</v>
      </c>
      <c r="D7525" s="7" t="s">
        <v>116</v>
      </c>
      <c r="E7525" s="7" t="s">
        <v>31</v>
      </c>
      <c r="F7525" s="0" t="n">
        <v>85.246</v>
      </c>
      <c r="G7525" s="0" t="n">
        <v>-1.2178</v>
      </c>
      <c r="H7525" s="0" t="n">
        <v>0.3</v>
      </c>
      <c r="I7525" s="7" t="n">
        <f aca="false">YEAR(B7525)</f>
        <v>2016</v>
      </c>
      <c r="J7525" s="0" t="str">
        <f aca="false">I7525&amp;"-Q"&amp;ROUNDUP(MONTH(B7525)/3,0)</f>
        <v>2016-Q3</v>
      </c>
    </row>
    <row r="7526" customFormat="false" ht="15" hidden="false" customHeight="false" outlineLevel="0" collapsed="false">
      <c r="A7526" s="0" t="s">
        <v>3817</v>
      </c>
      <c r="B7526" s="6" t="n">
        <v>41892</v>
      </c>
      <c r="C7526" s="7" t="s">
        <v>33</v>
      </c>
      <c r="D7526" s="7" t="s">
        <v>102</v>
      </c>
      <c r="E7526" s="7" t="s">
        <v>35</v>
      </c>
      <c r="F7526" s="0" t="n">
        <v>21.728</v>
      </c>
      <c r="G7526" s="0" t="n">
        <v>7.6048</v>
      </c>
      <c r="H7526" s="0" t="n">
        <v>0.2</v>
      </c>
      <c r="I7526" s="7" t="n">
        <f aca="false">YEAR(B7526)</f>
        <v>2014</v>
      </c>
      <c r="J7526" s="0" t="str">
        <f aca="false">I7526&amp;"-Q"&amp;ROUNDUP(MONTH(B7526)/3,0)</f>
        <v>2014-Q3</v>
      </c>
    </row>
    <row r="7527" customFormat="false" ht="15" hidden="false" customHeight="false" outlineLevel="0" collapsed="false">
      <c r="A7527" s="0" t="s">
        <v>3817</v>
      </c>
      <c r="B7527" s="6" t="n">
        <v>41892</v>
      </c>
      <c r="C7527" s="7" t="s">
        <v>33</v>
      </c>
      <c r="D7527" s="7" t="s">
        <v>102</v>
      </c>
      <c r="E7527" s="7" t="s">
        <v>31</v>
      </c>
      <c r="F7527" s="0" t="n">
        <v>1487.04</v>
      </c>
      <c r="G7527" s="0" t="n">
        <v>148.704</v>
      </c>
      <c r="H7527" s="0" t="n">
        <v>0.2</v>
      </c>
      <c r="I7527" s="7" t="n">
        <f aca="false">YEAR(B7527)</f>
        <v>2014</v>
      </c>
      <c r="J7527" s="0" t="str">
        <f aca="false">I7527&amp;"-Q"&amp;ROUNDUP(MONTH(B7527)/3,0)</f>
        <v>2014-Q3</v>
      </c>
    </row>
    <row r="7528" customFormat="false" ht="15" hidden="false" customHeight="false" outlineLevel="0" collapsed="false">
      <c r="A7528" s="0" t="s">
        <v>3818</v>
      </c>
      <c r="B7528" s="6" t="n">
        <v>43004</v>
      </c>
      <c r="C7528" s="7" t="s">
        <v>33</v>
      </c>
      <c r="D7528" s="7" t="s">
        <v>34</v>
      </c>
      <c r="E7528" s="7" t="s">
        <v>35</v>
      </c>
      <c r="F7528" s="0" t="n">
        <v>71.88</v>
      </c>
      <c r="G7528" s="0" t="n">
        <v>33.0648</v>
      </c>
      <c r="H7528" s="0" t="n">
        <v>0</v>
      </c>
      <c r="I7528" s="7" t="n">
        <f aca="false">YEAR(B7528)</f>
        <v>2017</v>
      </c>
      <c r="J7528" s="0" t="str">
        <f aca="false">I7528&amp;"-Q"&amp;ROUNDUP(MONTH(B7528)/3,0)</f>
        <v>2017-Q3</v>
      </c>
    </row>
    <row r="7529" customFormat="false" ht="15" hidden="false" customHeight="false" outlineLevel="0" collapsed="false">
      <c r="A7529" s="0" t="s">
        <v>3818</v>
      </c>
      <c r="B7529" s="6" t="n">
        <v>43004</v>
      </c>
      <c r="C7529" s="7" t="s">
        <v>33</v>
      </c>
      <c r="D7529" s="7" t="s">
        <v>34</v>
      </c>
      <c r="E7529" s="7" t="s">
        <v>31</v>
      </c>
      <c r="F7529" s="0" t="n">
        <v>9.24</v>
      </c>
      <c r="G7529" s="0" t="n">
        <v>2.9568</v>
      </c>
      <c r="H7529" s="0" t="n">
        <v>0</v>
      </c>
      <c r="I7529" s="7" t="n">
        <f aca="false">YEAR(B7529)</f>
        <v>2017</v>
      </c>
      <c r="J7529" s="0" t="str">
        <f aca="false">I7529&amp;"-Q"&amp;ROUNDUP(MONTH(B7529)/3,0)</f>
        <v>2017-Q3</v>
      </c>
    </row>
    <row r="7530" customFormat="false" ht="15" hidden="false" customHeight="false" outlineLevel="0" collapsed="false">
      <c r="A7530" s="0" t="s">
        <v>3818</v>
      </c>
      <c r="B7530" s="6" t="n">
        <v>43004</v>
      </c>
      <c r="C7530" s="7" t="s">
        <v>33</v>
      </c>
      <c r="D7530" s="7" t="s">
        <v>34</v>
      </c>
      <c r="E7530" s="7" t="s">
        <v>35</v>
      </c>
      <c r="F7530" s="0" t="n">
        <v>35.88</v>
      </c>
      <c r="G7530" s="0" t="n">
        <v>16.146</v>
      </c>
      <c r="H7530" s="0" t="n">
        <v>0</v>
      </c>
      <c r="I7530" s="7" t="n">
        <f aca="false">YEAR(B7530)</f>
        <v>2017</v>
      </c>
      <c r="J7530" s="0" t="str">
        <f aca="false">I7530&amp;"-Q"&amp;ROUNDUP(MONTH(B7530)/3,0)</f>
        <v>2017-Q3</v>
      </c>
    </row>
    <row r="7531" customFormat="false" ht="15" hidden="false" customHeight="false" outlineLevel="0" collapsed="false">
      <c r="A7531" s="0" t="s">
        <v>3818</v>
      </c>
      <c r="B7531" s="6" t="n">
        <v>43004</v>
      </c>
      <c r="C7531" s="7" t="s">
        <v>33</v>
      </c>
      <c r="D7531" s="7" t="s">
        <v>34</v>
      </c>
      <c r="E7531" s="7" t="s">
        <v>35</v>
      </c>
      <c r="F7531" s="0" t="n">
        <v>17.04</v>
      </c>
      <c r="G7531" s="0" t="n">
        <v>5.538</v>
      </c>
      <c r="H7531" s="0" t="n">
        <v>0.2</v>
      </c>
      <c r="I7531" s="7" t="n">
        <f aca="false">YEAR(B7531)</f>
        <v>2017</v>
      </c>
      <c r="J7531" s="0" t="str">
        <f aca="false">I7531&amp;"-Q"&amp;ROUNDUP(MONTH(B7531)/3,0)</f>
        <v>2017-Q3</v>
      </c>
    </row>
    <row r="7532" customFormat="false" ht="15" hidden="false" customHeight="false" outlineLevel="0" collapsed="false">
      <c r="A7532" s="0" t="s">
        <v>3818</v>
      </c>
      <c r="B7532" s="6" t="n">
        <v>43004</v>
      </c>
      <c r="C7532" s="7" t="s">
        <v>33</v>
      </c>
      <c r="D7532" s="7" t="s">
        <v>34</v>
      </c>
      <c r="E7532" s="7" t="s">
        <v>35</v>
      </c>
      <c r="F7532" s="0" t="n">
        <v>931.176</v>
      </c>
      <c r="G7532" s="0" t="n">
        <v>314.2719</v>
      </c>
      <c r="H7532" s="0" t="n">
        <v>0.2</v>
      </c>
      <c r="I7532" s="7" t="n">
        <f aca="false">YEAR(B7532)</f>
        <v>2017</v>
      </c>
      <c r="J7532" s="0" t="str">
        <f aca="false">I7532&amp;"-Q"&amp;ROUNDUP(MONTH(B7532)/3,0)</f>
        <v>2017-Q3</v>
      </c>
    </row>
    <row r="7533" customFormat="false" ht="15" hidden="false" customHeight="false" outlineLevel="0" collapsed="false">
      <c r="A7533" s="0" t="s">
        <v>3819</v>
      </c>
      <c r="B7533" s="6" t="n">
        <v>42538</v>
      </c>
      <c r="C7533" s="7" t="s">
        <v>33</v>
      </c>
      <c r="D7533" s="7" t="s">
        <v>109</v>
      </c>
      <c r="E7533" s="7" t="s">
        <v>31</v>
      </c>
      <c r="F7533" s="0" t="n">
        <v>266.352</v>
      </c>
      <c r="G7533" s="0" t="n">
        <v>-13.3176</v>
      </c>
      <c r="H7533" s="0" t="n">
        <v>0.2</v>
      </c>
      <c r="I7533" s="7" t="n">
        <f aca="false">YEAR(B7533)</f>
        <v>2016</v>
      </c>
      <c r="J7533" s="0" t="str">
        <f aca="false">I7533&amp;"-Q"&amp;ROUNDUP(MONTH(B7533)/3,0)</f>
        <v>2016-Q2</v>
      </c>
    </row>
    <row r="7534" customFormat="false" ht="15" hidden="false" customHeight="false" outlineLevel="0" collapsed="false">
      <c r="A7534" s="0" t="s">
        <v>3819</v>
      </c>
      <c r="B7534" s="6" t="n">
        <v>42538</v>
      </c>
      <c r="C7534" s="7" t="s">
        <v>33</v>
      </c>
      <c r="D7534" s="7" t="s">
        <v>109</v>
      </c>
      <c r="E7534" s="7" t="s">
        <v>31</v>
      </c>
      <c r="F7534" s="0" t="n">
        <v>483.136</v>
      </c>
      <c r="G7534" s="0" t="n">
        <v>54.3528</v>
      </c>
      <c r="H7534" s="0" t="n">
        <v>0.2</v>
      </c>
      <c r="I7534" s="7" t="n">
        <f aca="false">YEAR(B7534)</f>
        <v>2016</v>
      </c>
      <c r="J7534" s="0" t="str">
        <f aca="false">I7534&amp;"-Q"&amp;ROUNDUP(MONTH(B7534)/3,0)</f>
        <v>2016-Q2</v>
      </c>
    </row>
    <row r="7535" customFormat="false" ht="15" hidden="false" customHeight="false" outlineLevel="0" collapsed="false">
      <c r="A7535" s="0" t="s">
        <v>3820</v>
      </c>
      <c r="B7535" s="6" t="n">
        <v>42791</v>
      </c>
      <c r="C7535" s="7" t="s">
        <v>29</v>
      </c>
      <c r="D7535" s="7" t="s">
        <v>41</v>
      </c>
      <c r="E7535" s="7" t="s">
        <v>31</v>
      </c>
      <c r="F7535" s="0" t="n">
        <v>196.784</v>
      </c>
      <c r="G7535" s="0" t="n">
        <v>-22.1382</v>
      </c>
      <c r="H7535" s="0" t="n">
        <v>0.2</v>
      </c>
      <c r="I7535" s="7" t="n">
        <f aca="false">YEAR(B7535)</f>
        <v>2017</v>
      </c>
      <c r="J7535" s="0" t="str">
        <f aca="false">I7535&amp;"-Q"&amp;ROUNDUP(MONTH(B7535)/3,0)</f>
        <v>2017-Q1</v>
      </c>
    </row>
    <row r="7536" customFormat="false" ht="15" hidden="false" customHeight="false" outlineLevel="0" collapsed="false">
      <c r="A7536" s="0" t="s">
        <v>3820</v>
      </c>
      <c r="B7536" s="6" t="n">
        <v>42791</v>
      </c>
      <c r="C7536" s="7" t="s">
        <v>29</v>
      </c>
      <c r="D7536" s="7" t="s">
        <v>41</v>
      </c>
      <c r="E7536" s="7" t="s">
        <v>31</v>
      </c>
      <c r="F7536" s="0" t="n">
        <v>231.92</v>
      </c>
      <c r="G7536" s="0" t="n">
        <v>5.798</v>
      </c>
      <c r="H7536" s="0" t="n">
        <v>0.2</v>
      </c>
      <c r="I7536" s="7" t="n">
        <f aca="false">YEAR(B7536)</f>
        <v>2017</v>
      </c>
      <c r="J7536" s="0" t="str">
        <f aca="false">I7536&amp;"-Q"&amp;ROUNDUP(MONTH(B7536)/3,0)</f>
        <v>2017-Q1</v>
      </c>
    </row>
    <row r="7537" customFormat="false" ht="15" hidden="false" customHeight="false" outlineLevel="0" collapsed="false">
      <c r="A7537" s="0" t="s">
        <v>3821</v>
      </c>
      <c r="B7537" s="6" t="n">
        <v>42825</v>
      </c>
      <c r="C7537" s="7" t="s">
        <v>33</v>
      </c>
      <c r="D7537" s="7" t="s">
        <v>34</v>
      </c>
      <c r="E7537" s="7" t="s">
        <v>35</v>
      </c>
      <c r="F7537" s="0" t="n">
        <v>29.7</v>
      </c>
      <c r="G7537" s="0" t="n">
        <v>8.019</v>
      </c>
      <c r="H7537" s="0" t="n">
        <v>0</v>
      </c>
      <c r="I7537" s="7" t="n">
        <f aca="false">YEAR(B7537)</f>
        <v>2017</v>
      </c>
      <c r="J7537" s="0" t="str">
        <f aca="false">I7537&amp;"-Q"&amp;ROUNDUP(MONTH(B7537)/3,0)</f>
        <v>2017-Q1</v>
      </c>
    </row>
    <row r="7538" customFormat="false" ht="15" hidden="false" customHeight="false" outlineLevel="0" collapsed="false">
      <c r="A7538" s="0" t="s">
        <v>3822</v>
      </c>
      <c r="B7538" s="6" t="n">
        <v>43072</v>
      </c>
      <c r="C7538" s="7" t="s">
        <v>45</v>
      </c>
      <c r="D7538" s="7" t="s">
        <v>46</v>
      </c>
      <c r="E7538" s="7" t="s">
        <v>31</v>
      </c>
      <c r="F7538" s="0" t="n">
        <v>13.592</v>
      </c>
      <c r="G7538" s="0" t="n">
        <v>-14.2716</v>
      </c>
      <c r="H7538" s="0" t="n">
        <v>0.6</v>
      </c>
      <c r="I7538" s="7" t="n">
        <f aca="false">YEAR(B7538)</f>
        <v>2017</v>
      </c>
      <c r="J7538" s="0" t="str">
        <f aca="false">I7538&amp;"-Q"&amp;ROUNDUP(MONTH(B7538)/3,0)</f>
        <v>2017-Q4</v>
      </c>
    </row>
    <row r="7539" customFormat="false" ht="15" hidden="false" customHeight="false" outlineLevel="0" collapsed="false">
      <c r="A7539" s="0" t="s">
        <v>3823</v>
      </c>
      <c r="B7539" s="6" t="n">
        <v>42419</v>
      </c>
      <c r="C7539" s="7" t="s">
        <v>33</v>
      </c>
      <c r="D7539" s="7" t="s">
        <v>34</v>
      </c>
      <c r="E7539" s="7" t="s">
        <v>35</v>
      </c>
      <c r="F7539" s="0" t="n">
        <v>70.88</v>
      </c>
      <c r="G7539" s="0" t="n">
        <v>33.3136</v>
      </c>
      <c r="H7539" s="0" t="n">
        <v>0</v>
      </c>
      <c r="I7539" s="7" t="n">
        <f aca="false">YEAR(B7539)</f>
        <v>2016</v>
      </c>
      <c r="J7539" s="0" t="str">
        <f aca="false">I7539&amp;"-Q"&amp;ROUNDUP(MONTH(B7539)/3,0)</f>
        <v>2016-Q1</v>
      </c>
    </row>
    <row r="7540" customFormat="false" ht="15" hidden="false" customHeight="false" outlineLevel="0" collapsed="false">
      <c r="A7540" s="0" t="s">
        <v>3824</v>
      </c>
      <c r="B7540" s="6" t="n">
        <v>43071</v>
      </c>
      <c r="C7540" s="7" t="s">
        <v>33</v>
      </c>
      <c r="D7540" s="7" t="s">
        <v>109</v>
      </c>
      <c r="E7540" s="7" t="s">
        <v>35</v>
      </c>
      <c r="F7540" s="0" t="n">
        <v>114.288</v>
      </c>
      <c r="G7540" s="0" t="n">
        <v>12.8574</v>
      </c>
      <c r="H7540" s="0" t="n">
        <v>0.2</v>
      </c>
      <c r="I7540" s="7" t="n">
        <f aca="false">YEAR(B7540)</f>
        <v>2017</v>
      </c>
      <c r="J7540" s="0" t="str">
        <f aca="false">I7540&amp;"-Q"&amp;ROUNDUP(MONTH(B7540)/3,0)</f>
        <v>2017-Q4</v>
      </c>
    </row>
    <row r="7541" customFormat="false" ht="15" hidden="false" customHeight="false" outlineLevel="0" collapsed="false">
      <c r="A7541" s="0" t="s">
        <v>3824</v>
      </c>
      <c r="B7541" s="6" t="n">
        <v>43071</v>
      </c>
      <c r="C7541" s="7" t="s">
        <v>33</v>
      </c>
      <c r="D7541" s="7" t="s">
        <v>109</v>
      </c>
      <c r="E7541" s="7" t="s">
        <v>35</v>
      </c>
      <c r="F7541" s="0" t="n">
        <v>36.624</v>
      </c>
      <c r="G7541" s="0" t="n">
        <v>-24.416</v>
      </c>
      <c r="H7541" s="0" t="n">
        <v>0.7</v>
      </c>
      <c r="I7541" s="7" t="n">
        <f aca="false">YEAR(B7541)</f>
        <v>2017</v>
      </c>
      <c r="J7541" s="0" t="str">
        <f aca="false">I7541&amp;"-Q"&amp;ROUNDUP(MONTH(B7541)/3,0)</f>
        <v>2017-Q4</v>
      </c>
    </row>
    <row r="7542" customFormat="false" ht="15" hidden="false" customHeight="false" outlineLevel="0" collapsed="false">
      <c r="A7542" s="0" t="s">
        <v>3824</v>
      </c>
      <c r="B7542" s="6" t="n">
        <v>43071</v>
      </c>
      <c r="C7542" s="7" t="s">
        <v>33</v>
      </c>
      <c r="D7542" s="7" t="s">
        <v>109</v>
      </c>
      <c r="E7542" s="7" t="s">
        <v>31</v>
      </c>
      <c r="F7542" s="0" t="n">
        <v>242.352</v>
      </c>
      <c r="G7542" s="0" t="n">
        <v>-363.528</v>
      </c>
      <c r="H7542" s="0" t="n">
        <v>0.7</v>
      </c>
      <c r="I7542" s="7" t="n">
        <f aca="false">YEAR(B7542)</f>
        <v>2017</v>
      </c>
      <c r="J7542" s="0" t="str">
        <f aca="false">I7542&amp;"-Q"&amp;ROUNDUP(MONTH(B7542)/3,0)</f>
        <v>2017-Q4</v>
      </c>
    </row>
    <row r="7543" customFormat="false" ht="15" hidden="false" customHeight="false" outlineLevel="0" collapsed="false">
      <c r="A7543" s="0" t="s">
        <v>3824</v>
      </c>
      <c r="B7543" s="6" t="n">
        <v>43071</v>
      </c>
      <c r="C7543" s="7" t="s">
        <v>33</v>
      </c>
      <c r="D7543" s="7" t="s">
        <v>109</v>
      </c>
      <c r="E7543" s="7" t="s">
        <v>39</v>
      </c>
      <c r="F7543" s="0" t="n">
        <v>49.616</v>
      </c>
      <c r="G7543" s="0" t="n">
        <v>4.9616</v>
      </c>
      <c r="H7543" s="0" t="n">
        <v>0.2</v>
      </c>
      <c r="I7543" s="7" t="n">
        <f aca="false">YEAR(B7543)</f>
        <v>2017</v>
      </c>
      <c r="J7543" s="0" t="str">
        <f aca="false">I7543&amp;"-Q"&amp;ROUNDUP(MONTH(B7543)/3,0)</f>
        <v>2017-Q4</v>
      </c>
    </row>
    <row r="7544" customFormat="false" ht="15" hidden="false" customHeight="false" outlineLevel="0" collapsed="false">
      <c r="A7544" s="0" t="s">
        <v>3824</v>
      </c>
      <c r="B7544" s="6" t="n">
        <v>43071</v>
      </c>
      <c r="C7544" s="7" t="s">
        <v>33</v>
      </c>
      <c r="D7544" s="7" t="s">
        <v>109</v>
      </c>
      <c r="E7544" s="7" t="s">
        <v>31</v>
      </c>
      <c r="F7544" s="0" t="n">
        <v>508.704</v>
      </c>
      <c r="G7544" s="0" t="n">
        <v>0</v>
      </c>
      <c r="H7544" s="0" t="n">
        <v>0.2</v>
      </c>
      <c r="I7544" s="7" t="n">
        <f aca="false">YEAR(B7544)</f>
        <v>2017</v>
      </c>
      <c r="J7544" s="0" t="str">
        <f aca="false">I7544&amp;"-Q"&amp;ROUNDUP(MONTH(B7544)/3,0)</f>
        <v>2017-Q4</v>
      </c>
    </row>
    <row r="7545" customFormat="false" ht="15" hidden="false" customHeight="false" outlineLevel="0" collapsed="false">
      <c r="A7545" s="0" t="s">
        <v>3824</v>
      </c>
      <c r="B7545" s="6" t="n">
        <v>43071</v>
      </c>
      <c r="C7545" s="7" t="s">
        <v>33</v>
      </c>
      <c r="D7545" s="7" t="s">
        <v>109</v>
      </c>
      <c r="E7545" s="7" t="s">
        <v>39</v>
      </c>
      <c r="F7545" s="0" t="n">
        <v>57.36</v>
      </c>
      <c r="G7545" s="0" t="n">
        <v>-14.34</v>
      </c>
      <c r="H7545" s="0" t="n">
        <v>0.2</v>
      </c>
      <c r="I7545" s="7" t="n">
        <f aca="false">YEAR(B7545)</f>
        <v>2017</v>
      </c>
      <c r="J7545" s="0" t="str">
        <f aca="false">I7545&amp;"-Q"&amp;ROUNDUP(MONTH(B7545)/3,0)</f>
        <v>2017-Q4</v>
      </c>
    </row>
    <row r="7546" customFormat="false" ht="15" hidden="false" customHeight="false" outlineLevel="0" collapsed="false">
      <c r="A7546" s="0" t="s">
        <v>3824</v>
      </c>
      <c r="B7546" s="6" t="n">
        <v>43071</v>
      </c>
      <c r="C7546" s="7" t="s">
        <v>33</v>
      </c>
      <c r="D7546" s="7" t="s">
        <v>109</v>
      </c>
      <c r="E7546" s="7" t="s">
        <v>31</v>
      </c>
      <c r="F7546" s="0" t="n">
        <v>906.68</v>
      </c>
      <c r="G7546" s="0" t="n">
        <v>68.001</v>
      </c>
      <c r="H7546" s="0" t="n">
        <v>0.2</v>
      </c>
      <c r="I7546" s="7" t="n">
        <f aca="false">YEAR(B7546)</f>
        <v>2017</v>
      </c>
      <c r="J7546" s="0" t="str">
        <f aca="false">I7546&amp;"-Q"&amp;ROUNDUP(MONTH(B7546)/3,0)</f>
        <v>2017-Q4</v>
      </c>
    </row>
    <row r="7547" customFormat="false" ht="15" hidden="false" customHeight="false" outlineLevel="0" collapsed="false">
      <c r="A7547" s="0" t="s">
        <v>3825</v>
      </c>
      <c r="B7547" s="6" t="n">
        <v>41922</v>
      </c>
      <c r="C7547" s="7" t="s">
        <v>45</v>
      </c>
      <c r="D7547" s="7" t="s">
        <v>46</v>
      </c>
      <c r="E7547" s="7" t="s">
        <v>39</v>
      </c>
      <c r="F7547" s="0" t="n">
        <v>719.952</v>
      </c>
      <c r="G7547" s="0" t="n">
        <v>71.9952</v>
      </c>
      <c r="H7547" s="0" t="n">
        <v>0.2</v>
      </c>
      <c r="I7547" s="7" t="n">
        <f aca="false">YEAR(B7547)</f>
        <v>2014</v>
      </c>
      <c r="J7547" s="0" t="str">
        <f aca="false">I7547&amp;"-Q"&amp;ROUNDUP(MONTH(B7547)/3,0)</f>
        <v>2014-Q4</v>
      </c>
    </row>
    <row r="7548" customFormat="false" ht="15" hidden="false" customHeight="false" outlineLevel="0" collapsed="false">
      <c r="A7548" s="0" t="s">
        <v>3825</v>
      </c>
      <c r="B7548" s="6" t="n">
        <v>41922</v>
      </c>
      <c r="C7548" s="7" t="s">
        <v>45</v>
      </c>
      <c r="D7548" s="7" t="s">
        <v>46</v>
      </c>
      <c r="E7548" s="7" t="s">
        <v>39</v>
      </c>
      <c r="F7548" s="0" t="n">
        <v>755.944</v>
      </c>
      <c r="G7548" s="0" t="n">
        <v>66.1451</v>
      </c>
      <c r="H7548" s="0" t="n">
        <v>0.2</v>
      </c>
      <c r="I7548" s="7" t="n">
        <f aca="false">YEAR(B7548)</f>
        <v>2014</v>
      </c>
      <c r="J7548" s="0" t="str">
        <f aca="false">I7548&amp;"-Q"&amp;ROUNDUP(MONTH(B7548)/3,0)</f>
        <v>2014-Q4</v>
      </c>
    </row>
    <row r="7549" customFormat="false" ht="15" hidden="false" customHeight="false" outlineLevel="0" collapsed="false">
      <c r="A7549" s="0" t="s">
        <v>3825</v>
      </c>
      <c r="B7549" s="6" t="n">
        <v>41922</v>
      </c>
      <c r="C7549" s="7" t="s">
        <v>45</v>
      </c>
      <c r="D7549" s="7" t="s">
        <v>46</v>
      </c>
      <c r="E7549" s="7" t="s">
        <v>35</v>
      </c>
      <c r="F7549" s="0" t="n">
        <v>11.98</v>
      </c>
      <c r="G7549" s="0" t="n">
        <v>-19.168</v>
      </c>
      <c r="H7549" s="0" t="n">
        <v>0.8</v>
      </c>
      <c r="I7549" s="7" t="n">
        <f aca="false">YEAR(B7549)</f>
        <v>2014</v>
      </c>
      <c r="J7549" s="0" t="str">
        <f aca="false">I7549&amp;"-Q"&amp;ROUNDUP(MONTH(B7549)/3,0)</f>
        <v>2014-Q4</v>
      </c>
    </row>
    <row r="7550" customFormat="false" ht="15" hidden="false" customHeight="false" outlineLevel="0" collapsed="false">
      <c r="A7550" s="0" t="s">
        <v>3825</v>
      </c>
      <c r="B7550" s="6" t="n">
        <v>41922</v>
      </c>
      <c r="C7550" s="7" t="s">
        <v>45</v>
      </c>
      <c r="D7550" s="7" t="s">
        <v>46</v>
      </c>
      <c r="E7550" s="7" t="s">
        <v>35</v>
      </c>
      <c r="F7550" s="0" t="n">
        <v>0.898</v>
      </c>
      <c r="G7550" s="0" t="n">
        <v>-1.5715</v>
      </c>
      <c r="H7550" s="0" t="n">
        <v>0.8</v>
      </c>
      <c r="I7550" s="7" t="n">
        <f aca="false">YEAR(B7550)</f>
        <v>2014</v>
      </c>
      <c r="J7550" s="0" t="str">
        <f aca="false">I7550&amp;"-Q"&amp;ROUNDUP(MONTH(B7550)/3,0)</f>
        <v>2014-Q4</v>
      </c>
    </row>
    <row r="7551" customFormat="false" ht="15" hidden="false" customHeight="false" outlineLevel="0" collapsed="false">
      <c r="A7551" s="0" t="s">
        <v>3826</v>
      </c>
      <c r="B7551" s="6" t="n">
        <v>42618</v>
      </c>
      <c r="C7551" s="7" t="s">
        <v>45</v>
      </c>
      <c r="D7551" s="7" t="s">
        <v>46</v>
      </c>
      <c r="E7551" s="7" t="s">
        <v>31</v>
      </c>
      <c r="F7551" s="0" t="n">
        <v>21.204</v>
      </c>
      <c r="G7551" s="0" t="n">
        <v>-11.6622</v>
      </c>
      <c r="H7551" s="0" t="n">
        <v>0.6</v>
      </c>
      <c r="I7551" s="7" t="n">
        <f aca="false">YEAR(B7551)</f>
        <v>2016</v>
      </c>
      <c r="J7551" s="0" t="str">
        <f aca="false">I7551&amp;"-Q"&amp;ROUNDUP(MONTH(B7551)/3,0)</f>
        <v>2016-Q3</v>
      </c>
    </row>
    <row r="7552" customFormat="false" ht="15" hidden="false" customHeight="false" outlineLevel="0" collapsed="false">
      <c r="A7552" s="0" t="s">
        <v>3827</v>
      </c>
      <c r="B7552" s="6" t="n">
        <v>41963</v>
      </c>
      <c r="C7552" s="7" t="s">
        <v>55</v>
      </c>
      <c r="D7552" s="7" t="s">
        <v>76</v>
      </c>
      <c r="E7552" s="7" t="s">
        <v>35</v>
      </c>
      <c r="F7552" s="0" t="n">
        <v>34.74</v>
      </c>
      <c r="G7552" s="0" t="n">
        <v>17.37</v>
      </c>
      <c r="H7552" s="0" t="n">
        <v>0</v>
      </c>
      <c r="I7552" s="7" t="n">
        <f aca="false">YEAR(B7552)</f>
        <v>2014</v>
      </c>
      <c r="J7552" s="0" t="str">
        <f aca="false">I7552&amp;"-Q"&amp;ROUNDUP(MONTH(B7552)/3,0)</f>
        <v>2014-Q4</v>
      </c>
    </row>
    <row r="7553" customFormat="false" ht="15" hidden="false" customHeight="false" outlineLevel="0" collapsed="false">
      <c r="A7553" s="0" t="s">
        <v>3827</v>
      </c>
      <c r="B7553" s="6" t="n">
        <v>41963</v>
      </c>
      <c r="C7553" s="7" t="s">
        <v>55</v>
      </c>
      <c r="D7553" s="7" t="s">
        <v>76</v>
      </c>
      <c r="E7553" s="7" t="s">
        <v>39</v>
      </c>
      <c r="F7553" s="0" t="n">
        <v>833.94</v>
      </c>
      <c r="G7553" s="0" t="n">
        <v>216.8244</v>
      </c>
      <c r="H7553" s="0" t="n">
        <v>0</v>
      </c>
      <c r="I7553" s="7" t="n">
        <f aca="false">YEAR(B7553)</f>
        <v>2014</v>
      </c>
      <c r="J7553" s="0" t="str">
        <f aca="false">I7553&amp;"-Q"&amp;ROUNDUP(MONTH(B7553)/3,0)</f>
        <v>2014-Q4</v>
      </c>
    </row>
    <row r="7554" customFormat="false" ht="15" hidden="false" customHeight="false" outlineLevel="0" collapsed="false">
      <c r="A7554" s="0" t="s">
        <v>3827</v>
      </c>
      <c r="B7554" s="6" t="n">
        <v>41963</v>
      </c>
      <c r="C7554" s="7" t="s">
        <v>55</v>
      </c>
      <c r="D7554" s="7" t="s">
        <v>76</v>
      </c>
      <c r="E7554" s="7" t="s">
        <v>35</v>
      </c>
      <c r="F7554" s="0" t="n">
        <v>12.96</v>
      </c>
      <c r="G7554" s="0" t="n">
        <v>4.536</v>
      </c>
      <c r="H7554" s="0" t="n">
        <v>0.2</v>
      </c>
      <c r="I7554" s="7" t="n">
        <f aca="false">YEAR(B7554)</f>
        <v>2014</v>
      </c>
      <c r="J7554" s="0" t="str">
        <f aca="false">I7554&amp;"-Q"&amp;ROUNDUP(MONTH(B7554)/3,0)</f>
        <v>2014-Q4</v>
      </c>
    </row>
    <row r="7555" customFormat="false" ht="15" hidden="false" customHeight="false" outlineLevel="0" collapsed="false">
      <c r="A7555" s="0" t="s">
        <v>3827</v>
      </c>
      <c r="B7555" s="6" t="n">
        <v>41963</v>
      </c>
      <c r="C7555" s="7" t="s">
        <v>55</v>
      </c>
      <c r="D7555" s="7" t="s">
        <v>76</v>
      </c>
      <c r="E7555" s="7" t="s">
        <v>35</v>
      </c>
      <c r="F7555" s="0" t="n">
        <v>25.92</v>
      </c>
      <c r="G7555" s="0" t="n">
        <v>12.4416</v>
      </c>
      <c r="H7555" s="0" t="n">
        <v>0</v>
      </c>
      <c r="I7555" s="7" t="n">
        <f aca="false">YEAR(B7555)</f>
        <v>2014</v>
      </c>
      <c r="J7555" s="0" t="str">
        <f aca="false">I7555&amp;"-Q"&amp;ROUNDUP(MONTH(B7555)/3,0)</f>
        <v>2014-Q4</v>
      </c>
    </row>
    <row r="7556" customFormat="false" ht="15" hidden="false" customHeight="false" outlineLevel="0" collapsed="false">
      <c r="A7556" s="0" t="s">
        <v>3828</v>
      </c>
      <c r="B7556" s="6" t="n">
        <v>41769</v>
      </c>
      <c r="C7556" s="7" t="s">
        <v>55</v>
      </c>
      <c r="D7556" s="7" t="s">
        <v>56</v>
      </c>
      <c r="E7556" s="7" t="s">
        <v>31</v>
      </c>
      <c r="F7556" s="0" t="n">
        <v>349.965</v>
      </c>
      <c r="G7556" s="0" t="n">
        <v>-216.9783</v>
      </c>
      <c r="H7556" s="0" t="n">
        <v>0.5</v>
      </c>
      <c r="I7556" s="7" t="n">
        <f aca="false">YEAR(B7556)</f>
        <v>2014</v>
      </c>
      <c r="J7556" s="0" t="str">
        <f aca="false">I7556&amp;"-Q"&amp;ROUNDUP(MONTH(B7556)/3,0)</f>
        <v>2014-Q2</v>
      </c>
    </row>
    <row r="7557" customFormat="false" ht="15" hidden="false" customHeight="false" outlineLevel="0" collapsed="false">
      <c r="A7557" s="0" t="s">
        <v>3828</v>
      </c>
      <c r="B7557" s="6" t="n">
        <v>41769</v>
      </c>
      <c r="C7557" s="7" t="s">
        <v>55</v>
      </c>
      <c r="D7557" s="7" t="s">
        <v>56</v>
      </c>
      <c r="E7557" s="7" t="s">
        <v>35</v>
      </c>
      <c r="F7557" s="0" t="n">
        <v>22.32</v>
      </c>
      <c r="G7557" s="0" t="n">
        <v>5.301</v>
      </c>
      <c r="H7557" s="0" t="n">
        <v>0.2</v>
      </c>
      <c r="I7557" s="7" t="n">
        <f aca="false">YEAR(B7557)</f>
        <v>2014</v>
      </c>
      <c r="J7557" s="0" t="str">
        <f aca="false">I7557&amp;"-Q"&amp;ROUNDUP(MONTH(B7557)/3,0)</f>
        <v>2014-Q2</v>
      </c>
    </row>
    <row r="7558" customFormat="false" ht="15" hidden="false" customHeight="false" outlineLevel="0" collapsed="false">
      <c r="A7558" s="0" t="s">
        <v>3829</v>
      </c>
      <c r="B7558" s="6" t="n">
        <v>43066</v>
      </c>
      <c r="C7558" s="7" t="s">
        <v>45</v>
      </c>
      <c r="D7558" s="7" t="s">
        <v>74</v>
      </c>
      <c r="E7558" s="7" t="s">
        <v>35</v>
      </c>
      <c r="F7558" s="0" t="n">
        <v>158.28</v>
      </c>
      <c r="G7558" s="0" t="n">
        <v>72.8088</v>
      </c>
      <c r="H7558" s="0" t="n">
        <v>0</v>
      </c>
      <c r="I7558" s="7" t="n">
        <f aca="false">YEAR(B7558)</f>
        <v>2017</v>
      </c>
      <c r="J7558" s="0" t="str">
        <f aca="false">I7558&amp;"-Q"&amp;ROUNDUP(MONTH(B7558)/3,0)</f>
        <v>2017-Q4</v>
      </c>
    </row>
    <row r="7559" customFormat="false" ht="15" hidden="false" customHeight="false" outlineLevel="0" collapsed="false">
      <c r="A7559" s="0" t="s">
        <v>3829</v>
      </c>
      <c r="B7559" s="6" t="n">
        <v>43066</v>
      </c>
      <c r="C7559" s="7" t="s">
        <v>45</v>
      </c>
      <c r="D7559" s="7" t="s">
        <v>74</v>
      </c>
      <c r="E7559" s="7" t="s">
        <v>35</v>
      </c>
      <c r="F7559" s="0" t="n">
        <v>497.94</v>
      </c>
      <c r="G7559" s="0" t="n">
        <v>224.073</v>
      </c>
      <c r="H7559" s="0" t="n">
        <v>0</v>
      </c>
      <c r="I7559" s="7" t="n">
        <f aca="false">YEAR(B7559)</f>
        <v>2017</v>
      </c>
      <c r="J7559" s="0" t="str">
        <f aca="false">I7559&amp;"-Q"&amp;ROUNDUP(MONTH(B7559)/3,0)</f>
        <v>2017-Q4</v>
      </c>
    </row>
    <row r="7560" customFormat="false" ht="15" hidden="false" customHeight="false" outlineLevel="0" collapsed="false">
      <c r="A7560" s="0" t="s">
        <v>3830</v>
      </c>
      <c r="B7560" s="6" t="n">
        <v>41944</v>
      </c>
      <c r="C7560" s="7" t="s">
        <v>55</v>
      </c>
      <c r="D7560" s="7" t="s">
        <v>76</v>
      </c>
      <c r="E7560" s="7" t="s">
        <v>35</v>
      </c>
      <c r="F7560" s="0" t="n">
        <v>533.94</v>
      </c>
      <c r="G7560" s="0" t="n">
        <v>154.8426</v>
      </c>
      <c r="H7560" s="0" t="n">
        <v>0</v>
      </c>
      <c r="I7560" s="7" t="n">
        <f aca="false">YEAR(B7560)</f>
        <v>2014</v>
      </c>
      <c r="J7560" s="0" t="str">
        <f aca="false">I7560&amp;"-Q"&amp;ROUNDUP(MONTH(B7560)/3,0)</f>
        <v>2014-Q4</v>
      </c>
    </row>
    <row r="7561" customFormat="false" ht="15" hidden="false" customHeight="false" outlineLevel="0" collapsed="false">
      <c r="A7561" s="0" t="s">
        <v>3830</v>
      </c>
      <c r="B7561" s="6" t="n">
        <v>41944</v>
      </c>
      <c r="C7561" s="7" t="s">
        <v>55</v>
      </c>
      <c r="D7561" s="7" t="s">
        <v>76</v>
      </c>
      <c r="E7561" s="7" t="s">
        <v>35</v>
      </c>
      <c r="F7561" s="0" t="n">
        <v>167.94</v>
      </c>
      <c r="G7561" s="0" t="n">
        <v>82.2906</v>
      </c>
      <c r="H7561" s="0" t="n">
        <v>0</v>
      </c>
      <c r="I7561" s="7" t="n">
        <f aca="false">YEAR(B7561)</f>
        <v>2014</v>
      </c>
      <c r="J7561" s="0" t="str">
        <f aca="false">I7561&amp;"-Q"&amp;ROUNDUP(MONTH(B7561)/3,0)</f>
        <v>2014-Q4</v>
      </c>
    </row>
    <row r="7562" customFormat="false" ht="15" hidden="false" customHeight="false" outlineLevel="0" collapsed="false">
      <c r="A7562" s="0" t="s">
        <v>3830</v>
      </c>
      <c r="B7562" s="6" t="n">
        <v>41944</v>
      </c>
      <c r="C7562" s="7" t="s">
        <v>55</v>
      </c>
      <c r="D7562" s="7" t="s">
        <v>76</v>
      </c>
      <c r="E7562" s="7" t="s">
        <v>31</v>
      </c>
      <c r="F7562" s="0" t="n">
        <v>31.68</v>
      </c>
      <c r="G7562" s="0" t="n">
        <v>9.8208</v>
      </c>
      <c r="H7562" s="0" t="n">
        <v>0</v>
      </c>
      <c r="I7562" s="7" t="n">
        <f aca="false">YEAR(B7562)</f>
        <v>2014</v>
      </c>
      <c r="J7562" s="0" t="str">
        <f aca="false">I7562&amp;"-Q"&amp;ROUNDUP(MONTH(B7562)/3,0)</f>
        <v>2014-Q4</v>
      </c>
    </row>
    <row r="7563" customFormat="false" ht="15" hidden="false" customHeight="false" outlineLevel="0" collapsed="false">
      <c r="A7563" s="0" t="s">
        <v>3831</v>
      </c>
      <c r="B7563" s="6" t="n">
        <v>42734</v>
      </c>
      <c r="C7563" s="7" t="s">
        <v>55</v>
      </c>
      <c r="D7563" s="7" t="s">
        <v>56</v>
      </c>
      <c r="E7563" s="7" t="s">
        <v>31</v>
      </c>
      <c r="F7563" s="0" t="n">
        <v>170.786</v>
      </c>
      <c r="G7563" s="0" t="n">
        <v>0</v>
      </c>
      <c r="H7563" s="0" t="n">
        <v>0.3</v>
      </c>
      <c r="I7563" s="7" t="n">
        <f aca="false">YEAR(B7563)</f>
        <v>2016</v>
      </c>
      <c r="J7563" s="0" t="str">
        <f aca="false">I7563&amp;"-Q"&amp;ROUNDUP(MONTH(B7563)/3,0)</f>
        <v>2016-Q4</v>
      </c>
    </row>
    <row r="7564" customFormat="false" ht="15" hidden="false" customHeight="false" outlineLevel="0" collapsed="false">
      <c r="A7564" s="0" t="s">
        <v>3832</v>
      </c>
      <c r="B7564" s="6" t="n">
        <v>42616</v>
      </c>
      <c r="C7564" s="7" t="s">
        <v>45</v>
      </c>
      <c r="D7564" s="7" t="s">
        <v>64</v>
      </c>
      <c r="E7564" s="7" t="s">
        <v>31</v>
      </c>
      <c r="F7564" s="0" t="n">
        <v>198.744</v>
      </c>
      <c r="G7564" s="0" t="n">
        <v>0</v>
      </c>
      <c r="H7564" s="0" t="n">
        <v>0.3</v>
      </c>
      <c r="I7564" s="7" t="n">
        <f aca="false">YEAR(B7564)</f>
        <v>2016</v>
      </c>
      <c r="J7564" s="0" t="str">
        <f aca="false">I7564&amp;"-Q"&amp;ROUNDUP(MONTH(B7564)/3,0)</f>
        <v>2016-Q3</v>
      </c>
    </row>
    <row r="7565" customFormat="false" ht="15" hidden="false" customHeight="false" outlineLevel="0" collapsed="false">
      <c r="A7565" s="0" t="s">
        <v>3833</v>
      </c>
      <c r="B7565" s="6" t="n">
        <v>43013</v>
      </c>
      <c r="C7565" s="7" t="s">
        <v>33</v>
      </c>
      <c r="D7565" s="7" t="s">
        <v>109</v>
      </c>
      <c r="E7565" s="7" t="s">
        <v>39</v>
      </c>
      <c r="F7565" s="0" t="n">
        <v>63.824</v>
      </c>
      <c r="G7565" s="0" t="n">
        <v>13.5626</v>
      </c>
      <c r="H7565" s="0" t="n">
        <v>0.2</v>
      </c>
      <c r="I7565" s="7" t="n">
        <f aca="false">YEAR(B7565)</f>
        <v>2017</v>
      </c>
      <c r="J7565" s="0" t="str">
        <f aca="false">I7565&amp;"-Q"&amp;ROUNDUP(MONTH(B7565)/3,0)</f>
        <v>2017-Q4</v>
      </c>
    </row>
    <row r="7566" customFormat="false" ht="15" hidden="false" customHeight="false" outlineLevel="0" collapsed="false">
      <c r="A7566" s="0" t="s">
        <v>3834</v>
      </c>
      <c r="B7566" s="6" t="n">
        <v>42399</v>
      </c>
      <c r="C7566" s="7" t="s">
        <v>33</v>
      </c>
      <c r="D7566" s="7" t="s">
        <v>43</v>
      </c>
      <c r="E7566" s="7" t="s">
        <v>31</v>
      </c>
      <c r="F7566" s="0" t="n">
        <v>435.168</v>
      </c>
      <c r="G7566" s="0" t="n">
        <v>-59.8356</v>
      </c>
      <c r="H7566" s="0" t="n">
        <v>0.2</v>
      </c>
      <c r="I7566" s="7" t="n">
        <f aca="false">YEAR(B7566)</f>
        <v>2016</v>
      </c>
      <c r="J7566" s="0" t="str">
        <f aca="false">I7566&amp;"-Q"&amp;ROUNDUP(MONTH(B7566)/3,0)</f>
        <v>2016-Q1</v>
      </c>
    </row>
    <row r="7567" customFormat="false" ht="15" hidden="false" customHeight="false" outlineLevel="0" collapsed="false">
      <c r="A7567" s="0" t="s">
        <v>3834</v>
      </c>
      <c r="B7567" s="6" t="n">
        <v>42399</v>
      </c>
      <c r="C7567" s="7" t="s">
        <v>33</v>
      </c>
      <c r="D7567" s="7" t="s">
        <v>43</v>
      </c>
      <c r="E7567" s="7" t="s">
        <v>31</v>
      </c>
      <c r="F7567" s="0" t="n">
        <v>48.58</v>
      </c>
      <c r="G7567" s="0" t="n">
        <v>7.7728</v>
      </c>
      <c r="H7567" s="0" t="n">
        <v>0</v>
      </c>
      <c r="I7567" s="7" t="n">
        <f aca="false">YEAR(B7567)</f>
        <v>2016</v>
      </c>
      <c r="J7567" s="0" t="str">
        <f aca="false">I7567&amp;"-Q"&amp;ROUNDUP(MONTH(B7567)/3,0)</f>
        <v>2016-Q1</v>
      </c>
    </row>
    <row r="7568" customFormat="false" ht="15" hidden="false" customHeight="false" outlineLevel="0" collapsed="false">
      <c r="A7568" s="0" t="s">
        <v>3835</v>
      </c>
      <c r="B7568" s="6" t="n">
        <v>42846</v>
      </c>
      <c r="C7568" s="7" t="s">
        <v>45</v>
      </c>
      <c r="D7568" s="7" t="s">
        <v>46</v>
      </c>
      <c r="E7568" s="7" t="s">
        <v>39</v>
      </c>
      <c r="F7568" s="0" t="n">
        <v>47.976</v>
      </c>
      <c r="G7568" s="0" t="n">
        <v>8.3958</v>
      </c>
      <c r="H7568" s="0" t="n">
        <v>0.2</v>
      </c>
      <c r="I7568" s="7" t="n">
        <f aca="false">YEAR(B7568)</f>
        <v>2017</v>
      </c>
      <c r="J7568" s="0" t="str">
        <f aca="false">I7568&amp;"-Q"&amp;ROUNDUP(MONTH(B7568)/3,0)</f>
        <v>2017-Q2</v>
      </c>
    </row>
    <row r="7569" customFormat="false" ht="15" hidden="false" customHeight="false" outlineLevel="0" collapsed="false">
      <c r="A7569" s="0" t="s">
        <v>3835</v>
      </c>
      <c r="B7569" s="6" t="n">
        <v>42846</v>
      </c>
      <c r="C7569" s="7" t="s">
        <v>45</v>
      </c>
      <c r="D7569" s="7" t="s">
        <v>46</v>
      </c>
      <c r="E7569" s="7" t="s">
        <v>35</v>
      </c>
      <c r="F7569" s="0" t="n">
        <v>20.736</v>
      </c>
      <c r="G7569" s="0" t="n">
        <v>7.2576</v>
      </c>
      <c r="H7569" s="0" t="n">
        <v>0.2</v>
      </c>
      <c r="I7569" s="7" t="n">
        <f aca="false">YEAR(B7569)</f>
        <v>2017</v>
      </c>
      <c r="J7569" s="0" t="str">
        <f aca="false">I7569&amp;"-Q"&amp;ROUNDUP(MONTH(B7569)/3,0)</f>
        <v>2017-Q2</v>
      </c>
    </row>
    <row r="7570" customFormat="false" ht="15" hidden="false" customHeight="false" outlineLevel="0" collapsed="false">
      <c r="A7570" s="0" t="s">
        <v>3836</v>
      </c>
      <c r="B7570" s="6" t="n">
        <v>41978</v>
      </c>
      <c r="C7570" s="7" t="s">
        <v>33</v>
      </c>
      <c r="D7570" s="7" t="s">
        <v>34</v>
      </c>
      <c r="E7570" s="7" t="s">
        <v>35</v>
      </c>
      <c r="F7570" s="0" t="n">
        <v>26.46</v>
      </c>
      <c r="G7570" s="0" t="n">
        <v>11.907</v>
      </c>
      <c r="H7570" s="0" t="n">
        <v>0</v>
      </c>
      <c r="I7570" s="7" t="n">
        <f aca="false">YEAR(B7570)</f>
        <v>2014</v>
      </c>
      <c r="J7570" s="0" t="str">
        <f aca="false">I7570&amp;"-Q"&amp;ROUNDUP(MONTH(B7570)/3,0)</f>
        <v>2014-Q4</v>
      </c>
    </row>
    <row r="7571" customFormat="false" ht="15" hidden="false" customHeight="false" outlineLevel="0" collapsed="false">
      <c r="A7571" s="0" t="s">
        <v>3836</v>
      </c>
      <c r="B7571" s="6" t="n">
        <v>41978</v>
      </c>
      <c r="C7571" s="7" t="s">
        <v>33</v>
      </c>
      <c r="D7571" s="7" t="s">
        <v>34</v>
      </c>
      <c r="E7571" s="7" t="s">
        <v>35</v>
      </c>
      <c r="F7571" s="0" t="n">
        <v>49.12</v>
      </c>
      <c r="G7571" s="0" t="n">
        <v>23.0864</v>
      </c>
      <c r="H7571" s="0" t="n">
        <v>0</v>
      </c>
      <c r="I7571" s="7" t="n">
        <f aca="false">YEAR(B7571)</f>
        <v>2014</v>
      </c>
      <c r="J7571" s="0" t="str">
        <f aca="false">I7571&amp;"-Q"&amp;ROUNDUP(MONTH(B7571)/3,0)</f>
        <v>2014-Q4</v>
      </c>
    </row>
    <row r="7572" customFormat="false" ht="15" hidden="false" customHeight="false" outlineLevel="0" collapsed="false">
      <c r="A7572" s="0" t="s">
        <v>3836</v>
      </c>
      <c r="B7572" s="6" t="n">
        <v>41978</v>
      </c>
      <c r="C7572" s="7" t="s">
        <v>33</v>
      </c>
      <c r="D7572" s="7" t="s">
        <v>34</v>
      </c>
      <c r="E7572" s="7" t="s">
        <v>35</v>
      </c>
      <c r="F7572" s="0" t="n">
        <v>15</v>
      </c>
      <c r="G7572" s="0" t="n">
        <v>7.2</v>
      </c>
      <c r="H7572" s="0" t="n">
        <v>0</v>
      </c>
      <c r="I7572" s="7" t="n">
        <f aca="false">YEAR(B7572)</f>
        <v>2014</v>
      </c>
      <c r="J7572" s="0" t="str">
        <f aca="false">I7572&amp;"-Q"&amp;ROUNDUP(MONTH(B7572)/3,0)</f>
        <v>2014-Q4</v>
      </c>
    </row>
    <row r="7573" customFormat="false" ht="15" hidden="false" customHeight="false" outlineLevel="0" collapsed="false">
      <c r="A7573" s="0" t="s">
        <v>3837</v>
      </c>
      <c r="B7573" s="6" t="n">
        <v>41933</v>
      </c>
      <c r="C7573" s="7" t="s">
        <v>29</v>
      </c>
      <c r="D7573" s="7" t="s">
        <v>83</v>
      </c>
      <c r="E7573" s="7" t="s">
        <v>35</v>
      </c>
      <c r="F7573" s="0" t="n">
        <v>194.7</v>
      </c>
      <c r="G7573" s="0" t="n">
        <v>9.735</v>
      </c>
      <c r="H7573" s="0" t="n">
        <v>0</v>
      </c>
      <c r="I7573" s="7" t="n">
        <f aca="false">YEAR(B7573)</f>
        <v>2014</v>
      </c>
      <c r="J7573" s="0" t="str">
        <f aca="false">I7573&amp;"-Q"&amp;ROUNDUP(MONTH(B7573)/3,0)</f>
        <v>2014-Q4</v>
      </c>
    </row>
    <row r="7574" customFormat="false" ht="15" hidden="false" customHeight="false" outlineLevel="0" collapsed="false">
      <c r="A7574" s="0" t="s">
        <v>3837</v>
      </c>
      <c r="B7574" s="6" t="n">
        <v>41933</v>
      </c>
      <c r="C7574" s="7" t="s">
        <v>29</v>
      </c>
      <c r="D7574" s="7" t="s">
        <v>83</v>
      </c>
      <c r="E7574" s="7" t="s">
        <v>31</v>
      </c>
      <c r="F7574" s="0" t="n">
        <v>591.32</v>
      </c>
      <c r="G7574" s="0" t="n">
        <v>112.3508</v>
      </c>
      <c r="H7574" s="0" t="n">
        <v>0</v>
      </c>
      <c r="I7574" s="7" t="n">
        <f aca="false">YEAR(B7574)</f>
        <v>2014</v>
      </c>
      <c r="J7574" s="0" t="str">
        <f aca="false">I7574&amp;"-Q"&amp;ROUNDUP(MONTH(B7574)/3,0)</f>
        <v>2014-Q4</v>
      </c>
    </row>
    <row r="7575" customFormat="false" ht="15" hidden="false" customHeight="false" outlineLevel="0" collapsed="false">
      <c r="A7575" s="0" t="s">
        <v>3837</v>
      </c>
      <c r="B7575" s="6" t="n">
        <v>41933</v>
      </c>
      <c r="C7575" s="7" t="s">
        <v>29</v>
      </c>
      <c r="D7575" s="7" t="s">
        <v>83</v>
      </c>
      <c r="E7575" s="7" t="s">
        <v>35</v>
      </c>
      <c r="F7575" s="0" t="n">
        <v>2.84</v>
      </c>
      <c r="G7575" s="0" t="n">
        <v>0.8804</v>
      </c>
      <c r="H7575" s="0" t="n">
        <v>0</v>
      </c>
      <c r="I7575" s="7" t="n">
        <f aca="false">YEAR(B7575)</f>
        <v>2014</v>
      </c>
      <c r="J7575" s="0" t="str">
        <f aca="false">I7575&amp;"-Q"&amp;ROUNDUP(MONTH(B7575)/3,0)</f>
        <v>2014-Q4</v>
      </c>
    </row>
    <row r="7576" customFormat="false" ht="15" hidden="false" customHeight="false" outlineLevel="0" collapsed="false">
      <c r="A7576" s="0" t="s">
        <v>3838</v>
      </c>
      <c r="B7576" s="6" t="n">
        <v>42346</v>
      </c>
      <c r="C7576" s="7" t="s">
        <v>33</v>
      </c>
      <c r="D7576" s="7" t="s">
        <v>34</v>
      </c>
      <c r="E7576" s="7" t="s">
        <v>35</v>
      </c>
      <c r="F7576" s="0" t="n">
        <v>221.96</v>
      </c>
      <c r="G7576" s="0" t="n">
        <v>4.4392</v>
      </c>
      <c r="H7576" s="0" t="n">
        <v>0</v>
      </c>
      <c r="I7576" s="7" t="n">
        <f aca="false">YEAR(B7576)</f>
        <v>2015</v>
      </c>
      <c r="J7576" s="0" t="str">
        <f aca="false">I7576&amp;"-Q"&amp;ROUNDUP(MONTH(B7576)/3,0)</f>
        <v>2015-Q4</v>
      </c>
    </row>
    <row r="7577" customFormat="false" ht="15" hidden="false" customHeight="false" outlineLevel="0" collapsed="false">
      <c r="A7577" s="0" t="s">
        <v>3838</v>
      </c>
      <c r="B7577" s="6" t="n">
        <v>42346</v>
      </c>
      <c r="C7577" s="7" t="s">
        <v>33</v>
      </c>
      <c r="D7577" s="7" t="s">
        <v>34</v>
      </c>
      <c r="E7577" s="7" t="s">
        <v>39</v>
      </c>
      <c r="F7577" s="0" t="n">
        <v>236</v>
      </c>
      <c r="G7577" s="0" t="n">
        <v>40.12</v>
      </c>
      <c r="H7577" s="0" t="n">
        <v>0</v>
      </c>
      <c r="I7577" s="7" t="n">
        <f aca="false">YEAR(B7577)</f>
        <v>2015</v>
      </c>
      <c r="J7577" s="0" t="str">
        <f aca="false">I7577&amp;"-Q"&amp;ROUNDUP(MONTH(B7577)/3,0)</f>
        <v>2015-Q4</v>
      </c>
    </row>
    <row r="7578" customFormat="false" ht="15" hidden="false" customHeight="false" outlineLevel="0" collapsed="false">
      <c r="A7578" s="0" t="s">
        <v>3839</v>
      </c>
      <c r="B7578" s="6" t="n">
        <v>41945</v>
      </c>
      <c r="C7578" s="7" t="s">
        <v>33</v>
      </c>
      <c r="D7578" s="7" t="s">
        <v>43</v>
      </c>
      <c r="E7578" s="7" t="s">
        <v>39</v>
      </c>
      <c r="F7578" s="0" t="n">
        <v>41.94</v>
      </c>
      <c r="G7578" s="0" t="n">
        <v>15.0984</v>
      </c>
      <c r="H7578" s="0" t="n">
        <v>0</v>
      </c>
      <c r="I7578" s="7" t="n">
        <f aca="false">YEAR(B7578)</f>
        <v>2014</v>
      </c>
      <c r="J7578" s="0" t="str">
        <f aca="false">I7578&amp;"-Q"&amp;ROUNDUP(MONTH(B7578)/3,0)</f>
        <v>2014-Q4</v>
      </c>
    </row>
    <row r="7579" customFormat="false" ht="15" hidden="false" customHeight="false" outlineLevel="0" collapsed="false">
      <c r="A7579" s="0" t="s">
        <v>3839</v>
      </c>
      <c r="B7579" s="6" t="n">
        <v>41945</v>
      </c>
      <c r="C7579" s="7" t="s">
        <v>33</v>
      </c>
      <c r="D7579" s="7" t="s">
        <v>43</v>
      </c>
      <c r="E7579" s="7" t="s">
        <v>39</v>
      </c>
      <c r="F7579" s="0" t="n">
        <v>52.792</v>
      </c>
      <c r="G7579" s="0" t="n">
        <v>4.6193</v>
      </c>
      <c r="H7579" s="0" t="n">
        <v>0.2</v>
      </c>
      <c r="I7579" s="7" t="n">
        <f aca="false">YEAR(B7579)</f>
        <v>2014</v>
      </c>
      <c r="J7579" s="0" t="str">
        <f aca="false">I7579&amp;"-Q"&amp;ROUNDUP(MONTH(B7579)/3,0)</f>
        <v>2014-Q4</v>
      </c>
    </row>
    <row r="7580" customFormat="false" ht="15" hidden="false" customHeight="false" outlineLevel="0" collapsed="false">
      <c r="A7580" s="0" t="s">
        <v>3840</v>
      </c>
      <c r="B7580" s="6" t="n">
        <v>42722</v>
      </c>
      <c r="C7580" s="7" t="s">
        <v>45</v>
      </c>
      <c r="D7580" s="7" t="s">
        <v>53</v>
      </c>
      <c r="E7580" s="7" t="s">
        <v>31</v>
      </c>
      <c r="F7580" s="0" t="n">
        <v>563.94</v>
      </c>
      <c r="G7580" s="0" t="n">
        <v>112.788</v>
      </c>
      <c r="H7580" s="0" t="n">
        <v>0</v>
      </c>
      <c r="I7580" s="7" t="n">
        <f aca="false">YEAR(B7580)</f>
        <v>2016</v>
      </c>
      <c r="J7580" s="0" t="str">
        <f aca="false">I7580&amp;"-Q"&amp;ROUNDUP(MONTH(B7580)/3,0)</f>
        <v>2016-Q4</v>
      </c>
    </row>
    <row r="7581" customFormat="false" ht="15" hidden="false" customHeight="false" outlineLevel="0" collapsed="false">
      <c r="A7581" s="0" t="s">
        <v>3841</v>
      </c>
      <c r="B7581" s="6" t="n">
        <v>42331</v>
      </c>
      <c r="C7581" s="7" t="s">
        <v>55</v>
      </c>
      <c r="D7581" s="7" t="s">
        <v>161</v>
      </c>
      <c r="E7581" s="7" t="s">
        <v>35</v>
      </c>
      <c r="F7581" s="0" t="n">
        <v>2625.12</v>
      </c>
      <c r="G7581" s="0" t="n">
        <v>735.0336</v>
      </c>
      <c r="H7581" s="0" t="n">
        <v>0</v>
      </c>
      <c r="I7581" s="7" t="n">
        <f aca="false">YEAR(B7581)</f>
        <v>2015</v>
      </c>
      <c r="J7581" s="0" t="str">
        <f aca="false">I7581&amp;"-Q"&amp;ROUNDUP(MONTH(B7581)/3,0)</f>
        <v>2015-Q4</v>
      </c>
    </row>
    <row r="7582" customFormat="false" ht="15" hidden="false" customHeight="false" outlineLevel="0" collapsed="false">
      <c r="A7582" s="0" t="s">
        <v>3841</v>
      </c>
      <c r="B7582" s="6" t="n">
        <v>42331</v>
      </c>
      <c r="C7582" s="7" t="s">
        <v>55</v>
      </c>
      <c r="D7582" s="7" t="s">
        <v>161</v>
      </c>
      <c r="E7582" s="7" t="s">
        <v>35</v>
      </c>
      <c r="F7582" s="0" t="n">
        <v>17.94</v>
      </c>
      <c r="G7582" s="0" t="n">
        <v>4.485</v>
      </c>
      <c r="H7582" s="0" t="n">
        <v>0</v>
      </c>
      <c r="I7582" s="7" t="n">
        <f aca="false">YEAR(B7582)</f>
        <v>2015</v>
      </c>
      <c r="J7582" s="0" t="str">
        <f aca="false">I7582&amp;"-Q"&amp;ROUNDUP(MONTH(B7582)/3,0)</f>
        <v>2015-Q4</v>
      </c>
    </row>
    <row r="7583" customFormat="false" ht="15" hidden="false" customHeight="false" outlineLevel="0" collapsed="false">
      <c r="A7583" s="0" t="s">
        <v>3842</v>
      </c>
      <c r="B7583" s="6" t="n">
        <v>42229</v>
      </c>
      <c r="C7583" s="7" t="s">
        <v>55</v>
      </c>
      <c r="D7583" s="7" t="s">
        <v>56</v>
      </c>
      <c r="E7583" s="7" t="s">
        <v>35</v>
      </c>
      <c r="F7583" s="0" t="n">
        <v>422.856</v>
      </c>
      <c r="G7583" s="0" t="n">
        <v>15.8571</v>
      </c>
      <c r="H7583" s="0" t="n">
        <v>0.2</v>
      </c>
      <c r="I7583" s="7" t="n">
        <f aca="false">YEAR(B7583)</f>
        <v>2015</v>
      </c>
      <c r="J7583" s="0" t="str">
        <f aca="false">I7583&amp;"-Q"&amp;ROUNDUP(MONTH(B7583)/3,0)</f>
        <v>2015-Q3</v>
      </c>
    </row>
    <row r="7584" customFormat="false" ht="15" hidden="false" customHeight="false" outlineLevel="0" collapsed="false">
      <c r="A7584" s="0" t="s">
        <v>3843</v>
      </c>
      <c r="B7584" s="6" t="n">
        <v>42110</v>
      </c>
      <c r="C7584" s="7" t="s">
        <v>55</v>
      </c>
      <c r="D7584" s="7" t="s">
        <v>76</v>
      </c>
      <c r="E7584" s="7" t="s">
        <v>31</v>
      </c>
      <c r="F7584" s="0" t="n">
        <v>127.764</v>
      </c>
      <c r="G7584" s="0" t="n">
        <v>2.8392</v>
      </c>
      <c r="H7584" s="0" t="n">
        <v>0.1</v>
      </c>
      <c r="I7584" s="7" t="n">
        <f aca="false">YEAR(B7584)</f>
        <v>2015</v>
      </c>
      <c r="J7584" s="0" t="str">
        <f aca="false">I7584&amp;"-Q"&amp;ROUNDUP(MONTH(B7584)/3,0)</f>
        <v>2015-Q2</v>
      </c>
    </row>
    <row r="7585" customFormat="false" ht="15" hidden="false" customHeight="false" outlineLevel="0" collapsed="false">
      <c r="A7585" s="0" t="s">
        <v>3844</v>
      </c>
      <c r="B7585" s="6" t="n">
        <v>41719</v>
      </c>
      <c r="C7585" s="7" t="s">
        <v>29</v>
      </c>
      <c r="D7585" s="7" t="s">
        <v>83</v>
      </c>
      <c r="E7585" s="7" t="s">
        <v>39</v>
      </c>
      <c r="F7585" s="0" t="n">
        <v>3499.93</v>
      </c>
      <c r="G7585" s="0" t="n">
        <v>909.9818</v>
      </c>
      <c r="H7585" s="0" t="n">
        <v>0</v>
      </c>
      <c r="I7585" s="7" t="n">
        <f aca="false">YEAR(B7585)</f>
        <v>2014</v>
      </c>
      <c r="J7585" s="0" t="str">
        <f aca="false">I7585&amp;"-Q"&amp;ROUNDUP(MONTH(B7585)/3,0)</f>
        <v>2014-Q1</v>
      </c>
    </row>
    <row r="7586" customFormat="false" ht="15" hidden="false" customHeight="false" outlineLevel="0" collapsed="false">
      <c r="A7586" s="0" t="s">
        <v>3844</v>
      </c>
      <c r="B7586" s="6" t="n">
        <v>41719</v>
      </c>
      <c r="C7586" s="7" t="s">
        <v>29</v>
      </c>
      <c r="D7586" s="7" t="s">
        <v>83</v>
      </c>
      <c r="E7586" s="7" t="s">
        <v>35</v>
      </c>
      <c r="F7586" s="0" t="n">
        <v>14.4</v>
      </c>
      <c r="G7586" s="0" t="n">
        <v>6.624</v>
      </c>
      <c r="H7586" s="0" t="n">
        <v>0</v>
      </c>
      <c r="I7586" s="7" t="n">
        <f aca="false">YEAR(B7586)</f>
        <v>2014</v>
      </c>
      <c r="J7586" s="0" t="str">
        <f aca="false">I7586&amp;"-Q"&amp;ROUNDUP(MONTH(B7586)/3,0)</f>
        <v>2014-Q1</v>
      </c>
    </row>
    <row r="7587" customFormat="false" ht="15" hidden="false" customHeight="false" outlineLevel="0" collapsed="false">
      <c r="A7587" s="0" t="s">
        <v>3844</v>
      </c>
      <c r="B7587" s="6" t="n">
        <v>41719</v>
      </c>
      <c r="C7587" s="7" t="s">
        <v>29</v>
      </c>
      <c r="D7587" s="7" t="s">
        <v>83</v>
      </c>
      <c r="E7587" s="7" t="s">
        <v>35</v>
      </c>
      <c r="F7587" s="0" t="n">
        <v>122.97</v>
      </c>
      <c r="G7587" s="0" t="n">
        <v>60.2553</v>
      </c>
      <c r="H7587" s="0" t="n">
        <v>0</v>
      </c>
      <c r="I7587" s="7" t="n">
        <f aca="false">YEAR(B7587)</f>
        <v>2014</v>
      </c>
      <c r="J7587" s="0" t="str">
        <f aca="false">I7587&amp;"-Q"&amp;ROUNDUP(MONTH(B7587)/3,0)</f>
        <v>2014-Q1</v>
      </c>
    </row>
    <row r="7588" customFormat="false" ht="15" hidden="false" customHeight="false" outlineLevel="0" collapsed="false">
      <c r="A7588" s="0" t="s">
        <v>3844</v>
      </c>
      <c r="B7588" s="6" t="n">
        <v>41719</v>
      </c>
      <c r="C7588" s="7" t="s">
        <v>29</v>
      </c>
      <c r="D7588" s="7" t="s">
        <v>83</v>
      </c>
      <c r="E7588" s="7" t="s">
        <v>35</v>
      </c>
      <c r="F7588" s="0" t="n">
        <v>9.32</v>
      </c>
      <c r="G7588" s="0" t="n">
        <v>2.7028</v>
      </c>
      <c r="H7588" s="0" t="n">
        <v>0</v>
      </c>
      <c r="I7588" s="7" t="n">
        <f aca="false">YEAR(B7588)</f>
        <v>2014</v>
      </c>
      <c r="J7588" s="0" t="str">
        <f aca="false">I7588&amp;"-Q"&amp;ROUNDUP(MONTH(B7588)/3,0)</f>
        <v>2014-Q1</v>
      </c>
    </row>
    <row r="7589" customFormat="false" ht="15" hidden="false" customHeight="false" outlineLevel="0" collapsed="false">
      <c r="A7589" s="0" t="s">
        <v>3844</v>
      </c>
      <c r="B7589" s="6" t="n">
        <v>41719</v>
      </c>
      <c r="C7589" s="7" t="s">
        <v>29</v>
      </c>
      <c r="D7589" s="7" t="s">
        <v>83</v>
      </c>
      <c r="E7589" s="7" t="s">
        <v>35</v>
      </c>
      <c r="F7589" s="0" t="n">
        <v>122.94</v>
      </c>
      <c r="G7589" s="0" t="n">
        <v>59.0112</v>
      </c>
      <c r="H7589" s="0" t="n">
        <v>0</v>
      </c>
      <c r="I7589" s="7" t="n">
        <f aca="false">YEAR(B7589)</f>
        <v>2014</v>
      </c>
      <c r="J7589" s="0" t="str">
        <f aca="false">I7589&amp;"-Q"&amp;ROUNDUP(MONTH(B7589)/3,0)</f>
        <v>2014-Q1</v>
      </c>
    </row>
    <row r="7590" customFormat="false" ht="15" hidden="false" customHeight="false" outlineLevel="0" collapsed="false">
      <c r="A7590" s="0" t="s">
        <v>3845</v>
      </c>
      <c r="B7590" s="6" t="n">
        <v>43055</v>
      </c>
      <c r="C7590" s="7" t="s">
        <v>33</v>
      </c>
      <c r="D7590" s="7" t="s">
        <v>34</v>
      </c>
      <c r="E7590" s="7" t="s">
        <v>31</v>
      </c>
      <c r="F7590" s="0" t="n">
        <v>17.31</v>
      </c>
      <c r="G7590" s="0" t="n">
        <v>5.193</v>
      </c>
      <c r="H7590" s="0" t="n">
        <v>0</v>
      </c>
      <c r="I7590" s="7" t="n">
        <f aca="false">YEAR(B7590)</f>
        <v>2017</v>
      </c>
      <c r="J7590" s="0" t="str">
        <f aca="false">I7590&amp;"-Q"&amp;ROUNDUP(MONTH(B7590)/3,0)</f>
        <v>2017-Q4</v>
      </c>
    </row>
    <row r="7591" customFormat="false" ht="15" hidden="false" customHeight="false" outlineLevel="0" collapsed="false">
      <c r="A7591" s="0" t="s">
        <v>3846</v>
      </c>
      <c r="B7591" s="6" t="n">
        <v>42272</v>
      </c>
      <c r="C7591" s="7" t="s">
        <v>45</v>
      </c>
      <c r="D7591" s="7" t="s">
        <v>64</v>
      </c>
      <c r="E7591" s="7" t="s">
        <v>35</v>
      </c>
      <c r="F7591" s="0" t="n">
        <v>128.744</v>
      </c>
      <c r="G7591" s="0" t="n">
        <v>12.8744</v>
      </c>
      <c r="H7591" s="0" t="n">
        <v>0.2</v>
      </c>
      <c r="I7591" s="7" t="n">
        <f aca="false">YEAR(B7591)</f>
        <v>2015</v>
      </c>
      <c r="J7591" s="0" t="str">
        <f aca="false">I7591&amp;"-Q"&amp;ROUNDUP(MONTH(B7591)/3,0)</f>
        <v>2015-Q3</v>
      </c>
    </row>
    <row r="7592" customFormat="false" ht="15" hidden="false" customHeight="false" outlineLevel="0" collapsed="false">
      <c r="A7592" s="0" t="s">
        <v>3847</v>
      </c>
      <c r="B7592" s="6" t="n">
        <v>42618</v>
      </c>
      <c r="C7592" s="7" t="s">
        <v>55</v>
      </c>
      <c r="D7592" s="7" t="s">
        <v>56</v>
      </c>
      <c r="E7592" s="7" t="s">
        <v>31</v>
      </c>
      <c r="F7592" s="0" t="n">
        <v>58.248</v>
      </c>
      <c r="G7592" s="0" t="n">
        <v>11.6496</v>
      </c>
      <c r="H7592" s="0" t="n">
        <v>0.2</v>
      </c>
      <c r="I7592" s="7" t="n">
        <f aca="false">YEAR(B7592)</f>
        <v>2016</v>
      </c>
      <c r="J7592" s="0" t="str">
        <f aca="false">I7592&amp;"-Q"&amp;ROUNDUP(MONTH(B7592)/3,0)</f>
        <v>2016-Q3</v>
      </c>
    </row>
    <row r="7593" customFormat="false" ht="15" hidden="false" customHeight="false" outlineLevel="0" collapsed="false">
      <c r="A7593" s="0" t="s">
        <v>3847</v>
      </c>
      <c r="B7593" s="6" t="n">
        <v>42618</v>
      </c>
      <c r="C7593" s="7" t="s">
        <v>55</v>
      </c>
      <c r="D7593" s="7" t="s">
        <v>56</v>
      </c>
      <c r="E7593" s="7" t="s">
        <v>31</v>
      </c>
      <c r="F7593" s="0" t="n">
        <v>71.246</v>
      </c>
      <c r="G7593" s="0" t="n">
        <v>-19.3382</v>
      </c>
      <c r="H7593" s="0" t="n">
        <v>0.3</v>
      </c>
      <c r="I7593" s="7" t="n">
        <f aca="false">YEAR(B7593)</f>
        <v>2016</v>
      </c>
      <c r="J7593" s="0" t="str">
        <f aca="false">I7593&amp;"-Q"&amp;ROUNDUP(MONTH(B7593)/3,0)</f>
        <v>2016-Q3</v>
      </c>
    </row>
    <row r="7594" customFormat="false" ht="15" hidden="false" customHeight="false" outlineLevel="0" collapsed="false">
      <c r="A7594" s="0" t="s">
        <v>3847</v>
      </c>
      <c r="B7594" s="6" t="n">
        <v>42618</v>
      </c>
      <c r="C7594" s="7" t="s">
        <v>55</v>
      </c>
      <c r="D7594" s="7" t="s">
        <v>56</v>
      </c>
      <c r="E7594" s="7" t="s">
        <v>35</v>
      </c>
      <c r="F7594" s="0" t="n">
        <v>7.872</v>
      </c>
      <c r="G7594" s="0" t="n">
        <v>0.5904</v>
      </c>
      <c r="H7594" s="0" t="n">
        <v>0.2</v>
      </c>
      <c r="I7594" s="7" t="n">
        <f aca="false">YEAR(B7594)</f>
        <v>2016</v>
      </c>
      <c r="J7594" s="0" t="str">
        <f aca="false">I7594&amp;"-Q"&amp;ROUNDUP(MONTH(B7594)/3,0)</f>
        <v>2016-Q3</v>
      </c>
    </row>
    <row r="7595" customFormat="false" ht="15" hidden="false" customHeight="false" outlineLevel="0" collapsed="false">
      <c r="A7595" s="0" t="s">
        <v>3847</v>
      </c>
      <c r="B7595" s="6" t="n">
        <v>42618</v>
      </c>
      <c r="C7595" s="7" t="s">
        <v>55</v>
      </c>
      <c r="D7595" s="7" t="s">
        <v>56</v>
      </c>
      <c r="E7595" s="7" t="s">
        <v>31</v>
      </c>
      <c r="F7595" s="0" t="n">
        <v>887.271</v>
      </c>
      <c r="G7595" s="0" t="n">
        <v>-63.3765</v>
      </c>
      <c r="H7595" s="0" t="n">
        <v>0.3</v>
      </c>
      <c r="I7595" s="7" t="n">
        <f aca="false">YEAR(B7595)</f>
        <v>2016</v>
      </c>
      <c r="J7595" s="0" t="str">
        <f aca="false">I7595&amp;"-Q"&amp;ROUNDUP(MONTH(B7595)/3,0)</f>
        <v>2016-Q3</v>
      </c>
    </row>
    <row r="7596" customFormat="false" ht="15" hidden="false" customHeight="false" outlineLevel="0" collapsed="false">
      <c r="A7596" s="0" t="s">
        <v>3848</v>
      </c>
      <c r="B7596" s="6" t="n">
        <v>42845</v>
      </c>
      <c r="C7596" s="7" t="s">
        <v>45</v>
      </c>
      <c r="D7596" s="7" t="s">
        <v>70</v>
      </c>
      <c r="E7596" s="7" t="s">
        <v>35</v>
      </c>
      <c r="F7596" s="0" t="n">
        <v>146.86</v>
      </c>
      <c r="G7596" s="0" t="n">
        <v>70.4928</v>
      </c>
      <c r="H7596" s="0" t="n">
        <v>0</v>
      </c>
      <c r="I7596" s="7" t="n">
        <f aca="false">YEAR(B7596)</f>
        <v>2017</v>
      </c>
      <c r="J7596" s="0" t="str">
        <f aca="false">I7596&amp;"-Q"&amp;ROUNDUP(MONTH(B7596)/3,0)</f>
        <v>2017-Q2</v>
      </c>
    </row>
    <row r="7597" customFormat="false" ht="15" hidden="false" customHeight="false" outlineLevel="0" collapsed="false">
      <c r="A7597" s="0" t="s">
        <v>3848</v>
      </c>
      <c r="B7597" s="6" t="n">
        <v>42845</v>
      </c>
      <c r="C7597" s="7" t="s">
        <v>45</v>
      </c>
      <c r="D7597" s="7" t="s">
        <v>70</v>
      </c>
      <c r="E7597" s="7" t="s">
        <v>35</v>
      </c>
      <c r="F7597" s="0" t="n">
        <v>36.56</v>
      </c>
      <c r="G7597" s="0" t="n">
        <v>18.28</v>
      </c>
      <c r="H7597" s="0" t="n">
        <v>0</v>
      </c>
      <c r="I7597" s="7" t="n">
        <f aca="false">YEAR(B7597)</f>
        <v>2017</v>
      </c>
      <c r="J7597" s="0" t="str">
        <f aca="false">I7597&amp;"-Q"&amp;ROUNDUP(MONTH(B7597)/3,0)</f>
        <v>2017-Q2</v>
      </c>
    </row>
    <row r="7598" customFormat="false" ht="15" hidden="false" customHeight="false" outlineLevel="0" collapsed="false">
      <c r="A7598" s="0" t="s">
        <v>3849</v>
      </c>
      <c r="B7598" s="6" t="n">
        <v>42170</v>
      </c>
      <c r="C7598" s="7" t="s">
        <v>33</v>
      </c>
      <c r="D7598" s="7" t="s">
        <v>34</v>
      </c>
      <c r="E7598" s="7" t="s">
        <v>39</v>
      </c>
      <c r="F7598" s="0" t="n">
        <v>225.576</v>
      </c>
      <c r="G7598" s="0" t="n">
        <v>22.5576</v>
      </c>
      <c r="H7598" s="0" t="n">
        <v>0.2</v>
      </c>
      <c r="I7598" s="7" t="n">
        <f aca="false">YEAR(B7598)</f>
        <v>2015</v>
      </c>
      <c r="J7598" s="0" t="str">
        <f aca="false">I7598&amp;"-Q"&amp;ROUNDUP(MONTH(B7598)/3,0)</f>
        <v>2015-Q2</v>
      </c>
    </row>
    <row r="7599" customFormat="false" ht="15" hidden="false" customHeight="false" outlineLevel="0" collapsed="false">
      <c r="A7599" s="0" t="s">
        <v>3850</v>
      </c>
      <c r="B7599" s="6" t="n">
        <v>41899</v>
      </c>
      <c r="C7599" s="7" t="s">
        <v>33</v>
      </c>
      <c r="D7599" s="7" t="s">
        <v>102</v>
      </c>
      <c r="E7599" s="7" t="s">
        <v>35</v>
      </c>
      <c r="F7599" s="0" t="n">
        <v>5.248</v>
      </c>
      <c r="G7599" s="0" t="n">
        <v>0.4592</v>
      </c>
      <c r="H7599" s="0" t="n">
        <v>0.2</v>
      </c>
      <c r="I7599" s="7" t="n">
        <f aca="false">YEAR(B7599)</f>
        <v>2014</v>
      </c>
      <c r="J7599" s="0" t="str">
        <f aca="false">I7599&amp;"-Q"&amp;ROUNDUP(MONTH(B7599)/3,0)</f>
        <v>2014-Q3</v>
      </c>
    </row>
    <row r="7600" customFormat="false" ht="15" hidden="false" customHeight="false" outlineLevel="0" collapsed="false">
      <c r="A7600" s="0" t="s">
        <v>3850</v>
      </c>
      <c r="B7600" s="6" t="n">
        <v>41899</v>
      </c>
      <c r="C7600" s="7" t="s">
        <v>33</v>
      </c>
      <c r="D7600" s="7" t="s">
        <v>102</v>
      </c>
      <c r="E7600" s="7" t="s">
        <v>35</v>
      </c>
      <c r="F7600" s="0" t="n">
        <v>38.256</v>
      </c>
      <c r="G7600" s="0" t="n">
        <v>4.782</v>
      </c>
      <c r="H7600" s="0" t="n">
        <v>0.2</v>
      </c>
      <c r="I7600" s="7" t="n">
        <f aca="false">YEAR(B7600)</f>
        <v>2014</v>
      </c>
      <c r="J7600" s="0" t="str">
        <f aca="false">I7600&amp;"-Q"&amp;ROUNDUP(MONTH(B7600)/3,0)</f>
        <v>2014-Q3</v>
      </c>
    </row>
    <row r="7601" customFormat="false" ht="15" hidden="false" customHeight="false" outlineLevel="0" collapsed="false">
      <c r="A7601" s="0" t="s">
        <v>3850</v>
      </c>
      <c r="B7601" s="6" t="n">
        <v>41899</v>
      </c>
      <c r="C7601" s="7" t="s">
        <v>33</v>
      </c>
      <c r="D7601" s="7" t="s">
        <v>102</v>
      </c>
      <c r="E7601" s="7" t="s">
        <v>35</v>
      </c>
      <c r="F7601" s="0" t="n">
        <v>40.24</v>
      </c>
      <c r="G7601" s="0" t="n">
        <v>13.078</v>
      </c>
      <c r="H7601" s="0" t="n">
        <v>0.2</v>
      </c>
      <c r="I7601" s="7" t="n">
        <f aca="false">YEAR(B7601)</f>
        <v>2014</v>
      </c>
      <c r="J7601" s="0" t="str">
        <f aca="false">I7601&amp;"-Q"&amp;ROUNDUP(MONTH(B7601)/3,0)</f>
        <v>2014-Q3</v>
      </c>
    </row>
    <row r="7602" customFormat="false" ht="15" hidden="false" customHeight="false" outlineLevel="0" collapsed="false">
      <c r="A7602" s="0" t="s">
        <v>3850</v>
      </c>
      <c r="B7602" s="6" t="n">
        <v>41899</v>
      </c>
      <c r="C7602" s="7" t="s">
        <v>33</v>
      </c>
      <c r="D7602" s="7" t="s">
        <v>102</v>
      </c>
      <c r="E7602" s="7" t="s">
        <v>39</v>
      </c>
      <c r="F7602" s="0" t="n">
        <v>29.925</v>
      </c>
      <c r="G7602" s="0" t="n">
        <v>-21.945</v>
      </c>
      <c r="H7602" s="0" t="n">
        <v>0.7</v>
      </c>
      <c r="I7602" s="7" t="n">
        <f aca="false">YEAR(B7602)</f>
        <v>2014</v>
      </c>
      <c r="J7602" s="0" t="str">
        <f aca="false">I7602&amp;"-Q"&amp;ROUNDUP(MONTH(B7602)/3,0)</f>
        <v>2014-Q3</v>
      </c>
    </row>
    <row r="7603" customFormat="false" ht="15" hidden="false" customHeight="false" outlineLevel="0" collapsed="false">
      <c r="A7603" s="0" t="s">
        <v>3850</v>
      </c>
      <c r="B7603" s="6" t="n">
        <v>41899</v>
      </c>
      <c r="C7603" s="7" t="s">
        <v>33</v>
      </c>
      <c r="D7603" s="7" t="s">
        <v>102</v>
      </c>
      <c r="E7603" s="7" t="s">
        <v>35</v>
      </c>
      <c r="F7603" s="0" t="n">
        <v>148.704</v>
      </c>
      <c r="G7603" s="0" t="n">
        <v>46.47</v>
      </c>
      <c r="H7603" s="0" t="n">
        <v>0.2</v>
      </c>
      <c r="I7603" s="7" t="n">
        <f aca="false">YEAR(B7603)</f>
        <v>2014</v>
      </c>
      <c r="J7603" s="0" t="str">
        <f aca="false">I7603&amp;"-Q"&amp;ROUNDUP(MONTH(B7603)/3,0)</f>
        <v>2014-Q3</v>
      </c>
    </row>
    <row r="7604" customFormat="false" ht="15" hidden="false" customHeight="false" outlineLevel="0" collapsed="false">
      <c r="A7604" s="0" t="s">
        <v>3850</v>
      </c>
      <c r="B7604" s="6" t="n">
        <v>41899</v>
      </c>
      <c r="C7604" s="7" t="s">
        <v>33</v>
      </c>
      <c r="D7604" s="7" t="s">
        <v>102</v>
      </c>
      <c r="E7604" s="7" t="s">
        <v>39</v>
      </c>
      <c r="F7604" s="0" t="n">
        <v>55.92</v>
      </c>
      <c r="G7604" s="0" t="n">
        <v>16.776</v>
      </c>
      <c r="H7604" s="0" t="n">
        <v>0.2</v>
      </c>
      <c r="I7604" s="7" t="n">
        <f aca="false">YEAR(B7604)</f>
        <v>2014</v>
      </c>
      <c r="J7604" s="0" t="str">
        <f aca="false">I7604&amp;"-Q"&amp;ROUNDUP(MONTH(B7604)/3,0)</f>
        <v>2014-Q3</v>
      </c>
    </row>
    <row r="7605" customFormat="false" ht="15" hidden="false" customHeight="false" outlineLevel="0" collapsed="false">
      <c r="A7605" s="0" t="s">
        <v>3851</v>
      </c>
      <c r="B7605" s="6" t="n">
        <v>42559</v>
      </c>
      <c r="C7605" s="7" t="s">
        <v>55</v>
      </c>
      <c r="D7605" s="7" t="s">
        <v>250</v>
      </c>
      <c r="E7605" s="7" t="s">
        <v>35</v>
      </c>
      <c r="F7605" s="0" t="n">
        <v>12.96</v>
      </c>
      <c r="G7605" s="0" t="n">
        <v>6.2208</v>
      </c>
      <c r="H7605" s="0" t="n">
        <v>0</v>
      </c>
      <c r="I7605" s="7" t="n">
        <f aca="false">YEAR(B7605)</f>
        <v>2016</v>
      </c>
      <c r="J7605" s="0" t="str">
        <f aca="false">I7605&amp;"-Q"&amp;ROUNDUP(MONTH(B7605)/3,0)</f>
        <v>2016-Q3</v>
      </c>
    </row>
    <row r="7606" customFormat="false" ht="15" hidden="false" customHeight="false" outlineLevel="0" collapsed="false">
      <c r="A7606" s="0" t="s">
        <v>3852</v>
      </c>
      <c r="B7606" s="6" t="n">
        <v>42517</v>
      </c>
      <c r="C7606" s="7" t="s">
        <v>45</v>
      </c>
      <c r="D7606" s="7" t="s">
        <v>64</v>
      </c>
      <c r="E7606" s="7" t="s">
        <v>31</v>
      </c>
      <c r="F7606" s="0" t="n">
        <v>25.176</v>
      </c>
      <c r="G7606" s="0" t="n">
        <v>-33.3582</v>
      </c>
      <c r="H7606" s="0" t="n">
        <v>0.6</v>
      </c>
      <c r="I7606" s="7" t="n">
        <f aca="false">YEAR(B7606)</f>
        <v>2016</v>
      </c>
      <c r="J7606" s="0" t="str">
        <f aca="false">I7606&amp;"-Q"&amp;ROUNDUP(MONTH(B7606)/3,0)</f>
        <v>2016-Q2</v>
      </c>
    </row>
    <row r="7607" customFormat="false" ht="15" hidden="false" customHeight="false" outlineLevel="0" collapsed="false">
      <c r="A7607" s="0" t="s">
        <v>3852</v>
      </c>
      <c r="B7607" s="6" t="n">
        <v>42517</v>
      </c>
      <c r="C7607" s="7" t="s">
        <v>45</v>
      </c>
      <c r="D7607" s="7" t="s">
        <v>64</v>
      </c>
      <c r="E7607" s="7" t="s">
        <v>31</v>
      </c>
      <c r="F7607" s="0" t="n">
        <v>5.584</v>
      </c>
      <c r="G7607" s="0" t="n">
        <v>-1.6752</v>
      </c>
      <c r="H7607" s="0" t="n">
        <v>0.6</v>
      </c>
      <c r="I7607" s="7" t="n">
        <f aca="false">YEAR(B7607)</f>
        <v>2016</v>
      </c>
      <c r="J7607" s="0" t="str">
        <f aca="false">I7607&amp;"-Q"&amp;ROUNDUP(MONTH(B7607)/3,0)</f>
        <v>2016-Q2</v>
      </c>
    </row>
    <row r="7608" customFormat="false" ht="15" hidden="false" customHeight="false" outlineLevel="0" collapsed="false">
      <c r="A7608" s="0" t="s">
        <v>3852</v>
      </c>
      <c r="B7608" s="6" t="n">
        <v>42517</v>
      </c>
      <c r="C7608" s="7" t="s">
        <v>45</v>
      </c>
      <c r="D7608" s="7" t="s">
        <v>64</v>
      </c>
      <c r="E7608" s="7" t="s">
        <v>35</v>
      </c>
      <c r="F7608" s="0" t="n">
        <v>1297.368</v>
      </c>
      <c r="G7608" s="0" t="n">
        <v>97.3026</v>
      </c>
      <c r="H7608" s="0" t="n">
        <v>0.2</v>
      </c>
      <c r="I7608" s="7" t="n">
        <f aca="false">YEAR(B7608)</f>
        <v>2016</v>
      </c>
      <c r="J7608" s="0" t="str">
        <f aca="false">I7608&amp;"-Q"&amp;ROUNDUP(MONTH(B7608)/3,0)</f>
        <v>2016-Q2</v>
      </c>
    </row>
    <row r="7609" customFormat="false" ht="15" hidden="false" customHeight="false" outlineLevel="0" collapsed="false">
      <c r="A7609" s="0" t="s">
        <v>3853</v>
      </c>
      <c r="B7609" s="6" t="n">
        <v>43093</v>
      </c>
      <c r="C7609" s="7" t="s">
        <v>45</v>
      </c>
      <c r="D7609" s="7" t="s">
        <v>46</v>
      </c>
      <c r="E7609" s="7" t="s">
        <v>35</v>
      </c>
      <c r="F7609" s="0" t="n">
        <v>264.32</v>
      </c>
      <c r="G7609" s="0" t="n">
        <v>19.824</v>
      </c>
      <c r="H7609" s="0" t="n">
        <v>0.2</v>
      </c>
      <c r="I7609" s="7" t="n">
        <f aca="false">YEAR(B7609)</f>
        <v>2017</v>
      </c>
      <c r="J7609" s="0" t="str">
        <f aca="false">I7609&amp;"-Q"&amp;ROUNDUP(MONTH(B7609)/3,0)</f>
        <v>2017-Q4</v>
      </c>
    </row>
    <row r="7610" customFormat="false" ht="15" hidden="false" customHeight="false" outlineLevel="0" collapsed="false">
      <c r="A7610" s="0" t="s">
        <v>3854</v>
      </c>
      <c r="B7610" s="6" t="n">
        <v>42858</v>
      </c>
      <c r="C7610" s="7" t="s">
        <v>33</v>
      </c>
      <c r="D7610" s="7" t="s">
        <v>34</v>
      </c>
      <c r="E7610" s="7" t="s">
        <v>35</v>
      </c>
      <c r="F7610" s="0" t="n">
        <v>25.92</v>
      </c>
      <c r="G7610" s="0" t="n">
        <v>12.4416</v>
      </c>
      <c r="H7610" s="0" t="n">
        <v>0</v>
      </c>
      <c r="I7610" s="7" t="n">
        <f aca="false">YEAR(B7610)</f>
        <v>2017</v>
      </c>
      <c r="J7610" s="0" t="str">
        <f aca="false">I7610&amp;"-Q"&amp;ROUNDUP(MONTH(B7610)/3,0)</f>
        <v>2017-Q2</v>
      </c>
    </row>
    <row r="7611" customFormat="false" ht="15" hidden="false" customHeight="false" outlineLevel="0" collapsed="false">
      <c r="A7611" s="0" t="s">
        <v>3854</v>
      </c>
      <c r="B7611" s="6" t="n">
        <v>42858</v>
      </c>
      <c r="C7611" s="7" t="s">
        <v>33</v>
      </c>
      <c r="D7611" s="7" t="s">
        <v>34</v>
      </c>
      <c r="E7611" s="7" t="s">
        <v>35</v>
      </c>
      <c r="F7611" s="0" t="n">
        <v>22.96</v>
      </c>
      <c r="G7611" s="0" t="n">
        <v>6.6584</v>
      </c>
      <c r="H7611" s="0" t="n">
        <v>0</v>
      </c>
      <c r="I7611" s="7" t="n">
        <f aca="false">YEAR(B7611)</f>
        <v>2017</v>
      </c>
      <c r="J7611" s="0" t="str">
        <f aca="false">I7611&amp;"-Q"&amp;ROUNDUP(MONTH(B7611)/3,0)</f>
        <v>2017-Q2</v>
      </c>
    </row>
    <row r="7612" customFormat="false" ht="15" hidden="false" customHeight="false" outlineLevel="0" collapsed="false">
      <c r="A7612" s="0" t="s">
        <v>3855</v>
      </c>
      <c r="B7612" s="6" t="n">
        <v>41692</v>
      </c>
      <c r="C7612" s="7" t="s">
        <v>33</v>
      </c>
      <c r="D7612" s="7" t="s">
        <v>34</v>
      </c>
      <c r="E7612" s="7" t="s">
        <v>35</v>
      </c>
      <c r="F7612" s="0" t="n">
        <v>19.44</v>
      </c>
      <c r="G7612" s="0" t="n">
        <v>9.3312</v>
      </c>
      <c r="H7612" s="0" t="n">
        <v>0</v>
      </c>
      <c r="I7612" s="7" t="n">
        <f aca="false">YEAR(B7612)</f>
        <v>2014</v>
      </c>
      <c r="J7612" s="0" t="str">
        <f aca="false">I7612&amp;"-Q"&amp;ROUNDUP(MONTH(B7612)/3,0)</f>
        <v>2014-Q1</v>
      </c>
    </row>
    <row r="7613" customFormat="false" ht="15" hidden="false" customHeight="false" outlineLevel="0" collapsed="false">
      <c r="A7613" s="0" t="s">
        <v>3856</v>
      </c>
      <c r="B7613" s="6" t="n">
        <v>42043</v>
      </c>
      <c r="C7613" s="7" t="s">
        <v>45</v>
      </c>
      <c r="D7613" s="7" t="s">
        <v>946</v>
      </c>
      <c r="E7613" s="7" t="s">
        <v>35</v>
      </c>
      <c r="F7613" s="0" t="n">
        <v>9.54</v>
      </c>
      <c r="G7613" s="0" t="n">
        <v>4.293</v>
      </c>
      <c r="H7613" s="0" t="n">
        <v>0</v>
      </c>
      <c r="I7613" s="7" t="n">
        <f aca="false">YEAR(B7613)</f>
        <v>2015</v>
      </c>
      <c r="J7613" s="0" t="str">
        <f aca="false">I7613&amp;"-Q"&amp;ROUNDUP(MONTH(B7613)/3,0)</f>
        <v>2015-Q1</v>
      </c>
    </row>
    <row r="7614" customFormat="false" ht="15" hidden="false" customHeight="false" outlineLevel="0" collapsed="false">
      <c r="A7614" s="0" t="s">
        <v>3856</v>
      </c>
      <c r="B7614" s="6" t="n">
        <v>42043</v>
      </c>
      <c r="C7614" s="7" t="s">
        <v>45</v>
      </c>
      <c r="D7614" s="7" t="s">
        <v>946</v>
      </c>
      <c r="E7614" s="7" t="s">
        <v>35</v>
      </c>
      <c r="F7614" s="0" t="n">
        <v>5.81</v>
      </c>
      <c r="G7614" s="0" t="n">
        <v>1.8011</v>
      </c>
      <c r="H7614" s="0" t="n">
        <v>0</v>
      </c>
      <c r="I7614" s="7" t="n">
        <f aca="false">YEAR(B7614)</f>
        <v>2015</v>
      </c>
      <c r="J7614" s="0" t="str">
        <f aca="false">I7614&amp;"-Q"&amp;ROUNDUP(MONTH(B7614)/3,0)</f>
        <v>2015-Q1</v>
      </c>
    </row>
    <row r="7615" customFormat="false" ht="15" hidden="false" customHeight="false" outlineLevel="0" collapsed="false">
      <c r="A7615" s="0" t="s">
        <v>3856</v>
      </c>
      <c r="B7615" s="6" t="n">
        <v>42043</v>
      </c>
      <c r="C7615" s="7" t="s">
        <v>45</v>
      </c>
      <c r="D7615" s="7" t="s">
        <v>946</v>
      </c>
      <c r="E7615" s="7" t="s">
        <v>35</v>
      </c>
      <c r="F7615" s="0" t="n">
        <v>5.76</v>
      </c>
      <c r="G7615" s="0" t="n">
        <v>1.728</v>
      </c>
      <c r="H7615" s="0" t="n">
        <v>0</v>
      </c>
      <c r="I7615" s="7" t="n">
        <f aca="false">YEAR(B7615)</f>
        <v>2015</v>
      </c>
      <c r="J7615" s="0" t="str">
        <f aca="false">I7615&amp;"-Q"&amp;ROUNDUP(MONTH(B7615)/3,0)</f>
        <v>2015-Q1</v>
      </c>
    </row>
    <row r="7616" customFormat="false" ht="15" hidden="false" customHeight="false" outlineLevel="0" collapsed="false">
      <c r="A7616" s="0" t="s">
        <v>3857</v>
      </c>
      <c r="B7616" s="6" t="n">
        <v>42240</v>
      </c>
      <c r="C7616" s="7" t="s">
        <v>55</v>
      </c>
      <c r="D7616" s="7" t="s">
        <v>76</v>
      </c>
      <c r="E7616" s="7" t="s">
        <v>31</v>
      </c>
      <c r="F7616" s="0" t="n">
        <v>14.91</v>
      </c>
      <c r="G7616" s="0" t="n">
        <v>4.6221</v>
      </c>
      <c r="H7616" s="0" t="n">
        <v>0</v>
      </c>
      <c r="I7616" s="7" t="n">
        <f aca="false">YEAR(B7616)</f>
        <v>2015</v>
      </c>
      <c r="J7616" s="0" t="str">
        <f aca="false">I7616&amp;"-Q"&amp;ROUNDUP(MONTH(B7616)/3,0)</f>
        <v>2015-Q3</v>
      </c>
    </row>
    <row r="7617" customFormat="false" ht="15" hidden="false" customHeight="false" outlineLevel="0" collapsed="false">
      <c r="A7617" s="0" t="s">
        <v>3858</v>
      </c>
      <c r="B7617" s="6" t="n">
        <v>41973</v>
      </c>
      <c r="C7617" s="7" t="s">
        <v>29</v>
      </c>
      <c r="D7617" s="7" t="s">
        <v>37</v>
      </c>
      <c r="E7617" s="7" t="s">
        <v>35</v>
      </c>
      <c r="F7617" s="0" t="n">
        <v>6.642</v>
      </c>
      <c r="G7617" s="0" t="n">
        <v>-4.428</v>
      </c>
      <c r="H7617" s="0" t="n">
        <v>0.7</v>
      </c>
      <c r="I7617" s="7" t="n">
        <f aca="false">YEAR(B7617)</f>
        <v>2014</v>
      </c>
      <c r="J7617" s="0" t="str">
        <f aca="false">I7617&amp;"-Q"&amp;ROUNDUP(MONTH(B7617)/3,0)</f>
        <v>2014-Q4</v>
      </c>
    </row>
    <row r="7618" customFormat="false" ht="15" hidden="false" customHeight="false" outlineLevel="0" collapsed="false">
      <c r="A7618" s="0" t="s">
        <v>3859</v>
      </c>
      <c r="B7618" s="6" t="n">
        <v>42714</v>
      </c>
      <c r="C7618" s="7" t="s">
        <v>55</v>
      </c>
      <c r="D7618" s="7" t="s">
        <v>76</v>
      </c>
      <c r="E7618" s="7" t="s">
        <v>35</v>
      </c>
      <c r="F7618" s="0" t="n">
        <v>18.54</v>
      </c>
      <c r="G7618" s="0" t="n">
        <v>8.7138</v>
      </c>
      <c r="H7618" s="0" t="n">
        <v>0</v>
      </c>
      <c r="I7618" s="7" t="n">
        <f aca="false">YEAR(B7618)</f>
        <v>2016</v>
      </c>
      <c r="J7618" s="0" t="str">
        <f aca="false">I7618&amp;"-Q"&amp;ROUNDUP(MONTH(B7618)/3,0)</f>
        <v>2016-Q4</v>
      </c>
    </row>
    <row r="7619" customFormat="false" ht="15" hidden="false" customHeight="false" outlineLevel="0" collapsed="false">
      <c r="A7619" s="0" t="s">
        <v>3859</v>
      </c>
      <c r="B7619" s="6" t="n">
        <v>42714</v>
      </c>
      <c r="C7619" s="7" t="s">
        <v>55</v>
      </c>
      <c r="D7619" s="7" t="s">
        <v>76</v>
      </c>
      <c r="E7619" s="7" t="s">
        <v>35</v>
      </c>
      <c r="F7619" s="0" t="n">
        <v>679.96</v>
      </c>
      <c r="G7619" s="0" t="n">
        <v>220.987</v>
      </c>
      <c r="H7619" s="0" t="n">
        <v>0.2</v>
      </c>
      <c r="I7619" s="7" t="n">
        <f aca="false">YEAR(B7619)</f>
        <v>2016</v>
      </c>
      <c r="J7619" s="0" t="str">
        <f aca="false">I7619&amp;"-Q"&amp;ROUNDUP(MONTH(B7619)/3,0)</f>
        <v>2016-Q4</v>
      </c>
    </row>
    <row r="7620" customFormat="false" ht="15" hidden="false" customHeight="false" outlineLevel="0" collapsed="false">
      <c r="A7620" s="0" t="s">
        <v>3860</v>
      </c>
      <c r="B7620" s="6" t="n">
        <v>43035</v>
      </c>
      <c r="C7620" s="7" t="s">
        <v>33</v>
      </c>
      <c r="D7620" s="7" t="s">
        <v>34</v>
      </c>
      <c r="E7620" s="7" t="s">
        <v>31</v>
      </c>
      <c r="F7620" s="0" t="n">
        <v>189.576</v>
      </c>
      <c r="G7620" s="0" t="n">
        <v>9.4788</v>
      </c>
      <c r="H7620" s="0" t="n">
        <v>0.2</v>
      </c>
      <c r="I7620" s="7" t="n">
        <f aca="false">YEAR(B7620)</f>
        <v>2017</v>
      </c>
      <c r="J7620" s="0" t="str">
        <f aca="false">I7620&amp;"-Q"&amp;ROUNDUP(MONTH(B7620)/3,0)</f>
        <v>2017-Q4</v>
      </c>
    </row>
    <row r="7621" customFormat="false" ht="15" hidden="false" customHeight="false" outlineLevel="0" collapsed="false">
      <c r="A7621" s="0" t="s">
        <v>3860</v>
      </c>
      <c r="B7621" s="6" t="n">
        <v>43035</v>
      </c>
      <c r="C7621" s="7" t="s">
        <v>33</v>
      </c>
      <c r="D7621" s="7" t="s">
        <v>34</v>
      </c>
      <c r="E7621" s="7" t="s">
        <v>39</v>
      </c>
      <c r="F7621" s="0" t="n">
        <v>71.96</v>
      </c>
      <c r="G7621" s="0" t="n">
        <v>7.196</v>
      </c>
      <c r="H7621" s="0" t="n">
        <v>0.2</v>
      </c>
      <c r="I7621" s="7" t="n">
        <f aca="false">YEAR(B7621)</f>
        <v>2017</v>
      </c>
      <c r="J7621" s="0" t="str">
        <f aca="false">I7621&amp;"-Q"&amp;ROUNDUP(MONTH(B7621)/3,0)</f>
        <v>2017-Q4</v>
      </c>
    </row>
    <row r="7622" customFormat="false" ht="15" hidden="false" customHeight="false" outlineLevel="0" collapsed="false">
      <c r="A7622" s="0" t="s">
        <v>3861</v>
      </c>
      <c r="B7622" s="6" t="n">
        <v>41968</v>
      </c>
      <c r="C7622" s="7" t="s">
        <v>33</v>
      </c>
      <c r="D7622" s="7" t="s">
        <v>34</v>
      </c>
      <c r="E7622" s="7" t="s">
        <v>39</v>
      </c>
      <c r="F7622" s="0" t="n">
        <v>539.92</v>
      </c>
      <c r="G7622" s="0" t="n">
        <v>47.243</v>
      </c>
      <c r="H7622" s="0" t="n">
        <v>0.2</v>
      </c>
      <c r="I7622" s="7" t="n">
        <f aca="false">YEAR(B7622)</f>
        <v>2014</v>
      </c>
      <c r="J7622" s="0" t="str">
        <f aca="false">I7622&amp;"-Q"&amp;ROUNDUP(MONTH(B7622)/3,0)</f>
        <v>2014-Q4</v>
      </c>
    </row>
    <row r="7623" customFormat="false" ht="15" hidden="false" customHeight="false" outlineLevel="0" collapsed="false">
      <c r="A7623" s="0" t="s">
        <v>3861</v>
      </c>
      <c r="B7623" s="6" t="n">
        <v>41968</v>
      </c>
      <c r="C7623" s="7" t="s">
        <v>33</v>
      </c>
      <c r="D7623" s="7" t="s">
        <v>34</v>
      </c>
      <c r="E7623" s="7" t="s">
        <v>31</v>
      </c>
      <c r="F7623" s="0" t="n">
        <v>725.344</v>
      </c>
      <c r="G7623" s="0" t="n">
        <v>54.4008</v>
      </c>
      <c r="H7623" s="0" t="n">
        <v>0.2</v>
      </c>
      <c r="I7623" s="7" t="n">
        <f aca="false">YEAR(B7623)</f>
        <v>2014</v>
      </c>
      <c r="J7623" s="0" t="str">
        <f aca="false">I7623&amp;"-Q"&amp;ROUNDUP(MONTH(B7623)/3,0)</f>
        <v>2014-Q4</v>
      </c>
    </row>
    <row r="7624" customFormat="false" ht="15" hidden="false" customHeight="false" outlineLevel="0" collapsed="false">
      <c r="A7624" s="0" t="s">
        <v>3861</v>
      </c>
      <c r="B7624" s="6" t="n">
        <v>41968</v>
      </c>
      <c r="C7624" s="7" t="s">
        <v>33</v>
      </c>
      <c r="D7624" s="7" t="s">
        <v>34</v>
      </c>
      <c r="E7624" s="7" t="s">
        <v>35</v>
      </c>
      <c r="F7624" s="0" t="n">
        <v>7.44</v>
      </c>
      <c r="G7624" s="0" t="n">
        <v>2.604</v>
      </c>
      <c r="H7624" s="0" t="n">
        <v>0</v>
      </c>
      <c r="I7624" s="7" t="n">
        <f aca="false">YEAR(B7624)</f>
        <v>2014</v>
      </c>
      <c r="J7624" s="0" t="str">
        <f aca="false">I7624&amp;"-Q"&amp;ROUNDUP(MONTH(B7624)/3,0)</f>
        <v>2014-Q4</v>
      </c>
    </row>
    <row r="7625" customFormat="false" ht="15" hidden="false" customHeight="false" outlineLevel="0" collapsed="false">
      <c r="A7625" s="0" t="s">
        <v>3862</v>
      </c>
      <c r="B7625" s="6" t="n">
        <v>41834</v>
      </c>
      <c r="C7625" s="7" t="s">
        <v>55</v>
      </c>
      <c r="D7625" s="7" t="s">
        <v>72</v>
      </c>
      <c r="E7625" s="7" t="s">
        <v>35</v>
      </c>
      <c r="F7625" s="0" t="n">
        <v>39.48</v>
      </c>
      <c r="G7625" s="0" t="n">
        <v>11.0544</v>
      </c>
      <c r="H7625" s="0" t="n">
        <v>0</v>
      </c>
      <c r="I7625" s="7" t="n">
        <f aca="false">YEAR(B7625)</f>
        <v>2014</v>
      </c>
      <c r="J7625" s="0" t="str">
        <f aca="false">I7625&amp;"-Q"&amp;ROUNDUP(MONTH(B7625)/3,0)</f>
        <v>2014-Q3</v>
      </c>
    </row>
    <row r="7626" customFormat="false" ht="15" hidden="false" customHeight="false" outlineLevel="0" collapsed="false">
      <c r="A7626" s="0" t="s">
        <v>3863</v>
      </c>
      <c r="B7626" s="6" t="n">
        <v>42147</v>
      </c>
      <c r="C7626" s="7" t="s">
        <v>45</v>
      </c>
      <c r="D7626" s="7" t="s">
        <v>70</v>
      </c>
      <c r="E7626" s="7" t="s">
        <v>35</v>
      </c>
      <c r="F7626" s="0" t="n">
        <v>850.5</v>
      </c>
      <c r="G7626" s="0" t="n">
        <v>245.7</v>
      </c>
      <c r="H7626" s="0" t="n">
        <v>0.1</v>
      </c>
      <c r="I7626" s="7" t="n">
        <f aca="false">YEAR(B7626)</f>
        <v>2015</v>
      </c>
      <c r="J7626" s="0" t="str">
        <f aca="false">I7626&amp;"-Q"&amp;ROUNDUP(MONTH(B7626)/3,0)</f>
        <v>2015-Q2</v>
      </c>
    </row>
    <row r="7627" customFormat="false" ht="15" hidden="false" customHeight="false" outlineLevel="0" collapsed="false">
      <c r="A7627" s="0" t="s">
        <v>3863</v>
      </c>
      <c r="B7627" s="6" t="n">
        <v>42147</v>
      </c>
      <c r="C7627" s="7" t="s">
        <v>45</v>
      </c>
      <c r="D7627" s="7" t="s">
        <v>70</v>
      </c>
      <c r="E7627" s="7" t="s">
        <v>31</v>
      </c>
      <c r="F7627" s="0" t="n">
        <v>75.33</v>
      </c>
      <c r="G7627" s="0" t="n">
        <v>19.5858</v>
      </c>
      <c r="H7627" s="0" t="n">
        <v>0</v>
      </c>
      <c r="I7627" s="7" t="n">
        <f aca="false">YEAR(B7627)</f>
        <v>2015</v>
      </c>
      <c r="J7627" s="0" t="str">
        <f aca="false">I7627&amp;"-Q"&amp;ROUNDUP(MONTH(B7627)/3,0)</f>
        <v>2015-Q2</v>
      </c>
    </row>
    <row r="7628" customFormat="false" ht="15" hidden="false" customHeight="false" outlineLevel="0" collapsed="false">
      <c r="A7628" s="0" t="s">
        <v>3864</v>
      </c>
      <c r="B7628" s="6" t="n">
        <v>42329</v>
      </c>
      <c r="C7628" s="7" t="s">
        <v>33</v>
      </c>
      <c r="D7628" s="7" t="s">
        <v>81</v>
      </c>
      <c r="E7628" s="7" t="s">
        <v>35</v>
      </c>
      <c r="F7628" s="0" t="n">
        <v>325.632</v>
      </c>
      <c r="G7628" s="0" t="n">
        <v>28.4928</v>
      </c>
      <c r="H7628" s="0" t="n">
        <v>0.2</v>
      </c>
      <c r="I7628" s="7" t="n">
        <f aca="false">YEAR(B7628)</f>
        <v>2015</v>
      </c>
      <c r="J7628" s="0" t="str">
        <f aca="false">I7628&amp;"-Q"&amp;ROUNDUP(MONTH(B7628)/3,0)</f>
        <v>2015-Q4</v>
      </c>
    </row>
    <row r="7629" customFormat="false" ht="15" hidden="false" customHeight="false" outlineLevel="0" collapsed="false">
      <c r="A7629" s="0" t="s">
        <v>3864</v>
      </c>
      <c r="B7629" s="6" t="n">
        <v>42329</v>
      </c>
      <c r="C7629" s="7" t="s">
        <v>33</v>
      </c>
      <c r="D7629" s="7" t="s">
        <v>81</v>
      </c>
      <c r="E7629" s="7" t="s">
        <v>39</v>
      </c>
      <c r="F7629" s="0" t="n">
        <v>23.344</v>
      </c>
      <c r="G7629" s="0" t="n">
        <v>-1.459</v>
      </c>
      <c r="H7629" s="0" t="n">
        <v>0.2</v>
      </c>
      <c r="I7629" s="7" t="n">
        <f aca="false">YEAR(B7629)</f>
        <v>2015</v>
      </c>
      <c r="J7629" s="0" t="str">
        <f aca="false">I7629&amp;"-Q"&amp;ROUNDUP(MONTH(B7629)/3,0)</f>
        <v>2015-Q4</v>
      </c>
    </row>
    <row r="7630" customFormat="false" ht="15" hidden="false" customHeight="false" outlineLevel="0" collapsed="false">
      <c r="A7630" s="0" t="s">
        <v>3864</v>
      </c>
      <c r="B7630" s="6" t="n">
        <v>42329</v>
      </c>
      <c r="C7630" s="7" t="s">
        <v>33</v>
      </c>
      <c r="D7630" s="7" t="s">
        <v>81</v>
      </c>
      <c r="E7630" s="7" t="s">
        <v>35</v>
      </c>
      <c r="F7630" s="0" t="n">
        <v>16.52</v>
      </c>
      <c r="G7630" s="0" t="n">
        <v>5.369</v>
      </c>
      <c r="H7630" s="0" t="n">
        <v>0.2</v>
      </c>
      <c r="I7630" s="7" t="n">
        <f aca="false">YEAR(B7630)</f>
        <v>2015</v>
      </c>
      <c r="J7630" s="0" t="str">
        <f aca="false">I7630&amp;"-Q"&amp;ROUNDUP(MONTH(B7630)/3,0)</f>
        <v>2015-Q4</v>
      </c>
    </row>
    <row r="7631" customFormat="false" ht="15" hidden="false" customHeight="false" outlineLevel="0" collapsed="false">
      <c r="A7631" s="0" t="s">
        <v>3865</v>
      </c>
      <c r="B7631" s="6" t="n">
        <v>41728</v>
      </c>
      <c r="C7631" s="7" t="s">
        <v>45</v>
      </c>
      <c r="D7631" s="7" t="s">
        <v>46</v>
      </c>
      <c r="E7631" s="7" t="s">
        <v>35</v>
      </c>
      <c r="F7631" s="0" t="n">
        <v>335.72</v>
      </c>
      <c r="G7631" s="0" t="n">
        <v>113.3055</v>
      </c>
      <c r="H7631" s="0" t="n">
        <v>0.2</v>
      </c>
      <c r="I7631" s="7" t="n">
        <f aca="false">YEAR(B7631)</f>
        <v>2014</v>
      </c>
      <c r="J7631" s="0" t="str">
        <f aca="false">I7631&amp;"-Q"&amp;ROUNDUP(MONTH(B7631)/3,0)</f>
        <v>2014-Q1</v>
      </c>
    </row>
    <row r="7632" customFormat="false" ht="15" hidden="false" customHeight="false" outlineLevel="0" collapsed="false">
      <c r="A7632" s="0" t="s">
        <v>3865</v>
      </c>
      <c r="B7632" s="6" t="n">
        <v>41728</v>
      </c>
      <c r="C7632" s="7" t="s">
        <v>45</v>
      </c>
      <c r="D7632" s="7" t="s">
        <v>46</v>
      </c>
      <c r="E7632" s="7" t="s">
        <v>39</v>
      </c>
      <c r="F7632" s="0" t="n">
        <v>251.944</v>
      </c>
      <c r="G7632" s="0" t="n">
        <v>88.1804</v>
      </c>
      <c r="H7632" s="0" t="n">
        <v>0.2</v>
      </c>
      <c r="I7632" s="7" t="n">
        <f aca="false">YEAR(B7632)</f>
        <v>2014</v>
      </c>
      <c r="J7632" s="0" t="str">
        <f aca="false">I7632&amp;"-Q"&amp;ROUNDUP(MONTH(B7632)/3,0)</f>
        <v>2014-Q1</v>
      </c>
    </row>
    <row r="7633" customFormat="false" ht="15" hidden="false" customHeight="false" outlineLevel="0" collapsed="false">
      <c r="A7633" s="0" t="s">
        <v>3865</v>
      </c>
      <c r="B7633" s="6" t="n">
        <v>41728</v>
      </c>
      <c r="C7633" s="7" t="s">
        <v>45</v>
      </c>
      <c r="D7633" s="7" t="s">
        <v>46</v>
      </c>
      <c r="E7633" s="7" t="s">
        <v>31</v>
      </c>
      <c r="F7633" s="0" t="n">
        <v>127.302</v>
      </c>
      <c r="G7633" s="0" t="n">
        <v>-9.093</v>
      </c>
      <c r="H7633" s="0" t="n">
        <v>0.3</v>
      </c>
      <c r="I7633" s="7" t="n">
        <f aca="false">YEAR(B7633)</f>
        <v>2014</v>
      </c>
      <c r="J7633" s="0" t="str">
        <f aca="false">I7633&amp;"-Q"&amp;ROUNDUP(MONTH(B7633)/3,0)</f>
        <v>2014-Q1</v>
      </c>
    </row>
    <row r="7634" customFormat="false" ht="15" hidden="false" customHeight="false" outlineLevel="0" collapsed="false">
      <c r="A7634" s="0" t="s">
        <v>3866</v>
      </c>
      <c r="B7634" s="6" t="n">
        <v>43098</v>
      </c>
      <c r="C7634" s="7" t="s">
        <v>29</v>
      </c>
      <c r="D7634" s="7" t="s">
        <v>30</v>
      </c>
      <c r="E7634" s="7" t="s">
        <v>31</v>
      </c>
      <c r="F7634" s="0" t="n">
        <v>1207.84</v>
      </c>
      <c r="G7634" s="0" t="n">
        <v>314.0384</v>
      </c>
      <c r="H7634" s="0" t="n">
        <v>0</v>
      </c>
      <c r="I7634" s="7" t="n">
        <f aca="false">YEAR(B7634)</f>
        <v>2017</v>
      </c>
      <c r="J7634" s="0" t="str">
        <f aca="false">I7634&amp;"-Q"&amp;ROUNDUP(MONTH(B7634)/3,0)</f>
        <v>2017-Q4</v>
      </c>
    </row>
    <row r="7635" customFormat="false" ht="15" hidden="false" customHeight="false" outlineLevel="0" collapsed="false">
      <c r="A7635" s="0" t="s">
        <v>3866</v>
      </c>
      <c r="B7635" s="6" t="n">
        <v>43098</v>
      </c>
      <c r="C7635" s="7" t="s">
        <v>29</v>
      </c>
      <c r="D7635" s="7" t="s">
        <v>30</v>
      </c>
      <c r="E7635" s="7" t="s">
        <v>35</v>
      </c>
      <c r="F7635" s="0" t="n">
        <v>12.53</v>
      </c>
      <c r="G7635" s="0" t="n">
        <v>5.8891</v>
      </c>
      <c r="H7635" s="0" t="n">
        <v>0</v>
      </c>
      <c r="I7635" s="7" t="n">
        <f aca="false">YEAR(B7635)</f>
        <v>2017</v>
      </c>
      <c r="J7635" s="0" t="str">
        <f aca="false">I7635&amp;"-Q"&amp;ROUNDUP(MONTH(B7635)/3,0)</f>
        <v>2017-Q4</v>
      </c>
    </row>
    <row r="7636" customFormat="false" ht="15" hidden="false" customHeight="false" outlineLevel="0" collapsed="false">
      <c r="A7636" s="0" t="s">
        <v>3866</v>
      </c>
      <c r="B7636" s="6" t="n">
        <v>43098</v>
      </c>
      <c r="C7636" s="7" t="s">
        <v>29</v>
      </c>
      <c r="D7636" s="7" t="s">
        <v>30</v>
      </c>
      <c r="E7636" s="7" t="s">
        <v>35</v>
      </c>
      <c r="F7636" s="0" t="n">
        <v>34.58</v>
      </c>
      <c r="G7636" s="0" t="n">
        <v>10.0282</v>
      </c>
      <c r="H7636" s="0" t="n">
        <v>0</v>
      </c>
      <c r="I7636" s="7" t="n">
        <f aca="false">YEAR(B7636)</f>
        <v>2017</v>
      </c>
      <c r="J7636" s="0" t="str">
        <f aca="false">I7636&amp;"-Q"&amp;ROUNDUP(MONTH(B7636)/3,0)</f>
        <v>2017-Q4</v>
      </c>
    </row>
    <row r="7637" customFormat="false" ht="15" hidden="false" customHeight="false" outlineLevel="0" collapsed="false">
      <c r="A7637" s="0" t="s">
        <v>3866</v>
      </c>
      <c r="B7637" s="6" t="n">
        <v>43098</v>
      </c>
      <c r="C7637" s="7" t="s">
        <v>29</v>
      </c>
      <c r="D7637" s="7" t="s">
        <v>30</v>
      </c>
      <c r="E7637" s="7" t="s">
        <v>31</v>
      </c>
      <c r="F7637" s="0" t="n">
        <v>300.98</v>
      </c>
      <c r="G7637" s="0" t="n">
        <v>87.2842</v>
      </c>
      <c r="H7637" s="0" t="n">
        <v>0</v>
      </c>
      <c r="I7637" s="7" t="n">
        <f aca="false">YEAR(B7637)</f>
        <v>2017</v>
      </c>
      <c r="J7637" s="0" t="str">
        <f aca="false">I7637&amp;"-Q"&amp;ROUNDUP(MONTH(B7637)/3,0)</f>
        <v>2017-Q4</v>
      </c>
    </row>
    <row r="7638" customFormat="false" ht="15" hidden="false" customHeight="false" outlineLevel="0" collapsed="false">
      <c r="A7638" s="0" t="s">
        <v>3866</v>
      </c>
      <c r="B7638" s="6" t="n">
        <v>43098</v>
      </c>
      <c r="C7638" s="7" t="s">
        <v>29</v>
      </c>
      <c r="D7638" s="7" t="s">
        <v>30</v>
      </c>
      <c r="E7638" s="7" t="s">
        <v>31</v>
      </c>
      <c r="F7638" s="0" t="n">
        <v>258.75</v>
      </c>
      <c r="G7638" s="0" t="n">
        <v>77.625</v>
      </c>
      <c r="H7638" s="0" t="n">
        <v>0</v>
      </c>
      <c r="I7638" s="7" t="n">
        <f aca="false">YEAR(B7638)</f>
        <v>2017</v>
      </c>
      <c r="J7638" s="0" t="str">
        <f aca="false">I7638&amp;"-Q"&amp;ROUNDUP(MONTH(B7638)/3,0)</f>
        <v>2017-Q4</v>
      </c>
    </row>
    <row r="7639" customFormat="false" ht="15" hidden="false" customHeight="false" outlineLevel="0" collapsed="false">
      <c r="A7639" s="0" t="s">
        <v>3867</v>
      </c>
      <c r="B7639" s="6" t="n">
        <v>42796</v>
      </c>
      <c r="C7639" s="7" t="s">
        <v>55</v>
      </c>
      <c r="D7639" s="7" t="s">
        <v>72</v>
      </c>
      <c r="E7639" s="7" t="s">
        <v>35</v>
      </c>
      <c r="F7639" s="0" t="n">
        <v>59.52</v>
      </c>
      <c r="G7639" s="0" t="n">
        <v>15.4752</v>
      </c>
      <c r="H7639" s="0" t="n">
        <v>0</v>
      </c>
      <c r="I7639" s="7" t="n">
        <f aca="false">YEAR(B7639)</f>
        <v>2017</v>
      </c>
      <c r="J7639" s="0" t="str">
        <f aca="false">I7639&amp;"-Q"&amp;ROUNDUP(MONTH(B7639)/3,0)</f>
        <v>2017-Q1</v>
      </c>
    </row>
    <row r="7640" customFormat="false" ht="15" hidden="false" customHeight="false" outlineLevel="0" collapsed="false">
      <c r="A7640" s="0" t="s">
        <v>3867</v>
      </c>
      <c r="B7640" s="6" t="n">
        <v>42796</v>
      </c>
      <c r="C7640" s="7" t="s">
        <v>55</v>
      </c>
      <c r="D7640" s="7" t="s">
        <v>72</v>
      </c>
      <c r="E7640" s="7" t="s">
        <v>35</v>
      </c>
      <c r="F7640" s="0" t="n">
        <v>57.96</v>
      </c>
      <c r="G7640" s="0" t="n">
        <v>27.2412</v>
      </c>
      <c r="H7640" s="0" t="n">
        <v>0</v>
      </c>
      <c r="I7640" s="7" t="n">
        <f aca="false">YEAR(B7640)</f>
        <v>2017</v>
      </c>
      <c r="J7640" s="0" t="str">
        <f aca="false">I7640&amp;"-Q"&amp;ROUNDUP(MONTH(B7640)/3,0)</f>
        <v>2017-Q1</v>
      </c>
    </row>
    <row r="7641" customFormat="false" ht="15" hidden="false" customHeight="false" outlineLevel="0" collapsed="false">
      <c r="A7641" s="0" t="s">
        <v>3867</v>
      </c>
      <c r="B7641" s="6" t="n">
        <v>42796</v>
      </c>
      <c r="C7641" s="7" t="s">
        <v>55</v>
      </c>
      <c r="D7641" s="7" t="s">
        <v>72</v>
      </c>
      <c r="E7641" s="7" t="s">
        <v>31</v>
      </c>
      <c r="F7641" s="0" t="n">
        <v>441.96</v>
      </c>
      <c r="G7641" s="0" t="n">
        <v>101.6508</v>
      </c>
      <c r="H7641" s="0" t="n">
        <v>0</v>
      </c>
      <c r="I7641" s="7" t="n">
        <f aca="false">YEAR(B7641)</f>
        <v>2017</v>
      </c>
      <c r="J7641" s="0" t="str">
        <f aca="false">I7641&amp;"-Q"&amp;ROUNDUP(MONTH(B7641)/3,0)</f>
        <v>2017-Q1</v>
      </c>
    </row>
    <row r="7642" customFormat="false" ht="15" hidden="false" customHeight="false" outlineLevel="0" collapsed="false">
      <c r="A7642" s="0" t="s">
        <v>3867</v>
      </c>
      <c r="B7642" s="6" t="n">
        <v>42796</v>
      </c>
      <c r="C7642" s="7" t="s">
        <v>55</v>
      </c>
      <c r="D7642" s="7" t="s">
        <v>72</v>
      </c>
      <c r="E7642" s="7" t="s">
        <v>35</v>
      </c>
      <c r="F7642" s="0" t="n">
        <v>68.04</v>
      </c>
      <c r="G7642" s="0" t="n">
        <v>33.3396</v>
      </c>
      <c r="H7642" s="0" t="n">
        <v>0</v>
      </c>
      <c r="I7642" s="7" t="n">
        <f aca="false">YEAR(B7642)</f>
        <v>2017</v>
      </c>
      <c r="J7642" s="0" t="str">
        <f aca="false">I7642&amp;"-Q"&amp;ROUNDUP(MONTH(B7642)/3,0)</f>
        <v>2017-Q1</v>
      </c>
    </row>
    <row r="7643" customFormat="false" ht="15" hidden="false" customHeight="false" outlineLevel="0" collapsed="false">
      <c r="A7643" s="0" t="s">
        <v>3868</v>
      </c>
      <c r="B7643" s="6" t="n">
        <v>42649</v>
      </c>
      <c r="C7643" s="7" t="s">
        <v>33</v>
      </c>
      <c r="D7643" s="7" t="s">
        <v>109</v>
      </c>
      <c r="E7643" s="7" t="s">
        <v>39</v>
      </c>
      <c r="F7643" s="0" t="n">
        <v>703.71</v>
      </c>
      <c r="G7643" s="0" t="n">
        <v>-938.28</v>
      </c>
      <c r="H7643" s="0" t="n">
        <v>0.7</v>
      </c>
      <c r="I7643" s="7" t="n">
        <f aca="false">YEAR(B7643)</f>
        <v>2016</v>
      </c>
      <c r="J7643" s="0" t="str">
        <f aca="false">I7643&amp;"-Q"&amp;ROUNDUP(MONTH(B7643)/3,0)</f>
        <v>2016-Q4</v>
      </c>
    </row>
    <row r="7644" customFormat="false" ht="15" hidden="false" customHeight="false" outlineLevel="0" collapsed="false">
      <c r="A7644" s="0" t="s">
        <v>3868</v>
      </c>
      <c r="B7644" s="6" t="n">
        <v>42649</v>
      </c>
      <c r="C7644" s="7" t="s">
        <v>33</v>
      </c>
      <c r="D7644" s="7" t="s">
        <v>109</v>
      </c>
      <c r="E7644" s="7" t="s">
        <v>35</v>
      </c>
      <c r="F7644" s="0" t="n">
        <v>17.904</v>
      </c>
      <c r="G7644" s="0" t="n">
        <v>-14.92</v>
      </c>
      <c r="H7644" s="0" t="n">
        <v>0.7</v>
      </c>
      <c r="I7644" s="7" t="n">
        <f aca="false">YEAR(B7644)</f>
        <v>2016</v>
      </c>
      <c r="J7644" s="0" t="str">
        <f aca="false">I7644&amp;"-Q"&amp;ROUNDUP(MONTH(B7644)/3,0)</f>
        <v>2016-Q4</v>
      </c>
    </row>
    <row r="7645" customFormat="false" ht="15" hidden="false" customHeight="false" outlineLevel="0" collapsed="false">
      <c r="A7645" s="0" t="s">
        <v>3868</v>
      </c>
      <c r="B7645" s="6" t="n">
        <v>42649</v>
      </c>
      <c r="C7645" s="7" t="s">
        <v>33</v>
      </c>
      <c r="D7645" s="7" t="s">
        <v>109</v>
      </c>
      <c r="E7645" s="7" t="s">
        <v>35</v>
      </c>
      <c r="F7645" s="0" t="n">
        <v>11.976</v>
      </c>
      <c r="G7645" s="0" t="n">
        <v>-9.1816</v>
      </c>
      <c r="H7645" s="0" t="n">
        <v>0.7</v>
      </c>
      <c r="I7645" s="7" t="n">
        <f aca="false">YEAR(B7645)</f>
        <v>2016</v>
      </c>
      <c r="J7645" s="0" t="str">
        <f aca="false">I7645&amp;"-Q"&amp;ROUNDUP(MONTH(B7645)/3,0)</f>
        <v>2016-Q4</v>
      </c>
    </row>
    <row r="7646" customFormat="false" ht="15" hidden="false" customHeight="false" outlineLevel="0" collapsed="false">
      <c r="A7646" s="0" t="s">
        <v>3868</v>
      </c>
      <c r="B7646" s="6" t="n">
        <v>42649</v>
      </c>
      <c r="C7646" s="7" t="s">
        <v>33</v>
      </c>
      <c r="D7646" s="7" t="s">
        <v>109</v>
      </c>
      <c r="E7646" s="7" t="s">
        <v>39</v>
      </c>
      <c r="F7646" s="0" t="n">
        <v>67.96</v>
      </c>
      <c r="G7646" s="0" t="n">
        <v>0.8495</v>
      </c>
      <c r="H7646" s="0" t="n">
        <v>0.2</v>
      </c>
      <c r="I7646" s="7" t="n">
        <f aca="false">YEAR(B7646)</f>
        <v>2016</v>
      </c>
      <c r="J7646" s="0" t="str">
        <f aca="false">I7646&amp;"-Q"&amp;ROUNDUP(MONTH(B7646)/3,0)</f>
        <v>2016-Q4</v>
      </c>
    </row>
    <row r="7647" customFormat="false" ht="15" hidden="false" customHeight="false" outlineLevel="0" collapsed="false">
      <c r="A7647" s="0" t="s">
        <v>3869</v>
      </c>
      <c r="B7647" s="6" t="n">
        <v>42099</v>
      </c>
      <c r="C7647" s="7" t="s">
        <v>33</v>
      </c>
      <c r="D7647" s="7" t="s">
        <v>34</v>
      </c>
      <c r="E7647" s="7" t="s">
        <v>31</v>
      </c>
      <c r="F7647" s="0" t="n">
        <v>892.224</v>
      </c>
      <c r="G7647" s="0" t="n">
        <v>89.2224</v>
      </c>
      <c r="H7647" s="0" t="n">
        <v>0.2</v>
      </c>
      <c r="I7647" s="7" t="n">
        <f aca="false">YEAR(B7647)</f>
        <v>2015</v>
      </c>
      <c r="J7647" s="0" t="str">
        <f aca="false">I7647&amp;"-Q"&amp;ROUNDUP(MONTH(B7647)/3,0)</f>
        <v>2015-Q2</v>
      </c>
    </row>
    <row r="7648" customFormat="false" ht="15" hidden="false" customHeight="false" outlineLevel="0" collapsed="false">
      <c r="A7648" s="0" t="s">
        <v>3870</v>
      </c>
      <c r="B7648" s="6" t="n">
        <v>41891</v>
      </c>
      <c r="C7648" s="7" t="s">
        <v>29</v>
      </c>
      <c r="D7648" s="7" t="s">
        <v>41</v>
      </c>
      <c r="E7648" s="7" t="s">
        <v>39</v>
      </c>
      <c r="F7648" s="0" t="n">
        <v>1299.99</v>
      </c>
      <c r="G7648" s="0" t="n">
        <v>-571.9956</v>
      </c>
      <c r="H7648" s="0" t="n">
        <v>0.5</v>
      </c>
      <c r="I7648" s="7" t="n">
        <f aca="false">YEAR(B7648)</f>
        <v>2014</v>
      </c>
      <c r="J7648" s="0" t="str">
        <f aca="false">I7648&amp;"-Q"&amp;ROUNDUP(MONTH(B7648)/3,0)</f>
        <v>2014-Q3</v>
      </c>
    </row>
    <row r="7649" customFormat="false" ht="15" hidden="false" customHeight="false" outlineLevel="0" collapsed="false">
      <c r="A7649" s="0" t="s">
        <v>3871</v>
      </c>
      <c r="B7649" s="6" t="n">
        <v>42444</v>
      </c>
      <c r="C7649" s="7" t="s">
        <v>33</v>
      </c>
      <c r="D7649" s="7" t="s">
        <v>34</v>
      </c>
      <c r="E7649" s="7" t="s">
        <v>35</v>
      </c>
      <c r="F7649" s="0" t="n">
        <v>4.544</v>
      </c>
      <c r="G7649" s="0" t="n">
        <v>1.6472</v>
      </c>
      <c r="H7649" s="0" t="n">
        <v>0.2</v>
      </c>
      <c r="I7649" s="7" t="n">
        <f aca="false">YEAR(B7649)</f>
        <v>2016</v>
      </c>
      <c r="J7649" s="0" t="str">
        <f aca="false">I7649&amp;"-Q"&amp;ROUNDUP(MONTH(B7649)/3,0)</f>
        <v>2016-Q1</v>
      </c>
    </row>
    <row r="7650" customFormat="false" ht="15" hidden="false" customHeight="false" outlineLevel="0" collapsed="false">
      <c r="A7650" s="0" t="s">
        <v>3871</v>
      </c>
      <c r="B7650" s="6" t="n">
        <v>42444</v>
      </c>
      <c r="C7650" s="7" t="s">
        <v>33</v>
      </c>
      <c r="D7650" s="7" t="s">
        <v>34</v>
      </c>
      <c r="E7650" s="7" t="s">
        <v>31</v>
      </c>
      <c r="F7650" s="0" t="n">
        <v>1352.032</v>
      </c>
      <c r="G7650" s="0" t="n">
        <v>84.502</v>
      </c>
      <c r="H7650" s="0" t="n">
        <v>0.2</v>
      </c>
      <c r="I7650" s="7" t="n">
        <f aca="false">YEAR(B7650)</f>
        <v>2016</v>
      </c>
      <c r="J7650" s="0" t="str">
        <f aca="false">I7650&amp;"-Q"&amp;ROUNDUP(MONTH(B7650)/3,0)</f>
        <v>2016-Q1</v>
      </c>
    </row>
    <row r="7651" customFormat="false" ht="15" hidden="false" customHeight="false" outlineLevel="0" collapsed="false">
      <c r="A7651" s="0" t="s">
        <v>3872</v>
      </c>
      <c r="B7651" s="6" t="n">
        <v>42365</v>
      </c>
      <c r="C7651" s="7" t="s">
        <v>55</v>
      </c>
      <c r="D7651" s="7" t="s">
        <v>116</v>
      </c>
      <c r="E7651" s="7" t="s">
        <v>31</v>
      </c>
      <c r="F7651" s="0" t="n">
        <v>1548.99</v>
      </c>
      <c r="G7651" s="0" t="n">
        <v>-464.697</v>
      </c>
      <c r="H7651" s="0" t="n">
        <v>0.4</v>
      </c>
      <c r="I7651" s="7" t="n">
        <f aca="false">YEAR(B7651)</f>
        <v>2015</v>
      </c>
      <c r="J7651" s="0" t="str">
        <f aca="false">I7651&amp;"-Q"&amp;ROUNDUP(MONTH(B7651)/3,0)</f>
        <v>2015-Q4</v>
      </c>
    </row>
    <row r="7652" customFormat="false" ht="15" hidden="false" customHeight="false" outlineLevel="0" collapsed="false">
      <c r="A7652" s="0" t="s">
        <v>3872</v>
      </c>
      <c r="B7652" s="6" t="n">
        <v>42365</v>
      </c>
      <c r="C7652" s="7" t="s">
        <v>55</v>
      </c>
      <c r="D7652" s="7" t="s">
        <v>116</v>
      </c>
      <c r="E7652" s="7" t="s">
        <v>35</v>
      </c>
      <c r="F7652" s="0" t="n">
        <v>19.872</v>
      </c>
      <c r="G7652" s="0" t="n">
        <v>6.7068</v>
      </c>
      <c r="H7652" s="0" t="n">
        <v>0.2</v>
      </c>
      <c r="I7652" s="7" t="n">
        <f aca="false">YEAR(B7652)</f>
        <v>2015</v>
      </c>
      <c r="J7652" s="0" t="str">
        <f aca="false">I7652&amp;"-Q"&amp;ROUNDUP(MONTH(B7652)/3,0)</f>
        <v>2015-Q4</v>
      </c>
    </row>
    <row r="7653" customFormat="false" ht="15" hidden="false" customHeight="false" outlineLevel="0" collapsed="false">
      <c r="A7653" s="0" t="s">
        <v>3873</v>
      </c>
      <c r="B7653" s="6" t="n">
        <v>42954</v>
      </c>
      <c r="C7653" s="7" t="s">
        <v>45</v>
      </c>
      <c r="D7653" s="7" t="s">
        <v>46</v>
      </c>
      <c r="E7653" s="7" t="s">
        <v>39</v>
      </c>
      <c r="F7653" s="0" t="n">
        <v>119.448</v>
      </c>
      <c r="G7653" s="0" t="n">
        <v>-13.4379</v>
      </c>
      <c r="H7653" s="0" t="n">
        <v>0.2</v>
      </c>
      <c r="I7653" s="7" t="n">
        <f aca="false">YEAR(B7653)</f>
        <v>2017</v>
      </c>
      <c r="J7653" s="0" t="str">
        <f aca="false">I7653&amp;"-Q"&amp;ROUNDUP(MONTH(B7653)/3,0)</f>
        <v>2017-Q3</v>
      </c>
    </row>
    <row r="7654" customFormat="false" ht="15" hidden="false" customHeight="false" outlineLevel="0" collapsed="false">
      <c r="A7654" s="0" t="s">
        <v>3873</v>
      </c>
      <c r="B7654" s="6" t="n">
        <v>42954</v>
      </c>
      <c r="C7654" s="7" t="s">
        <v>45</v>
      </c>
      <c r="D7654" s="7" t="s">
        <v>46</v>
      </c>
      <c r="E7654" s="7" t="s">
        <v>35</v>
      </c>
      <c r="F7654" s="0" t="n">
        <v>118.16</v>
      </c>
      <c r="G7654" s="0" t="n">
        <v>-25.109</v>
      </c>
      <c r="H7654" s="0" t="n">
        <v>0.2</v>
      </c>
      <c r="I7654" s="7" t="n">
        <f aca="false">YEAR(B7654)</f>
        <v>2017</v>
      </c>
      <c r="J7654" s="0" t="str">
        <f aca="false">I7654&amp;"-Q"&amp;ROUNDUP(MONTH(B7654)/3,0)</f>
        <v>2017-Q3</v>
      </c>
    </row>
    <row r="7655" customFormat="false" ht="15" hidden="false" customHeight="false" outlineLevel="0" collapsed="false">
      <c r="A7655" s="0" t="s">
        <v>3874</v>
      </c>
      <c r="B7655" s="6" t="n">
        <v>42085</v>
      </c>
      <c r="C7655" s="7" t="s">
        <v>29</v>
      </c>
      <c r="D7655" s="7" t="s">
        <v>91</v>
      </c>
      <c r="E7655" s="7" t="s">
        <v>35</v>
      </c>
      <c r="F7655" s="0" t="n">
        <v>19.56</v>
      </c>
      <c r="G7655" s="0" t="n">
        <v>5.4768</v>
      </c>
      <c r="H7655" s="0" t="n">
        <v>0</v>
      </c>
      <c r="I7655" s="7" t="n">
        <f aca="false">YEAR(B7655)</f>
        <v>2015</v>
      </c>
      <c r="J7655" s="0" t="str">
        <f aca="false">I7655&amp;"-Q"&amp;ROUNDUP(MONTH(B7655)/3,0)</f>
        <v>2015-Q1</v>
      </c>
    </row>
    <row r="7656" customFormat="false" ht="15" hidden="false" customHeight="false" outlineLevel="0" collapsed="false">
      <c r="A7656" s="0" t="s">
        <v>3875</v>
      </c>
      <c r="B7656" s="6" t="n">
        <v>42338</v>
      </c>
      <c r="C7656" s="7" t="s">
        <v>33</v>
      </c>
      <c r="D7656" s="7" t="s">
        <v>248</v>
      </c>
      <c r="E7656" s="7" t="s">
        <v>31</v>
      </c>
      <c r="F7656" s="0" t="n">
        <v>80.96</v>
      </c>
      <c r="G7656" s="0" t="n">
        <v>29.1456</v>
      </c>
      <c r="H7656" s="0" t="n">
        <v>0</v>
      </c>
      <c r="I7656" s="7" t="n">
        <f aca="false">YEAR(B7656)</f>
        <v>2015</v>
      </c>
      <c r="J7656" s="0" t="str">
        <f aca="false">I7656&amp;"-Q"&amp;ROUNDUP(MONTH(B7656)/3,0)</f>
        <v>2015-Q4</v>
      </c>
    </row>
    <row r="7657" customFormat="false" ht="15" hidden="false" customHeight="false" outlineLevel="0" collapsed="false">
      <c r="A7657" s="0" t="s">
        <v>3875</v>
      </c>
      <c r="B7657" s="6" t="n">
        <v>42338</v>
      </c>
      <c r="C7657" s="7" t="s">
        <v>33</v>
      </c>
      <c r="D7657" s="7" t="s">
        <v>248</v>
      </c>
      <c r="E7657" s="7" t="s">
        <v>35</v>
      </c>
      <c r="F7657" s="0" t="n">
        <v>25.92</v>
      </c>
      <c r="G7657" s="0" t="n">
        <v>12.4416</v>
      </c>
      <c r="H7657" s="0" t="n">
        <v>0</v>
      </c>
      <c r="I7657" s="7" t="n">
        <f aca="false">YEAR(B7657)</f>
        <v>2015</v>
      </c>
      <c r="J7657" s="0" t="str">
        <f aca="false">I7657&amp;"-Q"&amp;ROUNDUP(MONTH(B7657)/3,0)</f>
        <v>2015-Q4</v>
      </c>
    </row>
    <row r="7658" customFormat="false" ht="15" hidden="false" customHeight="false" outlineLevel="0" collapsed="false">
      <c r="A7658" s="0" t="s">
        <v>3876</v>
      </c>
      <c r="B7658" s="6" t="n">
        <v>41744</v>
      </c>
      <c r="C7658" s="7" t="s">
        <v>33</v>
      </c>
      <c r="D7658" s="7" t="s">
        <v>34</v>
      </c>
      <c r="E7658" s="7" t="s">
        <v>35</v>
      </c>
      <c r="F7658" s="0" t="n">
        <v>106.96</v>
      </c>
      <c r="G7658" s="0" t="n">
        <v>31.0184</v>
      </c>
      <c r="H7658" s="0" t="n">
        <v>0</v>
      </c>
      <c r="I7658" s="7" t="n">
        <f aca="false">YEAR(B7658)</f>
        <v>2014</v>
      </c>
      <c r="J7658" s="0" t="str">
        <f aca="false">I7658&amp;"-Q"&amp;ROUNDUP(MONTH(B7658)/3,0)</f>
        <v>2014-Q2</v>
      </c>
    </row>
    <row r="7659" customFormat="false" ht="15" hidden="false" customHeight="false" outlineLevel="0" collapsed="false">
      <c r="A7659" s="0" t="s">
        <v>3876</v>
      </c>
      <c r="B7659" s="6" t="n">
        <v>41744</v>
      </c>
      <c r="C7659" s="7" t="s">
        <v>33</v>
      </c>
      <c r="D7659" s="7" t="s">
        <v>34</v>
      </c>
      <c r="E7659" s="7" t="s">
        <v>31</v>
      </c>
      <c r="F7659" s="0" t="n">
        <v>187.76</v>
      </c>
      <c r="G7659" s="0" t="n">
        <v>76.9816</v>
      </c>
      <c r="H7659" s="0" t="n">
        <v>0</v>
      </c>
      <c r="I7659" s="7" t="n">
        <f aca="false">YEAR(B7659)</f>
        <v>2014</v>
      </c>
      <c r="J7659" s="0" t="str">
        <f aca="false">I7659&amp;"-Q"&amp;ROUNDUP(MONTH(B7659)/3,0)</f>
        <v>2014-Q2</v>
      </c>
    </row>
    <row r="7660" customFormat="false" ht="15" hidden="false" customHeight="false" outlineLevel="0" collapsed="false">
      <c r="A7660" s="0" t="s">
        <v>3877</v>
      </c>
      <c r="B7660" s="6" t="n">
        <v>42946</v>
      </c>
      <c r="C7660" s="7" t="s">
        <v>55</v>
      </c>
      <c r="D7660" s="7" t="s">
        <v>116</v>
      </c>
      <c r="E7660" s="7" t="s">
        <v>35</v>
      </c>
      <c r="F7660" s="0" t="n">
        <v>76.776</v>
      </c>
      <c r="G7660" s="0" t="n">
        <v>-53.7432</v>
      </c>
      <c r="H7660" s="0" t="n">
        <v>0.7</v>
      </c>
      <c r="I7660" s="7" t="n">
        <f aca="false">YEAR(B7660)</f>
        <v>2017</v>
      </c>
      <c r="J7660" s="0" t="str">
        <f aca="false">I7660&amp;"-Q"&amp;ROUNDUP(MONTH(B7660)/3,0)</f>
        <v>2017-Q3</v>
      </c>
    </row>
    <row r="7661" customFormat="false" ht="15" hidden="false" customHeight="false" outlineLevel="0" collapsed="false">
      <c r="A7661" s="0" t="s">
        <v>3878</v>
      </c>
      <c r="B7661" s="6" t="n">
        <v>42887</v>
      </c>
      <c r="C7661" s="7" t="s">
        <v>45</v>
      </c>
      <c r="D7661" s="7" t="s">
        <v>53</v>
      </c>
      <c r="E7661" s="7" t="s">
        <v>35</v>
      </c>
      <c r="F7661" s="0" t="n">
        <v>53.9</v>
      </c>
      <c r="G7661" s="0" t="n">
        <v>25.872</v>
      </c>
      <c r="H7661" s="0" t="n">
        <v>0</v>
      </c>
      <c r="I7661" s="7" t="n">
        <f aca="false">YEAR(B7661)</f>
        <v>2017</v>
      </c>
      <c r="J7661" s="0" t="str">
        <f aca="false">I7661&amp;"-Q"&amp;ROUNDUP(MONTH(B7661)/3,0)</f>
        <v>2017-Q2</v>
      </c>
    </row>
    <row r="7662" customFormat="false" ht="15" hidden="false" customHeight="false" outlineLevel="0" collapsed="false">
      <c r="A7662" s="0" t="s">
        <v>3879</v>
      </c>
      <c r="B7662" s="6" t="n">
        <v>41646</v>
      </c>
      <c r="C7662" s="7" t="s">
        <v>45</v>
      </c>
      <c r="D7662" s="7" t="s">
        <v>46</v>
      </c>
      <c r="E7662" s="7" t="s">
        <v>31</v>
      </c>
      <c r="F7662" s="0" t="n">
        <v>76.728</v>
      </c>
      <c r="G7662" s="0" t="n">
        <v>-53.7096</v>
      </c>
      <c r="H7662" s="0" t="n">
        <v>0.6</v>
      </c>
      <c r="I7662" s="7" t="n">
        <f aca="false">YEAR(B7662)</f>
        <v>2014</v>
      </c>
      <c r="J7662" s="0" t="str">
        <f aca="false">I7662&amp;"-Q"&amp;ROUNDUP(MONTH(B7662)/3,0)</f>
        <v>2014-Q1</v>
      </c>
    </row>
    <row r="7663" customFormat="false" ht="15" hidden="false" customHeight="false" outlineLevel="0" collapsed="false">
      <c r="A7663" s="0" t="s">
        <v>3879</v>
      </c>
      <c r="B7663" s="6" t="n">
        <v>41646</v>
      </c>
      <c r="C7663" s="7" t="s">
        <v>45</v>
      </c>
      <c r="D7663" s="7" t="s">
        <v>46</v>
      </c>
      <c r="E7663" s="7" t="s">
        <v>35</v>
      </c>
      <c r="F7663" s="0" t="n">
        <v>10.43</v>
      </c>
      <c r="G7663" s="0" t="n">
        <v>-18.2525</v>
      </c>
      <c r="H7663" s="0" t="n">
        <v>0.8</v>
      </c>
      <c r="I7663" s="7" t="n">
        <f aca="false">YEAR(B7663)</f>
        <v>2014</v>
      </c>
      <c r="J7663" s="0" t="str">
        <f aca="false">I7663&amp;"-Q"&amp;ROUNDUP(MONTH(B7663)/3,0)</f>
        <v>2014-Q1</v>
      </c>
    </row>
    <row r="7664" customFormat="false" ht="15" hidden="false" customHeight="false" outlineLevel="0" collapsed="false">
      <c r="A7664" s="0" t="s">
        <v>3880</v>
      </c>
      <c r="B7664" s="6" t="n">
        <v>43007</v>
      </c>
      <c r="C7664" s="7" t="s">
        <v>33</v>
      </c>
      <c r="D7664" s="7" t="s">
        <v>34</v>
      </c>
      <c r="E7664" s="7" t="s">
        <v>35</v>
      </c>
      <c r="F7664" s="0" t="n">
        <v>99.2</v>
      </c>
      <c r="G7664" s="0" t="n">
        <v>25.792</v>
      </c>
      <c r="H7664" s="0" t="n">
        <v>0</v>
      </c>
      <c r="I7664" s="7" t="n">
        <f aca="false">YEAR(B7664)</f>
        <v>2017</v>
      </c>
      <c r="J7664" s="0" t="str">
        <f aca="false">I7664&amp;"-Q"&amp;ROUNDUP(MONTH(B7664)/3,0)</f>
        <v>2017-Q3</v>
      </c>
    </row>
    <row r="7665" customFormat="false" ht="15" hidden="false" customHeight="false" outlineLevel="0" collapsed="false">
      <c r="A7665" s="0" t="s">
        <v>3881</v>
      </c>
      <c r="B7665" s="6" t="n">
        <v>42991</v>
      </c>
      <c r="C7665" s="7" t="s">
        <v>29</v>
      </c>
      <c r="D7665" s="7" t="s">
        <v>41</v>
      </c>
      <c r="E7665" s="7" t="s">
        <v>35</v>
      </c>
      <c r="F7665" s="0" t="n">
        <v>15.92</v>
      </c>
      <c r="G7665" s="0" t="n">
        <v>2.786</v>
      </c>
      <c r="H7665" s="0" t="n">
        <v>0.2</v>
      </c>
      <c r="I7665" s="7" t="n">
        <f aca="false">YEAR(B7665)</f>
        <v>2017</v>
      </c>
      <c r="J7665" s="0" t="str">
        <f aca="false">I7665&amp;"-Q"&amp;ROUNDUP(MONTH(B7665)/3,0)</f>
        <v>2017-Q3</v>
      </c>
    </row>
    <row r="7666" customFormat="false" ht="15" hidden="false" customHeight="false" outlineLevel="0" collapsed="false">
      <c r="A7666" s="0" t="s">
        <v>3882</v>
      </c>
      <c r="B7666" s="6" t="n">
        <v>41934</v>
      </c>
      <c r="C7666" s="7" t="s">
        <v>29</v>
      </c>
      <c r="D7666" s="7" t="s">
        <v>152</v>
      </c>
      <c r="E7666" s="7" t="s">
        <v>31</v>
      </c>
      <c r="F7666" s="0" t="n">
        <v>129.92</v>
      </c>
      <c r="G7666" s="0" t="n">
        <v>10.3936</v>
      </c>
      <c r="H7666" s="0" t="n">
        <v>0</v>
      </c>
      <c r="I7666" s="7" t="n">
        <f aca="false">YEAR(B7666)</f>
        <v>2014</v>
      </c>
      <c r="J7666" s="0" t="str">
        <f aca="false">I7666&amp;"-Q"&amp;ROUNDUP(MONTH(B7666)/3,0)</f>
        <v>2014-Q4</v>
      </c>
    </row>
    <row r="7667" customFormat="false" ht="15" hidden="false" customHeight="false" outlineLevel="0" collapsed="false">
      <c r="A7667" s="0" t="s">
        <v>3883</v>
      </c>
      <c r="B7667" s="6" t="n">
        <v>42647</v>
      </c>
      <c r="C7667" s="7" t="s">
        <v>55</v>
      </c>
      <c r="D7667" s="7" t="s">
        <v>250</v>
      </c>
      <c r="E7667" s="7" t="s">
        <v>35</v>
      </c>
      <c r="F7667" s="0" t="n">
        <v>30.4</v>
      </c>
      <c r="G7667" s="0" t="n">
        <v>13.984</v>
      </c>
      <c r="H7667" s="0" t="n">
        <v>0</v>
      </c>
      <c r="I7667" s="7" t="n">
        <f aca="false">YEAR(B7667)</f>
        <v>2016</v>
      </c>
      <c r="J7667" s="0" t="str">
        <f aca="false">I7667&amp;"-Q"&amp;ROUNDUP(MONTH(B7667)/3,0)</f>
        <v>2016-Q4</v>
      </c>
    </row>
    <row r="7668" customFormat="false" ht="15" hidden="false" customHeight="false" outlineLevel="0" collapsed="false">
      <c r="A7668" s="0" t="s">
        <v>3883</v>
      </c>
      <c r="B7668" s="6" t="n">
        <v>42647</v>
      </c>
      <c r="C7668" s="7" t="s">
        <v>55</v>
      </c>
      <c r="D7668" s="7" t="s">
        <v>250</v>
      </c>
      <c r="E7668" s="7" t="s">
        <v>39</v>
      </c>
      <c r="F7668" s="0" t="n">
        <v>5399.91</v>
      </c>
      <c r="G7668" s="0" t="n">
        <v>2591.9568</v>
      </c>
      <c r="H7668" s="0" t="n">
        <v>0</v>
      </c>
      <c r="I7668" s="7" t="n">
        <f aca="false">YEAR(B7668)</f>
        <v>2016</v>
      </c>
      <c r="J7668" s="0" t="str">
        <f aca="false">I7668&amp;"-Q"&amp;ROUNDUP(MONTH(B7668)/3,0)</f>
        <v>2016-Q4</v>
      </c>
    </row>
    <row r="7669" customFormat="false" ht="15" hidden="false" customHeight="false" outlineLevel="0" collapsed="false">
      <c r="A7669" s="0" t="s">
        <v>3883</v>
      </c>
      <c r="B7669" s="6" t="n">
        <v>42647</v>
      </c>
      <c r="C7669" s="7" t="s">
        <v>55</v>
      </c>
      <c r="D7669" s="7" t="s">
        <v>250</v>
      </c>
      <c r="E7669" s="7" t="s">
        <v>35</v>
      </c>
      <c r="F7669" s="0" t="n">
        <v>119.1</v>
      </c>
      <c r="G7669" s="0" t="n">
        <v>34.539</v>
      </c>
      <c r="H7669" s="0" t="n">
        <v>0</v>
      </c>
      <c r="I7669" s="7" t="n">
        <f aca="false">YEAR(B7669)</f>
        <v>2016</v>
      </c>
      <c r="J7669" s="0" t="str">
        <f aca="false">I7669&amp;"-Q"&amp;ROUNDUP(MONTH(B7669)/3,0)</f>
        <v>2016-Q4</v>
      </c>
    </row>
    <row r="7670" customFormat="false" ht="15" hidden="false" customHeight="false" outlineLevel="0" collapsed="false">
      <c r="A7670" s="0" t="s">
        <v>3884</v>
      </c>
      <c r="B7670" s="6" t="n">
        <v>42335</v>
      </c>
      <c r="C7670" s="7" t="s">
        <v>55</v>
      </c>
      <c r="D7670" s="7" t="s">
        <v>225</v>
      </c>
      <c r="E7670" s="7" t="s">
        <v>35</v>
      </c>
      <c r="F7670" s="0" t="n">
        <v>40.08</v>
      </c>
      <c r="G7670" s="0" t="n">
        <v>19.2384</v>
      </c>
      <c r="H7670" s="0" t="n">
        <v>0</v>
      </c>
      <c r="I7670" s="7" t="n">
        <f aca="false">YEAR(B7670)</f>
        <v>2015</v>
      </c>
      <c r="J7670" s="0" t="str">
        <f aca="false">I7670&amp;"-Q"&amp;ROUNDUP(MONTH(B7670)/3,0)</f>
        <v>2015-Q4</v>
      </c>
    </row>
    <row r="7671" customFormat="false" ht="15" hidden="false" customHeight="false" outlineLevel="0" collapsed="false">
      <c r="A7671" s="0" t="s">
        <v>3884</v>
      </c>
      <c r="B7671" s="6" t="n">
        <v>42335</v>
      </c>
      <c r="C7671" s="7" t="s">
        <v>55</v>
      </c>
      <c r="D7671" s="7" t="s">
        <v>225</v>
      </c>
      <c r="E7671" s="7" t="s">
        <v>35</v>
      </c>
      <c r="F7671" s="0" t="n">
        <v>59.94</v>
      </c>
      <c r="G7671" s="0" t="n">
        <v>28.1718</v>
      </c>
      <c r="H7671" s="0" t="n">
        <v>0</v>
      </c>
      <c r="I7671" s="7" t="n">
        <f aca="false">YEAR(B7671)</f>
        <v>2015</v>
      </c>
      <c r="J7671" s="0" t="str">
        <f aca="false">I7671&amp;"-Q"&amp;ROUNDUP(MONTH(B7671)/3,0)</f>
        <v>2015-Q4</v>
      </c>
    </row>
    <row r="7672" customFormat="false" ht="15" hidden="false" customHeight="false" outlineLevel="0" collapsed="false">
      <c r="A7672" s="0" t="s">
        <v>3884</v>
      </c>
      <c r="B7672" s="6" t="n">
        <v>42335</v>
      </c>
      <c r="C7672" s="7" t="s">
        <v>55</v>
      </c>
      <c r="D7672" s="7" t="s">
        <v>225</v>
      </c>
      <c r="E7672" s="7" t="s">
        <v>39</v>
      </c>
      <c r="F7672" s="0" t="n">
        <v>259.98</v>
      </c>
      <c r="G7672" s="0" t="n">
        <v>88.3932</v>
      </c>
      <c r="H7672" s="0" t="n">
        <v>0</v>
      </c>
      <c r="I7672" s="7" t="n">
        <f aca="false">YEAR(B7672)</f>
        <v>2015</v>
      </c>
      <c r="J7672" s="0" t="str">
        <f aca="false">I7672&amp;"-Q"&amp;ROUNDUP(MONTH(B7672)/3,0)</f>
        <v>2015-Q4</v>
      </c>
    </row>
    <row r="7673" customFormat="false" ht="15" hidden="false" customHeight="false" outlineLevel="0" collapsed="false">
      <c r="A7673" s="0" t="s">
        <v>3884</v>
      </c>
      <c r="B7673" s="6" t="n">
        <v>42335</v>
      </c>
      <c r="C7673" s="7" t="s">
        <v>55</v>
      </c>
      <c r="D7673" s="7" t="s">
        <v>225</v>
      </c>
      <c r="E7673" s="7" t="s">
        <v>31</v>
      </c>
      <c r="F7673" s="0" t="n">
        <v>170.98</v>
      </c>
      <c r="G7673" s="0" t="n">
        <v>32.4862</v>
      </c>
      <c r="H7673" s="0" t="n">
        <v>0</v>
      </c>
      <c r="I7673" s="7" t="n">
        <f aca="false">YEAR(B7673)</f>
        <v>2015</v>
      </c>
      <c r="J7673" s="0" t="str">
        <f aca="false">I7673&amp;"-Q"&amp;ROUNDUP(MONTH(B7673)/3,0)</f>
        <v>2015-Q4</v>
      </c>
    </row>
    <row r="7674" customFormat="false" ht="15" hidden="false" customHeight="false" outlineLevel="0" collapsed="false">
      <c r="A7674" s="0" t="s">
        <v>3884</v>
      </c>
      <c r="B7674" s="6" t="n">
        <v>42335</v>
      </c>
      <c r="C7674" s="7" t="s">
        <v>55</v>
      </c>
      <c r="D7674" s="7" t="s">
        <v>225</v>
      </c>
      <c r="E7674" s="7" t="s">
        <v>31</v>
      </c>
      <c r="F7674" s="0" t="n">
        <v>38.97</v>
      </c>
      <c r="G7674" s="0" t="n">
        <v>4.6764</v>
      </c>
      <c r="H7674" s="0" t="n">
        <v>0</v>
      </c>
      <c r="I7674" s="7" t="n">
        <f aca="false">YEAR(B7674)</f>
        <v>2015</v>
      </c>
      <c r="J7674" s="0" t="str">
        <f aca="false">I7674&amp;"-Q"&amp;ROUNDUP(MONTH(B7674)/3,0)</f>
        <v>2015-Q4</v>
      </c>
    </row>
    <row r="7675" customFormat="false" ht="15" hidden="false" customHeight="false" outlineLevel="0" collapsed="false">
      <c r="A7675" s="0" t="s">
        <v>3884</v>
      </c>
      <c r="B7675" s="6" t="n">
        <v>42335</v>
      </c>
      <c r="C7675" s="7" t="s">
        <v>55</v>
      </c>
      <c r="D7675" s="7" t="s">
        <v>225</v>
      </c>
      <c r="E7675" s="7" t="s">
        <v>35</v>
      </c>
      <c r="F7675" s="0" t="n">
        <v>154.9</v>
      </c>
      <c r="G7675" s="0" t="n">
        <v>69.705</v>
      </c>
      <c r="H7675" s="0" t="n">
        <v>0</v>
      </c>
      <c r="I7675" s="7" t="n">
        <f aca="false">YEAR(B7675)</f>
        <v>2015</v>
      </c>
      <c r="J7675" s="0" t="str">
        <f aca="false">I7675&amp;"-Q"&amp;ROUNDUP(MONTH(B7675)/3,0)</f>
        <v>2015-Q4</v>
      </c>
    </row>
    <row r="7676" customFormat="false" ht="15" hidden="false" customHeight="false" outlineLevel="0" collapsed="false">
      <c r="A7676" s="0" t="s">
        <v>3884</v>
      </c>
      <c r="B7676" s="6" t="n">
        <v>42335</v>
      </c>
      <c r="C7676" s="7" t="s">
        <v>55</v>
      </c>
      <c r="D7676" s="7" t="s">
        <v>225</v>
      </c>
      <c r="E7676" s="7" t="s">
        <v>31</v>
      </c>
      <c r="F7676" s="0" t="n">
        <v>446.068</v>
      </c>
      <c r="G7676" s="0" t="n">
        <v>0</v>
      </c>
      <c r="H7676" s="0" t="n">
        <v>0.3</v>
      </c>
      <c r="I7676" s="7" t="n">
        <f aca="false">YEAR(B7676)</f>
        <v>2015</v>
      </c>
      <c r="J7676" s="0" t="str">
        <f aca="false">I7676&amp;"-Q"&amp;ROUNDUP(MONTH(B7676)/3,0)</f>
        <v>2015-Q4</v>
      </c>
    </row>
    <row r="7677" customFormat="false" ht="15" hidden="false" customHeight="false" outlineLevel="0" collapsed="false">
      <c r="A7677" s="0" t="s">
        <v>3885</v>
      </c>
      <c r="B7677" s="6" t="n">
        <v>42861</v>
      </c>
      <c r="C7677" s="7" t="s">
        <v>33</v>
      </c>
      <c r="D7677" s="7" t="s">
        <v>34</v>
      </c>
      <c r="E7677" s="7" t="s">
        <v>35</v>
      </c>
      <c r="F7677" s="0" t="n">
        <v>152.94</v>
      </c>
      <c r="G7677" s="0" t="n">
        <v>41.2938</v>
      </c>
      <c r="H7677" s="0" t="n">
        <v>0</v>
      </c>
      <c r="I7677" s="7" t="n">
        <f aca="false">YEAR(B7677)</f>
        <v>2017</v>
      </c>
      <c r="J7677" s="0" t="str">
        <f aca="false">I7677&amp;"-Q"&amp;ROUNDUP(MONTH(B7677)/3,0)</f>
        <v>2017-Q2</v>
      </c>
    </row>
    <row r="7678" customFormat="false" ht="15" hidden="false" customHeight="false" outlineLevel="0" collapsed="false">
      <c r="A7678" s="0" t="s">
        <v>3886</v>
      </c>
      <c r="B7678" s="6" t="n">
        <v>41920</v>
      </c>
      <c r="C7678" s="7" t="s">
        <v>29</v>
      </c>
      <c r="D7678" s="7" t="s">
        <v>41</v>
      </c>
      <c r="E7678" s="7" t="s">
        <v>39</v>
      </c>
      <c r="F7678" s="0" t="n">
        <v>23.472</v>
      </c>
      <c r="G7678" s="0" t="n">
        <v>4.9878</v>
      </c>
      <c r="H7678" s="0" t="n">
        <v>0.2</v>
      </c>
      <c r="I7678" s="7" t="n">
        <f aca="false">YEAR(B7678)</f>
        <v>2014</v>
      </c>
      <c r="J7678" s="0" t="str">
        <f aca="false">I7678&amp;"-Q"&amp;ROUNDUP(MONTH(B7678)/3,0)</f>
        <v>2014-Q4</v>
      </c>
    </row>
    <row r="7679" customFormat="false" ht="15" hidden="false" customHeight="false" outlineLevel="0" collapsed="false">
      <c r="A7679" s="0" t="s">
        <v>3887</v>
      </c>
      <c r="B7679" s="6" t="n">
        <v>42004</v>
      </c>
      <c r="C7679" s="7" t="s">
        <v>55</v>
      </c>
      <c r="D7679" s="7" t="s">
        <v>250</v>
      </c>
      <c r="E7679" s="7" t="s">
        <v>35</v>
      </c>
      <c r="F7679" s="0" t="n">
        <v>195.64</v>
      </c>
      <c r="G7679" s="0" t="n">
        <v>91.9508</v>
      </c>
      <c r="H7679" s="0" t="n">
        <v>0</v>
      </c>
      <c r="I7679" s="7" t="n">
        <f aca="false">YEAR(B7679)</f>
        <v>2014</v>
      </c>
      <c r="J7679" s="0" t="str">
        <f aca="false">I7679&amp;"-Q"&amp;ROUNDUP(MONTH(B7679)/3,0)</f>
        <v>2014-Q4</v>
      </c>
    </row>
    <row r="7680" customFormat="false" ht="15" hidden="false" customHeight="false" outlineLevel="0" collapsed="false">
      <c r="A7680" s="0" t="s">
        <v>3887</v>
      </c>
      <c r="B7680" s="6" t="n">
        <v>42004</v>
      </c>
      <c r="C7680" s="7" t="s">
        <v>55</v>
      </c>
      <c r="D7680" s="7" t="s">
        <v>250</v>
      </c>
      <c r="E7680" s="7" t="s">
        <v>35</v>
      </c>
      <c r="F7680" s="0" t="n">
        <v>14.94</v>
      </c>
      <c r="G7680" s="0" t="n">
        <v>7.0218</v>
      </c>
      <c r="H7680" s="0" t="n">
        <v>0</v>
      </c>
      <c r="I7680" s="7" t="n">
        <f aca="false">YEAR(B7680)</f>
        <v>2014</v>
      </c>
      <c r="J7680" s="0" t="str">
        <f aca="false">I7680&amp;"-Q"&amp;ROUNDUP(MONTH(B7680)/3,0)</f>
        <v>2014-Q4</v>
      </c>
    </row>
    <row r="7681" customFormat="false" ht="15" hidden="false" customHeight="false" outlineLevel="0" collapsed="false">
      <c r="A7681" s="0" t="s">
        <v>3887</v>
      </c>
      <c r="B7681" s="6" t="n">
        <v>42004</v>
      </c>
      <c r="C7681" s="7" t="s">
        <v>55</v>
      </c>
      <c r="D7681" s="7" t="s">
        <v>250</v>
      </c>
      <c r="E7681" s="7" t="s">
        <v>39</v>
      </c>
      <c r="F7681" s="0" t="n">
        <v>1687.8</v>
      </c>
      <c r="G7681" s="0" t="n">
        <v>742.632</v>
      </c>
      <c r="H7681" s="0" t="n">
        <v>0</v>
      </c>
      <c r="I7681" s="7" t="n">
        <f aca="false">YEAR(B7681)</f>
        <v>2014</v>
      </c>
      <c r="J7681" s="0" t="str">
        <f aca="false">I7681&amp;"-Q"&amp;ROUNDUP(MONTH(B7681)/3,0)</f>
        <v>2014-Q4</v>
      </c>
    </row>
    <row r="7682" customFormat="false" ht="15" hidden="false" customHeight="false" outlineLevel="0" collapsed="false">
      <c r="A7682" s="0" t="s">
        <v>3887</v>
      </c>
      <c r="B7682" s="6" t="n">
        <v>42004</v>
      </c>
      <c r="C7682" s="7" t="s">
        <v>55</v>
      </c>
      <c r="D7682" s="7" t="s">
        <v>250</v>
      </c>
      <c r="E7682" s="7" t="s">
        <v>31</v>
      </c>
      <c r="F7682" s="0" t="n">
        <v>341.96</v>
      </c>
      <c r="G7682" s="0" t="n">
        <v>78.6508</v>
      </c>
      <c r="H7682" s="0" t="n">
        <v>0</v>
      </c>
      <c r="I7682" s="7" t="n">
        <f aca="false">YEAR(B7682)</f>
        <v>2014</v>
      </c>
      <c r="J7682" s="0" t="str">
        <f aca="false">I7682&amp;"-Q"&amp;ROUNDUP(MONTH(B7682)/3,0)</f>
        <v>2014-Q4</v>
      </c>
    </row>
    <row r="7683" customFormat="false" ht="15" hidden="false" customHeight="false" outlineLevel="0" collapsed="false">
      <c r="A7683" s="0" t="s">
        <v>3887</v>
      </c>
      <c r="B7683" s="6" t="n">
        <v>42004</v>
      </c>
      <c r="C7683" s="7" t="s">
        <v>55</v>
      </c>
      <c r="D7683" s="7" t="s">
        <v>250</v>
      </c>
      <c r="E7683" s="7" t="s">
        <v>31</v>
      </c>
      <c r="F7683" s="0" t="n">
        <v>605.88</v>
      </c>
      <c r="G7683" s="0" t="n">
        <v>151.47</v>
      </c>
      <c r="H7683" s="0" t="n">
        <v>0</v>
      </c>
      <c r="I7683" s="7" t="n">
        <f aca="false">YEAR(B7683)</f>
        <v>2014</v>
      </c>
      <c r="J7683" s="0" t="str">
        <f aca="false">I7683&amp;"-Q"&amp;ROUNDUP(MONTH(B7683)/3,0)</f>
        <v>2014-Q4</v>
      </c>
    </row>
    <row r="7684" customFormat="false" ht="15" hidden="false" customHeight="false" outlineLevel="0" collapsed="false">
      <c r="A7684" s="0" t="s">
        <v>3888</v>
      </c>
      <c r="B7684" s="6" t="n">
        <v>42122</v>
      </c>
      <c r="C7684" s="7" t="s">
        <v>45</v>
      </c>
      <c r="D7684" s="7" t="s">
        <v>70</v>
      </c>
      <c r="E7684" s="7" t="s">
        <v>35</v>
      </c>
      <c r="F7684" s="0" t="n">
        <v>186.732</v>
      </c>
      <c r="G7684" s="0" t="n">
        <v>41.496</v>
      </c>
      <c r="H7684" s="0" t="n">
        <v>0.1</v>
      </c>
      <c r="I7684" s="7" t="n">
        <f aca="false">YEAR(B7684)</f>
        <v>2015</v>
      </c>
      <c r="J7684" s="0" t="str">
        <f aca="false">I7684&amp;"-Q"&amp;ROUNDUP(MONTH(B7684)/3,0)</f>
        <v>2015-Q2</v>
      </c>
    </row>
    <row r="7685" customFormat="false" ht="15" hidden="false" customHeight="false" outlineLevel="0" collapsed="false">
      <c r="A7685" s="0" t="s">
        <v>3888</v>
      </c>
      <c r="B7685" s="6" t="n">
        <v>42122</v>
      </c>
      <c r="C7685" s="7" t="s">
        <v>45</v>
      </c>
      <c r="D7685" s="7" t="s">
        <v>70</v>
      </c>
      <c r="E7685" s="7" t="s">
        <v>35</v>
      </c>
      <c r="F7685" s="0" t="n">
        <v>3812.97</v>
      </c>
      <c r="G7685" s="0" t="n">
        <v>1906.485</v>
      </c>
      <c r="H7685" s="0" t="n">
        <v>0</v>
      </c>
      <c r="I7685" s="7" t="n">
        <f aca="false">YEAR(B7685)</f>
        <v>2015</v>
      </c>
      <c r="J7685" s="0" t="str">
        <f aca="false">I7685&amp;"-Q"&amp;ROUNDUP(MONTH(B7685)/3,0)</f>
        <v>2015-Q2</v>
      </c>
    </row>
    <row r="7686" customFormat="false" ht="15" hidden="false" customHeight="false" outlineLevel="0" collapsed="false">
      <c r="A7686" s="0" t="s">
        <v>3889</v>
      </c>
      <c r="B7686" s="6" t="n">
        <v>42049</v>
      </c>
      <c r="C7686" s="7" t="s">
        <v>55</v>
      </c>
      <c r="D7686" s="7" t="s">
        <v>76</v>
      </c>
      <c r="E7686" s="7" t="s">
        <v>35</v>
      </c>
      <c r="F7686" s="0" t="n">
        <v>26.424</v>
      </c>
      <c r="G7686" s="0" t="n">
        <v>9.5787</v>
      </c>
      <c r="H7686" s="0" t="n">
        <v>0.2</v>
      </c>
      <c r="I7686" s="7" t="n">
        <f aca="false">YEAR(B7686)</f>
        <v>2015</v>
      </c>
      <c r="J7686" s="0" t="str">
        <f aca="false">I7686&amp;"-Q"&amp;ROUNDUP(MONTH(B7686)/3,0)</f>
        <v>2015-Q1</v>
      </c>
    </row>
    <row r="7687" customFormat="false" ht="15" hidden="false" customHeight="false" outlineLevel="0" collapsed="false">
      <c r="A7687" s="0" t="s">
        <v>3889</v>
      </c>
      <c r="B7687" s="6" t="n">
        <v>42049</v>
      </c>
      <c r="C7687" s="7" t="s">
        <v>55</v>
      </c>
      <c r="D7687" s="7" t="s">
        <v>76</v>
      </c>
      <c r="E7687" s="7" t="s">
        <v>39</v>
      </c>
      <c r="F7687" s="0" t="n">
        <v>625.99</v>
      </c>
      <c r="G7687" s="0" t="n">
        <v>187.797</v>
      </c>
      <c r="H7687" s="0" t="n">
        <v>0</v>
      </c>
      <c r="I7687" s="7" t="n">
        <f aca="false">YEAR(B7687)</f>
        <v>2015</v>
      </c>
      <c r="J7687" s="0" t="str">
        <f aca="false">I7687&amp;"-Q"&amp;ROUNDUP(MONTH(B7687)/3,0)</f>
        <v>2015-Q1</v>
      </c>
    </row>
    <row r="7688" customFormat="false" ht="15" hidden="false" customHeight="false" outlineLevel="0" collapsed="false">
      <c r="A7688" s="0" t="s">
        <v>3890</v>
      </c>
      <c r="B7688" s="6" t="n">
        <v>42699</v>
      </c>
      <c r="C7688" s="7" t="s">
        <v>45</v>
      </c>
      <c r="D7688" s="7" t="s">
        <v>70</v>
      </c>
      <c r="E7688" s="7" t="s">
        <v>31</v>
      </c>
      <c r="F7688" s="0" t="n">
        <v>1568.61</v>
      </c>
      <c r="G7688" s="0" t="n">
        <v>329.4081</v>
      </c>
      <c r="H7688" s="0" t="n">
        <v>0</v>
      </c>
      <c r="I7688" s="7" t="n">
        <f aca="false">YEAR(B7688)</f>
        <v>2016</v>
      </c>
      <c r="J7688" s="0" t="str">
        <f aca="false">I7688&amp;"-Q"&amp;ROUNDUP(MONTH(B7688)/3,0)</f>
        <v>2016-Q4</v>
      </c>
    </row>
    <row r="7689" customFormat="false" ht="15" hidden="false" customHeight="false" outlineLevel="0" collapsed="false">
      <c r="A7689" s="0" t="s">
        <v>3890</v>
      </c>
      <c r="B7689" s="6" t="n">
        <v>42699</v>
      </c>
      <c r="C7689" s="7" t="s">
        <v>45</v>
      </c>
      <c r="D7689" s="7" t="s">
        <v>70</v>
      </c>
      <c r="E7689" s="7" t="s">
        <v>35</v>
      </c>
      <c r="F7689" s="0" t="n">
        <v>17.3</v>
      </c>
      <c r="G7689" s="0" t="n">
        <v>8.304</v>
      </c>
      <c r="H7689" s="0" t="n">
        <v>0</v>
      </c>
      <c r="I7689" s="7" t="n">
        <f aca="false">YEAR(B7689)</f>
        <v>2016</v>
      </c>
      <c r="J7689" s="0" t="str">
        <f aca="false">I7689&amp;"-Q"&amp;ROUNDUP(MONTH(B7689)/3,0)</f>
        <v>2016-Q4</v>
      </c>
    </row>
    <row r="7690" customFormat="false" ht="15" hidden="false" customHeight="false" outlineLevel="0" collapsed="false">
      <c r="A7690" s="0" t="s">
        <v>3890</v>
      </c>
      <c r="B7690" s="6" t="n">
        <v>42699</v>
      </c>
      <c r="C7690" s="7" t="s">
        <v>45</v>
      </c>
      <c r="D7690" s="7" t="s">
        <v>70</v>
      </c>
      <c r="E7690" s="7" t="s">
        <v>39</v>
      </c>
      <c r="F7690" s="0" t="n">
        <v>160</v>
      </c>
      <c r="G7690" s="0" t="n">
        <v>62.4</v>
      </c>
      <c r="H7690" s="0" t="n">
        <v>0</v>
      </c>
      <c r="I7690" s="7" t="n">
        <f aca="false">YEAR(B7690)</f>
        <v>2016</v>
      </c>
      <c r="J7690" s="0" t="str">
        <f aca="false">I7690&amp;"-Q"&amp;ROUNDUP(MONTH(B7690)/3,0)</f>
        <v>2016-Q4</v>
      </c>
    </row>
    <row r="7691" customFormat="false" ht="15" hidden="false" customHeight="false" outlineLevel="0" collapsed="false">
      <c r="A7691" s="0" t="s">
        <v>3891</v>
      </c>
      <c r="B7691" s="6" t="n">
        <v>42931</v>
      </c>
      <c r="C7691" s="7" t="s">
        <v>29</v>
      </c>
      <c r="D7691" s="7" t="s">
        <v>83</v>
      </c>
      <c r="E7691" s="7" t="s">
        <v>35</v>
      </c>
      <c r="F7691" s="0" t="n">
        <v>179.94</v>
      </c>
      <c r="G7691" s="0" t="n">
        <v>50.3832</v>
      </c>
      <c r="H7691" s="0" t="n">
        <v>0</v>
      </c>
      <c r="I7691" s="7" t="n">
        <f aca="false">YEAR(B7691)</f>
        <v>2017</v>
      </c>
      <c r="J7691" s="0" t="str">
        <f aca="false">I7691&amp;"-Q"&amp;ROUNDUP(MONTH(B7691)/3,0)</f>
        <v>2017-Q3</v>
      </c>
    </row>
    <row r="7692" customFormat="false" ht="15" hidden="false" customHeight="false" outlineLevel="0" collapsed="false">
      <c r="A7692" s="0" t="s">
        <v>3891</v>
      </c>
      <c r="B7692" s="6" t="n">
        <v>42931</v>
      </c>
      <c r="C7692" s="7" t="s">
        <v>29</v>
      </c>
      <c r="D7692" s="7" t="s">
        <v>83</v>
      </c>
      <c r="E7692" s="7" t="s">
        <v>31</v>
      </c>
      <c r="F7692" s="0" t="n">
        <v>872.94</v>
      </c>
      <c r="G7692" s="0" t="n">
        <v>157.1292</v>
      </c>
      <c r="H7692" s="0" t="n">
        <v>0</v>
      </c>
      <c r="I7692" s="7" t="n">
        <f aca="false">YEAR(B7692)</f>
        <v>2017</v>
      </c>
      <c r="J7692" s="0" t="str">
        <f aca="false">I7692&amp;"-Q"&amp;ROUNDUP(MONTH(B7692)/3,0)</f>
        <v>2017-Q3</v>
      </c>
    </row>
    <row r="7693" customFormat="false" ht="15" hidden="false" customHeight="false" outlineLevel="0" collapsed="false">
      <c r="A7693" s="0" t="s">
        <v>3891</v>
      </c>
      <c r="B7693" s="6" t="n">
        <v>42931</v>
      </c>
      <c r="C7693" s="7" t="s">
        <v>29</v>
      </c>
      <c r="D7693" s="7" t="s">
        <v>83</v>
      </c>
      <c r="E7693" s="7" t="s">
        <v>35</v>
      </c>
      <c r="F7693" s="0" t="n">
        <v>12.96</v>
      </c>
      <c r="G7693" s="0" t="n">
        <v>6.2208</v>
      </c>
      <c r="H7693" s="0" t="n">
        <v>0</v>
      </c>
      <c r="I7693" s="7" t="n">
        <f aca="false">YEAR(B7693)</f>
        <v>2017</v>
      </c>
      <c r="J7693" s="0" t="str">
        <f aca="false">I7693&amp;"-Q"&amp;ROUNDUP(MONTH(B7693)/3,0)</f>
        <v>2017-Q3</v>
      </c>
    </row>
    <row r="7694" customFormat="false" ht="15" hidden="false" customHeight="false" outlineLevel="0" collapsed="false">
      <c r="A7694" s="0" t="s">
        <v>3892</v>
      </c>
      <c r="B7694" s="6" t="n">
        <v>42002</v>
      </c>
      <c r="C7694" s="7" t="s">
        <v>33</v>
      </c>
      <c r="D7694" s="7" t="s">
        <v>34</v>
      </c>
      <c r="E7694" s="7" t="s">
        <v>35</v>
      </c>
      <c r="F7694" s="0" t="n">
        <v>88.8</v>
      </c>
      <c r="G7694" s="0" t="n">
        <v>44.4</v>
      </c>
      <c r="H7694" s="0" t="n">
        <v>0</v>
      </c>
      <c r="I7694" s="7" t="n">
        <f aca="false">YEAR(B7694)</f>
        <v>2014</v>
      </c>
      <c r="J7694" s="0" t="str">
        <f aca="false">I7694&amp;"-Q"&amp;ROUNDUP(MONTH(B7694)/3,0)</f>
        <v>2014-Q4</v>
      </c>
    </row>
    <row r="7695" customFormat="false" ht="15" hidden="false" customHeight="false" outlineLevel="0" collapsed="false">
      <c r="A7695" s="0" t="s">
        <v>3892</v>
      </c>
      <c r="B7695" s="6" t="n">
        <v>42002</v>
      </c>
      <c r="C7695" s="7" t="s">
        <v>33</v>
      </c>
      <c r="D7695" s="7" t="s">
        <v>34</v>
      </c>
      <c r="E7695" s="7" t="s">
        <v>39</v>
      </c>
      <c r="F7695" s="0" t="n">
        <v>319.968</v>
      </c>
      <c r="G7695" s="0" t="n">
        <v>35.9964</v>
      </c>
      <c r="H7695" s="0" t="n">
        <v>0.2</v>
      </c>
      <c r="I7695" s="7" t="n">
        <f aca="false">YEAR(B7695)</f>
        <v>2014</v>
      </c>
      <c r="J7695" s="0" t="str">
        <f aca="false">I7695&amp;"-Q"&amp;ROUNDUP(MONTH(B7695)/3,0)</f>
        <v>2014-Q4</v>
      </c>
    </row>
    <row r="7696" customFormat="false" ht="15" hidden="false" customHeight="false" outlineLevel="0" collapsed="false">
      <c r="A7696" s="0" t="s">
        <v>3893</v>
      </c>
      <c r="B7696" s="6" t="n">
        <v>42451</v>
      </c>
      <c r="C7696" s="7" t="s">
        <v>33</v>
      </c>
      <c r="D7696" s="7" t="s">
        <v>43</v>
      </c>
      <c r="E7696" s="7" t="s">
        <v>31</v>
      </c>
      <c r="F7696" s="0" t="n">
        <v>167.888</v>
      </c>
      <c r="G7696" s="0" t="n">
        <v>14.6902</v>
      </c>
      <c r="H7696" s="0" t="n">
        <v>0.2</v>
      </c>
      <c r="I7696" s="7" t="n">
        <f aca="false">YEAR(B7696)</f>
        <v>2016</v>
      </c>
      <c r="J7696" s="0" t="str">
        <f aca="false">I7696&amp;"-Q"&amp;ROUNDUP(MONTH(B7696)/3,0)</f>
        <v>2016-Q1</v>
      </c>
    </row>
    <row r="7697" customFormat="false" ht="15" hidden="false" customHeight="false" outlineLevel="0" collapsed="false">
      <c r="A7697" s="0" t="s">
        <v>3894</v>
      </c>
      <c r="B7697" s="6" t="n">
        <v>42918</v>
      </c>
      <c r="C7697" s="7" t="s">
        <v>45</v>
      </c>
      <c r="D7697" s="7" t="s">
        <v>46</v>
      </c>
      <c r="E7697" s="7" t="s">
        <v>35</v>
      </c>
      <c r="F7697" s="0" t="n">
        <v>163.96</v>
      </c>
      <c r="G7697" s="0" t="n">
        <v>59.4355</v>
      </c>
      <c r="H7697" s="0" t="n">
        <v>0.2</v>
      </c>
      <c r="I7697" s="7" t="n">
        <f aca="false">YEAR(B7697)</f>
        <v>2017</v>
      </c>
      <c r="J7697" s="0" t="str">
        <f aca="false">I7697&amp;"-Q"&amp;ROUNDUP(MONTH(B7697)/3,0)</f>
        <v>2017-Q3</v>
      </c>
    </row>
    <row r="7698" customFormat="false" ht="15" hidden="false" customHeight="false" outlineLevel="0" collapsed="false">
      <c r="A7698" s="0" t="s">
        <v>3894</v>
      </c>
      <c r="B7698" s="6" t="n">
        <v>42918</v>
      </c>
      <c r="C7698" s="7" t="s">
        <v>45</v>
      </c>
      <c r="D7698" s="7" t="s">
        <v>46</v>
      </c>
      <c r="E7698" s="7" t="s">
        <v>35</v>
      </c>
      <c r="F7698" s="0" t="n">
        <v>5.232</v>
      </c>
      <c r="G7698" s="0" t="n">
        <v>-8.1096</v>
      </c>
      <c r="H7698" s="0" t="n">
        <v>0.8</v>
      </c>
      <c r="I7698" s="7" t="n">
        <f aca="false">YEAR(B7698)</f>
        <v>2017</v>
      </c>
      <c r="J7698" s="0" t="str">
        <f aca="false">I7698&amp;"-Q"&amp;ROUNDUP(MONTH(B7698)/3,0)</f>
        <v>2017-Q3</v>
      </c>
    </row>
    <row r="7699" customFormat="false" ht="15" hidden="false" customHeight="false" outlineLevel="0" collapsed="false">
      <c r="A7699" s="0" t="s">
        <v>3895</v>
      </c>
      <c r="B7699" s="6" t="n">
        <v>43083</v>
      </c>
      <c r="C7699" s="7" t="s">
        <v>55</v>
      </c>
      <c r="D7699" s="7" t="s">
        <v>225</v>
      </c>
      <c r="E7699" s="7" t="s">
        <v>39</v>
      </c>
      <c r="F7699" s="0" t="n">
        <v>1199.98</v>
      </c>
      <c r="G7699" s="0" t="n">
        <v>467.9922</v>
      </c>
      <c r="H7699" s="0" t="n">
        <v>0</v>
      </c>
      <c r="I7699" s="7" t="n">
        <f aca="false">YEAR(B7699)</f>
        <v>2017</v>
      </c>
      <c r="J7699" s="0" t="str">
        <f aca="false">I7699&amp;"-Q"&amp;ROUNDUP(MONTH(B7699)/3,0)</f>
        <v>2017-Q4</v>
      </c>
    </row>
    <row r="7700" customFormat="false" ht="15" hidden="false" customHeight="false" outlineLevel="0" collapsed="false">
      <c r="A7700" s="0" t="s">
        <v>3895</v>
      </c>
      <c r="B7700" s="6" t="n">
        <v>43083</v>
      </c>
      <c r="C7700" s="7" t="s">
        <v>55</v>
      </c>
      <c r="D7700" s="7" t="s">
        <v>225</v>
      </c>
      <c r="E7700" s="7" t="s">
        <v>35</v>
      </c>
      <c r="F7700" s="0" t="n">
        <v>73.85</v>
      </c>
      <c r="G7700" s="0" t="n">
        <v>2.2155</v>
      </c>
      <c r="H7700" s="0" t="n">
        <v>0</v>
      </c>
      <c r="I7700" s="7" t="n">
        <f aca="false">YEAR(B7700)</f>
        <v>2017</v>
      </c>
      <c r="J7700" s="0" t="str">
        <f aca="false">I7700&amp;"-Q"&amp;ROUNDUP(MONTH(B7700)/3,0)</f>
        <v>2017-Q4</v>
      </c>
    </row>
    <row r="7701" customFormat="false" ht="15" hidden="false" customHeight="false" outlineLevel="0" collapsed="false">
      <c r="A7701" s="0" t="s">
        <v>3895</v>
      </c>
      <c r="B7701" s="6" t="n">
        <v>43083</v>
      </c>
      <c r="C7701" s="7" t="s">
        <v>55</v>
      </c>
      <c r="D7701" s="7" t="s">
        <v>225</v>
      </c>
      <c r="E7701" s="7" t="s">
        <v>35</v>
      </c>
      <c r="F7701" s="0" t="n">
        <v>25.71</v>
      </c>
      <c r="G7701" s="0" t="n">
        <v>6.6846</v>
      </c>
      <c r="H7701" s="0" t="n">
        <v>0</v>
      </c>
      <c r="I7701" s="7" t="n">
        <f aca="false">YEAR(B7701)</f>
        <v>2017</v>
      </c>
      <c r="J7701" s="0" t="str">
        <f aca="false">I7701&amp;"-Q"&amp;ROUNDUP(MONTH(B7701)/3,0)</f>
        <v>2017-Q4</v>
      </c>
    </row>
    <row r="7702" customFormat="false" ht="15" hidden="false" customHeight="false" outlineLevel="0" collapsed="false">
      <c r="A7702" s="0" t="s">
        <v>3895</v>
      </c>
      <c r="B7702" s="6" t="n">
        <v>43083</v>
      </c>
      <c r="C7702" s="7" t="s">
        <v>55</v>
      </c>
      <c r="D7702" s="7" t="s">
        <v>225</v>
      </c>
      <c r="E7702" s="7" t="s">
        <v>35</v>
      </c>
      <c r="F7702" s="0" t="n">
        <v>17.28</v>
      </c>
      <c r="G7702" s="0" t="n">
        <v>8.1216</v>
      </c>
      <c r="H7702" s="0" t="n">
        <v>0</v>
      </c>
      <c r="I7702" s="7" t="n">
        <f aca="false">YEAR(B7702)</f>
        <v>2017</v>
      </c>
      <c r="J7702" s="0" t="str">
        <f aca="false">I7702&amp;"-Q"&amp;ROUNDUP(MONTH(B7702)/3,0)</f>
        <v>2017-Q4</v>
      </c>
    </row>
    <row r="7703" customFormat="false" ht="15" hidden="false" customHeight="false" outlineLevel="0" collapsed="false">
      <c r="A7703" s="0" t="s">
        <v>3895</v>
      </c>
      <c r="B7703" s="6" t="n">
        <v>43083</v>
      </c>
      <c r="C7703" s="7" t="s">
        <v>55</v>
      </c>
      <c r="D7703" s="7" t="s">
        <v>225</v>
      </c>
      <c r="E7703" s="7" t="s">
        <v>31</v>
      </c>
      <c r="F7703" s="0" t="n">
        <v>526.582</v>
      </c>
      <c r="G7703" s="0" t="n">
        <v>-52.6582</v>
      </c>
      <c r="H7703" s="0" t="n">
        <v>0.3</v>
      </c>
      <c r="I7703" s="7" t="n">
        <f aca="false">YEAR(B7703)</f>
        <v>2017</v>
      </c>
      <c r="J7703" s="0" t="str">
        <f aca="false">I7703&amp;"-Q"&amp;ROUNDUP(MONTH(B7703)/3,0)</f>
        <v>2017-Q4</v>
      </c>
    </row>
    <row r="7704" customFormat="false" ht="15" hidden="false" customHeight="false" outlineLevel="0" collapsed="false">
      <c r="A7704" s="0" t="s">
        <v>3896</v>
      </c>
      <c r="B7704" s="6" t="n">
        <v>42608</v>
      </c>
      <c r="C7704" s="7" t="s">
        <v>45</v>
      </c>
      <c r="D7704" s="7" t="s">
        <v>70</v>
      </c>
      <c r="E7704" s="7" t="s">
        <v>35</v>
      </c>
      <c r="F7704" s="0" t="n">
        <v>11.56</v>
      </c>
      <c r="G7704" s="0" t="n">
        <v>5.6644</v>
      </c>
      <c r="H7704" s="0" t="n">
        <v>0</v>
      </c>
      <c r="I7704" s="7" t="n">
        <f aca="false">YEAR(B7704)</f>
        <v>2016</v>
      </c>
      <c r="J7704" s="0" t="str">
        <f aca="false">I7704&amp;"-Q"&amp;ROUNDUP(MONTH(B7704)/3,0)</f>
        <v>2016-Q3</v>
      </c>
    </row>
    <row r="7705" customFormat="false" ht="15" hidden="false" customHeight="false" outlineLevel="0" collapsed="false">
      <c r="A7705" s="0" t="s">
        <v>3896</v>
      </c>
      <c r="B7705" s="6" t="n">
        <v>42608</v>
      </c>
      <c r="C7705" s="7" t="s">
        <v>45</v>
      </c>
      <c r="D7705" s="7" t="s">
        <v>70</v>
      </c>
      <c r="E7705" s="7" t="s">
        <v>39</v>
      </c>
      <c r="F7705" s="0" t="n">
        <v>209.97</v>
      </c>
      <c r="G7705" s="0" t="n">
        <v>58.7916</v>
      </c>
      <c r="H7705" s="0" t="n">
        <v>0</v>
      </c>
      <c r="I7705" s="7" t="n">
        <f aca="false">YEAR(B7705)</f>
        <v>2016</v>
      </c>
      <c r="J7705" s="0" t="str">
        <f aca="false">I7705&amp;"-Q"&amp;ROUNDUP(MONTH(B7705)/3,0)</f>
        <v>2016-Q3</v>
      </c>
    </row>
    <row r="7706" customFormat="false" ht="15" hidden="false" customHeight="false" outlineLevel="0" collapsed="false">
      <c r="A7706" s="0" t="s">
        <v>3896</v>
      </c>
      <c r="B7706" s="6" t="n">
        <v>42608</v>
      </c>
      <c r="C7706" s="7" t="s">
        <v>45</v>
      </c>
      <c r="D7706" s="7" t="s">
        <v>70</v>
      </c>
      <c r="E7706" s="7" t="s">
        <v>31</v>
      </c>
      <c r="F7706" s="0" t="n">
        <v>447.84</v>
      </c>
      <c r="G7706" s="0" t="n">
        <v>98.5248</v>
      </c>
      <c r="H7706" s="0" t="n">
        <v>0</v>
      </c>
      <c r="I7706" s="7" t="n">
        <f aca="false">YEAR(B7706)</f>
        <v>2016</v>
      </c>
      <c r="J7706" s="0" t="str">
        <f aca="false">I7706&amp;"-Q"&amp;ROUNDUP(MONTH(B7706)/3,0)</f>
        <v>2016-Q3</v>
      </c>
    </row>
    <row r="7707" customFormat="false" ht="15" hidden="false" customHeight="false" outlineLevel="0" collapsed="false">
      <c r="A7707" s="0" t="s">
        <v>3896</v>
      </c>
      <c r="B7707" s="6" t="n">
        <v>42608</v>
      </c>
      <c r="C7707" s="7" t="s">
        <v>45</v>
      </c>
      <c r="D7707" s="7" t="s">
        <v>70</v>
      </c>
      <c r="E7707" s="7" t="s">
        <v>39</v>
      </c>
      <c r="F7707" s="0" t="n">
        <v>479.97</v>
      </c>
      <c r="G7707" s="0" t="n">
        <v>163.1898</v>
      </c>
      <c r="H7707" s="0" t="n">
        <v>0</v>
      </c>
      <c r="I7707" s="7" t="n">
        <f aca="false">YEAR(B7707)</f>
        <v>2016</v>
      </c>
      <c r="J7707" s="0" t="str">
        <f aca="false">I7707&amp;"-Q"&amp;ROUNDUP(MONTH(B7707)/3,0)</f>
        <v>2016-Q3</v>
      </c>
    </row>
    <row r="7708" customFormat="false" ht="15" hidden="false" customHeight="false" outlineLevel="0" collapsed="false">
      <c r="A7708" s="0" t="s">
        <v>3896</v>
      </c>
      <c r="B7708" s="6" t="n">
        <v>42608</v>
      </c>
      <c r="C7708" s="7" t="s">
        <v>45</v>
      </c>
      <c r="D7708" s="7" t="s">
        <v>70</v>
      </c>
      <c r="E7708" s="7" t="s">
        <v>35</v>
      </c>
      <c r="F7708" s="0" t="n">
        <v>8.64</v>
      </c>
      <c r="G7708" s="0" t="n">
        <v>2.5056</v>
      </c>
      <c r="H7708" s="0" t="n">
        <v>0</v>
      </c>
      <c r="I7708" s="7" t="n">
        <f aca="false">YEAR(B7708)</f>
        <v>2016</v>
      </c>
      <c r="J7708" s="0" t="str">
        <f aca="false">I7708&amp;"-Q"&amp;ROUNDUP(MONTH(B7708)/3,0)</f>
        <v>2016-Q3</v>
      </c>
    </row>
    <row r="7709" customFormat="false" ht="15" hidden="false" customHeight="false" outlineLevel="0" collapsed="false">
      <c r="A7709" s="0" t="s">
        <v>3897</v>
      </c>
      <c r="B7709" s="6" t="n">
        <v>43023</v>
      </c>
      <c r="C7709" s="7" t="s">
        <v>33</v>
      </c>
      <c r="D7709" s="7" t="s">
        <v>50</v>
      </c>
      <c r="E7709" s="7" t="s">
        <v>35</v>
      </c>
      <c r="F7709" s="0" t="n">
        <v>11.68</v>
      </c>
      <c r="G7709" s="0" t="n">
        <v>4.2048</v>
      </c>
      <c r="H7709" s="0" t="n">
        <v>0</v>
      </c>
      <c r="I7709" s="7" t="n">
        <f aca="false">YEAR(B7709)</f>
        <v>2017</v>
      </c>
      <c r="J7709" s="0" t="str">
        <f aca="false">I7709&amp;"-Q"&amp;ROUNDUP(MONTH(B7709)/3,0)</f>
        <v>2017-Q4</v>
      </c>
    </row>
    <row r="7710" customFormat="false" ht="15" hidden="false" customHeight="false" outlineLevel="0" collapsed="false">
      <c r="A7710" s="0" t="s">
        <v>3898</v>
      </c>
      <c r="B7710" s="6" t="n">
        <v>41937</v>
      </c>
      <c r="C7710" s="7" t="s">
        <v>55</v>
      </c>
      <c r="D7710" s="7" t="s">
        <v>56</v>
      </c>
      <c r="E7710" s="7" t="s">
        <v>39</v>
      </c>
      <c r="F7710" s="0" t="n">
        <v>40.776</v>
      </c>
      <c r="G7710" s="0" t="n">
        <v>0.5097</v>
      </c>
      <c r="H7710" s="0" t="n">
        <v>0.2</v>
      </c>
      <c r="I7710" s="7" t="n">
        <f aca="false">YEAR(B7710)</f>
        <v>2014</v>
      </c>
      <c r="J7710" s="0" t="str">
        <f aca="false">I7710&amp;"-Q"&amp;ROUNDUP(MONTH(B7710)/3,0)</f>
        <v>2014-Q4</v>
      </c>
    </row>
    <row r="7711" customFormat="false" ht="15" hidden="false" customHeight="false" outlineLevel="0" collapsed="false">
      <c r="A7711" s="0" t="s">
        <v>3898</v>
      </c>
      <c r="B7711" s="6" t="n">
        <v>41937</v>
      </c>
      <c r="C7711" s="7" t="s">
        <v>55</v>
      </c>
      <c r="D7711" s="7" t="s">
        <v>56</v>
      </c>
      <c r="E7711" s="7" t="s">
        <v>35</v>
      </c>
      <c r="F7711" s="0" t="n">
        <v>13.698</v>
      </c>
      <c r="G7711" s="0" t="n">
        <v>-9.5886</v>
      </c>
      <c r="H7711" s="0" t="n">
        <v>0.7</v>
      </c>
      <c r="I7711" s="7" t="n">
        <f aca="false">YEAR(B7711)</f>
        <v>2014</v>
      </c>
      <c r="J7711" s="0" t="str">
        <f aca="false">I7711&amp;"-Q"&amp;ROUNDUP(MONTH(B7711)/3,0)</f>
        <v>2014-Q4</v>
      </c>
    </row>
    <row r="7712" customFormat="false" ht="15" hidden="false" customHeight="false" outlineLevel="0" collapsed="false">
      <c r="A7712" s="0" t="s">
        <v>3899</v>
      </c>
      <c r="B7712" s="6" t="n">
        <v>42096</v>
      </c>
      <c r="C7712" s="7" t="s">
        <v>33</v>
      </c>
      <c r="D7712" s="7" t="s">
        <v>81</v>
      </c>
      <c r="E7712" s="7" t="s">
        <v>39</v>
      </c>
      <c r="F7712" s="0" t="n">
        <v>87.8</v>
      </c>
      <c r="G7712" s="0" t="n">
        <v>32.925</v>
      </c>
      <c r="H7712" s="0" t="n">
        <v>0.2</v>
      </c>
      <c r="I7712" s="7" t="n">
        <f aca="false">YEAR(B7712)</f>
        <v>2015</v>
      </c>
      <c r="J7712" s="0" t="str">
        <f aca="false">I7712&amp;"-Q"&amp;ROUNDUP(MONTH(B7712)/3,0)</f>
        <v>2015-Q2</v>
      </c>
    </row>
    <row r="7713" customFormat="false" ht="15" hidden="false" customHeight="false" outlineLevel="0" collapsed="false">
      <c r="A7713" s="0" t="s">
        <v>3900</v>
      </c>
      <c r="B7713" s="6" t="n">
        <v>43036</v>
      </c>
      <c r="C7713" s="7" t="s">
        <v>29</v>
      </c>
      <c r="D7713" s="7" t="s">
        <v>41</v>
      </c>
      <c r="E7713" s="7" t="s">
        <v>31</v>
      </c>
      <c r="F7713" s="0" t="n">
        <v>77.952</v>
      </c>
      <c r="G7713" s="0" t="n">
        <v>15.5904</v>
      </c>
      <c r="H7713" s="0" t="n">
        <v>0.2</v>
      </c>
      <c r="I7713" s="7" t="n">
        <f aca="false">YEAR(B7713)</f>
        <v>2017</v>
      </c>
      <c r="J7713" s="0" t="str">
        <f aca="false">I7713&amp;"-Q"&amp;ROUNDUP(MONTH(B7713)/3,0)</f>
        <v>2017-Q4</v>
      </c>
    </row>
    <row r="7714" customFormat="false" ht="15" hidden="false" customHeight="false" outlineLevel="0" collapsed="false">
      <c r="A7714" s="0" t="s">
        <v>3900</v>
      </c>
      <c r="B7714" s="6" t="n">
        <v>43036</v>
      </c>
      <c r="C7714" s="7" t="s">
        <v>29</v>
      </c>
      <c r="D7714" s="7" t="s">
        <v>41</v>
      </c>
      <c r="E7714" s="7" t="s">
        <v>35</v>
      </c>
      <c r="F7714" s="0" t="n">
        <v>147.184</v>
      </c>
      <c r="G7714" s="0" t="n">
        <v>-29.4368</v>
      </c>
      <c r="H7714" s="0" t="n">
        <v>0.2</v>
      </c>
      <c r="I7714" s="7" t="n">
        <f aca="false">YEAR(B7714)</f>
        <v>2017</v>
      </c>
      <c r="J7714" s="0" t="str">
        <f aca="false">I7714&amp;"-Q"&amp;ROUNDUP(MONTH(B7714)/3,0)</f>
        <v>2017-Q4</v>
      </c>
    </row>
    <row r="7715" customFormat="false" ht="15" hidden="false" customHeight="false" outlineLevel="0" collapsed="false">
      <c r="A7715" s="0" t="s">
        <v>3900</v>
      </c>
      <c r="B7715" s="6" t="n">
        <v>43036</v>
      </c>
      <c r="C7715" s="7" t="s">
        <v>29</v>
      </c>
      <c r="D7715" s="7" t="s">
        <v>41</v>
      </c>
      <c r="E7715" s="7" t="s">
        <v>35</v>
      </c>
      <c r="F7715" s="0" t="n">
        <v>47.952</v>
      </c>
      <c r="G7715" s="0" t="n">
        <v>16.1838</v>
      </c>
      <c r="H7715" s="0" t="n">
        <v>0.2</v>
      </c>
      <c r="I7715" s="7" t="n">
        <f aca="false">YEAR(B7715)</f>
        <v>2017</v>
      </c>
      <c r="J7715" s="0" t="str">
        <f aca="false">I7715&amp;"-Q"&amp;ROUNDUP(MONTH(B7715)/3,0)</f>
        <v>2017-Q4</v>
      </c>
    </row>
    <row r="7716" customFormat="false" ht="15" hidden="false" customHeight="false" outlineLevel="0" collapsed="false">
      <c r="A7716" s="0" t="s">
        <v>3901</v>
      </c>
      <c r="B7716" s="6" t="n">
        <v>41978</v>
      </c>
      <c r="C7716" s="7" t="s">
        <v>33</v>
      </c>
      <c r="D7716" s="7" t="s">
        <v>34</v>
      </c>
      <c r="E7716" s="7" t="s">
        <v>35</v>
      </c>
      <c r="F7716" s="0" t="n">
        <v>250.26</v>
      </c>
      <c r="G7716" s="0" t="n">
        <v>72.5754</v>
      </c>
      <c r="H7716" s="0" t="n">
        <v>0</v>
      </c>
      <c r="I7716" s="7" t="n">
        <f aca="false">YEAR(B7716)</f>
        <v>2014</v>
      </c>
      <c r="J7716" s="0" t="str">
        <f aca="false">I7716&amp;"-Q"&amp;ROUNDUP(MONTH(B7716)/3,0)</f>
        <v>2014-Q4</v>
      </c>
    </row>
    <row r="7717" customFormat="false" ht="15" hidden="false" customHeight="false" outlineLevel="0" collapsed="false">
      <c r="A7717" s="0" t="s">
        <v>3902</v>
      </c>
      <c r="B7717" s="6" t="n">
        <v>43042</v>
      </c>
      <c r="C7717" s="7" t="s">
        <v>55</v>
      </c>
      <c r="D7717" s="7" t="s">
        <v>56</v>
      </c>
      <c r="E7717" s="7" t="s">
        <v>39</v>
      </c>
      <c r="F7717" s="0" t="n">
        <v>40.776</v>
      </c>
      <c r="G7717" s="0" t="n">
        <v>0.5097</v>
      </c>
      <c r="H7717" s="0" t="n">
        <v>0.2</v>
      </c>
      <c r="I7717" s="7" t="n">
        <f aca="false">YEAR(B7717)</f>
        <v>2017</v>
      </c>
      <c r="J7717" s="0" t="str">
        <f aca="false">I7717&amp;"-Q"&amp;ROUNDUP(MONTH(B7717)/3,0)</f>
        <v>2017-Q4</v>
      </c>
    </row>
    <row r="7718" customFormat="false" ht="15" hidden="false" customHeight="false" outlineLevel="0" collapsed="false">
      <c r="A7718" s="0" t="s">
        <v>3903</v>
      </c>
      <c r="B7718" s="6" t="n">
        <v>42010</v>
      </c>
      <c r="C7718" s="7" t="s">
        <v>33</v>
      </c>
      <c r="D7718" s="7" t="s">
        <v>109</v>
      </c>
      <c r="E7718" s="7" t="s">
        <v>35</v>
      </c>
      <c r="F7718" s="0" t="n">
        <v>29.6</v>
      </c>
      <c r="G7718" s="0" t="n">
        <v>9.25</v>
      </c>
      <c r="H7718" s="0" t="n">
        <v>0.2</v>
      </c>
      <c r="I7718" s="7" t="n">
        <f aca="false">YEAR(B7718)</f>
        <v>2015</v>
      </c>
      <c r="J7718" s="0" t="str">
        <f aca="false">I7718&amp;"-Q"&amp;ROUNDUP(MONTH(B7718)/3,0)</f>
        <v>2015-Q1</v>
      </c>
    </row>
    <row r="7719" customFormat="false" ht="15" hidden="false" customHeight="false" outlineLevel="0" collapsed="false">
      <c r="A7719" s="0" t="s">
        <v>3903</v>
      </c>
      <c r="B7719" s="6" t="n">
        <v>42010</v>
      </c>
      <c r="C7719" s="7" t="s">
        <v>33</v>
      </c>
      <c r="D7719" s="7" t="s">
        <v>109</v>
      </c>
      <c r="E7719" s="7" t="s">
        <v>35</v>
      </c>
      <c r="F7719" s="0" t="n">
        <v>1.938</v>
      </c>
      <c r="G7719" s="0" t="n">
        <v>-1.3566</v>
      </c>
      <c r="H7719" s="0" t="n">
        <v>0.7</v>
      </c>
      <c r="I7719" s="7" t="n">
        <f aca="false">YEAR(B7719)</f>
        <v>2015</v>
      </c>
      <c r="J7719" s="0" t="str">
        <f aca="false">I7719&amp;"-Q"&amp;ROUNDUP(MONTH(B7719)/3,0)</f>
        <v>2015-Q1</v>
      </c>
    </row>
    <row r="7720" customFormat="false" ht="15" hidden="false" customHeight="false" outlineLevel="0" collapsed="false">
      <c r="A7720" s="0" t="s">
        <v>3904</v>
      </c>
      <c r="B7720" s="6" t="n">
        <v>42987</v>
      </c>
      <c r="C7720" s="7" t="s">
        <v>33</v>
      </c>
      <c r="D7720" s="7" t="s">
        <v>34</v>
      </c>
      <c r="E7720" s="7" t="s">
        <v>39</v>
      </c>
      <c r="F7720" s="0" t="n">
        <v>159.96</v>
      </c>
      <c r="G7720" s="0" t="n">
        <v>51.1872</v>
      </c>
      <c r="H7720" s="0" t="n">
        <v>0</v>
      </c>
      <c r="I7720" s="7" t="n">
        <f aca="false">YEAR(B7720)</f>
        <v>2017</v>
      </c>
      <c r="J7720" s="0" t="str">
        <f aca="false">I7720&amp;"-Q"&amp;ROUNDUP(MONTH(B7720)/3,0)</f>
        <v>2017-Q3</v>
      </c>
    </row>
    <row r="7721" customFormat="false" ht="15" hidden="false" customHeight="false" outlineLevel="0" collapsed="false">
      <c r="A7721" s="0" t="s">
        <v>3905</v>
      </c>
      <c r="B7721" s="6" t="n">
        <v>42009</v>
      </c>
      <c r="C7721" s="7" t="s">
        <v>55</v>
      </c>
      <c r="D7721" s="7" t="s">
        <v>76</v>
      </c>
      <c r="E7721" s="7" t="s">
        <v>35</v>
      </c>
      <c r="F7721" s="0" t="n">
        <v>59.52</v>
      </c>
      <c r="G7721" s="0" t="n">
        <v>15.4752</v>
      </c>
      <c r="H7721" s="0" t="n">
        <v>0</v>
      </c>
      <c r="I7721" s="7" t="n">
        <f aca="false">YEAR(B7721)</f>
        <v>2015</v>
      </c>
      <c r="J7721" s="0" t="str">
        <f aca="false">I7721&amp;"-Q"&amp;ROUNDUP(MONTH(B7721)/3,0)</f>
        <v>2015-Q1</v>
      </c>
    </row>
    <row r="7722" customFormat="false" ht="15" hidden="false" customHeight="false" outlineLevel="0" collapsed="false">
      <c r="A7722" s="0" t="s">
        <v>3905</v>
      </c>
      <c r="B7722" s="6" t="n">
        <v>42009</v>
      </c>
      <c r="C7722" s="7" t="s">
        <v>55</v>
      </c>
      <c r="D7722" s="7" t="s">
        <v>76</v>
      </c>
      <c r="E7722" s="7" t="s">
        <v>35</v>
      </c>
      <c r="F7722" s="0" t="n">
        <v>17.48</v>
      </c>
      <c r="G7722" s="0" t="n">
        <v>8.2156</v>
      </c>
      <c r="H7722" s="0" t="n">
        <v>0</v>
      </c>
      <c r="I7722" s="7" t="n">
        <f aca="false">YEAR(B7722)</f>
        <v>2015</v>
      </c>
      <c r="J7722" s="0" t="str">
        <f aca="false">I7722&amp;"-Q"&amp;ROUNDUP(MONTH(B7722)/3,0)</f>
        <v>2015-Q1</v>
      </c>
    </row>
    <row r="7723" customFormat="false" ht="15" hidden="false" customHeight="false" outlineLevel="0" collapsed="false">
      <c r="A7723" s="0" t="s">
        <v>3905</v>
      </c>
      <c r="B7723" s="6" t="n">
        <v>42009</v>
      </c>
      <c r="C7723" s="7" t="s">
        <v>55</v>
      </c>
      <c r="D7723" s="7" t="s">
        <v>76</v>
      </c>
      <c r="E7723" s="7" t="s">
        <v>35</v>
      </c>
      <c r="F7723" s="0" t="n">
        <v>13.168</v>
      </c>
      <c r="G7723" s="0" t="n">
        <v>4.6088</v>
      </c>
      <c r="H7723" s="0" t="n">
        <v>0.2</v>
      </c>
      <c r="I7723" s="7" t="n">
        <f aca="false">YEAR(B7723)</f>
        <v>2015</v>
      </c>
      <c r="J7723" s="0" t="str">
        <f aca="false">I7723&amp;"-Q"&amp;ROUNDUP(MONTH(B7723)/3,0)</f>
        <v>2015-Q1</v>
      </c>
    </row>
    <row r="7724" customFormat="false" ht="15" hidden="false" customHeight="false" outlineLevel="0" collapsed="false">
      <c r="A7724" s="0" t="s">
        <v>3906</v>
      </c>
      <c r="B7724" s="6" t="n">
        <v>42841</v>
      </c>
      <c r="C7724" s="7" t="s">
        <v>33</v>
      </c>
      <c r="D7724" s="7" t="s">
        <v>34</v>
      </c>
      <c r="E7724" s="7" t="s">
        <v>35</v>
      </c>
      <c r="F7724" s="0" t="n">
        <v>40.74</v>
      </c>
      <c r="G7724" s="0" t="n">
        <v>12.222</v>
      </c>
      <c r="H7724" s="0" t="n">
        <v>0</v>
      </c>
      <c r="I7724" s="7" t="n">
        <f aca="false">YEAR(B7724)</f>
        <v>2017</v>
      </c>
      <c r="J7724" s="0" t="str">
        <f aca="false">I7724&amp;"-Q"&amp;ROUNDUP(MONTH(B7724)/3,0)</f>
        <v>2017-Q2</v>
      </c>
    </row>
    <row r="7725" customFormat="false" ht="15" hidden="false" customHeight="false" outlineLevel="0" collapsed="false">
      <c r="A7725" s="0" t="s">
        <v>3907</v>
      </c>
      <c r="B7725" s="6" t="n">
        <v>42257</v>
      </c>
      <c r="C7725" s="7" t="s">
        <v>45</v>
      </c>
      <c r="D7725" s="7" t="s">
        <v>46</v>
      </c>
      <c r="E7725" s="7" t="s">
        <v>31</v>
      </c>
      <c r="F7725" s="0" t="n">
        <v>179.886</v>
      </c>
      <c r="G7725" s="0" t="n">
        <v>-2.5698</v>
      </c>
      <c r="H7725" s="0" t="n">
        <v>0.3</v>
      </c>
      <c r="I7725" s="7" t="n">
        <f aca="false">YEAR(B7725)</f>
        <v>2015</v>
      </c>
      <c r="J7725" s="0" t="str">
        <f aca="false">I7725&amp;"-Q"&amp;ROUNDUP(MONTH(B7725)/3,0)</f>
        <v>2015-Q3</v>
      </c>
    </row>
    <row r="7726" customFormat="false" ht="15" hidden="false" customHeight="false" outlineLevel="0" collapsed="false">
      <c r="A7726" s="0" t="s">
        <v>3908</v>
      </c>
      <c r="B7726" s="6" t="n">
        <v>42638</v>
      </c>
      <c r="C7726" s="7" t="s">
        <v>55</v>
      </c>
      <c r="D7726" s="7" t="s">
        <v>116</v>
      </c>
      <c r="E7726" s="7" t="s">
        <v>35</v>
      </c>
      <c r="F7726" s="0" t="n">
        <v>286.256</v>
      </c>
      <c r="G7726" s="0" t="n">
        <v>17.891</v>
      </c>
      <c r="H7726" s="0" t="n">
        <v>0.2</v>
      </c>
      <c r="I7726" s="7" t="n">
        <f aca="false">YEAR(B7726)</f>
        <v>2016</v>
      </c>
      <c r="J7726" s="0" t="str">
        <f aca="false">I7726&amp;"-Q"&amp;ROUNDUP(MONTH(B7726)/3,0)</f>
        <v>2016-Q3</v>
      </c>
    </row>
    <row r="7727" customFormat="false" ht="15" hidden="false" customHeight="false" outlineLevel="0" collapsed="false">
      <c r="A7727" s="0" t="s">
        <v>3908</v>
      </c>
      <c r="B7727" s="6" t="n">
        <v>42638</v>
      </c>
      <c r="C7727" s="7" t="s">
        <v>55</v>
      </c>
      <c r="D7727" s="7" t="s">
        <v>116</v>
      </c>
      <c r="E7727" s="7" t="s">
        <v>35</v>
      </c>
      <c r="F7727" s="0" t="n">
        <v>24.224</v>
      </c>
      <c r="G7727" s="0" t="n">
        <v>-4.8448</v>
      </c>
      <c r="H7727" s="0" t="n">
        <v>0.2</v>
      </c>
      <c r="I7727" s="7" t="n">
        <f aca="false">YEAR(B7727)</f>
        <v>2016</v>
      </c>
      <c r="J7727" s="0" t="str">
        <f aca="false">I7727&amp;"-Q"&amp;ROUNDUP(MONTH(B7727)/3,0)</f>
        <v>2016-Q3</v>
      </c>
    </row>
    <row r="7728" customFormat="false" ht="15" hidden="false" customHeight="false" outlineLevel="0" collapsed="false">
      <c r="A7728" s="0" t="s">
        <v>3908</v>
      </c>
      <c r="B7728" s="6" t="n">
        <v>42638</v>
      </c>
      <c r="C7728" s="7" t="s">
        <v>55</v>
      </c>
      <c r="D7728" s="7" t="s">
        <v>116</v>
      </c>
      <c r="E7728" s="7" t="s">
        <v>35</v>
      </c>
      <c r="F7728" s="0" t="n">
        <v>331.536</v>
      </c>
      <c r="G7728" s="0" t="n">
        <v>-82.884</v>
      </c>
      <c r="H7728" s="0" t="n">
        <v>0.2</v>
      </c>
      <c r="I7728" s="7" t="n">
        <f aca="false">YEAR(B7728)</f>
        <v>2016</v>
      </c>
      <c r="J7728" s="0" t="str">
        <f aca="false">I7728&amp;"-Q"&amp;ROUNDUP(MONTH(B7728)/3,0)</f>
        <v>2016-Q3</v>
      </c>
    </row>
    <row r="7729" customFormat="false" ht="15" hidden="false" customHeight="false" outlineLevel="0" collapsed="false">
      <c r="A7729" s="0" t="s">
        <v>3909</v>
      </c>
      <c r="B7729" s="6" t="n">
        <v>42079</v>
      </c>
      <c r="C7729" s="7" t="s">
        <v>55</v>
      </c>
      <c r="D7729" s="7" t="s">
        <v>76</v>
      </c>
      <c r="E7729" s="7" t="s">
        <v>35</v>
      </c>
      <c r="F7729" s="0" t="n">
        <v>17.52</v>
      </c>
      <c r="G7729" s="0" t="n">
        <v>6.3072</v>
      </c>
      <c r="H7729" s="0" t="n">
        <v>0</v>
      </c>
      <c r="I7729" s="7" t="n">
        <f aca="false">YEAR(B7729)</f>
        <v>2015</v>
      </c>
      <c r="J7729" s="0" t="str">
        <f aca="false">I7729&amp;"-Q"&amp;ROUNDUP(MONTH(B7729)/3,0)</f>
        <v>2015-Q1</v>
      </c>
    </row>
    <row r="7730" customFormat="false" ht="15" hidden="false" customHeight="false" outlineLevel="0" collapsed="false">
      <c r="A7730" s="0" t="s">
        <v>3910</v>
      </c>
      <c r="B7730" s="6" t="n">
        <v>42700</v>
      </c>
      <c r="C7730" s="7" t="s">
        <v>45</v>
      </c>
      <c r="D7730" s="7" t="s">
        <v>46</v>
      </c>
      <c r="E7730" s="7" t="s">
        <v>35</v>
      </c>
      <c r="F7730" s="0" t="n">
        <v>17.856</v>
      </c>
      <c r="G7730" s="0" t="n">
        <v>4.2408</v>
      </c>
      <c r="H7730" s="0" t="n">
        <v>0.2</v>
      </c>
      <c r="I7730" s="7" t="n">
        <f aca="false">YEAR(B7730)</f>
        <v>2016</v>
      </c>
      <c r="J7730" s="0" t="str">
        <f aca="false">I7730&amp;"-Q"&amp;ROUNDUP(MONTH(B7730)/3,0)</f>
        <v>2016-Q4</v>
      </c>
    </row>
    <row r="7731" customFormat="false" ht="15" hidden="false" customHeight="false" outlineLevel="0" collapsed="false">
      <c r="A7731" s="0" t="s">
        <v>3911</v>
      </c>
      <c r="B7731" s="6" t="n">
        <v>42639</v>
      </c>
      <c r="C7731" s="7" t="s">
        <v>29</v>
      </c>
      <c r="D7731" s="7" t="s">
        <v>37</v>
      </c>
      <c r="E7731" s="7" t="s">
        <v>39</v>
      </c>
      <c r="F7731" s="0" t="n">
        <v>431.976</v>
      </c>
      <c r="G7731" s="0" t="n">
        <v>-75.5958</v>
      </c>
      <c r="H7731" s="0" t="n">
        <v>0.2</v>
      </c>
      <c r="I7731" s="7" t="n">
        <f aca="false">YEAR(B7731)</f>
        <v>2016</v>
      </c>
      <c r="J7731" s="0" t="str">
        <f aca="false">I7731&amp;"-Q"&amp;ROUNDUP(MONTH(B7731)/3,0)</f>
        <v>2016-Q3</v>
      </c>
    </row>
    <row r="7732" customFormat="false" ht="15" hidden="false" customHeight="false" outlineLevel="0" collapsed="false">
      <c r="A7732" s="0" t="s">
        <v>3912</v>
      </c>
      <c r="B7732" s="6" t="n">
        <v>42899</v>
      </c>
      <c r="C7732" s="7" t="s">
        <v>33</v>
      </c>
      <c r="D7732" s="7" t="s">
        <v>43</v>
      </c>
      <c r="E7732" s="7" t="s">
        <v>31</v>
      </c>
      <c r="F7732" s="0" t="n">
        <v>291.136</v>
      </c>
      <c r="G7732" s="0" t="n">
        <v>-25.4744</v>
      </c>
      <c r="H7732" s="0" t="n">
        <v>0.2</v>
      </c>
      <c r="I7732" s="7" t="n">
        <f aca="false">YEAR(B7732)</f>
        <v>2017</v>
      </c>
      <c r="J7732" s="0" t="str">
        <f aca="false">I7732&amp;"-Q"&amp;ROUNDUP(MONTH(B7732)/3,0)</f>
        <v>2017-Q2</v>
      </c>
    </row>
    <row r="7733" customFormat="false" ht="15" hidden="false" customHeight="false" outlineLevel="0" collapsed="false">
      <c r="A7733" s="0" t="s">
        <v>3913</v>
      </c>
      <c r="B7733" s="6" t="n">
        <v>42996</v>
      </c>
      <c r="C7733" s="7" t="s">
        <v>45</v>
      </c>
      <c r="D7733" s="7" t="s">
        <v>46</v>
      </c>
      <c r="E7733" s="7" t="s">
        <v>35</v>
      </c>
      <c r="F7733" s="0" t="n">
        <v>114.848</v>
      </c>
      <c r="G7733" s="0" t="n">
        <v>35.89</v>
      </c>
      <c r="H7733" s="0" t="n">
        <v>0.2</v>
      </c>
      <c r="I7733" s="7" t="n">
        <f aca="false">YEAR(B7733)</f>
        <v>2017</v>
      </c>
      <c r="J7733" s="0" t="str">
        <f aca="false">I7733&amp;"-Q"&amp;ROUNDUP(MONTH(B7733)/3,0)</f>
        <v>2017-Q3</v>
      </c>
    </row>
    <row r="7734" customFormat="false" ht="15" hidden="false" customHeight="false" outlineLevel="0" collapsed="false">
      <c r="A7734" s="0" t="s">
        <v>3914</v>
      </c>
      <c r="B7734" s="6" t="n">
        <v>42888</v>
      </c>
      <c r="C7734" s="7" t="s">
        <v>45</v>
      </c>
      <c r="D7734" s="7" t="s">
        <v>46</v>
      </c>
      <c r="E7734" s="7" t="s">
        <v>35</v>
      </c>
      <c r="F7734" s="0" t="n">
        <v>10.688</v>
      </c>
      <c r="G7734" s="0" t="n">
        <v>3.7408</v>
      </c>
      <c r="H7734" s="0" t="n">
        <v>0.2</v>
      </c>
      <c r="I7734" s="7" t="n">
        <f aca="false">YEAR(B7734)</f>
        <v>2017</v>
      </c>
      <c r="J7734" s="0" t="str">
        <f aca="false">I7734&amp;"-Q"&amp;ROUNDUP(MONTH(B7734)/3,0)</f>
        <v>2017-Q2</v>
      </c>
    </row>
    <row r="7735" customFormat="false" ht="15" hidden="false" customHeight="false" outlineLevel="0" collapsed="false">
      <c r="A7735" s="0" t="s">
        <v>3915</v>
      </c>
      <c r="B7735" s="6" t="n">
        <v>42505</v>
      </c>
      <c r="C7735" s="7" t="s">
        <v>55</v>
      </c>
      <c r="D7735" s="7" t="s">
        <v>116</v>
      </c>
      <c r="E7735" s="7" t="s">
        <v>35</v>
      </c>
      <c r="F7735" s="0" t="n">
        <v>15.232</v>
      </c>
      <c r="G7735" s="0" t="n">
        <v>5.5216</v>
      </c>
      <c r="H7735" s="0" t="n">
        <v>0.2</v>
      </c>
      <c r="I7735" s="7" t="n">
        <f aca="false">YEAR(B7735)</f>
        <v>2016</v>
      </c>
      <c r="J7735" s="0" t="str">
        <f aca="false">I7735&amp;"-Q"&amp;ROUNDUP(MONTH(B7735)/3,0)</f>
        <v>2016-Q2</v>
      </c>
    </row>
    <row r="7736" customFormat="false" ht="15" hidden="false" customHeight="false" outlineLevel="0" collapsed="false">
      <c r="A7736" s="0" t="s">
        <v>3916</v>
      </c>
      <c r="B7736" s="6" t="n">
        <v>42993</v>
      </c>
      <c r="C7736" s="7" t="s">
        <v>33</v>
      </c>
      <c r="D7736" s="7" t="s">
        <v>43</v>
      </c>
      <c r="E7736" s="7" t="s">
        <v>35</v>
      </c>
      <c r="F7736" s="0" t="n">
        <v>12.42</v>
      </c>
      <c r="G7736" s="0" t="n">
        <v>5.2164</v>
      </c>
      <c r="H7736" s="0" t="n">
        <v>0</v>
      </c>
      <c r="I7736" s="7" t="n">
        <f aca="false">YEAR(B7736)</f>
        <v>2017</v>
      </c>
      <c r="J7736" s="0" t="str">
        <f aca="false">I7736&amp;"-Q"&amp;ROUNDUP(MONTH(B7736)/3,0)</f>
        <v>2017-Q3</v>
      </c>
    </row>
    <row r="7737" customFormat="false" ht="15" hidden="false" customHeight="false" outlineLevel="0" collapsed="false">
      <c r="A7737" s="0" t="s">
        <v>3917</v>
      </c>
      <c r="B7737" s="6" t="n">
        <v>42604</v>
      </c>
      <c r="C7737" s="7" t="s">
        <v>33</v>
      </c>
      <c r="D7737" s="7" t="s">
        <v>43</v>
      </c>
      <c r="E7737" s="7" t="s">
        <v>35</v>
      </c>
      <c r="F7737" s="0" t="n">
        <v>19.44</v>
      </c>
      <c r="G7737" s="0" t="n">
        <v>9.3312</v>
      </c>
      <c r="H7737" s="0" t="n">
        <v>0</v>
      </c>
      <c r="I7737" s="7" t="n">
        <f aca="false">YEAR(B7737)</f>
        <v>2016</v>
      </c>
      <c r="J7737" s="0" t="str">
        <f aca="false">I7737&amp;"-Q"&amp;ROUNDUP(MONTH(B7737)/3,0)</f>
        <v>2016-Q3</v>
      </c>
    </row>
    <row r="7738" customFormat="false" ht="15" hidden="false" customHeight="false" outlineLevel="0" collapsed="false">
      <c r="A7738" s="0" t="s">
        <v>3918</v>
      </c>
      <c r="B7738" s="6" t="n">
        <v>41789</v>
      </c>
      <c r="C7738" s="7" t="s">
        <v>55</v>
      </c>
      <c r="D7738" s="7" t="s">
        <v>76</v>
      </c>
      <c r="E7738" s="7" t="s">
        <v>35</v>
      </c>
      <c r="F7738" s="0" t="n">
        <v>70.368</v>
      </c>
      <c r="G7738" s="0" t="n">
        <v>26.388</v>
      </c>
      <c r="H7738" s="0" t="n">
        <v>0.2</v>
      </c>
      <c r="I7738" s="7" t="n">
        <f aca="false">YEAR(B7738)</f>
        <v>2014</v>
      </c>
      <c r="J7738" s="0" t="str">
        <f aca="false">I7738&amp;"-Q"&amp;ROUNDUP(MONTH(B7738)/3,0)</f>
        <v>2014-Q2</v>
      </c>
    </row>
    <row r="7739" customFormat="false" ht="15" hidden="false" customHeight="false" outlineLevel="0" collapsed="false">
      <c r="A7739" s="0" t="s">
        <v>3919</v>
      </c>
      <c r="B7739" s="6" t="n">
        <v>43087</v>
      </c>
      <c r="C7739" s="7" t="s">
        <v>29</v>
      </c>
      <c r="D7739" s="7" t="s">
        <v>41</v>
      </c>
      <c r="E7739" s="7" t="s">
        <v>35</v>
      </c>
      <c r="F7739" s="0" t="n">
        <v>12.672</v>
      </c>
      <c r="G7739" s="0" t="n">
        <v>1.4256</v>
      </c>
      <c r="H7739" s="0" t="n">
        <v>0.2</v>
      </c>
      <c r="I7739" s="7" t="n">
        <f aca="false">YEAR(B7739)</f>
        <v>2017</v>
      </c>
      <c r="J7739" s="0" t="str">
        <f aca="false">I7739&amp;"-Q"&amp;ROUNDUP(MONTH(B7739)/3,0)</f>
        <v>2017-Q4</v>
      </c>
    </row>
    <row r="7740" customFormat="false" ht="15" hidden="false" customHeight="false" outlineLevel="0" collapsed="false">
      <c r="A7740" s="0" t="s">
        <v>3920</v>
      </c>
      <c r="B7740" s="6" t="n">
        <v>42946</v>
      </c>
      <c r="C7740" s="7" t="s">
        <v>55</v>
      </c>
      <c r="D7740" s="7" t="s">
        <v>495</v>
      </c>
      <c r="E7740" s="7" t="s">
        <v>39</v>
      </c>
      <c r="F7740" s="0" t="n">
        <v>89.95</v>
      </c>
      <c r="G7740" s="0" t="n">
        <v>43.176</v>
      </c>
      <c r="H7740" s="0" t="n">
        <v>0</v>
      </c>
      <c r="I7740" s="7" t="n">
        <f aca="false">YEAR(B7740)</f>
        <v>2017</v>
      </c>
      <c r="J7740" s="0" t="str">
        <f aca="false">I7740&amp;"-Q"&amp;ROUNDUP(MONTH(B7740)/3,0)</f>
        <v>2017-Q3</v>
      </c>
    </row>
    <row r="7741" customFormat="false" ht="15" hidden="false" customHeight="false" outlineLevel="0" collapsed="false">
      <c r="A7741" s="0" t="s">
        <v>3921</v>
      </c>
      <c r="B7741" s="6" t="n">
        <v>41964</v>
      </c>
      <c r="C7741" s="7" t="s">
        <v>33</v>
      </c>
      <c r="D7741" s="7" t="s">
        <v>34</v>
      </c>
      <c r="E7741" s="7" t="s">
        <v>35</v>
      </c>
      <c r="F7741" s="0" t="n">
        <v>6.58</v>
      </c>
      <c r="G7741" s="0" t="n">
        <v>3.0268</v>
      </c>
      <c r="H7741" s="0" t="n">
        <v>0</v>
      </c>
      <c r="I7741" s="7" t="n">
        <f aca="false">YEAR(B7741)</f>
        <v>2014</v>
      </c>
      <c r="J7741" s="0" t="str">
        <f aca="false">I7741&amp;"-Q"&amp;ROUNDUP(MONTH(B7741)/3,0)</f>
        <v>2014-Q4</v>
      </c>
    </row>
    <row r="7742" customFormat="false" ht="15" hidden="false" customHeight="false" outlineLevel="0" collapsed="false">
      <c r="A7742" s="0" t="s">
        <v>3921</v>
      </c>
      <c r="B7742" s="6" t="n">
        <v>41964</v>
      </c>
      <c r="C7742" s="7" t="s">
        <v>33</v>
      </c>
      <c r="D7742" s="7" t="s">
        <v>34</v>
      </c>
      <c r="E7742" s="7" t="s">
        <v>39</v>
      </c>
      <c r="F7742" s="0" t="n">
        <v>94.99</v>
      </c>
      <c r="G7742" s="0" t="n">
        <v>28.497</v>
      </c>
      <c r="H7742" s="0" t="n">
        <v>0</v>
      </c>
      <c r="I7742" s="7" t="n">
        <f aca="false">YEAR(B7742)</f>
        <v>2014</v>
      </c>
      <c r="J7742" s="0" t="str">
        <f aca="false">I7742&amp;"-Q"&amp;ROUNDUP(MONTH(B7742)/3,0)</f>
        <v>2014-Q4</v>
      </c>
    </row>
    <row r="7743" customFormat="false" ht="15" hidden="false" customHeight="false" outlineLevel="0" collapsed="false">
      <c r="A7743" s="0" t="s">
        <v>3922</v>
      </c>
      <c r="B7743" s="6" t="n">
        <v>42271</v>
      </c>
      <c r="C7743" s="7" t="s">
        <v>33</v>
      </c>
      <c r="D7743" s="7" t="s">
        <v>81</v>
      </c>
      <c r="E7743" s="7" t="s">
        <v>39</v>
      </c>
      <c r="F7743" s="0" t="n">
        <v>35.12</v>
      </c>
      <c r="G7743" s="0" t="n">
        <v>13.17</v>
      </c>
      <c r="H7743" s="0" t="n">
        <v>0.2</v>
      </c>
      <c r="I7743" s="7" t="n">
        <f aca="false">YEAR(B7743)</f>
        <v>2015</v>
      </c>
      <c r="J7743" s="0" t="str">
        <f aca="false">I7743&amp;"-Q"&amp;ROUNDUP(MONTH(B7743)/3,0)</f>
        <v>2015-Q3</v>
      </c>
    </row>
    <row r="7744" customFormat="false" ht="15" hidden="false" customHeight="false" outlineLevel="0" collapsed="false">
      <c r="A7744" s="0" t="s">
        <v>3923</v>
      </c>
      <c r="B7744" s="6" t="n">
        <v>42967</v>
      </c>
      <c r="C7744" s="7" t="s">
        <v>33</v>
      </c>
      <c r="D7744" s="7" t="s">
        <v>34</v>
      </c>
      <c r="E7744" s="7" t="s">
        <v>35</v>
      </c>
      <c r="F7744" s="0" t="n">
        <v>25.92</v>
      </c>
      <c r="G7744" s="0" t="n">
        <v>12.4416</v>
      </c>
      <c r="H7744" s="0" t="n">
        <v>0</v>
      </c>
      <c r="I7744" s="7" t="n">
        <f aca="false">YEAR(B7744)</f>
        <v>2017</v>
      </c>
      <c r="J7744" s="0" t="str">
        <f aca="false">I7744&amp;"-Q"&amp;ROUNDUP(MONTH(B7744)/3,0)</f>
        <v>2017-Q3</v>
      </c>
    </row>
    <row r="7745" customFormat="false" ht="15" hidden="false" customHeight="false" outlineLevel="0" collapsed="false">
      <c r="A7745" s="0" t="s">
        <v>3924</v>
      </c>
      <c r="B7745" s="6" t="n">
        <v>42538</v>
      </c>
      <c r="C7745" s="7" t="s">
        <v>55</v>
      </c>
      <c r="D7745" s="7" t="s">
        <v>154</v>
      </c>
      <c r="E7745" s="7" t="s">
        <v>35</v>
      </c>
      <c r="F7745" s="0" t="n">
        <v>7.96</v>
      </c>
      <c r="G7745" s="0" t="n">
        <v>3.7412</v>
      </c>
      <c r="H7745" s="0" t="n">
        <v>0</v>
      </c>
      <c r="I7745" s="7" t="n">
        <f aca="false">YEAR(B7745)</f>
        <v>2016</v>
      </c>
      <c r="J7745" s="0" t="str">
        <f aca="false">I7745&amp;"-Q"&amp;ROUNDUP(MONTH(B7745)/3,0)</f>
        <v>2016-Q2</v>
      </c>
    </row>
    <row r="7746" customFormat="false" ht="15" hidden="false" customHeight="false" outlineLevel="0" collapsed="false">
      <c r="A7746" s="0" t="s">
        <v>3924</v>
      </c>
      <c r="B7746" s="6" t="n">
        <v>42538</v>
      </c>
      <c r="C7746" s="7" t="s">
        <v>55</v>
      </c>
      <c r="D7746" s="7" t="s">
        <v>154</v>
      </c>
      <c r="E7746" s="7" t="s">
        <v>39</v>
      </c>
      <c r="F7746" s="0" t="n">
        <v>566.97</v>
      </c>
      <c r="G7746" s="0" t="n">
        <v>153.0819</v>
      </c>
      <c r="H7746" s="0" t="n">
        <v>0</v>
      </c>
      <c r="I7746" s="7" t="n">
        <f aca="false">YEAR(B7746)</f>
        <v>2016</v>
      </c>
      <c r="J7746" s="0" t="str">
        <f aca="false">I7746&amp;"-Q"&amp;ROUNDUP(MONTH(B7746)/3,0)</f>
        <v>2016-Q2</v>
      </c>
    </row>
    <row r="7747" customFormat="false" ht="15" hidden="false" customHeight="false" outlineLevel="0" collapsed="false">
      <c r="A7747" s="0" t="s">
        <v>3924</v>
      </c>
      <c r="B7747" s="6" t="n">
        <v>42538</v>
      </c>
      <c r="C7747" s="7" t="s">
        <v>55</v>
      </c>
      <c r="D7747" s="7" t="s">
        <v>154</v>
      </c>
      <c r="E7747" s="7" t="s">
        <v>35</v>
      </c>
      <c r="F7747" s="0" t="n">
        <v>9.84</v>
      </c>
      <c r="G7747" s="0" t="n">
        <v>2.8536</v>
      </c>
      <c r="H7747" s="0" t="n">
        <v>0</v>
      </c>
      <c r="I7747" s="7" t="n">
        <f aca="false">YEAR(B7747)</f>
        <v>2016</v>
      </c>
      <c r="J7747" s="0" t="str">
        <f aca="false">I7747&amp;"-Q"&amp;ROUNDUP(MONTH(B7747)/3,0)</f>
        <v>2016-Q2</v>
      </c>
    </row>
    <row r="7748" customFormat="false" ht="15" hidden="false" customHeight="false" outlineLevel="0" collapsed="false">
      <c r="A7748" s="0" t="s">
        <v>3925</v>
      </c>
      <c r="B7748" s="6" t="n">
        <v>42357</v>
      </c>
      <c r="C7748" s="7" t="s">
        <v>45</v>
      </c>
      <c r="D7748" s="7" t="s">
        <v>64</v>
      </c>
      <c r="E7748" s="7" t="s">
        <v>39</v>
      </c>
      <c r="F7748" s="0" t="n">
        <v>25.488</v>
      </c>
      <c r="G7748" s="0" t="n">
        <v>4.779</v>
      </c>
      <c r="H7748" s="0" t="n">
        <v>0.2</v>
      </c>
      <c r="I7748" s="7" t="n">
        <f aca="false">YEAR(B7748)</f>
        <v>2015</v>
      </c>
      <c r="J7748" s="0" t="str">
        <f aca="false">I7748&amp;"-Q"&amp;ROUNDUP(MONTH(B7748)/3,0)</f>
        <v>2015-Q4</v>
      </c>
    </row>
    <row r="7749" customFormat="false" ht="15" hidden="false" customHeight="false" outlineLevel="0" collapsed="false">
      <c r="A7749" s="0" t="s">
        <v>3926</v>
      </c>
      <c r="B7749" s="6" t="n">
        <v>42155</v>
      </c>
      <c r="C7749" s="7" t="s">
        <v>55</v>
      </c>
      <c r="D7749" s="7" t="s">
        <v>76</v>
      </c>
      <c r="E7749" s="7" t="s">
        <v>35</v>
      </c>
      <c r="F7749" s="0" t="n">
        <v>7.56</v>
      </c>
      <c r="G7749" s="0" t="n">
        <v>0.3024</v>
      </c>
      <c r="H7749" s="0" t="n">
        <v>0</v>
      </c>
      <c r="I7749" s="7" t="n">
        <f aca="false">YEAR(B7749)</f>
        <v>2015</v>
      </c>
      <c r="J7749" s="0" t="str">
        <f aca="false">I7749&amp;"-Q"&amp;ROUNDUP(MONTH(B7749)/3,0)</f>
        <v>2015-Q2</v>
      </c>
    </row>
    <row r="7750" customFormat="false" ht="15" hidden="false" customHeight="false" outlineLevel="0" collapsed="false">
      <c r="A7750" s="0" t="s">
        <v>3927</v>
      </c>
      <c r="B7750" s="6" t="n">
        <v>42173</v>
      </c>
      <c r="C7750" s="7" t="s">
        <v>29</v>
      </c>
      <c r="D7750" s="7" t="s">
        <v>83</v>
      </c>
      <c r="E7750" s="7" t="s">
        <v>31</v>
      </c>
      <c r="F7750" s="0" t="n">
        <v>60.84</v>
      </c>
      <c r="G7750" s="0" t="n">
        <v>19.4688</v>
      </c>
      <c r="H7750" s="0" t="n">
        <v>0</v>
      </c>
      <c r="I7750" s="7" t="n">
        <f aca="false">YEAR(B7750)</f>
        <v>2015</v>
      </c>
      <c r="J7750" s="0" t="str">
        <f aca="false">I7750&amp;"-Q"&amp;ROUNDUP(MONTH(B7750)/3,0)</f>
        <v>2015-Q2</v>
      </c>
    </row>
    <row r="7751" customFormat="false" ht="15" hidden="false" customHeight="false" outlineLevel="0" collapsed="false">
      <c r="A7751" s="0" t="s">
        <v>3927</v>
      </c>
      <c r="B7751" s="6" t="n">
        <v>42173</v>
      </c>
      <c r="C7751" s="7" t="s">
        <v>29</v>
      </c>
      <c r="D7751" s="7" t="s">
        <v>83</v>
      </c>
      <c r="E7751" s="7" t="s">
        <v>35</v>
      </c>
      <c r="F7751" s="0" t="n">
        <v>450.04</v>
      </c>
      <c r="G7751" s="0" t="n">
        <v>58.5052</v>
      </c>
      <c r="H7751" s="0" t="n">
        <v>0</v>
      </c>
      <c r="I7751" s="7" t="n">
        <f aca="false">YEAR(B7751)</f>
        <v>2015</v>
      </c>
      <c r="J7751" s="0" t="str">
        <f aca="false">I7751&amp;"-Q"&amp;ROUNDUP(MONTH(B7751)/3,0)</f>
        <v>2015-Q2</v>
      </c>
    </row>
    <row r="7752" customFormat="false" ht="15" hidden="false" customHeight="false" outlineLevel="0" collapsed="false">
      <c r="A7752" s="0" t="s">
        <v>3927</v>
      </c>
      <c r="B7752" s="6" t="n">
        <v>42173</v>
      </c>
      <c r="C7752" s="7" t="s">
        <v>29</v>
      </c>
      <c r="D7752" s="7" t="s">
        <v>83</v>
      </c>
      <c r="E7752" s="7" t="s">
        <v>35</v>
      </c>
      <c r="F7752" s="0" t="n">
        <v>34.6</v>
      </c>
      <c r="G7752" s="0" t="n">
        <v>16.608</v>
      </c>
      <c r="H7752" s="0" t="n">
        <v>0</v>
      </c>
      <c r="I7752" s="7" t="n">
        <f aca="false">YEAR(B7752)</f>
        <v>2015</v>
      </c>
      <c r="J7752" s="0" t="str">
        <f aca="false">I7752&amp;"-Q"&amp;ROUNDUP(MONTH(B7752)/3,0)</f>
        <v>2015-Q2</v>
      </c>
    </row>
    <row r="7753" customFormat="false" ht="15" hidden="false" customHeight="false" outlineLevel="0" collapsed="false">
      <c r="A7753" s="0" t="s">
        <v>3927</v>
      </c>
      <c r="B7753" s="6" t="n">
        <v>42173</v>
      </c>
      <c r="C7753" s="7" t="s">
        <v>29</v>
      </c>
      <c r="D7753" s="7" t="s">
        <v>83</v>
      </c>
      <c r="E7753" s="7" t="s">
        <v>39</v>
      </c>
      <c r="F7753" s="0" t="n">
        <v>467.97</v>
      </c>
      <c r="G7753" s="0" t="n">
        <v>140.391</v>
      </c>
      <c r="H7753" s="0" t="n">
        <v>0</v>
      </c>
      <c r="I7753" s="7" t="n">
        <f aca="false">YEAR(B7753)</f>
        <v>2015</v>
      </c>
      <c r="J7753" s="0" t="str">
        <f aca="false">I7753&amp;"-Q"&amp;ROUNDUP(MONTH(B7753)/3,0)</f>
        <v>2015-Q2</v>
      </c>
    </row>
    <row r="7754" customFormat="false" ht="15" hidden="false" customHeight="false" outlineLevel="0" collapsed="false">
      <c r="A7754" s="0" t="s">
        <v>3927</v>
      </c>
      <c r="B7754" s="6" t="n">
        <v>42173</v>
      </c>
      <c r="C7754" s="7" t="s">
        <v>29</v>
      </c>
      <c r="D7754" s="7" t="s">
        <v>83</v>
      </c>
      <c r="E7754" s="7" t="s">
        <v>35</v>
      </c>
      <c r="F7754" s="0" t="n">
        <v>33.02</v>
      </c>
      <c r="G7754" s="0" t="n">
        <v>15.8496</v>
      </c>
      <c r="H7754" s="0" t="n">
        <v>0</v>
      </c>
      <c r="I7754" s="7" t="n">
        <f aca="false">YEAR(B7754)</f>
        <v>2015</v>
      </c>
      <c r="J7754" s="0" t="str">
        <f aca="false">I7754&amp;"-Q"&amp;ROUNDUP(MONTH(B7754)/3,0)</f>
        <v>2015-Q2</v>
      </c>
    </row>
    <row r="7755" customFormat="false" ht="15" hidden="false" customHeight="false" outlineLevel="0" collapsed="false">
      <c r="A7755" s="0" t="s">
        <v>3928</v>
      </c>
      <c r="B7755" s="6" t="n">
        <v>42338</v>
      </c>
      <c r="C7755" s="7" t="s">
        <v>29</v>
      </c>
      <c r="D7755" s="7" t="s">
        <v>41</v>
      </c>
      <c r="E7755" s="7" t="s">
        <v>31</v>
      </c>
      <c r="F7755" s="0" t="n">
        <v>17.088</v>
      </c>
      <c r="G7755" s="0" t="n">
        <v>1.068</v>
      </c>
      <c r="H7755" s="0" t="n">
        <v>0.2</v>
      </c>
      <c r="I7755" s="7" t="n">
        <f aca="false">YEAR(B7755)</f>
        <v>2015</v>
      </c>
      <c r="J7755" s="0" t="str">
        <f aca="false">I7755&amp;"-Q"&amp;ROUNDUP(MONTH(B7755)/3,0)</f>
        <v>2015-Q4</v>
      </c>
    </row>
    <row r="7756" customFormat="false" ht="15" hidden="false" customHeight="false" outlineLevel="0" collapsed="false">
      <c r="A7756" s="0" t="s">
        <v>3929</v>
      </c>
      <c r="B7756" s="6" t="n">
        <v>42359</v>
      </c>
      <c r="C7756" s="7" t="s">
        <v>55</v>
      </c>
      <c r="D7756" s="7" t="s">
        <v>116</v>
      </c>
      <c r="E7756" s="7" t="s">
        <v>35</v>
      </c>
      <c r="F7756" s="0" t="n">
        <v>3.008</v>
      </c>
      <c r="G7756" s="0" t="n">
        <v>0.3384</v>
      </c>
      <c r="H7756" s="0" t="n">
        <v>0.2</v>
      </c>
      <c r="I7756" s="7" t="n">
        <f aca="false">YEAR(B7756)</f>
        <v>2015</v>
      </c>
      <c r="J7756" s="0" t="str">
        <f aca="false">I7756&amp;"-Q"&amp;ROUNDUP(MONTH(B7756)/3,0)</f>
        <v>2015-Q4</v>
      </c>
    </row>
    <row r="7757" customFormat="false" ht="15" hidden="false" customHeight="false" outlineLevel="0" collapsed="false">
      <c r="A7757" s="0" t="s">
        <v>3930</v>
      </c>
      <c r="B7757" s="6" t="n">
        <v>43056</v>
      </c>
      <c r="C7757" s="7" t="s">
        <v>29</v>
      </c>
      <c r="D7757" s="7" t="s">
        <v>41</v>
      </c>
      <c r="E7757" s="7" t="s">
        <v>35</v>
      </c>
      <c r="F7757" s="0" t="n">
        <v>268.24</v>
      </c>
      <c r="G7757" s="0" t="n">
        <v>93.884</v>
      </c>
      <c r="H7757" s="0" t="n">
        <v>0.2</v>
      </c>
      <c r="I7757" s="7" t="n">
        <f aca="false">YEAR(B7757)</f>
        <v>2017</v>
      </c>
      <c r="J7757" s="0" t="str">
        <f aca="false">I7757&amp;"-Q"&amp;ROUNDUP(MONTH(B7757)/3,0)</f>
        <v>2017-Q4</v>
      </c>
    </row>
    <row r="7758" customFormat="false" ht="15" hidden="false" customHeight="false" outlineLevel="0" collapsed="false">
      <c r="A7758" s="0" t="s">
        <v>3930</v>
      </c>
      <c r="B7758" s="6" t="n">
        <v>43056</v>
      </c>
      <c r="C7758" s="7" t="s">
        <v>29</v>
      </c>
      <c r="D7758" s="7" t="s">
        <v>41</v>
      </c>
      <c r="E7758" s="7" t="s">
        <v>39</v>
      </c>
      <c r="F7758" s="0" t="n">
        <v>431.16</v>
      </c>
      <c r="G7758" s="0" t="n">
        <v>107.79</v>
      </c>
      <c r="H7758" s="0" t="n">
        <v>0.2</v>
      </c>
      <c r="I7758" s="7" t="n">
        <f aca="false">YEAR(B7758)</f>
        <v>2017</v>
      </c>
      <c r="J7758" s="0" t="str">
        <f aca="false">I7758&amp;"-Q"&amp;ROUNDUP(MONTH(B7758)/3,0)</f>
        <v>2017-Q4</v>
      </c>
    </row>
    <row r="7759" customFormat="false" ht="15" hidden="false" customHeight="false" outlineLevel="0" collapsed="false">
      <c r="A7759" s="0" t="s">
        <v>3931</v>
      </c>
      <c r="B7759" s="6" t="n">
        <v>43052</v>
      </c>
      <c r="C7759" s="7" t="s">
        <v>55</v>
      </c>
      <c r="D7759" s="7" t="s">
        <v>76</v>
      </c>
      <c r="E7759" s="7" t="s">
        <v>39</v>
      </c>
      <c r="F7759" s="0" t="n">
        <v>43.6</v>
      </c>
      <c r="G7759" s="0" t="n">
        <v>12.208</v>
      </c>
      <c r="H7759" s="0" t="n">
        <v>0</v>
      </c>
      <c r="I7759" s="7" t="n">
        <f aca="false">YEAR(B7759)</f>
        <v>2017</v>
      </c>
      <c r="J7759" s="0" t="str">
        <f aca="false">I7759&amp;"-Q"&amp;ROUNDUP(MONTH(B7759)/3,0)</f>
        <v>2017-Q4</v>
      </c>
    </row>
    <row r="7760" customFormat="false" ht="15" hidden="false" customHeight="false" outlineLevel="0" collapsed="false">
      <c r="A7760" s="0" t="s">
        <v>3931</v>
      </c>
      <c r="B7760" s="6" t="n">
        <v>43052</v>
      </c>
      <c r="C7760" s="7" t="s">
        <v>55</v>
      </c>
      <c r="D7760" s="7" t="s">
        <v>76</v>
      </c>
      <c r="E7760" s="7" t="s">
        <v>31</v>
      </c>
      <c r="F7760" s="0" t="n">
        <v>154.95</v>
      </c>
      <c r="G7760" s="0" t="n">
        <v>30.99</v>
      </c>
      <c r="H7760" s="0" t="n">
        <v>0</v>
      </c>
      <c r="I7760" s="7" t="n">
        <f aca="false">YEAR(B7760)</f>
        <v>2017</v>
      </c>
      <c r="J7760" s="0" t="str">
        <f aca="false">I7760&amp;"-Q"&amp;ROUNDUP(MONTH(B7760)/3,0)</f>
        <v>2017-Q4</v>
      </c>
    </row>
    <row r="7761" customFormat="false" ht="15" hidden="false" customHeight="false" outlineLevel="0" collapsed="false">
      <c r="A7761" s="0" t="s">
        <v>3932</v>
      </c>
      <c r="B7761" s="6" t="n">
        <v>42667</v>
      </c>
      <c r="C7761" s="7" t="s">
        <v>45</v>
      </c>
      <c r="D7761" s="7" t="s">
        <v>46</v>
      </c>
      <c r="E7761" s="7" t="s">
        <v>35</v>
      </c>
      <c r="F7761" s="0" t="n">
        <v>15.552</v>
      </c>
      <c r="G7761" s="0" t="n">
        <v>5.4432</v>
      </c>
      <c r="H7761" s="0" t="n">
        <v>0.2</v>
      </c>
      <c r="I7761" s="7" t="n">
        <f aca="false">YEAR(B7761)</f>
        <v>2016</v>
      </c>
      <c r="J7761" s="0" t="str">
        <f aca="false">I7761&amp;"-Q"&amp;ROUNDUP(MONTH(B7761)/3,0)</f>
        <v>2016-Q4</v>
      </c>
    </row>
    <row r="7762" customFormat="false" ht="15" hidden="false" customHeight="false" outlineLevel="0" collapsed="false">
      <c r="A7762" s="0" t="s">
        <v>3933</v>
      </c>
      <c r="B7762" s="6" t="n">
        <v>41979</v>
      </c>
      <c r="C7762" s="7" t="s">
        <v>29</v>
      </c>
      <c r="D7762" s="7" t="s">
        <v>87</v>
      </c>
      <c r="E7762" s="7" t="s">
        <v>35</v>
      </c>
      <c r="F7762" s="0" t="n">
        <v>42.208</v>
      </c>
      <c r="G7762" s="0" t="n">
        <v>13.7176</v>
      </c>
      <c r="H7762" s="0" t="n">
        <v>0.2</v>
      </c>
      <c r="I7762" s="7" t="n">
        <f aca="false">YEAR(B7762)</f>
        <v>2014</v>
      </c>
      <c r="J7762" s="0" t="str">
        <f aca="false">I7762&amp;"-Q"&amp;ROUNDUP(MONTH(B7762)/3,0)</f>
        <v>2014-Q4</v>
      </c>
    </row>
    <row r="7763" customFormat="false" ht="15" hidden="false" customHeight="false" outlineLevel="0" collapsed="false">
      <c r="A7763" s="0" t="s">
        <v>3934</v>
      </c>
      <c r="B7763" s="6" t="n">
        <v>43072</v>
      </c>
      <c r="C7763" s="7" t="s">
        <v>45</v>
      </c>
      <c r="D7763" s="7" t="s">
        <v>46</v>
      </c>
      <c r="E7763" s="7" t="s">
        <v>35</v>
      </c>
      <c r="F7763" s="0" t="n">
        <v>10.368</v>
      </c>
      <c r="G7763" s="0" t="n">
        <v>3.6288</v>
      </c>
      <c r="H7763" s="0" t="n">
        <v>0.2</v>
      </c>
      <c r="I7763" s="7" t="n">
        <f aca="false">YEAR(B7763)</f>
        <v>2017</v>
      </c>
      <c r="J7763" s="0" t="str">
        <f aca="false">I7763&amp;"-Q"&amp;ROUNDUP(MONTH(B7763)/3,0)</f>
        <v>2017-Q4</v>
      </c>
    </row>
    <row r="7764" customFormat="false" ht="15" hidden="false" customHeight="false" outlineLevel="0" collapsed="false">
      <c r="A7764" s="0" t="s">
        <v>3935</v>
      </c>
      <c r="B7764" s="6" t="n">
        <v>43004</v>
      </c>
      <c r="C7764" s="7" t="s">
        <v>33</v>
      </c>
      <c r="D7764" s="7" t="s">
        <v>102</v>
      </c>
      <c r="E7764" s="7" t="s">
        <v>35</v>
      </c>
      <c r="F7764" s="0" t="n">
        <v>2.224</v>
      </c>
      <c r="G7764" s="0" t="n">
        <v>0.556</v>
      </c>
      <c r="H7764" s="0" t="n">
        <v>0.2</v>
      </c>
      <c r="I7764" s="7" t="n">
        <f aca="false">YEAR(B7764)</f>
        <v>2017</v>
      </c>
      <c r="J7764" s="0" t="str">
        <f aca="false">I7764&amp;"-Q"&amp;ROUNDUP(MONTH(B7764)/3,0)</f>
        <v>2017-Q3</v>
      </c>
    </row>
    <row r="7765" customFormat="false" ht="15" hidden="false" customHeight="false" outlineLevel="0" collapsed="false">
      <c r="A7765" s="0" t="s">
        <v>3936</v>
      </c>
      <c r="B7765" s="6" t="n">
        <v>42038</v>
      </c>
      <c r="C7765" s="7" t="s">
        <v>29</v>
      </c>
      <c r="D7765" s="7" t="s">
        <v>230</v>
      </c>
      <c r="E7765" s="7" t="s">
        <v>35</v>
      </c>
      <c r="F7765" s="0" t="n">
        <v>74.52</v>
      </c>
      <c r="G7765" s="0" t="n">
        <v>35.0244</v>
      </c>
      <c r="H7765" s="0" t="n">
        <v>0</v>
      </c>
      <c r="I7765" s="7" t="n">
        <f aca="false">YEAR(B7765)</f>
        <v>2015</v>
      </c>
      <c r="J7765" s="0" t="str">
        <f aca="false">I7765&amp;"-Q"&amp;ROUNDUP(MONTH(B7765)/3,0)</f>
        <v>2015-Q1</v>
      </c>
    </row>
    <row r="7766" customFormat="false" ht="15" hidden="false" customHeight="false" outlineLevel="0" collapsed="false">
      <c r="A7766" s="0" t="s">
        <v>3937</v>
      </c>
      <c r="B7766" s="6" t="n">
        <v>42959</v>
      </c>
      <c r="C7766" s="7" t="s">
        <v>55</v>
      </c>
      <c r="D7766" s="7" t="s">
        <v>495</v>
      </c>
      <c r="E7766" s="7" t="s">
        <v>35</v>
      </c>
      <c r="F7766" s="0" t="n">
        <v>17.52</v>
      </c>
      <c r="G7766" s="0" t="n">
        <v>5.256</v>
      </c>
      <c r="H7766" s="0" t="n">
        <v>0</v>
      </c>
      <c r="I7766" s="7" t="n">
        <f aca="false">YEAR(B7766)</f>
        <v>2017</v>
      </c>
      <c r="J7766" s="0" t="str">
        <f aca="false">I7766&amp;"-Q"&amp;ROUNDUP(MONTH(B7766)/3,0)</f>
        <v>2017-Q3</v>
      </c>
    </row>
    <row r="7767" customFormat="false" ht="15" hidden="false" customHeight="false" outlineLevel="0" collapsed="false">
      <c r="A7767" s="0" t="s">
        <v>3937</v>
      </c>
      <c r="B7767" s="6" t="n">
        <v>42959</v>
      </c>
      <c r="C7767" s="7" t="s">
        <v>55</v>
      </c>
      <c r="D7767" s="7" t="s">
        <v>495</v>
      </c>
      <c r="E7767" s="7" t="s">
        <v>31</v>
      </c>
      <c r="F7767" s="0" t="n">
        <v>1779.9</v>
      </c>
      <c r="G7767" s="0" t="n">
        <v>373.779</v>
      </c>
      <c r="H7767" s="0" t="n">
        <v>0</v>
      </c>
      <c r="I7767" s="7" t="n">
        <f aca="false">YEAR(B7767)</f>
        <v>2017</v>
      </c>
      <c r="J7767" s="0" t="str">
        <f aca="false">I7767&amp;"-Q"&amp;ROUNDUP(MONTH(B7767)/3,0)</f>
        <v>2017-Q3</v>
      </c>
    </row>
    <row r="7768" customFormat="false" ht="15" hidden="false" customHeight="false" outlineLevel="0" collapsed="false">
      <c r="A7768" s="0" t="s">
        <v>3937</v>
      </c>
      <c r="B7768" s="6" t="n">
        <v>42959</v>
      </c>
      <c r="C7768" s="7" t="s">
        <v>55</v>
      </c>
      <c r="D7768" s="7" t="s">
        <v>495</v>
      </c>
      <c r="E7768" s="7" t="s">
        <v>35</v>
      </c>
      <c r="F7768" s="0" t="n">
        <v>219.9</v>
      </c>
      <c r="G7768" s="0" t="n">
        <v>59.373</v>
      </c>
      <c r="H7768" s="0" t="n">
        <v>0</v>
      </c>
      <c r="I7768" s="7" t="n">
        <f aca="false">YEAR(B7768)</f>
        <v>2017</v>
      </c>
      <c r="J7768" s="0" t="str">
        <f aca="false">I7768&amp;"-Q"&amp;ROUNDUP(MONTH(B7768)/3,0)</f>
        <v>2017-Q3</v>
      </c>
    </row>
    <row r="7769" customFormat="false" ht="15" hidden="false" customHeight="false" outlineLevel="0" collapsed="false">
      <c r="A7769" s="0" t="s">
        <v>3938</v>
      </c>
      <c r="B7769" s="6" t="n">
        <v>42240</v>
      </c>
      <c r="C7769" s="7" t="s">
        <v>33</v>
      </c>
      <c r="D7769" s="7" t="s">
        <v>102</v>
      </c>
      <c r="E7769" s="7" t="s">
        <v>35</v>
      </c>
      <c r="F7769" s="0" t="n">
        <v>7.152</v>
      </c>
      <c r="G7769" s="0" t="n">
        <v>0.7152</v>
      </c>
      <c r="H7769" s="0" t="n">
        <v>0.2</v>
      </c>
      <c r="I7769" s="7" t="n">
        <f aca="false">YEAR(B7769)</f>
        <v>2015</v>
      </c>
      <c r="J7769" s="0" t="str">
        <f aca="false">I7769&amp;"-Q"&amp;ROUNDUP(MONTH(B7769)/3,0)</f>
        <v>2015-Q3</v>
      </c>
    </row>
    <row r="7770" customFormat="false" ht="15" hidden="false" customHeight="false" outlineLevel="0" collapsed="false">
      <c r="A7770" s="0" t="s">
        <v>3939</v>
      </c>
      <c r="B7770" s="6" t="n">
        <v>43051</v>
      </c>
      <c r="C7770" s="7" t="s">
        <v>29</v>
      </c>
      <c r="D7770" s="7" t="s">
        <v>37</v>
      </c>
      <c r="E7770" s="7" t="s">
        <v>35</v>
      </c>
      <c r="F7770" s="0" t="n">
        <v>26.72</v>
      </c>
      <c r="G7770" s="0" t="n">
        <v>9.352</v>
      </c>
      <c r="H7770" s="0" t="n">
        <v>0.2</v>
      </c>
      <c r="I7770" s="7" t="n">
        <f aca="false">YEAR(B7770)</f>
        <v>2017</v>
      </c>
      <c r="J7770" s="0" t="str">
        <f aca="false">I7770&amp;"-Q"&amp;ROUNDUP(MONTH(B7770)/3,0)</f>
        <v>2017-Q4</v>
      </c>
    </row>
    <row r="7771" customFormat="false" ht="15" hidden="false" customHeight="false" outlineLevel="0" collapsed="false">
      <c r="A7771" s="0" t="s">
        <v>3940</v>
      </c>
      <c r="B7771" s="6" t="n">
        <v>42583</v>
      </c>
      <c r="C7771" s="7" t="s">
        <v>33</v>
      </c>
      <c r="D7771" s="7" t="s">
        <v>34</v>
      </c>
      <c r="E7771" s="7" t="s">
        <v>39</v>
      </c>
      <c r="F7771" s="0" t="n">
        <v>1039.728</v>
      </c>
      <c r="G7771" s="0" t="n">
        <v>90.9762</v>
      </c>
      <c r="H7771" s="0" t="n">
        <v>0.2</v>
      </c>
      <c r="I7771" s="7" t="n">
        <f aca="false">YEAR(B7771)</f>
        <v>2016</v>
      </c>
      <c r="J7771" s="0" t="str">
        <f aca="false">I7771&amp;"-Q"&amp;ROUNDUP(MONTH(B7771)/3,0)</f>
        <v>2016-Q3</v>
      </c>
    </row>
    <row r="7772" customFormat="false" ht="15" hidden="false" customHeight="false" outlineLevel="0" collapsed="false">
      <c r="A7772" s="0" t="s">
        <v>3940</v>
      </c>
      <c r="B7772" s="6" t="n">
        <v>42583</v>
      </c>
      <c r="C7772" s="7" t="s">
        <v>33</v>
      </c>
      <c r="D7772" s="7" t="s">
        <v>34</v>
      </c>
      <c r="E7772" s="7" t="s">
        <v>35</v>
      </c>
      <c r="F7772" s="0" t="n">
        <v>45.96</v>
      </c>
      <c r="G7772" s="0" t="n">
        <v>13.788</v>
      </c>
      <c r="H7772" s="0" t="n">
        <v>0</v>
      </c>
      <c r="I7772" s="7" t="n">
        <f aca="false">YEAR(B7772)</f>
        <v>2016</v>
      </c>
      <c r="J7772" s="0" t="str">
        <f aca="false">I7772&amp;"-Q"&amp;ROUNDUP(MONTH(B7772)/3,0)</f>
        <v>2016-Q3</v>
      </c>
    </row>
    <row r="7773" customFormat="false" ht="15" hidden="false" customHeight="false" outlineLevel="0" collapsed="false">
      <c r="A7773" s="0" t="s">
        <v>3941</v>
      </c>
      <c r="B7773" s="6" t="n">
        <v>42699</v>
      </c>
      <c r="C7773" s="7" t="s">
        <v>55</v>
      </c>
      <c r="D7773" s="7" t="s">
        <v>116</v>
      </c>
      <c r="E7773" s="7" t="s">
        <v>35</v>
      </c>
      <c r="F7773" s="0" t="n">
        <v>456.588</v>
      </c>
      <c r="G7773" s="0" t="n">
        <v>-304.392</v>
      </c>
      <c r="H7773" s="0" t="n">
        <v>0.7</v>
      </c>
      <c r="I7773" s="7" t="n">
        <f aca="false">YEAR(B7773)</f>
        <v>2016</v>
      </c>
      <c r="J7773" s="0" t="str">
        <f aca="false">I7773&amp;"-Q"&amp;ROUNDUP(MONTH(B7773)/3,0)</f>
        <v>2016-Q4</v>
      </c>
    </row>
    <row r="7774" customFormat="false" ht="15" hidden="false" customHeight="false" outlineLevel="0" collapsed="false">
      <c r="A7774" s="0" t="s">
        <v>3941</v>
      </c>
      <c r="B7774" s="6" t="n">
        <v>42699</v>
      </c>
      <c r="C7774" s="7" t="s">
        <v>55</v>
      </c>
      <c r="D7774" s="7" t="s">
        <v>116</v>
      </c>
      <c r="E7774" s="7" t="s">
        <v>39</v>
      </c>
      <c r="F7774" s="0" t="n">
        <v>4499.985</v>
      </c>
      <c r="G7774" s="0" t="n">
        <v>-6599.978</v>
      </c>
      <c r="H7774" s="0" t="n">
        <v>0.7</v>
      </c>
      <c r="I7774" s="7" t="n">
        <f aca="false">YEAR(B7774)</f>
        <v>2016</v>
      </c>
      <c r="J7774" s="0" t="str">
        <f aca="false">I7774&amp;"-Q"&amp;ROUNDUP(MONTH(B7774)/3,0)</f>
        <v>2016-Q4</v>
      </c>
    </row>
    <row r="7775" customFormat="false" ht="15" hidden="false" customHeight="false" outlineLevel="0" collapsed="false">
      <c r="A7775" s="0" t="s">
        <v>3941</v>
      </c>
      <c r="B7775" s="6" t="n">
        <v>42699</v>
      </c>
      <c r="C7775" s="7" t="s">
        <v>55</v>
      </c>
      <c r="D7775" s="7" t="s">
        <v>116</v>
      </c>
      <c r="E7775" s="7" t="s">
        <v>39</v>
      </c>
      <c r="F7775" s="0" t="n">
        <v>59.976</v>
      </c>
      <c r="G7775" s="0" t="n">
        <v>11.9952</v>
      </c>
      <c r="H7775" s="0" t="n">
        <v>0.2</v>
      </c>
      <c r="I7775" s="7" t="n">
        <f aca="false">YEAR(B7775)</f>
        <v>2016</v>
      </c>
      <c r="J7775" s="0" t="str">
        <f aca="false">I7775&amp;"-Q"&amp;ROUNDUP(MONTH(B7775)/3,0)</f>
        <v>2016-Q4</v>
      </c>
    </row>
    <row r="7776" customFormat="false" ht="15" hidden="false" customHeight="false" outlineLevel="0" collapsed="false">
      <c r="A7776" s="0" t="s">
        <v>3942</v>
      </c>
      <c r="B7776" s="6" t="n">
        <v>42473</v>
      </c>
      <c r="C7776" s="7" t="s">
        <v>33</v>
      </c>
      <c r="D7776" s="7" t="s">
        <v>34</v>
      </c>
      <c r="E7776" s="7" t="s">
        <v>35</v>
      </c>
      <c r="F7776" s="0" t="n">
        <v>6.12</v>
      </c>
      <c r="G7776" s="0" t="n">
        <v>2.8764</v>
      </c>
      <c r="H7776" s="0" t="n">
        <v>0</v>
      </c>
      <c r="I7776" s="7" t="n">
        <f aca="false">YEAR(B7776)</f>
        <v>2016</v>
      </c>
      <c r="J7776" s="0" t="str">
        <f aca="false">I7776&amp;"-Q"&amp;ROUNDUP(MONTH(B7776)/3,0)</f>
        <v>2016-Q2</v>
      </c>
    </row>
    <row r="7777" customFormat="false" ht="15" hidden="false" customHeight="false" outlineLevel="0" collapsed="false">
      <c r="A7777" s="0" t="s">
        <v>3943</v>
      </c>
      <c r="B7777" s="6" t="n">
        <v>42000</v>
      </c>
      <c r="C7777" s="7" t="s">
        <v>33</v>
      </c>
      <c r="D7777" s="7" t="s">
        <v>34</v>
      </c>
      <c r="E7777" s="7" t="s">
        <v>35</v>
      </c>
      <c r="F7777" s="0" t="n">
        <v>10.98</v>
      </c>
      <c r="G7777" s="0" t="n">
        <v>2.9646</v>
      </c>
      <c r="H7777" s="0" t="n">
        <v>0</v>
      </c>
      <c r="I7777" s="7" t="n">
        <f aca="false">YEAR(B7777)</f>
        <v>2014</v>
      </c>
      <c r="J7777" s="0" t="str">
        <f aca="false">I7777&amp;"-Q"&amp;ROUNDUP(MONTH(B7777)/3,0)</f>
        <v>2014-Q4</v>
      </c>
    </row>
    <row r="7778" customFormat="false" ht="15" hidden="false" customHeight="false" outlineLevel="0" collapsed="false">
      <c r="A7778" s="0" t="s">
        <v>3943</v>
      </c>
      <c r="B7778" s="6" t="n">
        <v>42000</v>
      </c>
      <c r="C7778" s="7" t="s">
        <v>33</v>
      </c>
      <c r="D7778" s="7" t="s">
        <v>34</v>
      </c>
      <c r="E7778" s="7" t="s">
        <v>35</v>
      </c>
      <c r="F7778" s="0" t="n">
        <v>7.86</v>
      </c>
      <c r="G7778" s="0" t="n">
        <v>3.6156</v>
      </c>
      <c r="H7778" s="0" t="n">
        <v>0</v>
      </c>
      <c r="I7778" s="7" t="n">
        <f aca="false">YEAR(B7778)</f>
        <v>2014</v>
      </c>
      <c r="J7778" s="0" t="str">
        <f aca="false">I7778&amp;"-Q"&amp;ROUNDUP(MONTH(B7778)/3,0)</f>
        <v>2014-Q4</v>
      </c>
    </row>
    <row r="7779" customFormat="false" ht="15" hidden="false" customHeight="false" outlineLevel="0" collapsed="false">
      <c r="A7779" s="0" t="s">
        <v>3943</v>
      </c>
      <c r="B7779" s="6" t="n">
        <v>42000</v>
      </c>
      <c r="C7779" s="7" t="s">
        <v>33</v>
      </c>
      <c r="D7779" s="7" t="s">
        <v>34</v>
      </c>
      <c r="E7779" s="7" t="s">
        <v>35</v>
      </c>
      <c r="F7779" s="0" t="n">
        <v>51.45</v>
      </c>
      <c r="G7779" s="0" t="n">
        <v>13.8915</v>
      </c>
      <c r="H7779" s="0" t="n">
        <v>0</v>
      </c>
      <c r="I7779" s="7" t="n">
        <f aca="false">YEAR(B7779)</f>
        <v>2014</v>
      </c>
      <c r="J7779" s="0" t="str">
        <f aca="false">I7779&amp;"-Q"&amp;ROUNDUP(MONTH(B7779)/3,0)</f>
        <v>2014-Q4</v>
      </c>
    </row>
    <row r="7780" customFormat="false" ht="15" hidden="false" customHeight="false" outlineLevel="0" collapsed="false">
      <c r="A7780" s="0" t="s">
        <v>3943</v>
      </c>
      <c r="B7780" s="6" t="n">
        <v>42000</v>
      </c>
      <c r="C7780" s="7" t="s">
        <v>33</v>
      </c>
      <c r="D7780" s="7" t="s">
        <v>34</v>
      </c>
      <c r="E7780" s="7" t="s">
        <v>35</v>
      </c>
      <c r="F7780" s="0" t="n">
        <v>37.056</v>
      </c>
      <c r="G7780" s="0" t="n">
        <v>13.896</v>
      </c>
      <c r="H7780" s="0" t="n">
        <v>0.2</v>
      </c>
      <c r="I7780" s="7" t="n">
        <f aca="false">YEAR(B7780)</f>
        <v>2014</v>
      </c>
      <c r="J7780" s="0" t="str">
        <f aca="false">I7780&amp;"-Q"&amp;ROUNDUP(MONTH(B7780)/3,0)</f>
        <v>2014-Q4</v>
      </c>
    </row>
    <row r="7781" customFormat="false" ht="15" hidden="false" customHeight="false" outlineLevel="0" collapsed="false">
      <c r="A7781" s="0" t="s">
        <v>3944</v>
      </c>
      <c r="B7781" s="6" t="n">
        <v>42478</v>
      </c>
      <c r="C7781" s="7" t="s">
        <v>29</v>
      </c>
      <c r="D7781" s="7" t="s">
        <v>83</v>
      </c>
      <c r="E7781" s="7" t="s">
        <v>35</v>
      </c>
      <c r="F7781" s="0" t="n">
        <v>203.92</v>
      </c>
      <c r="G7781" s="0" t="n">
        <v>55.0584</v>
      </c>
      <c r="H7781" s="0" t="n">
        <v>0</v>
      </c>
      <c r="I7781" s="7" t="n">
        <f aca="false">YEAR(B7781)</f>
        <v>2016</v>
      </c>
      <c r="J7781" s="0" t="str">
        <f aca="false">I7781&amp;"-Q"&amp;ROUNDUP(MONTH(B7781)/3,0)</f>
        <v>2016-Q2</v>
      </c>
    </row>
    <row r="7782" customFormat="false" ht="15" hidden="false" customHeight="false" outlineLevel="0" collapsed="false">
      <c r="A7782" s="0" t="s">
        <v>3944</v>
      </c>
      <c r="B7782" s="6" t="n">
        <v>42478</v>
      </c>
      <c r="C7782" s="7" t="s">
        <v>29</v>
      </c>
      <c r="D7782" s="7" t="s">
        <v>83</v>
      </c>
      <c r="E7782" s="7" t="s">
        <v>39</v>
      </c>
      <c r="F7782" s="0" t="n">
        <v>29.56</v>
      </c>
      <c r="G7782" s="0" t="n">
        <v>7.9812</v>
      </c>
      <c r="H7782" s="0" t="n">
        <v>0</v>
      </c>
      <c r="I7782" s="7" t="n">
        <f aca="false">YEAR(B7782)</f>
        <v>2016</v>
      </c>
      <c r="J7782" s="0" t="str">
        <f aca="false">I7782&amp;"-Q"&amp;ROUNDUP(MONTH(B7782)/3,0)</f>
        <v>2016-Q2</v>
      </c>
    </row>
    <row r="7783" customFormat="false" ht="15" hidden="false" customHeight="false" outlineLevel="0" collapsed="false">
      <c r="A7783" s="0" t="s">
        <v>3945</v>
      </c>
      <c r="B7783" s="6" t="n">
        <v>42071</v>
      </c>
      <c r="C7783" s="7" t="s">
        <v>45</v>
      </c>
      <c r="D7783" s="7" t="s">
        <v>64</v>
      </c>
      <c r="E7783" s="7" t="s">
        <v>35</v>
      </c>
      <c r="F7783" s="0" t="n">
        <v>8.568</v>
      </c>
      <c r="G7783" s="0" t="n">
        <v>-14.5656</v>
      </c>
      <c r="H7783" s="0" t="n">
        <v>0.8</v>
      </c>
      <c r="I7783" s="7" t="n">
        <f aca="false">YEAR(B7783)</f>
        <v>2015</v>
      </c>
      <c r="J7783" s="0" t="str">
        <f aca="false">I7783&amp;"-Q"&amp;ROUNDUP(MONTH(B7783)/3,0)</f>
        <v>2015-Q1</v>
      </c>
    </row>
    <row r="7784" customFormat="false" ht="15" hidden="false" customHeight="false" outlineLevel="0" collapsed="false">
      <c r="A7784" s="0" t="s">
        <v>3946</v>
      </c>
      <c r="B7784" s="6" t="n">
        <v>42678</v>
      </c>
      <c r="C7784" s="7" t="s">
        <v>29</v>
      </c>
      <c r="D7784" s="7" t="s">
        <v>41</v>
      </c>
      <c r="E7784" s="7" t="s">
        <v>35</v>
      </c>
      <c r="F7784" s="0" t="n">
        <v>45.248</v>
      </c>
      <c r="G7784" s="0" t="n">
        <v>3.9592</v>
      </c>
      <c r="H7784" s="0" t="n">
        <v>0.2</v>
      </c>
      <c r="I7784" s="7" t="n">
        <f aca="false">YEAR(B7784)</f>
        <v>2016</v>
      </c>
      <c r="J7784" s="0" t="str">
        <f aca="false">I7784&amp;"-Q"&amp;ROUNDUP(MONTH(B7784)/3,0)</f>
        <v>2016-Q4</v>
      </c>
    </row>
    <row r="7785" customFormat="false" ht="15" hidden="false" customHeight="false" outlineLevel="0" collapsed="false">
      <c r="A7785" s="0" t="s">
        <v>3946</v>
      </c>
      <c r="B7785" s="6" t="n">
        <v>42678</v>
      </c>
      <c r="C7785" s="7" t="s">
        <v>29</v>
      </c>
      <c r="D7785" s="7" t="s">
        <v>41</v>
      </c>
      <c r="E7785" s="7" t="s">
        <v>31</v>
      </c>
      <c r="F7785" s="0" t="n">
        <v>876.3</v>
      </c>
      <c r="G7785" s="0" t="n">
        <v>-292.1</v>
      </c>
      <c r="H7785" s="0" t="n">
        <v>0.4</v>
      </c>
      <c r="I7785" s="7" t="n">
        <f aca="false">YEAR(B7785)</f>
        <v>2016</v>
      </c>
      <c r="J7785" s="0" t="str">
        <f aca="false">I7785&amp;"-Q"&amp;ROUNDUP(MONTH(B7785)/3,0)</f>
        <v>2016-Q4</v>
      </c>
    </row>
    <row r="7786" customFormat="false" ht="15" hidden="false" customHeight="false" outlineLevel="0" collapsed="false">
      <c r="A7786" s="0" t="s">
        <v>3946</v>
      </c>
      <c r="B7786" s="6" t="n">
        <v>42678</v>
      </c>
      <c r="C7786" s="7" t="s">
        <v>29</v>
      </c>
      <c r="D7786" s="7" t="s">
        <v>41</v>
      </c>
      <c r="E7786" s="7" t="s">
        <v>35</v>
      </c>
      <c r="F7786" s="0" t="n">
        <v>185.376</v>
      </c>
      <c r="G7786" s="0" t="n">
        <v>-34.758</v>
      </c>
      <c r="H7786" s="0" t="n">
        <v>0.2</v>
      </c>
      <c r="I7786" s="7" t="n">
        <f aca="false">YEAR(B7786)</f>
        <v>2016</v>
      </c>
      <c r="J7786" s="0" t="str">
        <f aca="false">I7786&amp;"-Q"&amp;ROUNDUP(MONTH(B7786)/3,0)</f>
        <v>2016-Q4</v>
      </c>
    </row>
    <row r="7787" customFormat="false" ht="15" hidden="false" customHeight="false" outlineLevel="0" collapsed="false">
      <c r="A7787" s="0" t="s">
        <v>3947</v>
      </c>
      <c r="B7787" s="6" t="n">
        <v>41972</v>
      </c>
      <c r="C7787" s="7" t="s">
        <v>55</v>
      </c>
      <c r="D7787" s="7" t="s">
        <v>76</v>
      </c>
      <c r="E7787" s="7" t="s">
        <v>35</v>
      </c>
      <c r="F7787" s="0" t="n">
        <v>25.06</v>
      </c>
      <c r="G7787" s="0" t="n">
        <v>11.7782</v>
      </c>
      <c r="H7787" s="0" t="n">
        <v>0</v>
      </c>
      <c r="I7787" s="7" t="n">
        <f aca="false">YEAR(B7787)</f>
        <v>2014</v>
      </c>
      <c r="J7787" s="0" t="str">
        <f aca="false">I7787&amp;"-Q"&amp;ROUNDUP(MONTH(B7787)/3,0)</f>
        <v>2014-Q4</v>
      </c>
    </row>
    <row r="7788" customFormat="false" ht="15" hidden="false" customHeight="false" outlineLevel="0" collapsed="false">
      <c r="A7788" s="0" t="s">
        <v>3948</v>
      </c>
      <c r="B7788" s="6" t="n">
        <v>42507</v>
      </c>
      <c r="C7788" s="7" t="s">
        <v>45</v>
      </c>
      <c r="D7788" s="7" t="s">
        <v>64</v>
      </c>
      <c r="E7788" s="7" t="s">
        <v>35</v>
      </c>
      <c r="F7788" s="0" t="n">
        <v>2.89</v>
      </c>
      <c r="G7788" s="0" t="n">
        <v>-4.7685</v>
      </c>
      <c r="H7788" s="0" t="n">
        <v>0.8</v>
      </c>
      <c r="I7788" s="7" t="n">
        <f aca="false">YEAR(B7788)</f>
        <v>2016</v>
      </c>
      <c r="J7788" s="0" t="str">
        <f aca="false">I7788&amp;"-Q"&amp;ROUNDUP(MONTH(B7788)/3,0)</f>
        <v>2016-Q2</v>
      </c>
    </row>
    <row r="7789" customFormat="false" ht="15" hidden="false" customHeight="false" outlineLevel="0" collapsed="false">
      <c r="A7789" s="0" t="s">
        <v>3948</v>
      </c>
      <c r="B7789" s="6" t="n">
        <v>42507</v>
      </c>
      <c r="C7789" s="7" t="s">
        <v>45</v>
      </c>
      <c r="D7789" s="7" t="s">
        <v>64</v>
      </c>
      <c r="E7789" s="7" t="s">
        <v>35</v>
      </c>
      <c r="F7789" s="0" t="n">
        <v>7.896</v>
      </c>
      <c r="G7789" s="0" t="n">
        <v>2.4675</v>
      </c>
      <c r="H7789" s="0" t="n">
        <v>0.2</v>
      </c>
      <c r="I7789" s="7" t="n">
        <f aca="false">YEAR(B7789)</f>
        <v>2016</v>
      </c>
      <c r="J7789" s="0" t="str">
        <f aca="false">I7789&amp;"-Q"&amp;ROUNDUP(MONTH(B7789)/3,0)</f>
        <v>2016-Q2</v>
      </c>
    </row>
    <row r="7790" customFormat="false" ht="15" hidden="false" customHeight="false" outlineLevel="0" collapsed="false">
      <c r="A7790" s="0" t="s">
        <v>3948</v>
      </c>
      <c r="B7790" s="6" t="n">
        <v>42507</v>
      </c>
      <c r="C7790" s="7" t="s">
        <v>45</v>
      </c>
      <c r="D7790" s="7" t="s">
        <v>64</v>
      </c>
      <c r="E7790" s="7" t="s">
        <v>31</v>
      </c>
      <c r="F7790" s="0" t="n">
        <v>22.608</v>
      </c>
      <c r="G7790" s="0" t="n">
        <v>-10.1736</v>
      </c>
      <c r="H7790" s="0" t="n">
        <v>0.6</v>
      </c>
      <c r="I7790" s="7" t="n">
        <f aca="false">YEAR(B7790)</f>
        <v>2016</v>
      </c>
      <c r="J7790" s="0" t="str">
        <f aca="false">I7790&amp;"-Q"&amp;ROUNDUP(MONTH(B7790)/3,0)</f>
        <v>2016-Q2</v>
      </c>
    </row>
    <row r="7791" customFormat="false" ht="15" hidden="false" customHeight="false" outlineLevel="0" collapsed="false">
      <c r="A7791" s="0" t="s">
        <v>3948</v>
      </c>
      <c r="B7791" s="6" t="n">
        <v>42507</v>
      </c>
      <c r="C7791" s="7" t="s">
        <v>45</v>
      </c>
      <c r="D7791" s="7" t="s">
        <v>64</v>
      </c>
      <c r="E7791" s="7" t="s">
        <v>35</v>
      </c>
      <c r="F7791" s="0" t="n">
        <v>30.528</v>
      </c>
      <c r="G7791" s="0" t="n">
        <v>9.54</v>
      </c>
      <c r="H7791" s="0" t="n">
        <v>0.2</v>
      </c>
      <c r="I7791" s="7" t="n">
        <f aca="false">YEAR(B7791)</f>
        <v>2016</v>
      </c>
      <c r="J7791" s="0" t="str">
        <f aca="false">I7791&amp;"-Q"&amp;ROUNDUP(MONTH(B7791)/3,0)</f>
        <v>2016-Q2</v>
      </c>
    </row>
    <row r="7792" customFormat="false" ht="15" hidden="false" customHeight="false" outlineLevel="0" collapsed="false">
      <c r="A7792" s="0" t="s">
        <v>3949</v>
      </c>
      <c r="B7792" s="6" t="n">
        <v>42997</v>
      </c>
      <c r="C7792" s="7" t="s">
        <v>55</v>
      </c>
      <c r="D7792" s="7" t="s">
        <v>56</v>
      </c>
      <c r="E7792" s="7" t="s">
        <v>35</v>
      </c>
      <c r="F7792" s="0" t="n">
        <v>4.842</v>
      </c>
      <c r="G7792" s="0" t="n">
        <v>-3.3894</v>
      </c>
      <c r="H7792" s="0" t="n">
        <v>0.7</v>
      </c>
      <c r="I7792" s="7" t="n">
        <f aca="false">YEAR(B7792)</f>
        <v>2017</v>
      </c>
      <c r="J7792" s="0" t="str">
        <f aca="false">I7792&amp;"-Q"&amp;ROUNDUP(MONTH(B7792)/3,0)</f>
        <v>2017-Q3</v>
      </c>
    </row>
    <row r="7793" customFormat="false" ht="15" hidden="false" customHeight="false" outlineLevel="0" collapsed="false">
      <c r="A7793" s="0" t="s">
        <v>3950</v>
      </c>
      <c r="B7793" s="6" t="n">
        <v>42723</v>
      </c>
      <c r="C7793" s="7" t="s">
        <v>45</v>
      </c>
      <c r="D7793" s="7" t="s">
        <v>64</v>
      </c>
      <c r="E7793" s="7" t="s">
        <v>35</v>
      </c>
      <c r="F7793" s="0" t="n">
        <v>1.8</v>
      </c>
      <c r="G7793" s="0" t="n">
        <v>-2.88</v>
      </c>
      <c r="H7793" s="0" t="n">
        <v>0.8</v>
      </c>
      <c r="I7793" s="7" t="n">
        <f aca="false">YEAR(B7793)</f>
        <v>2016</v>
      </c>
      <c r="J7793" s="0" t="str">
        <f aca="false">I7793&amp;"-Q"&amp;ROUNDUP(MONTH(B7793)/3,0)</f>
        <v>2016-Q4</v>
      </c>
    </row>
    <row r="7794" customFormat="false" ht="15" hidden="false" customHeight="false" outlineLevel="0" collapsed="false">
      <c r="A7794" s="0" t="s">
        <v>3951</v>
      </c>
      <c r="B7794" s="6" t="n">
        <v>43020</v>
      </c>
      <c r="C7794" s="7" t="s">
        <v>45</v>
      </c>
      <c r="D7794" s="7" t="s">
        <v>46</v>
      </c>
      <c r="E7794" s="7" t="s">
        <v>39</v>
      </c>
      <c r="F7794" s="0" t="n">
        <v>39.984</v>
      </c>
      <c r="G7794" s="0" t="n">
        <v>-1.4994</v>
      </c>
      <c r="H7794" s="0" t="n">
        <v>0.2</v>
      </c>
      <c r="I7794" s="7" t="n">
        <f aca="false">YEAR(B7794)</f>
        <v>2017</v>
      </c>
      <c r="J7794" s="0" t="str">
        <f aca="false">I7794&amp;"-Q"&amp;ROUNDUP(MONTH(B7794)/3,0)</f>
        <v>2017-Q4</v>
      </c>
    </row>
    <row r="7795" customFormat="false" ht="15" hidden="false" customHeight="false" outlineLevel="0" collapsed="false">
      <c r="A7795" s="0" t="s">
        <v>3952</v>
      </c>
      <c r="B7795" s="6" t="n">
        <v>42350</v>
      </c>
      <c r="C7795" s="7" t="s">
        <v>33</v>
      </c>
      <c r="D7795" s="7" t="s">
        <v>248</v>
      </c>
      <c r="E7795" s="7" t="s">
        <v>35</v>
      </c>
      <c r="F7795" s="0" t="n">
        <v>32.4</v>
      </c>
      <c r="G7795" s="0" t="n">
        <v>15.876</v>
      </c>
      <c r="H7795" s="0" t="n">
        <v>0</v>
      </c>
      <c r="I7795" s="7" t="n">
        <f aca="false">YEAR(B7795)</f>
        <v>2015</v>
      </c>
      <c r="J7795" s="0" t="str">
        <f aca="false">I7795&amp;"-Q"&amp;ROUNDUP(MONTH(B7795)/3,0)</f>
        <v>2015-Q4</v>
      </c>
    </row>
    <row r="7796" customFormat="false" ht="15" hidden="false" customHeight="false" outlineLevel="0" collapsed="false">
      <c r="A7796" s="0" t="s">
        <v>3952</v>
      </c>
      <c r="B7796" s="6" t="n">
        <v>42350</v>
      </c>
      <c r="C7796" s="7" t="s">
        <v>33</v>
      </c>
      <c r="D7796" s="7" t="s">
        <v>248</v>
      </c>
      <c r="E7796" s="7" t="s">
        <v>35</v>
      </c>
      <c r="F7796" s="0" t="n">
        <v>97.88</v>
      </c>
      <c r="G7796" s="0" t="n">
        <v>48.94</v>
      </c>
      <c r="H7796" s="0" t="n">
        <v>0</v>
      </c>
      <c r="I7796" s="7" t="n">
        <f aca="false">YEAR(B7796)</f>
        <v>2015</v>
      </c>
      <c r="J7796" s="0" t="str">
        <f aca="false">I7796&amp;"-Q"&amp;ROUNDUP(MONTH(B7796)/3,0)</f>
        <v>2015-Q4</v>
      </c>
    </row>
    <row r="7797" customFormat="false" ht="15" hidden="false" customHeight="false" outlineLevel="0" collapsed="false">
      <c r="A7797" s="0" t="s">
        <v>3953</v>
      </c>
      <c r="B7797" s="6" t="n">
        <v>42197</v>
      </c>
      <c r="C7797" s="7" t="s">
        <v>45</v>
      </c>
      <c r="D7797" s="7" t="s">
        <v>46</v>
      </c>
      <c r="E7797" s="7" t="s">
        <v>39</v>
      </c>
      <c r="F7797" s="0" t="n">
        <v>307.168</v>
      </c>
      <c r="G7797" s="0" t="n">
        <v>30.7168</v>
      </c>
      <c r="H7797" s="0" t="n">
        <v>0.2</v>
      </c>
      <c r="I7797" s="7" t="n">
        <f aca="false">YEAR(B7797)</f>
        <v>2015</v>
      </c>
      <c r="J7797" s="0" t="str">
        <f aca="false">I7797&amp;"-Q"&amp;ROUNDUP(MONTH(B7797)/3,0)</f>
        <v>2015-Q3</v>
      </c>
    </row>
    <row r="7798" customFormat="false" ht="15" hidden="false" customHeight="false" outlineLevel="0" collapsed="false">
      <c r="A7798" s="0" t="s">
        <v>3954</v>
      </c>
      <c r="B7798" s="6" t="n">
        <v>42279</v>
      </c>
      <c r="C7798" s="7" t="s">
        <v>55</v>
      </c>
      <c r="D7798" s="7" t="s">
        <v>154</v>
      </c>
      <c r="E7798" s="7" t="s">
        <v>35</v>
      </c>
      <c r="F7798" s="0" t="n">
        <v>26.9</v>
      </c>
      <c r="G7798" s="0" t="n">
        <v>13.181</v>
      </c>
      <c r="H7798" s="0" t="n">
        <v>0</v>
      </c>
      <c r="I7798" s="7" t="n">
        <f aca="false">YEAR(B7798)</f>
        <v>2015</v>
      </c>
      <c r="J7798" s="0" t="str">
        <f aca="false">I7798&amp;"-Q"&amp;ROUNDUP(MONTH(B7798)/3,0)</f>
        <v>2015-Q4</v>
      </c>
    </row>
    <row r="7799" customFormat="false" ht="15" hidden="false" customHeight="false" outlineLevel="0" collapsed="false">
      <c r="A7799" s="0" t="s">
        <v>3955</v>
      </c>
      <c r="B7799" s="6" t="n">
        <v>42818</v>
      </c>
      <c r="C7799" s="7" t="s">
        <v>55</v>
      </c>
      <c r="D7799" s="7" t="s">
        <v>76</v>
      </c>
      <c r="E7799" s="7" t="s">
        <v>35</v>
      </c>
      <c r="F7799" s="0" t="n">
        <v>47.01</v>
      </c>
      <c r="G7799" s="0" t="n">
        <v>22.0947</v>
      </c>
      <c r="H7799" s="0" t="n">
        <v>0</v>
      </c>
      <c r="I7799" s="7" t="n">
        <f aca="false">YEAR(B7799)</f>
        <v>2017</v>
      </c>
      <c r="J7799" s="0" t="str">
        <f aca="false">I7799&amp;"-Q"&amp;ROUNDUP(MONTH(B7799)/3,0)</f>
        <v>2017-Q1</v>
      </c>
    </row>
    <row r="7800" customFormat="false" ht="15" hidden="false" customHeight="false" outlineLevel="0" collapsed="false">
      <c r="A7800" s="0" t="s">
        <v>3955</v>
      </c>
      <c r="B7800" s="6" t="n">
        <v>42818</v>
      </c>
      <c r="C7800" s="7" t="s">
        <v>55</v>
      </c>
      <c r="D7800" s="7" t="s">
        <v>76</v>
      </c>
      <c r="E7800" s="7" t="s">
        <v>39</v>
      </c>
      <c r="F7800" s="0" t="n">
        <v>469.99</v>
      </c>
      <c r="G7800" s="0" t="n">
        <v>136.2971</v>
      </c>
      <c r="H7800" s="0" t="n">
        <v>0</v>
      </c>
      <c r="I7800" s="7" t="n">
        <f aca="false">YEAR(B7800)</f>
        <v>2017</v>
      </c>
      <c r="J7800" s="0" t="str">
        <f aca="false">I7800&amp;"-Q"&amp;ROUNDUP(MONTH(B7800)/3,0)</f>
        <v>2017-Q1</v>
      </c>
    </row>
    <row r="7801" customFormat="false" ht="15" hidden="false" customHeight="false" outlineLevel="0" collapsed="false">
      <c r="A7801" s="0" t="s">
        <v>3955</v>
      </c>
      <c r="B7801" s="6" t="n">
        <v>42818</v>
      </c>
      <c r="C7801" s="7" t="s">
        <v>55</v>
      </c>
      <c r="D7801" s="7" t="s">
        <v>76</v>
      </c>
      <c r="E7801" s="7" t="s">
        <v>31</v>
      </c>
      <c r="F7801" s="0" t="n">
        <v>207.846</v>
      </c>
      <c r="G7801" s="0" t="n">
        <v>2.3094</v>
      </c>
      <c r="H7801" s="0" t="n">
        <v>0.1</v>
      </c>
      <c r="I7801" s="7" t="n">
        <f aca="false">YEAR(B7801)</f>
        <v>2017</v>
      </c>
      <c r="J7801" s="0" t="str">
        <f aca="false">I7801&amp;"-Q"&amp;ROUNDUP(MONTH(B7801)/3,0)</f>
        <v>2017-Q1</v>
      </c>
    </row>
    <row r="7802" customFormat="false" ht="15" hidden="false" customHeight="false" outlineLevel="0" collapsed="false">
      <c r="A7802" s="0" t="s">
        <v>3956</v>
      </c>
      <c r="B7802" s="6" t="n">
        <v>42887</v>
      </c>
      <c r="C7802" s="7" t="s">
        <v>55</v>
      </c>
      <c r="D7802" s="7" t="s">
        <v>56</v>
      </c>
      <c r="E7802" s="7" t="s">
        <v>35</v>
      </c>
      <c r="F7802" s="0" t="n">
        <v>324.744</v>
      </c>
      <c r="G7802" s="0" t="n">
        <v>-77.1267</v>
      </c>
      <c r="H7802" s="0" t="n">
        <v>0.2</v>
      </c>
      <c r="I7802" s="7" t="n">
        <f aca="false">YEAR(B7802)</f>
        <v>2017</v>
      </c>
      <c r="J7802" s="0" t="str">
        <f aca="false">I7802&amp;"-Q"&amp;ROUNDUP(MONTH(B7802)/3,0)</f>
        <v>2017-Q2</v>
      </c>
    </row>
    <row r="7803" customFormat="false" ht="15" hidden="false" customHeight="false" outlineLevel="0" collapsed="false">
      <c r="A7803" s="0" t="s">
        <v>3957</v>
      </c>
      <c r="B7803" s="6" t="n">
        <v>41722</v>
      </c>
      <c r="C7803" s="7" t="s">
        <v>33</v>
      </c>
      <c r="D7803" s="7" t="s">
        <v>34</v>
      </c>
      <c r="E7803" s="7" t="s">
        <v>31</v>
      </c>
      <c r="F7803" s="0" t="n">
        <v>40.48</v>
      </c>
      <c r="G7803" s="0" t="n">
        <v>14.5728</v>
      </c>
      <c r="H7803" s="0" t="n">
        <v>0</v>
      </c>
      <c r="I7803" s="7" t="n">
        <f aca="false">YEAR(B7803)</f>
        <v>2014</v>
      </c>
      <c r="J7803" s="0" t="str">
        <f aca="false">I7803&amp;"-Q"&amp;ROUNDUP(MONTH(B7803)/3,0)</f>
        <v>2014-Q1</v>
      </c>
    </row>
    <row r="7804" customFormat="false" ht="15" hidden="false" customHeight="false" outlineLevel="0" collapsed="false">
      <c r="A7804" s="0" t="s">
        <v>3958</v>
      </c>
      <c r="B7804" s="6" t="n">
        <v>42269</v>
      </c>
      <c r="C7804" s="7" t="s">
        <v>29</v>
      </c>
      <c r="D7804" s="7" t="s">
        <v>87</v>
      </c>
      <c r="E7804" s="7" t="s">
        <v>35</v>
      </c>
      <c r="F7804" s="0" t="n">
        <v>12</v>
      </c>
      <c r="G7804" s="0" t="n">
        <v>4.2</v>
      </c>
      <c r="H7804" s="0" t="n">
        <v>0.2</v>
      </c>
      <c r="I7804" s="7" t="n">
        <f aca="false">YEAR(B7804)</f>
        <v>2015</v>
      </c>
      <c r="J7804" s="0" t="str">
        <f aca="false">I7804&amp;"-Q"&amp;ROUNDUP(MONTH(B7804)/3,0)</f>
        <v>2015-Q3</v>
      </c>
    </row>
    <row r="7805" customFormat="false" ht="15" hidden="false" customHeight="false" outlineLevel="0" collapsed="false">
      <c r="A7805" s="0" t="s">
        <v>3958</v>
      </c>
      <c r="B7805" s="6" t="n">
        <v>42269</v>
      </c>
      <c r="C7805" s="7" t="s">
        <v>29</v>
      </c>
      <c r="D7805" s="7" t="s">
        <v>87</v>
      </c>
      <c r="E7805" s="7" t="s">
        <v>35</v>
      </c>
      <c r="F7805" s="0" t="n">
        <v>720.064</v>
      </c>
      <c r="G7805" s="0" t="n">
        <v>-63.0056</v>
      </c>
      <c r="H7805" s="0" t="n">
        <v>0.2</v>
      </c>
      <c r="I7805" s="7" t="n">
        <f aca="false">YEAR(B7805)</f>
        <v>2015</v>
      </c>
      <c r="J7805" s="0" t="str">
        <f aca="false">I7805&amp;"-Q"&amp;ROUNDUP(MONTH(B7805)/3,0)</f>
        <v>2015-Q3</v>
      </c>
    </row>
    <row r="7806" customFormat="false" ht="15" hidden="false" customHeight="false" outlineLevel="0" collapsed="false">
      <c r="A7806" s="0" t="s">
        <v>3958</v>
      </c>
      <c r="B7806" s="6" t="n">
        <v>42269</v>
      </c>
      <c r="C7806" s="7" t="s">
        <v>29</v>
      </c>
      <c r="D7806" s="7" t="s">
        <v>87</v>
      </c>
      <c r="E7806" s="7" t="s">
        <v>35</v>
      </c>
      <c r="F7806" s="0" t="n">
        <v>25.424</v>
      </c>
      <c r="G7806" s="0" t="n">
        <v>-4.767</v>
      </c>
      <c r="H7806" s="0" t="n">
        <v>0.2</v>
      </c>
      <c r="I7806" s="7" t="n">
        <f aca="false">YEAR(B7806)</f>
        <v>2015</v>
      </c>
      <c r="J7806" s="0" t="str">
        <f aca="false">I7806&amp;"-Q"&amp;ROUNDUP(MONTH(B7806)/3,0)</f>
        <v>2015-Q3</v>
      </c>
    </row>
    <row r="7807" customFormat="false" ht="15" hidden="false" customHeight="false" outlineLevel="0" collapsed="false">
      <c r="A7807" s="0" t="s">
        <v>3958</v>
      </c>
      <c r="B7807" s="6" t="n">
        <v>42269</v>
      </c>
      <c r="C7807" s="7" t="s">
        <v>29</v>
      </c>
      <c r="D7807" s="7" t="s">
        <v>87</v>
      </c>
      <c r="E7807" s="7" t="s">
        <v>35</v>
      </c>
      <c r="F7807" s="0" t="n">
        <v>2.816</v>
      </c>
      <c r="G7807" s="0" t="n">
        <v>0.3168</v>
      </c>
      <c r="H7807" s="0" t="n">
        <v>0.2</v>
      </c>
      <c r="I7807" s="7" t="n">
        <f aca="false">YEAR(B7807)</f>
        <v>2015</v>
      </c>
      <c r="J7807" s="0" t="str">
        <f aca="false">I7807&amp;"-Q"&amp;ROUNDUP(MONTH(B7807)/3,0)</f>
        <v>2015-Q3</v>
      </c>
    </row>
    <row r="7808" customFormat="false" ht="15" hidden="false" customHeight="false" outlineLevel="0" collapsed="false">
      <c r="A7808" s="0" t="s">
        <v>3958</v>
      </c>
      <c r="B7808" s="6" t="n">
        <v>42269</v>
      </c>
      <c r="C7808" s="7" t="s">
        <v>29</v>
      </c>
      <c r="D7808" s="7" t="s">
        <v>87</v>
      </c>
      <c r="E7808" s="7" t="s">
        <v>35</v>
      </c>
      <c r="F7808" s="0" t="n">
        <v>3.204</v>
      </c>
      <c r="G7808" s="0" t="n">
        <v>-2.5632</v>
      </c>
      <c r="H7808" s="0" t="n">
        <v>0.7</v>
      </c>
      <c r="I7808" s="7" t="n">
        <f aca="false">YEAR(B7808)</f>
        <v>2015</v>
      </c>
      <c r="J7808" s="0" t="str">
        <f aca="false">I7808&amp;"-Q"&amp;ROUNDUP(MONTH(B7808)/3,0)</f>
        <v>2015-Q3</v>
      </c>
    </row>
    <row r="7809" customFormat="false" ht="15" hidden="false" customHeight="false" outlineLevel="0" collapsed="false">
      <c r="A7809" s="0" t="s">
        <v>3959</v>
      </c>
      <c r="B7809" s="6" t="n">
        <v>42377</v>
      </c>
      <c r="C7809" s="7" t="s">
        <v>29</v>
      </c>
      <c r="D7809" s="7" t="s">
        <v>41</v>
      </c>
      <c r="E7809" s="7" t="s">
        <v>35</v>
      </c>
      <c r="F7809" s="0" t="n">
        <v>30.828</v>
      </c>
      <c r="G7809" s="0" t="n">
        <v>-24.6624</v>
      </c>
      <c r="H7809" s="0" t="n">
        <v>0.7</v>
      </c>
      <c r="I7809" s="7" t="n">
        <f aca="false">YEAR(B7809)</f>
        <v>2016</v>
      </c>
      <c r="J7809" s="0" t="str">
        <f aca="false">I7809&amp;"-Q"&amp;ROUNDUP(MONTH(B7809)/3,0)</f>
        <v>2016-Q1</v>
      </c>
    </row>
    <row r="7810" customFormat="false" ht="15" hidden="false" customHeight="false" outlineLevel="0" collapsed="false">
      <c r="A7810" s="0" t="s">
        <v>3959</v>
      </c>
      <c r="B7810" s="6" t="n">
        <v>42377</v>
      </c>
      <c r="C7810" s="7" t="s">
        <v>29</v>
      </c>
      <c r="D7810" s="7" t="s">
        <v>41</v>
      </c>
      <c r="E7810" s="7" t="s">
        <v>35</v>
      </c>
      <c r="F7810" s="0" t="n">
        <v>47.616</v>
      </c>
      <c r="G7810" s="0" t="n">
        <v>5.952</v>
      </c>
      <c r="H7810" s="0" t="n">
        <v>0.2</v>
      </c>
      <c r="I7810" s="7" t="n">
        <f aca="false">YEAR(B7810)</f>
        <v>2016</v>
      </c>
      <c r="J7810" s="0" t="str">
        <f aca="false">I7810&amp;"-Q"&amp;ROUNDUP(MONTH(B7810)/3,0)</f>
        <v>2016-Q1</v>
      </c>
    </row>
    <row r="7811" customFormat="false" ht="15" hidden="false" customHeight="false" outlineLevel="0" collapsed="false">
      <c r="A7811" s="0" t="s">
        <v>3959</v>
      </c>
      <c r="B7811" s="6" t="n">
        <v>42377</v>
      </c>
      <c r="C7811" s="7" t="s">
        <v>29</v>
      </c>
      <c r="D7811" s="7" t="s">
        <v>41</v>
      </c>
      <c r="E7811" s="7" t="s">
        <v>39</v>
      </c>
      <c r="F7811" s="0" t="n">
        <v>108.784</v>
      </c>
      <c r="G7811" s="0" t="n">
        <v>10.8784</v>
      </c>
      <c r="H7811" s="0" t="n">
        <v>0.2</v>
      </c>
      <c r="I7811" s="7" t="n">
        <f aca="false">YEAR(B7811)</f>
        <v>2016</v>
      </c>
      <c r="J7811" s="0" t="str">
        <f aca="false">I7811&amp;"-Q"&amp;ROUNDUP(MONTH(B7811)/3,0)</f>
        <v>2016-Q1</v>
      </c>
    </row>
    <row r="7812" customFormat="false" ht="15" hidden="false" customHeight="false" outlineLevel="0" collapsed="false">
      <c r="A7812" s="0" t="s">
        <v>3960</v>
      </c>
      <c r="B7812" s="6" t="n">
        <v>42414</v>
      </c>
      <c r="C7812" s="7" t="s">
        <v>55</v>
      </c>
      <c r="D7812" s="7" t="s">
        <v>495</v>
      </c>
      <c r="E7812" s="7" t="s">
        <v>35</v>
      </c>
      <c r="F7812" s="0" t="n">
        <v>4.77</v>
      </c>
      <c r="G7812" s="0" t="n">
        <v>2.1465</v>
      </c>
      <c r="H7812" s="0" t="n">
        <v>0</v>
      </c>
      <c r="I7812" s="7" t="n">
        <f aca="false">YEAR(B7812)</f>
        <v>2016</v>
      </c>
      <c r="J7812" s="0" t="str">
        <f aca="false">I7812&amp;"-Q"&amp;ROUNDUP(MONTH(B7812)/3,0)</f>
        <v>2016-Q1</v>
      </c>
    </row>
    <row r="7813" customFormat="false" ht="15" hidden="false" customHeight="false" outlineLevel="0" collapsed="false">
      <c r="A7813" s="0" t="s">
        <v>3960</v>
      </c>
      <c r="B7813" s="6" t="n">
        <v>42414</v>
      </c>
      <c r="C7813" s="7" t="s">
        <v>55</v>
      </c>
      <c r="D7813" s="7" t="s">
        <v>495</v>
      </c>
      <c r="E7813" s="7" t="s">
        <v>35</v>
      </c>
      <c r="F7813" s="0" t="n">
        <v>7.98</v>
      </c>
      <c r="G7813" s="0" t="n">
        <v>2.0748</v>
      </c>
      <c r="H7813" s="0" t="n">
        <v>0</v>
      </c>
      <c r="I7813" s="7" t="n">
        <f aca="false">YEAR(B7813)</f>
        <v>2016</v>
      </c>
      <c r="J7813" s="0" t="str">
        <f aca="false">I7813&amp;"-Q"&amp;ROUNDUP(MONTH(B7813)/3,0)</f>
        <v>2016-Q1</v>
      </c>
    </row>
    <row r="7814" customFormat="false" ht="15" hidden="false" customHeight="false" outlineLevel="0" collapsed="false">
      <c r="A7814" s="0" t="s">
        <v>3960</v>
      </c>
      <c r="B7814" s="6" t="n">
        <v>42414</v>
      </c>
      <c r="C7814" s="7" t="s">
        <v>55</v>
      </c>
      <c r="D7814" s="7" t="s">
        <v>495</v>
      </c>
      <c r="E7814" s="7" t="s">
        <v>31</v>
      </c>
      <c r="F7814" s="0" t="n">
        <v>550.431</v>
      </c>
      <c r="G7814" s="0" t="n">
        <v>-47.1798</v>
      </c>
      <c r="H7814" s="0" t="n">
        <v>0.3</v>
      </c>
      <c r="I7814" s="7" t="n">
        <f aca="false">YEAR(B7814)</f>
        <v>2016</v>
      </c>
      <c r="J7814" s="0" t="str">
        <f aca="false">I7814&amp;"-Q"&amp;ROUNDUP(MONTH(B7814)/3,0)</f>
        <v>2016-Q1</v>
      </c>
    </row>
    <row r="7815" customFormat="false" ht="15" hidden="false" customHeight="false" outlineLevel="0" collapsed="false">
      <c r="A7815" s="0" t="s">
        <v>3960</v>
      </c>
      <c r="B7815" s="6" t="n">
        <v>42414</v>
      </c>
      <c r="C7815" s="7" t="s">
        <v>55</v>
      </c>
      <c r="D7815" s="7" t="s">
        <v>495</v>
      </c>
      <c r="E7815" s="7" t="s">
        <v>31</v>
      </c>
      <c r="F7815" s="0" t="n">
        <v>10.56</v>
      </c>
      <c r="G7815" s="0" t="n">
        <v>4.6464</v>
      </c>
      <c r="H7815" s="0" t="n">
        <v>0</v>
      </c>
      <c r="I7815" s="7" t="n">
        <f aca="false">YEAR(B7815)</f>
        <v>2016</v>
      </c>
      <c r="J7815" s="0" t="str">
        <f aca="false">I7815&amp;"-Q"&amp;ROUNDUP(MONTH(B7815)/3,0)</f>
        <v>2016-Q1</v>
      </c>
    </row>
    <row r="7816" customFormat="false" ht="15" hidden="false" customHeight="false" outlineLevel="0" collapsed="false">
      <c r="A7816" s="0" t="s">
        <v>3961</v>
      </c>
      <c r="B7816" s="6" t="n">
        <v>42894</v>
      </c>
      <c r="C7816" s="7" t="s">
        <v>33</v>
      </c>
      <c r="D7816" s="7" t="s">
        <v>34</v>
      </c>
      <c r="E7816" s="7" t="s">
        <v>31</v>
      </c>
      <c r="F7816" s="0" t="n">
        <v>1497.666</v>
      </c>
      <c r="G7816" s="0" t="n">
        <v>140.9568</v>
      </c>
      <c r="H7816" s="0" t="n">
        <v>0.15</v>
      </c>
      <c r="I7816" s="7" t="n">
        <f aca="false">YEAR(B7816)</f>
        <v>2017</v>
      </c>
      <c r="J7816" s="0" t="str">
        <f aca="false">I7816&amp;"-Q"&amp;ROUNDUP(MONTH(B7816)/3,0)</f>
        <v>2017-Q2</v>
      </c>
    </row>
    <row r="7817" customFormat="false" ht="15" hidden="false" customHeight="false" outlineLevel="0" collapsed="false">
      <c r="A7817" s="0" t="s">
        <v>3961</v>
      </c>
      <c r="B7817" s="6" t="n">
        <v>42894</v>
      </c>
      <c r="C7817" s="7" t="s">
        <v>33</v>
      </c>
      <c r="D7817" s="7" t="s">
        <v>34</v>
      </c>
      <c r="E7817" s="7" t="s">
        <v>39</v>
      </c>
      <c r="F7817" s="0" t="n">
        <v>17.52</v>
      </c>
      <c r="G7817" s="0" t="n">
        <v>-3.504</v>
      </c>
      <c r="H7817" s="0" t="n">
        <v>0.2</v>
      </c>
      <c r="I7817" s="7" t="n">
        <f aca="false">YEAR(B7817)</f>
        <v>2017</v>
      </c>
      <c r="J7817" s="0" t="str">
        <f aca="false">I7817&amp;"-Q"&amp;ROUNDUP(MONTH(B7817)/3,0)</f>
        <v>2017-Q2</v>
      </c>
    </row>
    <row r="7818" customFormat="false" ht="15" hidden="false" customHeight="false" outlineLevel="0" collapsed="false">
      <c r="A7818" s="0" t="s">
        <v>3962</v>
      </c>
      <c r="B7818" s="6" t="n">
        <v>42664</v>
      </c>
      <c r="C7818" s="7" t="s">
        <v>33</v>
      </c>
      <c r="D7818" s="7" t="s">
        <v>248</v>
      </c>
      <c r="E7818" s="7" t="s">
        <v>35</v>
      </c>
      <c r="F7818" s="0" t="n">
        <v>113.22</v>
      </c>
      <c r="G7818" s="0" t="n">
        <v>29.4372</v>
      </c>
      <c r="H7818" s="0" t="n">
        <v>0</v>
      </c>
      <c r="I7818" s="7" t="n">
        <f aca="false">YEAR(B7818)</f>
        <v>2016</v>
      </c>
      <c r="J7818" s="0" t="str">
        <f aca="false">I7818&amp;"-Q"&amp;ROUNDUP(MONTH(B7818)/3,0)</f>
        <v>2016-Q4</v>
      </c>
    </row>
    <row r="7819" customFormat="false" ht="15" hidden="false" customHeight="false" outlineLevel="0" collapsed="false">
      <c r="A7819" s="0" t="s">
        <v>3962</v>
      </c>
      <c r="B7819" s="6" t="n">
        <v>42664</v>
      </c>
      <c r="C7819" s="7" t="s">
        <v>33</v>
      </c>
      <c r="D7819" s="7" t="s">
        <v>248</v>
      </c>
      <c r="E7819" s="7" t="s">
        <v>35</v>
      </c>
      <c r="F7819" s="0" t="n">
        <v>35.88</v>
      </c>
      <c r="G7819" s="0" t="n">
        <v>17.5812</v>
      </c>
      <c r="H7819" s="0" t="n">
        <v>0</v>
      </c>
      <c r="I7819" s="7" t="n">
        <f aca="false">YEAR(B7819)</f>
        <v>2016</v>
      </c>
      <c r="J7819" s="0" t="str">
        <f aca="false">I7819&amp;"-Q"&amp;ROUNDUP(MONTH(B7819)/3,0)</f>
        <v>2016-Q4</v>
      </c>
    </row>
    <row r="7820" customFormat="false" ht="15" hidden="false" customHeight="false" outlineLevel="0" collapsed="false">
      <c r="A7820" s="0" t="s">
        <v>3962</v>
      </c>
      <c r="B7820" s="6" t="n">
        <v>42664</v>
      </c>
      <c r="C7820" s="7" t="s">
        <v>33</v>
      </c>
      <c r="D7820" s="7" t="s">
        <v>248</v>
      </c>
      <c r="E7820" s="7" t="s">
        <v>35</v>
      </c>
      <c r="F7820" s="0" t="n">
        <v>4535.976</v>
      </c>
      <c r="G7820" s="0" t="n">
        <v>1644.2913</v>
      </c>
      <c r="H7820" s="0" t="n">
        <v>0.2</v>
      </c>
      <c r="I7820" s="7" t="n">
        <f aca="false">YEAR(B7820)</f>
        <v>2016</v>
      </c>
      <c r="J7820" s="0" t="str">
        <f aca="false">I7820&amp;"-Q"&amp;ROUNDUP(MONTH(B7820)/3,0)</f>
        <v>2016-Q4</v>
      </c>
    </row>
    <row r="7821" customFormat="false" ht="15" hidden="false" customHeight="false" outlineLevel="0" collapsed="false">
      <c r="A7821" s="0" t="s">
        <v>3963</v>
      </c>
      <c r="B7821" s="6" t="n">
        <v>42761</v>
      </c>
      <c r="C7821" s="7" t="s">
        <v>33</v>
      </c>
      <c r="D7821" s="7" t="s">
        <v>34</v>
      </c>
      <c r="E7821" s="7" t="s">
        <v>35</v>
      </c>
      <c r="F7821" s="0" t="n">
        <v>11.84</v>
      </c>
      <c r="G7821" s="0" t="n">
        <v>5.6832</v>
      </c>
      <c r="H7821" s="0" t="n">
        <v>0</v>
      </c>
      <c r="I7821" s="7" t="n">
        <f aca="false">YEAR(B7821)</f>
        <v>2017</v>
      </c>
      <c r="J7821" s="0" t="str">
        <f aca="false">I7821&amp;"-Q"&amp;ROUNDUP(MONTH(B7821)/3,0)</f>
        <v>2017-Q1</v>
      </c>
    </row>
    <row r="7822" customFormat="false" ht="15" hidden="false" customHeight="false" outlineLevel="0" collapsed="false">
      <c r="A7822" s="0" t="s">
        <v>3964</v>
      </c>
      <c r="B7822" s="6" t="n">
        <v>43077</v>
      </c>
      <c r="C7822" s="7" t="s">
        <v>55</v>
      </c>
      <c r="D7822" s="7" t="s">
        <v>250</v>
      </c>
      <c r="E7822" s="7" t="s">
        <v>35</v>
      </c>
      <c r="F7822" s="0" t="n">
        <v>592.74</v>
      </c>
      <c r="G7822" s="0" t="n">
        <v>160.0398</v>
      </c>
      <c r="H7822" s="0" t="n">
        <v>0</v>
      </c>
      <c r="I7822" s="7" t="n">
        <f aca="false">YEAR(B7822)</f>
        <v>2017</v>
      </c>
      <c r="J7822" s="0" t="str">
        <f aca="false">I7822&amp;"-Q"&amp;ROUNDUP(MONTH(B7822)/3,0)</f>
        <v>2017-Q4</v>
      </c>
    </row>
    <row r="7823" customFormat="false" ht="15" hidden="false" customHeight="false" outlineLevel="0" collapsed="false">
      <c r="A7823" s="0" t="s">
        <v>3965</v>
      </c>
      <c r="B7823" s="6" t="n">
        <v>42664</v>
      </c>
      <c r="C7823" s="7" t="s">
        <v>29</v>
      </c>
      <c r="D7823" s="7" t="s">
        <v>87</v>
      </c>
      <c r="E7823" s="7" t="s">
        <v>35</v>
      </c>
      <c r="F7823" s="0" t="n">
        <v>111.672</v>
      </c>
      <c r="G7823" s="0" t="n">
        <v>6.9795</v>
      </c>
      <c r="H7823" s="0" t="n">
        <v>0.2</v>
      </c>
      <c r="I7823" s="7" t="n">
        <f aca="false">YEAR(B7823)</f>
        <v>2016</v>
      </c>
      <c r="J7823" s="0" t="str">
        <f aca="false">I7823&amp;"-Q"&amp;ROUNDUP(MONTH(B7823)/3,0)</f>
        <v>2016-Q4</v>
      </c>
    </row>
    <row r="7824" customFormat="false" ht="15" hidden="false" customHeight="false" outlineLevel="0" collapsed="false">
      <c r="A7824" s="0" t="s">
        <v>3966</v>
      </c>
      <c r="B7824" s="6" t="n">
        <v>41877</v>
      </c>
      <c r="C7824" s="7" t="s">
        <v>55</v>
      </c>
      <c r="D7824" s="7" t="s">
        <v>72</v>
      </c>
      <c r="E7824" s="7" t="s">
        <v>35</v>
      </c>
      <c r="F7824" s="0" t="n">
        <v>8.64</v>
      </c>
      <c r="G7824" s="0" t="n">
        <v>2.5056</v>
      </c>
      <c r="H7824" s="0" t="n">
        <v>0</v>
      </c>
      <c r="I7824" s="7" t="n">
        <f aca="false">YEAR(B7824)</f>
        <v>2014</v>
      </c>
      <c r="J7824" s="0" t="str">
        <f aca="false">I7824&amp;"-Q"&amp;ROUNDUP(MONTH(B7824)/3,0)</f>
        <v>2014-Q3</v>
      </c>
    </row>
    <row r="7825" customFormat="false" ht="15" hidden="false" customHeight="false" outlineLevel="0" collapsed="false">
      <c r="A7825" s="0" t="s">
        <v>3966</v>
      </c>
      <c r="B7825" s="6" t="n">
        <v>41877</v>
      </c>
      <c r="C7825" s="7" t="s">
        <v>55</v>
      </c>
      <c r="D7825" s="7" t="s">
        <v>72</v>
      </c>
      <c r="E7825" s="7" t="s">
        <v>39</v>
      </c>
      <c r="F7825" s="0" t="n">
        <v>149.97</v>
      </c>
      <c r="G7825" s="0" t="n">
        <v>52.4895</v>
      </c>
      <c r="H7825" s="0" t="n">
        <v>0</v>
      </c>
      <c r="I7825" s="7" t="n">
        <f aca="false">YEAR(B7825)</f>
        <v>2014</v>
      </c>
      <c r="J7825" s="0" t="str">
        <f aca="false">I7825&amp;"-Q"&amp;ROUNDUP(MONTH(B7825)/3,0)</f>
        <v>2014-Q3</v>
      </c>
    </row>
    <row r="7826" customFormat="false" ht="15" hidden="false" customHeight="false" outlineLevel="0" collapsed="false">
      <c r="A7826" s="0" t="s">
        <v>3967</v>
      </c>
      <c r="B7826" s="6" t="n">
        <v>41775</v>
      </c>
      <c r="C7826" s="7" t="s">
        <v>33</v>
      </c>
      <c r="D7826" s="7" t="s">
        <v>34</v>
      </c>
      <c r="E7826" s="7" t="s">
        <v>31</v>
      </c>
      <c r="F7826" s="0" t="n">
        <v>232.88</v>
      </c>
      <c r="G7826" s="0" t="n">
        <v>17.466</v>
      </c>
      <c r="H7826" s="0" t="n">
        <v>0.2</v>
      </c>
      <c r="I7826" s="7" t="n">
        <f aca="false">YEAR(B7826)</f>
        <v>2014</v>
      </c>
      <c r="J7826" s="0" t="str">
        <f aca="false">I7826&amp;"-Q"&amp;ROUNDUP(MONTH(B7826)/3,0)</f>
        <v>2014-Q2</v>
      </c>
    </row>
    <row r="7827" customFormat="false" ht="15" hidden="false" customHeight="false" outlineLevel="0" collapsed="false">
      <c r="A7827" s="0" t="s">
        <v>3968</v>
      </c>
      <c r="B7827" s="6" t="n">
        <v>42038</v>
      </c>
      <c r="C7827" s="7" t="s">
        <v>55</v>
      </c>
      <c r="D7827" s="7" t="s">
        <v>76</v>
      </c>
      <c r="E7827" s="7" t="s">
        <v>31</v>
      </c>
      <c r="F7827" s="0" t="n">
        <v>90.882</v>
      </c>
      <c r="G7827" s="0" t="n">
        <v>15.147</v>
      </c>
      <c r="H7827" s="0" t="n">
        <v>0.1</v>
      </c>
      <c r="I7827" s="7" t="n">
        <f aca="false">YEAR(B7827)</f>
        <v>2015</v>
      </c>
      <c r="J7827" s="0" t="str">
        <f aca="false">I7827&amp;"-Q"&amp;ROUNDUP(MONTH(B7827)/3,0)</f>
        <v>2015-Q1</v>
      </c>
    </row>
    <row r="7828" customFormat="false" ht="15" hidden="false" customHeight="false" outlineLevel="0" collapsed="false">
      <c r="A7828" s="0" t="s">
        <v>3969</v>
      </c>
      <c r="B7828" s="6" t="n">
        <v>43039</v>
      </c>
      <c r="C7828" s="7" t="s">
        <v>45</v>
      </c>
      <c r="D7828" s="7" t="s">
        <v>64</v>
      </c>
      <c r="E7828" s="7" t="s">
        <v>39</v>
      </c>
      <c r="F7828" s="0" t="n">
        <v>508.768</v>
      </c>
      <c r="G7828" s="0" t="n">
        <v>38.1576</v>
      </c>
      <c r="H7828" s="0" t="n">
        <v>0.2</v>
      </c>
      <c r="I7828" s="7" t="n">
        <f aca="false">YEAR(B7828)</f>
        <v>2017</v>
      </c>
      <c r="J7828" s="0" t="str">
        <f aca="false">I7828&amp;"-Q"&amp;ROUNDUP(MONTH(B7828)/3,0)</f>
        <v>2017-Q4</v>
      </c>
    </row>
    <row r="7829" customFormat="false" ht="15" hidden="false" customHeight="false" outlineLevel="0" collapsed="false">
      <c r="A7829" s="0" t="s">
        <v>3969</v>
      </c>
      <c r="B7829" s="6" t="n">
        <v>43039</v>
      </c>
      <c r="C7829" s="7" t="s">
        <v>45</v>
      </c>
      <c r="D7829" s="7" t="s">
        <v>64</v>
      </c>
      <c r="E7829" s="7" t="s">
        <v>35</v>
      </c>
      <c r="F7829" s="0" t="n">
        <v>9.912</v>
      </c>
      <c r="G7829" s="0" t="n">
        <v>3.2214</v>
      </c>
      <c r="H7829" s="0" t="n">
        <v>0.2</v>
      </c>
      <c r="I7829" s="7" t="n">
        <f aca="false">YEAR(B7829)</f>
        <v>2017</v>
      </c>
      <c r="J7829" s="0" t="str">
        <f aca="false">I7829&amp;"-Q"&amp;ROUNDUP(MONTH(B7829)/3,0)</f>
        <v>2017-Q4</v>
      </c>
    </row>
    <row r="7830" customFormat="false" ht="15" hidden="false" customHeight="false" outlineLevel="0" collapsed="false">
      <c r="A7830" s="0" t="s">
        <v>3970</v>
      </c>
      <c r="B7830" s="6" t="n">
        <v>42120</v>
      </c>
      <c r="C7830" s="7" t="s">
        <v>33</v>
      </c>
      <c r="D7830" s="7" t="s">
        <v>34</v>
      </c>
      <c r="E7830" s="7" t="s">
        <v>31</v>
      </c>
      <c r="F7830" s="0" t="n">
        <v>63.936</v>
      </c>
      <c r="G7830" s="0" t="n">
        <v>6.3936</v>
      </c>
      <c r="H7830" s="0" t="n">
        <v>0.2</v>
      </c>
      <c r="I7830" s="7" t="n">
        <f aca="false">YEAR(B7830)</f>
        <v>2015</v>
      </c>
      <c r="J7830" s="0" t="str">
        <f aca="false">I7830&amp;"-Q"&amp;ROUNDUP(MONTH(B7830)/3,0)</f>
        <v>2015-Q2</v>
      </c>
    </row>
    <row r="7831" customFormat="false" ht="15" hidden="false" customHeight="false" outlineLevel="0" collapsed="false">
      <c r="A7831" s="0" t="s">
        <v>3970</v>
      </c>
      <c r="B7831" s="6" t="n">
        <v>42120</v>
      </c>
      <c r="C7831" s="7" t="s">
        <v>33</v>
      </c>
      <c r="D7831" s="7" t="s">
        <v>34</v>
      </c>
      <c r="E7831" s="7" t="s">
        <v>35</v>
      </c>
      <c r="F7831" s="0" t="n">
        <v>59.52</v>
      </c>
      <c r="G7831" s="0" t="n">
        <v>15.4752</v>
      </c>
      <c r="H7831" s="0" t="n">
        <v>0</v>
      </c>
      <c r="I7831" s="7" t="n">
        <f aca="false">YEAR(B7831)</f>
        <v>2015</v>
      </c>
      <c r="J7831" s="0" t="str">
        <f aca="false">I7831&amp;"-Q"&amp;ROUNDUP(MONTH(B7831)/3,0)</f>
        <v>2015-Q2</v>
      </c>
    </row>
    <row r="7832" customFormat="false" ht="15" hidden="false" customHeight="false" outlineLevel="0" collapsed="false">
      <c r="A7832" s="0" t="s">
        <v>3970</v>
      </c>
      <c r="B7832" s="6" t="n">
        <v>42120</v>
      </c>
      <c r="C7832" s="7" t="s">
        <v>33</v>
      </c>
      <c r="D7832" s="7" t="s">
        <v>34</v>
      </c>
      <c r="E7832" s="7" t="s">
        <v>39</v>
      </c>
      <c r="F7832" s="0" t="n">
        <v>311.976</v>
      </c>
      <c r="G7832" s="0" t="n">
        <v>38.997</v>
      </c>
      <c r="H7832" s="0" t="n">
        <v>0.2</v>
      </c>
      <c r="I7832" s="7" t="n">
        <f aca="false">YEAR(B7832)</f>
        <v>2015</v>
      </c>
      <c r="J7832" s="0" t="str">
        <f aca="false">I7832&amp;"-Q"&amp;ROUNDUP(MONTH(B7832)/3,0)</f>
        <v>2015-Q2</v>
      </c>
    </row>
    <row r="7833" customFormat="false" ht="15" hidden="false" customHeight="false" outlineLevel="0" collapsed="false">
      <c r="A7833" s="0" t="s">
        <v>3970</v>
      </c>
      <c r="B7833" s="6" t="n">
        <v>42120</v>
      </c>
      <c r="C7833" s="7" t="s">
        <v>33</v>
      </c>
      <c r="D7833" s="7" t="s">
        <v>34</v>
      </c>
      <c r="E7833" s="7" t="s">
        <v>35</v>
      </c>
      <c r="F7833" s="0" t="n">
        <v>50.352</v>
      </c>
      <c r="G7833" s="0" t="n">
        <v>17.6232</v>
      </c>
      <c r="H7833" s="0" t="n">
        <v>0.2</v>
      </c>
      <c r="I7833" s="7" t="n">
        <f aca="false">YEAR(B7833)</f>
        <v>2015</v>
      </c>
      <c r="J7833" s="0" t="str">
        <f aca="false">I7833&amp;"-Q"&amp;ROUNDUP(MONTH(B7833)/3,0)</f>
        <v>2015-Q2</v>
      </c>
    </row>
    <row r="7834" customFormat="false" ht="15" hidden="false" customHeight="false" outlineLevel="0" collapsed="false">
      <c r="A7834" s="0" t="s">
        <v>3971</v>
      </c>
      <c r="B7834" s="6" t="n">
        <v>42499</v>
      </c>
      <c r="C7834" s="7" t="s">
        <v>45</v>
      </c>
      <c r="D7834" s="7" t="s">
        <v>46</v>
      </c>
      <c r="E7834" s="7" t="s">
        <v>39</v>
      </c>
      <c r="F7834" s="0" t="n">
        <v>19.136</v>
      </c>
      <c r="G7834" s="0" t="n">
        <v>1.9136</v>
      </c>
      <c r="H7834" s="0" t="n">
        <v>0.2</v>
      </c>
      <c r="I7834" s="7" t="n">
        <f aca="false">YEAR(B7834)</f>
        <v>2016</v>
      </c>
      <c r="J7834" s="0" t="str">
        <f aca="false">I7834&amp;"-Q"&amp;ROUNDUP(MONTH(B7834)/3,0)</f>
        <v>2016-Q2</v>
      </c>
    </row>
    <row r="7835" customFormat="false" ht="15" hidden="false" customHeight="false" outlineLevel="0" collapsed="false">
      <c r="A7835" s="0" t="s">
        <v>3972</v>
      </c>
      <c r="B7835" s="6" t="n">
        <v>42028</v>
      </c>
      <c r="C7835" s="7" t="s">
        <v>29</v>
      </c>
      <c r="D7835" s="7" t="s">
        <v>37</v>
      </c>
      <c r="E7835" s="7" t="s">
        <v>35</v>
      </c>
      <c r="F7835" s="0" t="n">
        <v>13.12</v>
      </c>
      <c r="G7835" s="0" t="n">
        <v>2.132</v>
      </c>
      <c r="H7835" s="0" t="n">
        <v>0.2</v>
      </c>
      <c r="I7835" s="7" t="n">
        <f aca="false">YEAR(B7835)</f>
        <v>2015</v>
      </c>
      <c r="J7835" s="0" t="str">
        <f aca="false">I7835&amp;"-Q"&amp;ROUNDUP(MONTH(B7835)/3,0)</f>
        <v>2015-Q1</v>
      </c>
    </row>
    <row r="7836" customFormat="false" ht="15" hidden="false" customHeight="false" outlineLevel="0" collapsed="false">
      <c r="A7836" s="0" t="s">
        <v>3973</v>
      </c>
      <c r="B7836" s="6" t="n">
        <v>42107</v>
      </c>
      <c r="C7836" s="7" t="s">
        <v>33</v>
      </c>
      <c r="D7836" s="7" t="s">
        <v>34</v>
      </c>
      <c r="E7836" s="7" t="s">
        <v>31</v>
      </c>
      <c r="F7836" s="0" t="n">
        <v>241.568</v>
      </c>
      <c r="G7836" s="0" t="n">
        <v>-15.098</v>
      </c>
      <c r="H7836" s="0" t="n">
        <v>0.2</v>
      </c>
      <c r="I7836" s="7" t="n">
        <f aca="false">YEAR(B7836)</f>
        <v>2015</v>
      </c>
      <c r="J7836" s="0" t="str">
        <f aca="false">I7836&amp;"-Q"&amp;ROUNDUP(MONTH(B7836)/3,0)</f>
        <v>2015-Q2</v>
      </c>
    </row>
    <row r="7837" customFormat="false" ht="15" hidden="false" customHeight="false" outlineLevel="0" collapsed="false">
      <c r="A7837" s="0" t="s">
        <v>3973</v>
      </c>
      <c r="B7837" s="6" t="n">
        <v>42107</v>
      </c>
      <c r="C7837" s="7" t="s">
        <v>33</v>
      </c>
      <c r="D7837" s="7" t="s">
        <v>34</v>
      </c>
      <c r="E7837" s="7" t="s">
        <v>39</v>
      </c>
      <c r="F7837" s="0" t="n">
        <v>479.92</v>
      </c>
      <c r="G7837" s="0" t="n">
        <v>41.993</v>
      </c>
      <c r="H7837" s="0" t="n">
        <v>0.2</v>
      </c>
      <c r="I7837" s="7" t="n">
        <f aca="false">YEAR(B7837)</f>
        <v>2015</v>
      </c>
      <c r="J7837" s="0" t="str">
        <f aca="false">I7837&amp;"-Q"&amp;ROUNDUP(MONTH(B7837)/3,0)</f>
        <v>2015-Q2</v>
      </c>
    </row>
    <row r="7838" customFormat="false" ht="15" hidden="false" customHeight="false" outlineLevel="0" collapsed="false">
      <c r="A7838" s="0" t="s">
        <v>3974</v>
      </c>
      <c r="B7838" s="6" t="n">
        <v>42272</v>
      </c>
      <c r="C7838" s="7" t="s">
        <v>33</v>
      </c>
      <c r="D7838" s="7" t="s">
        <v>43</v>
      </c>
      <c r="E7838" s="7" t="s">
        <v>31</v>
      </c>
      <c r="F7838" s="0" t="n">
        <v>307.136</v>
      </c>
      <c r="G7838" s="0" t="n">
        <v>-11.5176</v>
      </c>
      <c r="H7838" s="0" t="n">
        <v>0.2</v>
      </c>
      <c r="I7838" s="7" t="n">
        <f aca="false">YEAR(B7838)</f>
        <v>2015</v>
      </c>
      <c r="J7838" s="0" t="str">
        <f aca="false">I7838&amp;"-Q"&amp;ROUNDUP(MONTH(B7838)/3,0)</f>
        <v>2015-Q3</v>
      </c>
    </row>
    <row r="7839" customFormat="false" ht="15" hidden="false" customHeight="false" outlineLevel="0" collapsed="false">
      <c r="A7839" s="0" t="s">
        <v>3974</v>
      </c>
      <c r="B7839" s="6" t="n">
        <v>42272</v>
      </c>
      <c r="C7839" s="7" t="s">
        <v>33</v>
      </c>
      <c r="D7839" s="7" t="s">
        <v>43</v>
      </c>
      <c r="E7839" s="7" t="s">
        <v>35</v>
      </c>
      <c r="F7839" s="0" t="n">
        <v>12.6</v>
      </c>
      <c r="G7839" s="0" t="n">
        <v>5.796</v>
      </c>
      <c r="H7839" s="0" t="n">
        <v>0</v>
      </c>
      <c r="I7839" s="7" t="n">
        <f aca="false">YEAR(B7839)</f>
        <v>2015</v>
      </c>
      <c r="J7839" s="0" t="str">
        <f aca="false">I7839&amp;"-Q"&amp;ROUNDUP(MONTH(B7839)/3,0)</f>
        <v>2015-Q3</v>
      </c>
    </row>
    <row r="7840" customFormat="false" ht="15" hidden="false" customHeight="false" outlineLevel="0" collapsed="false">
      <c r="A7840" s="0" t="s">
        <v>3974</v>
      </c>
      <c r="B7840" s="6" t="n">
        <v>42272</v>
      </c>
      <c r="C7840" s="7" t="s">
        <v>33</v>
      </c>
      <c r="D7840" s="7" t="s">
        <v>43</v>
      </c>
      <c r="E7840" s="7" t="s">
        <v>39</v>
      </c>
      <c r="F7840" s="0" t="n">
        <v>159.98</v>
      </c>
      <c r="G7840" s="0" t="n">
        <v>57.5928</v>
      </c>
      <c r="H7840" s="0" t="n">
        <v>0</v>
      </c>
      <c r="I7840" s="7" t="n">
        <f aca="false">YEAR(B7840)</f>
        <v>2015</v>
      </c>
      <c r="J7840" s="0" t="str">
        <f aca="false">I7840&amp;"-Q"&amp;ROUNDUP(MONTH(B7840)/3,0)</f>
        <v>2015-Q3</v>
      </c>
    </row>
    <row r="7841" customFormat="false" ht="15" hidden="false" customHeight="false" outlineLevel="0" collapsed="false">
      <c r="A7841" s="0" t="s">
        <v>3975</v>
      </c>
      <c r="B7841" s="6" t="n">
        <v>41726</v>
      </c>
      <c r="C7841" s="7" t="s">
        <v>45</v>
      </c>
      <c r="D7841" s="7" t="s">
        <v>114</v>
      </c>
      <c r="E7841" s="7" t="s">
        <v>35</v>
      </c>
      <c r="F7841" s="0" t="n">
        <v>6.12</v>
      </c>
      <c r="G7841" s="0" t="n">
        <v>2.8764</v>
      </c>
      <c r="H7841" s="0" t="n">
        <v>0</v>
      </c>
      <c r="I7841" s="7" t="n">
        <f aca="false">YEAR(B7841)</f>
        <v>2014</v>
      </c>
      <c r="J7841" s="0" t="str">
        <f aca="false">I7841&amp;"-Q"&amp;ROUNDUP(MONTH(B7841)/3,0)</f>
        <v>2014-Q1</v>
      </c>
    </row>
    <row r="7842" customFormat="false" ht="15" hidden="false" customHeight="false" outlineLevel="0" collapsed="false">
      <c r="A7842" s="0" t="s">
        <v>3975</v>
      </c>
      <c r="B7842" s="6" t="n">
        <v>41726</v>
      </c>
      <c r="C7842" s="7" t="s">
        <v>45</v>
      </c>
      <c r="D7842" s="7" t="s">
        <v>114</v>
      </c>
      <c r="E7842" s="7" t="s">
        <v>31</v>
      </c>
      <c r="F7842" s="0" t="n">
        <v>1184.72</v>
      </c>
      <c r="G7842" s="0" t="n">
        <v>106.6248</v>
      </c>
      <c r="H7842" s="0" t="n">
        <v>0</v>
      </c>
      <c r="I7842" s="7" t="n">
        <f aca="false">YEAR(B7842)</f>
        <v>2014</v>
      </c>
      <c r="J7842" s="0" t="str">
        <f aca="false">I7842&amp;"-Q"&amp;ROUNDUP(MONTH(B7842)/3,0)</f>
        <v>2014-Q1</v>
      </c>
    </row>
    <row r="7843" customFormat="false" ht="15" hidden="false" customHeight="false" outlineLevel="0" collapsed="false">
      <c r="A7843" s="0" t="s">
        <v>3976</v>
      </c>
      <c r="B7843" s="6" t="n">
        <v>42568</v>
      </c>
      <c r="C7843" s="7" t="s">
        <v>55</v>
      </c>
      <c r="D7843" s="7" t="s">
        <v>76</v>
      </c>
      <c r="E7843" s="7" t="s">
        <v>35</v>
      </c>
      <c r="F7843" s="0" t="n">
        <v>45.96</v>
      </c>
      <c r="G7843" s="0" t="n">
        <v>13.788</v>
      </c>
      <c r="H7843" s="0" t="n">
        <v>0</v>
      </c>
      <c r="I7843" s="7" t="n">
        <f aca="false">YEAR(B7843)</f>
        <v>2016</v>
      </c>
      <c r="J7843" s="0" t="str">
        <f aca="false">I7843&amp;"-Q"&amp;ROUNDUP(MONTH(B7843)/3,0)</f>
        <v>2016-Q3</v>
      </c>
    </row>
    <row r="7844" customFormat="false" ht="15" hidden="false" customHeight="false" outlineLevel="0" collapsed="false">
      <c r="A7844" s="0" t="s">
        <v>3977</v>
      </c>
      <c r="B7844" s="6" t="n">
        <v>41748</v>
      </c>
      <c r="C7844" s="7" t="s">
        <v>29</v>
      </c>
      <c r="D7844" s="7" t="s">
        <v>83</v>
      </c>
      <c r="E7844" s="7" t="s">
        <v>35</v>
      </c>
      <c r="F7844" s="0" t="n">
        <v>58.05</v>
      </c>
      <c r="G7844" s="0" t="n">
        <v>26.703</v>
      </c>
      <c r="H7844" s="0" t="n">
        <v>0</v>
      </c>
      <c r="I7844" s="7" t="n">
        <f aca="false">YEAR(B7844)</f>
        <v>2014</v>
      </c>
      <c r="J7844" s="0" t="str">
        <f aca="false">I7844&amp;"-Q"&amp;ROUNDUP(MONTH(B7844)/3,0)</f>
        <v>2014-Q2</v>
      </c>
    </row>
    <row r="7845" customFormat="false" ht="15" hidden="false" customHeight="false" outlineLevel="0" collapsed="false">
      <c r="A7845" s="0" t="s">
        <v>3977</v>
      </c>
      <c r="B7845" s="6" t="n">
        <v>41748</v>
      </c>
      <c r="C7845" s="7" t="s">
        <v>29</v>
      </c>
      <c r="D7845" s="7" t="s">
        <v>83</v>
      </c>
      <c r="E7845" s="7" t="s">
        <v>35</v>
      </c>
      <c r="F7845" s="0" t="n">
        <v>71.28</v>
      </c>
      <c r="G7845" s="0" t="n">
        <v>34.2144</v>
      </c>
      <c r="H7845" s="0" t="n">
        <v>0</v>
      </c>
      <c r="I7845" s="7" t="n">
        <f aca="false">YEAR(B7845)</f>
        <v>2014</v>
      </c>
      <c r="J7845" s="0" t="str">
        <f aca="false">I7845&amp;"-Q"&amp;ROUNDUP(MONTH(B7845)/3,0)</f>
        <v>2014-Q2</v>
      </c>
    </row>
    <row r="7846" customFormat="false" ht="15" hidden="false" customHeight="false" outlineLevel="0" collapsed="false">
      <c r="A7846" s="0" t="s">
        <v>3978</v>
      </c>
      <c r="B7846" s="6" t="n">
        <v>42937</v>
      </c>
      <c r="C7846" s="7" t="s">
        <v>45</v>
      </c>
      <c r="D7846" s="7" t="s">
        <v>46</v>
      </c>
      <c r="E7846" s="7" t="s">
        <v>31</v>
      </c>
      <c r="F7846" s="0" t="n">
        <v>124.404</v>
      </c>
      <c r="G7846" s="0" t="n">
        <v>-21.3264</v>
      </c>
      <c r="H7846" s="0" t="n">
        <v>0.3</v>
      </c>
      <c r="I7846" s="7" t="n">
        <f aca="false">YEAR(B7846)</f>
        <v>2017</v>
      </c>
      <c r="J7846" s="0" t="str">
        <f aca="false">I7846&amp;"-Q"&amp;ROUNDUP(MONTH(B7846)/3,0)</f>
        <v>2017-Q3</v>
      </c>
    </row>
    <row r="7847" customFormat="false" ht="15" hidden="false" customHeight="false" outlineLevel="0" collapsed="false">
      <c r="A7847" s="0" t="s">
        <v>3979</v>
      </c>
      <c r="B7847" s="6" t="n">
        <v>42274</v>
      </c>
      <c r="C7847" s="7" t="s">
        <v>29</v>
      </c>
      <c r="D7847" s="7" t="s">
        <v>83</v>
      </c>
      <c r="E7847" s="7" t="s">
        <v>35</v>
      </c>
      <c r="F7847" s="0" t="n">
        <v>154.9</v>
      </c>
      <c r="G7847" s="0" t="n">
        <v>69.705</v>
      </c>
      <c r="H7847" s="0" t="n">
        <v>0</v>
      </c>
      <c r="I7847" s="7" t="n">
        <f aca="false">YEAR(B7847)</f>
        <v>2015</v>
      </c>
      <c r="J7847" s="0" t="str">
        <f aca="false">I7847&amp;"-Q"&amp;ROUNDUP(MONTH(B7847)/3,0)</f>
        <v>2015-Q3</v>
      </c>
    </row>
    <row r="7848" customFormat="false" ht="15" hidden="false" customHeight="false" outlineLevel="0" collapsed="false">
      <c r="A7848" s="0" t="s">
        <v>3979</v>
      </c>
      <c r="B7848" s="6" t="n">
        <v>42274</v>
      </c>
      <c r="C7848" s="7" t="s">
        <v>29</v>
      </c>
      <c r="D7848" s="7" t="s">
        <v>83</v>
      </c>
      <c r="E7848" s="7" t="s">
        <v>39</v>
      </c>
      <c r="F7848" s="0" t="n">
        <v>1871.88</v>
      </c>
      <c r="G7848" s="0" t="n">
        <v>561.564</v>
      </c>
      <c r="H7848" s="0" t="n">
        <v>0</v>
      </c>
      <c r="I7848" s="7" t="n">
        <f aca="false">YEAR(B7848)</f>
        <v>2015</v>
      </c>
      <c r="J7848" s="0" t="str">
        <f aca="false">I7848&amp;"-Q"&amp;ROUNDUP(MONTH(B7848)/3,0)</f>
        <v>2015-Q3</v>
      </c>
    </row>
    <row r="7849" customFormat="false" ht="15" hidden="false" customHeight="false" outlineLevel="0" collapsed="false">
      <c r="A7849" s="0" t="s">
        <v>3980</v>
      </c>
      <c r="B7849" s="6" t="n">
        <v>42427</v>
      </c>
      <c r="C7849" s="7" t="s">
        <v>45</v>
      </c>
      <c r="D7849" s="7" t="s">
        <v>46</v>
      </c>
      <c r="E7849" s="7" t="s">
        <v>31</v>
      </c>
      <c r="F7849" s="0" t="n">
        <v>16.192</v>
      </c>
      <c r="G7849" s="0" t="n">
        <v>-6.8816</v>
      </c>
      <c r="H7849" s="0" t="n">
        <v>0.6</v>
      </c>
      <c r="I7849" s="7" t="n">
        <f aca="false">YEAR(B7849)</f>
        <v>2016</v>
      </c>
      <c r="J7849" s="0" t="str">
        <f aca="false">I7849&amp;"-Q"&amp;ROUNDUP(MONTH(B7849)/3,0)</f>
        <v>2016-Q1</v>
      </c>
    </row>
    <row r="7850" customFormat="false" ht="15" hidden="false" customHeight="false" outlineLevel="0" collapsed="false">
      <c r="A7850" s="0" t="s">
        <v>3981</v>
      </c>
      <c r="B7850" s="6" t="n">
        <v>42492</v>
      </c>
      <c r="C7850" s="7" t="s">
        <v>45</v>
      </c>
      <c r="D7850" s="7" t="s">
        <v>46</v>
      </c>
      <c r="E7850" s="7" t="s">
        <v>35</v>
      </c>
      <c r="F7850" s="0" t="n">
        <v>18.936</v>
      </c>
      <c r="G7850" s="0" t="n">
        <v>-3.7872</v>
      </c>
      <c r="H7850" s="0" t="n">
        <v>0.2</v>
      </c>
      <c r="I7850" s="7" t="n">
        <f aca="false">YEAR(B7850)</f>
        <v>2016</v>
      </c>
      <c r="J7850" s="0" t="str">
        <f aca="false">I7850&amp;"-Q"&amp;ROUNDUP(MONTH(B7850)/3,0)</f>
        <v>2016-Q2</v>
      </c>
    </row>
    <row r="7851" customFormat="false" ht="15" hidden="false" customHeight="false" outlineLevel="0" collapsed="false">
      <c r="A7851" s="0" t="s">
        <v>3981</v>
      </c>
      <c r="B7851" s="6" t="n">
        <v>42492</v>
      </c>
      <c r="C7851" s="7" t="s">
        <v>45</v>
      </c>
      <c r="D7851" s="7" t="s">
        <v>46</v>
      </c>
      <c r="E7851" s="7" t="s">
        <v>35</v>
      </c>
      <c r="F7851" s="0" t="n">
        <v>12.672</v>
      </c>
      <c r="G7851" s="0" t="n">
        <v>-3.168</v>
      </c>
      <c r="H7851" s="0" t="n">
        <v>0.2</v>
      </c>
      <c r="I7851" s="7" t="n">
        <f aca="false">YEAR(B7851)</f>
        <v>2016</v>
      </c>
      <c r="J7851" s="0" t="str">
        <f aca="false">I7851&amp;"-Q"&amp;ROUNDUP(MONTH(B7851)/3,0)</f>
        <v>2016-Q2</v>
      </c>
    </row>
    <row r="7852" customFormat="false" ht="15" hidden="false" customHeight="false" outlineLevel="0" collapsed="false">
      <c r="A7852" s="0" t="s">
        <v>3981</v>
      </c>
      <c r="B7852" s="6" t="n">
        <v>42492</v>
      </c>
      <c r="C7852" s="7" t="s">
        <v>45</v>
      </c>
      <c r="D7852" s="7" t="s">
        <v>46</v>
      </c>
      <c r="E7852" s="7" t="s">
        <v>35</v>
      </c>
      <c r="F7852" s="0" t="n">
        <v>5.04</v>
      </c>
      <c r="G7852" s="0" t="n">
        <v>1.764</v>
      </c>
      <c r="H7852" s="0" t="n">
        <v>0.2</v>
      </c>
      <c r="I7852" s="7" t="n">
        <f aca="false">YEAR(B7852)</f>
        <v>2016</v>
      </c>
      <c r="J7852" s="0" t="str">
        <f aca="false">I7852&amp;"-Q"&amp;ROUNDUP(MONTH(B7852)/3,0)</f>
        <v>2016-Q2</v>
      </c>
    </row>
    <row r="7853" customFormat="false" ht="15" hidden="false" customHeight="false" outlineLevel="0" collapsed="false">
      <c r="A7853" s="0" t="s">
        <v>3982</v>
      </c>
      <c r="B7853" s="6" t="n">
        <v>41982</v>
      </c>
      <c r="C7853" s="7" t="s">
        <v>45</v>
      </c>
      <c r="D7853" s="7" t="s">
        <v>64</v>
      </c>
      <c r="E7853" s="7" t="s">
        <v>35</v>
      </c>
      <c r="F7853" s="0" t="n">
        <v>8.448</v>
      </c>
      <c r="G7853" s="0" t="n">
        <v>2.9568</v>
      </c>
      <c r="H7853" s="0" t="n">
        <v>0.2</v>
      </c>
      <c r="I7853" s="7" t="n">
        <f aca="false">YEAR(B7853)</f>
        <v>2014</v>
      </c>
      <c r="J7853" s="0" t="str">
        <f aca="false">I7853&amp;"-Q"&amp;ROUNDUP(MONTH(B7853)/3,0)</f>
        <v>2014-Q4</v>
      </c>
    </row>
    <row r="7854" customFormat="false" ht="15" hidden="false" customHeight="false" outlineLevel="0" collapsed="false">
      <c r="A7854" s="0" t="s">
        <v>3982</v>
      </c>
      <c r="B7854" s="6" t="n">
        <v>41982</v>
      </c>
      <c r="C7854" s="7" t="s">
        <v>45</v>
      </c>
      <c r="D7854" s="7" t="s">
        <v>64</v>
      </c>
      <c r="E7854" s="7" t="s">
        <v>35</v>
      </c>
      <c r="F7854" s="0" t="n">
        <v>20.388</v>
      </c>
      <c r="G7854" s="0" t="n">
        <v>-53.0088</v>
      </c>
      <c r="H7854" s="0" t="n">
        <v>0.8</v>
      </c>
      <c r="I7854" s="7" t="n">
        <f aca="false">YEAR(B7854)</f>
        <v>2014</v>
      </c>
      <c r="J7854" s="0" t="str">
        <f aca="false">I7854&amp;"-Q"&amp;ROUNDUP(MONTH(B7854)/3,0)</f>
        <v>2014-Q4</v>
      </c>
    </row>
    <row r="7855" customFormat="false" ht="15" hidden="false" customHeight="false" outlineLevel="0" collapsed="false">
      <c r="A7855" s="0" t="s">
        <v>3983</v>
      </c>
      <c r="B7855" s="6" t="n">
        <v>42363</v>
      </c>
      <c r="C7855" s="7" t="s">
        <v>33</v>
      </c>
      <c r="D7855" s="7" t="s">
        <v>34</v>
      </c>
      <c r="E7855" s="7" t="s">
        <v>35</v>
      </c>
      <c r="F7855" s="0" t="n">
        <v>9.96</v>
      </c>
      <c r="G7855" s="0" t="n">
        <v>4.8804</v>
      </c>
      <c r="H7855" s="0" t="n">
        <v>0</v>
      </c>
      <c r="I7855" s="7" t="n">
        <f aca="false">YEAR(B7855)</f>
        <v>2015</v>
      </c>
      <c r="J7855" s="0" t="str">
        <f aca="false">I7855&amp;"-Q"&amp;ROUNDUP(MONTH(B7855)/3,0)</f>
        <v>2015-Q4</v>
      </c>
    </row>
    <row r="7856" customFormat="false" ht="15" hidden="false" customHeight="false" outlineLevel="0" collapsed="false">
      <c r="A7856" s="0" t="s">
        <v>3984</v>
      </c>
      <c r="B7856" s="6" t="n">
        <v>43076</v>
      </c>
      <c r="C7856" s="7" t="s">
        <v>29</v>
      </c>
      <c r="D7856" s="7" t="s">
        <v>265</v>
      </c>
      <c r="E7856" s="7" t="s">
        <v>35</v>
      </c>
      <c r="F7856" s="0" t="n">
        <v>320.64</v>
      </c>
      <c r="G7856" s="0" t="n">
        <v>89.7792</v>
      </c>
      <c r="H7856" s="0" t="n">
        <v>0</v>
      </c>
      <c r="I7856" s="7" t="n">
        <f aca="false">YEAR(B7856)</f>
        <v>2017</v>
      </c>
      <c r="J7856" s="0" t="str">
        <f aca="false">I7856&amp;"-Q"&amp;ROUNDUP(MONTH(B7856)/3,0)</f>
        <v>2017-Q4</v>
      </c>
    </row>
    <row r="7857" customFormat="false" ht="15" hidden="false" customHeight="false" outlineLevel="0" collapsed="false">
      <c r="A7857" s="0" t="s">
        <v>3984</v>
      </c>
      <c r="B7857" s="6" t="n">
        <v>43076</v>
      </c>
      <c r="C7857" s="7" t="s">
        <v>29</v>
      </c>
      <c r="D7857" s="7" t="s">
        <v>265</v>
      </c>
      <c r="E7857" s="7" t="s">
        <v>39</v>
      </c>
      <c r="F7857" s="0" t="n">
        <v>52</v>
      </c>
      <c r="G7857" s="0" t="n">
        <v>23.4</v>
      </c>
      <c r="H7857" s="0" t="n">
        <v>0</v>
      </c>
      <c r="I7857" s="7" t="n">
        <f aca="false">YEAR(B7857)</f>
        <v>2017</v>
      </c>
      <c r="J7857" s="0" t="str">
        <f aca="false">I7857&amp;"-Q"&amp;ROUNDUP(MONTH(B7857)/3,0)</f>
        <v>2017-Q4</v>
      </c>
    </row>
    <row r="7858" customFormat="false" ht="15" hidden="false" customHeight="false" outlineLevel="0" collapsed="false">
      <c r="A7858" s="0" t="s">
        <v>3985</v>
      </c>
      <c r="B7858" s="6" t="n">
        <v>41789</v>
      </c>
      <c r="C7858" s="7" t="s">
        <v>55</v>
      </c>
      <c r="D7858" s="7" t="s">
        <v>76</v>
      </c>
      <c r="E7858" s="7" t="s">
        <v>35</v>
      </c>
      <c r="F7858" s="0" t="n">
        <v>25.584</v>
      </c>
      <c r="G7858" s="0" t="n">
        <v>8.9544</v>
      </c>
      <c r="H7858" s="0" t="n">
        <v>0.2</v>
      </c>
      <c r="I7858" s="7" t="n">
        <f aca="false">YEAR(B7858)</f>
        <v>2014</v>
      </c>
      <c r="J7858" s="0" t="str">
        <f aca="false">I7858&amp;"-Q"&amp;ROUNDUP(MONTH(B7858)/3,0)</f>
        <v>2014-Q2</v>
      </c>
    </row>
    <row r="7859" customFormat="false" ht="15" hidden="false" customHeight="false" outlineLevel="0" collapsed="false">
      <c r="A7859" s="0" t="s">
        <v>3985</v>
      </c>
      <c r="B7859" s="6" t="n">
        <v>41789</v>
      </c>
      <c r="C7859" s="7" t="s">
        <v>55</v>
      </c>
      <c r="D7859" s="7" t="s">
        <v>76</v>
      </c>
      <c r="E7859" s="7" t="s">
        <v>39</v>
      </c>
      <c r="F7859" s="0" t="n">
        <v>464</v>
      </c>
      <c r="G7859" s="0" t="n">
        <v>134.56</v>
      </c>
      <c r="H7859" s="0" t="n">
        <v>0</v>
      </c>
      <c r="I7859" s="7" t="n">
        <f aca="false">YEAR(B7859)</f>
        <v>2014</v>
      </c>
      <c r="J7859" s="0" t="str">
        <f aca="false">I7859&amp;"-Q"&amp;ROUNDUP(MONTH(B7859)/3,0)</f>
        <v>2014-Q2</v>
      </c>
    </row>
    <row r="7860" customFormat="false" ht="15" hidden="false" customHeight="false" outlineLevel="0" collapsed="false">
      <c r="A7860" s="0" t="s">
        <v>3985</v>
      </c>
      <c r="B7860" s="6" t="n">
        <v>41789</v>
      </c>
      <c r="C7860" s="7" t="s">
        <v>55</v>
      </c>
      <c r="D7860" s="7" t="s">
        <v>76</v>
      </c>
      <c r="E7860" s="7" t="s">
        <v>35</v>
      </c>
      <c r="F7860" s="0" t="n">
        <v>235.95</v>
      </c>
      <c r="G7860" s="0" t="n">
        <v>77.8635</v>
      </c>
      <c r="H7860" s="0" t="n">
        <v>0</v>
      </c>
      <c r="I7860" s="7" t="n">
        <f aca="false">YEAR(B7860)</f>
        <v>2014</v>
      </c>
      <c r="J7860" s="0" t="str">
        <f aca="false">I7860&amp;"-Q"&amp;ROUNDUP(MONTH(B7860)/3,0)</f>
        <v>2014-Q2</v>
      </c>
    </row>
    <row r="7861" customFormat="false" ht="15" hidden="false" customHeight="false" outlineLevel="0" collapsed="false">
      <c r="A7861" s="0" t="s">
        <v>3985</v>
      </c>
      <c r="B7861" s="6" t="n">
        <v>41789</v>
      </c>
      <c r="C7861" s="7" t="s">
        <v>55</v>
      </c>
      <c r="D7861" s="7" t="s">
        <v>76</v>
      </c>
      <c r="E7861" s="7" t="s">
        <v>35</v>
      </c>
      <c r="F7861" s="0" t="n">
        <v>39.96</v>
      </c>
      <c r="G7861" s="0" t="n">
        <v>17.982</v>
      </c>
      <c r="H7861" s="0" t="n">
        <v>0</v>
      </c>
      <c r="I7861" s="7" t="n">
        <f aca="false">YEAR(B7861)</f>
        <v>2014</v>
      </c>
      <c r="J7861" s="0" t="str">
        <f aca="false">I7861&amp;"-Q"&amp;ROUNDUP(MONTH(B7861)/3,0)</f>
        <v>2014-Q2</v>
      </c>
    </row>
    <row r="7862" customFormat="false" ht="15" hidden="false" customHeight="false" outlineLevel="0" collapsed="false">
      <c r="A7862" s="0" t="s">
        <v>3986</v>
      </c>
      <c r="B7862" s="6" t="n">
        <v>42796</v>
      </c>
      <c r="C7862" s="7" t="s">
        <v>55</v>
      </c>
      <c r="D7862" s="7" t="s">
        <v>116</v>
      </c>
      <c r="E7862" s="7" t="s">
        <v>35</v>
      </c>
      <c r="F7862" s="0" t="n">
        <v>18.528</v>
      </c>
      <c r="G7862" s="0" t="n">
        <v>-12.352</v>
      </c>
      <c r="H7862" s="0" t="n">
        <v>0.7</v>
      </c>
      <c r="I7862" s="7" t="n">
        <f aca="false">YEAR(B7862)</f>
        <v>2017</v>
      </c>
      <c r="J7862" s="0" t="str">
        <f aca="false">I7862&amp;"-Q"&amp;ROUNDUP(MONTH(B7862)/3,0)</f>
        <v>2017-Q1</v>
      </c>
    </row>
    <row r="7863" customFormat="false" ht="15" hidden="false" customHeight="false" outlineLevel="0" collapsed="false">
      <c r="A7863" s="0" t="s">
        <v>3987</v>
      </c>
      <c r="B7863" s="6" t="n">
        <v>42289</v>
      </c>
      <c r="C7863" s="7" t="s">
        <v>33</v>
      </c>
      <c r="D7863" s="7" t="s">
        <v>43</v>
      </c>
      <c r="E7863" s="7" t="s">
        <v>39</v>
      </c>
      <c r="F7863" s="0" t="n">
        <v>17.9</v>
      </c>
      <c r="G7863" s="0" t="n">
        <v>3.401</v>
      </c>
      <c r="H7863" s="0" t="n">
        <v>0</v>
      </c>
      <c r="I7863" s="7" t="n">
        <f aca="false">YEAR(B7863)</f>
        <v>2015</v>
      </c>
      <c r="J7863" s="0" t="str">
        <f aca="false">I7863&amp;"-Q"&amp;ROUNDUP(MONTH(B7863)/3,0)</f>
        <v>2015-Q4</v>
      </c>
    </row>
    <row r="7864" customFormat="false" ht="15" hidden="false" customHeight="false" outlineLevel="0" collapsed="false">
      <c r="A7864" s="0" t="s">
        <v>3987</v>
      </c>
      <c r="B7864" s="6" t="n">
        <v>42289</v>
      </c>
      <c r="C7864" s="7" t="s">
        <v>33</v>
      </c>
      <c r="D7864" s="7" t="s">
        <v>43</v>
      </c>
      <c r="E7864" s="7" t="s">
        <v>35</v>
      </c>
      <c r="F7864" s="0" t="n">
        <v>81.96</v>
      </c>
      <c r="G7864" s="0" t="n">
        <v>0</v>
      </c>
      <c r="H7864" s="0" t="n">
        <v>0</v>
      </c>
      <c r="I7864" s="7" t="n">
        <f aca="false">YEAR(B7864)</f>
        <v>2015</v>
      </c>
      <c r="J7864" s="0" t="str">
        <f aca="false">I7864&amp;"-Q"&amp;ROUNDUP(MONTH(B7864)/3,0)</f>
        <v>2015-Q4</v>
      </c>
    </row>
    <row r="7865" customFormat="false" ht="15" hidden="false" customHeight="false" outlineLevel="0" collapsed="false">
      <c r="A7865" s="0" t="s">
        <v>3988</v>
      </c>
      <c r="B7865" s="6" t="n">
        <v>42199</v>
      </c>
      <c r="C7865" s="7" t="s">
        <v>33</v>
      </c>
      <c r="D7865" s="7" t="s">
        <v>81</v>
      </c>
      <c r="E7865" s="7" t="s">
        <v>35</v>
      </c>
      <c r="F7865" s="0" t="n">
        <v>272.736</v>
      </c>
      <c r="G7865" s="0" t="n">
        <v>-64.7748</v>
      </c>
      <c r="H7865" s="0" t="n">
        <v>0.2</v>
      </c>
      <c r="I7865" s="7" t="n">
        <f aca="false">YEAR(B7865)</f>
        <v>2015</v>
      </c>
      <c r="J7865" s="0" t="str">
        <f aca="false">I7865&amp;"-Q"&amp;ROUNDUP(MONTH(B7865)/3,0)</f>
        <v>2015-Q3</v>
      </c>
    </row>
    <row r="7866" customFormat="false" ht="15" hidden="false" customHeight="false" outlineLevel="0" collapsed="false">
      <c r="A7866" s="0" t="s">
        <v>3988</v>
      </c>
      <c r="B7866" s="6" t="n">
        <v>42199</v>
      </c>
      <c r="C7866" s="7" t="s">
        <v>33</v>
      </c>
      <c r="D7866" s="7" t="s">
        <v>81</v>
      </c>
      <c r="E7866" s="7" t="s">
        <v>35</v>
      </c>
      <c r="F7866" s="0" t="n">
        <v>18.496</v>
      </c>
      <c r="G7866" s="0" t="n">
        <v>6.7048</v>
      </c>
      <c r="H7866" s="0" t="n">
        <v>0.2</v>
      </c>
      <c r="I7866" s="7" t="n">
        <f aca="false">YEAR(B7866)</f>
        <v>2015</v>
      </c>
      <c r="J7866" s="0" t="str">
        <f aca="false">I7866&amp;"-Q"&amp;ROUNDUP(MONTH(B7866)/3,0)</f>
        <v>2015-Q3</v>
      </c>
    </row>
    <row r="7867" customFormat="false" ht="15" hidden="false" customHeight="false" outlineLevel="0" collapsed="false">
      <c r="A7867" s="0" t="s">
        <v>3988</v>
      </c>
      <c r="B7867" s="6" t="n">
        <v>42199</v>
      </c>
      <c r="C7867" s="7" t="s">
        <v>33</v>
      </c>
      <c r="D7867" s="7" t="s">
        <v>81</v>
      </c>
      <c r="E7867" s="7" t="s">
        <v>31</v>
      </c>
      <c r="F7867" s="0" t="n">
        <v>441.92</v>
      </c>
      <c r="G7867" s="0" t="n">
        <v>49.716</v>
      </c>
      <c r="H7867" s="0" t="n">
        <v>0.2</v>
      </c>
      <c r="I7867" s="7" t="n">
        <f aca="false">YEAR(B7867)</f>
        <v>2015</v>
      </c>
      <c r="J7867" s="0" t="str">
        <f aca="false">I7867&amp;"-Q"&amp;ROUNDUP(MONTH(B7867)/3,0)</f>
        <v>2015-Q3</v>
      </c>
    </row>
    <row r="7868" customFormat="false" ht="15" hidden="false" customHeight="false" outlineLevel="0" collapsed="false">
      <c r="A7868" s="0" t="s">
        <v>3988</v>
      </c>
      <c r="B7868" s="6" t="n">
        <v>42199</v>
      </c>
      <c r="C7868" s="7" t="s">
        <v>33</v>
      </c>
      <c r="D7868" s="7" t="s">
        <v>81</v>
      </c>
      <c r="E7868" s="7" t="s">
        <v>31</v>
      </c>
      <c r="F7868" s="0" t="n">
        <v>127.764</v>
      </c>
      <c r="G7868" s="0" t="n">
        <v>-191.646</v>
      </c>
      <c r="H7868" s="0" t="n">
        <v>0.7</v>
      </c>
      <c r="I7868" s="7" t="n">
        <f aca="false">YEAR(B7868)</f>
        <v>2015</v>
      </c>
      <c r="J7868" s="0" t="str">
        <f aca="false">I7868&amp;"-Q"&amp;ROUNDUP(MONTH(B7868)/3,0)</f>
        <v>2015-Q3</v>
      </c>
    </row>
    <row r="7869" customFormat="false" ht="15" hidden="false" customHeight="false" outlineLevel="0" collapsed="false">
      <c r="A7869" s="0" t="s">
        <v>3989</v>
      </c>
      <c r="B7869" s="6" t="n">
        <v>41962</v>
      </c>
      <c r="C7869" s="7" t="s">
        <v>33</v>
      </c>
      <c r="D7869" s="7" t="s">
        <v>50</v>
      </c>
      <c r="E7869" s="7" t="s">
        <v>35</v>
      </c>
      <c r="F7869" s="0" t="n">
        <v>166.44</v>
      </c>
      <c r="G7869" s="0" t="n">
        <v>79.8912</v>
      </c>
      <c r="H7869" s="0" t="n">
        <v>0</v>
      </c>
      <c r="I7869" s="7" t="n">
        <f aca="false">YEAR(B7869)</f>
        <v>2014</v>
      </c>
      <c r="J7869" s="0" t="str">
        <f aca="false">I7869&amp;"-Q"&amp;ROUNDUP(MONTH(B7869)/3,0)</f>
        <v>2014-Q4</v>
      </c>
    </row>
    <row r="7870" customFormat="false" ht="15" hidden="false" customHeight="false" outlineLevel="0" collapsed="false">
      <c r="A7870" s="0" t="s">
        <v>3990</v>
      </c>
      <c r="B7870" s="6" t="n">
        <v>42517</v>
      </c>
      <c r="C7870" s="7" t="s">
        <v>33</v>
      </c>
      <c r="D7870" s="7" t="s">
        <v>34</v>
      </c>
      <c r="E7870" s="7" t="s">
        <v>35</v>
      </c>
      <c r="F7870" s="0" t="n">
        <v>13.38</v>
      </c>
      <c r="G7870" s="0" t="n">
        <v>6.1548</v>
      </c>
      <c r="H7870" s="0" t="n">
        <v>0</v>
      </c>
      <c r="I7870" s="7" t="n">
        <f aca="false">YEAR(B7870)</f>
        <v>2016</v>
      </c>
      <c r="J7870" s="0" t="str">
        <f aca="false">I7870&amp;"-Q"&amp;ROUNDUP(MONTH(B7870)/3,0)</f>
        <v>2016-Q2</v>
      </c>
    </row>
    <row r="7871" customFormat="false" ht="15" hidden="false" customHeight="false" outlineLevel="0" collapsed="false">
      <c r="A7871" s="0" t="s">
        <v>3991</v>
      </c>
      <c r="B7871" s="6" t="n">
        <v>42919</v>
      </c>
      <c r="C7871" s="7" t="s">
        <v>29</v>
      </c>
      <c r="D7871" s="7" t="s">
        <v>41</v>
      </c>
      <c r="E7871" s="7" t="s">
        <v>39</v>
      </c>
      <c r="F7871" s="0" t="n">
        <v>24</v>
      </c>
      <c r="G7871" s="0" t="n">
        <v>-2.7</v>
      </c>
      <c r="H7871" s="0" t="n">
        <v>0.2</v>
      </c>
      <c r="I7871" s="7" t="n">
        <f aca="false">YEAR(B7871)</f>
        <v>2017</v>
      </c>
      <c r="J7871" s="0" t="str">
        <f aca="false">I7871&amp;"-Q"&amp;ROUNDUP(MONTH(B7871)/3,0)</f>
        <v>2017-Q3</v>
      </c>
    </row>
    <row r="7872" customFormat="false" ht="15" hidden="false" customHeight="false" outlineLevel="0" collapsed="false">
      <c r="A7872" s="0" t="s">
        <v>3992</v>
      </c>
      <c r="B7872" s="6" t="n">
        <v>43003</v>
      </c>
      <c r="C7872" s="7" t="s">
        <v>55</v>
      </c>
      <c r="D7872" s="7" t="s">
        <v>116</v>
      </c>
      <c r="E7872" s="7" t="s">
        <v>35</v>
      </c>
      <c r="F7872" s="0" t="n">
        <v>24.448</v>
      </c>
      <c r="G7872" s="0" t="n">
        <v>8.8624</v>
      </c>
      <c r="H7872" s="0" t="n">
        <v>0.2</v>
      </c>
      <c r="I7872" s="7" t="n">
        <f aca="false">YEAR(B7872)</f>
        <v>2017</v>
      </c>
      <c r="J7872" s="0" t="str">
        <f aca="false">I7872&amp;"-Q"&amp;ROUNDUP(MONTH(B7872)/3,0)</f>
        <v>2017-Q3</v>
      </c>
    </row>
    <row r="7873" customFormat="false" ht="15" hidden="false" customHeight="false" outlineLevel="0" collapsed="false">
      <c r="A7873" s="0" t="s">
        <v>3993</v>
      </c>
      <c r="B7873" s="6" t="n">
        <v>42646</v>
      </c>
      <c r="C7873" s="7" t="s">
        <v>33</v>
      </c>
      <c r="D7873" s="7" t="s">
        <v>34</v>
      </c>
      <c r="E7873" s="7" t="s">
        <v>35</v>
      </c>
      <c r="F7873" s="0" t="n">
        <v>6.16</v>
      </c>
      <c r="G7873" s="0" t="n">
        <v>2.9568</v>
      </c>
      <c r="H7873" s="0" t="n">
        <v>0</v>
      </c>
      <c r="I7873" s="7" t="n">
        <f aca="false">YEAR(B7873)</f>
        <v>2016</v>
      </c>
      <c r="J7873" s="0" t="str">
        <f aca="false">I7873&amp;"-Q"&amp;ROUNDUP(MONTH(B7873)/3,0)</f>
        <v>2016-Q4</v>
      </c>
    </row>
    <row r="7874" customFormat="false" ht="15" hidden="false" customHeight="false" outlineLevel="0" collapsed="false">
      <c r="A7874" s="0" t="s">
        <v>3993</v>
      </c>
      <c r="B7874" s="6" t="n">
        <v>42646</v>
      </c>
      <c r="C7874" s="7" t="s">
        <v>33</v>
      </c>
      <c r="D7874" s="7" t="s">
        <v>34</v>
      </c>
      <c r="E7874" s="7" t="s">
        <v>31</v>
      </c>
      <c r="F7874" s="0" t="n">
        <v>915.136</v>
      </c>
      <c r="G7874" s="0" t="n">
        <v>102.9528</v>
      </c>
      <c r="H7874" s="0" t="n">
        <v>0.2</v>
      </c>
      <c r="I7874" s="7" t="n">
        <f aca="false">YEAR(B7874)</f>
        <v>2016</v>
      </c>
      <c r="J7874" s="0" t="str">
        <f aca="false">I7874&amp;"-Q"&amp;ROUNDUP(MONTH(B7874)/3,0)</f>
        <v>2016-Q4</v>
      </c>
    </row>
    <row r="7875" customFormat="false" ht="15" hidden="false" customHeight="false" outlineLevel="0" collapsed="false">
      <c r="A7875" s="0" t="s">
        <v>3993</v>
      </c>
      <c r="B7875" s="6" t="n">
        <v>42646</v>
      </c>
      <c r="C7875" s="7" t="s">
        <v>33</v>
      </c>
      <c r="D7875" s="7" t="s">
        <v>34</v>
      </c>
      <c r="E7875" s="7" t="s">
        <v>35</v>
      </c>
      <c r="F7875" s="0" t="n">
        <v>8.56</v>
      </c>
      <c r="G7875" s="0" t="n">
        <v>3.852</v>
      </c>
      <c r="H7875" s="0" t="n">
        <v>0</v>
      </c>
      <c r="I7875" s="7" t="n">
        <f aca="false">YEAR(B7875)</f>
        <v>2016</v>
      </c>
      <c r="J7875" s="0" t="str">
        <f aca="false">I7875&amp;"-Q"&amp;ROUNDUP(MONTH(B7875)/3,0)</f>
        <v>2016-Q4</v>
      </c>
    </row>
    <row r="7876" customFormat="false" ht="15" hidden="false" customHeight="false" outlineLevel="0" collapsed="false">
      <c r="A7876" s="0" t="s">
        <v>3993</v>
      </c>
      <c r="B7876" s="6" t="n">
        <v>42646</v>
      </c>
      <c r="C7876" s="7" t="s">
        <v>33</v>
      </c>
      <c r="D7876" s="7" t="s">
        <v>34</v>
      </c>
      <c r="E7876" s="7" t="s">
        <v>35</v>
      </c>
      <c r="F7876" s="0" t="n">
        <v>97.82</v>
      </c>
      <c r="G7876" s="0" t="n">
        <v>45.9754</v>
      </c>
      <c r="H7876" s="0" t="n">
        <v>0</v>
      </c>
      <c r="I7876" s="7" t="n">
        <f aca="false">YEAR(B7876)</f>
        <v>2016</v>
      </c>
      <c r="J7876" s="0" t="str">
        <f aca="false">I7876&amp;"-Q"&amp;ROUNDUP(MONTH(B7876)/3,0)</f>
        <v>2016-Q4</v>
      </c>
    </row>
    <row r="7877" customFormat="false" ht="15" hidden="false" customHeight="false" outlineLevel="0" collapsed="false">
      <c r="A7877" s="0" t="s">
        <v>3994</v>
      </c>
      <c r="B7877" s="6" t="n">
        <v>42987</v>
      </c>
      <c r="C7877" s="7" t="s">
        <v>33</v>
      </c>
      <c r="D7877" s="7" t="s">
        <v>102</v>
      </c>
      <c r="E7877" s="7" t="s">
        <v>35</v>
      </c>
      <c r="F7877" s="0" t="n">
        <v>31.104</v>
      </c>
      <c r="G7877" s="0" t="n">
        <v>11.2752</v>
      </c>
      <c r="H7877" s="0" t="n">
        <v>0.2</v>
      </c>
      <c r="I7877" s="7" t="n">
        <f aca="false">YEAR(B7877)</f>
        <v>2017</v>
      </c>
      <c r="J7877" s="0" t="str">
        <f aca="false">I7877&amp;"-Q"&amp;ROUNDUP(MONTH(B7877)/3,0)</f>
        <v>2017-Q3</v>
      </c>
    </row>
    <row r="7878" customFormat="false" ht="15" hidden="false" customHeight="false" outlineLevel="0" collapsed="false">
      <c r="A7878" s="0" t="s">
        <v>3994</v>
      </c>
      <c r="B7878" s="6" t="n">
        <v>42987</v>
      </c>
      <c r="C7878" s="7" t="s">
        <v>33</v>
      </c>
      <c r="D7878" s="7" t="s">
        <v>102</v>
      </c>
      <c r="E7878" s="7" t="s">
        <v>35</v>
      </c>
      <c r="F7878" s="0" t="n">
        <v>11.176</v>
      </c>
      <c r="G7878" s="0" t="n">
        <v>0.8382</v>
      </c>
      <c r="H7878" s="0" t="n">
        <v>0.2</v>
      </c>
      <c r="I7878" s="7" t="n">
        <f aca="false">YEAR(B7878)</f>
        <v>2017</v>
      </c>
      <c r="J7878" s="0" t="str">
        <f aca="false">I7878&amp;"-Q"&amp;ROUNDUP(MONTH(B7878)/3,0)</f>
        <v>2017-Q3</v>
      </c>
    </row>
    <row r="7879" customFormat="false" ht="15" hidden="false" customHeight="false" outlineLevel="0" collapsed="false">
      <c r="A7879" s="0" t="s">
        <v>3995</v>
      </c>
      <c r="B7879" s="6" t="n">
        <v>42075</v>
      </c>
      <c r="C7879" s="7" t="s">
        <v>29</v>
      </c>
      <c r="D7879" s="7" t="s">
        <v>41</v>
      </c>
      <c r="E7879" s="7" t="s">
        <v>35</v>
      </c>
      <c r="F7879" s="0" t="n">
        <v>5.04</v>
      </c>
      <c r="G7879" s="0" t="n">
        <v>1.764</v>
      </c>
      <c r="H7879" s="0" t="n">
        <v>0.2</v>
      </c>
      <c r="I7879" s="7" t="n">
        <f aca="false">YEAR(B7879)</f>
        <v>2015</v>
      </c>
      <c r="J7879" s="0" t="str">
        <f aca="false">I7879&amp;"-Q"&amp;ROUNDUP(MONTH(B7879)/3,0)</f>
        <v>2015-Q1</v>
      </c>
    </row>
    <row r="7880" customFormat="false" ht="15" hidden="false" customHeight="false" outlineLevel="0" collapsed="false">
      <c r="A7880" s="0" t="s">
        <v>3996</v>
      </c>
      <c r="B7880" s="6" t="n">
        <v>42703</v>
      </c>
      <c r="C7880" s="7" t="s">
        <v>45</v>
      </c>
      <c r="D7880" s="7" t="s">
        <v>64</v>
      </c>
      <c r="E7880" s="7" t="s">
        <v>31</v>
      </c>
      <c r="F7880" s="0" t="n">
        <v>242.176</v>
      </c>
      <c r="G7880" s="0" t="n">
        <v>-302.72</v>
      </c>
      <c r="H7880" s="0" t="n">
        <v>0.6</v>
      </c>
      <c r="I7880" s="7" t="n">
        <f aca="false">YEAR(B7880)</f>
        <v>2016</v>
      </c>
      <c r="J7880" s="0" t="str">
        <f aca="false">I7880&amp;"-Q"&amp;ROUNDUP(MONTH(B7880)/3,0)</f>
        <v>2016-Q4</v>
      </c>
    </row>
    <row r="7881" customFormat="false" ht="15" hidden="false" customHeight="false" outlineLevel="0" collapsed="false">
      <c r="A7881" s="0" t="s">
        <v>3997</v>
      </c>
      <c r="B7881" s="6" t="n">
        <v>42535</v>
      </c>
      <c r="C7881" s="7" t="s">
        <v>55</v>
      </c>
      <c r="D7881" s="7" t="s">
        <v>56</v>
      </c>
      <c r="E7881" s="7" t="s">
        <v>31</v>
      </c>
      <c r="F7881" s="0" t="n">
        <v>337.176</v>
      </c>
      <c r="G7881" s="0" t="n">
        <v>-118.0116</v>
      </c>
      <c r="H7881" s="0" t="n">
        <v>0.4</v>
      </c>
      <c r="I7881" s="7" t="n">
        <f aca="false">YEAR(B7881)</f>
        <v>2016</v>
      </c>
      <c r="J7881" s="0" t="str">
        <f aca="false">I7881&amp;"-Q"&amp;ROUNDUP(MONTH(B7881)/3,0)</f>
        <v>2016-Q2</v>
      </c>
    </row>
    <row r="7882" customFormat="false" ht="15" hidden="false" customHeight="false" outlineLevel="0" collapsed="false">
      <c r="A7882" s="0" t="s">
        <v>3998</v>
      </c>
      <c r="B7882" s="6" t="n">
        <v>43072</v>
      </c>
      <c r="C7882" s="7" t="s">
        <v>33</v>
      </c>
      <c r="D7882" s="7" t="s">
        <v>109</v>
      </c>
      <c r="E7882" s="7" t="s">
        <v>35</v>
      </c>
      <c r="F7882" s="0" t="n">
        <v>13.344</v>
      </c>
      <c r="G7882" s="0" t="n">
        <v>1.0008</v>
      </c>
      <c r="H7882" s="0" t="n">
        <v>0.2</v>
      </c>
      <c r="I7882" s="7" t="n">
        <f aca="false">YEAR(B7882)</f>
        <v>2017</v>
      </c>
      <c r="J7882" s="0" t="str">
        <f aca="false">I7882&amp;"-Q"&amp;ROUNDUP(MONTH(B7882)/3,0)</f>
        <v>2017-Q4</v>
      </c>
    </row>
    <row r="7883" customFormat="false" ht="15" hidden="false" customHeight="false" outlineLevel="0" collapsed="false">
      <c r="A7883" s="0" t="s">
        <v>3998</v>
      </c>
      <c r="B7883" s="6" t="n">
        <v>43072</v>
      </c>
      <c r="C7883" s="7" t="s">
        <v>33</v>
      </c>
      <c r="D7883" s="7" t="s">
        <v>109</v>
      </c>
      <c r="E7883" s="7" t="s">
        <v>39</v>
      </c>
      <c r="F7883" s="0" t="n">
        <v>76.752</v>
      </c>
      <c r="G7883" s="0" t="n">
        <v>10.5534</v>
      </c>
      <c r="H7883" s="0" t="n">
        <v>0.2</v>
      </c>
      <c r="I7883" s="7" t="n">
        <f aca="false">YEAR(B7883)</f>
        <v>2017</v>
      </c>
      <c r="J7883" s="0" t="str">
        <f aca="false">I7883&amp;"-Q"&amp;ROUNDUP(MONTH(B7883)/3,0)</f>
        <v>2017-Q4</v>
      </c>
    </row>
    <row r="7884" customFormat="false" ht="15" hidden="false" customHeight="false" outlineLevel="0" collapsed="false">
      <c r="A7884" s="0" t="s">
        <v>3998</v>
      </c>
      <c r="B7884" s="6" t="n">
        <v>43072</v>
      </c>
      <c r="C7884" s="7" t="s">
        <v>33</v>
      </c>
      <c r="D7884" s="7" t="s">
        <v>109</v>
      </c>
      <c r="E7884" s="7" t="s">
        <v>39</v>
      </c>
      <c r="F7884" s="0" t="n">
        <v>102.336</v>
      </c>
      <c r="G7884" s="0" t="n">
        <v>14.0712</v>
      </c>
      <c r="H7884" s="0" t="n">
        <v>0.2</v>
      </c>
      <c r="I7884" s="7" t="n">
        <f aca="false">YEAR(B7884)</f>
        <v>2017</v>
      </c>
      <c r="J7884" s="0" t="str">
        <f aca="false">I7884&amp;"-Q"&amp;ROUNDUP(MONTH(B7884)/3,0)</f>
        <v>2017-Q4</v>
      </c>
    </row>
    <row r="7885" customFormat="false" ht="15" hidden="false" customHeight="false" outlineLevel="0" collapsed="false">
      <c r="A7885" s="0" t="s">
        <v>3998</v>
      </c>
      <c r="B7885" s="6" t="n">
        <v>43072</v>
      </c>
      <c r="C7885" s="7" t="s">
        <v>33</v>
      </c>
      <c r="D7885" s="7" t="s">
        <v>109</v>
      </c>
      <c r="E7885" s="7" t="s">
        <v>35</v>
      </c>
      <c r="F7885" s="0" t="n">
        <v>10.32</v>
      </c>
      <c r="G7885" s="0" t="n">
        <v>3.741</v>
      </c>
      <c r="H7885" s="0" t="n">
        <v>0.2</v>
      </c>
      <c r="I7885" s="7" t="n">
        <f aca="false">YEAR(B7885)</f>
        <v>2017</v>
      </c>
      <c r="J7885" s="0" t="str">
        <f aca="false">I7885&amp;"-Q"&amp;ROUNDUP(MONTH(B7885)/3,0)</f>
        <v>2017-Q4</v>
      </c>
    </row>
    <row r="7886" customFormat="false" ht="15" hidden="false" customHeight="false" outlineLevel="0" collapsed="false">
      <c r="A7886" s="0" t="s">
        <v>3998</v>
      </c>
      <c r="B7886" s="6" t="n">
        <v>43072</v>
      </c>
      <c r="C7886" s="7" t="s">
        <v>33</v>
      </c>
      <c r="D7886" s="7" t="s">
        <v>109</v>
      </c>
      <c r="E7886" s="7" t="s">
        <v>35</v>
      </c>
      <c r="F7886" s="0" t="n">
        <v>47.32</v>
      </c>
      <c r="G7886" s="0" t="n">
        <v>5.915</v>
      </c>
      <c r="H7886" s="0" t="n">
        <v>0.2</v>
      </c>
      <c r="I7886" s="7" t="n">
        <f aca="false">YEAR(B7886)</f>
        <v>2017</v>
      </c>
      <c r="J7886" s="0" t="str">
        <f aca="false">I7886&amp;"-Q"&amp;ROUNDUP(MONTH(B7886)/3,0)</f>
        <v>2017-Q4</v>
      </c>
    </row>
    <row r="7887" customFormat="false" ht="15" hidden="false" customHeight="false" outlineLevel="0" collapsed="false">
      <c r="A7887" s="0" t="s">
        <v>3998</v>
      </c>
      <c r="B7887" s="6" t="n">
        <v>43072</v>
      </c>
      <c r="C7887" s="7" t="s">
        <v>33</v>
      </c>
      <c r="D7887" s="7" t="s">
        <v>109</v>
      </c>
      <c r="E7887" s="7" t="s">
        <v>31</v>
      </c>
      <c r="F7887" s="0" t="n">
        <v>23.376</v>
      </c>
      <c r="G7887" s="0" t="n">
        <v>7.0128</v>
      </c>
      <c r="H7887" s="0" t="n">
        <v>0.2</v>
      </c>
      <c r="I7887" s="7" t="n">
        <f aca="false">YEAR(B7887)</f>
        <v>2017</v>
      </c>
      <c r="J7887" s="0" t="str">
        <f aca="false">I7887&amp;"-Q"&amp;ROUNDUP(MONTH(B7887)/3,0)</f>
        <v>2017-Q4</v>
      </c>
    </row>
    <row r="7888" customFormat="false" ht="15" hidden="false" customHeight="false" outlineLevel="0" collapsed="false">
      <c r="A7888" s="0" t="s">
        <v>3998</v>
      </c>
      <c r="B7888" s="6" t="n">
        <v>43072</v>
      </c>
      <c r="C7888" s="7" t="s">
        <v>33</v>
      </c>
      <c r="D7888" s="7" t="s">
        <v>109</v>
      </c>
      <c r="E7888" s="7" t="s">
        <v>31</v>
      </c>
      <c r="F7888" s="0" t="n">
        <v>16.72</v>
      </c>
      <c r="G7888" s="0" t="n">
        <v>3.344</v>
      </c>
      <c r="H7888" s="0" t="n">
        <v>0.2</v>
      </c>
      <c r="I7888" s="7" t="n">
        <f aca="false">YEAR(B7888)</f>
        <v>2017</v>
      </c>
      <c r="J7888" s="0" t="str">
        <f aca="false">I7888&amp;"-Q"&amp;ROUNDUP(MONTH(B7888)/3,0)</f>
        <v>2017-Q4</v>
      </c>
    </row>
    <row r="7889" customFormat="false" ht="15" hidden="false" customHeight="false" outlineLevel="0" collapsed="false">
      <c r="A7889" s="0" t="s">
        <v>3998</v>
      </c>
      <c r="B7889" s="6" t="n">
        <v>43072</v>
      </c>
      <c r="C7889" s="7" t="s">
        <v>33</v>
      </c>
      <c r="D7889" s="7" t="s">
        <v>109</v>
      </c>
      <c r="E7889" s="7" t="s">
        <v>31</v>
      </c>
      <c r="F7889" s="0" t="n">
        <v>16.192</v>
      </c>
      <c r="G7889" s="0" t="n">
        <v>4.6552</v>
      </c>
      <c r="H7889" s="0" t="n">
        <v>0.2</v>
      </c>
      <c r="I7889" s="7" t="n">
        <f aca="false">YEAR(B7889)</f>
        <v>2017</v>
      </c>
      <c r="J7889" s="0" t="str">
        <f aca="false">I7889&amp;"-Q"&amp;ROUNDUP(MONTH(B7889)/3,0)</f>
        <v>2017-Q4</v>
      </c>
    </row>
    <row r="7890" customFormat="false" ht="15" hidden="false" customHeight="false" outlineLevel="0" collapsed="false">
      <c r="A7890" s="0" t="s">
        <v>3999</v>
      </c>
      <c r="B7890" s="6" t="n">
        <v>42598</v>
      </c>
      <c r="C7890" s="7" t="s">
        <v>33</v>
      </c>
      <c r="D7890" s="7" t="s">
        <v>34</v>
      </c>
      <c r="E7890" s="7" t="s">
        <v>35</v>
      </c>
      <c r="F7890" s="0" t="n">
        <v>32.4</v>
      </c>
      <c r="G7890" s="0" t="n">
        <v>15.552</v>
      </c>
      <c r="H7890" s="0" t="n">
        <v>0</v>
      </c>
      <c r="I7890" s="7" t="n">
        <f aca="false">YEAR(B7890)</f>
        <v>2016</v>
      </c>
      <c r="J7890" s="0" t="str">
        <f aca="false">I7890&amp;"-Q"&amp;ROUNDUP(MONTH(B7890)/3,0)</f>
        <v>2016-Q3</v>
      </c>
    </row>
    <row r="7891" customFormat="false" ht="15" hidden="false" customHeight="false" outlineLevel="0" collapsed="false">
      <c r="A7891" s="0" t="s">
        <v>4000</v>
      </c>
      <c r="B7891" s="6" t="n">
        <v>42729</v>
      </c>
      <c r="C7891" s="7" t="s">
        <v>29</v>
      </c>
      <c r="D7891" s="7" t="s">
        <v>301</v>
      </c>
      <c r="E7891" s="7" t="s">
        <v>35</v>
      </c>
      <c r="F7891" s="0" t="n">
        <v>19.89</v>
      </c>
      <c r="G7891" s="0" t="n">
        <v>5.3703</v>
      </c>
      <c r="H7891" s="0" t="n">
        <v>0</v>
      </c>
      <c r="I7891" s="7" t="n">
        <f aca="false">YEAR(B7891)</f>
        <v>2016</v>
      </c>
      <c r="J7891" s="0" t="str">
        <f aca="false">I7891&amp;"-Q"&amp;ROUNDUP(MONTH(B7891)/3,0)</f>
        <v>2016-Q4</v>
      </c>
    </row>
    <row r="7892" customFormat="false" ht="15" hidden="false" customHeight="false" outlineLevel="0" collapsed="false">
      <c r="A7892" s="0" t="s">
        <v>4000</v>
      </c>
      <c r="B7892" s="6" t="n">
        <v>42729</v>
      </c>
      <c r="C7892" s="7" t="s">
        <v>29</v>
      </c>
      <c r="D7892" s="7" t="s">
        <v>301</v>
      </c>
      <c r="E7892" s="7" t="s">
        <v>39</v>
      </c>
      <c r="F7892" s="0" t="n">
        <v>399.98</v>
      </c>
      <c r="G7892" s="0" t="n">
        <v>171.9914</v>
      </c>
      <c r="H7892" s="0" t="n">
        <v>0</v>
      </c>
      <c r="I7892" s="7" t="n">
        <f aca="false">YEAR(B7892)</f>
        <v>2016</v>
      </c>
      <c r="J7892" s="0" t="str">
        <f aca="false">I7892&amp;"-Q"&amp;ROUNDUP(MONTH(B7892)/3,0)</f>
        <v>2016-Q4</v>
      </c>
    </row>
    <row r="7893" customFormat="false" ht="15" hidden="false" customHeight="false" outlineLevel="0" collapsed="false">
      <c r="A7893" s="0" t="s">
        <v>4000</v>
      </c>
      <c r="B7893" s="6" t="n">
        <v>42729</v>
      </c>
      <c r="C7893" s="7" t="s">
        <v>29</v>
      </c>
      <c r="D7893" s="7" t="s">
        <v>301</v>
      </c>
      <c r="E7893" s="7" t="s">
        <v>31</v>
      </c>
      <c r="F7893" s="0" t="n">
        <v>343.85</v>
      </c>
      <c r="G7893" s="0" t="n">
        <v>137.54</v>
      </c>
      <c r="H7893" s="0" t="n">
        <v>0</v>
      </c>
      <c r="I7893" s="7" t="n">
        <f aca="false">YEAR(B7893)</f>
        <v>2016</v>
      </c>
      <c r="J7893" s="0" t="str">
        <f aca="false">I7893&amp;"-Q"&amp;ROUNDUP(MONTH(B7893)/3,0)</f>
        <v>2016-Q4</v>
      </c>
    </row>
    <row r="7894" customFormat="false" ht="15" hidden="false" customHeight="false" outlineLevel="0" collapsed="false">
      <c r="A7894" s="0" t="s">
        <v>4000</v>
      </c>
      <c r="B7894" s="6" t="n">
        <v>42729</v>
      </c>
      <c r="C7894" s="7" t="s">
        <v>29</v>
      </c>
      <c r="D7894" s="7" t="s">
        <v>301</v>
      </c>
      <c r="E7894" s="7" t="s">
        <v>35</v>
      </c>
      <c r="F7894" s="0" t="n">
        <v>106.32</v>
      </c>
      <c r="G7894" s="0" t="n">
        <v>49.9704</v>
      </c>
      <c r="H7894" s="0" t="n">
        <v>0</v>
      </c>
      <c r="I7894" s="7" t="n">
        <f aca="false">YEAR(B7894)</f>
        <v>2016</v>
      </c>
      <c r="J7894" s="0" t="str">
        <f aca="false">I7894&amp;"-Q"&amp;ROUNDUP(MONTH(B7894)/3,0)</f>
        <v>2016-Q4</v>
      </c>
    </row>
    <row r="7895" customFormat="false" ht="15" hidden="false" customHeight="false" outlineLevel="0" collapsed="false">
      <c r="A7895" s="0" t="s">
        <v>4001</v>
      </c>
      <c r="B7895" s="6" t="n">
        <v>42939</v>
      </c>
      <c r="C7895" s="7" t="s">
        <v>55</v>
      </c>
      <c r="D7895" s="7" t="s">
        <v>76</v>
      </c>
      <c r="E7895" s="7" t="s">
        <v>35</v>
      </c>
      <c r="F7895" s="0" t="n">
        <v>13.92</v>
      </c>
      <c r="G7895" s="0" t="n">
        <v>4.35</v>
      </c>
      <c r="H7895" s="0" t="n">
        <v>0.2</v>
      </c>
      <c r="I7895" s="7" t="n">
        <f aca="false">YEAR(B7895)</f>
        <v>2017</v>
      </c>
      <c r="J7895" s="0" t="str">
        <f aca="false">I7895&amp;"-Q"&amp;ROUNDUP(MONTH(B7895)/3,0)</f>
        <v>2017-Q3</v>
      </c>
    </row>
    <row r="7896" customFormat="false" ht="15" hidden="false" customHeight="false" outlineLevel="0" collapsed="false">
      <c r="A7896" s="0" t="s">
        <v>4002</v>
      </c>
      <c r="B7896" s="6" t="n">
        <v>42907</v>
      </c>
      <c r="C7896" s="7" t="s">
        <v>55</v>
      </c>
      <c r="D7896" s="7" t="s">
        <v>4003</v>
      </c>
      <c r="E7896" s="7" t="s">
        <v>35</v>
      </c>
      <c r="F7896" s="0" t="n">
        <v>82.4</v>
      </c>
      <c r="G7896" s="0" t="n">
        <v>40.376</v>
      </c>
      <c r="H7896" s="0" t="n">
        <v>0</v>
      </c>
      <c r="I7896" s="7" t="n">
        <f aca="false">YEAR(B7896)</f>
        <v>2017</v>
      </c>
      <c r="J7896" s="0" t="str">
        <f aca="false">I7896&amp;"-Q"&amp;ROUNDUP(MONTH(B7896)/3,0)</f>
        <v>2017-Q2</v>
      </c>
    </row>
    <row r="7897" customFormat="false" ht="15" hidden="false" customHeight="false" outlineLevel="0" collapsed="false">
      <c r="A7897" s="0" t="s">
        <v>4002</v>
      </c>
      <c r="B7897" s="6" t="n">
        <v>42907</v>
      </c>
      <c r="C7897" s="7" t="s">
        <v>55</v>
      </c>
      <c r="D7897" s="7" t="s">
        <v>4003</v>
      </c>
      <c r="E7897" s="7" t="s">
        <v>35</v>
      </c>
      <c r="F7897" s="0" t="n">
        <v>6.24</v>
      </c>
      <c r="G7897" s="0" t="n">
        <v>3.0576</v>
      </c>
      <c r="H7897" s="0" t="n">
        <v>0</v>
      </c>
      <c r="I7897" s="7" t="n">
        <f aca="false">YEAR(B7897)</f>
        <v>2017</v>
      </c>
      <c r="J7897" s="0" t="str">
        <f aca="false">I7897&amp;"-Q"&amp;ROUNDUP(MONTH(B7897)/3,0)</f>
        <v>2017-Q2</v>
      </c>
    </row>
    <row r="7898" customFormat="false" ht="15" hidden="false" customHeight="false" outlineLevel="0" collapsed="false">
      <c r="A7898" s="0" t="s">
        <v>4002</v>
      </c>
      <c r="B7898" s="6" t="n">
        <v>42907</v>
      </c>
      <c r="C7898" s="7" t="s">
        <v>55</v>
      </c>
      <c r="D7898" s="7" t="s">
        <v>4003</v>
      </c>
      <c r="E7898" s="7" t="s">
        <v>35</v>
      </c>
      <c r="F7898" s="0" t="n">
        <v>447.84</v>
      </c>
      <c r="G7898" s="0" t="n">
        <v>219.4416</v>
      </c>
      <c r="H7898" s="0" t="n">
        <v>0</v>
      </c>
      <c r="I7898" s="7" t="n">
        <f aca="false">YEAR(B7898)</f>
        <v>2017</v>
      </c>
      <c r="J7898" s="0" t="str">
        <f aca="false">I7898&amp;"-Q"&amp;ROUNDUP(MONTH(B7898)/3,0)</f>
        <v>2017-Q2</v>
      </c>
    </row>
    <row r="7899" customFormat="false" ht="15" hidden="false" customHeight="false" outlineLevel="0" collapsed="false">
      <c r="A7899" s="0" t="s">
        <v>4004</v>
      </c>
      <c r="B7899" s="6" t="n">
        <v>42960</v>
      </c>
      <c r="C7899" s="7" t="s">
        <v>29</v>
      </c>
      <c r="D7899" s="7" t="s">
        <v>87</v>
      </c>
      <c r="E7899" s="7" t="s">
        <v>35</v>
      </c>
      <c r="F7899" s="0" t="n">
        <v>272.048</v>
      </c>
      <c r="G7899" s="0" t="n">
        <v>30.6054</v>
      </c>
      <c r="H7899" s="0" t="n">
        <v>0.2</v>
      </c>
      <c r="I7899" s="7" t="n">
        <f aca="false">YEAR(B7899)</f>
        <v>2017</v>
      </c>
      <c r="J7899" s="0" t="str">
        <f aca="false">I7899&amp;"-Q"&amp;ROUNDUP(MONTH(B7899)/3,0)</f>
        <v>2017-Q3</v>
      </c>
    </row>
    <row r="7900" customFormat="false" ht="15" hidden="false" customHeight="false" outlineLevel="0" collapsed="false">
      <c r="A7900" s="0" t="s">
        <v>4004</v>
      </c>
      <c r="B7900" s="6" t="n">
        <v>42960</v>
      </c>
      <c r="C7900" s="7" t="s">
        <v>29</v>
      </c>
      <c r="D7900" s="7" t="s">
        <v>87</v>
      </c>
      <c r="E7900" s="7" t="s">
        <v>35</v>
      </c>
      <c r="F7900" s="0" t="n">
        <v>1614.582</v>
      </c>
      <c r="G7900" s="0" t="n">
        <v>-1237.8462</v>
      </c>
      <c r="H7900" s="0" t="n">
        <v>0.7</v>
      </c>
      <c r="I7900" s="7" t="n">
        <f aca="false">YEAR(B7900)</f>
        <v>2017</v>
      </c>
      <c r="J7900" s="0" t="str">
        <f aca="false">I7900&amp;"-Q"&amp;ROUNDUP(MONTH(B7900)/3,0)</f>
        <v>2017-Q3</v>
      </c>
    </row>
    <row r="7901" customFormat="false" ht="15" hidden="false" customHeight="false" outlineLevel="0" collapsed="false">
      <c r="A7901" s="0" t="s">
        <v>4004</v>
      </c>
      <c r="B7901" s="6" t="n">
        <v>42960</v>
      </c>
      <c r="C7901" s="7" t="s">
        <v>29</v>
      </c>
      <c r="D7901" s="7" t="s">
        <v>87</v>
      </c>
      <c r="E7901" s="7" t="s">
        <v>35</v>
      </c>
      <c r="F7901" s="0" t="n">
        <v>24.32</v>
      </c>
      <c r="G7901" s="0" t="n">
        <v>9.12</v>
      </c>
      <c r="H7901" s="0" t="n">
        <v>0.2</v>
      </c>
      <c r="I7901" s="7" t="n">
        <f aca="false">YEAR(B7901)</f>
        <v>2017</v>
      </c>
      <c r="J7901" s="0" t="str">
        <f aca="false">I7901&amp;"-Q"&amp;ROUNDUP(MONTH(B7901)/3,0)</f>
        <v>2017-Q3</v>
      </c>
    </row>
    <row r="7902" customFormat="false" ht="15" hidden="false" customHeight="false" outlineLevel="0" collapsed="false">
      <c r="A7902" s="0" t="s">
        <v>4004</v>
      </c>
      <c r="B7902" s="6" t="n">
        <v>42960</v>
      </c>
      <c r="C7902" s="7" t="s">
        <v>29</v>
      </c>
      <c r="D7902" s="7" t="s">
        <v>87</v>
      </c>
      <c r="E7902" s="7" t="s">
        <v>39</v>
      </c>
      <c r="F7902" s="0" t="n">
        <v>1.584</v>
      </c>
      <c r="G7902" s="0" t="n">
        <v>0.4752</v>
      </c>
      <c r="H7902" s="0" t="n">
        <v>0.2</v>
      </c>
      <c r="I7902" s="7" t="n">
        <f aca="false">YEAR(B7902)</f>
        <v>2017</v>
      </c>
      <c r="J7902" s="0" t="str">
        <f aca="false">I7902&amp;"-Q"&amp;ROUNDUP(MONTH(B7902)/3,0)</f>
        <v>2017-Q3</v>
      </c>
    </row>
    <row r="7903" customFormat="false" ht="15" hidden="false" customHeight="false" outlineLevel="0" collapsed="false">
      <c r="A7903" s="0" t="s">
        <v>4004</v>
      </c>
      <c r="B7903" s="6" t="n">
        <v>42960</v>
      </c>
      <c r="C7903" s="7" t="s">
        <v>29</v>
      </c>
      <c r="D7903" s="7" t="s">
        <v>87</v>
      </c>
      <c r="E7903" s="7" t="s">
        <v>31</v>
      </c>
      <c r="F7903" s="0" t="n">
        <v>31.984</v>
      </c>
      <c r="G7903" s="0" t="n">
        <v>0</v>
      </c>
      <c r="H7903" s="0" t="n">
        <v>0.2</v>
      </c>
      <c r="I7903" s="7" t="n">
        <f aca="false">YEAR(B7903)</f>
        <v>2017</v>
      </c>
      <c r="J7903" s="0" t="str">
        <f aca="false">I7903&amp;"-Q"&amp;ROUNDUP(MONTH(B7903)/3,0)</f>
        <v>2017-Q3</v>
      </c>
    </row>
    <row r="7904" customFormat="false" ht="15" hidden="false" customHeight="false" outlineLevel="0" collapsed="false">
      <c r="A7904" s="0" t="s">
        <v>4004</v>
      </c>
      <c r="B7904" s="6" t="n">
        <v>42960</v>
      </c>
      <c r="C7904" s="7" t="s">
        <v>29</v>
      </c>
      <c r="D7904" s="7" t="s">
        <v>87</v>
      </c>
      <c r="E7904" s="7" t="s">
        <v>35</v>
      </c>
      <c r="F7904" s="0" t="n">
        <v>14.76</v>
      </c>
      <c r="G7904" s="0" t="n">
        <v>4.797</v>
      </c>
      <c r="H7904" s="0" t="n">
        <v>0.2</v>
      </c>
      <c r="I7904" s="7" t="n">
        <f aca="false">YEAR(B7904)</f>
        <v>2017</v>
      </c>
      <c r="J7904" s="0" t="str">
        <f aca="false">I7904&amp;"-Q"&amp;ROUNDUP(MONTH(B7904)/3,0)</f>
        <v>2017-Q3</v>
      </c>
    </row>
    <row r="7905" customFormat="false" ht="15" hidden="false" customHeight="false" outlineLevel="0" collapsed="false">
      <c r="A7905" s="0" t="s">
        <v>4004</v>
      </c>
      <c r="B7905" s="6" t="n">
        <v>42960</v>
      </c>
      <c r="C7905" s="7" t="s">
        <v>29</v>
      </c>
      <c r="D7905" s="7" t="s">
        <v>87</v>
      </c>
      <c r="E7905" s="7" t="s">
        <v>31</v>
      </c>
      <c r="F7905" s="0" t="n">
        <v>423.648</v>
      </c>
      <c r="G7905" s="0" t="n">
        <v>47.6604</v>
      </c>
      <c r="H7905" s="0" t="n">
        <v>0.2</v>
      </c>
      <c r="I7905" s="7" t="n">
        <f aca="false">YEAR(B7905)</f>
        <v>2017</v>
      </c>
      <c r="J7905" s="0" t="str">
        <f aca="false">I7905&amp;"-Q"&amp;ROUNDUP(MONTH(B7905)/3,0)</f>
        <v>2017-Q3</v>
      </c>
    </row>
    <row r="7906" customFormat="false" ht="15" hidden="false" customHeight="false" outlineLevel="0" collapsed="false">
      <c r="A7906" s="0" t="s">
        <v>4005</v>
      </c>
      <c r="B7906" s="6" t="n">
        <v>42315</v>
      </c>
      <c r="C7906" s="7" t="s">
        <v>45</v>
      </c>
      <c r="D7906" s="7" t="s">
        <v>46</v>
      </c>
      <c r="E7906" s="7" t="s">
        <v>35</v>
      </c>
      <c r="F7906" s="0" t="n">
        <v>76.64</v>
      </c>
      <c r="G7906" s="0" t="n">
        <v>26.824</v>
      </c>
      <c r="H7906" s="0" t="n">
        <v>0.2</v>
      </c>
      <c r="I7906" s="7" t="n">
        <f aca="false">YEAR(B7906)</f>
        <v>2015</v>
      </c>
      <c r="J7906" s="0" t="str">
        <f aca="false">I7906&amp;"-Q"&amp;ROUNDUP(MONTH(B7906)/3,0)</f>
        <v>2015-Q4</v>
      </c>
    </row>
    <row r="7907" customFormat="false" ht="15" hidden="false" customHeight="false" outlineLevel="0" collapsed="false">
      <c r="A7907" s="0" t="s">
        <v>4006</v>
      </c>
      <c r="B7907" s="6" t="n">
        <v>42292</v>
      </c>
      <c r="C7907" s="7" t="s">
        <v>45</v>
      </c>
      <c r="D7907" s="7" t="s">
        <v>46</v>
      </c>
      <c r="E7907" s="7" t="s">
        <v>35</v>
      </c>
      <c r="F7907" s="0" t="n">
        <v>4.464</v>
      </c>
      <c r="G7907" s="0" t="n">
        <v>1.674</v>
      </c>
      <c r="H7907" s="0" t="n">
        <v>0.2</v>
      </c>
      <c r="I7907" s="7" t="n">
        <f aca="false">YEAR(B7907)</f>
        <v>2015</v>
      </c>
      <c r="J7907" s="0" t="str">
        <f aca="false">I7907&amp;"-Q"&amp;ROUNDUP(MONTH(B7907)/3,0)</f>
        <v>2015-Q4</v>
      </c>
    </row>
    <row r="7908" customFormat="false" ht="15" hidden="false" customHeight="false" outlineLevel="0" collapsed="false">
      <c r="A7908" s="0" t="s">
        <v>4006</v>
      </c>
      <c r="B7908" s="6" t="n">
        <v>42292</v>
      </c>
      <c r="C7908" s="7" t="s">
        <v>45</v>
      </c>
      <c r="D7908" s="7" t="s">
        <v>46</v>
      </c>
      <c r="E7908" s="7" t="s">
        <v>35</v>
      </c>
      <c r="F7908" s="0" t="n">
        <v>3.96</v>
      </c>
      <c r="G7908" s="0" t="n">
        <v>-6.93</v>
      </c>
      <c r="H7908" s="0" t="n">
        <v>0.8</v>
      </c>
      <c r="I7908" s="7" t="n">
        <f aca="false">YEAR(B7908)</f>
        <v>2015</v>
      </c>
      <c r="J7908" s="0" t="str">
        <f aca="false">I7908&amp;"-Q"&amp;ROUNDUP(MONTH(B7908)/3,0)</f>
        <v>2015-Q4</v>
      </c>
    </row>
    <row r="7909" customFormat="false" ht="15" hidden="false" customHeight="false" outlineLevel="0" collapsed="false">
      <c r="A7909" s="0" t="s">
        <v>4007</v>
      </c>
      <c r="B7909" s="6" t="n">
        <v>42581</v>
      </c>
      <c r="C7909" s="7" t="s">
        <v>33</v>
      </c>
      <c r="D7909" s="7" t="s">
        <v>34</v>
      </c>
      <c r="E7909" s="7" t="s">
        <v>35</v>
      </c>
      <c r="F7909" s="0" t="n">
        <v>715.64</v>
      </c>
      <c r="G7909" s="0" t="n">
        <v>178.91</v>
      </c>
      <c r="H7909" s="0" t="n">
        <v>0</v>
      </c>
      <c r="I7909" s="7" t="n">
        <f aca="false">YEAR(B7909)</f>
        <v>2016</v>
      </c>
      <c r="J7909" s="0" t="str">
        <f aca="false">I7909&amp;"-Q"&amp;ROUNDUP(MONTH(B7909)/3,0)</f>
        <v>2016-Q3</v>
      </c>
    </row>
    <row r="7910" customFormat="false" ht="15" hidden="false" customHeight="false" outlineLevel="0" collapsed="false">
      <c r="A7910" s="0" t="s">
        <v>4008</v>
      </c>
      <c r="B7910" s="6" t="n">
        <v>42707</v>
      </c>
      <c r="C7910" s="7" t="s">
        <v>33</v>
      </c>
      <c r="D7910" s="7" t="s">
        <v>34</v>
      </c>
      <c r="E7910" s="7" t="s">
        <v>31</v>
      </c>
      <c r="F7910" s="0" t="n">
        <v>268.704</v>
      </c>
      <c r="G7910" s="0" t="n">
        <v>6.7176</v>
      </c>
      <c r="H7910" s="0" t="n">
        <v>0.2</v>
      </c>
      <c r="I7910" s="7" t="n">
        <f aca="false">YEAR(B7910)</f>
        <v>2016</v>
      </c>
      <c r="J7910" s="0" t="str">
        <f aca="false">I7910&amp;"-Q"&amp;ROUNDUP(MONTH(B7910)/3,0)</f>
        <v>2016-Q4</v>
      </c>
    </row>
    <row r="7911" customFormat="false" ht="15" hidden="false" customHeight="false" outlineLevel="0" collapsed="false">
      <c r="A7911" s="0" t="s">
        <v>4008</v>
      </c>
      <c r="B7911" s="6" t="n">
        <v>42707</v>
      </c>
      <c r="C7911" s="7" t="s">
        <v>33</v>
      </c>
      <c r="D7911" s="7" t="s">
        <v>34</v>
      </c>
      <c r="E7911" s="7" t="s">
        <v>35</v>
      </c>
      <c r="F7911" s="0" t="n">
        <v>21.92</v>
      </c>
      <c r="G7911" s="0" t="n">
        <v>5.9184</v>
      </c>
      <c r="H7911" s="0" t="n">
        <v>0</v>
      </c>
      <c r="I7911" s="7" t="n">
        <f aca="false">YEAR(B7911)</f>
        <v>2016</v>
      </c>
      <c r="J7911" s="0" t="str">
        <f aca="false">I7911&amp;"-Q"&amp;ROUNDUP(MONTH(B7911)/3,0)</f>
        <v>2016-Q4</v>
      </c>
    </row>
    <row r="7912" customFormat="false" ht="15" hidden="false" customHeight="false" outlineLevel="0" collapsed="false">
      <c r="A7912" s="0" t="s">
        <v>4008</v>
      </c>
      <c r="B7912" s="6" t="n">
        <v>42707</v>
      </c>
      <c r="C7912" s="7" t="s">
        <v>33</v>
      </c>
      <c r="D7912" s="7" t="s">
        <v>34</v>
      </c>
      <c r="E7912" s="7" t="s">
        <v>35</v>
      </c>
      <c r="F7912" s="0" t="n">
        <v>48.72</v>
      </c>
      <c r="G7912" s="0" t="n">
        <v>7.308</v>
      </c>
      <c r="H7912" s="0" t="n">
        <v>0</v>
      </c>
      <c r="I7912" s="7" t="n">
        <f aca="false">YEAR(B7912)</f>
        <v>2016</v>
      </c>
      <c r="J7912" s="0" t="str">
        <f aca="false">I7912&amp;"-Q"&amp;ROUNDUP(MONTH(B7912)/3,0)</f>
        <v>2016-Q4</v>
      </c>
    </row>
    <row r="7913" customFormat="false" ht="15" hidden="false" customHeight="false" outlineLevel="0" collapsed="false">
      <c r="A7913" s="0" t="s">
        <v>4008</v>
      </c>
      <c r="B7913" s="6" t="n">
        <v>42707</v>
      </c>
      <c r="C7913" s="7" t="s">
        <v>33</v>
      </c>
      <c r="D7913" s="7" t="s">
        <v>34</v>
      </c>
      <c r="E7913" s="7" t="s">
        <v>31</v>
      </c>
      <c r="F7913" s="0" t="n">
        <v>205.666</v>
      </c>
      <c r="G7913" s="0" t="n">
        <v>-12.098</v>
      </c>
      <c r="H7913" s="0" t="n">
        <v>0.15</v>
      </c>
      <c r="I7913" s="7" t="n">
        <f aca="false">YEAR(B7913)</f>
        <v>2016</v>
      </c>
      <c r="J7913" s="0" t="str">
        <f aca="false">I7913&amp;"-Q"&amp;ROUNDUP(MONTH(B7913)/3,0)</f>
        <v>2016-Q4</v>
      </c>
    </row>
    <row r="7914" customFormat="false" ht="15" hidden="false" customHeight="false" outlineLevel="0" collapsed="false">
      <c r="A7914" s="0" t="s">
        <v>4009</v>
      </c>
      <c r="B7914" s="6" t="n">
        <v>42488</v>
      </c>
      <c r="C7914" s="7" t="s">
        <v>45</v>
      </c>
      <c r="D7914" s="7" t="s">
        <v>64</v>
      </c>
      <c r="E7914" s="7" t="s">
        <v>31</v>
      </c>
      <c r="F7914" s="0" t="n">
        <v>30.344</v>
      </c>
      <c r="G7914" s="0" t="n">
        <v>-31.8612</v>
      </c>
      <c r="H7914" s="0" t="n">
        <v>0.6</v>
      </c>
      <c r="I7914" s="7" t="n">
        <f aca="false">YEAR(B7914)</f>
        <v>2016</v>
      </c>
      <c r="J7914" s="0" t="str">
        <f aca="false">I7914&amp;"-Q"&amp;ROUNDUP(MONTH(B7914)/3,0)</f>
        <v>2016-Q2</v>
      </c>
    </row>
    <row r="7915" customFormat="false" ht="15" hidden="false" customHeight="false" outlineLevel="0" collapsed="false">
      <c r="A7915" s="0" t="s">
        <v>4010</v>
      </c>
      <c r="B7915" s="6" t="n">
        <v>42972</v>
      </c>
      <c r="C7915" s="7" t="s">
        <v>55</v>
      </c>
      <c r="D7915" s="7" t="s">
        <v>116</v>
      </c>
      <c r="E7915" s="7" t="s">
        <v>35</v>
      </c>
      <c r="F7915" s="0" t="n">
        <v>25.696</v>
      </c>
      <c r="G7915" s="0" t="n">
        <v>1.9272</v>
      </c>
      <c r="H7915" s="0" t="n">
        <v>0.2</v>
      </c>
      <c r="I7915" s="7" t="n">
        <f aca="false">YEAR(B7915)</f>
        <v>2017</v>
      </c>
      <c r="J7915" s="0" t="str">
        <f aca="false">I7915&amp;"-Q"&amp;ROUNDUP(MONTH(B7915)/3,0)</f>
        <v>2017-Q3</v>
      </c>
    </row>
    <row r="7916" customFormat="false" ht="15" hidden="false" customHeight="false" outlineLevel="0" collapsed="false">
      <c r="A7916" s="0" t="s">
        <v>4011</v>
      </c>
      <c r="B7916" s="6" t="n">
        <v>42903</v>
      </c>
      <c r="C7916" s="7" t="s">
        <v>55</v>
      </c>
      <c r="D7916" s="7" t="s">
        <v>76</v>
      </c>
      <c r="E7916" s="7" t="s">
        <v>39</v>
      </c>
      <c r="F7916" s="0" t="n">
        <v>3404.5</v>
      </c>
      <c r="G7916" s="0" t="n">
        <v>1668.205</v>
      </c>
      <c r="H7916" s="0" t="n">
        <v>0</v>
      </c>
      <c r="I7916" s="7" t="n">
        <f aca="false">YEAR(B7916)</f>
        <v>2017</v>
      </c>
      <c r="J7916" s="0" t="str">
        <f aca="false">I7916&amp;"-Q"&amp;ROUNDUP(MONTH(B7916)/3,0)</f>
        <v>2017-Q2</v>
      </c>
    </row>
    <row r="7917" customFormat="false" ht="15" hidden="false" customHeight="false" outlineLevel="0" collapsed="false">
      <c r="A7917" s="0" t="s">
        <v>4011</v>
      </c>
      <c r="B7917" s="6" t="n">
        <v>42903</v>
      </c>
      <c r="C7917" s="7" t="s">
        <v>55</v>
      </c>
      <c r="D7917" s="7" t="s">
        <v>76</v>
      </c>
      <c r="E7917" s="7" t="s">
        <v>39</v>
      </c>
      <c r="F7917" s="0" t="n">
        <v>101.34</v>
      </c>
      <c r="G7917" s="0" t="n">
        <v>8.1072</v>
      </c>
      <c r="H7917" s="0" t="n">
        <v>0</v>
      </c>
      <c r="I7917" s="7" t="n">
        <f aca="false">YEAR(B7917)</f>
        <v>2017</v>
      </c>
      <c r="J7917" s="0" t="str">
        <f aca="false">I7917&amp;"-Q"&amp;ROUNDUP(MONTH(B7917)/3,0)</f>
        <v>2017-Q2</v>
      </c>
    </row>
    <row r="7918" customFormat="false" ht="15" hidden="false" customHeight="false" outlineLevel="0" collapsed="false">
      <c r="A7918" s="0" t="s">
        <v>4012</v>
      </c>
      <c r="B7918" s="6" t="n">
        <v>42328</v>
      </c>
      <c r="C7918" s="7" t="s">
        <v>55</v>
      </c>
      <c r="D7918" s="7" t="s">
        <v>56</v>
      </c>
      <c r="E7918" s="7" t="s">
        <v>31</v>
      </c>
      <c r="F7918" s="0" t="n">
        <v>344.372</v>
      </c>
      <c r="G7918" s="0" t="n">
        <v>-93.4724</v>
      </c>
      <c r="H7918" s="0" t="n">
        <v>0.3</v>
      </c>
      <c r="I7918" s="7" t="n">
        <f aca="false">YEAR(B7918)</f>
        <v>2015</v>
      </c>
      <c r="J7918" s="0" t="str">
        <f aca="false">I7918&amp;"-Q"&amp;ROUNDUP(MONTH(B7918)/3,0)</f>
        <v>2015-Q4</v>
      </c>
    </row>
    <row r="7919" customFormat="false" ht="15" hidden="false" customHeight="false" outlineLevel="0" collapsed="false">
      <c r="A7919" s="0" t="s">
        <v>4013</v>
      </c>
      <c r="B7919" s="6" t="n">
        <v>42982</v>
      </c>
      <c r="C7919" s="7" t="s">
        <v>45</v>
      </c>
      <c r="D7919" s="7" t="s">
        <v>46</v>
      </c>
      <c r="E7919" s="7" t="s">
        <v>35</v>
      </c>
      <c r="F7919" s="0" t="n">
        <v>30.384</v>
      </c>
      <c r="G7919" s="0" t="n">
        <v>3.798</v>
      </c>
      <c r="H7919" s="0" t="n">
        <v>0.2</v>
      </c>
      <c r="I7919" s="7" t="n">
        <f aca="false">YEAR(B7919)</f>
        <v>2017</v>
      </c>
      <c r="J7919" s="0" t="str">
        <f aca="false">I7919&amp;"-Q"&amp;ROUNDUP(MONTH(B7919)/3,0)</f>
        <v>2017-Q3</v>
      </c>
    </row>
    <row r="7920" customFormat="false" ht="15" hidden="false" customHeight="false" outlineLevel="0" collapsed="false">
      <c r="A7920" s="0" t="s">
        <v>4014</v>
      </c>
      <c r="B7920" s="6" t="n">
        <v>42189</v>
      </c>
      <c r="C7920" s="7" t="s">
        <v>33</v>
      </c>
      <c r="D7920" s="7" t="s">
        <v>34</v>
      </c>
      <c r="E7920" s="7" t="s">
        <v>35</v>
      </c>
      <c r="F7920" s="0" t="n">
        <v>22.848</v>
      </c>
      <c r="G7920" s="0" t="n">
        <v>7.4256</v>
      </c>
      <c r="H7920" s="0" t="n">
        <v>0.2</v>
      </c>
      <c r="I7920" s="7" t="n">
        <f aca="false">YEAR(B7920)</f>
        <v>2015</v>
      </c>
      <c r="J7920" s="0" t="str">
        <f aca="false">I7920&amp;"-Q"&amp;ROUNDUP(MONTH(B7920)/3,0)</f>
        <v>2015-Q3</v>
      </c>
    </row>
    <row r="7921" customFormat="false" ht="15" hidden="false" customHeight="false" outlineLevel="0" collapsed="false">
      <c r="A7921" s="0" t="s">
        <v>4015</v>
      </c>
      <c r="B7921" s="6" t="n">
        <v>42993</v>
      </c>
      <c r="C7921" s="7" t="s">
        <v>55</v>
      </c>
      <c r="D7921" s="7" t="s">
        <v>154</v>
      </c>
      <c r="E7921" s="7" t="s">
        <v>35</v>
      </c>
      <c r="F7921" s="0" t="n">
        <v>38.62</v>
      </c>
      <c r="G7921" s="0" t="n">
        <v>10.8136</v>
      </c>
      <c r="H7921" s="0" t="n">
        <v>0</v>
      </c>
      <c r="I7921" s="7" t="n">
        <f aca="false">YEAR(B7921)</f>
        <v>2017</v>
      </c>
      <c r="J7921" s="0" t="str">
        <f aca="false">I7921&amp;"-Q"&amp;ROUNDUP(MONTH(B7921)/3,0)</f>
        <v>2017-Q3</v>
      </c>
    </row>
    <row r="7922" customFormat="false" ht="15" hidden="false" customHeight="false" outlineLevel="0" collapsed="false">
      <c r="A7922" s="0" t="s">
        <v>4015</v>
      </c>
      <c r="B7922" s="6" t="n">
        <v>42993</v>
      </c>
      <c r="C7922" s="7" t="s">
        <v>55</v>
      </c>
      <c r="D7922" s="7" t="s">
        <v>154</v>
      </c>
      <c r="E7922" s="7" t="s">
        <v>39</v>
      </c>
      <c r="F7922" s="0" t="n">
        <v>59.98</v>
      </c>
      <c r="G7922" s="0" t="n">
        <v>10.7964</v>
      </c>
      <c r="H7922" s="0" t="n">
        <v>0</v>
      </c>
      <c r="I7922" s="7" t="n">
        <f aca="false">YEAR(B7922)</f>
        <v>2017</v>
      </c>
      <c r="J7922" s="0" t="str">
        <f aca="false">I7922&amp;"-Q"&amp;ROUNDUP(MONTH(B7922)/3,0)</f>
        <v>2017-Q3</v>
      </c>
    </row>
    <row r="7923" customFormat="false" ht="15" hidden="false" customHeight="false" outlineLevel="0" collapsed="false">
      <c r="A7923" s="0" t="s">
        <v>4016</v>
      </c>
      <c r="B7923" s="6" t="n">
        <v>42807</v>
      </c>
      <c r="C7923" s="7" t="s">
        <v>55</v>
      </c>
      <c r="D7923" s="7" t="s">
        <v>495</v>
      </c>
      <c r="E7923" s="7" t="s">
        <v>35</v>
      </c>
      <c r="F7923" s="0" t="n">
        <v>174.3</v>
      </c>
      <c r="G7923" s="0" t="n">
        <v>81.921</v>
      </c>
      <c r="H7923" s="0" t="n">
        <v>0</v>
      </c>
      <c r="I7923" s="7" t="n">
        <f aca="false">YEAR(B7923)</f>
        <v>2017</v>
      </c>
      <c r="J7923" s="0" t="str">
        <f aca="false">I7923&amp;"-Q"&amp;ROUNDUP(MONTH(B7923)/3,0)</f>
        <v>2017-Q1</v>
      </c>
    </row>
    <row r="7924" customFormat="false" ht="15" hidden="false" customHeight="false" outlineLevel="0" collapsed="false">
      <c r="A7924" s="0" t="s">
        <v>4017</v>
      </c>
      <c r="B7924" s="6" t="n">
        <v>43002</v>
      </c>
      <c r="C7924" s="7" t="s">
        <v>29</v>
      </c>
      <c r="D7924" s="7" t="s">
        <v>37</v>
      </c>
      <c r="E7924" s="7" t="s">
        <v>39</v>
      </c>
      <c r="F7924" s="0" t="n">
        <v>383.96</v>
      </c>
      <c r="G7924" s="0" t="n">
        <v>38.396</v>
      </c>
      <c r="H7924" s="0" t="n">
        <v>0.2</v>
      </c>
      <c r="I7924" s="7" t="n">
        <f aca="false">YEAR(B7924)</f>
        <v>2017</v>
      </c>
      <c r="J7924" s="0" t="str">
        <f aca="false">I7924&amp;"-Q"&amp;ROUNDUP(MONTH(B7924)/3,0)</f>
        <v>2017-Q3</v>
      </c>
    </row>
    <row r="7925" customFormat="false" ht="15" hidden="false" customHeight="false" outlineLevel="0" collapsed="false">
      <c r="A7925" s="0" t="s">
        <v>4017</v>
      </c>
      <c r="B7925" s="6" t="n">
        <v>43002</v>
      </c>
      <c r="C7925" s="7" t="s">
        <v>29</v>
      </c>
      <c r="D7925" s="7" t="s">
        <v>37</v>
      </c>
      <c r="E7925" s="7" t="s">
        <v>35</v>
      </c>
      <c r="F7925" s="0" t="n">
        <v>15.57</v>
      </c>
      <c r="G7925" s="0" t="n">
        <v>-11.418</v>
      </c>
      <c r="H7925" s="0" t="n">
        <v>0.7</v>
      </c>
      <c r="I7925" s="7" t="n">
        <f aca="false">YEAR(B7925)</f>
        <v>2017</v>
      </c>
      <c r="J7925" s="0" t="str">
        <f aca="false">I7925&amp;"-Q"&amp;ROUNDUP(MONTH(B7925)/3,0)</f>
        <v>2017-Q3</v>
      </c>
    </row>
    <row r="7926" customFormat="false" ht="15" hidden="false" customHeight="false" outlineLevel="0" collapsed="false">
      <c r="A7926" s="0" t="s">
        <v>4018</v>
      </c>
      <c r="B7926" s="6" t="n">
        <v>42595</v>
      </c>
      <c r="C7926" s="7" t="s">
        <v>29</v>
      </c>
      <c r="D7926" s="7" t="s">
        <v>83</v>
      </c>
      <c r="E7926" s="7" t="s">
        <v>35</v>
      </c>
      <c r="F7926" s="0" t="n">
        <v>22.32</v>
      </c>
      <c r="G7926" s="0" t="n">
        <v>10.7136</v>
      </c>
      <c r="H7926" s="0" t="n">
        <v>0</v>
      </c>
      <c r="I7926" s="7" t="n">
        <f aca="false">YEAR(B7926)</f>
        <v>2016</v>
      </c>
      <c r="J7926" s="0" t="str">
        <f aca="false">I7926&amp;"-Q"&amp;ROUNDUP(MONTH(B7926)/3,0)</f>
        <v>2016-Q3</v>
      </c>
    </row>
    <row r="7927" customFormat="false" ht="15" hidden="false" customHeight="false" outlineLevel="0" collapsed="false">
      <c r="A7927" s="0" t="s">
        <v>4018</v>
      </c>
      <c r="B7927" s="6" t="n">
        <v>42595</v>
      </c>
      <c r="C7927" s="7" t="s">
        <v>29</v>
      </c>
      <c r="D7927" s="7" t="s">
        <v>83</v>
      </c>
      <c r="E7927" s="7" t="s">
        <v>35</v>
      </c>
      <c r="F7927" s="0" t="n">
        <v>103.6</v>
      </c>
      <c r="G7927" s="0" t="n">
        <v>51.8</v>
      </c>
      <c r="H7927" s="0" t="n">
        <v>0</v>
      </c>
      <c r="I7927" s="7" t="n">
        <f aca="false">YEAR(B7927)</f>
        <v>2016</v>
      </c>
      <c r="J7927" s="0" t="str">
        <f aca="false">I7927&amp;"-Q"&amp;ROUNDUP(MONTH(B7927)/3,0)</f>
        <v>2016-Q3</v>
      </c>
    </row>
    <row r="7928" customFormat="false" ht="15" hidden="false" customHeight="false" outlineLevel="0" collapsed="false">
      <c r="A7928" s="0" t="s">
        <v>4019</v>
      </c>
      <c r="B7928" s="6" t="n">
        <v>43059</v>
      </c>
      <c r="C7928" s="7" t="s">
        <v>55</v>
      </c>
      <c r="D7928" s="7" t="s">
        <v>76</v>
      </c>
      <c r="E7928" s="7" t="s">
        <v>39</v>
      </c>
      <c r="F7928" s="0" t="n">
        <v>2.97</v>
      </c>
      <c r="G7928" s="0" t="n">
        <v>1.3365</v>
      </c>
      <c r="H7928" s="0" t="n">
        <v>0</v>
      </c>
      <c r="I7928" s="7" t="n">
        <f aca="false">YEAR(B7928)</f>
        <v>2017</v>
      </c>
      <c r="J7928" s="0" t="str">
        <f aca="false">I7928&amp;"-Q"&amp;ROUNDUP(MONTH(B7928)/3,0)</f>
        <v>2017-Q4</v>
      </c>
    </row>
    <row r="7929" customFormat="false" ht="15" hidden="false" customHeight="false" outlineLevel="0" collapsed="false">
      <c r="A7929" s="0" t="s">
        <v>4019</v>
      </c>
      <c r="B7929" s="6" t="n">
        <v>43059</v>
      </c>
      <c r="C7929" s="7" t="s">
        <v>55</v>
      </c>
      <c r="D7929" s="7" t="s">
        <v>76</v>
      </c>
      <c r="E7929" s="7" t="s">
        <v>39</v>
      </c>
      <c r="F7929" s="0" t="n">
        <v>569.99</v>
      </c>
      <c r="G7929" s="0" t="n">
        <v>170.997</v>
      </c>
      <c r="H7929" s="0" t="n">
        <v>0</v>
      </c>
      <c r="I7929" s="7" t="n">
        <f aca="false">YEAR(B7929)</f>
        <v>2017</v>
      </c>
      <c r="J7929" s="0" t="str">
        <f aca="false">I7929&amp;"-Q"&amp;ROUNDUP(MONTH(B7929)/3,0)</f>
        <v>2017-Q4</v>
      </c>
    </row>
    <row r="7930" customFormat="false" ht="15" hidden="false" customHeight="false" outlineLevel="0" collapsed="false">
      <c r="A7930" s="0" t="s">
        <v>4019</v>
      </c>
      <c r="B7930" s="6" t="n">
        <v>43059</v>
      </c>
      <c r="C7930" s="7" t="s">
        <v>55</v>
      </c>
      <c r="D7930" s="7" t="s">
        <v>76</v>
      </c>
      <c r="E7930" s="7" t="s">
        <v>31</v>
      </c>
      <c r="F7930" s="0" t="n">
        <v>50.97</v>
      </c>
      <c r="G7930" s="0" t="n">
        <v>9.1746</v>
      </c>
      <c r="H7930" s="0" t="n">
        <v>0</v>
      </c>
      <c r="I7930" s="7" t="n">
        <f aca="false">YEAR(B7930)</f>
        <v>2017</v>
      </c>
      <c r="J7930" s="0" t="str">
        <f aca="false">I7930&amp;"-Q"&amp;ROUNDUP(MONTH(B7930)/3,0)</f>
        <v>2017-Q4</v>
      </c>
    </row>
    <row r="7931" customFormat="false" ht="15" hidden="false" customHeight="false" outlineLevel="0" collapsed="false">
      <c r="A7931" s="0" t="s">
        <v>4020</v>
      </c>
      <c r="B7931" s="6" t="n">
        <v>42941</v>
      </c>
      <c r="C7931" s="7" t="s">
        <v>45</v>
      </c>
      <c r="D7931" s="7" t="s">
        <v>46</v>
      </c>
      <c r="E7931" s="7" t="s">
        <v>31</v>
      </c>
      <c r="F7931" s="0" t="n">
        <v>298.116</v>
      </c>
      <c r="G7931" s="0" t="n">
        <v>-4.2588</v>
      </c>
      <c r="H7931" s="0" t="n">
        <v>0.3</v>
      </c>
      <c r="I7931" s="7" t="n">
        <f aca="false">YEAR(B7931)</f>
        <v>2017</v>
      </c>
      <c r="J7931" s="0" t="str">
        <f aca="false">I7931&amp;"-Q"&amp;ROUNDUP(MONTH(B7931)/3,0)</f>
        <v>2017-Q3</v>
      </c>
    </row>
    <row r="7932" customFormat="false" ht="15" hidden="false" customHeight="false" outlineLevel="0" collapsed="false">
      <c r="A7932" s="0" t="s">
        <v>4021</v>
      </c>
      <c r="B7932" s="6" t="n">
        <v>42454</v>
      </c>
      <c r="C7932" s="7" t="s">
        <v>55</v>
      </c>
      <c r="D7932" s="7" t="s">
        <v>76</v>
      </c>
      <c r="E7932" s="7" t="s">
        <v>35</v>
      </c>
      <c r="F7932" s="0" t="n">
        <v>59.52</v>
      </c>
      <c r="G7932" s="0" t="n">
        <v>17.856</v>
      </c>
      <c r="H7932" s="0" t="n">
        <v>0</v>
      </c>
      <c r="I7932" s="7" t="n">
        <f aca="false">YEAR(B7932)</f>
        <v>2016</v>
      </c>
      <c r="J7932" s="0" t="str">
        <f aca="false">I7932&amp;"-Q"&amp;ROUNDUP(MONTH(B7932)/3,0)</f>
        <v>2016-Q1</v>
      </c>
    </row>
    <row r="7933" customFormat="false" ht="15" hidden="false" customHeight="false" outlineLevel="0" collapsed="false">
      <c r="A7933" s="0" t="s">
        <v>4022</v>
      </c>
      <c r="B7933" s="6" t="n">
        <v>42566</v>
      </c>
      <c r="C7933" s="7" t="s">
        <v>33</v>
      </c>
      <c r="D7933" s="7" t="s">
        <v>102</v>
      </c>
      <c r="E7933" s="7" t="s">
        <v>31</v>
      </c>
      <c r="F7933" s="0" t="n">
        <v>230.28</v>
      </c>
      <c r="G7933" s="0" t="n">
        <v>23.028</v>
      </c>
      <c r="H7933" s="0" t="n">
        <v>0.2</v>
      </c>
      <c r="I7933" s="7" t="n">
        <f aca="false">YEAR(B7933)</f>
        <v>2016</v>
      </c>
      <c r="J7933" s="0" t="str">
        <f aca="false">I7933&amp;"-Q"&amp;ROUNDUP(MONTH(B7933)/3,0)</f>
        <v>2016-Q3</v>
      </c>
    </row>
    <row r="7934" customFormat="false" ht="15" hidden="false" customHeight="false" outlineLevel="0" collapsed="false">
      <c r="A7934" s="0" t="s">
        <v>4022</v>
      </c>
      <c r="B7934" s="6" t="n">
        <v>42566</v>
      </c>
      <c r="C7934" s="7" t="s">
        <v>33</v>
      </c>
      <c r="D7934" s="7" t="s">
        <v>102</v>
      </c>
      <c r="E7934" s="7" t="s">
        <v>35</v>
      </c>
      <c r="F7934" s="0" t="n">
        <v>105.52</v>
      </c>
      <c r="G7934" s="0" t="n">
        <v>34.294</v>
      </c>
      <c r="H7934" s="0" t="n">
        <v>0.2</v>
      </c>
      <c r="I7934" s="7" t="n">
        <f aca="false">YEAR(B7934)</f>
        <v>2016</v>
      </c>
      <c r="J7934" s="0" t="str">
        <f aca="false">I7934&amp;"-Q"&amp;ROUNDUP(MONTH(B7934)/3,0)</f>
        <v>2016-Q3</v>
      </c>
    </row>
    <row r="7935" customFormat="false" ht="15" hidden="false" customHeight="false" outlineLevel="0" collapsed="false">
      <c r="A7935" s="0" t="s">
        <v>4023</v>
      </c>
      <c r="B7935" s="6" t="n">
        <v>42964</v>
      </c>
      <c r="C7935" s="7" t="s">
        <v>33</v>
      </c>
      <c r="D7935" s="7" t="s">
        <v>34</v>
      </c>
      <c r="E7935" s="7" t="s">
        <v>35</v>
      </c>
      <c r="F7935" s="0" t="n">
        <v>23.36</v>
      </c>
      <c r="G7935" s="0" t="n">
        <v>11.68</v>
      </c>
      <c r="H7935" s="0" t="n">
        <v>0</v>
      </c>
      <c r="I7935" s="7" t="n">
        <f aca="false">YEAR(B7935)</f>
        <v>2017</v>
      </c>
      <c r="J7935" s="0" t="str">
        <f aca="false">I7935&amp;"-Q"&amp;ROUNDUP(MONTH(B7935)/3,0)</f>
        <v>2017-Q3</v>
      </c>
    </row>
    <row r="7936" customFormat="false" ht="15" hidden="false" customHeight="false" outlineLevel="0" collapsed="false">
      <c r="A7936" s="0" t="s">
        <v>4023</v>
      </c>
      <c r="B7936" s="6" t="n">
        <v>42964</v>
      </c>
      <c r="C7936" s="7" t="s">
        <v>33</v>
      </c>
      <c r="D7936" s="7" t="s">
        <v>34</v>
      </c>
      <c r="E7936" s="7" t="s">
        <v>39</v>
      </c>
      <c r="F7936" s="0" t="n">
        <v>71.976</v>
      </c>
      <c r="G7936" s="0" t="n">
        <v>8.997</v>
      </c>
      <c r="H7936" s="0" t="n">
        <v>0.2</v>
      </c>
      <c r="I7936" s="7" t="n">
        <f aca="false">YEAR(B7936)</f>
        <v>2017</v>
      </c>
      <c r="J7936" s="0" t="str">
        <f aca="false">I7936&amp;"-Q"&amp;ROUNDUP(MONTH(B7936)/3,0)</f>
        <v>2017-Q3</v>
      </c>
    </row>
    <row r="7937" customFormat="false" ht="15" hidden="false" customHeight="false" outlineLevel="0" collapsed="false">
      <c r="A7937" s="0" t="s">
        <v>4023</v>
      </c>
      <c r="B7937" s="6" t="n">
        <v>42964</v>
      </c>
      <c r="C7937" s="7" t="s">
        <v>33</v>
      </c>
      <c r="D7937" s="7" t="s">
        <v>34</v>
      </c>
      <c r="E7937" s="7" t="s">
        <v>35</v>
      </c>
      <c r="F7937" s="0" t="n">
        <v>8.56</v>
      </c>
      <c r="G7937" s="0" t="n">
        <v>3.852</v>
      </c>
      <c r="H7937" s="0" t="n">
        <v>0</v>
      </c>
      <c r="I7937" s="7" t="n">
        <f aca="false">YEAR(B7937)</f>
        <v>2017</v>
      </c>
      <c r="J7937" s="0" t="str">
        <f aca="false">I7937&amp;"-Q"&amp;ROUNDUP(MONTH(B7937)/3,0)</f>
        <v>2017-Q3</v>
      </c>
    </row>
    <row r="7938" customFormat="false" ht="15" hidden="false" customHeight="false" outlineLevel="0" collapsed="false">
      <c r="A7938" s="0" t="s">
        <v>4023</v>
      </c>
      <c r="B7938" s="6" t="n">
        <v>42964</v>
      </c>
      <c r="C7938" s="7" t="s">
        <v>33</v>
      </c>
      <c r="D7938" s="7" t="s">
        <v>34</v>
      </c>
      <c r="E7938" s="7" t="s">
        <v>35</v>
      </c>
      <c r="F7938" s="0" t="n">
        <v>13.92</v>
      </c>
      <c r="G7938" s="0" t="n">
        <v>4.872</v>
      </c>
      <c r="H7938" s="0" t="n">
        <v>0.2</v>
      </c>
      <c r="I7938" s="7" t="n">
        <f aca="false">YEAR(B7938)</f>
        <v>2017</v>
      </c>
      <c r="J7938" s="0" t="str">
        <f aca="false">I7938&amp;"-Q"&amp;ROUNDUP(MONTH(B7938)/3,0)</f>
        <v>2017-Q3</v>
      </c>
    </row>
    <row r="7939" customFormat="false" ht="15" hidden="false" customHeight="false" outlineLevel="0" collapsed="false">
      <c r="A7939" s="0" t="s">
        <v>4023</v>
      </c>
      <c r="B7939" s="6" t="n">
        <v>42964</v>
      </c>
      <c r="C7939" s="7" t="s">
        <v>33</v>
      </c>
      <c r="D7939" s="7" t="s">
        <v>34</v>
      </c>
      <c r="E7939" s="7" t="s">
        <v>35</v>
      </c>
      <c r="F7939" s="0" t="n">
        <v>2518.29</v>
      </c>
      <c r="G7939" s="0" t="n">
        <v>654.7554</v>
      </c>
      <c r="H7939" s="0" t="n">
        <v>0</v>
      </c>
      <c r="I7939" s="7" t="n">
        <f aca="false">YEAR(B7939)</f>
        <v>2017</v>
      </c>
      <c r="J7939" s="0" t="str">
        <f aca="false">I7939&amp;"-Q"&amp;ROUNDUP(MONTH(B7939)/3,0)</f>
        <v>2017-Q3</v>
      </c>
    </row>
    <row r="7940" customFormat="false" ht="15" hidden="false" customHeight="false" outlineLevel="0" collapsed="false">
      <c r="A7940" s="0" t="s">
        <v>4023</v>
      </c>
      <c r="B7940" s="6" t="n">
        <v>42964</v>
      </c>
      <c r="C7940" s="7" t="s">
        <v>33</v>
      </c>
      <c r="D7940" s="7" t="s">
        <v>34</v>
      </c>
      <c r="E7940" s="7" t="s">
        <v>35</v>
      </c>
      <c r="F7940" s="0" t="n">
        <v>540.57</v>
      </c>
      <c r="G7940" s="0" t="n">
        <v>140.5482</v>
      </c>
      <c r="H7940" s="0" t="n">
        <v>0</v>
      </c>
      <c r="I7940" s="7" t="n">
        <f aca="false">YEAR(B7940)</f>
        <v>2017</v>
      </c>
      <c r="J7940" s="0" t="str">
        <f aca="false">I7940&amp;"-Q"&amp;ROUNDUP(MONTH(B7940)/3,0)</f>
        <v>2017-Q3</v>
      </c>
    </row>
    <row r="7941" customFormat="false" ht="15" hidden="false" customHeight="false" outlineLevel="0" collapsed="false">
      <c r="A7941" s="0" t="s">
        <v>4023</v>
      </c>
      <c r="B7941" s="6" t="n">
        <v>42964</v>
      </c>
      <c r="C7941" s="7" t="s">
        <v>33</v>
      </c>
      <c r="D7941" s="7" t="s">
        <v>34</v>
      </c>
      <c r="E7941" s="7" t="s">
        <v>35</v>
      </c>
      <c r="F7941" s="0" t="n">
        <v>221.056</v>
      </c>
      <c r="G7941" s="0" t="n">
        <v>77.3696</v>
      </c>
      <c r="H7941" s="0" t="n">
        <v>0.2</v>
      </c>
      <c r="I7941" s="7" t="n">
        <f aca="false">YEAR(B7941)</f>
        <v>2017</v>
      </c>
      <c r="J7941" s="0" t="str">
        <f aca="false">I7941&amp;"-Q"&amp;ROUNDUP(MONTH(B7941)/3,0)</f>
        <v>2017-Q3</v>
      </c>
    </row>
    <row r="7942" customFormat="false" ht="15" hidden="false" customHeight="false" outlineLevel="0" collapsed="false">
      <c r="A7942" s="0" t="s">
        <v>4024</v>
      </c>
      <c r="B7942" s="6" t="n">
        <v>42718</v>
      </c>
      <c r="C7942" s="7" t="s">
        <v>33</v>
      </c>
      <c r="D7942" s="7" t="s">
        <v>34</v>
      </c>
      <c r="E7942" s="7" t="s">
        <v>31</v>
      </c>
      <c r="F7942" s="0" t="n">
        <v>81.424</v>
      </c>
      <c r="G7942" s="0" t="n">
        <v>-9.1602</v>
      </c>
      <c r="H7942" s="0" t="n">
        <v>0.2</v>
      </c>
      <c r="I7942" s="7" t="n">
        <f aca="false">YEAR(B7942)</f>
        <v>2016</v>
      </c>
      <c r="J7942" s="0" t="str">
        <f aca="false">I7942&amp;"-Q"&amp;ROUNDUP(MONTH(B7942)/3,0)</f>
        <v>2016-Q4</v>
      </c>
    </row>
    <row r="7943" customFormat="false" ht="15" hidden="false" customHeight="false" outlineLevel="0" collapsed="false">
      <c r="A7943" s="0" t="s">
        <v>4024</v>
      </c>
      <c r="B7943" s="6" t="n">
        <v>42718</v>
      </c>
      <c r="C7943" s="7" t="s">
        <v>33</v>
      </c>
      <c r="D7943" s="7" t="s">
        <v>34</v>
      </c>
      <c r="E7943" s="7" t="s">
        <v>35</v>
      </c>
      <c r="F7943" s="0" t="n">
        <v>134.8</v>
      </c>
      <c r="G7943" s="0" t="n">
        <v>35.048</v>
      </c>
      <c r="H7943" s="0" t="n">
        <v>0</v>
      </c>
      <c r="I7943" s="7" t="n">
        <f aca="false">YEAR(B7943)</f>
        <v>2016</v>
      </c>
      <c r="J7943" s="0" t="str">
        <f aca="false">I7943&amp;"-Q"&amp;ROUNDUP(MONTH(B7943)/3,0)</f>
        <v>2016-Q4</v>
      </c>
    </row>
    <row r="7944" customFormat="false" ht="15" hidden="false" customHeight="false" outlineLevel="0" collapsed="false">
      <c r="A7944" s="0" t="s">
        <v>4025</v>
      </c>
      <c r="B7944" s="6" t="n">
        <v>43094</v>
      </c>
      <c r="C7944" s="7" t="s">
        <v>45</v>
      </c>
      <c r="D7944" s="7" t="s">
        <v>46</v>
      </c>
      <c r="E7944" s="7" t="s">
        <v>35</v>
      </c>
      <c r="F7944" s="0" t="n">
        <v>39.582</v>
      </c>
      <c r="G7944" s="0" t="n">
        <v>-59.373</v>
      </c>
      <c r="H7944" s="0" t="n">
        <v>0.8</v>
      </c>
      <c r="I7944" s="7" t="n">
        <f aca="false">YEAR(B7944)</f>
        <v>2017</v>
      </c>
      <c r="J7944" s="0" t="str">
        <f aca="false">I7944&amp;"-Q"&amp;ROUNDUP(MONTH(B7944)/3,0)</f>
        <v>2017-Q4</v>
      </c>
    </row>
    <row r="7945" customFormat="false" ht="15" hidden="false" customHeight="false" outlineLevel="0" collapsed="false">
      <c r="A7945" s="0" t="s">
        <v>4025</v>
      </c>
      <c r="B7945" s="6" t="n">
        <v>43094</v>
      </c>
      <c r="C7945" s="7" t="s">
        <v>45</v>
      </c>
      <c r="D7945" s="7" t="s">
        <v>46</v>
      </c>
      <c r="E7945" s="7" t="s">
        <v>35</v>
      </c>
      <c r="F7945" s="0" t="n">
        <v>44.688</v>
      </c>
      <c r="G7945" s="0" t="n">
        <v>5.0274</v>
      </c>
      <c r="H7945" s="0" t="n">
        <v>0.2</v>
      </c>
      <c r="I7945" s="7" t="n">
        <f aca="false">YEAR(B7945)</f>
        <v>2017</v>
      </c>
      <c r="J7945" s="0" t="str">
        <f aca="false">I7945&amp;"-Q"&amp;ROUNDUP(MONTH(B7945)/3,0)</f>
        <v>2017-Q4</v>
      </c>
    </row>
    <row r="7946" customFormat="false" ht="15" hidden="false" customHeight="false" outlineLevel="0" collapsed="false">
      <c r="A7946" s="0" t="s">
        <v>4025</v>
      </c>
      <c r="B7946" s="6" t="n">
        <v>43094</v>
      </c>
      <c r="C7946" s="7" t="s">
        <v>45</v>
      </c>
      <c r="D7946" s="7" t="s">
        <v>46</v>
      </c>
      <c r="E7946" s="7" t="s">
        <v>35</v>
      </c>
      <c r="F7946" s="0" t="n">
        <v>31.744</v>
      </c>
      <c r="G7946" s="0" t="n">
        <v>2.3808</v>
      </c>
      <c r="H7946" s="0" t="n">
        <v>0.2</v>
      </c>
      <c r="I7946" s="7" t="n">
        <f aca="false">YEAR(B7946)</f>
        <v>2017</v>
      </c>
      <c r="J7946" s="0" t="str">
        <f aca="false">I7946&amp;"-Q"&amp;ROUNDUP(MONTH(B7946)/3,0)</f>
        <v>2017-Q4</v>
      </c>
    </row>
    <row r="7947" customFormat="false" ht="15" hidden="false" customHeight="false" outlineLevel="0" collapsed="false">
      <c r="A7947" s="0" t="s">
        <v>4025</v>
      </c>
      <c r="B7947" s="6" t="n">
        <v>43094</v>
      </c>
      <c r="C7947" s="7" t="s">
        <v>45</v>
      </c>
      <c r="D7947" s="7" t="s">
        <v>46</v>
      </c>
      <c r="E7947" s="7" t="s">
        <v>35</v>
      </c>
      <c r="F7947" s="0" t="n">
        <v>40.98</v>
      </c>
      <c r="G7947" s="0" t="n">
        <v>-65.568</v>
      </c>
      <c r="H7947" s="0" t="n">
        <v>0.8</v>
      </c>
      <c r="I7947" s="7" t="n">
        <f aca="false">YEAR(B7947)</f>
        <v>2017</v>
      </c>
      <c r="J7947" s="0" t="str">
        <f aca="false">I7947&amp;"-Q"&amp;ROUNDUP(MONTH(B7947)/3,0)</f>
        <v>2017-Q4</v>
      </c>
    </row>
    <row r="7948" customFormat="false" ht="15" hidden="false" customHeight="false" outlineLevel="0" collapsed="false">
      <c r="A7948" s="0" t="s">
        <v>4025</v>
      </c>
      <c r="B7948" s="6" t="n">
        <v>43094</v>
      </c>
      <c r="C7948" s="7" t="s">
        <v>45</v>
      </c>
      <c r="D7948" s="7" t="s">
        <v>46</v>
      </c>
      <c r="E7948" s="7" t="s">
        <v>35</v>
      </c>
      <c r="F7948" s="0" t="n">
        <v>3.168</v>
      </c>
      <c r="G7948" s="0" t="n">
        <v>-5.0688</v>
      </c>
      <c r="H7948" s="0" t="n">
        <v>0.8</v>
      </c>
      <c r="I7948" s="7" t="n">
        <f aca="false">YEAR(B7948)</f>
        <v>2017</v>
      </c>
      <c r="J7948" s="0" t="str">
        <f aca="false">I7948&amp;"-Q"&amp;ROUNDUP(MONTH(B7948)/3,0)</f>
        <v>2017-Q4</v>
      </c>
    </row>
    <row r="7949" customFormat="false" ht="15" hidden="false" customHeight="false" outlineLevel="0" collapsed="false">
      <c r="A7949" s="0" t="s">
        <v>4026</v>
      </c>
      <c r="B7949" s="6" t="n">
        <v>41699</v>
      </c>
      <c r="C7949" s="7" t="s">
        <v>45</v>
      </c>
      <c r="D7949" s="7" t="s">
        <v>46</v>
      </c>
      <c r="E7949" s="7" t="s">
        <v>35</v>
      </c>
      <c r="F7949" s="0" t="n">
        <v>18.84</v>
      </c>
      <c r="G7949" s="0" t="n">
        <v>-3.5325</v>
      </c>
      <c r="H7949" s="0" t="n">
        <v>0.2</v>
      </c>
      <c r="I7949" s="7" t="n">
        <f aca="false">YEAR(B7949)</f>
        <v>2014</v>
      </c>
      <c r="J7949" s="0" t="str">
        <f aca="false">I7949&amp;"-Q"&amp;ROUNDUP(MONTH(B7949)/3,0)</f>
        <v>2014-Q1</v>
      </c>
    </row>
    <row r="7950" customFormat="false" ht="15" hidden="false" customHeight="false" outlineLevel="0" collapsed="false">
      <c r="A7950" s="0" t="s">
        <v>4026</v>
      </c>
      <c r="B7950" s="6" t="n">
        <v>41699</v>
      </c>
      <c r="C7950" s="7" t="s">
        <v>45</v>
      </c>
      <c r="D7950" s="7" t="s">
        <v>46</v>
      </c>
      <c r="E7950" s="7" t="s">
        <v>31</v>
      </c>
      <c r="F7950" s="0" t="n">
        <v>362.25</v>
      </c>
      <c r="G7950" s="0" t="n">
        <v>0</v>
      </c>
      <c r="H7950" s="0" t="n">
        <v>0.3</v>
      </c>
      <c r="I7950" s="7" t="n">
        <f aca="false">YEAR(B7950)</f>
        <v>2014</v>
      </c>
      <c r="J7950" s="0" t="str">
        <f aca="false">I7950&amp;"-Q"&amp;ROUNDUP(MONTH(B7950)/3,0)</f>
        <v>2014-Q1</v>
      </c>
    </row>
    <row r="7951" customFormat="false" ht="15" hidden="false" customHeight="false" outlineLevel="0" collapsed="false">
      <c r="A7951" s="0" t="s">
        <v>4026</v>
      </c>
      <c r="B7951" s="6" t="n">
        <v>41699</v>
      </c>
      <c r="C7951" s="7" t="s">
        <v>45</v>
      </c>
      <c r="D7951" s="7" t="s">
        <v>46</v>
      </c>
      <c r="E7951" s="7" t="s">
        <v>31</v>
      </c>
      <c r="F7951" s="0" t="n">
        <v>63.552</v>
      </c>
      <c r="G7951" s="0" t="n">
        <v>-34.9536</v>
      </c>
      <c r="H7951" s="0" t="n">
        <v>0.6</v>
      </c>
      <c r="I7951" s="7" t="n">
        <f aca="false">YEAR(B7951)</f>
        <v>2014</v>
      </c>
      <c r="J7951" s="0" t="str">
        <f aca="false">I7951&amp;"-Q"&amp;ROUNDUP(MONTH(B7951)/3,0)</f>
        <v>2014-Q1</v>
      </c>
    </row>
    <row r="7952" customFormat="false" ht="15" hidden="false" customHeight="false" outlineLevel="0" collapsed="false">
      <c r="A7952" s="0" t="s">
        <v>4026</v>
      </c>
      <c r="B7952" s="6" t="n">
        <v>41699</v>
      </c>
      <c r="C7952" s="7" t="s">
        <v>45</v>
      </c>
      <c r="D7952" s="7" t="s">
        <v>46</v>
      </c>
      <c r="E7952" s="7" t="s">
        <v>35</v>
      </c>
      <c r="F7952" s="0" t="n">
        <v>129.552</v>
      </c>
      <c r="G7952" s="0" t="n">
        <v>-22.6716</v>
      </c>
      <c r="H7952" s="0" t="n">
        <v>0.2</v>
      </c>
      <c r="I7952" s="7" t="n">
        <f aca="false">YEAR(B7952)</f>
        <v>2014</v>
      </c>
      <c r="J7952" s="0" t="str">
        <f aca="false">I7952&amp;"-Q"&amp;ROUNDUP(MONTH(B7952)/3,0)</f>
        <v>2014-Q1</v>
      </c>
    </row>
    <row r="7953" customFormat="false" ht="15" hidden="false" customHeight="false" outlineLevel="0" collapsed="false">
      <c r="A7953" s="0" t="s">
        <v>4027</v>
      </c>
      <c r="B7953" s="6" t="n">
        <v>42327</v>
      </c>
      <c r="C7953" s="7" t="s">
        <v>55</v>
      </c>
      <c r="D7953" s="7" t="s">
        <v>76</v>
      </c>
      <c r="E7953" s="7" t="s">
        <v>35</v>
      </c>
      <c r="F7953" s="0" t="n">
        <v>5.984</v>
      </c>
      <c r="G7953" s="0" t="n">
        <v>2.244</v>
      </c>
      <c r="H7953" s="0" t="n">
        <v>0.2</v>
      </c>
      <c r="I7953" s="7" t="n">
        <f aca="false">YEAR(B7953)</f>
        <v>2015</v>
      </c>
      <c r="J7953" s="0" t="str">
        <f aca="false">I7953&amp;"-Q"&amp;ROUNDUP(MONTH(B7953)/3,0)</f>
        <v>2015-Q4</v>
      </c>
    </row>
    <row r="7954" customFormat="false" ht="15" hidden="false" customHeight="false" outlineLevel="0" collapsed="false">
      <c r="A7954" s="0" t="s">
        <v>4027</v>
      </c>
      <c r="B7954" s="6" t="n">
        <v>42327</v>
      </c>
      <c r="C7954" s="7" t="s">
        <v>55</v>
      </c>
      <c r="D7954" s="7" t="s">
        <v>76</v>
      </c>
      <c r="E7954" s="7" t="s">
        <v>39</v>
      </c>
      <c r="F7954" s="0" t="n">
        <v>861.76</v>
      </c>
      <c r="G7954" s="0" t="n">
        <v>249.9104</v>
      </c>
      <c r="H7954" s="0" t="n">
        <v>0</v>
      </c>
      <c r="I7954" s="7" t="n">
        <f aca="false">YEAR(B7954)</f>
        <v>2015</v>
      </c>
      <c r="J7954" s="0" t="str">
        <f aca="false">I7954&amp;"-Q"&amp;ROUNDUP(MONTH(B7954)/3,0)</f>
        <v>2015-Q4</v>
      </c>
    </row>
    <row r="7955" customFormat="false" ht="15" hidden="false" customHeight="false" outlineLevel="0" collapsed="false">
      <c r="A7955" s="0" t="s">
        <v>4028</v>
      </c>
      <c r="B7955" s="6" t="n">
        <v>41730</v>
      </c>
      <c r="C7955" s="7" t="s">
        <v>55</v>
      </c>
      <c r="D7955" s="7" t="s">
        <v>225</v>
      </c>
      <c r="E7955" s="7" t="s">
        <v>35</v>
      </c>
      <c r="F7955" s="0" t="n">
        <v>66.96</v>
      </c>
      <c r="G7955" s="0" t="n">
        <v>2.6784</v>
      </c>
      <c r="H7955" s="0" t="n">
        <v>0</v>
      </c>
      <c r="I7955" s="7" t="n">
        <f aca="false">YEAR(B7955)</f>
        <v>2014</v>
      </c>
      <c r="J7955" s="0" t="str">
        <f aca="false">I7955&amp;"-Q"&amp;ROUNDUP(MONTH(B7955)/3,0)</f>
        <v>2014-Q2</v>
      </c>
    </row>
    <row r="7956" customFormat="false" ht="15" hidden="false" customHeight="false" outlineLevel="0" collapsed="false">
      <c r="A7956" s="0" t="s">
        <v>4028</v>
      </c>
      <c r="B7956" s="6" t="n">
        <v>41730</v>
      </c>
      <c r="C7956" s="7" t="s">
        <v>55</v>
      </c>
      <c r="D7956" s="7" t="s">
        <v>225</v>
      </c>
      <c r="E7956" s="7" t="s">
        <v>35</v>
      </c>
      <c r="F7956" s="0" t="n">
        <v>6.24</v>
      </c>
      <c r="G7956" s="0" t="n">
        <v>3.0576</v>
      </c>
      <c r="H7956" s="0" t="n">
        <v>0</v>
      </c>
      <c r="I7956" s="7" t="n">
        <f aca="false">YEAR(B7956)</f>
        <v>2014</v>
      </c>
      <c r="J7956" s="0" t="str">
        <f aca="false">I7956&amp;"-Q"&amp;ROUNDUP(MONTH(B7956)/3,0)</f>
        <v>2014-Q2</v>
      </c>
    </row>
    <row r="7957" customFormat="false" ht="15" hidden="false" customHeight="false" outlineLevel="0" collapsed="false">
      <c r="A7957" s="0" t="s">
        <v>4029</v>
      </c>
      <c r="B7957" s="6" t="n">
        <v>43013</v>
      </c>
      <c r="C7957" s="7" t="s">
        <v>33</v>
      </c>
      <c r="D7957" s="7" t="s">
        <v>34</v>
      </c>
      <c r="E7957" s="7" t="s">
        <v>31</v>
      </c>
      <c r="F7957" s="0" t="n">
        <v>435.168</v>
      </c>
      <c r="G7957" s="0" t="n">
        <v>-59.8356</v>
      </c>
      <c r="H7957" s="0" t="n">
        <v>0.2</v>
      </c>
      <c r="I7957" s="7" t="n">
        <f aca="false">YEAR(B7957)</f>
        <v>2017</v>
      </c>
      <c r="J7957" s="0" t="str">
        <f aca="false">I7957&amp;"-Q"&amp;ROUNDUP(MONTH(B7957)/3,0)</f>
        <v>2017-Q4</v>
      </c>
    </row>
    <row r="7958" customFormat="false" ht="15" hidden="false" customHeight="false" outlineLevel="0" collapsed="false">
      <c r="A7958" s="0" t="s">
        <v>4029</v>
      </c>
      <c r="B7958" s="6" t="n">
        <v>43013</v>
      </c>
      <c r="C7958" s="7" t="s">
        <v>33</v>
      </c>
      <c r="D7958" s="7" t="s">
        <v>34</v>
      </c>
      <c r="E7958" s="7" t="s">
        <v>35</v>
      </c>
      <c r="F7958" s="0" t="n">
        <v>14.9</v>
      </c>
      <c r="G7958" s="0" t="n">
        <v>6.854</v>
      </c>
      <c r="H7958" s="0" t="n">
        <v>0</v>
      </c>
      <c r="I7958" s="7" t="n">
        <f aca="false">YEAR(B7958)</f>
        <v>2017</v>
      </c>
      <c r="J7958" s="0" t="str">
        <f aca="false">I7958&amp;"-Q"&amp;ROUNDUP(MONTH(B7958)/3,0)</f>
        <v>2017-Q4</v>
      </c>
    </row>
    <row r="7959" customFormat="false" ht="15" hidden="false" customHeight="false" outlineLevel="0" collapsed="false">
      <c r="A7959" s="0" t="s">
        <v>4029</v>
      </c>
      <c r="B7959" s="6" t="n">
        <v>43013</v>
      </c>
      <c r="C7959" s="7" t="s">
        <v>33</v>
      </c>
      <c r="D7959" s="7" t="s">
        <v>34</v>
      </c>
      <c r="E7959" s="7" t="s">
        <v>35</v>
      </c>
      <c r="F7959" s="0" t="n">
        <v>15.8</v>
      </c>
      <c r="G7959" s="0" t="n">
        <v>4.108</v>
      </c>
      <c r="H7959" s="0" t="n">
        <v>0</v>
      </c>
      <c r="I7959" s="7" t="n">
        <f aca="false">YEAR(B7959)</f>
        <v>2017</v>
      </c>
      <c r="J7959" s="0" t="str">
        <f aca="false">I7959&amp;"-Q"&amp;ROUNDUP(MONTH(B7959)/3,0)</f>
        <v>2017-Q4</v>
      </c>
    </row>
    <row r="7960" customFormat="false" ht="15" hidden="false" customHeight="false" outlineLevel="0" collapsed="false">
      <c r="A7960" s="0" t="s">
        <v>4029</v>
      </c>
      <c r="B7960" s="6" t="n">
        <v>43013</v>
      </c>
      <c r="C7960" s="7" t="s">
        <v>33</v>
      </c>
      <c r="D7960" s="7" t="s">
        <v>34</v>
      </c>
      <c r="E7960" s="7" t="s">
        <v>31</v>
      </c>
      <c r="F7960" s="0" t="n">
        <v>72.9</v>
      </c>
      <c r="G7960" s="0" t="n">
        <v>26.973</v>
      </c>
      <c r="H7960" s="0" t="n">
        <v>0</v>
      </c>
      <c r="I7960" s="7" t="n">
        <f aca="false">YEAR(B7960)</f>
        <v>2017</v>
      </c>
      <c r="J7960" s="0" t="str">
        <f aca="false">I7960&amp;"-Q"&amp;ROUNDUP(MONTH(B7960)/3,0)</f>
        <v>2017-Q4</v>
      </c>
    </row>
    <row r="7961" customFormat="false" ht="15" hidden="false" customHeight="false" outlineLevel="0" collapsed="false">
      <c r="A7961" s="0" t="s">
        <v>4029</v>
      </c>
      <c r="B7961" s="6" t="n">
        <v>43013</v>
      </c>
      <c r="C7961" s="7" t="s">
        <v>33</v>
      </c>
      <c r="D7961" s="7" t="s">
        <v>34</v>
      </c>
      <c r="E7961" s="7" t="s">
        <v>31</v>
      </c>
      <c r="F7961" s="0" t="n">
        <v>206.352</v>
      </c>
      <c r="G7961" s="0" t="n">
        <v>5.1588</v>
      </c>
      <c r="H7961" s="0" t="n">
        <v>0.2</v>
      </c>
      <c r="I7961" s="7" t="n">
        <f aca="false">YEAR(B7961)</f>
        <v>2017</v>
      </c>
      <c r="J7961" s="0" t="str">
        <f aca="false">I7961&amp;"-Q"&amp;ROUNDUP(MONTH(B7961)/3,0)</f>
        <v>2017-Q4</v>
      </c>
    </row>
    <row r="7962" customFormat="false" ht="15" hidden="false" customHeight="false" outlineLevel="0" collapsed="false">
      <c r="A7962" s="0" t="s">
        <v>4029</v>
      </c>
      <c r="B7962" s="6" t="n">
        <v>43013</v>
      </c>
      <c r="C7962" s="7" t="s">
        <v>33</v>
      </c>
      <c r="D7962" s="7" t="s">
        <v>34</v>
      </c>
      <c r="E7962" s="7" t="s">
        <v>39</v>
      </c>
      <c r="F7962" s="0" t="n">
        <v>7.992</v>
      </c>
      <c r="G7962" s="0" t="n">
        <v>2.6973</v>
      </c>
      <c r="H7962" s="0" t="n">
        <v>0.2</v>
      </c>
      <c r="I7962" s="7" t="n">
        <f aca="false">YEAR(B7962)</f>
        <v>2017</v>
      </c>
      <c r="J7962" s="0" t="str">
        <f aca="false">I7962&amp;"-Q"&amp;ROUNDUP(MONTH(B7962)/3,0)</f>
        <v>2017-Q4</v>
      </c>
    </row>
    <row r="7963" customFormat="false" ht="15" hidden="false" customHeight="false" outlineLevel="0" collapsed="false">
      <c r="A7963" s="0" t="s">
        <v>4030</v>
      </c>
      <c r="B7963" s="6" t="n">
        <v>43057</v>
      </c>
      <c r="C7963" s="7" t="s">
        <v>29</v>
      </c>
      <c r="D7963" s="7" t="s">
        <v>37</v>
      </c>
      <c r="E7963" s="7" t="s">
        <v>35</v>
      </c>
      <c r="F7963" s="0" t="n">
        <v>81.36</v>
      </c>
      <c r="G7963" s="0" t="n">
        <v>-19.323</v>
      </c>
      <c r="H7963" s="0" t="n">
        <v>0.2</v>
      </c>
      <c r="I7963" s="7" t="n">
        <f aca="false">YEAR(B7963)</f>
        <v>2017</v>
      </c>
      <c r="J7963" s="0" t="str">
        <f aca="false">I7963&amp;"-Q"&amp;ROUNDUP(MONTH(B7963)/3,0)</f>
        <v>2017-Q4</v>
      </c>
    </row>
    <row r="7964" customFormat="false" ht="15" hidden="false" customHeight="false" outlineLevel="0" collapsed="false">
      <c r="A7964" s="0" t="s">
        <v>4030</v>
      </c>
      <c r="B7964" s="6" t="n">
        <v>43057</v>
      </c>
      <c r="C7964" s="7" t="s">
        <v>29</v>
      </c>
      <c r="D7964" s="7" t="s">
        <v>37</v>
      </c>
      <c r="E7964" s="7" t="s">
        <v>35</v>
      </c>
      <c r="F7964" s="0" t="n">
        <v>20.232</v>
      </c>
      <c r="G7964" s="0" t="n">
        <v>-16.1856</v>
      </c>
      <c r="H7964" s="0" t="n">
        <v>0.7</v>
      </c>
      <c r="I7964" s="7" t="n">
        <f aca="false">YEAR(B7964)</f>
        <v>2017</v>
      </c>
      <c r="J7964" s="0" t="str">
        <f aca="false">I7964&amp;"-Q"&amp;ROUNDUP(MONTH(B7964)/3,0)</f>
        <v>2017-Q4</v>
      </c>
    </row>
    <row r="7965" customFormat="false" ht="15" hidden="false" customHeight="false" outlineLevel="0" collapsed="false">
      <c r="A7965" s="0" t="s">
        <v>4030</v>
      </c>
      <c r="B7965" s="6" t="n">
        <v>43057</v>
      </c>
      <c r="C7965" s="7" t="s">
        <v>29</v>
      </c>
      <c r="D7965" s="7" t="s">
        <v>37</v>
      </c>
      <c r="E7965" s="7" t="s">
        <v>35</v>
      </c>
      <c r="F7965" s="0" t="n">
        <v>389.056</v>
      </c>
      <c r="G7965" s="0" t="n">
        <v>48.632</v>
      </c>
      <c r="H7965" s="0" t="n">
        <v>0.2</v>
      </c>
      <c r="I7965" s="7" t="n">
        <f aca="false">YEAR(B7965)</f>
        <v>2017</v>
      </c>
      <c r="J7965" s="0" t="str">
        <f aca="false">I7965&amp;"-Q"&amp;ROUNDUP(MONTH(B7965)/3,0)</f>
        <v>2017-Q4</v>
      </c>
    </row>
    <row r="7966" customFormat="false" ht="15" hidden="false" customHeight="false" outlineLevel="0" collapsed="false">
      <c r="A7966" s="0" t="s">
        <v>4030</v>
      </c>
      <c r="B7966" s="6" t="n">
        <v>43057</v>
      </c>
      <c r="C7966" s="7" t="s">
        <v>29</v>
      </c>
      <c r="D7966" s="7" t="s">
        <v>37</v>
      </c>
      <c r="E7966" s="7" t="s">
        <v>35</v>
      </c>
      <c r="F7966" s="0" t="n">
        <v>20.736</v>
      </c>
      <c r="G7966" s="0" t="n">
        <v>7.2576</v>
      </c>
      <c r="H7966" s="0" t="n">
        <v>0.2</v>
      </c>
      <c r="I7966" s="7" t="n">
        <f aca="false">YEAR(B7966)</f>
        <v>2017</v>
      </c>
      <c r="J7966" s="0" t="str">
        <f aca="false">I7966&amp;"-Q"&amp;ROUNDUP(MONTH(B7966)/3,0)</f>
        <v>2017-Q4</v>
      </c>
    </row>
    <row r="7967" customFormat="false" ht="15" hidden="false" customHeight="false" outlineLevel="0" collapsed="false">
      <c r="A7967" s="0" t="s">
        <v>4030</v>
      </c>
      <c r="B7967" s="6" t="n">
        <v>43057</v>
      </c>
      <c r="C7967" s="7" t="s">
        <v>29</v>
      </c>
      <c r="D7967" s="7" t="s">
        <v>37</v>
      </c>
      <c r="E7967" s="7" t="s">
        <v>35</v>
      </c>
      <c r="F7967" s="0" t="n">
        <v>41.472</v>
      </c>
      <c r="G7967" s="0" t="n">
        <v>14.5152</v>
      </c>
      <c r="H7967" s="0" t="n">
        <v>0.2</v>
      </c>
      <c r="I7967" s="7" t="n">
        <f aca="false">YEAR(B7967)</f>
        <v>2017</v>
      </c>
      <c r="J7967" s="0" t="str">
        <f aca="false">I7967&amp;"-Q"&amp;ROUNDUP(MONTH(B7967)/3,0)</f>
        <v>2017-Q4</v>
      </c>
    </row>
    <row r="7968" customFormat="false" ht="15" hidden="false" customHeight="false" outlineLevel="0" collapsed="false">
      <c r="A7968" s="0" t="s">
        <v>4031</v>
      </c>
      <c r="B7968" s="6" t="n">
        <v>42086</v>
      </c>
      <c r="C7968" s="7" t="s">
        <v>33</v>
      </c>
      <c r="D7968" s="7" t="s">
        <v>34</v>
      </c>
      <c r="E7968" s="7" t="s">
        <v>35</v>
      </c>
      <c r="F7968" s="0" t="n">
        <v>33.36</v>
      </c>
      <c r="G7968" s="0" t="n">
        <v>16.68</v>
      </c>
      <c r="H7968" s="0" t="n">
        <v>0</v>
      </c>
      <c r="I7968" s="7" t="n">
        <f aca="false">YEAR(B7968)</f>
        <v>2015</v>
      </c>
      <c r="J7968" s="0" t="str">
        <f aca="false">I7968&amp;"-Q"&amp;ROUNDUP(MONTH(B7968)/3,0)</f>
        <v>2015-Q1</v>
      </c>
    </row>
    <row r="7969" customFormat="false" ht="15" hidden="false" customHeight="false" outlineLevel="0" collapsed="false">
      <c r="A7969" s="0" t="s">
        <v>4032</v>
      </c>
      <c r="B7969" s="6" t="n">
        <v>42653</v>
      </c>
      <c r="C7969" s="7" t="s">
        <v>33</v>
      </c>
      <c r="D7969" s="7" t="s">
        <v>109</v>
      </c>
      <c r="E7969" s="7" t="s">
        <v>31</v>
      </c>
      <c r="F7969" s="0" t="n">
        <v>90.882</v>
      </c>
      <c r="G7969" s="0" t="n">
        <v>-190.8522</v>
      </c>
      <c r="H7969" s="0" t="n">
        <v>0.7</v>
      </c>
      <c r="I7969" s="7" t="n">
        <f aca="false">YEAR(B7969)</f>
        <v>2016</v>
      </c>
      <c r="J7969" s="0" t="str">
        <f aca="false">I7969&amp;"-Q"&amp;ROUNDUP(MONTH(B7969)/3,0)</f>
        <v>2016-Q4</v>
      </c>
    </row>
    <row r="7970" customFormat="false" ht="15" hidden="false" customHeight="false" outlineLevel="0" collapsed="false">
      <c r="A7970" s="0" t="s">
        <v>4032</v>
      </c>
      <c r="B7970" s="6" t="n">
        <v>42653</v>
      </c>
      <c r="C7970" s="7" t="s">
        <v>33</v>
      </c>
      <c r="D7970" s="7" t="s">
        <v>109</v>
      </c>
      <c r="E7970" s="7" t="s">
        <v>39</v>
      </c>
      <c r="F7970" s="0" t="n">
        <v>15.992</v>
      </c>
      <c r="G7970" s="0" t="n">
        <v>-2.9985</v>
      </c>
      <c r="H7970" s="0" t="n">
        <v>0.2</v>
      </c>
      <c r="I7970" s="7" t="n">
        <f aca="false">YEAR(B7970)</f>
        <v>2016</v>
      </c>
      <c r="J7970" s="0" t="str">
        <f aca="false">I7970&amp;"-Q"&amp;ROUNDUP(MONTH(B7970)/3,0)</f>
        <v>2016-Q4</v>
      </c>
    </row>
    <row r="7971" customFormat="false" ht="15" hidden="false" customHeight="false" outlineLevel="0" collapsed="false">
      <c r="A7971" s="0" t="s">
        <v>4032</v>
      </c>
      <c r="B7971" s="6" t="n">
        <v>42653</v>
      </c>
      <c r="C7971" s="7" t="s">
        <v>33</v>
      </c>
      <c r="D7971" s="7" t="s">
        <v>109</v>
      </c>
      <c r="E7971" s="7" t="s">
        <v>31</v>
      </c>
      <c r="F7971" s="0" t="n">
        <v>120.784</v>
      </c>
      <c r="G7971" s="0" t="n">
        <v>13.5882</v>
      </c>
      <c r="H7971" s="0" t="n">
        <v>0.2</v>
      </c>
      <c r="I7971" s="7" t="n">
        <f aca="false">YEAR(B7971)</f>
        <v>2016</v>
      </c>
      <c r="J7971" s="0" t="str">
        <f aca="false">I7971&amp;"-Q"&amp;ROUNDUP(MONTH(B7971)/3,0)</f>
        <v>2016-Q4</v>
      </c>
    </row>
    <row r="7972" customFormat="false" ht="15" hidden="false" customHeight="false" outlineLevel="0" collapsed="false">
      <c r="A7972" s="0" t="s">
        <v>4033</v>
      </c>
      <c r="B7972" s="6" t="n">
        <v>42232</v>
      </c>
      <c r="C7972" s="7" t="s">
        <v>55</v>
      </c>
      <c r="D7972" s="7" t="s">
        <v>56</v>
      </c>
      <c r="E7972" s="7" t="s">
        <v>39</v>
      </c>
      <c r="F7972" s="0" t="n">
        <v>519.792</v>
      </c>
      <c r="G7972" s="0" t="n">
        <v>-112.6216</v>
      </c>
      <c r="H7972" s="0" t="n">
        <v>0.4</v>
      </c>
      <c r="I7972" s="7" t="n">
        <f aca="false">YEAR(B7972)</f>
        <v>2015</v>
      </c>
      <c r="J7972" s="0" t="str">
        <f aca="false">I7972&amp;"-Q"&amp;ROUNDUP(MONTH(B7972)/3,0)</f>
        <v>2015-Q3</v>
      </c>
    </row>
    <row r="7973" customFormat="false" ht="15" hidden="false" customHeight="false" outlineLevel="0" collapsed="false">
      <c r="A7973" s="0" t="s">
        <v>4033</v>
      </c>
      <c r="B7973" s="6" t="n">
        <v>42232</v>
      </c>
      <c r="C7973" s="7" t="s">
        <v>55</v>
      </c>
      <c r="D7973" s="7" t="s">
        <v>56</v>
      </c>
      <c r="E7973" s="7" t="s">
        <v>39</v>
      </c>
      <c r="F7973" s="0" t="n">
        <v>31.176</v>
      </c>
      <c r="G7973" s="0" t="n">
        <v>-5.4558</v>
      </c>
      <c r="H7973" s="0" t="n">
        <v>0.2</v>
      </c>
      <c r="I7973" s="7" t="n">
        <f aca="false">YEAR(B7973)</f>
        <v>2015</v>
      </c>
      <c r="J7973" s="0" t="str">
        <f aca="false">I7973&amp;"-Q"&amp;ROUNDUP(MONTH(B7973)/3,0)</f>
        <v>2015-Q3</v>
      </c>
    </row>
    <row r="7974" customFormat="false" ht="15" hidden="false" customHeight="false" outlineLevel="0" collapsed="false">
      <c r="A7974" s="0" t="s">
        <v>4033</v>
      </c>
      <c r="B7974" s="6" t="n">
        <v>42232</v>
      </c>
      <c r="C7974" s="7" t="s">
        <v>55</v>
      </c>
      <c r="D7974" s="7" t="s">
        <v>56</v>
      </c>
      <c r="E7974" s="7" t="s">
        <v>35</v>
      </c>
      <c r="F7974" s="0" t="n">
        <v>10.368</v>
      </c>
      <c r="G7974" s="0" t="n">
        <v>3.6288</v>
      </c>
      <c r="H7974" s="0" t="n">
        <v>0.2</v>
      </c>
      <c r="I7974" s="7" t="n">
        <f aca="false">YEAR(B7974)</f>
        <v>2015</v>
      </c>
      <c r="J7974" s="0" t="str">
        <f aca="false">I7974&amp;"-Q"&amp;ROUNDUP(MONTH(B7974)/3,0)</f>
        <v>2015-Q3</v>
      </c>
    </row>
    <row r="7975" customFormat="false" ht="15" hidden="false" customHeight="false" outlineLevel="0" collapsed="false">
      <c r="A7975" s="0" t="s">
        <v>4033</v>
      </c>
      <c r="B7975" s="6" t="n">
        <v>42232</v>
      </c>
      <c r="C7975" s="7" t="s">
        <v>55</v>
      </c>
      <c r="D7975" s="7" t="s">
        <v>56</v>
      </c>
      <c r="E7975" s="7" t="s">
        <v>35</v>
      </c>
      <c r="F7975" s="0" t="n">
        <v>2.724</v>
      </c>
      <c r="G7975" s="0" t="n">
        <v>-1.9068</v>
      </c>
      <c r="H7975" s="0" t="n">
        <v>0.7</v>
      </c>
      <c r="I7975" s="7" t="n">
        <f aca="false">YEAR(B7975)</f>
        <v>2015</v>
      </c>
      <c r="J7975" s="0" t="str">
        <f aca="false">I7975&amp;"-Q"&amp;ROUNDUP(MONTH(B7975)/3,0)</f>
        <v>2015-Q3</v>
      </c>
    </row>
    <row r="7976" customFormat="false" ht="15" hidden="false" customHeight="false" outlineLevel="0" collapsed="false">
      <c r="A7976" s="0" t="s">
        <v>4033</v>
      </c>
      <c r="B7976" s="6" t="n">
        <v>42232</v>
      </c>
      <c r="C7976" s="7" t="s">
        <v>55</v>
      </c>
      <c r="D7976" s="7" t="s">
        <v>56</v>
      </c>
      <c r="E7976" s="7" t="s">
        <v>31</v>
      </c>
      <c r="F7976" s="0" t="n">
        <v>254.352</v>
      </c>
      <c r="G7976" s="0" t="n">
        <v>0</v>
      </c>
      <c r="H7976" s="0" t="n">
        <v>0.2</v>
      </c>
      <c r="I7976" s="7" t="n">
        <f aca="false">YEAR(B7976)</f>
        <v>2015</v>
      </c>
      <c r="J7976" s="0" t="str">
        <f aca="false">I7976&amp;"-Q"&amp;ROUNDUP(MONTH(B7976)/3,0)</f>
        <v>2015-Q3</v>
      </c>
    </row>
    <row r="7977" customFormat="false" ht="15" hidden="false" customHeight="false" outlineLevel="0" collapsed="false">
      <c r="A7977" s="0" t="s">
        <v>4033</v>
      </c>
      <c r="B7977" s="6" t="n">
        <v>42232</v>
      </c>
      <c r="C7977" s="7" t="s">
        <v>55</v>
      </c>
      <c r="D7977" s="7" t="s">
        <v>56</v>
      </c>
      <c r="E7977" s="7" t="s">
        <v>35</v>
      </c>
      <c r="F7977" s="0" t="n">
        <v>3.762</v>
      </c>
      <c r="G7977" s="0" t="n">
        <v>-2.7588</v>
      </c>
      <c r="H7977" s="0" t="n">
        <v>0.7</v>
      </c>
      <c r="I7977" s="7" t="n">
        <f aca="false">YEAR(B7977)</f>
        <v>2015</v>
      </c>
      <c r="J7977" s="0" t="str">
        <f aca="false">I7977&amp;"-Q"&amp;ROUNDUP(MONTH(B7977)/3,0)</f>
        <v>2015-Q3</v>
      </c>
    </row>
    <row r="7978" customFormat="false" ht="15" hidden="false" customHeight="false" outlineLevel="0" collapsed="false">
      <c r="A7978" s="0" t="s">
        <v>4033</v>
      </c>
      <c r="B7978" s="6" t="n">
        <v>42232</v>
      </c>
      <c r="C7978" s="7" t="s">
        <v>55</v>
      </c>
      <c r="D7978" s="7" t="s">
        <v>56</v>
      </c>
      <c r="E7978" s="7" t="s">
        <v>35</v>
      </c>
      <c r="F7978" s="0" t="n">
        <v>10.272</v>
      </c>
      <c r="G7978" s="0" t="n">
        <v>3.21</v>
      </c>
      <c r="H7978" s="0" t="n">
        <v>0.2</v>
      </c>
      <c r="I7978" s="7" t="n">
        <f aca="false">YEAR(B7978)</f>
        <v>2015</v>
      </c>
      <c r="J7978" s="0" t="str">
        <f aca="false">I7978&amp;"-Q"&amp;ROUNDUP(MONTH(B7978)/3,0)</f>
        <v>2015-Q3</v>
      </c>
    </row>
    <row r="7979" customFormat="false" ht="15" hidden="false" customHeight="false" outlineLevel="0" collapsed="false">
      <c r="A7979" s="0" t="s">
        <v>4034</v>
      </c>
      <c r="B7979" s="6" t="n">
        <v>41790</v>
      </c>
      <c r="C7979" s="7" t="s">
        <v>29</v>
      </c>
      <c r="D7979" s="7" t="s">
        <v>265</v>
      </c>
      <c r="E7979" s="7" t="s">
        <v>39</v>
      </c>
      <c r="F7979" s="0" t="n">
        <v>659.97</v>
      </c>
      <c r="G7979" s="0" t="n">
        <v>197.991</v>
      </c>
      <c r="H7979" s="0" t="n">
        <v>0</v>
      </c>
      <c r="I7979" s="7" t="n">
        <f aca="false">YEAR(B7979)</f>
        <v>2014</v>
      </c>
      <c r="J7979" s="0" t="str">
        <f aca="false">I7979&amp;"-Q"&amp;ROUNDUP(MONTH(B7979)/3,0)</f>
        <v>2014-Q2</v>
      </c>
    </row>
    <row r="7980" customFormat="false" ht="15" hidden="false" customHeight="false" outlineLevel="0" collapsed="false">
      <c r="A7980" s="0" t="s">
        <v>4034</v>
      </c>
      <c r="B7980" s="6" t="n">
        <v>41790</v>
      </c>
      <c r="C7980" s="7" t="s">
        <v>29</v>
      </c>
      <c r="D7980" s="7" t="s">
        <v>265</v>
      </c>
      <c r="E7980" s="7" t="s">
        <v>39</v>
      </c>
      <c r="F7980" s="0" t="n">
        <v>113.73</v>
      </c>
      <c r="G7980" s="0" t="n">
        <v>32.9817</v>
      </c>
      <c r="H7980" s="0" t="n">
        <v>0</v>
      </c>
      <c r="I7980" s="7" t="n">
        <f aca="false">YEAR(B7980)</f>
        <v>2014</v>
      </c>
      <c r="J7980" s="0" t="str">
        <f aca="false">I7980&amp;"-Q"&amp;ROUNDUP(MONTH(B7980)/3,0)</f>
        <v>2014-Q2</v>
      </c>
    </row>
    <row r="7981" customFormat="false" ht="15" hidden="false" customHeight="false" outlineLevel="0" collapsed="false">
      <c r="A7981" s="0" t="s">
        <v>4035</v>
      </c>
      <c r="B7981" s="6" t="n">
        <v>42243</v>
      </c>
      <c r="C7981" s="7" t="s">
        <v>33</v>
      </c>
      <c r="D7981" s="7" t="s">
        <v>34</v>
      </c>
      <c r="E7981" s="7" t="s">
        <v>35</v>
      </c>
      <c r="F7981" s="0" t="n">
        <v>5.104</v>
      </c>
      <c r="G7981" s="0" t="n">
        <v>1.6588</v>
      </c>
      <c r="H7981" s="0" t="n">
        <v>0.2</v>
      </c>
      <c r="I7981" s="7" t="n">
        <f aca="false">YEAR(B7981)</f>
        <v>2015</v>
      </c>
      <c r="J7981" s="0" t="str">
        <f aca="false">I7981&amp;"-Q"&amp;ROUNDUP(MONTH(B7981)/3,0)</f>
        <v>2015-Q3</v>
      </c>
    </row>
    <row r="7982" customFormat="false" ht="15" hidden="false" customHeight="false" outlineLevel="0" collapsed="false">
      <c r="A7982" s="0" t="s">
        <v>4036</v>
      </c>
      <c r="B7982" s="6" t="n">
        <v>41642</v>
      </c>
      <c r="C7982" s="7" t="s">
        <v>45</v>
      </c>
      <c r="D7982" s="7" t="s">
        <v>46</v>
      </c>
      <c r="E7982" s="7" t="s">
        <v>35</v>
      </c>
      <c r="F7982" s="0" t="n">
        <v>16.448</v>
      </c>
      <c r="G7982" s="0" t="n">
        <v>5.5512</v>
      </c>
      <c r="H7982" s="0" t="n">
        <v>0.2</v>
      </c>
      <c r="I7982" s="7" t="n">
        <f aca="false">YEAR(B7982)</f>
        <v>2014</v>
      </c>
      <c r="J7982" s="0" t="str">
        <f aca="false">I7982&amp;"-Q"&amp;ROUNDUP(MONTH(B7982)/3,0)</f>
        <v>2014-Q1</v>
      </c>
    </row>
    <row r="7983" customFormat="false" ht="15" hidden="false" customHeight="false" outlineLevel="0" collapsed="false">
      <c r="A7983" s="0" t="s">
        <v>4037</v>
      </c>
      <c r="B7983" s="6" t="n">
        <v>41892</v>
      </c>
      <c r="C7983" s="7" t="s">
        <v>55</v>
      </c>
      <c r="D7983" s="7" t="s">
        <v>161</v>
      </c>
      <c r="E7983" s="7" t="s">
        <v>35</v>
      </c>
      <c r="F7983" s="0" t="n">
        <v>81.92</v>
      </c>
      <c r="G7983" s="0" t="n">
        <v>22.1184</v>
      </c>
      <c r="H7983" s="0" t="n">
        <v>0</v>
      </c>
      <c r="I7983" s="7" t="n">
        <f aca="false">YEAR(B7983)</f>
        <v>2014</v>
      </c>
      <c r="J7983" s="0" t="str">
        <f aca="false">I7983&amp;"-Q"&amp;ROUNDUP(MONTH(B7983)/3,0)</f>
        <v>2014-Q3</v>
      </c>
    </row>
    <row r="7984" customFormat="false" ht="15" hidden="false" customHeight="false" outlineLevel="0" collapsed="false">
      <c r="A7984" s="0" t="s">
        <v>4037</v>
      </c>
      <c r="B7984" s="6" t="n">
        <v>41892</v>
      </c>
      <c r="C7984" s="7" t="s">
        <v>55</v>
      </c>
      <c r="D7984" s="7" t="s">
        <v>161</v>
      </c>
      <c r="E7984" s="7" t="s">
        <v>31</v>
      </c>
      <c r="F7984" s="0" t="n">
        <v>254.9</v>
      </c>
      <c r="G7984" s="0" t="n">
        <v>76.47</v>
      </c>
      <c r="H7984" s="0" t="n">
        <v>0</v>
      </c>
      <c r="I7984" s="7" t="n">
        <f aca="false">YEAR(B7984)</f>
        <v>2014</v>
      </c>
      <c r="J7984" s="0" t="str">
        <f aca="false">I7984&amp;"-Q"&amp;ROUNDUP(MONTH(B7984)/3,0)</f>
        <v>2014-Q3</v>
      </c>
    </row>
    <row r="7985" customFormat="false" ht="15" hidden="false" customHeight="false" outlineLevel="0" collapsed="false">
      <c r="A7985" s="0" t="s">
        <v>4038</v>
      </c>
      <c r="B7985" s="6" t="n">
        <v>42757</v>
      </c>
      <c r="C7985" s="7" t="s">
        <v>45</v>
      </c>
      <c r="D7985" s="7" t="s">
        <v>64</v>
      </c>
      <c r="E7985" s="7" t="s">
        <v>35</v>
      </c>
      <c r="F7985" s="0" t="n">
        <v>15.12</v>
      </c>
      <c r="G7985" s="0" t="n">
        <v>4.914</v>
      </c>
      <c r="H7985" s="0" t="n">
        <v>0.2</v>
      </c>
      <c r="I7985" s="7" t="n">
        <f aca="false">YEAR(B7985)</f>
        <v>2017</v>
      </c>
      <c r="J7985" s="0" t="str">
        <f aca="false">I7985&amp;"-Q"&amp;ROUNDUP(MONTH(B7985)/3,0)</f>
        <v>2017-Q1</v>
      </c>
    </row>
    <row r="7986" customFormat="false" ht="15" hidden="false" customHeight="false" outlineLevel="0" collapsed="false">
      <c r="A7986" s="0" t="s">
        <v>4038</v>
      </c>
      <c r="B7986" s="6" t="n">
        <v>42757</v>
      </c>
      <c r="C7986" s="7" t="s">
        <v>45</v>
      </c>
      <c r="D7986" s="7" t="s">
        <v>64</v>
      </c>
      <c r="E7986" s="7" t="s">
        <v>35</v>
      </c>
      <c r="F7986" s="0" t="n">
        <v>7.872</v>
      </c>
      <c r="G7986" s="0" t="n">
        <v>0.8856</v>
      </c>
      <c r="H7986" s="0" t="n">
        <v>0.2</v>
      </c>
      <c r="I7986" s="7" t="n">
        <f aca="false">YEAR(B7986)</f>
        <v>2017</v>
      </c>
      <c r="J7986" s="0" t="str">
        <f aca="false">I7986&amp;"-Q"&amp;ROUNDUP(MONTH(B7986)/3,0)</f>
        <v>2017-Q1</v>
      </c>
    </row>
    <row r="7987" customFormat="false" ht="15" hidden="false" customHeight="false" outlineLevel="0" collapsed="false">
      <c r="A7987" s="0" t="s">
        <v>4039</v>
      </c>
      <c r="B7987" s="6" t="n">
        <v>42481</v>
      </c>
      <c r="C7987" s="7" t="s">
        <v>33</v>
      </c>
      <c r="D7987" s="7" t="s">
        <v>43</v>
      </c>
      <c r="E7987" s="7" t="s">
        <v>35</v>
      </c>
      <c r="F7987" s="0" t="n">
        <v>8.32</v>
      </c>
      <c r="G7987" s="0" t="n">
        <v>2.808</v>
      </c>
      <c r="H7987" s="0" t="n">
        <v>0.2</v>
      </c>
      <c r="I7987" s="7" t="n">
        <f aca="false">YEAR(B7987)</f>
        <v>2016</v>
      </c>
      <c r="J7987" s="0" t="str">
        <f aca="false">I7987&amp;"-Q"&amp;ROUNDUP(MONTH(B7987)/3,0)</f>
        <v>2016-Q2</v>
      </c>
    </row>
    <row r="7988" customFormat="false" ht="15" hidden="false" customHeight="false" outlineLevel="0" collapsed="false">
      <c r="A7988" s="0" t="s">
        <v>4040</v>
      </c>
      <c r="B7988" s="6" t="n">
        <v>42571</v>
      </c>
      <c r="C7988" s="7" t="s">
        <v>55</v>
      </c>
      <c r="D7988" s="7" t="s">
        <v>76</v>
      </c>
      <c r="E7988" s="7" t="s">
        <v>39</v>
      </c>
      <c r="F7988" s="0" t="n">
        <v>89.95</v>
      </c>
      <c r="G7988" s="0" t="n">
        <v>43.176</v>
      </c>
      <c r="H7988" s="0" t="n">
        <v>0</v>
      </c>
      <c r="I7988" s="7" t="n">
        <f aca="false">YEAR(B7988)</f>
        <v>2016</v>
      </c>
      <c r="J7988" s="0" t="str">
        <f aca="false">I7988&amp;"-Q"&amp;ROUNDUP(MONTH(B7988)/3,0)</f>
        <v>2016-Q3</v>
      </c>
    </row>
    <row r="7989" customFormat="false" ht="15" hidden="false" customHeight="false" outlineLevel="0" collapsed="false">
      <c r="A7989" s="0" t="s">
        <v>4041</v>
      </c>
      <c r="B7989" s="6" t="n">
        <v>42605</v>
      </c>
      <c r="C7989" s="7" t="s">
        <v>45</v>
      </c>
      <c r="D7989" s="7" t="s">
        <v>48</v>
      </c>
      <c r="E7989" s="7" t="s">
        <v>35</v>
      </c>
      <c r="F7989" s="0" t="n">
        <v>25.2</v>
      </c>
      <c r="G7989" s="0" t="n">
        <v>11.592</v>
      </c>
      <c r="H7989" s="0" t="n">
        <v>0</v>
      </c>
      <c r="I7989" s="7" t="n">
        <f aca="false">YEAR(B7989)</f>
        <v>2016</v>
      </c>
      <c r="J7989" s="0" t="str">
        <f aca="false">I7989&amp;"-Q"&amp;ROUNDUP(MONTH(B7989)/3,0)</f>
        <v>2016-Q3</v>
      </c>
    </row>
    <row r="7990" customFormat="false" ht="15" hidden="false" customHeight="false" outlineLevel="0" collapsed="false">
      <c r="A7990" s="0" t="s">
        <v>4041</v>
      </c>
      <c r="B7990" s="6" t="n">
        <v>42605</v>
      </c>
      <c r="C7990" s="7" t="s">
        <v>45</v>
      </c>
      <c r="D7990" s="7" t="s">
        <v>48</v>
      </c>
      <c r="E7990" s="7" t="s">
        <v>35</v>
      </c>
      <c r="F7990" s="0" t="n">
        <v>37.59</v>
      </c>
      <c r="G7990" s="0" t="n">
        <v>17.6673</v>
      </c>
      <c r="H7990" s="0" t="n">
        <v>0</v>
      </c>
      <c r="I7990" s="7" t="n">
        <f aca="false">YEAR(B7990)</f>
        <v>2016</v>
      </c>
      <c r="J7990" s="0" t="str">
        <f aca="false">I7990&amp;"-Q"&amp;ROUNDUP(MONTH(B7990)/3,0)</f>
        <v>2016-Q3</v>
      </c>
    </row>
    <row r="7991" customFormat="false" ht="15" hidden="false" customHeight="false" outlineLevel="0" collapsed="false">
      <c r="A7991" s="0" t="s">
        <v>4041</v>
      </c>
      <c r="B7991" s="6" t="n">
        <v>42605</v>
      </c>
      <c r="C7991" s="7" t="s">
        <v>45</v>
      </c>
      <c r="D7991" s="7" t="s">
        <v>48</v>
      </c>
      <c r="E7991" s="7" t="s">
        <v>35</v>
      </c>
      <c r="F7991" s="0" t="n">
        <v>14.97</v>
      </c>
      <c r="G7991" s="0" t="n">
        <v>4.1916</v>
      </c>
      <c r="H7991" s="0" t="n">
        <v>0</v>
      </c>
      <c r="I7991" s="7" t="n">
        <f aca="false">YEAR(B7991)</f>
        <v>2016</v>
      </c>
      <c r="J7991" s="0" t="str">
        <f aca="false">I7991&amp;"-Q"&amp;ROUNDUP(MONTH(B7991)/3,0)</f>
        <v>2016-Q3</v>
      </c>
    </row>
    <row r="7992" customFormat="false" ht="15" hidden="false" customHeight="false" outlineLevel="0" collapsed="false">
      <c r="A7992" s="0" t="s">
        <v>4041</v>
      </c>
      <c r="B7992" s="6" t="n">
        <v>42605</v>
      </c>
      <c r="C7992" s="7" t="s">
        <v>45</v>
      </c>
      <c r="D7992" s="7" t="s">
        <v>48</v>
      </c>
      <c r="E7992" s="7" t="s">
        <v>39</v>
      </c>
      <c r="F7992" s="0" t="n">
        <v>1.98</v>
      </c>
      <c r="G7992" s="0" t="n">
        <v>0.891</v>
      </c>
      <c r="H7992" s="0" t="n">
        <v>0</v>
      </c>
      <c r="I7992" s="7" t="n">
        <f aca="false">YEAR(B7992)</f>
        <v>2016</v>
      </c>
      <c r="J7992" s="0" t="str">
        <f aca="false">I7992&amp;"-Q"&amp;ROUNDUP(MONTH(B7992)/3,0)</f>
        <v>2016-Q3</v>
      </c>
    </row>
    <row r="7993" customFormat="false" ht="15" hidden="false" customHeight="false" outlineLevel="0" collapsed="false">
      <c r="A7993" s="0" t="s">
        <v>4042</v>
      </c>
      <c r="B7993" s="6" t="n">
        <v>42535</v>
      </c>
      <c r="C7993" s="7" t="s">
        <v>29</v>
      </c>
      <c r="D7993" s="7" t="s">
        <v>37</v>
      </c>
      <c r="E7993" s="7" t="s">
        <v>35</v>
      </c>
      <c r="F7993" s="0" t="n">
        <v>39.936</v>
      </c>
      <c r="G7993" s="0" t="n">
        <v>-26.624</v>
      </c>
      <c r="H7993" s="0" t="n">
        <v>0.7</v>
      </c>
      <c r="I7993" s="7" t="n">
        <f aca="false">YEAR(B7993)</f>
        <v>2016</v>
      </c>
      <c r="J7993" s="0" t="str">
        <f aca="false">I7993&amp;"-Q"&amp;ROUNDUP(MONTH(B7993)/3,0)</f>
        <v>2016-Q2</v>
      </c>
    </row>
    <row r="7994" customFormat="false" ht="15" hidden="false" customHeight="false" outlineLevel="0" collapsed="false">
      <c r="A7994" s="0" t="s">
        <v>4042</v>
      </c>
      <c r="B7994" s="6" t="n">
        <v>42535</v>
      </c>
      <c r="C7994" s="7" t="s">
        <v>29</v>
      </c>
      <c r="D7994" s="7" t="s">
        <v>37</v>
      </c>
      <c r="E7994" s="7" t="s">
        <v>39</v>
      </c>
      <c r="F7994" s="0" t="n">
        <v>18.464</v>
      </c>
      <c r="G7994" s="0" t="n">
        <v>2.308</v>
      </c>
      <c r="H7994" s="0" t="n">
        <v>0.2</v>
      </c>
      <c r="I7994" s="7" t="n">
        <f aca="false">YEAR(B7994)</f>
        <v>2016</v>
      </c>
      <c r="J7994" s="0" t="str">
        <f aca="false">I7994&amp;"-Q"&amp;ROUNDUP(MONTH(B7994)/3,0)</f>
        <v>2016-Q2</v>
      </c>
    </row>
    <row r="7995" customFormat="false" ht="15" hidden="false" customHeight="false" outlineLevel="0" collapsed="false">
      <c r="A7995" s="0" t="s">
        <v>4043</v>
      </c>
      <c r="B7995" s="6" t="n">
        <v>42328</v>
      </c>
      <c r="C7995" s="7" t="s">
        <v>33</v>
      </c>
      <c r="D7995" s="7" t="s">
        <v>109</v>
      </c>
      <c r="E7995" s="7" t="s">
        <v>35</v>
      </c>
      <c r="F7995" s="0" t="n">
        <v>4.896</v>
      </c>
      <c r="G7995" s="0" t="n">
        <v>-3.4272</v>
      </c>
      <c r="H7995" s="0" t="n">
        <v>0.7</v>
      </c>
      <c r="I7995" s="7" t="n">
        <f aca="false">YEAR(B7995)</f>
        <v>2015</v>
      </c>
      <c r="J7995" s="0" t="str">
        <f aca="false">I7995&amp;"-Q"&amp;ROUNDUP(MONTH(B7995)/3,0)</f>
        <v>2015-Q4</v>
      </c>
    </row>
    <row r="7996" customFormat="false" ht="15" hidden="false" customHeight="false" outlineLevel="0" collapsed="false">
      <c r="A7996" s="0" t="s">
        <v>4043</v>
      </c>
      <c r="B7996" s="6" t="n">
        <v>42328</v>
      </c>
      <c r="C7996" s="7" t="s">
        <v>33</v>
      </c>
      <c r="D7996" s="7" t="s">
        <v>109</v>
      </c>
      <c r="E7996" s="7" t="s">
        <v>31</v>
      </c>
      <c r="F7996" s="0" t="n">
        <v>145.764</v>
      </c>
      <c r="G7996" s="0" t="n">
        <v>-247.7988</v>
      </c>
      <c r="H7996" s="0" t="n">
        <v>0.7</v>
      </c>
      <c r="I7996" s="7" t="n">
        <f aca="false">YEAR(B7996)</f>
        <v>2015</v>
      </c>
      <c r="J7996" s="0" t="str">
        <f aca="false">I7996&amp;"-Q"&amp;ROUNDUP(MONTH(B7996)/3,0)</f>
        <v>2015-Q4</v>
      </c>
    </row>
    <row r="7997" customFormat="false" ht="15" hidden="false" customHeight="false" outlineLevel="0" collapsed="false">
      <c r="A7997" s="0" t="s">
        <v>4043</v>
      </c>
      <c r="B7997" s="6" t="n">
        <v>42328</v>
      </c>
      <c r="C7997" s="7" t="s">
        <v>33</v>
      </c>
      <c r="D7997" s="7" t="s">
        <v>109</v>
      </c>
      <c r="E7997" s="7" t="s">
        <v>35</v>
      </c>
      <c r="F7997" s="0" t="n">
        <v>9.612</v>
      </c>
      <c r="G7997" s="0" t="n">
        <v>-7.3692</v>
      </c>
      <c r="H7997" s="0" t="n">
        <v>0.7</v>
      </c>
      <c r="I7997" s="7" t="n">
        <f aca="false">YEAR(B7997)</f>
        <v>2015</v>
      </c>
      <c r="J7997" s="0" t="str">
        <f aca="false">I7997&amp;"-Q"&amp;ROUNDUP(MONTH(B7997)/3,0)</f>
        <v>2015-Q4</v>
      </c>
    </row>
    <row r="7998" customFormat="false" ht="15" hidden="false" customHeight="false" outlineLevel="0" collapsed="false">
      <c r="A7998" s="0" t="s">
        <v>4044</v>
      </c>
      <c r="B7998" s="6" t="n">
        <v>43042</v>
      </c>
      <c r="C7998" s="7" t="s">
        <v>33</v>
      </c>
      <c r="D7998" s="7" t="s">
        <v>34</v>
      </c>
      <c r="E7998" s="7" t="s">
        <v>39</v>
      </c>
      <c r="F7998" s="0" t="n">
        <v>199.75</v>
      </c>
      <c r="G7998" s="0" t="n">
        <v>87.89</v>
      </c>
      <c r="H7998" s="0" t="n">
        <v>0</v>
      </c>
      <c r="I7998" s="7" t="n">
        <f aca="false">YEAR(B7998)</f>
        <v>2017</v>
      </c>
      <c r="J7998" s="0" t="str">
        <f aca="false">I7998&amp;"-Q"&amp;ROUNDUP(MONTH(B7998)/3,0)</f>
        <v>2017-Q4</v>
      </c>
    </row>
    <row r="7999" customFormat="false" ht="15" hidden="false" customHeight="false" outlineLevel="0" collapsed="false">
      <c r="A7999" s="0" t="s">
        <v>4044</v>
      </c>
      <c r="B7999" s="6" t="n">
        <v>43042</v>
      </c>
      <c r="C7999" s="7" t="s">
        <v>33</v>
      </c>
      <c r="D7999" s="7" t="s">
        <v>34</v>
      </c>
      <c r="E7999" s="7" t="s">
        <v>31</v>
      </c>
      <c r="F7999" s="0" t="n">
        <v>1673.184</v>
      </c>
      <c r="G7999" s="0" t="n">
        <v>20.9148</v>
      </c>
      <c r="H7999" s="0" t="n">
        <v>0.2</v>
      </c>
      <c r="I7999" s="7" t="n">
        <f aca="false">YEAR(B7999)</f>
        <v>2017</v>
      </c>
      <c r="J7999" s="0" t="str">
        <f aca="false">I7999&amp;"-Q"&amp;ROUNDUP(MONTH(B7999)/3,0)</f>
        <v>2017-Q4</v>
      </c>
    </row>
    <row r="8000" customFormat="false" ht="15" hidden="false" customHeight="false" outlineLevel="0" collapsed="false">
      <c r="A8000" s="0" t="s">
        <v>4045</v>
      </c>
      <c r="B8000" s="6" t="n">
        <v>41763</v>
      </c>
      <c r="C8000" s="7" t="s">
        <v>33</v>
      </c>
      <c r="D8000" s="7" t="s">
        <v>43</v>
      </c>
      <c r="E8000" s="7" t="s">
        <v>31</v>
      </c>
      <c r="F8000" s="0" t="n">
        <v>12.18</v>
      </c>
      <c r="G8000" s="0" t="n">
        <v>3.8976</v>
      </c>
      <c r="H8000" s="0" t="n">
        <v>0</v>
      </c>
      <c r="I8000" s="7" t="n">
        <f aca="false">YEAR(B8000)</f>
        <v>2014</v>
      </c>
      <c r="J8000" s="0" t="str">
        <f aca="false">I8000&amp;"-Q"&amp;ROUNDUP(MONTH(B8000)/3,0)</f>
        <v>2014-Q2</v>
      </c>
    </row>
    <row r="8001" customFormat="false" ht="15" hidden="false" customHeight="false" outlineLevel="0" collapsed="false">
      <c r="A8001" s="0" t="s">
        <v>4045</v>
      </c>
      <c r="B8001" s="6" t="n">
        <v>41763</v>
      </c>
      <c r="C8001" s="7" t="s">
        <v>33</v>
      </c>
      <c r="D8001" s="7" t="s">
        <v>43</v>
      </c>
      <c r="E8001" s="7" t="s">
        <v>35</v>
      </c>
      <c r="F8001" s="0" t="n">
        <v>57.68</v>
      </c>
      <c r="G8001" s="0" t="n">
        <v>19.0344</v>
      </c>
      <c r="H8001" s="0" t="n">
        <v>0</v>
      </c>
      <c r="I8001" s="7" t="n">
        <f aca="false">YEAR(B8001)</f>
        <v>2014</v>
      </c>
      <c r="J8001" s="0" t="str">
        <f aca="false">I8001&amp;"-Q"&amp;ROUNDUP(MONTH(B8001)/3,0)</f>
        <v>2014-Q2</v>
      </c>
    </row>
    <row r="8002" customFormat="false" ht="15" hidden="false" customHeight="false" outlineLevel="0" collapsed="false">
      <c r="A8002" s="0" t="s">
        <v>4046</v>
      </c>
      <c r="B8002" s="6" t="n">
        <v>42316</v>
      </c>
      <c r="C8002" s="7" t="s">
        <v>45</v>
      </c>
      <c r="D8002" s="7" t="s">
        <v>114</v>
      </c>
      <c r="E8002" s="7" t="s">
        <v>39</v>
      </c>
      <c r="F8002" s="0" t="n">
        <v>263.96</v>
      </c>
      <c r="G8002" s="0" t="n">
        <v>76.5484</v>
      </c>
      <c r="H8002" s="0" t="n">
        <v>0</v>
      </c>
      <c r="I8002" s="7" t="n">
        <f aca="false">YEAR(B8002)</f>
        <v>2015</v>
      </c>
      <c r="J8002" s="0" t="str">
        <f aca="false">I8002&amp;"-Q"&amp;ROUNDUP(MONTH(B8002)/3,0)</f>
        <v>2015-Q4</v>
      </c>
    </row>
    <row r="8003" customFormat="false" ht="15" hidden="false" customHeight="false" outlineLevel="0" collapsed="false">
      <c r="A8003" s="0" t="s">
        <v>4047</v>
      </c>
      <c r="B8003" s="6" t="n">
        <v>42350</v>
      </c>
      <c r="C8003" s="7" t="s">
        <v>33</v>
      </c>
      <c r="D8003" s="7" t="s">
        <v>34</v>
      </c>
      <c r="E8003" s="7" t="s">
        <v>39</v>
      </c>
      <c r="F8003" s="0" t="n">
        <v>299.94</v>
      </c>
      <c r="G8003" s="0" t="n">
        <v>128.9742</v>
      </c>
      <c r="H8003" s="0" t="n">
        <v>0</v>
      </c>
      <c r="I8003" s="7" t="n">
        <f aca="false">YEAR(B8003)</f>
        <v>2015</v>
      </c>
      <c r="J8003" s="0" t="str">
        <f aca="false">I8003&amp;"-Q"&amp;ROUNDUP(MONTH(B8003)/3,0)</f>
        <v>2015-Q4</v>
      </c>
    </row>
    <row r="8004" customFormat="false" ht="15" hidden="false" customHeight="false" outlineLevel="0" collapsed="false">
      <c r="A8004" s="0" t="s">
        <v>4047</v>
      </c>
      <c r="B8004" s="6" t="n">
        <v>42350</v>
      </c>
      <c r="C8004" s="7" t="s">
        <v>33</v>
      </c>
      <c r="D8004" s="7" t="s">
        <v>34</v>
      </c>
      <c r="E8004" s="7" t="s">
        <v>35</v>
      </c>
      <c r="F8004" s="0" t="n">
        <v>25.76</v>
      </c>
      <c r="G8004" s="0" t="n">
        <v>0.5152</v>
      </c>
      <c r="H8004" s="0" t="n">
        <v>0</v>
      </c>
      <c r="I8004" s="7" t="n">
        <f aca="false">YEAR(B8004)</f>
        <v>2015</v>
      </c>
      <c r="J8004" s="0" t="str">
        <f aca="false">I8004&amp;"-Q"&amp;ROUNDUP(MONTH(B8004)/3,0)</f>
        <v>2015-Q4</v>
      </c>
    </row>
    <row r="8005" customFormat="false" ht="15" hidden="false" customHeight="false" outlineLevel="0" collapsed="false">
      <c r="A8005" s="0" t="s">
        <v>4048</v>
      </c>
      <c r="B8005" s="6" t="n">
        <v>41974</v>
      </c>
      <c r="C8005" s="7" t="s">
        <v>55</v>
      </c>
      <c r="D8005" s="7" t="s">
        <v>225</v>
      </c>
      <c r="E8005" s="7" t="s">
        <v>39</v>
      </c>
      <c r="F8005" s="0" t="n">
        <v>271.9</v>
      </c>
      <c r="G8005" s="0" t="n">
        <v>78.851</v>
      </c>
      <c r="H8005" s="0" t="n">
        <v>0</v>
      </c>
      <c r="I8005" s="7" t="n">
        <f aca="false">YEAR(B8005)</f>
        <v>2014</v>
      </c>
      <c r="J8005" s="0" t="str">
        <f aca="false">I8005&amp;"-Q"&amp;ROUNDUP(MONTH(B8005)/3,0)</f>
        <v>2014-Q4</v>
      </c>
    </row>
    <row r="8006" customFormat="false" ht="15" hidden="false" customHeight="false" outlineLevel="0" collapsed="false">
      <c r="A8006" s="0" t="s">
        <v>4048</v>
      </c>
      <c r="B8006" s="6" t="n">
        <v>41974</v>
      </c>
      <c r="C8006" s="7" t="s">
        <v>55</v>
      </c>
      <c r="D8006" s="7" t="s">
        <v>225</v>
      </c>
      <c r="E8006" s="7" t="s">
        <v>31</v>
      </c>
      <c r="F8006" s="0" t="n">
        <v>45.84</v>
      </c>
      <c r="G8006" s="0" t="n">
        <v>15.5856</v>
      </c>
      <c r="H8006" s="0" t="n">
        <v>0</v>
      </c>
      <c r="I8006" s="7" t="n">
        <f aca="false">YEAR(B8006)</f>
        <v>2014</v>
      </c>
      <c r="J8006" s="0" t="str">
        <f aca="false">I8006&amp;"-Q"&amp;ROUNDUP(MONTH(B8006)/3,0)</f>
        <v>2014-Q4</v>
      </c>
    </row>
    <row r="8007" customFormat="false" ht="15" hidden="false" customHeight="false" outlineLevel="0" collapsed="false">
      <c r="A8007" s="0" t="s">
        <v>4048</v>
      </c>
      <c r="B8007" s="6" t="n">
        <v>41974</v>
      </c>
      <c r="C8007" s="7" t="s">
        <v>55</v>
      </c>
      <c r="D8007" s="7" t="s">
        <v>225</v>
      </c>
      <c r="E8007" s="7" t="s">
        <v>31</v>
      </c>
      <c r="F8007" s="0" t="n">
        <v>9.82</v>
      </c>
      <c r="G8007" s="0" t="n">
        <v>3.2406</v>
      </c>
      <c r="H8007" s="0" t="n">
        <v>0</v>
      </c>
      <c r="I8007" s="7" t="n">
        <f aca="false">YEAR(B8007)</f>
        <v>2014</v>
      </c>
      <c r="J8007" s="0" t="str">
        <f aca="false">I8007&amp;"-Q"&amp;ROUNDUP(MONTH(B8007)/3,0)</f>
        <v>2014-Q4</v>
      </c>
    </row>
    <row r="8008" customFormat="false" ht="15" hidden="false" customHeight="false" outlineLevel="0" collapsed="false">
      <c r="A8008" s="0" t="s">
        <v>4049</v>
      </c>
      <c r="B8008" s="6" t="n">
        <v>42650</v>
      </c>
      <c r="C8008" s="7" t="s">
        <v>33</v>
      </c>
      <c r="D8008" s="7" t="s">
        <v>43</v>
      </c>
      <c r="E8008" s="7" t="s">
        <v>35</v>
      </c>
      <c r="F8008" s="0" t="n">
        <v>93.36</v>
      </c>
      <c r="G8008" s="0" t="n">
        <v>0.9336</v>
      </c>
      <c r="H8008" s="0" t="n">
        <v>0</v>
      </c>
      <c r="I8008" s="7" t="n">
        <f aca="false">YEAR(B8008)</f>
        <v>2016</v>
      </c>
      <c r="J8008" s="0" t="str">
        <f aca="false">I8008&amp;"-Q"&amp;ROUNDUP(MONTH(B8008)/3,0)</f>
        <v>2016-Q4</v>
      </c>
    </row>
    <row r="8009" customFormat="false" ht="15" hidden="false" customHeight="false" outlineLevel="0" collapsed="false">
      <c r="A8009" s="0" t="s">
        <v>4050</v>
      </c>
      <c r="B8009" s="6" t="n">
        <v>42325</v>
      </c>
      <c r="C8009" s="7" t="s">
        <v>45</v>
      </c>
      <c r="D8009" s="7" t="s">
        <v>138</v>
      </c>
      <c r="E8009" s="7" t="s">
        <v>35</v>
      </c>
      <c r="F8009" s="0" t="n">
        <v>541.24</v>
      </c>
      <c r="G8009" s="0" t="n">
        <v>5.4124</v>
      </c>
      <c r="H8009" s="0" t="n">
        <v>0</v>
      </c>
      <c r="I8009" s="7" t="n">
        <f aca="false">YEAR(B8009)</f>
        <v>2015</v>
      </c>
      <c r="J8009" s="0" t="str">
        <f aca="false">I8009&amp;"-Q"&amp;ROUNDUP(MONTH(B8009)/3,0)</f>
        <v>2015-Q4</v>
      </c>
    </row>
    <row r="8010" customFormat="false" ht="15" hidden="false" customHeight="false" outlineLevel="0" collapsed="false">
      <c r="A8010" s="0" t="s">
        <v>4050</v>
      </c>
      <c r="B8010" s="6" t="n">
        <v>42325</v>
      </c>
      <c r="C8010" s="7" t="s">
        <v>45</v>
      </c>
      <c r="D8010" s="7" t="s">
        <v>138</v>
      </c>
      <c r="E8010" s="7" t="s">
        <v>35</v>
      </c>
      <c r="F8010" s="0" t="n">
        <v>106.32</v>
      </c>
      <c r="G8010" s="0" t="n">
        <v>49.9704</v>
      </c>
      <c r="H8010" s="0" t="n">
        <v>0</v>
      </c>
      <c r="I8010" s="7" t="n">
        <f aca="false">YEAR(B8010)</f>
        <v>2015</v>
      </c>
      <c r="J8010" s="0" t="str">
        <f aca="false">I8010&amp;"-Q"&amp;ROUNDUP(MONTH(B8010)/3,0)</f>
        <v>2015-Q4</v>
      </c>
    </row>
    <row r="8011" customFormat="false" ht="15" hidden="false" customHeight="false" outlineLevel="0" collapsed="false">
      <c r="A8011" s="0" t="s">
        <v>4050</v>
      </c>
      <c r="B8011" s="6" t="n">
        <v>42325</v>
      </c>
      <c r="C8011" s="7" t="s">
        <v>45</v>
      </c>
      <c r="D8011" s="7" t="s">
        <v>138</v>
      </c>
      <c r="E8011" s="7" t="s">
        <v>31</v>
      </c>
      <c r="F8011" s="0" t="n">
        <v>1323.9</v>
      </c>
      <c r="G8011" s="0" t="n">
        <v>383.931</v>
      </c>
      <c r="H8011" s="0" t="n">
        <v>0</v>
      </c>
      <c r="I8011" s="7" t="n">
        <f aca="false">YEAR(B8011)</f>
        <v>2015</v>
      </c>
      <c r="J8011" s="0" t="str">
        <f aca="false">I8011&amp;"-Q"&amp;ROUNDUP(MONTH(B8011)/3,0)</f>
        <v>2015-Q4</v>
      </c>
    </row>
    <row r="8012" customFormat="false" ht="15" hidden="false" customHeight="false" outlineLevel="0" collapsed="false">
      <c r="A8012" s="0" t="s">
        <v>4051</v>
      </c>
      <c r="B8012" s="6" t="n">
        <v>41715</v>
      </c>
      <c r="C8012" s="7" t="s">
        <v>55</v>
      </c>
      <c r="D8012" s="7" t="s">
        <v>56</v>
      </c>
      <c r="E8012" s="7" t="s">
        <v>35</v>
      </c>
      <c r="F8012" s="0" t="n">
        <v>126.624</v>
      </c>
      <c r="G8012" s="0" t="n">
        <v>41.1528</v>
      </c>
      <c r="H8012" s="0" t="n">
        <v>0.2</v>
      </c>
      <c r="I8012" s="7" t="n">
        <f aca="false">YEAR(B8012)</f>
        <v>2014</v>
      </c>
      <c r="J8012" s="0" t="str">
        <f aca="false">I8012&amp;"-Q"&amp;ROUNDUP(MONTH(B8012)/3,0)</f>
        <v>2014-Q1</v>
      </c>
    </row>
    <row r="8013" customFormat="false" ht="15" hidden="false" customHeight="false" outlineLevel="0" collapsed="false">
      <c r="A8013" s="0" t="s">
        <v>4052</v>
      </c>
      <c r="B8013" s="6" t="n">
        <v>42175</v>
      </c>
      <c r="C8013" s="7" t="s">
        <v>33</v>
      </c>
      <c r="D8013" s="7" t="s">
        <v>109</v>
      </c>
      <c r="E8013" s="7" t="s">
        <v>39</v>
      </c>
      <c r="F8013" s="0" t="n">
        <v>125.944</v>
      </c>
      <c r="G8013" s="0" t="n">
        <v>15.743</v>
      </c>
      <c r="H8013" s="0" t="n">
        <v>0.2</v>
      </c>
      <c r="I8013" s="7" t="n">
        <f aca="false">YEAR(B8013)</f>
        <v>2015</v>
      </c>
      <c r="J8013" s="0" t="str">
        <f aca="false">I8013&amp;"-Q"&amp;ROUNDUP(MONTH(B8013)/3,0)</f>
        <v>2015-Q2</v>
      </c>
    </row>
    <row r="8014" customFormat="false" ht="15" hidden="false" customHeight="false" outlineLevel="0" collapsed="false">
      <c r="A8014" s="0" t="s">
        <v>4053</v>
      </c>
      <c r="B8014" s="6" t="n">
        <v>42880</v>
      </c>
      <c r="C8014" s="7" t="s">
        <v>55</v>
      </c>
      <c r="D8014" s="7" t="s">
        <v>76</v>
      </c>
      <c r="E8014" s="7" t="s">
        <v>35</v>
      </c>
      <c r="F8014" s="0" t="n">
        <v>663.92</v>
      </c>
      <c r="G8014" s="0" t="n">
        <v>207.475</v>
      </c>
      <c r="H8014" s="0" t="n">
        <v>0.2</v>
      </c>
      <c r="I8014" s="7" t="n">
        <f aca="false">YEAR(B8014)</f>
        <v>2017</v>
      </c>
      <c r="J8014" s="0" t="str">
        <f aca="false">I8014&amp;"-Q"&amp;ROUNDUP(MONTH(B8014)/3,0)</f>
        <v>2017-Q2</v>
      </c>
    </row>
    <row r="8015" customFormat="false" ht="15" hidden="false" customHeight="false" outlineLevel="0" collapsed="false">
      <c r="A8015" s="0" t="s">
        <v>4053</v>
      </c>
      <c r="B8015" s="6" t="n">
        <v>42880</v>
      </c>
      <c r="C8015" s="7" t="s">
        <v>55</v>
      </c>
      <c r="D8015" s="7" t="s">
        <v>76</v>
      </c>
      <c r="E8015" s="7" t="s">
        <v>39</v>
      </c>
      <c r="F8015" s="0" t="n">
        <v>120</v>
      </c>
      <c r="G8015" s="0" t="n">
        <v>13.2</v>
      </c>
      <c r="H8015" s="0" t="n">
        <v>0</v>
      </c>
      <c r="I8015" s="7" t="n">
        <f aca="false">YEAR(B8015)</f>
        <v>2017</v>
      </c>
      <c r="J8015" s="0" t="str">
        <f aca="false">I8015&amp;"-Q"&amp;ROUNDUP(MONTH(B8015)/3,0)</f>
        <v>2017-Q2</v>
      </c>
    </row>
    <row r="8016" customFormat="false" ht="15" hidden="false" customHeight="false" outlineLevel="0" collapsed="false">
      <c r="A8016" s="0" t="s">
        <v>4053</v>
      </c>
      <c r="B8016" s="6" t="n">
        <v>42880</v>
      </c>
      <c r="C8016" s="7" t="s">
        <v>55</v>
      </c>
      <c r="D8016" s="7" t="s">
        <v>76</v>
      </c>
      <c r="E8016" s="7" t="s">
        <v>35</v>
      </c>
      <c r="F8016" s="0" t="n">
        <v>3.29</v>
      </c>
      <c r="G8016" s="0" t="n">
        <v>1.4805</v>
      </c>
      <c r="H8016" s="0" t="n">
        <v>0</v>
      </c>
      <c r="I8016" s="7" t="n">
        <f aca="false">YEAR(B8016)</f>
        <v>2017</v>
      </c>
      <c r="J8016" s="0" t="str">
        <f aca="false">I8016&amp;"-Q"&amp;ROUNDUP(MONTH(B8016)/3,0)</f>
        <v>2017-Q2</v>
      </c>
    </row>
    <row r="8017" customFormat="false" ht="15" hidden="false" customHeight="false" outlineLevel="0" collapsed="false">
      <c r="A8017" s="0" t="s">
        <v>4053</v>
      </c>
      <c r="B8017" s="6" t="n">
        <v>42880</v>
      </c>
      <c r="C8017" s="7" t="s">
        <v>55</v>
      </c>
      <c r="D8017" s="7" t="s">
        <v>76</v>
      </c>
      <c r="E8017" s="7" t="s">
        <v>31</v>
      </c>
      <c r="F8017" s="0" t="n">
        <v>18.84</v>
      </c>
      <c r="G8017" s="0" t="n">
        <v>6.0288</v>
      </c>
      <c r="H8017" s="0" t="n">
        <v>0</v>
      </c>
      <c r="I8017" s="7" t="n">
        <f aca="false">YEAR(B8017)</f>
        <v>2017</v>
      </c>
      <c r="J8017" s="0" t="str">
        <f aca="false">I8017&amp;"-Q"&amp;ROUNDUP(MONTH(B8017)/3,0)</f>
        <v>2017-Q2</v>
      </c>
    </row>
    <row r="8018" customFormat="false" ht="15" hidden="false" customHeight="false" outlineLevel="0" collapsed="false">
      <c r="A8018" s="0" t="s">
        <v>4054</v>
      </c>
      <c r="B8018" s="6" t="n">
        <v>41891</v>
      </c>
      <c r="C8018" s="7" t="s">
        <v>55</v>
      </c>
      <c r="D8018" s="7" t="s">
        <v>116</v>
      </c>
      <c r="E8018" s="7" t="s">
        <v>31</v>
      </c>
      <c r="F8018" s="0" t="n">
        <v>60.672</v>
      </c>
      <c r="G8018" s="0" t="n">
        <v>12.8928</v>
      </c>
      <c r="H8018" s="0" t="n">
        <v>0.2</v>
      </c>
      <c r="I8018" s="7" t="n">
        <f aca="false">YEAR(B8018)</f>
        <v>2014</v>
      </c>
      <c r="J8018" s="0" t="str">
        <f aca="false">I8018&amp;"-Q"&amp;ROUNDUP(MONTH(B8018)/3,0)</f>
        <v>2014-Q3</v>
      </c>
    </row>
    <row r="8019" customFormat="false" ht="15" hidden="false" customHeight="false" outlineLevel="0" collapsed="false">
      <c r="A8019" s="0" t="s">
        <v>4054</v>
      </c>
      <c r="B8019" s="6" t="n">
        <v>41891</v>
      </c>
      <c r="C8019" s="7" t="s">
        <v>55</v>
      </c>
      <c r="D8019" s="7" t="s">
        <v>116</v>
      </c>
      <c r="E8019" s="7" t="s">
        <v>35</v>
      </c>
      <c r="F8019" s="0" t="n">
        <v>30.816</v>
      </c>
      <c r="G8019" s="0" t="n">
        <v>2.6964</v>
      </c>
      <c r="H8019" s="0" t="n">
        <v>0.2</v>
      </c>
      <c r="I8019" s="7" t="n">
        <f aca="false">YEAR(B8019)</f>
        <v>2014</v>
      </c>
      <c r="J8019" s="0" t="str">
        <f aca="false">I8019&amp;"-Q"&amp;ROUNDUP(MONTH(B8019)/3,0)</f>
        <v>2014-Q3</v>
      </c>
    </row>
    <row r="8020" customFormat="false" ht="15" hidden="false" customHeight="false" outlineLevel="0" collapsed="false">
      <c r="A8020" s="0" t="s">
        <v>4055</v>
      </c>
      <c r="B8020" s="6" t="n">
        <v>43025</v>
      </c>
      <c r="C8020" s="7" t="s">
        <v>33</v>
      </c>
      <c r="D8020" s="7" t="s">
        <v>34</v>
      </c>
      <c r="E8020" s="7" t="s">
        <v>39</v>
      </c>
      <c r="F8020" s="0" t="n">
        <v>52.792</v>
      </c>
      <c r="G8020" s="0" t="n">
        <v>4.6193</v>
      </c>
      <c r="H8020" s="0" t="n">
        <v>0.2</v>
      </c>
      <c r="I8020" s="7" t="n">
        <f aca="false">YEAR(B8020)</f>
        <v>2017</v>
      </c>
      <c r="J8020" s="0" t="str">
        <f aca="false">I8020&amp;"-Q"&amp;ROUNDUP(MONTH(B8020)/3,0)</f>
        <v>2017-Q4</v>
      </c>
    </row>
    <row r="8021" customFormat="false" ht="15" hidden="false" customHeight="false" outlineLevel="0" collapsed="false">
      <c r="A8021" s="0" t="s">
        <v>4056</v>
      </c>
      <c r="B8021" s="6" t="n">
        <v>43041</v>
      </c>
      <c r="C8021" s="7" t="s">
        <v>45</v>
      </c>
      <c r="D8021" s="7" t="s">
        <v>129</v>
      </c>
      <c r="E8021" s="7" t="s">
        <v>35</v>
      </c>
      <c r="F8021" s="0" t="n">
        <v>83.9</v>
      </c>
      <c r="G8021" s="0" t="n">
        <v>20.975</v>
      </c>
      <c r="H8021" s="0" t="n">
        <v>0</v>
      </c>
      <c r="I8021" s="7" t="n">
        <f aca="false">YEAR(B8021)</f>
        <v>2017</v>
      </c>
      <c r="J8021" s="0" t="str">
        <f aca="false">I8021&amp;"-Q"&amp;ROUNDUP(MONTH(B8021)/3,0)</f>
        <v>2017-Q4</v>
      </c>
    </row>
    <row r="8022" customFormat="false" ht="15" hidden="false" customHeight="false" outlineLevel="0" collapsed="false">
      <c r="A8022" s="0" t="s">
        <v>4056</v>
      </c>
      <c r="B8022" s="6" t="n">
        <v>43041</v>
      </c>
      <c r="C8022" s="7" t="s">
        <v>45</v>
      </c>
      <c r="D8022" s="7" t="s">
        <v>129</v>
      </c>
      <c r="E8022" s="7" t="s">
        <v>35</v>
      </c>
      <c r="F8022" s="0" t="n">
        <v>11.76</v>
      </c>
      <c r="G8022" s="0" t="n">
        <v>5.7624</v>
      </c>
      <c r="H8022" s="0" t="n">
        <v>0</v>
      </c>
      <c r="I8022" s="7" t="n">
        <f aca="false">YEAR(B8022)</f>
        <v>2017</v>
      </c>
      <c r="J8022" s="0" t="str">
        <f aca="false">I8022&amp;"-Q"&amp;ROUNDUP(MONTH(B8022)/3,0)</f>
        <v>2017-Q4</v>
      </c>
    </row>
    <row r="8023" customFormat="false" ht="15" hidden="false" customHeight="false" outlineLevel="0" collapsed="false">
      <c r="A8023" s="0" t="s">
        <v>4057</v>
      </c>
      <c r="B8023" s="6" t="n">
        <v>41841</v>
      </c>
      <c r="C8023" s="7" t="s">
        <v>45</v>
      </c>
      <c r="D8023" s="7" t="s">
        <v>46</v>
      </c>
      <c r="E8023" s="7" t="s">
        <v>35</v>
      </c>
      <c r="F8023" s="0" t="n">
        <v>4.992</v>
      </c>
      <c r="G8023" s="0" t="n">
        <v>-12.9792</v>
      </c>
      <c r="H8023" s="0" t="n">
        <v>0.8</v>
      </c>
      <c r="I8023" s="7" t="n">
        <f aca="false">YEAR(B8023)</f>
        <v>2014</v>
      </c>
      <c r="J8023" s="0" t="str">
        <f aca="false">I8023&amp;"-Q"&amp;ROUNDUP(MONTH(B8023)/3,0)</f>
        <v>2014-Q3</v>
      </c>
    </row>
    <row r="8024" customFormat="false" ht="15" hidden="false" customHeight="false" outlineLevel="0" collapsed="false">
      <c r="A8024" s="0" t="s">
        <v>4057</v>
      </c>
      <c r="B8024" s="6" t="n">
        <v>41841</v>
      </c>
      <c r="C8024" s="7" t="s">
        <v>45</v>
      </c>
      <c r="D8024" s="7" t="s">
        <v>46</v>
      </c>
      <c r="E8024" s="7" t="s">
        <v>35</v>
      </c>
      <c r="F8024" s="0" t="n">
        <v>87.92</v>
      </c>
      <c r="G8024" s="0" t="n">
        <v>29.673</v>
      </c>
      <c r="H8024" s="0" t="n">
        <v>0.2</v>
      </c>
      <c r="I8024" s="7" t="n">
        <f aca="false">YEAR(B8024)</f>
        <v>2014</v>
      </c>
      <c r="J8024" s="0" t="str">
        <f aca="false">I8024&amp;"-Q"&amp;ROUNDUP(MONTH(B8024)/3,0)</f>
        <v>2014-Q3</v>
      </c>
    </row>
    <row r="8025" customFormat="false" ht="15" hidden="false" customHeight="false" outlineLevel="0" collapsed="false">
      <c r="A8025" s="0" t="s">
        <v>4057</v>
      </c>
      <c r="B8025" s="6" t="n">
        <v>41841</v>
      </c>
      <c r="C8025" s="7" t="s">
        <v>45</v>
      </c>
      <c r="D8025" s="7" t="s">
        <v>46</v>
      </c>
      <c r="E8025" s="7" t="s">
        <v>31</v>
      </c>
      <c r="F8025" s="0" t="n">
        <v>657.93</v>
      </c>
      <c r="G8025" s="0" t="n">
        <v>-93.99</v>
      </c>
      <c r="H8025" s="0" t="n">
        <v>0.3</v>
      </c>
      <c r="I8025" s="7" t="n">
        <f aca="false">YEAR(B8025)</f>
        <v>2014</v>
      </c>
      <c r="J8025" s="0" t="str">
        <f aca="false">I8025&amp;"-Q"&amp;ROUNDUP(MONTH(B8025)/3,0)</f>
        <v>2014-Q3</v>
      </c>
    </row>
    <row r="8026" customFormat="false" ht="15" hidden="false" customHeight="false" outlineLevel="0" collapsed="false">
      <c r="A8026" s="0" t="s">
        <v>4057</v>
      </c>
      <c r="B8026" s="6" t="n">
        <v>41841</v>
      </c>
      <c r="C8026" s="7" t="s">
        <v>45</v>
      </c>
      <c r="D8026" s="7" t="s">
        <v>46</v>
      </c>
      <c r="E8026" s="7" t="s">
        <v>35</v>
      </c>
      <c r="F8026" s="0" t="n">
        <v>1.044</v>
      </c>
      <c r="G8026" s="0" t="n">
        <v>-1.827</v>
      </c>
      <c r="H8026" s="0" t="n">
        <v>0.8</v>
      </c>
      <c r="I8026" s="7" t="n">
        <f aca="false">YEAR(B8026)</f>
        <v>2014</v>
      </c>
      <c r="J8026" s="0" t="str">
        <f aca="false">I8026&amp;"-Q"&amp;ROUNDUP(MONTH(B8026)/3,0)</f>
        <v>2014-Q3</v>
      </c>
    </row>
    <row r="8027" customFormat="false" ht="15" hidden="false" customHeight="false" outlineLevel="0" collapsed="false">
      <c r="A8027" s="0" t="s">
        <v>4058</v>
      </c>
      <c r="B8027" s="6" t="n">
        <v>42258</v>
      </c>
      <c r="C8027" s="7" t="s">
        <v>55</v>
      </c>
      <c r="D8027" s="7" t="s">
        <v>76</v>
      </c>
      <c r="E8027" s="7" t="s">
        <v>31</v>
      </c>
      <c r="F8027" s="0" t="n">
        <v>210.68</v>
      </c>
      <c r="G8027" s="0" t="n">
        <v>50.5632</v>
      </c>
      <c r="H8027" s="0" t="n">
        <v>0</v>
      </c>
      <c r="I8027" s="7" t="n">
        <f aca="false">YEAR(B8027)</f>
        <v>2015</v>
      </c>
      <c r="J8027" s="0" t="str">
        <f aca="false">I8027&amp;"-Q"&amp;ROUNDUP(MONTH(B8027)/3,0)</f>
        <v>2015-Q3</v>
      </c>
    </row>
    <row r="8028" customFormat="false" ht="15" hidden="false" customHeight="false" outlineLevel="0" collapsed="false">
      <c r="A8028" s="0" t="s">
        <v>4058</v>
      </c>
      <c r="B8028" s="6" t="n">
        <v>42258</v>
      </c>
      <c r="C8028" s="7" t="s">
        <v>55</v>
      </c>
      <c r="D8028" s="7" t="s">
        <v>76</v>
      </c>
      <c r="E8028" s="7" t="s">
        <v>35</v>
      </c>
      <c r="F8028" s="0" t="n">
        <v>78.8</v>
      </c>
      <c r="G8028" s="0" t="n">
        <v>1.576</v>
      </c>
      <c r="H8028" s="0" t="n">
        <v>0</v>
      </c>
      <c r="I8028" s="7" t="n">
        <f aca="false">YEAR(B8028)</f>
        <v>2015</v>
      </c>
      <c r="J8028" s="0" t="str">
        <f aca="false">I8028&amp;"-Q"&amp;ROUNDUP(MONTH(B8028)/3,0)</f>
        <v>2015-Q3</v>
      </c>
    </row>
    <row r="8029" customFormat="false" ht="15" hidden="false" customHeight="false" outlineLevel="0" collapsed="false">
      <c r="A8029" s="0" t="s">
        <v>4058</v>
      </c>
      <c r="B8029" s="6" t="n">
        <v>42258</v>
      </c>
      <c r="C8029" s="7" t="s">
        <v>55</v>
      </c>
      <c r="D8029" s="7" t="s">
        <v>76</v>
      </c>
      <c r="E8029" s="7" t="s">
        <v>39</v>
      </c>
      <c r="F8029" s="0" t="n">
        <v>19.99</v>
      </c>
      <c r="G8029" s="0" t="n">
        <v>6.7966</v>
      </c>
      <c r="H8029" s="0" t="n">
        <v>0</v>
      </c>
      <c r="I8029" s="7" t="n">
        <f aca="false">YEAR(B8029)</f>
        <v>2015</v>
      </c>
      <c r="J8029" s="0" t="str">
        <f aca="false">I8029&amp;"-Q"&amp;ROUNDUP(MONTH(B8029)/3,0)</f>
        <v>2015-Q3</v>
      </c>
    </row>
    <row r="8030" customFormat="false" ht="15" hidden="false" customHeight="false" outlineLevel="0" collapsed="false">
      <c r="A8030" s="0" t="s">
        <v>4058</v>
      </c>
      <c r="B8030" s="6" t="n">
        <v>42258</v>
      </c>
      <c r="C8030" s="7" t="s">
        <v>55</v>
      </c>
      <c r="D8030" s="7" t="s">
        <v>76</v>
      </c>
      <c r="E8030" s="7" t="s">
        <v>35</v>
      </c>
      <c r="F8030" s="0" t="n">
        <v>772.68</v>
      </c>
      <c r="G8030" s="0" t="n">
        <v>108.1752</v>
      </c>
      <c r="H8030" s="0" t="n">
        <v>0</v>
      </c>
      <c r="I8030" s="7" t="n">
        <f aca="false">YEAR(B8030)</f>
        <v>2015</v>
      </c>
      <c r="J8030" s="0" t="str">
        <f aca="false">I8030&amp;"-Q"&amp;ROUNDUP(MONTH(B8030)/3,0)</f>
        <v>2015-Q3</v>
      </c>
    </row>
    <row r="8031" customFormat="false" ht="15" hidden="false" customHeight="false" outlineLevel="0" collapsed="false">
      <c r="A8031" s="0" t="s">
        <v>4059</v>
      </c>
      <c r="B8031" s="6" t="n">
        <v>42664</v>
      </c>
      <c r="C8031" s="7" t="s">
        <v>45</v>
      </c>
      <c r="D8031" s="7" t="s">
        <v>46</v>
      </c>
      <c r="E8031" s="7" t="s">
        <v>39</v>
      </c>
      <c r="F8031" s="0" t="n">
        <v>106.08</v>
      </c>
      <c r="G8031" s="0" t="n">
        <v>-9.282</v>
      </c>
      <c r="H8031" s="0" t="n">
        <v>0.2</v>
      </c>
      <c r="I8031" s="7" t="n">
        <f aca="false">YEAR(B8031)</f>
        <v>2016</v>
      </c>
      <c r="J8031" s="0" t="str">
        <f aca="false">I8031&amp;"-Q"&amp;ROUNDUP(MONTH(B8031)/3,0)</f>
        <v>2016-Q4</v>
      </c>
    </row>
    <row r="8032" customFormat="false" ht="15" hidden="false" customHeight="false" outlineLevel="0" collapsed="false">
      <c r="A8032" s="0" t="s">
        <v>4060</v>
      </c>
      <c r="B8032" s="6" t="n">
        <v>42376</v>
      </c>
      <c r="C8032" s="7" t="s">
        <v>45</v>
      </c>
      <c r="D8032" s="7" t="s">
        <v>46</v>
      </c>
      <c r="E8032" s="7" t="s">
        <v>31</v>
      </c>
      <c r="F8032" s="0" t="n">
        <v>23.076</v>
      </c>
      <c r="G8032" s="0" t="n">
        <v>-10.9611</v>
      </c>
      <c r="H8032" s="0" t="n">
        <v>0.6</v>
      </c>
      <c r="I8032" s="7" t="n">
        <f aca="false">YEAR(B8032)</f>
        <v>2016</v>
      </c>
      <c r="J8032" s="0" t="str">
        <f aca="false">I8032&amp;"-Q"&amp;ROUNDUP(MONTH(B8032)/3,0)</f>
        <v>2016-Q1</v>
      </c>
    </row>
    <row r="8033" customFormat="false" ht="15" hidden="false" customHeight="false" outlineLevel="0" collapsed="false">
      <c r="A8033" s="0" t="s">
        <v>4060</v>
      </c>
      <c r="B8033" s="6" t="n">
        <v>42376</v>
      </c>
      <c r="C8033" s="7" t="s">
        <v>45</v>
      </c>
      <c r="D8033" s="7" t="s">
        <v>46</v>
      </c>
      <c r="E8033" s="7" t="s">
        <v>35</v>
      </c>
      <c r="F8033" s="0" t="n">
        <v>25.92</v>
      </c>
      <c r="G8033" s="0" t="n">
        <v>9.072</v>
      </c>
      <c r="H8033" s="0" t="n">
        <v>0.2</v>
      </c>
      <c r="I8033" s="7" t="n">
        <f aca="false">YEAR(B8033)</f>
        <v>2016</v>
      </c>
      <c r="J8033" s="0" t="str">
        <f aca="false">I8033&amp;"-Q"&amp;ROUNDUP(MONTH(B8033)/3,0)</f>
        <v>2016-Q1</v>
      </c>
    </row>
    <row r="8034" customFormat="false" ht="15" hidden="false" customHeight="false" outlineLevel="0" collapsed="false">
      <c r="A8034" s="0" t="s">
        <v>4061</v>
      </c>
      <c r="B8034" s="6" t="n">
        <v>42180</v>
      </c>
      <c r="C8034" s="7" t="s">
        <v>45</v>
      </c>
      <c r="D8034" s="7" t="s">
        <v>46</v>
      </c>
      <c r="E8034" s="7" t="s">
        <v>35</v>
      </c>
      <c r="F8034" s="0" t="n">
        <v>47.952</v>
      </c>
      <c r="G8034" s="0" t="n">
        <v>16.1838</v>
      </c>
      <c r="H8034" s="0" t="n">
        <v>0.2</v>
      </c>
      <c r="I8034" s="7" t="n">
        <f aca="false">YEAR(B8034)</f>
        <v>2015</v>
      </c>
      <c r="J8034" s="0" t="str">
        <f aca="false">I8034&amp;"-Q"&amp;ROUNDUP(MONTH(B8034)/3,0)</f>
        <v>2015-Q2</v>
      </c>
    </row>
    <row r="8035" customFormat="false" ht="15" hidden="false" customHeight="false" outlineLevel="0" collapsed="false">
      <c r="A8035" s="0" t="s">
        <v>4061</v>
      </c>
      <c r="B8035" s="6" t="n">
        <v>42180</v>
      </c>
      <c r="C8035" s="7" t="s">
        <v>45</v>
      </c>
      <c r="D8035" s="7" t="s">
        <v>46</v>
      </c>
      <c r="E8035" s="7" t="s">
        <v>35</v>
      </c>
      <c r="F8035" s="0" t="n">
        <v>0.984</v>
      </c>
      <c r="G8035" s="0" t="n">
        <v>-1.476</v>
      </c>
      <c r="H8035" s="0" t="n">
        <v>0.8</v>
      </c>
      <c r="I8035" s="7" t="n">
        <f aca="false">YEAR(B8035)</f>
        <v>2015</v>
      </c>
      <c r="J8035" s="0" t="str">
        <f aca="false">I8035&amp;"-Q"&amp;ROUNDUP(MONTH(B8035)/3,0)</f>
        <v>2015-Q2</v>
      </c>
    </row>
    <row r="8036" customFormat="false" ht="15" hidden="false" customHeight="false" outlineLevel="0" collapsed="false">
      <c r="A8036" s="0" t="s">
        <v>4061</v>
      </c>
      <c r="B8036" s="6" t="n">
        <v>42180</v>
      </c>
      <c r="C8036" s="7" t="s">
        <v>45</v>
      </c>
      <c r="D8036" s="7" t="s">
        <v>46</v>
      </c>
      <c r="E8036" s="7" t="s">
        <v>31</v>
      </c>
      <c r="F8036" s="0" t="n">
        <v>75.384</v>
      </c>
      <c r="G8036" s="0" t="n">
        <v>-20.7306</v>
      </c>
      <c r="H8036" s="0" t="n">
        <v>0.6</v>
      </c>
      <c r="I8036" s="7" t="n">
        <f aca="false">YEAR(B8036)</f>
        <v>2015</v>
      </c>
      <c r="J8036" s="0" t="str">
        <f aca="false">I8036&amp;"-Q"&amp;ROUNDUP(MONTH(B8036)/3,0)</f>
        <v>2015-Q2</v>
      </c>
    </row>
    <row r="8037" customFormat="false" ht="15" hidden="false" customHeight="false" outlineLevel="0" collapsed="false">
      <c r="A8037" s="0" t="s">
        <v>4061</v>
      </c>
      <c r="B8037" s="6" t="n">
        <v>42180</v>
      </c>
      <c r="C8037" s="7" t="s">
        <v>45</v>
      </c>
      <c r="D8037" s="7" t="s">
        <v>46</v>
      </c>
      <c r="E8037" s="7" t="s">
        <v>35</v>
      </c>
      <c r="F8037" s="0" t="n">
        <v>4.608</v>
      </c>
      <c r="G8037" s="0" t="n">
        <v>1.6704</v>
      </c>
      <c r="H8037" s="0" t="n">
        <v>0.2</v>
      </c>
      <c r="I8037" s="7" t="n">
        <f aca="false">YEAR(B8037)</f>
        <v>2015</v>
      </c>
      <c r="J8037" s="0" t="str">
        <f aca="false">I8037&amp;"-Q"&amp;ROUNDUP(MONTH(B8037)/3,0)</f>
        <v>2015-Q2</v>
      </c>
    </row>
    <row r="8038" customFormat="false" ht="15" hidden="false" customHeight="false" outlineLevel="0" collapsed="false">
      <c r="A8038" s="0" t="s">
        <v>4062</v>
      </c>
      <c r="B8038" s="6" t="n">
        <v>42267</v>
      </c>
      <c r="C8038" s="7" t="s">
        <v>55</v>
      </c>
      <c r="D8038" s="7" t="s">
        <v>225</v>
      </c>
      <c r="E8038" s="7" t="s">
        <v>35</v>
      </c>
      <c r="F8038" s="0" t="n">
        <v>37.68</v>
      </c>
      <c r="G8038" s="0" t="n">
        <v>16.956</v>
      </c>
      <c r="H8038" s="0" t="n">
        <v>0</v>
      </c>
      <c r="I8038" s="7" t="n">
        <f aca="false">YEAR(B8038)</f>
        <v>2015</v>
      </c>
      <c r="J8038" s="0" t="str">
        <f aca="false">I8038&amp;"-Q"&amp;ROUNDUP(MONTH(B8038)/3,0)</f>
        <v>2015-Q3</v>
      </c>
    </row>
    <row r="8039" customFormat="false" ht="15" hidden="false" customHeight="false" outlineLevel="0" collapsed="false">
      <c r="A8039" s="0" t="s">
        <v>4063</v>
      </c>
      <c r="B8039" s="6" t="n">
        <v>42926</v>
      </c>
      <c r="C8039" s="7" t="s">
        <v>29</v>
      </c>
      <c r="D8039" s="7" t="s">
        <v>230</v>
      </c>
      <c r="E8039" s="7" t="s">
        <v>35</v>
      </c>
      <c r="F8039" s="0" t="n">
        <v>41.91</v>
      </c>
      <c r="G8039" s="0" t="n">
        <v>10.8966</v>
      </c>
      <c r="H8039" s="0" t="n">
        <v>0</v>
      </c>
      <c r="I8039" s="7" t="n">
        <f aca="false">YEAR(B8039)</f>
        <v>2017</v>
      </c>
      <c r="J8039" s="0" t="str">
        <f aca="false">I8039&amp;"-Q"&amp;ROUNDUP(MONTH(B8039)/3,0)</f>
        <v>2017-Q3</v>
      </c>
    </row>
    <row r="8040" customFormat="false" ht="15" hidden="false" customHeight="false" outlineLevel="0" collapsed="false">
      <c r="A8040" s="0" t="s">
        <v>4064</v>
      </c>
      <c r="B8040" s="6" t="n">
        <v>42916</v>
      </c>
      <c r="C8040" s="7" t="s">
        <v>33</v>
      </c>
      <c r="D8040" s="7" t="s">
        <v>34</v>
      </c>
      <c r="E8040" s="7" t="s">
        <v>31</v>
      </c>
      <c r="F8040" s="0" t="n">
        <v>435.999</v>
      </c>
      <c r="G8040" s="0" t="n">
        <v>5.1294</v>
      </c>
      <c r="H8040" s="0" t="n">
        <v>0.15</v>
      </c>
      <c r="I8040" s="7" t="n">
        <f aca="false">YEAR(B8040)</f>
        <v>2017</v>
      </c>
      <c r="J8040" s="0" t="str">
        <f aca="false">I8040&amp;"-Q"&amp;ROUNDUP(MONTH(B8040)/3,0)</f>
        <v>2017-Q2</v>
      </c>
    </row>
    <row r="8041" customFormat="false" ht="15" hidden="false" customHeight="false" outlineLevel="0" collapsed="false">
      <c r="A8041" s="0" t="s">
        <v>4065</v>
      </c>
      <c r="B8041" s="6" t="n">
        <v>42968</v>
      </c>
      <c r="C8041" s="7" t="s">
        <v>33</v>
      </c>
      <c r="D8041" s="7" t="s">
        <v>43</v>
      </c>
      <c r="E8041" s="7" t="s">
        <v>31</v>
      </c>
      <c r="F8041" s="0" t="n">
        <v>388.704</v>
      </c>
      <c r="G8041" s="0" t="n">
        <v>38.8704</v>
      </c>
      <c r="H8041" s="0" t="n">
        <v>0.2</v>
      </c>
      <c r="I8041" s="7" t="n">
        <f aca="false">YEAR(B8041)</f>
        <v>2017</v>
      </c>
      <c r="J8041" s="0" t="str">
        <f aca="false">I8041&amp;"-Q"&amp;ROUNDUP(MONTH(B8041)/3,0)</f>
        <v>2017-Q3</v>
      </c>
    </row>
    <row r="8042" customFormat="false" ht="15" hidden="false" customHeight="false" outlineLevel="0" collapsed="false">
      <c r="A8042" s="0" t="s">
        <v>4065</v>
      </c>
      <c r="B8042" s="6" t="n">
        <v>42968</v>
      </c>
      <c r="C8042" s="7" t="s">
        <v>33</v>
      </c>
      <c r="D8042" s="7" t="s">
        <v>43</v>
      </c>
      <c r="E8042" s="7" t="s">
        <v>35</v>
      </c>
      <c r="F8042" s="0" t="n">
        <v>572.58</v>
      </c>
      <c r="G8042" s="0" t="n">
        <v>34.3548</v>
      </c>
      <c r="H8042" s="0" t="n">
        <v>0</v>
      </c>
      <c r="I8042" s="7" t="n">
        <f aca="false">YEAR(B8042)</f>
        <v>2017</v>
      </c>
      <c r="J8042" s="0" t="str">
        <f aca="false">I8042&amp;"-Q"&amp;ROUNDUP(MONTH(B8042)/3,0)</f>
        <v>2017-Q3</v>
      </c>
    </row>
    <row r="8043" customFormat="false" ht="15" hidden="false" customHeight="false" outlineLevel="0" collapsed="false">
      <c r="A8043" s="0" t="s">
        <v>4065</v>
      </c>
      <c r="B8043" s="6" t="n">
        <v>42968</v>
      </c>
      <c r="C8043" s="7" t="s">
        <v>33</v>
      </c>
      <c r="D8043" s="7" t="s">
        <v>43</v>
      </c>
      <c r="E8043" s="7" t="s">
        <v>39</v>
      </c>
      <c r="F8043" s="0" t="n">
        <v>33.18</v>
      </c>
      <c r="G8043" s="0" t="n">
        <v>11.613</v>
      </c>
      <c r="H8043" s="0" t="n">
        <v>0</v>
      </c>
      <c r="I8043" s="7" t="n">
        <f aca="false">YEAR(B8043)</f>
        <v>2017</v>
      </c>
      <c r="J8043" s="0" t="str">
        <f aca="false">I8043&amp;"-Q"&amp;ROUNDUP(MONTH(B8043)/3,0)</f>
        <v>2017-Q3</v>
      </c>
    </row>
    <row r="8044" customFormat="false" ht="15" hidden="false" customHeight="false" outlineLevel="0" collapsed="false">
      <c r="A8044" s="0" t="s">
        <v>4066</v>
      </c>
      <c r="B8044" s="6" t="n">
        <v>42805</v>
      </c>
      <c r="C8044" s="7" t="s">
        <v>55</v>
      </c>
      <c r="D8044" s="7" t="s">
        <v>225</v>
      </c>
      <c r="E8044" s="7" t="s">
        <v>39</v>
      </c>
      <c r="F8044" s="0" t="n">
        <v>63.88</v>
      </c>
      <c r="G8044" s="0" t="n">
        <v>24.9132</v>
      </c>
      <c r="H8044" s="0" t="n">
        <v>0</v>
      </c>
      <c r="I8044" s="7" t="n">
        <f aca="false">YEAR(B8044)</f>
        <v>2017</v>
      </c>
      <c r="J8044" s="0" t="str">
        <f aca="false">I8044&amp;"-Q"&amp;ROUNDUP(MONTH(B8044)/3,0)</f>
        <v>2017-Q1</v>
      </c>
    </row>
    <row r="8045" customFormat="false" ht="15" hidden="false" customHeight="false" outlineLevel="0" collapsed="false">
      <c r="A8045" s="0" t="s">
        <v>4066</v>
      </c>
      <c r="B8045" s="6" t="n">
        <v>42805</v>
      </c>
      <c r="C8045" s="7" t="s">
        <v>55</v>
      </c>
      <c r="D8045" s="7" t="s">
        <v>225</v>
      </c>
      <c r="E8045" s="7" t="s">
        <v>31</v>
      </c>
      <c r="F8045" s="0" t="n">
        <v>26.72</v>
      </c>
      <c r="G8045" s="0" t="n">
        <v>11.7568</v>
      </c>
      <c r="H8045" s="0" t="n">
        <v>0</v>
      </c>
      <c r="I8045" s="7" t="n">
        <f aca="false">YEAR(B8045)</f>
        <v>2017</v>
      </c>
      <c r="J8045" s="0" t="str">
        <f aca="false">I8045&amp;"-Q"&amp;ROUNDUP(MONTH(B8045)/3,0)</f>
        <v>2017-Q1</v>
      </c>
    </row>
    <row r="8046" customFormat="false" ht="15" hidden="false" customHeight="false" outlineLevel="0" collapsed="false">
      <c r="A8046" s="0" t="s">
        <v>4067</v>
      </c>
      <c r="B8046" s="6" t="n">
        <v>42993</v>
      </c>
      <c r="C8046" s="7" t="s">
        <v>33</v>
      </c>
      <c r="D8046" s="7" t="s">
        <v>50</v>
      </c>
      <c r="E8046" s="7" t="s">
        <v>35</v>
      </c>
      <c r="F8046" s="0" t="n">
        <v>295.056</v>
      </c>
      <c r="G8046" s="0" t="n">
        <v>106.9578</v>
      </c>
      <c r="H8046" s="0" t="n">
        <v>0.2</v>
      </c>
      <c r="I8046" s="7" t="n">
        <f aca="false">YEAR(B8046)</f>
        <v>2017</v>
      </c>
      <c r="J8046" s="0" t="str">
        <f aca="false">I8046&amp;"-Q"&amp;ROUNDUP(MONTH(B8046)/3,0)</f>
        <v>2017-Q3</v>
      </c>
    </row>
    <row r="8047" customFormat="false" ht="15" hidden="false" customHeight="false" outlineLevel="0" collapsed="false">
      <c r="A8047" s="0" t="s">
        <v>4068</v>
      </c>
      <c r="B8047" s="6" t="n">
        <v>42633</v>
      </c>
      <c r="C8047" s="7" t="s">
        <v>55</v>
      </c>
      <c r="D8047" s="7" t="s">
        <v>76</v>
      </c>
      <c r="E8047" s="7" t="s">
        <v>35</v>
      </c>
      <c r="F8047" s="0" t="n">
        <v>393.25</v>
      </c>
      <c r="G8047" s="0" t="n">
        <v>129.7725</v>
      </c>
      <c r="H8047" s="0" t="n">
        <v>0</v>
      </c>
      <c r="I8047" s="7" t="n">
        <f aca="false">YEAR(B8047)</f>
        <v>2016</v>
      </c>
      <c r="J8047" s="0" t="str">
        <f aca="false">I8047&amp;"-Q"&amp;ROUNDUP(MONTH(B8047)/3,0)</f>
        <v>2016-Q3</v>
      </c>
    </row>
    <row r="8048" customFormat="false" ht="15" hidden="false" customHeight="false" outlineLevel="0" collapsed="false">
      <c r="A8048" s="0" t="s">
        <v>4069</v>
      </c>
      <c r="B8048" s="6" t="n">
        <v>42719</v>
      </c>
      <c r="C8048" s="7" t="s">
        <v>55</v>
      </c>
      <c r="D8048" s="7" t="s">
        <v>116</v>
      </c>
      <c r="E8048" s="7" t="s">
        <v>35</v>
      </c>
      <c r="F8048" s="0" t="n">
        <v>2.214</v>
      </c>
      <c r="G8048" s="0" t="n">
        <v>-1.476</v>
      </c>
      <c r="H8048" s="0" t="n">
        <v>0.7</v>
      </c>
      <c r="I8048" s="7" t="n">
        <f aca="false">YEAR(B8048)</f>
        <v>2016</v>
      </c>
      <c r="J8048" s="0" t="str">
        <f aca="false">I8048&amp;"-Q"&amp;ROUNDUP(MONTH(B8048)/3,0)</f>
        <v>2016-Q4</v>
      </c>
    </row>
    <row r="8049" customFormat="false" ht="15" hidden="false" customHeight="false" outlineLevel="0" collapsed="false">
      <c r="A8049" s="0" t="s">
        <v>4070</v>
      </c>
      <c r="B8049" s="6" t="n">
        <v>43042</v>
      </c>
      <c r="C8049" s="7" t="s">
        <v>29</v>
      </c>
      <c r="D8049" s="7" t="s">
        <v>41</v>
      </c>
      <c r="E8049" s="7" t="s">
        <v>35</v>
      </c>
      <c r="F8049" s="0" t="n">
        <v>16.272</v>
      </c>
      <c r="G8049" s="0" t="n">
        <v>5.2884</v>
      </c>
      <c r="H8049" s="0" t="n">
        <v>0.2</v>
      </c>
      <c r="I8049" s="7" t="n">
        <f aca="false">YEAR(B8049)</f>
        <v>2017</v>
      </c>
      <c r="J8049" s="0" t="str">
        <f aca="false">I8049&amp;"-Q"&amp;ROUNDUP(MONTH(B8049)/3,0)</f>
        <v>2017-Q4</v>
      </c>
    </row>
    <row r="8050" customFormat="false" ht="15" hidden="false" customHeight="false" outlineLevel="0" collapsed="false">
      <c r="A8050" s="0" t="s">
        <v>4071</v>
      </c>
      <c r="B8050" s="6" t="n">
        <v>42554</v>
      </c>
      <c r="C8050" s="7" t="s">
        <v>55</v>
      </c>
      <c r="D8050" s="7" t="s">
        <v>76</v>
      </c>
      <c r="E8050" s="7" t="s">
        <v>35</v>
      </c>
      <c r="F8050" s="0" t="n">
        <v>706.86</v>
      </c>
      <c r="G8050" s="0" t="n">
        <v>197.9208</v>
      </c>
      <c r="H8050" s="0" t="n">
        <v>0</v>
      </c>
      <c r="I8050" s="7" t="n">
        <f aca="false">YEAR(B8050)</f>
        <v>2016</v>
      </c>
      <c r="J8050" s="0" t="str">
        <f aca="false">I8050&amp;"-Q"&amp;ROUNDUP(MONTH(B8050)/3,0)</f>
        <v>2016-Q3</v>
      </c>
    </row>
    <row r="8051" customFormat="false" ht="15" hidden="false" customHeight="false" outlineLevel="0" collapsed="false">
      <c r="A8051" s="0" t="s">
        <v>4072</v>
      </c>
      <c r="B8051" s="6" t="n">
        <v>41908</v>
      </c>
      <c r="C8051" s="7" t="s">
        <v>55</v>
      </c>
      <c r="D8051" s="7" t="s">
        <v>56</v>
      </c>
      <c r="E8051" s="7" t="s">
        <v>35</v>
      </c>
      <c r="F8051" s="0" t="n">
        <v>5.97</v>
      </c>
      <c r="G8051" s="0" t="n">
        <v>-4.577</v>
      </c>
      <c r="H8051" s="0" t="n">
        <v>0.7</v>
      </c>
      <c r="I8051" s="7" t="n">
        <f aca="false">YEAR(B8051)</f>
        <v>2014</v>
      </c>
      <c r="J8051" s="0" t="str">
        <f aca="false">I8051&amp;"-Q"&amp;ROUNDUP(MONTH(B8051)/3,0)</f>
        <v>2014-Q3</v>
      </c>
    </row>
    <row r="8052" customFormat="false" ht="15" hidden="false" customHeight="false" outlineLevel="0" collapsed="false">
      <c r="A8052" s="0" t="s">
        <v>4072</v>
      </c>
      <c r="B8052" s="6" t="n">
        <v>41908</v>
      </c>
      <c r="C8052" s="7" t="s">
        <v>55</v>
      </c>
      <c r="D8052" s="7" t="s">
        <v>56</v>
      </c>
      <c r="E8052" s="7" t="s">
        <v>31</v>
      </c>
      <c r="F8052" s="0" t="n">
        <v>21.184</v>
      </c>
      <c r="G8052" s="0" t="n">
        <v>4.7664</v>
      </c>
      <c r="H8052" s="0" t="n">
        <v>0.2</v>
      </c>
      <c r="I8052" s="7" t="n">
        <f aca="false">YEAR(B8052)</f>
        <v>2014</v>
      </c>
      <c r="J8052" s="0" t="str">
        <f aca="false">I8052&amp;"-Q"&amp;ROUNDUP(MONTH(B8052)/3,0)</f>
        <v>2014-Q3</v>
      </c>
    </row>
    <row r="8053" customFormat="false" ht="15" hidden="false" customHeight="false" outlineLevel="0" collapsed="false">
      <c r="A8053" s="0" t="s">
        <v>4072</v>
      </c>
      <c r="B8053" s="6" t="n">
        <v>41908</v>
      </c>
      <c r="C8053" s="7" t="s">
        <v>55</v>
      </c>
      <c r="D8053" s="7" t="s">
        <v>56</v>
      </c>
      <c r="E8053" s="7" t="s">
        <v>35</v>
      </c>
      <c r="F8053" s="0" t="n">
        <v>41.376</v>
      </c>
      <c r="G8053" s="0" t="n">
        <v>3.1032</v>
      </c>
      <c r="H8053" s="0" t="n">
        <v>0.2</v>
      </c>
      <c r="I8053" s="7" t="n">
        <f aca="false">YEAR(B8053)</f>
        <v>2014</v>
      </c>
      <c r="J8053" s="0" t="str">
        <f aca="false">I8053&amp;"-Q"&amp;ROUNDUP(MONTH(B8053)/3,0)</f>
        <v>2014-Q3</v>
      </c>
    </row>
    <row r="8054" customFormat="false" ht="15" hidden="false" customHeight="false" outlineLevel="0" collapsed="false">
      <c r="A8054" s="0" t="s">
        <v>4073</v>
      </c>
      <c r="B8054" s="6" t="n">
        <v>41834</v>
      </c>
      <c r="C8054" s="7" t="s">
        <v>55</v>
      </c>
      <c r="D8054" s="7" t="s">
        <v>76</v>
      </c>
      <c r="E8054" s="7" t="s">
        <v>35</v>
      </c>
      <c r="F8054" s="0" t="n">
        <v>17.94</v>
      </c>
      <c r="G8054" s="0" t="n">
        <v>4.485</v>
      </c>
      <c r="H8054" s="0" t="n">
        <v>0</v>
      </c>
      <c r="I8054" s="7" t="n">
        <f aca="false">YEAR(B8054)</f>
        <v>2014</v>
      </c>
      <c r="J8054" s="0" t="str">
        <f aca="false">I8054&amp;"-Q"&amp;ROUNDUP(MONTH(B8054)/3,0)</f>
        <v>2014-Q3</v>
      </c>
    </row>
    <row r="8055" customFormat="false" ht="15" hidden="false" customHeight="false" outlineLevel="0" collapsed="false">
      <c r="A8055" s="0" t="s">
        <v>4074</v>
      </c>
      <c r="B8055" s="6" t="n">
        <v>43006</v>
      </c>
      <c r="C8055" s="7" t="s">
        <v>55</v>
      </c>
      <c r="D8055" s="7" t="s">
        <v>56</v>
      </c>
      <c r="E8055" s="7" t="s">
        <v>35</v>
      </c>
      <c r="F8055" s="0" t="n">
        <v>2.655</v>
      </c>
      <c r="G8055" s="0" t="n">
        <v>-1.8585</v>
      </c>
      <c r="H8055" s="0" t="n">
        <v>0.7</v>
      </c>
      <c r="I8055" s="7" t="n">
        <f aca="false">YEAR(B8055)</f>
        <v>2017</v>
      </c>
      <c r="J8055" s="0" t="str">
        <f aca="false">I8055&amp;"-Q"&amp;ROUNDUP(MONTH(B8055)/3,0)</f>
        <v>2017-Q3</v>
      </c>
    </row>
    <row r="8056" customFormat="false" ht="15" hidden="false" customHeight="false" outlineLevel="0" collapsed="false">
      <c r="A8056" s="0" t="s">
        <v>4075</v>
      </c>
      <c r="B8056" s="6" t="n">
        <v>42244</v>
      </c>
      <c r="C8056" s="7" t="s">
        <v>33</v>
      </c>
      <c r="D8056" s="7" t="s">
        <v>34</v>
      </c>
      <c r="E8056" s="7" t="s">
        <v>35</v>
      </c>
      <c r="F8056" s="0" t="n">
        <v>892.35</v>
      </c>
      <c r="G8056" s="0" t="n">
        <v>267.705</v>
      </c>
      <c r="H8056" s="0" t="n">
        <v>0</v>
      </c>
      <c r="I8056" s="7" t="n">
        <f aca="false">YEAR(B8056)</f>
        <v>2015</v>
      </c>
      <c r="J8056" s="0" t="str">
        <f aca="false">I8056&amp;"-Q"&amp;ROUNDUP(MONTH(B8056)/3,0)</f>
        <v>2015-Q3</v>
      </c>
    </row>
    <row r="8057" customFormat="false" ht="15" hidden="false" customHeight="false" outlineLevel="0" collapsed="false">
      <c r="A8057" s="0" t="s">
        <v>4075</v>
      </c>
      <c r="B8057" s="6" t="n">
        <v>42244</v>
      </c>
      <c r="C8057" s="7" t="s">
        <v>33</v>
      </c>
      <c r="D8057" s="7" t="s">
        <v>34</v>
      </c>
      <c r="E8057" s="7" t="s">
        <v>31</v>
      </c>
      <c r="F8057" s="0" t="n">
        <v>307.666</v>
      </c>
      <c r="G8057" s="0" t="n">
        <v>28.9568</v>
      </c>
      <c r="H8057" s="0" t="n">
        <v>0.15</v>
      </c>
      <c r="I8057" s="7" t="n">
        <f aca="false">YEAR(B8057)</f>
        <v>2015</v>
      </c>
      <c r="J8057" s="0" t="str">
        <f aca="false">I8057&amp;"-Q"&amp;ROUNDUP(MONTH(B8057)/3,0)</f>
        <v>2015-Q3</v>
      </c>
    </row>
    <row r="8058" customFormat="false" ht="15" hidden="false" customHeight="false" outlineLevel="0" collapsed="false">
      <c r="A8058" s="0" t="s">
        <v>4075</v>
      </c>
      <c r="B8058" s="6" t="n">
        <v>42244</v>
      </c>
      <c r="C8058" s="7" t="s">
        <v>33</v>
      </c>
      <c r="D8058" s="7" t="s">
        <v>34</v>
      </c>
      <c r="E8058" s="7" t="s">
        <v>35</v>
      </c>
      <c r="F8058" s="0" t="n">
        <v>728.82</v>
      </c>
      <c r="G8058" s="0" t="n">
        <v>29.1528</v>
      </c>
      <c r="H8058" s="0" t="n">
        <v>0</v>
      </c>
      <c r="I8058" s="7" t="n">
        <f aca="false">YEAR(B8058)</f>
        <v>2015</v>
      </c>
      <c r="J8058" s="0" t="str">
        <f aca="false">I8058&amp;"-Q"&amp;ROUNDUP(MONTH(B8058)/3,0)</f>
        <v>2015-Q3</v>
      </c>
    </row>
    <row r="8059" customFormat="false" ht="15" hidden="false" customHeight="false" outlineLevel="0" collapsed="false">
      <c r="A8059" s="0" t="s">
        <v>4075</v>
      </c>
      <c r="B8059" s="6" t="n">
        <v>42244</v>
      </c>
      <c r="C8059" s="7" t="s">
        <v>33</v>
      </c>
      <c r="D8059" s="7" t="s">
        <v>34</v>
      </c>
      <c r="E8059" s="7" t="s">
        <v>35</v>
      </c>
      <c r="F8059" s="0" t="n">
        <v>41.36</v>
      </c>
      <c r="G8059" s="0" t="n">
        <v>13.959</v>
      </c>
      <c r="H8059" s="0" t="n">
        <v>0.2</v>
      </c>
      <c r="I8059" s="7" t="n">
        <f aca="false">YEAR(B8059)</f>
        <v>2015</v>
      </c>
      <c r="J8059" s="0" t="str">
        <f aca="false">I8059&amp;"-Q"&amp;ROUNDUP(MONTH(B8059)/3,0)</f>
        <v>2015-Q3</v>
      </c>
    </row>
    <row r="8060" customFormat="false" ht="15" hidden="false" customHeight="false" outlineLevel="0" collapsed="false">
      <c r="A8060" s="0" t="s">
        <v>4075</v>
      </c>
      <c r="B8060" s="6" t="n">
        <v>42244</v>
      </c>
      <c r="C8060" s="7" t="s">
        <v>33</v>
      </c>
      <c r="D8060" s="7" t="s">
        <v>34</v>
      </c>
      <c r="E8060" s="7" t="s">
        <v>39</v>
      </c>
      <c r="F8060" s="0" t="n">
        <v>43.176</v>
      </c>
      <c r="G8060" s="0" t="n">
        <v>15.1116</v>
      </c>
      <c r="H8060" s="0" t="n">
        <v>0.2</v>
      </c>
      <c r="I8060" s="7" t="n">
        <f aca="false">YEAR(B8060)</f>
        <v>2015</v>
      </c>
      <c r="J8060" s="0" t="str">
        <f aca="false">I8060&amp;"-Q"&amp;ROUNDUP(MONTH(B8060)/3,0)</f>
        <v>2015-Q3</v>
      </c>
    </row>
    <row r="8061" customFormat="false" ht="15" hidden="false" customHeight="false" outlineLevel="0" collapsed="false">
      <c r="A8061" s="0" t="s">
        <v>4075</v>
      </c>
      <c r="B8061" s="6" t="n">
        <v>42244</v>
      </c>
      <c r="C8061" s="7" t="s">
        <v>33</v>
      </c>
      <c r="D8061" s="7" t="s">
        <v>34</v>
      </c>
      <c r="E8061" s="7" t="s">
        <v>31</v>
      </c>
      <c r="F8061" s="0" t="n">
        <v>4.16</v>
      </c>
      <c r="G8061" s="0" t="n">
        <v>1.7472</v>
      </c>
      <c r="H8061" s="0" t="n">
        <v>0</v>
      </c>
      <c r="I8061" s="7" t="n">
        <f aca="false">YEAR(B8061)</f>
        <v>2015</v>
      </c>
      <c r="J8061" s="0" t="str">
        <f aca="false">I8061&amp;"-Q"&amp;ROUNDUP(MONTH(B8061)/3,0)</f>
        <v>2015-Q3</v>
      </c>
    </row>
    <row r="8062" customFormat="false" ht="15" hidden="false" customHeight="false" outlineLevel="0" collapsed="false">
      <c r="A8062" s="0" t="s">
        <v>4076</v>
      </c>
      <c r="B8062" s="6" t="n">
        <v>42267</v>
      </c>
      <c r="C8062" s="7" t="s">
        <v>55</v>
      </c>
      <c r="D8062" s="7" t="s">
        <v>76</v>
      </c>
      <c r="E8062" s="7" t="s">
        <v>35</v>
      </c>
      <c r="F8062" s="0" t="n">
        <v>61.4</v>
      </c>
      <c r="G8062" s="0" t="n">
        <v>28.858</v>
      </c>
      <c r="H8062" s="0" t="n">
        <v>0</v>
      </c>
      <c r="I8062" s="7" t="n">
        <f aca="false">YEAR(B8062)</f>
        <v>2015</v>
      </c>
      <c r="J8062" s="0" t="str">
        <f aca="false">I8062&amp;"-Q"&amp;ROUNDUP(MONTH(B8062)/3,0)</f>
        <v>2015-Q3</v>
      </c>
    </row>
    <row r="8063" customFormat="false" ht="15" hidden="false" customHeight="false" outlineLevel="0" collapsed="false">
      <c r="A8063" s="0" t="s">
        <v>4076</v>
      </c>
      <c r="B8063" s="6" t="n">
        <v>42267</v>
      </c>
      <c r="C8063" s="7" t="s">
        <v>55</v>
      </c>
      <c r="D8063" s="7" t="s">
        <v>76</v>
      </c>
      <c r="E8063" s="7" t="s">
        <v>35</v>
      </c>
      <c r="F8063" s="0" t="n">
        <v>24.448</v>
      </c>
      <c r="G8063" s="0" t="n">
        <v>8.8624</v>
      </c>
      <c r="H8063" s="0" t="n">
        <v>0.2</v>
      </c>
      <c r="I8063" s="7" t="n">
        <f aca="false">YEAR(B8063)</f>
        <v>2015</v>
      </c>
      <c r="J8063" s="0" t="str">
        <f aca="false">I8063&amp;"-Q"&amp;ROUNDUP(MONTH(B8063)/3,0)</f>
        <v>2015-Q3</v>
      </c>
    </row>
    <row r="8064" customFormat="false" ht="15" hidden="false" customHeight="false" outlineLevel="0" collapsed="false">
      <c r="A8064" s="0" t="s">
        <v>4077</v>
      </c>
      <c r="B8064" s="6" t="n">
        <v>42681</v>
      </c>
      <c r="C8064" s="7" t="s">
        <v>55</v>
      </c>
      <c r="D8064" s="7" t="s">
        <v>76</v>
      </c>
      <c r="E8064" s="7" t="s">
        <v>39</v>
      </c>
      <c r="F8064" s="0" t="n">
        <v>263.96</v>
      </c>
      <c r="G8064" s="0" t="n">
        <v>71.2692</v>
      </c>
      <c r="H8064" s="0" t="n">
        <v>0</v>
      </c>
      <c r="I8064" s="7" t="n">
        <f aca="false">YEAR(B8064)</f>
        <v>2016</v>
      </c>
      <c r="J8064" s="0" t="str">
        <f aca="false">I8064&amp;"-Q"&amp;ROUNDUP(MONTH(B8064)/3,0)</f>
        <v>2016-Q4</v>
      </c>
    </row>
    <row r="8065" customFormat="false" ht="15" hidden="false" customHeight="false" outlineLevel="0" collapsed="false">
      <c r="A8065" s="0" t="s">
        <v>4077</v>
      </c>
      <c r="B8065" s="6" t="n">
        <v>42681</v>
      </c>
      <c r="C8065" s="7" t="s">
        <v>55</v>
      </c>
      <c r="D8065" s="7" t="s">
        <v>76</v>
      </c>
      <c r="E8065" s="7" t="s">
        <v>39</v>
      </c>
      <c r="F8065" s="0" t="n">
        <v>359.97</v>
      </c>
      <c r="G8065" s="0" t="n">
        <v>100.7916</v>
      </c>
      <c r="H8065" s="0" t="n">
        <v>0</v>
      </c>
      <c r="I8065" s="7" t="n">
        <f aca="false">YEAR(B8065)</f>
        <v>2016</v>
      </c>
      <c r="J8065" s="0" t="str">
        <f aca="false">I8065&amp;"-Q"&amp;ROUNDUP(MONTH(B8065)/3,0)</f>
        <v>2016-Q4</v>
      </c>
    </row>
    <row r="8066" customFormat="false" ht="15" hidden="false" customHeight="false" outlineLevel="0" collapsed="false">
      <c r="A8066" s="0" t="s">
        <v>4077</v>
      </c>
      <c r="B8066" s="6" t="n">
        <v>42681</v>
      </c>
      <c r="C8066" s="7" t="s">
        <v>55</v>
      </c>
      <c r="D8066" s="7" t="s">
        <v>76</v>
      </c>
      <c r="E8066" s="7" t="s">
        <v>35</v>
      </c>
      <c r="F8066" s="0" t="n">
        <v>12.96</v>
      </c>
      <c r="G8066" s="0" t="n">
        <v>6.2208</v>
      </c>
      <c r="H8066" s="0" t="n">
        <v>0</v>
      </c>
      <c r="I8066" s="7" t="n">
        <f aca="false">YEAR(B8066)</f>
        <v>2016</v>
      </c>
      <c r="J8066" s="0" t="str">
        <f aca="false">I8066&amp;"-Q"&amp;ROUNDUP(MONTH(B8066)/3,0)</f>
        <v>2016-Q4</v>
      </c>
    </row>
    <row r="8067" customFormat="false" ht="15" hidden="false" customHeight="false" outlineLevel="0" collapsed="false">
      <c r="A8067" s="0" t="s">
        <v>4077</v>
      </c>
      <c r="B8067" s="6" t="n">
        <v>42681</v>
      </c>
      <c r="C8067" s="7" t="s">
        <v>55</v>
      </c>
      <c r="D8067" s="7" t="s">
        <v>76</v>
      </c>
      <c r="E8067" s="7" t="s">
        <v>35</v>
      </c>
      <c r="F8067" s="0" t="n">
        <v>116.82</v>
      </c>
      <c r="G8067" s="0" t="n">
        <v>5.841</v>
      </c>
      <c r="H8067" s="0" t="n">
        <v>0</v>
      </c>
      <c r="I8067" s="7" t="n">
        <f aca="false">YEAR(B8067)</f>
        <v>2016</v>
      </c>
      <c r="J8067" s="0" t="str">
        <f aca="false">I8067&amp;"-Q"&amp;ROUNDUP(MONTH(B8067)/3,0)</f>
        <v>2016-Q4</v>
      </c>
    </row>
    <row r="8068" customFormat="false" ht="15" hidden="false" customHeight="false" outlineLevel="0" collapsed="false">
      <c r="A8068" s="0" t="s">
        <v>4077</v>
      </c>
      <c r="B8068" s="6" t="n">
        <v>42681</v>
      </c>
      <c r="C8068" s="7" t="s">
        <v>55</v>
      </c>
      <c r="D8068" s="7" t="s">
        <v>76</v>
      </c>
      <c r="E8068" s="7" t="s">
        <v>35</v>
      </c>
      <c r="F8068" s="0" t="n">
        <v>276.784</v>
      </c>
      <c r="G8068" s="0" t="n">
        <v>89.9548</v>
      </c>
      <c r="H8068" s="0" t="n">
        <v>0.2</v>
      </c>
      <c r="I8068" s="7" t="n">
        <f aca="false">YEAR(B8068)</f>
        <v>2016</v>
      </c>
      <c r="J8068" s="0" t="str">
        <f aca="false">I8068&amp;"-Q"&amp;ROUNDUP(MONTH(B8068)/3,0)</f>
        <v>2016-Q4</v>
      </c>
    </row>
    <row r="8069" customFormat="false" ht="15" hidden="false" customHeight="false" outlineLevel="0" collapsed="false">
      <c r="A8069" s="0" t="s">
        <v>4078</v>
      </c>
      <c r="B8069" s="6" t="n">
        <v>42297</v>
      </c>
      <c r="C8069" s="7" t="s">
        <v>33</v>
      </c>
      <c r="D8069" s="7" t="s">
        <v>34</v>
      </c>
      <c r="E8069" s="7" t="s">
        <v>39</v>
      </c>
      <c r="F8069" s="0" t="n">
        <v>239.97</v>
      </c>
      <c r="G8069" s="0" t="n">
        <v>86.3892</v>
      </c>
      <c r="H8069" s="0" t="n">
        <v>0</v>
      </c>
      <c r="I8069" s="7" t="n">
        <f aca="false">YEAR(B8069)</f>
        <v>2015</v>
      </c>
      <c r="J8069" s="0" t="str">
        <f aca="false">I8069&amp;"-Q"&amp;ROUNDUP(MONTH(B8069)/3,0)</f>
        <v>2015-Q4</v>
      </c>
    </row>
    <row r="8070" customFormat="false" ht="15" hidden="false" customHeight="false" outlineLevel="0" collapsed="false">
      <c r="A8070" s="0" t="s">
        <v>4078</v>
      </c>
      <c r="B8070" s="6" t="n">
        <v>42297</v>
      </c>
      <c r="C8070" s="7" t="s">
        <v>33</v>
      </c>
      <c r="D8070" s="7" t="s">
        <v>34</v>
      </c>
      <c r="E8070" s="7" t="s">
        <v>31</v>
      </c>
      <c r="F8070" s="0" t="n">
        <v>16.02</v>
      </c>
      <c r="G8070" s="0" t="n">
        <v>6.0876</v>
      </c>
      <c r="H8070" s="0" t="n">
        <v>0</v>
      </c>
      <c r="I8070" s="7" t="n">
        <f aca="false">YEAR(B8070)</f>
        <v>2015</v>
      </c>
      <c r="J8070" s="0" t="str">
        <f aca="false">I8070&amp;"-Q"&amp;ROUNDUP(MONTH(B8070)/3,0)</f>
        <v>2015-Q4</v>
      </c>
    </row>
    <row r="8071" customFormat="false" ht="15" hidden="false" customHeight="false" outlineLevel="0" collapsed="false">
      <c r="A8071" s="0" t="s">
        <v>4079</v>
      </c>
      <c r="B8071" s="6" t="n">
        <v>42736</v>
      </c>
      <c r="C8071" s="7" t="s">
        <v>45</v>
      </c>
      <c r="D8071" s="7" t="s">
        <v>46</v>
      </c>
      <c r="E8071" s="7" t="s">
        <v>35</v>
      </c>
      <c r="F8071" s="0" t="n">
        <v>454.56</v>
      </c>
      <c r="G8071" s="0" t="n">
        <v>-107.958</v>
      </c>
      <c r="H8071" s="0" t="n">
        <v>0.2</v>
      </c>
      <c r="I8071" s="7" t="n">
        <f aca="false">YEAR(B8071)</f>
        <v>2017</v>
      </c>
      <c r="J8071" s="0" t="str">
        <f aca="false">I8071&amp;"-Q"&amp;ROUNDUP(MONTH(B8071)/3,0)</f>
        <v>2017-Q1</v>
      </c>
    </row>
    <row r="8072" customFormat="false" ht="15" hidden="false" customHeight="false" outlineLevel="0" collapsed="false">
      <c r="A8072" s="0" t="s">
        <v>4079</v>
      </c>
      <c r="B8072" s="6" t="n">
        <v>42736</v>
      </c>
      <c r="C8072" s="7" t="s">
        <v>45</v>
      </c>
      <c r="D8072" s="7" t="s">
        <v>46</v>
      </c>
      <c r="E8072" s="7" t="s">
        <v>31</v>
      </c>
      <c r="F8072" s="0" t="n">
        <v>141.42</v>
      </c>
      <c r="G8072" s="0" t="n">
        <v>-187.3815</v>
      </c>
      <c r="H8072" s="0" t="n">
        <v>0.6</v>
      </c>
      <c r="I8072" s="7" t="n">
        <f aca="false">YEAR(B8072)</f>
        <v>2017</v>
      </c>
      <c r="J8072" s="0" t="str">
        <f aca="false">I8072&amp;"-Q"&amp;ROUNDUP(MONTH(B8072)/3,0)</f>
        <v>2017-Q1</v>
      </c>
    </row>
    <row r="8073" customFormat="false" ht="15" hidden="false" customHeight="false" outlineLevel="0" collapsed="false">
      <c r="A8073" s="0" t="s">
        <v>4079</v>
      </c>
      <c r="B8073" s="6" t="n">
        <v>42736</v>
      </c>
      <c r="C8073" s="7" t="s">
        <v>45</v>
      </c>
      <c r="D8073" s="7" t="s">
        <v>46</v>
      </c>
      <c r="E8073" s="7" t="s">
        <v>31</v>
      </c>
      <c r="F8073" s="0" t="n">
        <v>310.744</v>
      </c>
      <c r="G8073" s="0" t="n">
        <v>-26.6352</v>
      </c>
      <c r="H8073" s="0" t="n">
        <v>0.3</v>
      </c>
      <c r="I8073" s="7" t="n">
        <f aca="false">YEAR(B8073)</f>
        <v>2017</v>
      </c>
      <c r="J8073" s="0" t="str">
        <f aca="false">I8073&amp;"-Q"&amp;ROUNDUP(MONTH(B8073)/3,0)</f>
        <v>2017-Q1</v>
      </c>
    </row>
    <row r="8074" customFormat="false" ht="15" hidden="false" customHeight="false" outlineLevel="0" collapsed="false">
      <c r="A8074" s="0" t="s">
        <v>4079</v>
      </c>
      <c r="B8074" s="6" t="n">
        <v>42736</v>
      </c>
      <c r="C8074" s="7" t="s">
        <v>45</v>
      </c>
      <c r="D8074" s="7" t="s">
        <v>46</v>
      </c>
      <c r="E8074" s="7" t="s">
        <v>35</v>
      </c>
      <c r="F8074" s="0" t="n">
        <v>12.736</v>
      </c>
      <c r="G8074" s="0" t="n">
        <v>2.2288</v>
      </c>
      <c r="H8074" s="0" t="n">
        <v>0.2</v>
      </c>
      <c r="I8074" s="7" t="n">
        <f aca="false">YEAR(B8074)</f>
        <v>2017</v>
      </c>
      <c r="J8074" s="0" t="str">
        <f aca="false">I8074&amp;"-Q"&amp;ROUNDUP(MONTH(B8074)/3,0)</f>
        <v>2017-Q1</v>
      </c>
    </row>
    <row r="8075" customFormat="false" ht="15" hidden="false" customHeight="false" outlineLevel="0" collapsed="false">
      <c r="A8075" s="0" t="s">
        <v>4079</v>
      </c>
      <c r="B8075" s="6" t="n">
        <v>42736</v>
      </c>
      <c r="C8075" s="7" t="s">
        <v>45</v>
      </c>
      <c r="D8075" s="7" t="s">
        <v>46</v>
      </c>
      <c r="E8075" s="7" t="s">
        <v>35</v>
      </c>
      <c r="F8075" s="0" t="n">
        <v>6.47</v>
      </c>
      <c r="G8075" s="0" t="n">
        <v>-9.705</v>
      </c>
      <c r="H8075" s="0" t="n">
        <v>0.8</v>
      </c>
      <c r="I8075" s="7" t="n">
        <f aca="false">YEAR(B8075)</f>
        <v>2017</v>
      </c>
      <c r="J8075" s="0" t="str">
        <f aca="false">I8075&amp;"-Q"&amp;ROUNDUP(MONTH(B8075)/3,0)</f>
        <v>2017-Q1</v>
      </c>
    </row>
    <row r="8076" customFormat="false" ht="15" hidden="false" customHeight="false" outlineLevel="0" collapsed="false">
      <c r="A8076" s="0" t="s">
        <v>4079</v>
      </c>
      <c r="B8076" s="6" t="n">
        <v>42736</v>
      </c>
      <c r="C8076" s="7" t="s">
        <v>45</v>
      </c>
      <c r="D8076" s="7" t="s">
        <v>46</v>
      </c>
      <c r="E8076" s="7" t="s">
        <v>35</v>
      </c>
      <c r="F8076" s="0" t="n">
        <v>13.748</v>
      </c>
      <c r="G8076" s="0" t="n">
        <v>-22.6842</v>
      </c>
      <c r="H8076" s="0" t="n">
        <v>0.8</v>
      </c>
      <c r="I8076" s="7" t="n">
        <f aca="false">YEAR(B8076)</f>
        <v>2017</v>
      </c>
      <c r="J8076" s="0" t="str">
        <f aca="false">I8076&amp;"-Q"&amp;ROUNDUP(MONTH(B8076)/3,0)</f>
        <v>2017-Q1</v>
      </c>
    </row>
    <row r="8077" customFormat="false" ht="15" hidden="false" customHeight="false" outlineLevel="0" collapsed="false">
      <c r="A8077" s="0" t="s">
        <v>4079</v>
      </c>
      <c r="B8077" s="6" t="n">
        <v>42736</v>
      </c>
      <c r="C8077" s="7" t="s">
        <v>45</v>
      </c>
      <c r="D8077" s="7" t="s">
        <v>46</v>
      </c>
      <c r="E8077" s="7" t="s">
        <v>35</v>
      </c>
      <c r="F8077" s="0" t="n">
        <v>15.224</v>
      </c>
      <c r="G8077" s="0" t="n">
        <v>-38.8212</v>
      </c>
      <c r="H8077" s="0" t="n">
        <v>0.8</v>
      </c>
      <c r="I8077" s="7" t="n">
        <f aca="false">YEAR(B8077)</f>
        <v>2017</v>
      </c>
      <c r="J8077" s="0" t="str">
        <f aca="false">I8077&amp;"-Q"&amp;ROUNDUP(MONTH(B8077)/3,0)</f>
        <v>2017-Q1</v>
      </c>
    </row>
    <row r="8078" customFormat="false" ht="15" hidden="false" customHeight="false" outlineLevel="0" collapsed="false">
      <c r="A8078" s="0" t="s">
        <v>4080</v>
      </c>
      <c r="B8078" s="6" t="n">
        <v>42178</v>
      </c>
      <c r="C8078" s="7" t="s">
        <v>29</v>
      </c>
      <c r="D8078" s="7" t="s">
        <v>230</v>
      </c>
      <c r="E8078" s="7" t="s">
        <v>31</v>
      </c>
      <c r="F8078" s="0" t="n">
        <v>27.42</v>
      </c>
      <c r="G8078" s="0" t="n">
        <v>9.3228</v>
      </c>
      <c r="H8078" s="0" t="n">
        <v>0</v>
      </c>
      <c r="I8078" s="7" t="n">
        <f aca="false">YEAR(B8078)</f>
        <v>2015</v>
      </c>
      <c r="J8078" s="0" t="str">
        <f aca="false">I8078&amp;"-Q"&amp;ROUNDUP(MONTH(B8078)/3,0)</f>
        <v>2015-Q2</v>
      </c>
    </row>
    <row r="8079" customFormat="false" ht="15" hidden="false" customHeight="false" outlineLevel="0" collapsed="false">
      <c r="A8079" s="0" t="s">
        <v>4080</v>
      </c>
      <c r="B8079" s="6" t="n">
        <v>42178</v>
      </c>
      <c r="C8079" s="7" t="s">
        <v>29</v>
      </c>
      <c r="D8079" s="7" t="s">
        <v>230</v>
      </c>
      <c r="E8079" s="7" t="s">
        <v>35</v>
      </c>
      <c r="F8079" s="0" t="n">
        <v>165.98</v>
      </c>
      <c r="G8079" s="0" t="n">
        <v>74.691</v>
      </c>
      <c r="H8079" s="0" t="n">
        <v>0</v>
      </c>
      <c r="I8079" s="7" t="n">
        <f aca="false">YEAR(B8079)</f>
        <v>2015</v>
      </c>
      <c r="J8079" s="0" t="str">
        <f aca="false">I8079&amp;"-Q"&amp;ROUNDUP(MONTH(B8079)/3,0)</f>
        <v>2015-Q2</v>
      </c>
    </row>
    <row r="8080" customFormat="false" ht="15" hidden="false" customHeight="false" outlineLevel="0" collapsed="false">
      <c r="A8080" s="0" t="s">
        <v>4080</v>
      </c>
      <c r="B8080" s="6" t="n">
        <v>42178</v>
      </c>
      <c r="C8080" s="7" t="s">
        <v>29</v>
      </c>
      <c r="D8080" s="7" t="s">
        <v>230</v>
      </c>
      <c r="E8080" s="7" t="s">
        <v>39</v>
      </c>
      <c r="F8080" s="0" t="n">
        <v>75</v>
      </c>
      <c r="G8080" s="0" t="n">
        <v>18</v>
      </c>
      <c r="H8080" s="0" t="n">
        <v>0</v>
      </c>
      <c r="I8080" s="7" t="n">
        <f aca="false">YEAR(B8080)</f>
        <v>2015</v>
      </c>
      <c r="J8080" s="0" t="str">
        <f aca="false">I8080&amp;"-Q"&amp;ROUNDUP(MONTH(B8080)/3,0)</f>
        <v>2015-Q2</v>
      </c>
    </row>
    <row r="8081" customFormat="false" ht="15" hidden="false" customHeight="false" outlineLevel="0" collapsed="false">
      <c r="A8081" s="0" t="s">
        <v>4081</v>
      </c>
      <c r="B8081" s="6" t="n">
        <v>42696</v>
      </c>
      <c r="C8081" s="7" t="s">
        <v>55</v>
      </c>
      <c r="D8081" s="7" t="s">
        <v>76</v>
      </c>
      <c r="E8081" s="7" t="s">
        <v>35</v>
      </c>
      <c r="F8081" s="0" t="n">
        <v>134.272</v>
      </c>
      <c r="G8081" s="0" t="n">
        <v>46.9952</v>
      </c>
      <c r="H8081" s="0" t="n">
        <v>0.2</v>
      </c>
      <c r="I8081" s="7" t="n">
        <f aca="false">YEAR(B8081)</f>
        <v>2016</v>
      </c>
      <c r="J8081" s="0" t="str">
        <f aca="false">I8081&amp;"-Q"&amp;ROUNDUP(MONTH(B8081)/3,0)</f>
        <v>2016-Q4</v>
      </c>
    </row>
    <row r="8082" customFormat="false" ht="15" hidden="false" customHeight="false" outlineLevel="0" collapsed="false">
      <c r="A8082" s="0" t="s">
        <v>4082</v>
      </c>
      <c r="B8082" s="6" t="n">
        <v>42303</v>
      </c>
      <c r="C8082" s="7" t="s">
        <v>33</v>
      </c>
      <c r="D8082" s="7" t="s">
        <v>102</v>
      </c>
      <c r="E8082" s="7" t="s">
        <v>35</v>
      </c>
      <c r="F8082" s="0" t="n">
        <v>146.544</v>
      </c>
      <c r="G8082" s="0" t="n">
        <v>47.6268</v>
      </c>
      <c r="H8082" s="0" t="n">
        <v>0.2</v>
      </c>
      <c r="I8082" s="7" t="n">
        <f aca="false">YEAR(B8082)</f>
        <v>2015</v>
      </c>
      <c r="J8082" s="0" t="str">
        <f aca="false">I8082&amp;"-Q"&amp;ROUNDUP(MONTH(B8082)/3,0)</f>
        <v>2015-Q4</v>
      </c>
    </row>
    <row r="8083" customFormat="false" ht="15" hidden="false" customHeight="false" outlineLevel="0" collapsed="false">
      <c r="A8083" s="0" t="s">
        <v>4082</v>
      </c>
      <c r="B8083" s="6" t="n">
        <v>42303</v>
      </c>
      <c r="C8083" s="7" t="s">
        <v>33</v>
      </c>
      <c r="D8083" s="7" t="s">
        <v>102</v>
      </c>
      <c r="E8083" s="7" t="s">
        <v>35</v>
      </c>
      <c r="F8083" s="0" t="n">
        <v>131.904</v>
      </c>
      <c r="G8083" s="0" t="n">
        <v>47.8152</v>
      </c>
      <c r="H8083" s="0" t="n">
        <v>0.2</v>
      </c>
      <c r="I8083" s="7" t="n">
        <f aca="false">YEAR(B8083)</f>
        <v>2015</v>
      </c>
      <c r="J8083" s="0" t="str">
        <f aca="false">I8083&amp;"-Q"&amp;ROUNDUP(MONTH(B8083)/3,0)</f>
        <v>2015-Q4</v>
      </c>
    </row>
    <row r="8084" customFormat="false" ht="15" hidden="false" customHeight="false" outlineLevel="0" collapsed="false">
      <c r="A8084" s="0" t="s">
        <v>4082</v>
      </c>
      <c r="B8084" s="6" t="n">
        <v>42303</v>
      </c>
      <c r="C8084" s="7" t="s">
        <v>33</v>
      </c>
      <c r="D8084" s="7" t="s">
        <v>102</v>
      </c>
      <c r="E8084" s="7" t="s">
        <v>35</v>
      </c>
      <c r="F8084" s="0" t="n">
        <v>203.88</v>
      </c>
      <c r="G8084" s="0" t="n">
        <v>20.388</v>
      </c>
      <c r="H8084" s="0" t="n">
        <v>0.2</v>
      </c>
      <c r="I8084" s="7" t="n">
        <f aca="false">YEAR(B8084)</f>
        <v>2015</v>
      </c>
      <c r="J8084" s="0" t="str">
        <f aca="false">I8084&amp;"-Q"&amp;ROUNDUP(MONTH(B8084)/3,0)</f>
        <v>2015-Q4</v>
      </c>
    </row>
    <row r="8085" customFormat="false" ht="15" hidden="false" customHeight="false" outlineLevel="0" collapsed="false">
      <c r="A8085" s="0" t="s">
        <v>4082</v>
      </c>
      <c r="B8085" s="6" t="n">
        <v>42303</v>
      </c>
      <c r="C8085" s="7" t="s">
        <v>33</v>
      </c>
      <c r="D8085" s="7" t="s">
        <v>102</v>
      </c>
      <c r="E8085" s="7" t="s">
        <v>35</v>
      </c>
      <c r="F8085" s="0" t="n">
        <v>14.301</v>
      </c>
      <c r="G8085" s="0" t="n">
        <v>-10.4874</v>
      </c>
      <c r="H8085" s="0" t="n">
        <v>0.7</v>
      </c>
      <c r="I8085" s="7" t="n">
        <f aca="false">YEAR(B8085)</f>
        <v>2015</v>
      </c>
      <c r="J8085" s="0" t="str">
        <f aca="false">I8085&amp;"-Q"&amp;ROUNDUP(MONTH(B8085)/3,0)</f>
        <v>2015-Q4</v>
      </c>
    </row>
    <row r="8086" customFormat="false" ht="15" hidden="false" customHeight="false" outlineLevel="0" collapsed="false">
      <c r="A8086" s="0" t="s">
        <v>4082</v>
      </c>
      <c r="B8086" s="6" t="n">
        <v>42303</v>
      </c>
      <c r="C8086" s="7" t="s">
        <v>33</v>
      </c>
      <c r="D8086" s="7" t="s">
        <v>102</v>
      </c>
      <c r="E8086" s="7" t="s">
        <v>35</v>
      </c>
      <c r="F8086" s="0" t="n">
        <v>718.64</v>
      </c>
      <c r="G8086" s="0" t="n">
        <v>-161.694</v>
      </c>
      <c r="H8086" s="0" t="n">
        <v>0.2</v>
      </c>
      <c r="I8086" s="7" t="n">
        <f aca="false">YEAR(B8086)</f>
        <v>2015</v>
      </c>
      <c r="J8086" s="0" t="str">
        <f aca="false">I8086&amp;"-Q"&amp;ROUNDUP(MONTH(B8086)/3,0)</f>
        <v>2015-Q4</v>
      </c>
    </row>
    <row r="8087" customFormat="false" ht="15" hidden="false" customHeight="false" outlineLevel="0" collapsed="false">
      <c r="A8087" s="0" t="s">
        <v>4083</v>
      </c>
      <c r="B8087" s="6" t="n">
        <v>42663</v>
      </c>
      <c r="C8087" s="7" t="s">
        <v>29</v>
      </c>
      <c r="D8087" s="7" t="s">
        <v>83</v>
      </c>
      <c r="E8087" s="7" t="s">
        <v>31</v>
      </c>
      <c r="F8087" s="0" t="n">
        <v>61.1</v>
      </c>
      <c r="G8087" s="0" t="n">
        <v>18.33</v>
      </c>
      <c r="H8087" s="0" t="n">
        <v>0</v>
      </c>
      <c r="I8087" s="7" t="n">
        <f aca="false">YEAR(B8087)</f>
        <v>2016</v>
      </c>
      <c r="J8087" s="0" t="str">
        <f aca="false">I8087&amp;"-Q"&amp;ROUNDUP(MONTH(B8087)/3,0)</f>
        <v>2016-Q4</v>
      </c>
    </row>
    <row r="8088" customFormat="false" ht="15" hidden="false" customHeight="false" outlineLevel="0" collapsed="false">
      <c r="A8088" s="0" t="s">
        <v>4084</v>
      </c>
      <c r="B8088" s="6" t="n">
        <v>42853</v>
      </c>
      <c r="C8088" s="7" t="s">
        <v>29</v>
      </c>
      <c r="D8088" s="7" t="s">
        <v>41</v>
      </c>
      <c r="E8088" s="7" t="s">
        <v>35</v>
      </c>
      <c r="F8088" s="0" t="n">
        <v>28.08</v>
      </c>
      <c r="G8088" s="0" t="n">
        <v>5.265</v>
      </c>
      <c r="H8088" s="0" t="n">
        <v>0.2</v>
      </c>
      <c r="I8088" s="7" t="n">
        <f aca="false">YEAR(B8088)</f>
        <v>2017</v>
      </c>
      <c r="J8088" s="0" t="str">
        <f aca="false">I8088&amp;"-Q"&amp;ROUNDUP(MONTH(B8088)/3,0)</f>
        <v>2017-Q2</v>
      </c>
    </row>
    <row r="8089" customFormat="false" ht="15" hidden="false" customHeight="false" outlineLevel="0" collapsed="false">
      <c r="A8089" s="0" t="s">
        <v>4085</v>
      </c>
      <c r="B8089" s="6" t="n">
        <v>42642</v>
      </c>
      <c r="C8089" s="7" t="s">
        <v>33</v>
      </c>
      <c r="D8089" s="7" t="s">
        <v>81</v>
      </c>
      <c r="E8089" s="7" t="s">
        <v>35</v>
      </c>
      <c r="F8089" s="0" t="n">
        <v>10.496</v>
      </c>
      <c r="G8089" s="0" t="n">
        <v>1.1808</v>
      </c>
      <c r="H8089" s="0" t="n">
        <v>0.2</v>
      </c>
      <c r="I8089" s="7" t="n">
        <f aca="false">YEAR(B8089)</f>
        <v>2016</v>
      </c>
      <c r="J8089" s="0" t="str">
        <f aca="false">I8089&amp;"-Q"&amp;ROUNDUP(MONTH(B8089)/3,0)</f>
        <v>2016-Q3</v>
      </c>
    </row>
    <row r="8090" customFormat="false" ht="15" hidden="false" customHeight="false" outlineLevel="0" collapsed="false">
      <c r="A8090" s="0" t="s">
        <v>4086</v>
      </c>
      <c r="B8090" s="6" t="n">
        <v>42195</v>
      </c>
      <c r="C8090" s="7" t="s">
        <v>33</v>
      </c>
      <c r="D8090" s="7" t="s">
        <v>34</v>
      </c>
      <c r="E8090" s="7" t="s">
        <v>35</v>
      </c>
      <c r="F8090" s="0" t="n">
        <v>39.92</v>
      </c>
      <c r="G8090" s="0" t="n">
        <v>12.974</v>
      </c>
      <c r="H8090" s="0" t="n">
        <v>0.2</v>
      </c>
      <c r="I8090" s="7" t="n">
        <f aca="false">YEAR(B8090)</f>
        <v>2015</v>
      </c>
      <c r="J8090" s="0" t="str">
        <f aca="false">I8090&amp;"-Q"&amp;ROUNDUP(MONTH(B8090)/3,0)</f>
        <v>2015-Q3</v>
      </c>
    </row>
    <row r="8091" customFormat="false" ht="15" hidden="false" customHeight="false" outlineLevel="0" collapsed="false">
      <c r="A8091" s="0" t="s">
        <v>4087</v>
      </c>
      <c r="B8091" s="6" t="n">
        <v>42223</v>
      </c>
      <c r="C8091" s="7" t="s">
        <v>55</v>
      </c>
      <c r="D8091" s="7" t="s">
        <v>495</v>
      </c>
      <c r="E8091" s="7" t="s">
        <v>35</v>
      </c>
      <c r="F8091" s="0" t="n">
        <v>77.58</v>
      </c>
      <c r="G8091" s="0" t="n">
        <v>20.1708</v>
      </c>
      <c r="H8091" s="0" t="n">
        <v>0</v>
      </c>
      <c r="I8091" s="7" t="n">
        <f aca="false">YEAR(B8091)</f>
        <v>2015</v>
      </c>
      <c r="J8091" s="0" t="str">
        <f aca="false">I8091&amp;"-Q"&amp;ROUNDUP(MONTH(B8091)/3,0)</f>
        <v>2015-Q3</v>
      </c>
    </row>
    <row r="8092" customFormat="false" ht="15" hidden="false" customHeight="false" outlineLevel="0" collapsed="false">
      <c r="A8092" s="0" t="s">
        <v>4088</v>
      </c>
      <c r="B8092" s="6" t="n">
        <v>41980</v>
      </c>
      <c r="C8092" s="7" t="s">
        <v>33</v>
      </c>
      <c r="D8092" s="7" t="s">
        <v>43</v>
      </c>
      <c r="E8092" s="7" t="s">
        <v>35</v>
      </c>
      <c r="F8092" s="0" t="n">
        <v>269.36</v>
      </c>
      <c r="G8092" s="0" t="n">
        <v>70.0336</v>
      </c>
      <c r="H8092" s="0" t="n">
        <v>0</v>
      </c>
      <c r="I8092" s="7" t="n">
        <f aca="false">YEAR(B8092)</f>
        <v>2014</v>
      </c>
      <c r="J8092" s="0" t="str">
        <f aca="false">I8092&amp;"-Q"&amp;ROUNDUP(MONTH(B8092)/3,0)</f>
        <v>2014-Q4</v>
      </c>
    </row>
    <row r="8093" customFormat="false" ht="15" hidden="false" customHeight="false" outlineLevel="0" collapsed="false">
      <c r="A8093" s="0" t="s">
        <v>4089</v>
      </c>
      <c r="B8093" s="6" t="n">
        <v>42348</v>
      </c>
      <c r="C8093" s="7" t="s">
        <v>33</v>
      </c>
      <c r="D8093" s="7" t="s">
        <v>34</v>
      </c>
      <c r="E8093" s="7" t="s">
        <v>35</v>
      </c>
      <c r="F8093" s="0" t="n">
        <v>5.76</v>
      </c>
      <c r="G8093" s="0" t="n">
        <v>2.8224</v>
      </c>
      <c r="H8093" s="0" t="n">
        <v>0</v>
      </c>
      <c r="I8093" s="7" t="n">
        <f aca="false">YEAR(B8093)</f>
        <v>2015</v>
      </c>
      <c r="J8093" s="0" t="str">
        <f aca="false">I8093&amp;"-Q"&amp;ROUNDUP(MONTH(B8093)/3,0)</f>
        <v>2015-Q4</v>
      </c>
    </row>
    <row r="8094" customFormat="false" ht="15" hidden="false" customHeight="false" outlineLevel="0" collapsed="false">
      <c r="A8094" s="0" t="s">
        <v>4090</v>
      </c>
      <c r="B8094" s="6" t="n">
        <v>43047</v>
      </c>
      <c r="C8094" s="7" t="s">
        <v>55</v>
      </c>
      <c r="D8094" s="7" t="s">
        <v>76</v>
      </c>
      <c r="E8094" s="7" t="s">
        <v>35</v>
      </c>
      <c r="F8094" s="0" t="n">
        <v>109.9</v>
      </c>
      <c r="G8094" s="0" t="n">
        <v>32.97</v>
      </c>
      <c r="H8094" s="0" t="n">
        <v>0</v>
      </c>
      <c r="I8094" s="7" t="n">
        <f aca="false">YEAR(B8094)</f>
        <v>2017</v>
      </c>
      <c r="J8094" s="0" t="str">
        <f aca="false">I8094&amp;"-Q"&amp;ROUNDUP(MONTH(B8094)/3,0)</f>
        <v>2017-Q4</v>
      </c>
    </row>
    <row r="8095" customFormat="false" ht="15" hidden="false" customHeight="false" outlineLevel="0" collapsed="false">
      <c r="A8095" s="0" t="s">
        <v>4091</v>
      </c>
      <c r="B8095" s="6" t="n">
        <v>42943</v>
      </c>
      <c r="C8095" s="7" t="s">
        <v>33</v>
      </c>
      <c r="D8095" s="7" t="s">
        <v>43</v>
      </c>
      <c r="E8095" s="7" t="s">
        <v>31</v>
      </c>
      <c r="F8095" s="0" t="n">
        <v>23.88</v>
      </c>
      <c r="G8095" s="0" t="n">
        <v>10.5072</v>
      </c>
      <c r="H8095" s="0" t="n">
        <v>0</v>
      </c>
      <c r="I8095" s="7" t="n">
        <f aca="false">YEAR(B8095)</f>
        <v>2017</v>
      </c>
      <c r="J8095" s="0" t="str">
        <f aca="false">I8095&amp;"-Q"&amp;ROUNDUP(MONTH(B8095)/3,0)</f>
        <v>2017-Q3</v>
      </c>
    </row>
    <row r="8096" customFormat="false" ht="15" hidden="false" customHeight="false" outlineLevel="0" collapsed="false">
      <c r="A8096" s="0" t="s">
        <v>4091</v>
      </c>
      <c r="B8096" s="6" t="n">
        <v>42943</v>
      </c>
      <c r="C8096" s="7" t="s">
        <v>33</v>
      </c>
      <c r="D8096" s="7" t="s">
        <v>43</v>
      </c>
      <c r="E8096" s="7" t="s">
        <v>35</v>
      </c>
      <c r="F8096" s="0" t="n">
        <v>26.2</v>
      </c>
      <c r="G8096" s="0" t="n">
        <v>12.052</v>
      </c>
      <c r="H8096" s="0" t="n">
        <v>0</v>
      </c>
      <c r="I8096" s="7" t="n">
        <f aca="false">YEAR(B8096)</f>
        <v>2017</v>
      </c>
      <c r="J8096" s="0" t="str">
        <f aca="false">I8096&amp;"-Q"&amp;ROUNDUP(MONTH(B8096)/3,0)</f>
        <v>2017-Q3</v>
      </c>
    </row>
    <row r="8097" customFormat="false" ht="15" hidden="false" customHeight="false" outlineLevel="0" collapsed="false">
      <c r="A8097" s="0" t="s">
        <v>4091</v>
      </c>
      <c r="B8097" s="6" t="n">
        <v>42943</v>
      </c>
      <c r="C8097" s="7" t="s">
        <v>33</v>
      </c>
      <c r="D8097" s="7" t="s">
        <v>43</v>
      </c>
      <c r="E8097" s="7" t="s">
        <v>35</v>
      </c>
      <c r="F8097" s="0" t="n">
        <v>12.96</v>
      </c>
      <c r="G8097" s="0" t="n">
        <v>6.2208</v>
      </c>
      <c r="H8097" s="0" t="n">
        <v>0</v>
      </c>
      <c r="I8097" s="7" t="n">
        <f aca="false">YEAR(B8097)</f>
        <v>2017</v>
      </c>
      <c r="J8097" s="0" t="str">
        <f aca="false">I8097&amp;"-Q"&amp;ROUNDUP(MONTH(B8097)/3,0)</f>
        <v>2017-Q3</v>
      </c>
    </row>
    <row r="8098" customFormat="false" ht="15" hidden="false" customHeight="false" outlineLevel="0" collapsed="false">
      <c r="A8098" s="0" t="s">
        <v>4091</v>
      </c>
      <c r="B8098" s="6" t="n">
        <v>42943</v>
      </c>
      <c r="C8098" s="7" t="s">
        <v>33</v>
      </c>
      <c r="D8098" s="7" t="s">
        <v>43</v>
      </c>
      <c r="E8098" s="7" t="s">
        <v>39</v>
      </c>
      <c r="F8098" s="0" t="n">
        <v>234.95</v>
      </c>
      <c r="G8098" s="0" t="n">
        <v>32.893</v>
      </c>
      <c r="H8098" s="0" t="n">
        <v>0</v>
      </c>
      <c r="I8098" s="7" t="n">
        <f aca="false">YEAR(B8098)</f>
        <v>2017</v>
      </c>
      <c r="J8098" s="0" t="str">
        <f aca="false">I8098&amp;"-Q"&amp;ROUNDUP(MONTH(B8098)/3,0)</f>
        <v>2017-Q3</v>
      </c>
    </row>
    <row r="8099" customFormat="false" ht="15" hidden="false" customHeight="false" outlineLevel="0" collapsed="false">
      <c r="A8099" s="0" t="s">
        <v>4092</v>
      </c>
      <c r="B8099" s="6" t="n">
        <v>43097</v>
      </c>
      <c r="C8099" s="7" t="s">
        <v>33</v>
      </c>
      <c r="D8099" s="7" t="s">
        <v>142</v>
      </c>
      <c r="E8099" s="7" t="s">
        <v>35</v>
      </c>
      <c r="F8099" s="0" t="n">
        <v>118.25</v>
      </c>
      <c r="G8099" s="0" t="n">
        <v>34.2925</v>
      </c>
      <c r="H8099" s="0" t="n">
        <v>0</v>
      </c>
      <c r="I8099" s="7" t="n">
        <f aca="false">YEAR(B8099)</f>
        <v>2017</v>
      </c>
      <c r="J8099" s="0" t="str">
        <f aca="false">I8099&amp;"-Q"&amp;ROUNDUP(MONTH(B8099)/3,0)</f>
        <v>2017-Q4</v>
      </c>
    </row>
    <row r="8100" customFormat="false" ht="15" hidden="false" customHeight="false" outlineLevel="0" collapsed="false">
      <c r="A8100" s="0" t="s">
        <v>4092</v>
      </c>
      <c r="B8100" s="6" t="n">
        <v>43097</v>
      </c>
      <c r="C8100" s="7" t="s">
        <v>33</v>
      </c>
      <c r="D8100" s="7" t="s">
        <v>142</v>
      </c>
      <c r="E8100" s="7" t="s">
        <v>35</v>
      </c>
      <c r="F8100" s="0" t="n">
        <v>4.28</v>
      </c>
      <c r="G8100" s="0" t="n">
        <v>1.926</v>
      </c>
      <c r="H8100" s="0" t="n">
        <v>0</v>
      </c>
      <c r="I8100" s="7" t="n">
        <f aca="false">YEAR(B8100)</f>
        <v>2017</v>
      </c>
      <c r="J8100" s="0" t="str">
        <f aca="false">I8100&amp;"-Q"&amp;ROUNDUP(MONTH(B8100)/3,0)</f>
        <v>2017-Q4</v>
      </c>
    </row>
    <row r="8101" customFormat="false" ht="15" hidden="false" customHeight="false" outlineLevel="0" collapsed="false">
      <c r="A8101" s="0" t="s">
        <v>4093</v>
      </c>
      <c r="B8101" s="6" t="n">
        <v>42439</v>
      </c>
      <c r="C8101" s="7" t="s">
        <v>33</v>
      </c>
      <c r="D8101" s="7" t="s">
        <v>34</v>
      </c>
      <c r="E8101" s="7" t="s">
        <v>39</v>
      </c>
      <c r="F8101" s="0" t="n">
        <v>26.85</v>
      </c>
      <c r="G8101" s="0" t="n">
        <v>5.1015</v>
      </c>
      <c r="H8101" s="0" t="n">
        <v>0</v>
      </c>
      <c r="I8101" s="7" t="n">
        <f aca="false">YEAR(B8101)</f>
        <v>2016</v>
      </c>
      <c r="J8101" s="0" t="str">
        <f aca="false">I8101&amp;"-Q"&amp;ROUNDUP(MONTH(B8101)/3,0)</f>
        <v>2016-Q1</v>
      </c>
    </row>
    <row r="8102" customFormat="false" ht="15" hidden="false" customHeight="false" outlineLevel="0" collapsed="false">
      <c r="A8102" s="0" t="s">
        <v>4093</v>
      </c>
      <c r="B8102" s="6" t="n">
        <v>42439</v>
      </c>
      <c r="C8102" s="7" t="s">
        <v>33</v>
      </c>
      <c r="D8102" s="7" t="s">
        <v>34</v>
      </c>
      <c r="E8102" s="7" t="s">
        <v>39</v>
      </c>
      <c r="F8102" s="0" t="n">
        <v>3357.6</v>
      </c>
      <c r="G8102" s="0" t="n">
        <v>377.73</v>
      </c>
      <c r="H8102" s="0" t="n">
        <v>0.2</v>
      </c>
      <c r="I8102" s="7" t="n">
        <f aca="false">YEAR(B8102)</f>
        <v>2016</v>
      </c>
      <c r="J8102" s="0" t="str">
        <f aca="false">I8102&amp;"-Q"&amp;ROUNDUP(MONTH(B8102)/3,0)</f>
        <v>2016-Q1</v>
      </c>
    </row>
    <row r="8103" customFormat="false" ht="15" hidden="false" customHeight="false" outlineLevel="0" collapsed="false">
      <c r="A8103" s="0" t="s">
        <v>4094</v>
      </c>
      <c r="B8103" s="6" t="n">
        <v>42146</v>
      </c>
      <c r="C8103" s="7" t="s">
        <v>33</v>
      </c>
      <c r="D8103" s="7" t="s">
        <v>34</v>
      </c>
      <c r="E8103" s="7" t="s">
        <v>35</v>
      </c>
      <c r="F8103" s="0" t="n">
        <v>8.26</v>
      </c>
      <c r="G8103" s="0" t="n">
        <v>3.7996</v>
      </c>
      <c r="H8103" s="0" t="n">
        <v>0</v>
      </c>
      <c r="I8103" s="7" t="n">
        <f aca="false">YEAR(B8103)</f>
        <v>2015</v>
      </c>
      <c r="J8103" s="0" t="str">
        <f aca="false">I8103&amp;"-Q"&amp;ROUNDUP(MONTH(B8103)/3,0)</f>
        <v>2015-Q2</v>
      </c>
    </row>
    <row r="8104" customFormat="false" ht="15" hidden="false" customHeight="false" outlineLevel="0" collapsed="false">
      <c r="A8104" s="0" t="s">
        <v>4094</v>
      </c>
      <c r="B8104" s="6" t="n">
        <v>42146</v>
      </c>
      <c r="C8104" s="7" t="s">
        <v>33</v>
      </c>
      <c r="D8104" s="7" t="s">
        <v>34</v>
      </c>
      <c r="E8104" s="7" t="s">
        <v>39</v>
      </c>
      <c r="F8104" s="0" t="n">
        <v>2973.32</v>
      </c>
      <c r="G8104" s="0" t="n">
        <v>334.4985</v>
      </c>
      <c r="H8104" s="0" t="n">
        <v>0.2</v>
      </c>
      <c r="I8104" s="7" t="n">
        <f aca="false">YEAR(B8104)</f>
        <v>2015</v>
      </c>
      <c r="J8104" s="0" t="str">
        <f aca="false">I8104&amp;"-Q"&amp;ROUNDUP(MONTH(B8104)/3,0)</f>
        <v>2015-Q2</v>
      </c>
    </row>
    <row r="8105" customFormat="false" ht="15" hidden="false" customHeight="false" outlineLevel="0" collapsed="false">
      <c r="A8105" s="0" t="s">
        <v>4094</v>
      </c>
      <c r="B8105" s="6" t="n">
        <v>42146</v>
      </c>
      <c r="C8105" s="7" t="s">
        <v>33</v>
      </c>
      <c r="D8105" s="7" t="s">
        <v>34</v>
      </c>
      <c r="E8105" s="7" t="s">
        <v>35</v>
      </c>
      <c r="F8105" s="0" t="n">
        <v>104.79</v>
      </c>
      <c r="G8105" s="0" t="n">
        <v>29.3412</v>
      </c>
      <c r="H8105" s="0" t="n">
        <v>0</v>
      </c>
      <c r="I8105" s="7" t="n">
        <f aca="false">YEAR(B8105)</f>
        <v>2015</v>
      </c>
      <c r="J8105" s="0" t="str">
        <f aca="false">I8105&amp;"-Q"&amp;ROUNDUP(MONTH(B8105)/3,0)</f>
        <v>2015-Q2</v>
      </c>
    </row>
    <row r="8106" customFormat="false" ht="15" hidden="false" customHeight="false" outlineLevel="0" collapsed="false">
      <c r="A8106" s="0" t="s">
        <v>4094</v>
      </c>
      <c r="B8106" s="6" t="n">
        <v>42146</v>
      </c>
      <c r="C8106" s="7" t="s">
        <v>33</v>
      </c>
      <c r="D8106" s="7" t="s">
        <v>34</v>
      </c>
      <c r="E8106" s="7" t="s">
        <v>39</v>
      </c>
      <c r="F8106" s="0" t="n">
        <v>775.728</v>
      </c>
      <c r="G8106" s="0" t="n">
        <v>58.1796</v>
      </c>
      <c r="H8106" s="0" t="n">
        <v>0.2</v>
      </c>
      <c r="I8106" s="7" t="n">
        <f aca="false">YEAR(B8106)</f>
        <v>2015</v>
      </c>
      <c r="J8106" s="0" t="str">
        <f aca="false">I8106&amp;"-Q"&amp;ROUNDUP(MONTH(B8106)/3,0)</f>
        <v>2015-Q2</v>
      </c>
    </row>
    <row r="8107" customFormat="false" ht="15" hidden="false" customHeight="false" outlineLevel="0" collapsed="false">
      <c r="A8107" s="0" t="s">
        <v>4095</v>
      </c>
      <c r="B8107" s="6" t="n">
        <v>42783</v>
      </c>
      <c r="C8107" s="7" t="s">
        <v>45</v>
      </c>
      <c r="D8107" s="7" t="s">
        <v>46</v>
      </c>
      <c r="E8107" s="7" t="s">
        <v>31</v>
      </c>
      <c r="F8107" s="0" t="n">
        <v>89.0664</v>
      </c>
      <c r="G8107" s="0" t="n">
        <v>-17.0274</v>
      </c>
      <c r="H8107" s="0" t="n">
        <v>0.32</v>
      </c>
      <c r="I8107" s="7" t="n">
        <f aca="false">YEAR(B8107)</f>
        <v>2017</v>
      </c>
      <c r="J8107" s="0" t="str">
        <f aca="false">I8107&amp;"-Q"&amp;ROUNDUP(MONTH(B8107)/3,0)</f>
        <v>2017-Q1</v>
      </c>
    </row>
    <row r="8108" customFormat="false" ht="15" hidden="false" customHeight="false" outlineLevel="0" collapsed="false">
      <c r="A8108" s="0" t="s">
        <v>4095</v>
      </c>
      <c r="B8108" s="6" t="n">
        <v>42783</v>
      </c>
      <c r="C8108" s="7" t="s">
        <v>45</v>
      </c>
      <c r="D8108" s="7" t="s">
        <v>46</v>
      </c>
      <c r="E8108" s="7" t="s">
        <v>35</v>
      </c>
      <c r="F8108" s="0" t="n">
        <v>175.44</v>
      </c>
      <c r="G8108" s="0" t="n">
        <v>52.632</v>
      </c>
      <c r="H8108" s="0" t="n">
        <v>0.2</v>
      </c>
      <c r="I8108" s="7" t="n">
        <f aca="false">YEAR(B8108)</f>
        <v>2017</v>
      </c>
      <c r="J8108" s="0" t="str">
        <f aca="false">I8108&amp;"-Q"&amp;ROUNDUP(MONTH(B8108)/3,0)</f>
        <v>2017-Q1</v>
      </c>
    </row>
    <row r="8109" customFormat="false" ht="15" hidden="false" customHeight="false" outlineLevel="0" collapsed="false">
      <c r="A8109" s="0" t="s">
        <v>4095</v>
      </c>
      <c r="B8109" s="6" t="n">
        <v>42783</v>
      </c>
      <c r="C8109" s="7" t="s">
        <v>45</v>
      </c>
      <c r="D8109" s="7" t="s">
        <v>46</v>
      </c>
      <c r="E8109" s="7" t="s">
        <v>39</v>
      </c>
      <c r="F8109" s="0" t="n">
        <v>438.336</v>
      </c>
      <c r="G8109" s="0" t="n">
        <v>-87.6672</v>
      </c>
      <c r="H8109" s="0" t="n">
        <v>0.2</v>
      </c>
      <c r="I8109" s="7" t="n">
        <f aca="false">YEAR(B8109)</f>
        <v>2017</v>
      </c>
      <c r="J8109" s="0" t="str">
        <f aca="false">I8109&amp;"-Q"&amp;ROUNDUP(MONTH(B8109)/3,0)</f>
        <v>2017-Q1</v>
      </c>
    </row>
    <row r="8110" customFormat="false" ht="15" hidden="false" customHeight="false" outlineLevel="0" collapsed="false">
      <c r="A8110" s="0" t="s">
        <v>4096</v>
      </c>
      <c r="B8110" s="6" t="n">
        <v>43077</v>
      </c>
      <c r="C8110" s="7" t="s">
        <v>55</v>
      </c>
      <c r="D8110" s="7" t="s">
        <v>56</v>
      </c>
      <c r="E8110" s="7" t="s">
        <v>31</v>
      </c>
      <c r="F8110" s="0" t="n">
        <v>215.544</v>
      </c>
      <c r="G8110" s="0" t="n">
        <v>-58.5048</v>
      </c>
      <c r="H8110" s="0" t="n">
        <v>0.3</v>
      </c>
      <c r="I8110" s="7" t="n">
        <f aca="false">YEAR(B8110)</f>
        <v>2017</v>
      </c>
      <c r="J8110" s="0" t="str">
        <f aca="false">I8110&amp;"-Q"&amp;ROUNDUP(MONTH(B8110)/3,0)</f>
        <v>2017-Q4</v>
      </c>
    </row>
    <row r="8111" customFormat="false" ht="15" hidden="false" customHeight="false" outlineLevel="0" collapsed="false">
      <c r="A8111" s="0" t="s">
        <v>4097</v>
      </c>
      <c r="B8111" s="6" t="n">
        <v>43057</v>
      </c>
      <c r="C8111" s="7" t="s">
        <v>45</v>
      </c>
      <c r="D8111" s="7" t="s">
        <v>64</v>
      </c>
      <c r="E8111" s="7" t="s">
        <v>35</v>
      </c>
      <c r="F8111" s="0" t="n">
        <v>55.584</v>
      </c>
      <c r="G8111" s="0" t="n">
        <v>20.844</v>
      </c>
      <c r="H8111" s="0" t="n">
        <v>0.2</v>
      </c>
      <c r="I8111" s="7" t="n">
        <f aca="false">YEAR(B8111)</f>
        <v>2017</v>
      </c>
      <c r="J8111" s="0" t="str">
        <f aca="false">I8111&amp;"-Q"&amp;ROUNDUP(MONTH(B8111)/3,0)</f>
        <v>2017-Q4</v>
      </c>
    </row>
    <row r="8112" customFormat="false" ht="15" hidden="false" customHeight="false" outlineLevel="0" collapsed="false">
      <c r="A8112" s="0" t="s">
        <v>4097</v>
      </c>
      <c r="B8112" s="6" t="n">
        <v>43057</v>
      </c>
      <c r="C8112" s="7" t="s">
        <v>45</v>
      </c>
      <c r="D8112" s="7" t="s">
        <v>64</v>
      </c>
      <c r="E8112" s="7" t="s">
        <v>31</v>
      </c>
      <c r="F8112" s="0" t="n">
        <v>127.386</v>
      </c>
      <c r="G8112" s="0" t="n">
        <v>-25.4772</v>
      </c>
      <c r="H8112" s="0" t="n">
        <v>0.3</v>
      </c>
      <c r="I8112" s="7" t="n">
        <f aca="false">YEAR(B8112)</f>
        <v>2017</v>
      </c>
      <c r="J8112" s="0" t="str">
        <f aca="false">I8112&amp;"-Q"&amp;ROUNDUP(MONTH(B8112)/3,0)</f>
        <v>2017-Q4</v>
      </c>
    </row>
    <row r="8113" customFormat="false" ht="15" hidden="false" customHeight="false" outlineLevel="0" collapsed="false">
      <c r="A8113" s="0" t="s">
        <v>4098</v>
      </c>
      <c r="B8113" s="6" t="n">
        <v>42705</v>
      </c>
      <c r="C8113" s="7" t="s">
        <v>45</v>
      </c>
      <c r="D8113" s="7" t="s">
        <v>46</v>
      </c>
      <c r="E8113" s="7" t="s">
        <v>31</v>
      </c>
      <c r="F8113" s="0" t="n">
        <v>248.43</v>
      </c>
      <c r="G8113" s="0" t="n">
        <v>-17.745</v>
      </c>
      <c r="H8113" s="0" t="n">
        <v>0.3</v>
      </c>
      <c r="I8113" s="7" t="n">
        <f aca="false">YEAR(B8113)</f>
        <v>2016</v>
      </c>
      <c r="J8113" s="0" t="str">
        <f aca="false">I8113&amp;"-Q"&amp;ROUNDUP(MONTH(B8113)/3,0)</f>
        <v>2016-Q4</v>
      </c>
    </row>
    <row r="8114" customFormat="false" ht="15" hidden="false" customHeight="false" outlineLevel="0" collapsed="false">
      <c r="A8114" s="0" t="s">
        <v>4098</v>
      </c>
      <c r="B8114" s="6" t="n">
        <v>42705</v>
      </c>
      <c r="C8114" s="7" t="s">
        <v>45</v>
      </c>
      <c r="D8114" s="7" t="s">
        <v>46</v>
      </c>
      <c r="E8114" s="7" t="s">
        <v>35</v>
      </c>
      <c r="F8114" s="0" t="n">
        <v>11.648</v>
      </c>
      <c r="G8114" s="0" t="n">
        <v>-30.8672</v>
      </c>
      <c r="H8114" s="0" t="n">
        <v>0.8</v>
      </c>
      <c r="I8114" s="7" t="n">
        <f aca="false">YEAR(B8114)</f>
        <v>2016</v>
      </c>
      <c r="J8114" s="0" t="str">
        <f aca="false">I8114&amp;"-Q"&amp;ROUNDUP(MONTH(B8114)/3,0)</f>
        <v>2016-Q4</v>
      </c>
    </row>
    <row r="8115" customFormat="false" ht="15" hidden="false" customHeight="false" outlineLevel="0" collapsed="false">
      <c r="A8115" s="0" t="s">
        <v>4098</v>
      </c>
      <c r="B8115" s="6" t="n">
        <v>42705</v>
      </c>
      <c r="C8115" s="7" t="s">
        <v>45</v>
      </c>
      <c r="D8115" s="7" t="s">
        <v>46</v>
      </c>
      <c r="E8115" s="7" t="s">
        <v>31</v>
      </c>
      <c r="F8115" s="0" t="n">
        <v>85.246</v>
      </c>
      <c r="G8115" s="0" t="n">
        <v>-1.2178</v>
      </c>
      <c r="H8115" s="0" t="n">
        <v>0.3</v>
      </c>
      <c r="I8115" s="7" t="n">
        <f aca="false">YEAR(B8115)</f>
        <v>2016</v>
      </c>
      <c r="J8115" s="0" t="str">
        <f aca="false">I8115&amp;"-Q"&amp;ROUNDUP(MONTH(B8115)/3,0)</f>
        <v>2016-Q4</v>
      </c>
    </row>
    <row r="8116" customFormat="false" ht="15" hidden="false" customHeight="false" outlineLevel="0" collapsed="false">
      <c r="A8116" s="0" t="s">
        <v>4099</v>
      </c>
      <c r="B8116" s="6" t="n">
        <v>43011</v>
      </c>
      <c r="C8116" s="7" t="s">
        <v>45</v>
      </c>
      <c r="D8116" s="7" t="s">
        <v>46</v>
      </c>
      <c r="E8116" s="7" t="s">
        <v>35</v>
      </c>
      <c r="F8116" s="0" t="n">
        <v>20.64</v>
      </c>
      <c r="G8116" s="0" t="n">
        <v>2.322</v>
      </c>
      <c r="H8116" s="0" t="n">
        <v>0.2</v>
      </c>
      <c r="I8116" s="7" t="n">
        <f aca="false">YEAR(B8116)</f>
        <v>2017</v>
      </c>
      <c r="J8116" s="0" t="str">
        <f aca="false">I8116&amp;"-Q"&amp;ROUNDUP(MONTH(B8116)/3,0)</f>
        <v>2017-Q4</v>
      </c>
    </row>
    <row r="8117" customFormat="false" ht="15" hidden="false" customHeight="false" outlineLevel="0" collapsed="false">
      <c r="A8117" s="0" t="s">
        <v>4100</v>
      </c>
      <c r="B8117" s="6" t="n">
        <v>42976</v>
      </c>
      <c r="C8117" s="7" t="s">
        <v>33</v>
      </c>
      <c r="D8117" s="7" t="s">
        <v>34</v>
      </c>
      <c r="E8117" s="7" t="s">
        <v>31</v>
      </c>
      <c r="F8117" s="0" t="n">
        <v>148.02</v>
      </c>
      <c r="G8117" s="0" t="n">
        <v>41.4456</v>
      </c>
      <c r="H8117" s="0" t="n">
        <v>0</v>
      </c>
      <c r="I8117" s="7" t="n">
        <f aca="false">YEAR(B8117)</f>
        <v>2017</v>
      </c>
      <c r="J8117" s="0" t="str">
        <f aca="false">I8117&amp;"-Q"&amp;ROUNDUP(MONTH(B8117)/3,0)</f>
        <v>2017-Q3</v>
      </c>
    </row>
    <row r="8118" customFormat="false" ht="15" hidden="false" customHeight="false" outlineLevel="0" collapsed="false">
      <c r="A8118" s="0" t="s">
        <v>4101</v>
      </c>
      <c r="B8118" s="6" t="n">
        <v>43063</v>
      </c>
      <c r="C8118" s="7" t="s">
        <v>45</v>
      </c>
      <c r="D8118" s="7" t="s">
        <v>946</v>
      </c>
      <c r="E8118" s="7" t="s">
        <v>35</v>
      </c>
      <c r="F8118" s="0" t="n">
        <v>33.29</v>
      </c>
      <c r="G8118" s="0" t="n">
        <v>7.9896</v>
      </c>
      <c r="H8118" s="0" t="n">
        <v>0</v>
      </c>
      <c r="I8118" s="7" t="n">
        <f aca="false">YEAR(B8118)</f>
        <v>2017</v>
      </c>
      <c r="J8118" s="0" t="str">
        <f aca="false">I8118&amp;"-Q"&amp;ROUNDUP(MONTH(B8118)/3,0)</f>
        <v>2017-Q4</v>
      </c>
    </row>
    <row r="8119" customFormat="false" ht="15" hidden="false" customHeight="false" outlineLevel="0" collapsed="false">
      <c r="A8119" s="0" t="s">
        <v>4102</v>
      </c>
      <c r="B8119" s="6" t="n">
        <v>42916</v>
      </c>
      <c r="C8119" s="7" t="s">
        <v>33</v>
      </c>
      <c r="D8119" s="7" t="s">
        <v>34</v>
      </c>
      <c r="E8119" s="7" t="s">
        <v>35</v>
      </c>
      <c r="F8119" s="0" t="n">
        <v>204.95</v>
      </c>
      <c r="G8119" s="0" t="n">
        <v>100.4255</v>
      </c>
      <c r="H8119" s="0" t="n">
        <v>0</v>
      </c>
      <c r="I8119" s="7" t="n">
        <f aca="false">YEAR(B8119)</f>
        <v>2017</v>
      </c>
      <c r="J8119" s="0" t="str">
        <f aca="false">I8119&amp;"-Q"&amp;ROUNDUP(MONTH(B8119)/3,0)</f>
        <v>2017-Q2</v>
      </c>
    </row>
    <row r="8120" customFormat="false" ht="15" hidden="false" customHeight="false" outlineLevel="0" collapsed="false">
      <c r="A8120" s="0" t="s">
        <v>4103</v>
      </c>
      <c r="B8120" s="6" t="n">
        <v>42938</v>
      </c>
      <c r="C8120" s="7" t="s">
        <v>45</v>
      </c>
      <c r="D8120" s="7" t="s">
        <v>64</v>
      </c>
      <c r="E8120" s="7" t="s">
        <v>31</v>
      </c>
      <c r="F8120" s="0" t="n">
        <v>526.344</v>
      </c>
      <c r="G8120" s="0" t="n">
        <v>-75.192</v>
      </c>
      <c r="H8120" s="0" t="n">
        <v>0.3</v>
      </c>
      <c r="I8120" s="7" t="n">
        <f aca="false">YEAR(B8120)</f>
        <v>2017</v>
      </c>
      <c r="J8120" s="0" t="str">
        <f aca="false">I8120&amp;"-Q"&amp;ROUNDUP(MONTH(B8120)/3,0)</f>
        <v>2017-Q3</v>
      </c>
    </row>
    <row r="8121" customFormat="false" ht="15" hidden="false" customHeight="false" outlineLevel="0" collapsed="false">
      <c r="A8121" s="0" t="s">
        <v>4104</v>
      </c>
      <c r="B8121" s="6" t="n">
        <v>42685</v>
      </c>
      <c r="C8121" s="7" t="s">
        <v>33</v>
      </c>
      <c r="D8121" s="7" t="s">
        <v>34</v>
      </c>
      <c r="E8121" s="7" t="s">
        <v>31</v>
      </c>
      <c r="F8121" s="0" t="n">
        <v>41.96</v>
      </c>
      <c r="G8121" s="0" t="n">
        <v>10.9096</v>
      </c>
      <c r="H8121" s="0" t="n">
        <v>0</v>
      </c>
      <c r="I8121" s="7" t="n">
        <f aca="false">YEAR(B8121)</f>
        <v>2016</v>
      </c>
      <c r="J8121" s="0" t="str">
        <f aca="false">I8121&amp;"-Q"&amp;ROUNDUP(MONTH(B8121)/3,0)</f>
        <v>2016-Q4</v>
      </c>
    </row>
    <row r="8122" customFormat="false" ht="15" hidden="false" customHeight="false" outlineLevel="0" collapsed="false">
      <c r="A8122" s="0" t="s">
        <v>4104</v>
      </c>
      <c r="B8122" s="6" t="n">
        <v>42685</v>
      </c>
      <c r="C8122" s="7" t="s">
        <v>33</v>
      </c>
      <c r="D8122" s="7" t="s">
        <v>34</v>
      </c>
      <c r="E8122" s="7" t="s">
        <v>31</v>
      </c>
      <c r="F8122" s="0" t="n">
        <v>451.152</v>
      </c>
      <c r="G8122" s="0" t="n">
        <v>0</v>
      </c>
      <c r="H8122" s="0" t="n">
        <v>0.2</v>
      </c>
      <c r="I8122" s="7" t="n">
        <f aca="false">YEAR(B8122)</f>
        <v>2016</v>
      </c>
      <c r="J8122" s="0" t="str">
        <f aca="false">I8122&amp;"-Q"&amp;ROUNDUP(MONTH(B8122)/3,0)</f>
        <v>2016-Q4</v>
      </c>
    </row>
    <row r="8123" customFormat="false" ht="15" hidden="false" customHeight="false" outlineLevel="0" collapsed="false">
      <c r="A8123" s="0" t="s">
        <v>4104</v>
      </c>
      <c r="B8123" s="6" t="n">
        <v>42685</v>
      </c>
      <c r="C8123" s="7" t="s">
        <v>33</v>
      </c>
      <c r="D8123" s="7" t="s">
        <v>34</v>
      </c>
      <c r="E8123" s="7" t="s">
        <v>35</v>
      </c>
      <c r="F8123" s="0" t="n">
        <v>31.504</v>
      </c>
      <c r="G8123" s="0" t="n">
        <v>11.0264</v>
      </c>
      <c r="H8123" s="0" t="n">
        <v>0.2</v>
      </c>
      <c r="I8123" s="7" t="n">
        <f aca="false">YEAR(B8123)</f>
        <v>2016</v>
      </c>
      <c r="J8123" s="0" t="str">
        <f aca="false">I8123&amp;"-Q"&amp;ROUNDUP(MONTH(B8123)/3,0)</f>
        <v>2016-Q4</v>
      </c>
    </row>
    <row r="8124" customFormat="false" ht="15" hidden="false" customHeight="false" outlineLevel="0" collapsed="false">
      <c r="A8124" s="0" t="s">
        <v>4105</v>
      </c>
      <c r="B8124" s="6" t="n">
        <v>41982</v>
      </c>
      <c r="C8124" s="7" t="s">
        <v>55</v>
      </c>
      <c r="D8124" s="7" t="s">
        <v>56</v>
      </c>
      <c r="E8124" s="7" t="s">
        <v>35</v>
      </c>
      <c r="F8124" s="0" t="n">
        <v>30.672</v>
      </c>
      <c r="G8124" s="0" t="n">
        <v>9.585</v>
      </c>
      <c r="H8124" s="0" t="n">
        <v>0.2</v>
      </c>
      <c r="I8124" s="7" t="n">
        <f aca="false">YEAR(B8124)</f>
        <v>2014</v>
      </c>
      <c r="J8124" s="0" t="str">
        <f aca="false">I8124&amp;"-Q"&amp;ROUNDUP(MONTH(B8124)/3,0)</f>
        <v>2014-Q4</v>
      </c>
    </row>
    <row r="8125" customFormat="false" ht="15" hidden="false" customHeight="false" outlineLevel="0" collapsed="false">
      <c r="A8125" s="0" t="s">
        <v>4105</v>
      </c>
      <c r="B8125" s="6" t="n">
        <v>41982</v>
      </c>
      <c r="C8125" s="7" t="s">
        <v>55</v>
      </c>
      <c r="D8125" s="7" t="s">
        <v>56</v>
      </c>
      <c r="E8125" s="7" t="s">
        <v>39</v>
      </c>
      <c r="F8125" s="0" t="n">
        <v>1079.976</v>
      </c>
      <c r="G8125" s="0" t="n">
        <v>125.9972</v>
      </c>
      <c r="H8125" s="0" t="n">
        <v>0.4</v>
      </c>
      <c r="I8125" s="7" t="n">
        <f aca="false">YEAR(B8125)</f>
        <v>2014</v>
      </c>
      <c r="J8125" s="0" t="str">
        <f aca="false">I8125&amp;"-Q"&amp;ROUNDUP(MONTH(B8125)/3,0)</f>
        <v>2014-Q4</v>
      </c>
    </row>
    <row r="8126" customFormat="false" ht="15" hidden="false" customHeight="false" outlineLevel="0" collapsed="false">
      <c r="A8126" s="0" t="s">
        <v>4106</v>
      </c>
      <c r="B8126" s="6" t="n">
        <v>42985</v>
      </c>
      <c r="C8126" s="7" t="s">
        <v>33</v>
      </c>
      <c r="D8126" s="7" t="s">
        <v>34</v>
      </c>
      <c r="E8126" s="7" t="s">
        <v>31</v>
      </c>
      <c r="F8126" s="0" t="n">
        <v>161.568</v>
      </c>
      <c r="G8126" s="0" t="n">
        <v>-28.2744</v>
      </c>
      <c r="H8126" s="0" t="n">
        <v>0.2</v>
      </c>
      <c r="I8126" s="7" t="n">
        <f aca="false">YEAR(B8126)</f>
        <v>2017</v>
      </c>
      <c r="J8126" s="0" t="str">
        <f aca="false">I8126&amp;"-Q"&amp;ROUNDUP(MONTH(B8126)/3,0)</f>
        <v>2017-Q3</v>
      </c>
    </row>
    <row r="8127" customFormat="false" ht="15" hidden="false" customHeight="false" outlineLevel="0" collapsed="false">
      <c r="A8127" s="0" t="s">
        <v>4107</v>
      </c>
      <c r="B8127" s="6" t="n">
        <v>42041</v>
      </c>
      <c r="C8127" s="7" t="s">
        <v>45</v>
      </c>
      <c r="D8127" s="7" t="s">
        <v>46</v>
      </c>
      <c r="E8127" s="7" t="s">
        <v>35</v>
      </c>
      <c r="F8127" s="0" t="n">
        <v>2.934</v>
      </c>
      <c r="G8127" s="0" t="n">
        <v>-4.9878</v>
      </c>
      <c r="H8127" s="0" t="n">
        <v>0.8</v>
      </c>
      <c r="I8127" s="7" t="n">
        <f aca="false">YEAR(B8127)</f>
        <v>2015</v>
      </c>
      <c r="J8127" s="0" t="str">
        <f aca="false">I8127&amp;"-Q"&amp;ROUNDUP(MONTH(B8127)/3,0)</f>
        <v>2015-Q1</v>
      </c>
    </row>
    <row r="8128" customFormat="false" ht="15" hidden="false" customHeight="false" outlineLevel="0" collapsed="false">
      <c r="A8128" s="0" t="s">
        <v>4107</v>
      </c>
      <c r="B8128" s="6" t="n">
        <v>42041</v>
      </c>
      <c r="C8128" s="7" t="s">
        <v>45</v>
      </c>
      <c r="D8128" s="7" t="s">
        <v>46</v>
      </c>
      <c r="E8128" s="7" t="s">
        <v>39</v>
      </c>
      <c r="F8128" s="0" t="n">
        <v>18.528</v>
      </c>
      <c r="G8128" s="0" t="n">
        <v>4.4004</v>
      </c>
      <c r="H8128" s="0" t="n">
        <v>0.2</v>
      </c>
      <c r="I8128" s="7" t="n">
        <f aca="false">YEAR(B8128)</f>
        <v>2015</v>
      </c>
      <c r="J8128" s="0" t="str">
        <f aca="false">I8128&amp;"-Q"&amp;ROUNDUP(MONTH(B8128)/3,0)</f>
        <v>2015-Q1</v>
      </c>
    </row>
    <row r="8129" customFormat="false" ht="15" hidden="false" customHeight="false" outlineLevel="0" collapsed="false">
      <c r="A8129" s="0" t="s">
        <v>4107</v>
      </c>
      <c r="B8129" s="6" t="n">
        <v>42041</v>
      </c>
      <c r="C8129" s="7" t="s">
        <v>45</v>
      </c>
      <c r="D8129" s="7" t="s">
        <v>46</v>
      </c>
      <c r="E8129" s="7" t="s">
        <v>35</v>
      </c>
      <c r="F8129" s="0" t="n">
        <v>670.752</v>
      </c>
      <c r="G8129" s="0" t="n">
        <v>-125.766</v>
      </c>
      <c r="H8129" s="0" t="n">
        <v>0.2</v>
      </c>
      <c r="I8129" s="7" t="n">
        <f aca="false">YEAR(B8129)</f>
        <v>2015</v>
      </c>
      <c r="J8129" s="0" t="str">
        <f aca="false">I8129&amp;"-Q"&amp;ROUNDUP(MONTH(B8129)/3,0)</f>
        <v>2015-Q1</v>
      </c>
    </row>
    <row r="8130" customFormat="false" ht="15" hidden="false" customHeight="false" outlineLevel="0" collapsed="false">
      <c r="A8130" s="0" t="s">
        <v>4108</v>
      </c>
      <c r="B8130" s="6" t="n">
        <v>42973</v>
      </c>
      <c r="C8130" s="7" t="s">
        <v>45</v>
      </c>
      <c r="D8130" s="7" t="s">
        <v>64</v>
      </c>
      <c r="E8130" s="7" t="s">
        <v>31</v>
      </c>
      <c r="F8130" s="0" t="n">
        <v>64.96</v>
      </c>
      <c r="G8130" s="0" t="n">
        <v>-43.848</v>
      </c>
      <c r="H8130" s="0" t="n">
        <v>0.6</v>
      </c>
      <c r="I8130" s="7" t="n">
        <f aca="false">YEAR(B8130)</f>
        <v>2017</v>
      </c>
      <c r="J8130" s="0" t="str">
        <f aca="false">I8130&amp;"-Q"&amp;ROUNDUP(MONTH(B8130)/3,0)</f>
        <v>2017-Q3</v>
      </c>
    </row>
    <row r="8131" customFormat="false" ht="15" hidden="false" customHeight="false" outlineLevel="0" collapsed="false">
      <c r="A8131" s="0" t="s">
        <v>4109</v>
      </c>
      <c r="B8131" s="6" t="n">
        <v>41840</v>
      </c>
      <c r="C8131" s="7" t="s">
        <v>33</v>
      </c>
      <c r="D8131" s="7" t="s">
        <v>34</v>
      </c>
      <c r="E8131" s="7" t="s">
        <v>39</v>
      </c>
      <c r="F8131" s="0" t="n">
        <v>41.94</v>
      </c>
      <c r="G8131" s="0" t="n">
        <v>15.0984</v>
      </c>
      <c r="H8131" s="0" t="n">
        <v>0</v>
      </c>
      <c r="I8131" s="7" t="n">
        <f aca="false">YEAR(B8131)</f>
        <v>2014</v>
      </c>
      <c r="J8131" s="0" t="str">
        <f aca="false">I8131&amp;"-Q"&amp;ROUNDUP(MONTH(B8131)/3,0)</f>
        <v>2014-Q3</v>
      </c>
    </row>
    <row r="8132" customFormat="false" ht="15" hidden="false" customHeight="false" outlineLevel="0" collapsed="false">
      <c r="A8132" s="0" t="s">
        <v>4109</v>
      </c>
      <c r="B8132" s="6" t="n">
        <v>41840</v>
      </c>
      <c r="C8132" s="7" t="s">
        <v>33</v>
      </c>
      <c r="D8132" s="7" t="s">
        <v>34</v>
      </c>
      <c r="E8132" s="7" t="s">
        <v>35</v>
      </c>
      <c r="F8132" s="0" t="n">
        <v>11.96</v>
      </c>
      <c r="G8132" s="0" t="n">
        <v>5.8604</v>
      </c>
      <c r="H8132" s="0" t="n">
        <v>0</v>
      </c>
      <c r="I8132" s="7" t="n">
        <f aca="false">YEAR(B8132)</f>
        <v>2014</v>
      </c>
      <c r="J8132" s="0" t="str">
        <f aca="false">I8132&amp;"-Q"&amp;ROUNDUP(MONTH(B8132)/3,0)</f>
        <v>2014-Q3</v>
      </c>
    </row>
    <row r="8133" customFormat="false" ht="15" hidden="false" customHeight="false" outlineLevel="0" collapsed="false">
      <c r="A8133" s="0" t="s">
        <v>4109</v>
      </c>
      <c r="B8133" s="6" t="n">
        <v>41840</v>
      </c>
      <c r="C8133" s="7" t="s">
        <v>33</v>
      </c>
      <c r="D8133" s="7" t="s">
        <v>34</v>
      </c>
      <c r="E8133" s="7" t="s">
        <v>35</v>
      </c>
      <c r="F8133" s="0" t="n">
        <v>13.12</v>
      </c>
      <c r="G8133" s="0" t="n">
        <v>3.8048</v>
      </c>
      <c r="H8133" s="0" t="n">
        <v>0</v>
      </c>
      <c r="I8133" s="7" t="n">
        <f aca="false">YEAR(B8133)</f>
        <v>2014</v>
      </c>
      <c r="J8133" s="0" t="str">
        <f aca="false">I8133&amp;"-Q"&amp;ROUNDUP(MONTH(B8133)/3,0)</f>
        <v>2014-Q3</v>
      </c>
    </row>
    <row r="8134" customFormat="false" ht="15" hidden="false" customHeight="false" outlineLevel="0" collapsed="false">
      <c r="A8134" s="0" t="s">
        <v>4109</v>
      </c>
      <c r="B8134" s="6" t="n">
        <v>41840</v>
      </c>
      <c r="C8134" s="7" t="s">
        <v>33</v>
      </c>
      <c r="D8134" s="7" t="s">
        <v>34</v>
      </c>
      <c r="E8134" s="7" t="s">
        <v>35</v>
      </c>
      <c r="F8134" s="0" t="n">
        <v>535.41</v>
      </c>
      <c r="G8134" s="0" t="n">
        <v>160.623</v>
      </c>
      <c r="H8134" s="0" t="n">
        <v>0</v>
      </c>
      <c r="I8134" s="7" t="n">
        <f aca="false">YEAR(B8134)</f>
        <v>2014</v>
      </c>
      <c r="J8134" s="0" t="str">
        <f aca="false">I8134&amp;"-Q"&amp;ROUNDUP(MONTH(B8134)/3,0)</f>
        <v>2014-Q3</v>
      </c>
    </row>
    <row r="8135" customFormat="false" ht="15" hidden="false" customHeight="false" outlineLevel="0" collapsed="false">
      <c r="A8135" s="0" t="s">
        <v>4110</v>
      </c>
      <c r="B8135" s="6" t="n">
        <v>42285</v>
      </c>
      <c r="C8135" s="7" t="s">
        <v>45</v>
      </c>
      <c r="D8135" s="7" t="s">
        <v>46</v>
      </c>
      <c r="E8135" s="7" t="s">
        <v>31</v>
      </c>
      <c r="F8135" s="0" t="n">
        <v>72.78</v>
      </c>
      <c r="G8135" s="0" t="n">
        <v>-70.9605</v>
      </c>
      <c r="H8135" s="0" t="n">
        <v>0.6</v>
      </c>
      <c r="I8135" s="7" t="n">
        <f aca="false">YEAR(B8135)</f>
        <v>2015</v>
      </c>
      <c r="J8135" s="0" t="str">
        <f aca="false">I8135&amp;"-Q"&amp;ROUNDUP(MONTH(B8135)/3,0)</f>
        <v>2015-Q4</v>
      </c>
    </row>
    <row r="8136" customFormat="false" ht="15" hidden="false" customHeight="false" outlineLevel="0" collapsed="false">
      <c r="A8136" s="0" t="s">
        <v>4111</v>
      </c>
      <c r="B8136" s="6" t="n">
        <v>42051</v>
      </c>
      <c r="C8136" s="7" t="s">
        <v>33</v>
      </c>
      <c r="D8136" s="7" t="s">
        <v>34</v>
      </c>
      <c r="E8136" s="7" t="s">
        <v>35</v>
      </c>
      <c r="F8136" s="0" t="n">
        <v>36.84</v>
      </c>
      <c r="G8136" s="0" t="n">
        <v>17.3148</v>
      </c>
      <c r="H8136" s="0" t="n">
        <v>0</v>
      </c>
      <c r="I8136" s="7" t="n">
        <f aca="false">YEAR(B8136)</f>
        <v>2015</v>
      </c>
      <c r="J8136" s="0" t="str">
        <f aca="false">I8136&amp;"-Q"&amp;ROUNDUP(MONTH(B8136)/3,0)</f>
        <v>2015-Q1</v>
      </c>
    </row>
    <row r="8137" customFormat="false" ht="15" hidden="false" customHeight="false" outlineLevel="0" collapsed="false">
      <c r="A8137" s="0" t="s">
        <v>4111</v>
      </c>
      <c r="B8137" s="6" t="n">
        <v>42051</v>
      </c>
      <c r="C8137" s="7" t="s">
        <v>33</v>
      </c>
      <c r="D8137" s="7" t="s">
        <v>34</v>
      </c>
      <c r="E8137" s="7" t="s">
        <v>35</v>
      </c>
      <c r="F8137" s="0" t="n">
        <v>87.71</v>
      </c>
      <c r="G8137" s="0" t="n">
        <v>41.2237</v>
      </c>
      <c r="H8137" s="0" t="n">
        <v>0</v>
      </c>
      <c r="I8137" s="7" t="n">
        <f aca="false">YEAR(B8137)</f>
        <v>2015</v>
      </c>
      <c r="J8137" s="0" t="str">
        <f aca="false">I8137&amp;"-Q"&amp;ROUNDUP(MONTH(B8137)/3,0)</f>
        <v>2015-Q1</v>
      </c>
    </row>
    <row r="8138" customFormat="false" ht="15" hidden="false" customHeight="false" outlineLevel="0" collapsed="false">
      <c r="A8138" s="0" t="s">
        <v>4112</v>
      </c>
      <c r="B8138" s="6" t="n">
        <v>42594</v>
      </c>
      <c r="C8138" s="7" t="s">
        <v>29</v>
      </c>
      <c r="D8138" s="7" t="s">
        <v>37</v>
      </c>
      <c r="E8138" s="7" t="s">
        <v>31</v>
      </c>
      <c r="F8138" s="0" t="n">
        <v>562.2925</v>
      </c>
      <c r="G8138" s="0" t="n">
        <v>-255.5875</v>
      </c>
      <c r="H8138" s="0" t="n">
        <v>0.45</v>
      </c>
      <c r="I8138" s="7" t="n">
        <f aca="false">YEAR(B8138)</f>
        <v>2016</v>
      </c>
      <c r="J8138" s="0" t="str">
        <f aca="false">I8138&amp;"-Q"&amp;ROUNDUP(MONTH(B8138)/3,0)</f>
        <v>2016-Q3</v>
      </c>
    </row>
    <row r="8139" customFormat="false" ht="15" hidden="false" customHeight="false" outlineLevel="0" collapsed="false">
      <c r="A8139" s="0" t="s">
        <v>4113</v>
      </c>
      <c r="B8139" s="6" t="n">
        <v>41952</v>
      </c>
      <c r="C8139" s="7" t="s">
        <v>55</v>
      </c>
      <c r="D8139" s="7" t="s">
        <v>76</v>
      </c>
      <c r="E8139" s="7" t="s">
        <v>31</v>
      </c>
      <c r="F8139" s="0" t="n">
        <v>56.52</v>
      </c>
      <c r="G8139" s="0" t="n">
        <v>21.4776</v>
      </c>
      <c r="H8139" s="0" t="n">
        <v>0</v>
      </c>
      <c r="I8139" s="7" t="n">
        <f aca="false">YEAR(B8139)</f>
        <v>2014</v>
      </c>
      <c r="J8139" s="0" t="str">
        <f aca="false">I8139&amp;"-Q"&amp;ROUNDUP(MONTH(B8139)/3,0)</f>
        <v>2014-Q4</v>
      </c>
    </row>
    <row r="8140" customFormat="false" ht="15" hidden="false" customHeight="false" outlineLevel="0" collapsed="false">
      <c r="A8140" s="0" t="s">
        <v>4114</v>
      </c>
      <c r="B8140" s="6" t="n">
        <v>42569</v>
      </c>
      <c r="C8140" s="7" t="s">
        <v>55</v>
      </c>
      <c r="D8140" s="7" t="s">
        <v>56</v>
      </c>
      <c r="E8140" s="7" t="s">
        <v>35</v>
      </c>
      <c r="F8140" s="0" t="n">
        <v>11.264</v>
      </c>
      <c r="G8140" s="0" t="n">
        <v>1.2672</v>
      </c>
      <c r="H8140" s="0" t="n">
        <v>0.2</v>
      </c>
      <c r="I8140" s="7" t="n">
        <f aca="false">YEAR(B8140)</f>
        <v>2016</v>
      </c>
      <c r="J8140" s="0" t="str">
        <f aca="false">I8140&amp;"-Q"&amp;ROUNDUP(MONTH(B8140)/3,0)</f>
        <v>2016-Q3</v>
      </c>
    </row>
    <row r="8141" customFormat="false" ht="15" hidden="false" customHeight="false" outlineLevel="0" collapsed="false">
      <c r="A8141" s="0" t="s">
        <v>4114</v>
      </c>
      <c r="B8141" s="6" t="n">
        <v>42569</v>
      </c>
      <c r="C8141" s="7" t="s">
        <v>55</v>
      </c>
      <c r="D8141" s="7" t="s">
        <v>56</v>
      </c>
      <c r="E8141" s="7" t="s">
        <v>35</v>
      </c>
      <c r="F8141" s="0" t="n">
        <v>284.08</v>
      </c>
      <c r="G8141" s="0" t="n">
        <v>24.857</v>
      </c>
      <c r="H8141" s="0" t="n">
        <v>0.2</v>
      </c>
      <c r="I8141" s="7" t="n">
        <f aca="false">YEAR(B8141)</f>
        <v>2016</v>
      </c>
      <c r="J8141" s="0" t="str">
        <f aca="false">I8141&amp;"-Q"&amp;ROUNDUP(MONTH(B8141)/3,0)</f>
        <v>2016-Q3</v>
      </c>
    </row>
    <row r="8142" customFormat="false" ht="15" hidden="false" customHeight="false" outlineLevel="0" collapsed="false">
      <c r="A8142" s="0" t="s">
        <v>4114</v>
      </c>
      <c r="B8142" s="6" t="n">
        <v>42569</v>
      </c>
      <c r="C8142" s="7" t="s">
        <v>55</v>
      </c>
      <c r="D8142" s="7" t="s">
        <v>56</v>
      </c>
      <c r="E8142" s="7" t="s">
        <v>35</v>
      </c>
      <c r="F8142" s="0" t="n">
        <v>18.496</v>
      </c>
      <c r="G8142" s="0" t="n">
        <v>6.7048</v>
      </c>
      <c r="H8142" s="0" t="n">
        <v>0.2</v>
      </c>
      <c r="I8142" s="7" t="n">
        <f aca="false">YEAR(B8142)</f>
        <v>2016</v>
      </c>
      <c r="J8142" s="0" t="str">
        <f aca="false">I8142&amp;"-Q"&amp;ROUNDUP(MONTH(B8142)/3,0)</f>
        <v>2016-Q3</v>
      </c>
    </row>
    <row r="8143" customFormat="false" ht="15" hidden="false" customHeight="false" outlineLevel="0" collapsed="false">
      <c r="A8143" s="0" t="s">
        <v>4115</v>
      </c>
      <c r="B8143" s="6" t="n">
        <v>42405</v>
      </c>
      <c r="C8143" s="7" t="s">
        <v>33</v>
      </c>
      <c r="D8143" s="7" t="s">
        <v>34</v>
      </c>
      <c r="E8143" s="7" t="s">
        <v>35</v>
      </c>
      <c r="F8143" s="0" t="n">
        <v>14.73</v>
      </c>
      <c r="G8143" s="0" t="n">
        <v>7.2177</v>
      </c>
      <c r="H8143" s="0" t="n">
        <v>0</v>
      </c>
      <c r="I8143" s="7" t="n">
        <f aca="false">YEAR(B8143)</f>
        <v>2016</v>
      </c>
      <c r="J8143" s="0" t="str">
        <f aca="false">I8143&amp;"-Q"&amp;ROUNDUP(MONTH(B8143)/3,0)</f>
        <v>2016-Q1</v>
      </c>
    </row>
    <row r="8144" customFormat="false" ht="15" hidden="false" customHeight="false" outlineLevel="0" collapsed="false">
      <c r="A8144" s="0" t="s">
        <v>4115</v>
      </c>
      <c r="B8144" s="6" t="n">
        <v>42405</v>
      </c>
      <c r="C8144" s="7" t="s">
        <v>33</v>
      </c>
      <c r="D8144" s="7" t="s">
        <v>34</v>
      </c>
      <c r="E8144" s="7" t="s">
        <v>35</v>
      </c>
      <c r="F8144" s="0" t="n">
        <v>186.54</v>
      </c>
      <c r="G8144" s="0" t="n">
        <v>50.3658</v>
      </c>
      <c r="H8144" s="0" t="n">
        <v>0</v>
      </c>
      <c r="I8144" s="7" t="n">
        <f aca="false">YEAR(B8144)</f>
        <v>2016</v>
      </c>
      <c r="J8144" s="0" t="str">
        <f aca="false">I8144&amp;"-Q"&amp;ROUNDUP(MONTH(B8144)/3,0)</f>
        <v>2016-Q1</v>
      </c>
    </row>
    <row r="8145" customFormat="false" ht="15" hidden="false" customHeight="false" outlineLevel="0" collapsed="false">
      <c r="A8145" s="0" t="s">
        <v>4115</v>
      </c>
      <c r="B8145" s="6" t="n">
        <v>42405</v>
      </c>
      <c r="C8145" s="7" t="s">
        <v>33</v>
      </c>
      <c r="D8145" s="7" t="s">
        <v>34</v>
      </c>
      <c r="E8145" s="7" t="s">
        <v>31</v>
      </c>
      <c r="F8145" s="0" t="n">
        <v>557.728</v>
      </c>
      <c r="G8145" s="0" t="n">
        <v>6.9716</v>
      </c>
      <c r="H8145" s="0" t="n">
        <v>0.2</v>
      </c>
      <c r="I8145" s="7" t="n">
        <f aca="false">YEAR(B8145)</f>
        <v>2016</v>
      </c>
      <c r="J8145" s="0" t="str">
        <f aca="false">I8145&amp;"-Q"&amp;ROUNDUP(MONTH(B8145)/3,0)</f>
        <v>2016-Q1</v>
      </c>
    </row>
    <row r="8146" customFormat="false" ht="15" hidden="false" customHeight="false" outlineLevel="0" collapsed="false">
      <c r="A8146" s="0" t="s">
        <v>4115</v>
      </c>
      <c r="B8146" s="6" t="n">
        <v>42405</v>
      </c>
      <c r="C8146" s="7" t="s">
        <v>33</v>
      </c>
      <c r="D8146" s="7" t="s">
        <v>34</v>
      </c>
      <c r="E8146" s="7" t="s">
        <v>39</v>
      </c>
      <c r="F8146" s="0" t="n">
        <v>159.968</v>
      </c>
      <c r="G8146" s="0" t="n">
        <v>-31.9936</v>
      </c>
      <c r="H8146" s="0" t="n">
        <v>0.2</v>
      </c>
      <c r="I8146" s="7" t="n">
        <f aca="false">YEAR(B8146)</f>
        <v>2016</v>
      </c>
      <c r="J8146" s="0" t="str">
        <f aca="false">I8146&amp;"-Q"&amp;ROUNDUP(MONTH(B8146)/3,0)</f>
        <v>2016-Q1</v>
      </c>
    </row>
    <row r="8147" customFormat="false" ht="15" hidden="false" customHeight="false" outlineLevel="0" collapsed="false">
      <c r="A8147" s="0" t="s">
        <v>4116</v>
      </c>
      <c r="B8147" s="6" t="n">
        <v>41810</v>
      </c>
      <c r="C8147" s="7" t="s">
        <v>45</v>
      </c>
      <c r="D8147" s="7" t="s">
        <v>138</v>
      </c>
      <c r="E8147" s="7" t="s">
        <v>35</v>
      </c>
      <c r="F8147" s="0" t="n">
        <v>471.9</v>
      </c>
      <c r="G8147" s="0" t="n">
        <v>155.727</v>
      </c>
      <c r="H8147" s="0" t="n">
        <v>0</v>
      </c>
      <c r="I8147" s="7" t="n">
        <f aca="false">YEAR(B8147)</f>
        <v>2014</v>
      </c>
      <c r="J8147" s="0" t="str">
        <f aca="false">I8147&amp;"-Q"&amp;ROUNDUP(MONTH(B8147)/3,0)</f>
        <v>2014-Q2</v>
      </c>
    </row>
    <row r="8148" customFormat="false" ht="15" hidden="false" customHeight="false" outlineLevel="0" collapsed="false">
      <c r="A8148" s="0" t="s">
        <v>4116</v>
      </c>
      <c r="B8148" s="6" t="n">
        <v>41810</v>
      </c>
      <c r="C8148" s="7" t="s">
        <v>45</v>
      </c>
      <c r="D8148" s="7" t="s">
        <v>138</v>
      </c>
      <c r="E8148" s="7" t="s">
        <v>35</v>
      </c>
      <c r="F8148" s="0" t="n">
        <v>3.52</v>
      </c>
      <c r="G8148" s="0" t="n">
        <v>1.6896</v>
      </c>
      <c r="H8148" s="0" t="n">
        <v>0</v>
      </c>
      <c r="I8148" s="7" t="n">
        <f aca="false">YEAR(B8148)</f>
        <v>2014</v>
      </c>
      <c r="J8148" s="0" t="str">
        <f aca="false">I8148&amp;"-Q"&amp;ROUNDUP(MONTH(B8148)/3,0)</f>
        <v>2014-Q2</v>
      </c>
    </row>
    <row r="8149" customFormat="false" ht="15" hidden="false" customHeight="false" outlineLevel="0" collapsed="false">
      <c r="A8149" s="0" t="s">
        <v>4117</v>
      </c>
      <c r="B8149" s="6" t="n">
        <v>42895</v>
      </c>
      <c r="C8149" s="7" t="s">
        <v>29</v>
      </c>
      <c r="D8149" s="7" t="s">
        <v>83</v>
      </c>
      <c r="E8149" s="7" t="s">
        <v>35</v>
      </c>
      <c r="F8149" s="0" t="n">
        <v>49.12</v>
      </c>
      <c r="G8149" s="0" t="n">
        <v>23.0864</v>
      </c>
      <c r="H8149" s="0" t="n">
        <v>0</v>
      </c>
      <c r="I8149" s="7" t="n">
        <f aca="false">YEAR(B8149)</f>
        <v>2017</v>
      </c>
      <c r="J8149" s="0" t="str">
        <f aca="false">I8149&amp;"-Q"&amp;ROUNDUP(MONTH(B8149)/3,0)</f>
        <v>2017-Q2</v>
      </c>
    </row>
    <row r="8150" customFormat="false" ht="15" hidden="false" customHeight="false" outlineLevel="0" collapsed="false">
      <c r="A8150" s="0" t="s">
        <v>4118</v>
      </c>
      <c r="B8150" s="6" t="n">
        <v>42731</v>
      </c>
      <c r="C8150" s="7" t="s">
        <v>33</v>
      </c>
      <c r="D8150" s="7" t="s">
        <v>34</v>
      </c>
      <c r="E8150" s="7" t="s">
        <v>35</v>
      </c>
      <c r="F8150" s="0" t="n">
        <v>20.16</v>
      </c>
      <c r="G8150" s="0" t="n">
        <v>9.8784</v>
      </c>
      <c r="H8150" s="0" t="n">
        <v>0</v>
      </c>
      <c r="I8150" s="7" t="n">
        <f aca="false">YEAR(B8150)</f>
        <v>2016</v>
      </c>
      <c r="J8150" s="0" t="str">
        <f aca="false">I8150&amp;"-Q"&amp;ROUNDUP(MONTH(B8150)/3,0)</f>
        <v>2016-Q4</v>
      </c>
    </row>
    <row r="8151" customFormat="false" ht="15" hidden="false" customHeight="false" outlineLevel="0" collapsed="false">
      <c r="A8151" s="0" t="s">
        <v>4119</v>
      </c>
      <c r="B8151" s="6" t="n">
        <v>41665</v>
      </c>
      <c r="C8151" s="7" t="s">
        <v>45</v>
      </c>
      <c r="D8151" s="7" t="s">
        <v>1218</v>
      </c>
      <c r="E8151" s="7" t="s">
        <v>35</v>
      </c>
      <c r="F8151" s="0" t="n">
        <v>10.68</v>
      </c>
      <c r="G8151" s="0" t="n">
        <v>5.0196</v>
      </c>
      <c r="H8151" s="0" t="n">
        <v>0</v>
      </c>
      <c r="I8151" s="7" t="n">
        <f aca="false">YEAR(B8151)</f>
        <v>2014</v>
      </c>
      <c r="J8151" s="0" t="str">
        <f aca="false">I8151&amp;"-Q"&amp;ROUNDUP(MONTH(B8151)/3,0)</f>
        <v>2014-Q1</v>
      </c>
    </row>
    <row r="8152" customFormat="false" ht="15" hidden="false" customHeight="false" outlineLevel="0" collapsed="false">
      <c r="A8152" s="0" t="s">
        <v>4119</v>
      </c>
      <c r="B8152" s="6" t="n">
        <v>41665</v>
      </c>
      <c r="C8152" s="7" t="s">
        <v>45</v>
      </c>
      <c r="D8152" s="7" t="s">
        <v>1218</v>
      </c>
      <c r="E8152" s="7" t="s">
        <v>31</v>
      </c>
      <c r="F8152" s="0" t="n">
        <v>141.96</v>
      </c>
      <c r="G8152" s="0" t="n">
        <v>39.7488</v>
      </c>
      <c r="H8152" s="0" t="n">
        <v>0</v>
      </c>
      <c r="I8152" s="7" t="n">
        <f aca="false">YEAR(B8152)</f>
        <v>2014</v>
      </c>
      <c r="J8152" s="0" t="str">
        <f aca="false">I8152&amp;"-Q"&amp;ROUNDUP(MONTH(B8152)/3,0)</f>
        <v>2014-Q1</v>
      </c>
    </row>
    <row r="8153" customFormat="false" ht="15" hidden="false" customHeight="false" outlineLevel="0" collapsed="false">
      <c r="A8153" s="0" t="s">
        <v>4120</v>
      </c>
      <c r="B8153" s="6" t="n">
        <v>42817</v>
      </c>
      <c r="C8153" s="7" t="s">
        <v>33</v>
      </c>
      <c r="D8153" s="7" t="s">
        <v>43</v>
      </c>
      <c r="E8153" s="7" t="s">
        <v>35</v>
      </c>
      <c r="F8153" s="0" t="n">
        <v>32.48</v>
      </c>
      <c r="G8153" s="0" t="n">
        <v>4.872</v>
      </c>
      <c r="H8153" s="0" t="n">
        <v>0</v>
      </c>
      <c r="I8153" s="7" t="n">
        <f aca="false">YEAR(B8153)</f>
        <v>2017</v>
      </c>
      <c r="J8153" s="0" t="str">
        <f aca="false">I8153&amp;"-Q"&amp;ROUNDUP(MONTH(B8153)/3,0)</f>
        <v>2017-Q1</v>
      </c>
    </row>
    <row r="8154" customFormat="false" ht="15" hidden="false" customHeight="false" outlineLevel="0" collapsed="false">
      <c r="A8154" s="0" t="s">
        <v>4120</v>
      </c>
      <c r="B8154" s="6" t="n">
        <v>42817</v>
      </c>
      <c r="C8154" s="7" t="s">
        <v>33</v>
      </c>
      <c r="D8154" s="7" t="s">
        <v>43</v>
      </c>
      <c r="E8154" s="7" t="s">
        <v>35</v>
      </c>
      <c r="F8154" s="0" t="n">
        <v>20.04</v>
      </c>
      <c r="G8154" s="0" t="n">
        <v>9.6192</v>
      </c>
      <c r="H8154" s="0" t="n">
        <v>0</v>
      </c>
      <c r="I8154" s="7" t="n">
        <f aca="false">YEAR(B8154)</f>
        <v>2017</v>
      </c>
      <c r="J8154" s="0" t="str">
        <f aca="false">I8154&amp;"-Q"&amp;ROUNDUP(MONTH(B8154)/3,0)</f>
        <v>2017-Q1</v>
      </c>
    </row>
    <row r="8155" customFormat="false" ht="15" hidden="false" customHeight="false" outlineLevel="0" collapsed="false">
      <c r="A8155" s="0" t="s">
        <v>4120</v>
      </c>
      <c r="B8155" s="6" t="n">
        <v>42817</v>
      </c>
      <c r="C8155" s="7" t="s">
        <v>33</v>
      </c>
      <c r="D8155" s="7" t="s">
        <v>43</v>
      </c>
      <c r="E8155" s="7" t="s">
        <v>39</v>
      </c>
      <c r="F8155" s="0" t="n">
        <v>13999.96</v>
      </c>
      <c r="G8155" s="0" t="n">
        <v>6719.9808</v>
      </c>
      <c r="H8155" s="0" t="n">
        <v>0</v>
      </c>
      <c r="I8155" s="7" t="n">
        <f aca="false">YEAR(B8155)</f>
        <v>2017</v>
      </c>
      <c r="J8155" s="0" t="str">
        <f aca="false">I8155&amp;"-Q"&amp;ROUNDUP(MONTH(B8155)/3,0)</f>
        <v>2017-Q1</v>
      </c>
    </row>
    <row r="8156" customFormat="false" ht="15" hidden="false" customHeight="false" outlineLevel="0" collapsed="false">
      <c r="A8156" s="0" t="s">
        <v>4121</v>
      </c>
      <c r="B8156" s="6" t="n">
        <v>42814</v>
      </c>
      <c r="C8156" s="7" t="s">
        <v>55</v>
      </c>
      <c r="D8156" s="7" t="s">
        <v>154</v>
      </c>
      <c r="E8156" s="7" t="s">
        <v>39</v>
      </c>
      <c r="F8156" s="0" t="n">
        <v>238</v>
      </c>
      <c r="G8156" s="0" t="n">
        <v>38.08</v>
      </c>
      <c r="H8156" s="0" t="n">
        <v>0</v>
      </c>
      <c r="I8156" s="7" t="n">
        <f aca="false">YEAR(B8156)</f>
        <v>2017</v>
      </c>
      <c r="J8156" s="0" t="str">
        <f aca="false">I8156&amp;"-Q"&amp;ROUNDUP(MONTH(B8156)/3,0)</f>
        <v>2017-Q1</v>
      </c>
    </row>
    <row r="8157" customFormat="false" ht="15" hidden="false" customHeight="false" outlineLevel="0" collapsed="false">
      <c r="A8157" s="0" t="s">
        <v>4121</v>
      </c>
      <c r="B8157" s="6" t="n">
        <v>42814</v>
      </c>
      <c r="C8157" s="7" t="s">
        <v>55</v>
      </c>
      <c r="D8157" s="7" t="s">
        <v>154</v>
      </c>
      <c r="E8157" s="7" t="s">
        <v>35</v>
      </c>
      <c r="F8157" s="0" t="n">
        <v>61.96</v>
      </c>
      <c r="G8157" s="0" t="n">
        <v>27.882</v>
      </c>
      <c r="H8157" s="0" t="n">
        <v>0</v>
      </c>
      <c r="I8157" s="7" t="n">
        <f aca="false">YEAR(B8157)</f>
        <v>2017</v>
      </c>
      <c r="J8157" s="0" t="str">
        <f aca="false">I8157&amp;"-Q"&amp;ROUNDUP(MONTH(B8157)/3,0)</f>
        <v>2017-Q1</v>
      </c>
    </row>
    <row r="8158" customFormat="false" ht="15" hidden="false" customHeight="false" outlineLevel="0" collapsed="false">
      <c r="A8158" s="0" t="s">
        <v>4122</v>
      </c>
      <c r="B8158" s="6" t="n">
        <v>42647</v>
      </c>
      <c r="C8158" s="7" t="s">
        <v>55</v>
      </c>
      <c r="D8158" s="7" t="s">
        <v>495</v>
      </c>
      <c r="E8158" s="7" t="s">
        <v>31</v>
      </c>
      <c r="F8158" s="0" t="n">
        <v>239.372</v>
      </c>
      <c r="G8158" s="0" t="n">
        <v>-23.9372</v>
      </c>
      <c r="H8158" s="0" t="n">
        <v>0.3</v>
      </c>
      <c r="I8158" s="7" t="n">
        <f aca="false">YEAR(B8158)</f>
        <v>2016</v>
      </c>
      <c r="J8158" s="0" t="str">
        <f aca="false">I8158&amp;"-Q"&amp;ROUNDUP(MONTH(B8158)/3,0)</f>
        <v>2016-Q4</v>
      </c>
    </row>
    <row r="8159" customFormat="false" ht="15" hidden="false" customHeight="false" outlineLevel="0" collapsed="false">
      <c r="A8159" s="0" t="s">
        <v>4123</v>
      </c>
      <c r="B8159" s="6" t="n">
        <v>42692</v>
      </c>
      <c r="C8159" s="7" t="s">
        <v>33</v>
      </c>
      <c r="D8159" s="7" t="s">
        <v>34</v>
      </c>
      <c r="E8159" s="7" t="s">
        <v>39</v>
      </c>
      <c r="F8159" s="0" t="n">
        <v>595</v>
      </c>
      <c r="G8159" s="0" t="n">
        <v>95.2</v>
      </c>
      <c r="H8159" s="0" t="n">
        <v>0</v>
      </c>
      <c r="I8159" s="7" t="n">
        <f aca="false">YEAR(B8159)</f>
        <v>2016</v>
      </c>
      <c r="J8159" s="0" t="str">
        <f aca="false">I8159&amp;"-Q"&amp;ROUNDUP(MONTH(B8159)/3,0)</f>
        <v>2016-Q4</v>
      </c>
    </row>
    <row r="8160" customFormat="false" ht="15" hidden="false" customHeight="false" outlineLevel="0" collapsed="false">
      <c r="A8160" s="0" t="s">
        <v>4124</v>
      </c>
      <c r="B8160" s="6" t="n">
        <v>43095</v>
      </c>
      <c r="C8160" s="7" t="s">
        <v>45</v>
      </c>
      <c r="D8160" s="7" t="s">
        <v>46</v>
      </c>
      <c r="E8160" s="7" t="s">
        <v>35</v>
      </c>
      <c r="F8160" s="0" t="n">
        <v>16.032</v>
      </c>
      <c r="G8160" s="0" t="n">
        <v>5.6112</v>
      </c>
      <c r="H8160" s="0" t="n">
        <v>0.2</v>
      </c>
      <c r="I8160" s="7" t="n">
        <f aca="false">YEAR(B8160)</f>
        <v>2017</v>
      </c>
      <c r="J8160" s="0" t="str">
        <f aca="false">I8160&amp;"-Q"&amp;ROUNDUP(MONTH(B8160)/3,0)</f>
        <v>2017-Q4</v>
      </c>
    </row>
    <row r="8161" customFormat="false" ht="15" hidden="false" customHeight="false" outlineLevel="0" collapsed="false">
      <c r="A8161" s="0" t="s">
        <v>4125</v>
      </c>
      <c r="B8161" s="6" t="n">
        <v>42438</v>
      </c>
      <c r="C8161" s="7" t="s">
        <v>55</v>
      </c>
      <c r="D8161" s="7" t="s">
        <v>154</v>
      </c>
      <c r="E8161" s="7" t="s">
        <v>39</v>
      </c>
      <c r="F8161" s="0" t="n">
        <v>199.75</v>
      </c>
      <c r="G8161" s="0" t="n">
        <v>87.89</v>
      </c>
      <c r="H8161" s="0" t="n">
        <v>0</v>
      </c>
      <c r="I8161" s="7" t="n">
        <f aca="false">YEAR(B8161)</f>
        <v>2016</v>
      </c>
      <c r="J8161" s="0" t="str">
        <f aca="false">I8161&amp;"-Q"&amp;ROUNDUP(MONTH(B8161)/3,0)</f>
        <v>2016-Q1</v>
      </c>
    </row>
    <row r="8162" customFormat="false" ht="15" hidden="false" customHeight="false" outlineLevel="0" collapsed="false">
      <c r="A8162" s="0" t="s">
        <v>4126</v>
      </c>
      <c r="B8162" s="6" t="n">
        <v>42416</v>
      </c>
      <c r="C8162" s="7" t="s">
        <v>55</v>
      </c>
      <c r="D8162" s="7" t="s">
        <v>161</v>
      </c>
      <c r="E8162" s="7" t="s">
        <v>31</v>
      </c>
      <c r="F8162" s="0" t="n">
        <v>227.96</v>
      </c>
      <c r="G8162" s="0" t="n">
        <v>36.4736</v>
      </c>
      <c r="H8162" s="0" t="n">
        <v>0</v>
      </c>
      <c r="I8162" s="7" t="n">
        <f aca="false">YEAR(B8162)</f>
        <v>2016</v>
      </c>
      <c r="J8162" s="0" t="str">
        <f aca="false">I8162&amp;"-Q"&amp;ROUNDUP(MONTH(B8162)/3,0)</f>
        <v>2016-Q1</v>
      </c>
    </row>
    <row r="8163" customFormat="false" ht="15" hidden="false" customHeight="false" outlineLevel="0" collapsed="false">
      <c r="A8163" s="0" t="s">
        <v>4127</v>
      </c>
      <c r="B8163" s="6" t="n">
        <v>42275</v>
      </c>
      <c r="C8163" s="7" t="s">
        <v>55</v>
      </c>
      <c r="D8163" s="7" t="s">
        <v>76</v>
      </c>
      <c r="E8163" s="7" t="s">
        <v>35</v>
      </c>
      <c r="F8163" s="0" t="n">
        <v>293.52</v>
      </c>
      <c r="G8163" s="0" t="n">
        <v>76.3152</v>
      </c>
      <c r="H8163" s="0" t="n">
        <v>0</v>
      </c>
      <c r="I8163" s="7" t="n">
        <f aca="false">YEAR(B8163)</f>
        <v>2015</v>
      </c>
      <c r="J8163" s="0" t="str">
        <f aca="false">I8163&amp;"-Q"&amp;ROUNDUP(MONTH(B8163)/3,0)</f>
        <v>2015-Q3</v>
      </c>
    </row>
    <row r="8164" customFormat="false" ht="15" hidden="false" customHeight="false" outlineLevel="0" collapsed="false">
      <c r="A8164" s="0" t="s">
        <v>4127</v>
      </c>
      <c r="B8164" s="6" t="n">
        <v>42275</v>
      </c>
      <c r="C8164" s="7" t="s">
        <v>55</v>
      </c>
      <c r="D8164" s="7" t="s">
        <v>76</v>
      </c>
      <c r="E8164" s="7" t="s">
        <v>39</v>
      </c>
      <c r="F8164" s="0" t="n">
        <v>307.98</v>
      </c>
      <c r="G8164" s="0" t="n">
        <v>89.3142</v>
      </c>
      <c r="H8164" s="0" t="n">
        <v>0</v>
      </c>
      <c r="I8164" s="7" t="n">
        <f aca="false">YEAR(B8164)</f>
        <v>2015</v>
      </c>
      <c r="J8164" s="0" t="str">
        <f aca="false">I8164&amp;"-Q"&amp;ROUNDUP(MONTH(B8164)/3,0)</f>
        <v>2015-Q3</v>
      </c>
    </row>
    <row r="8165" customFormat="false" ht="15" hidden="false" customHeight="false" outlineLevel="0" collapsed="false">
      <c r="A8165" s="0" t="s">
        <v>4128</v>
      </c>
      <c r="B8165" s="6" t="n">
        <v>42310</v>
      </c>
      <c r="C8165" s="7" t="s">
        <v>33</v>
      </c>
      <c r="D8165" s="7" t="s">
        <v>34</v>
      </c>
      <c r="E8165" s="7" t="s">
        <v>31</v>
      </c>
      <c r="F8165" s="0" t="n">
        <v>96.96</v>
      </c>
      <c r="G8165" s="0" t="n">
        <v>33.936</v>
      </c>
      <c r="H8165" s="0" t="n">
        <v>0</v>
      </c>
      <c r="I8165" s="7" t="n">
        <f aca="false">YEAR(B8165)</f>
        <v>2015</v>
      </c>
      <c r="J8165" s="0" t="str">
        <f aca="false">I8165&amp;"-Q"&amp;ROUNDUP(MONTH(B8165)/3,0)</f>
        <v>2015-Q4</v>
      </c>
    </row>
    <row r="8166" customFormat="false" ht="15" hidden="false" customHeight="false" outlineLevel="0" collapsed="false">
      <c r="A8166" s="0" t="s">
        <v>4128</v>
      </c>
      <c r="B8166" s="6" t="n">
        <v>42310</v>
      </c>
      <c r="C8166" s="7" t="s">
        <v>33</v>
      </c>
      <c r="D8166" s="7" t="s">
        <v>34</v>
      </c>
      <c r="E8166" s="7" t="s">
        <v>35</v>
      </c>
      <c r="F8166" s="0" t="n">
        <v>117.488</v>
      </c>
      <c r="G8166" s="0" t="n">
        <v>41.1208</v>
      </c>
      <c r="H8166" s="0" t="n">
        <v>0.2</v>
      </c>
      <c r="I8166" s="7" t="n">
        <f aca="false">YEAR(B8166)</f>
        <v>2015</v>
      </c>
      <c r="J8166" s="0" t="str">
        <f aca="false">I8166&amp;"-Q"&amp;ROUNDUP(MONTH(B8166)/3,0)</f>
        <v>2015-Q4</v>
      </c>
    </row>
    <row r="8167" customFormat="false" ht="15" hidden="false" customHeight="false" outlineLevel="0" collapsed="false">
      <c r="A8167" s="0" t="s">
        <v>4128</v>
      </c>
      <c r="B8167" s="6" t="n">
        <v>42310</v>
      </c>
      <c r="C8167" s="7" t="s">
        <v>33</v>
      </c>
      <c r="D8167" s="7" t="s">
        <v>34</v>
      </c>
      <c r="E8167" s="7" t="s">
        <v>35</v>
      </c>
      <c r="F8167" s="0" t="n">
        <v>11.952</v>
      </c>
      <c r="G8167" s="0" t="n">
        <v>4.1832</v>
      </c>
      <c r="H8167" s="0" t="n">
        <v>0.2</v>
      </c>
      <c r="I8167" s="7" t="n">
        <f aca="false">YEAR(B8167)</f>
        <v>2015</v>
      </c>
      <c r="J8167" s="0" t="str">
        <f aca="false">I8167&amp;"-Q"&amp;ROUNDUP(MONTH(B8167)/3,0)</f>
        <v>2015-Q4</v>
      </c>
    </row>
    <row r="8168" customFormat="false" ht="15" hidden="false" customHeight="false" outlineLevel="0" collapsed="false">
      <c r="A8168" s="0" t="s">
        <v>4128</v>
      </c>
      <c r="B8168" s="6" t="n">
        <v>42310</v>
      </c>
      <c r="C8168" s="7" t="s">
        <v>33</v>
      </c>
      <c r="D8168" s="7" t="s">
        <v>34</v>
      </c>
      <c r="E8168" s="7" t="s">
        <v>31</v>
      </c>
      <c r="F8168" s="0" t="n">
        <v>512.499</v>
      </c>
      <c r="G8168" s="0" t="n">
        <v>-30.147</v>
      </c>
      <c r="H8168" s="0" t="n">
        <v>0.15</v>
      </c>
      <c r="I8168" s="7" t="n">
        <f aca="false">YEAR(B8168)</f>
        <v>2015</v>
      </c>
      <c r="J8168" s="0" t="str">
        <f aca="false">I8168&amp;"-Q"&amp;ROUNDUP(MONTH(B8168)/3,0)</f>
        <v>2015-Q4</v>
      </c>
    </row>
    <row r="8169" customFormat="false" ht="15" hidden="false" customHeight="false" outlineLevel="0" collapsed="false">
      <c r="A8169" s="0" t="s">
        <v>4129</v>
      </c>
      <c r="B8169" s="6" t="n">
        <v>42582</v>
      </c>
      <c r="C8169" s="7" t="s">
        <v>33</v>
      </c>
      <c r="D8169" s="7" t="s">
        <v>34</v>
      </c>
      <c r="E8169" s="7" t="s">
        <v>31</v>
      </c>
      <c r="F8169" s="0" t="n">
        <v>863.128</v>
      </c>
      <c r="G8169" s="0" t="n">
        <v>-32.3673</v>
      </c>
      <c r="H8169" s="0" t="n">
        <v>0.2</v>
      </c>
      <c r="I8169" s="7" t="n">
        <f aca="false">YEAR(B8169)</f>
        <v>2016</v>
      </c>
      <c r="J8169" s="0" t="str">
        <f aca="false">I8169&amp;"-Q"&amp;ROUNDUP(MONTH(B8169)/3,0)</f>
        <v>2016-Q3</v>
      </c>
    </row>
    <row r="8170" customFormat="false" ht="15" hidden="false" customHeight="false" outlineLevel="0" collapsed="false">
      <c r="A8170" s="0" t="s">
        <v>4130</v>
      </c>
      <c r="B8170" s="6" t="n">
        <v>43045</v>
      </c>
      <c r="C8170" s="7" t="s">
        <v>33</v>
      </c>
      <c r="D8170" s="7" t="s">
        <v>43</v>
      </c>
      <c r="E8170" s="7" t="s">
        <v>31</v>
      </c>
      <c r="F8170" s="0" t="n">
        <v>2036.86</v>
      </c>
      <c r="G8170" s="0" t="n">
        <v>366.6348</v>
      </c>
      <c r="H8170" s="0" t="n">
        <v>0</v>
      </c>
      <c r="I8170" s="7" t="n">
        <f aca="false">YEAR(B8170)</f>
        <v>2017</v>
      </c>
      <c r="J8170" s="0" t="str">
        <f aca="false">I8170&amp;"-Q"&amp;ROUNDUP(MONTH(B8170)/3,0)</f>
        <v>2017-Q4</v>
      </c>
    </row>
    <row r="8171" customFormat="false" ht="15" hidden="false" customHeight="false" outlineLevel="0" collapsed="false">
      <c r="A8171" s="0" t="s">
        <v>4130</v>
      </c>
      <c r="B8171" s="6" t="n">
        <v>43045</v>
      </c>
      <c r="C8171" s="7" t="s">
        <v>33</v>
      </c>
      <c r="D8171" s="7" t="s">
        <v>43</v>
      </c>
      <c r="E8171" s="7" t="s">
        <v>31</v>
      </c>
      <c r="F8171" s="0" t="n">
        <v>449.568</v>
      </c>
      <c r="G8171" s="0" t="n">
        <v>-73.0548</v>
      </c>
      <c r="H8171" s="0" t="n">
        <v>0.2</v>
      </c>
      <c r="I8171" s="7" t="n">
        <f aca="false">YEAR(B8171)</f>
        <v>2017</v>
      </c>
      <c r="J8171" s="0" t="str">
        <f aca="false">I8171&amp;"-Q"&amp;ROUNDUP(MONTH(B8171)/3,0)</f>
        <v>2017-Q4</v>
      </c>
    </row>
    <row r="8172" customFormat="false" ht="15" hidden="false" customHeight="false" outlineLevel="0" collapsed="false">
      <c r="A8172" s="0" t="s">
        <v>4130</v>
      </c>
      <c r="B8172" s="6" t="n">
        <v>43045</v>
      </c>
      <c r="C8172" s="7" t="s">
        <v>33</v>
      </c>
      <c r="D8172" s="7" t="s">
        <v>43</v>
      </c>
      <c r="E8172" s="7" t="s">
        <v>39</v>
      </c>
      <c r="F8172" s="0" t="n">
        <v>108.96</v>
      </c>
      <c r="G8172" s="0" t="n">
        <v>32.688</v>
      </c>
      <c r="H8172" s="0" t="n">
        <v>0</v>
      </c>
      <c r="I8172" s="7" t="n">
        <f aca="false">YEAR(B8172)</f>
        <v>2017</v>
      </c>
      <c r="J8172" s="0" t="str">
        <f aca="false">I8172&amp;"-Q"&amp;ROUNDUP(MONTH(B8172)/3,0)</f>
        <v>2017-Q4</v>
      </c>
    </row>
    <row r="8173" customFormat="false" ht="15" hidden="false" customHeight="false" outlineLevel="0" collapsed="false">
      <c r="A8173" s="0" t="s">
        <v>4131</v>
      </c>
      <c r="B8173" s="6" t="n">
        <v>42414</v>
      </c>
      <c r="C8173" s="7" t="s">
        <v>29</v>
      </c>
      <c r="D8173" s="7" t="s">
        <v>265</v>
      </c>
      <c r="E8173" s="7" t="s">
        <v>35</v>
      </c>
      <c r="F8173" s="0" t="n">
        <v>264.18</v>
      </c>
      <c r="G8173" s="0" t="n">
        <v>68.6868</v>
      </c>
      <c r="H8173" s="0" t="n">
        <v>0</v>
      </c>
      <c r="I8173" s="7" t="n">
        <f aca="false">YEAR(B8173)</f>
        <v>2016</v>
      </c>
      <c r="J8173" s="0" t="str">
        <f aca="false">I8173&amp;"-Q"&amp;ROUNDUP(MONTH(B8173)/3,0)</f>
        <v>2016-Q1</v>
      </c>
    </row>
    <row r="8174" customFormat="false" ht="15" hidden="false" customHeight="false" outlineLevel="0" collapsed="false">
      <c r="A8174" s="0" t="s">
        <v>4132</v>
      </c>
      <c r="B8174" s="6" t="n">
        <v>41829</v>
      </c>
      <c r="C8174" s="7" t="s">
        <v>33</v>
      </c>
      <c r="D8174" s="7" t="s">
        <v>34</v>
      </c>
      <c r="E8174" s="7" t="s">
        <v>35</v>
      </c>
      <c r="F8174" s="0" t="n">
        <v>2.88</v>
      </c>
      <c r="G8174" s="0" t="n">
        <v>1.4112</v>
      </c>
      <c r="H8174" s="0" t="n">
        <v>0</v>
      </c>
      <c r="I8174" s="7" t="n">
        <f aca="false">YEAR(B8174)</f>
        <v>2014</v>
      </c>
      <c r="J8174" s="0" t="str">
        <f aca="false">I8174&amp;"-Q"&amp;ROUNDUP(MONTH(B8174)/3,0)</f>
        <v>2014-Q3</v>
      </c>
    </row>
    <row r="8175" customFormat="false" ht="15" hidden="false" customHeight="false" outlineLevel="0" collapsed="false">
      <c r="A8175" s="0" t="s">
        <v>4132</v>
      </c>
      <c r="B8175" s="6" t="n">
        <v>41829</v>
      </c>
      <c r="C8175" s="7" t="s">
        <v>33</v>
      </c>
      <c r="D8175" s="7" t="s">
        <v>34</v>
      </c>
      <c r="E8175" s="7" t="s">
        <v>35</v>
      </c>
      <c r="F8175" s="0" t="n">
        <v>41.904</v>
      </c>
      <c r="G8175" s="0" t="n">
        <v>14.1426</v>
      </c>
      <c r="H8175" s="0" t="n">
        <v>0.2</v>
      </c>
      <c r="I8175" s="7" t="n">
        <f aca="false">YEAR(B8175)</f>
        <v>2014</v>
      </c>
      <c r="J8175" s="0" t="str">
        <f aca="false">I8175&amp;"-Q"&amp;ROUNDUP(MONTH(B8175)/3,0)</f>
        <v>2014-Q3</v>
      </c>
    </row>
    <row r="8176" customFormat="false" ht="15" hidden="false" customHeight="false" outlineLevel="0" collapsed="false">
      <c r="A8176" s="0" t="s">
        <v>4132</v>
      </c>
      <c r="B8176" s="6" t="n">
        <v>41829</v>
      </c>
      <c r="C8176" s="7" t="s">
        <v>33</v>
      </c>
      <c r="D8176" s="7" t="s">
        <v>34</v>
      </c>
      <c r="E8176" s="7" t="s">
        <v>35</v>
      </c>
      <c r="F8176" s="0" t="n">
        <v>23.92</v>
      </c>
      <c r="G8176" s="0" t="n">
        <v>4.0664</v>
      </c>
      <c r="H8176" s="0" t="n">
        <v>0</v>
      </c>
      <c r="I8176" s="7" t="n">
        <f aca="false">YEAR(B8176)</f>
        <v>2014</v>
      </c>
      <c r="J8176" s="0" t="str">
        <f aca="false">I8176&amp;"-Q"&amp;ROUNDUP(MONTH(B8176)/3,0)</f>
        <v>2014-Q3</v>
      </c>
    </row>
    <row r="8177" customFormat="false" ht="15" hidden="false" customHeight="false" outlineLevel="0" collapsed="false">
      <c r="A8177" s="0" t="s">
        <v>4133</v>
      </c>
      <c r="B8177" s="6" t="n">
        <v>42399</v>
      </c>
      <c r="C8177" s="7" t="s">
        <v>45</v>
      </c>
      <c r="D8177" s="7" t="s">
        <v>64</v>
      </c>
      <c r="E8177" s="7" t="s">
        <v>35</v>
      </c>
      <c r="F8177" s="0" t="n">
        <v>156.512</v>
      </c>
      <c r="G8177" s="0" t="n">
        <v>52.8228</v>
      </c>
      <c r="H8177" s="0" t="n">
        <v>0.2</v>
      </c>
      <c r="I8177" s="7" t="n">
        <f aca="false">YEAR(B8177)</f>
        <v>2016</v>
      </c>
      <c r="J8177" s="0" t="str">
        <f aca="false">I8177&amp;"-Q"&amp;ROUNDUP(MONTH(B8177)/3,0)</f>
        <v>2016-Q1</v>
      </c>
    </row>
    <row r="8178" customFormat="false" ht="15" hidden="false" customHeight="false" outlineLevel="0" collapsed="false">
      <c r="A8178" s="0" t="s">
        <v>4134</v>
      </c>
      <c r="B8178" s="6" t="n">
        <v>42635</v>
      </c>
      <c r="C8178" s="7" t="s">
        <v>55</v>
      </c>
      <c r="D8178" s="7" t="s">
        <v>76</v>
      </c>
      <c r="E8178" s="7" t="s">
        <v>35</v>
      </c>
      <c r="F8178" s="0" t="n">
        <v>128.34</v>
      </c>
      <c r="G8178" s="0" t="n">
        <v>37.2186</v>
      </c>
      <c r="H8178" s="0" t="n">
        <v>0</v>
      </c>
      <c r="I8178" s="7" t="n">
        <f aca="false">YEAR(B8178)</f>
        <v>2016</v>
      </c>
      <c r="J8178" s="0" t="str">
        <f aca="false">I8178&amp;"-Q"&amp;ROUNDUP(MONTH(B8178)/3,0)</f>
        <v>2016-Q3</v>
      </c>
    </row>
    <row r="8179" customFormat="false" ht="15" hidden="false" customHeight="false" outlineLevel="0" collapsed="false">
      <c r="A8179" s="0" t="s">
        <v>4135</v>
      </c>
      <c r="B8179" s="6" t="n">
        <v>43091</v>
      </c>
      <c r="C8179" s="7" t="s">
        <v>33</v>
      </c>
      <c r="D8179" s="7" t="s">
        <v>34</v>
      </c>
      <c r="E8179" s="7" t="s">
        <v>39</v>
      </c>
      <c r="F8179" s="0" t="n">
        <v>474.95</v>
      </c>
      <c r="G8179" s="0" t="n">
        <v>142.485</v>
      </c>
      <c r="H8179" s="0" t="n">
        <v>0</v>
      </c>
      <c r="I8179" s="7" t="n">
        <f aca="false">YEAR(B8179)</f>
        <v>2017</v>
      </c>
      <c r="J8179" s="0" t="str">
        <f aca="false">I8179&amp;"-Q"&amp;ROUNDUP(MONTH(B8179)/3,0)</f>
        <v>2017-Q4</v>
      </c>
    </row>
    <row r="8180" customFormat="false" ht="15" hidden="false" customHeight="false" outlineLevel="0" collapsed="false">
      <c r="A8180" s="0" t="s">
        <v>4136</v>
      </c>
      <c r="B8180" s="6" t="n">
        <v>42615</v>
      </c>
      <c r="C8180" s="7" t="s">
        <v>33</v>
      </c>
      <c r="D8180" s="7" t="s">
        <v>43</v>
      </c>
      <c r="E8180" s="7" t="s">
        <v>39</v>
      </c>
      <c r="F8180" s="0" t="n">
        <v>999.98</v>
      </c>
      <c r="G8180" s="0" t="n">
        <v>449.991</v>
      </c>
      <c r="H8180" s="0" t="n">
        <v>0</v>
      </c>
      <c r="I8180" s="7" t="n">
        <f aca="false">YEAR(B8180)</f>
        <v>2016</v>
      </c>
      <c r="J8180" s="0" t="str">
        <f aca="false">I8180&amp;"-Q"&amp;ROUNDUP(MONTH(B8180)/3,0)</f>
        <v>2016-Q3</v>
      </c>
    </row>
    <row r="8181" customFormat="false" ht="15" hidden="false" customHeight="false" outlineLevel="0" collapsed="false">
      <c r="A8181" s="0" t="s">
        <v>4137</v>
      </c>
      <c r="B8181" s="6" t="n">
        <v>42218</v>
      </c>
      <c r="C8181" s="7" t="s">
        <v>33</v>
      </c>
      <c r="D8181" s="7" t="s">
        <v>102</v>
      </c>
      <c r="E8181" s="7" t="s">
        <v>31</v>
      </c>
      <c r="F8181" s="0" t="n">
        <v>277.5</v>
      </c>
      <c r="G8181" s="0" t="n">
        <v>-188.7</v>
      </c>
      <c r="H8181" s="0" t="n">
        <v>0.5</v>
      </c>
      <c r="I8181" s="7" t="n">
        <f aca="false">YEAR(B8181)</f>
        <v>2015</v>
      </c>
      <c r="J8181" s="0" t="str">
        <f aca="false">I8181&amp;"-Q"&amp;ROUNDUP(MONTH(B8181)/3,0)</f>
        <v>2015-Q3</v>
      </c>
    </row>
    <row r="8182" customFormat="false" ht="15" hidden="false" customHeight="false" outlineLevel="0" collapsed="false">
      <c r="A8182" s="0" t="s">
        <v>4138</v>
      </c>
      <c r="B8182" s="6" t="n">
        <v>42329</v>
      </c>
      <c r="C8182" s="7" t="s">
        <v>55</v>
      </c>
      <c r="D8182" s="7" t="s">
        <v>56</v>
      </c>
      <c r="E8182" s="7" t="s">
        <v>31</v>
      </c>
      <c r="F8182" s="0" t="n">
        <v>1252.704</v>
      </c>
      <c r="G8182" s="0" t="n">
        <v>-480.2032</v>
      </c>
      <c r="H8182" s="0" t="n">
        <v>0.4</v>
      </c>
      <c r="I8182" s="7" t="n">
        <f aca="false">YEAR(B8182)</f>
        <v>2015</v>
      </c>
      <c r="J8182" s="0" t="str">
        <f aca="false">I8182&amp;"-Q"&amp;ROUNDUP(MONTH(B8182)/3,0)</f>
        <v>2015-Q4</v>
      </c>
    </row>
    <row r="8183" customFormat="false" ht="15" hidden="false" customHeight="false" outlineLevel="0" collapsed="false">
      <c r="A8183" s="0" t="s">
        <v>4138</v>
      </c>
      <c r="B8183" s="6" t="n">
        <v>42329</v>
      </c>
      <c r="C8183" s="7" t="s">
        <v>55</v>
      </c>
      <c r="D8183" s="7" t="s">
        <v>56</v>
      </c>
      <c r="E8183" s="7" t="s">
        <v>39</v>
      </c>
      <c r="F8183" s="0" t="n">
        <v>110.97</v>
      </c>
      <c r="G8183" s="0" t="n">
        <v>-24.0435</v>
      </c>
      <c r="H8183" s="0" t="n">
        <v>0.4</v>
      </c>
      <c r="I8183" s="7" t="n">
        <f aca="false">YEAR(B8183)</f>
        <v>2015</v>
      </c>
      <c r="J8183" s="0" t="str">
        <f aca="false">I8183&amp;"-Q"&amp;ROUNDUP(MONTH(B8183)/3,0)</f>
        <v>2015-Q4</v>
      </c>
    </row>
    <row r="8184" customFormat="false" ht="15" hidden="false" customHeight="false" outlineLevel="0" collapsed="false">
      <c r="A8184" s="0" t="s">
        <v>4139</v>
      </c>
      <c r="B8184" s="6" t="n">
        <v>42873</v>
      </c>
      <c r="C8184" s="7" t="s">
        <v>45</v>
      </c>
      <c r="D8184" s="7" t="s">
        <v>64</v>
      </c>
      <c r="E8184" s="7" t="s">
        <v>31</v>
      </c>
      <c r="F8184" s="0" t="n">
        <v>22.608</v>
      </c>
      <c r="G8184" s="0" t="n">
        <v>-10.1736</v>
      </c>
      <c r="H8184" s="0" t="n">
        <v>0.6</v>
      </c>
      <c r="I8184" s="7" t="n">
        <f aca="false">YEAR(B8184)</f>
        <v>2017</v>
      </c>
      <c r="J8184" s="0" t="str">
        <f aca="false">I8184&amp;"-Q"&amp;ROUNDUP(MONTH(B8184)/3,0)</f>
        <v>2017-Q2</v>
      </c>
    </row>
    <row r="8185" customFormat="false" ht="15" hidden="false" customHeight="false" outlineLevel="0" collapsed="false">
      <c r="A8185" s="0" t="s">
        <v>4139</v>
      </c>
      <c r="B8185" s="6" t="n">
        <v>42873</v>
      </c>
      <c r="C8185" s="7" t="s">
        <v>45</v>
      </c>
      <c r="D8185" s="7" t="s">
        <v>64</v>
      </c>
      <c r="E8185" s="7" t="s">
        <v>31</v>
      </c>
      <c r="F8185" s="0" t="n">
        <v>1.892</v>
      </c>
      <c r="G8185" s="0" t="n">
        <v>-0.9933</v>
      </c>
      <c r="H8185" s="0" t="n">
        <v>0.6</v>
      </c>
      <c r="I8185" s="7" t="n">
        <f aca="false">YEAR(B8185)</f>
        <v>2017</v>
      </c>
      <c r="J8185" s="0" t="str">
        <f aca="false">I8185&amp;"-Q"&amp;ROUNDUP(MONTH(B8185)/3,0)</f>
        <v>2017-Q2</v>
      </c>
    </row>
    <row r="8186" customFormat="false" ht="15" hidden="false" customHeight="false" outlineLevel="0" collapsed="false">
      <c r="A8186" s="0" t="s">
        <v>4140</v>
      </c>
      <c r="B8186" s="6" t="n">
        <v>42939</v>
      </c>
      <c r="C8186" s="7" t="s">
        <v>45</v>
      </c>
      <c r="D8186" s="7" t="s">
        <v>64</v>
      </c>
      <c r="E8186" s="7" t="s">
        <v>35</v>
      </c>
      <c r="F8186" s="0" t="n">
        <v>63.312</v>
      </c>
      <c r="G8186" s="0" t="n">
        <v>20.5764</v>
      </c>
      <c r="H8186" s="0" t="n">
        <v>0.2</v>
      </c>
      <c r="I8186" s="7" t="n">
        <f aca="false">YEAR(B8186)</f>
        <v>2017</v>
      </c>
      <c r="J8186" s="0" t="str">
        <f aca="false">I8186&amp;"-Q"&amp;ROUNDUP(MONTH(B8186)/3,0)</f>
        <v>2017-Q3</v>
      </c>
    </row>
    <row r="8187" customFormat="false" ht="15" hidden="false" customHeight="false" outlineLevel="0" collapsed="false">
      <c r="A8187" s="0" t="s">
        <v>4141</v>
      </c>
      <c r="B8187" s="6" t="n">
        <v>42260</v>
      </c>
      <c r="C8187" s="7" t="s">
        <v>45</v>
      </c>
      <c r="D8187" s="7" t="s">
        <v>64</v>
      </c>
      <c r="E8187" s="7" t="s">
        <v>35</v>
      </c>
      <c r="F8187" s="0" t="n">
        <v>7.824</v>
      </c>
      <c r="G8187" s="0" t="n">
        <v>2.934</v>
      </c>
      <c r="H8187" s="0" t="n">
        <v>0.2</v>
      </c>
      <c r="I8187" s="7" t="n">
        <f aca="false">YEAR(B8187)</f>
        <v>2015</v>
      </c>
      <c r="J8187" s="0" t="str">
        <f aca="false">I8187&amp;"-Q"&amp;ROUNDUP(MONTH(B8187)/3,0)</f>
        <v>2015-Q3</v>
      </c>
    </row>
    <row r="8188" customFormat="false" ht="15" hidden="false" customHeight="false" outlineLevel="0" collapsed="false">
      <c r="A8188" s="0" t="s">
        <v>4141</v>
      </c>
      <c r="B8188" s="6" t="n">
        <v>42260</v>
      </c>
      <c r="C8188" s="7" t="s">
        <v>45</v>
      </c>
      <c r="D8188" s="7" t="s">
        <v>64</v>
      </c>
      <c r="E8188" s="7" t="s">
        <v>31</v>
      </c>
      <c r="F8188" s="0" t="n">
        <v>170.072</v>
      </c>
      <c r="G8188" s="0" t="n">
        <v>-12.148</v>
      </c>
      <c r="H8188" s="0" t="n">
        <v>0.3</v>
      </c>
      <c r="I8188" s="7" t="n">
        <f aca="false">YEAR(B8188)</f>
        <v>2015</v>
      </c>
      <c r="J8188" s="0" t="str">
        <f aca="false">I8188&amp;"-Q"&amp;ROUNDUP(MONTH(B8188)/3,0)</f>
        <v>2015-Q3</v>
      </c>
    </row>
    <row r="8189" customFormat="false" ht="15" hidden="false" customHeight="false" outlineLevel="0" collapsed="false">
      <c r="A8189" s="0" t="s">
        <v>4142</v>
      </c>
      <c r="B8189" s="6" t="n">
        <v>42714</v>
      </c>
      <c r="C8189" s="7" t="s">
        <v>55</v>
      </c>
      <c r="D8189" s="7" t="s">
        <v>76</v>
      </c>
      <c r="E8189" s="7" t="s">
        <v>35</v>
      </c>
      <c r="F8189" s="0" t="n">
        <v>62.82</v>
      </c>
      <c r="G8189" s="0" t="n">
        <v>29.5254</v>
      </c>
      <c r="H8189" s="0" t="n">
        <v>0</v>
      </c>
      <c r="I8189" s="7" t="n">
        <f aca="false">YEAR(B8189)</f>
        <v>2016</v>
      </c>
      <c r="J8189" s="0" t="str">
        <f aca="false">I8189&amp;"-Q"&amp;ROUNDUP(MONTH(B8189)/3,0)</f>
        <v>2016-Q4</v>
      </c>
    </row>
    <row r="8190" customFormat="false" ht="15" hidden="false" customHeight="false" outlineLevel="0" collapsed="false">
      <c r="A8190" s="0" t="s">
        <v>4143</v>
      </c>
      <c r="B8190" s="6" t="n">
        <v>42279</v>
      </c>
      <c r="C8190" s="7" t="s">
        <v>55</v>
      </c>
      <c r="D8190" s="7" t="s">
        <v>495</v>
      </c>
      <c r="E8190" s="7" t="s">
        <v>35</v>
      </c>
      <c r="F8190" s="0" t="n">
        <v>19.44</v>
      </c>
      <c r="G8190" s="0" t="n">
        <v>9.3312</v>
      </c>
      <c r="H8190" s="0" t="n">
        <v>0</v>
      </c>
      <c r="I8190" s="7" t="n">
        <f aca="false">YEAR(B8190)</f>
        <v>2015</v>
      </c>
      <c r="J8190" s="0" t="str">
        <f aca="false">I8190&amp;"-Q"&amp;ROUNDUP(MONTH(B8190)/3,0)</f>
        <v>2015-Q4</v>
      </c>
    </row>
    <row r="8191" customFormat="false" ht="15" hidden="false" customHeight="false" outlineLevel="0" collapsed="false">
      <c r="A8191" s="0" t="s">
        <v>4143</v>
      </c>
      <c r="B8191" s="6" t="n">
        <v>42279</v>
      </c>
      <c r="C8191" s="7" t="s">
        <v>55</v>
      </c>
      <c r="D8191" s="7" t="s">
        <v>495</v>
      </c>
      <c r="E8191" s="7" t="s">
        <v>35</v>
      </c>
      <c r="F8191" s="0" t="n">
        <v>7.38</v>
      </c>
      <c r="G8191" s="0" t="n">
        <v>3.6162</v>
      </c>
      <c r="H8191" s="0" t="n">
        <v>0</v>
      </c>
      <c r="I8191" s="7" t="n">
        <f aca="false">YEAR(B8191)</f>
        <v>2015</v>
      </c>
      <c r="J8191" s="0" t="str">
        <f aca="false">I8191&amp;"-Q"&amp;ROUNDUP(MONTH(B8191)/3,0)</f>
        <v>2015-Q4</v>
      </c>
    </row>
    <row r="8192" customFormat="false" ht="15" hidden="false" customHeight="false" outlineLevel="0" collapsed="false">
      <c r="A8192" s="0" t="s">
        <v>4144</v>
      </c>
      <c r="B8192" s="6" t="n">
        <v>43056</v>
      </c>
      <c r="C8192" s="7" t="s">
        <v>55</v>
      </c>
      <c r="D8192" s="7" t="s">
        <v>76</v>
      </c>
      <c r="E8192" s="7" t="s">
        <v>35</v>
      </c>
      <c r="F8192" s="0" t="n">
        <v>38.88</v>
      </c>
      <c r="G8192" s="0" t="n">
        <v>18.6624</v>
      </c>
      <c r="H8192" s="0" t="n">
        <v>0</v>
      </c>
      <c r="I8192" s="7" t="n">
        <f aca="false">YEAR(B8192)</f>
        <v>2017</v>
      </c>
      <c r="J8192" s="0" t="str">
        <f aca="false">I8192&amp;"-Q"&amp;ROUNDUP(MONTH(B8192)/3,0)</f>
        <v>2017-Q4</v>
      </c>
    </row>
    <row r="8193" customFormat="false" ht="15" hidden="false" customHeight="false" outlineLevel="0" collapsed="false">
      <c r="A8193" s="0" t="s">
        <v>4144</v>
      </c>
      <c r="B8193" s="6" t="n">
        <v>43056</v>
      </c>
      <c r="C8193" s="7" t="s">
        <v>55</v>
      </c>
      <c r="D8193" s="7" t="s">
        <v>76</v>
      </c>
      <c r="E8193" s="7" t="s">
        <v>31</v>
      </c>
      <c r="F8193" s="0" t="n">
        <v>187.76</v>
      </c>
      <c r="G8193" s="0" t="n">
        <v>76.9816</v>
      </c>
      <c r="H8193" s="0" t="n">
        <v>0</v>
      </c>
      <c r="I8193" s="7" t="n">
        <f aca="false">YEAR(B8193)</f>
        <v>2017</v>
      </c>
      <c r="J8193" s="0" t="str">
        <f aca="false">I8193&amp;"-Q"&amp;ROUNDUP(MONTH(B8193)/3,0)</f>
        <v>2017-Q4</v>
      </c>
    </row>
    <row r="8194" customFormat="false" ht="15" hidden="false" customHeight="false" outlineLevel="0" collapsed="false">
      <c r="A8194" s="0" t="s">
        <v>4145</v>
      </c>
      <c r="B8194" s="6" t="n">
        <v>42338</v>
      </c>
      <c r="C8194" s="7" t="s">
        <v>29</v>
      </c>
      <c r="D8194" s="7" t="s">
        <v>41</v>
      </c>
      <c r="E8194" s="7" t="s">
        <v>35</v>
      </c>
      <c r="F8194" s="0" t="n">
        <v>6.048</v>
      </c>
      <c r="G8194" s="0" t="n">
        <v>-4.2336</v>
      </c>
      <c r="H8194" s="0" t="n">
        <v>0.7</v>
      </c>
      <c r="I8194" s="7" t="n">
        <f aca="false">YEAR(B8194)</f>
        <v>2015</v>
      </c>
      <c r="J8194" s="0" t="str">
        <f aca="false">I8194&amp;"-Q"&amp;ROUNDUP(MONTH(B8194)/3,0)</f>
        <v>2015-Q4</v>
      </c>
    </row>
    <row r="8195" customFormat="false" ht="15" hidden="false" customHeight="false" outlineLevel="0" collapsed="false">
      <c r="A8195" s="0" t="s">
        <v>4145</v>
      </c>
      <c r="B8195" s="6" t="n">
        <v>42338</v>
      </c>
      <c r="C8195" s="7" t="s">
        <v>29</v>
      </c>
      <c r="D8195" s="7" t="s">
        <v>41</v>
      </c>
      <c r="E8195" s="7" t="s">
        <v>35</v>
      </c>
      <c r="F8195" s="0" t="n">
        <v>98.352</v>
      </c>
      <c r="G8195" s="0" t="n">
        <v>9.8352</v>
      </c>
      <c r="H8195" s="0" t="n">
        <v>0.2</v>
      </c>
      <c r="I8195" s="7" t="n">
        <f aca="false">YEAR(B8195)</f>
        <v>2015</v>
      </c>
      <c r="J8195" s="0" t="str">
        <f aca="false">I8195&amp;"-Q"&amp;ROUNDUP(MONTH(B8195)/3,0)</f>
        <v>2015-Q4</v>
      </c>
    </row>
    <row r="8196" customFormat="false" ht="15" hidden="false" customHeight="false" outlineLevel="0" collapsed="false">
      <c r="A8196" s="0" t="s">
        <v>4145</v>
      </c>
      <c r="B8196" s="6" t="n">
        <v>42338</v>
      </c>
      <c r="C8196" s="7" t="s">
        <v>29</v>
      </c>
      <c r="D8196" s="7" t="s">
        <v>41</v>
      </c>
      <c r="E8196" s="7" t="s">
        <v>31</v>
      </c>
      <c r="F8196" s="0" t="n">
        <v>335.744</v>
      </c>
      <c r="G8196" s="0" t="n">
        <v>25.1808</v>
      </c>
      <c r="H8196" s="0" t="n">
        <v>0.2</v>
      </c>
      <c r="I8196" s="7" t="n">
        <f aca="false">YEAR(B8196)</f>
        <v>2015</v>
      </c>
      <c r="J8196" s="0" t="str">
        <f aca="false">I8196&amp;"-Q"&amp;ROUNDUP(MONTH(B8196)/3,0)</f>
        <v>2015-Q4</v>
      </c>
    </row>
    <row r="8197" customFormat="false" ht="15" hidden="false" customHeight="false" outlineLevel="0" collapsed="false">
      <c r="A8197" s="0" t="s">
        <v>4146</v>
      </c>
      <c r="B8197" s="6" t="n">
        <v>42344</v>
      </c>
      <c r="C8197" s="7" t="s">
        <v>33</v>
      </c>
      <c r="D8197" s="7" t="s">
        <v>34</v>
      </c>
      <c r="E8197" s="7" t="s">
        <v>35</v>
      </c>
      <c r="F8197" s="0" t="n">
        <v>8.96</v>
      </c>
      <c r="G8197" s="0" t="n">
        <v>4.3904</v>
      </c>
      <c r="H8197" s="0" t="n">
        <v>0</v>
      </c>
      <c r="I8197" s="7" t="n">
        <f aca="false">YEAR(B8197)</f>
        <v>2015</v>
      </c>
      <c r="J8197" s="0" t="str">
        <f aca="false">I8197&amp;"-Q"&amp;ROUNDUP(MONTH(B8197)/3,0)</f>
        <v>2015-Q4</v>
      </c>
    </row>
    <row r="8198" customFormat="false" ht="15" hidden="false" customHeight="false" outlineLevel="0" collapsed="false">
      <c r="A8198" s="0" t="s">
        <v>4147</v>
      </c>
      <c r="B8198" s="6" t="n">
        <v>42983</v>
      </c>
      <c r="C8198" s="7" t="s">
        <v>29</v>
      </c>
      <c r="D8198" s="7" t="s">
        <v>87</v>
      </c>
      <c r="E8198" s="7" t="s">
        <v>39</v>
      </c>
      <c r="F8198" s="0" t="n">
        <v>89.568</v>
      </c>
      <c r="G8198" s="0" t="n">
        <v>-1.1196</v>
      </c>
      <c r="H8198" s="0" t="n">
        <v>0.2</v>
      </c>
      <c r="I8198" s="7" t="n">
        <f aca="false">YEAR(B8198)</f>
        <v>2017</v>
      </c>
      <c r="J8198" s="0" t="str">
        <f aca="false">I8198&amp;"-Q"&amp;ROUNDUP(MONTH(B8198)/3,0)</f>
        <v>2017-Q3</v>
      </c>
    </row>
    <row r="8199" customFormat="false" ht="15" hidden="false" customHeight="false" outlineLevel="0" collapsed="false">
      <c r="A8199" s="0" t="s">
        <v>4147</v>
      </c>
      <c r="B8199" s="6" t="n">
        <v>42983</v>
      </c>
      <c r="C8199" s="7" t="s">
        <v>29</v>
      </c>
      <c r="D8199" s="7" t="s">
        <v>87</v>
      </c>
      <c r="E8199" s="7" t="s">
        <v>35</v>
      </c>
      <c r="F8199" s="0" t="n">
        <v>71.96</v>
      </c>
      <c r="G8199" s="0" t="n">
        <v>7.196</v>
      </c>
      <c r="H8199" s="0" t="n">
        <v>0.2</v>
      </c>
      <c r="I8199" s="7" t="n">
        <f aca="false">YEAR(B8199)</f>
        <v>2017</v>
      </c>
      <c r="J8199" s="0" t="str">
        <f aca="false">I8199&amp;"-Q"&amp;ROUNDUP(MONTH(B8199)/3,0)</f>
        <v>2017-Q3</v>
      </c>
    </row>
    <row r="8200" customFormat="false" ht="15" hidden="false" customHeight="false" outlineLevel="0" collapsed="false">
      <c r="A8200" s="0" t="s">
        <v>4147</v>
      </c>
      <c r="B8200" s="6" t="n">
        <v>42983</v>
      </c>
      <c r="C8200" s="7" t="s">
        <v>29</v>
      </c>
      <c r="D8200" s="7" t="s">
        <v>87</v>
      </c>
      <c r="E8200" s="7" t="s">
        <v>35</v>
      </c>
      <c r="F8200" s="0" t="n">
        <v>15.552</v>
      </c>
      <c r="G8200" s="0" t="n">
        <v>5.4432</v>
      </c>
      <c r="H8200" s="0" t="n">
        <v>0.2</v>
      </c>
      <c r="I8200" s="7" t="n">
        <f aca="false">YEAR(B8200)</f>
        <v>2017</v>
      </c>
      <c r="J8200" s="0" t="str">
        <f aca="false">I8200&amp;"-Q"&amp;ROUNDUP(MONTH(B8200)/3,0)</f>
        <v>2017-Q3</v>
      </c>
    </row>
    <row r="8201" customFormat="false" ht="15" hidden="false" customHeight="false" outlineLevel="0" collapsed="false">
      <c r="A8201" s="0" t="s">
        <v>4148</v>
      </c>
      <c r="B8201" s="6" t="n">
        <v>42849</v>
      </c>
      <c r="C8201" s="7" t="s">
        <v>45</v>
      </c>
      <c r="D8201" s="7" t="s">
        <v>64</v>
      </c>
      <c r="E8201" s="7" t="s">
        <v>35</v>
      </c>
      <c r="F8201" s="0" t="n">
        <v>10.43</v>
      </c>
      <c r="G8201" s="0" t="n">
        <v>-18.2525</v>
      </c>
      <c r="H8201" s="0" t="n">
        <v>0.8</v>
      </c>
      <c r="I8201" s="7" t="n">
        <f aca="false">YEAR(B8201)</f>
        <v>2017</v>
      </c>
      <c r="J8201" s="0" t="str">
        <f aca="false">I8201&amp;"-Q"&amp;ROUNDUP(MONTH(B8201)/3,0)</f>
        <v>2017-Q2</v>
      </c>
    </row>
    <row r="8202" customFormat="false" ht="15" hidden="false" customHeight="false" outlineLevel="0" collapsed="false">
      <c r="A8202" s="0" t="s">
        <v>4148</v>
      </c>
      <c r="B8202" s="6" t="n">
        <v>42849</v>
      </c>
      <c r="C8202" s="7" t="s">
        <v>45</v>
      </c>
      <c r="D8202" s="7" t="s">
        <v>64</v>
      </c>
      <c r="E8202" s="7" t="s">
        <v>35</v>
      </c>
      <c r="F8202" s="0" t="n">
        <v>72.784</v>
      </c>
      <c r="G8202" s="0" t="n">
        <v>-18.196</v>
      </c>
      <c r="H8202" s="0" t="n">
        <v>0.2</v>
      </c>
      <c r="I8202" s="7" t="n">
        <f aca="false">YEAR(B8202)</f>
        <v>2017</v>
      </c>
      <c r="J8202" s="0" t="str">
        <f aca="false">I8202&amp;"-Q"&amp;ROUNDUP(MONTH(B8202)/3,0)</f>
        <v>2017-Q2</v>
      </c>
    </row>
    <row r="8203" customFormat="false" ht="15" hidden="false" customHeight="false" outlineLevel="0" collapsed="false">
      <c r="A8203" s="0" t="s">
        <v>4149</v>
      </c>
      <c r="B8203" s="6" t="n">
        <v>42316</v>
      </c>
      <c r="C8203" s="7" t="s">
        <v>55</v>
      </c>
      <c r="D8203" s="7" t="s">
        <v>76</v>
      </c>
      <c r="E8203" s="7" t="s">
        <v>35</v>
      </c>
      <c r="F8203" s="0" t="n">
        <v>67.15</v>
      </c>
      <c r="G8203" s="0" t="n">
        <v>16.7875</v>
      </c>
      <c r="H8203" s="0" t="n">
        <v>0</v>
      </c>
      <c r="I8203" s="7" t="n">
        <f aca="false">YEAR(B8203)</f>
        <v>2015</v>
      </c>
      <c r="J8203" s="0" t="str">
        <f aca="false">I8203&amp;"-Q"&amp;ROUNDUP(MONTH(B8203)/3,0)</f>
        <v>2015-Q4</v>
      </c>
    </row>
    <row r="8204" customFormat="false" ht="15" hidden="false" customHeight="false" outlineLevel="0" collapsed="false">
      <c r="A8204" s="0" t="s">
        <v>4149</v>
      </c>
      <c r="B8204" s="6" t="n">
        <v>42316</v>
      </c>
      <c r="C8204" s="7" t="s">
        <v>55</v>
      </c>
      <c r="D8204" s="7" t="s">
        <v>76</v>
      </c>
      <c r="E8204" s="7" t="s">
        <v>39</v>
      </c>
      <c r="F8204" s="0" t="n">
        <v>549.98</v>
      </c>
      <c r="G8204" s="0" t="n">
        <v>142.9948</v>
      </c>
      <c r="H8204" s="0" t="n">
        <v>0</v>
      </c>
      <c r="I8204" s="7" t="n">
        <f aca="false">YEAR(B8204)</f>
        <v>2015</v>
      </c>
      <c r="J8204" s="0" t="str">
        <f aca="false">I8204&amp;"-Q"&amp;ROUNDUP(MONTH(B8204)/3,0)</f>
        <v>2015-Q4</v>
      </c>
    </row>
    <row r="8205" customFormat="false" ht="15" hidden="false" customHeight="false" outlineLevel="0" collapsed="false">
      <c r="A8205" s="0" t="s">
        <v>4149</v>
      </c>
      <c r="B8205" s="6" t="n">
        <v>42316</v>
      </c>
      <c r="C8205" s="7" t="s">
        <v>55</v>
      </c>
      <c r="D8205" s="7" t="s">
        <v>76</v>
      </c>
      <c r="E8205" s="7" t="s">
        <v>31</v>
      </c>
      <c r="F8205" s="0" t="n">
        <v>11.82</v>
      </c>
      <c r="G8205" s="0" t="n">
        <v>4.728</v>
      </c>
      <c r="H8205" s="0" t="n">
        <v>0</v>
      </c>
      <c r="I8205" s="7" t="n">
        <f aca="false">YEAR(B8205)</f>
        <v>2015</v>
      </c>
      <c r="J8205" s="0" t="str">
        <f aca="false">I8205&amp;"-Q"&amp;ROUNDUP(MONTH(B8205)/3,0)</f>
        <v>2015-Q4</v>
      </c>
    </row>
    <row r="8206" customFormat="false" ht="15" hidden="false" customHeight="false" outlineLevel="0" collapsed="false">
      <c r="A8206" s="0" t="s">
        <v>4149</v>
      </c>
      <c r="B8206" s="6" t="n">
        <v>42316</v>
      </c>
      <c r="C8206" s="7" t="s">
        <v>55</v>
      </c>
      <c r="D8206" s="7" t="s">
        <v>76</v>
      </c>
      <c r="E8206" s="7" t="s">
        <v>39</v>
      </c>
      <c r="F8206" s="0" t="n">
        <v>4643.8</v>
      </c>
      <c r="G8206" s="0" t="n">
        <v>2229.024</v>
      </c>
      <c r="H8206" s="0" t="n">
        <v>0</v>
      </c>
      <c r="I8206" s="7" t="n">
        <f aca="false">YEAR(B8206)</f>
        <v>2015</v>
      </c>
      <c r="J8206" s="0" t="str">
        <f aca="false">I8206&amp;"-Q"&amp;ROUNDUP(MONTH(B8206)/3,0)</f>
        <v>2015-Q4</v>
      </c>
    </row>
    <row r="8207" customFormat="false" ht="15" hidden="false" customHeight="false" outlineLevel="0" collapsed="false">
      <c r="A8207" s="0" t="s">
        <v>4149</v>
      </c>
      <c r="B8207" s="6" t="n">
        <v>42316</v>
      </c>
      <c r="C8207" s="7" t="s">
        <v>55</v>
      </c>
      <c r="D8207" s="7" t="s">
        <v>76</v>
      </c>
      <c r="E8207" s="7" t="s">
        <v>31</v>
      </c>
      <c r="F8207" s="0" t="n">
        <v>577.764</v>
      </c>
      <c r="G8207" s="0" t="n">
        <v>115.5528</v>
      </c>
      <c r="H8207" s="0" t="n">
        <v>0.1</v>
      </c>
      <c r="I8207" s="7" t="n">
        <f aca="false">YEAR(B8207)</f>
        <v>2015</v>
      </c>
      <c r="J8207" s="0" t="str">
        <f aca="false">I8207&amp;"-Q"&amp;ROUNDUP(MONTH(B8207)/3,0)</f>
        <v>2015-Q4</v>
      </c>
    </row>
    <row r="8208" customFormat="false" ht="15" hidden="false" customHeight="false" outlineLevel="0" collapsed="false">
      <c r="A8208" s="0" t="s">
        <v>4150</v>
      </c>
      <c r="B8208" s="6" t="n">
        <v>42120</v>
      </c>
      <c r="C8208" s="7" t="s">
        <v>29</v>
      </c>
      <c r="D8208" s="7" t="s">
        <v>37</v>
      </c>
      <c r="E8208" s="7" t="s">
        <v>31</v>
      </c>
      <c r="F8208" s="0" t="n">
        <v>191.5155</v>
      </c>
      <c r="G8208" s="0" t="n">
        <v>-76.6062</v>
      </c>
      <c r="H8208" s="0" t="n">
        <v>0.45</v>
      </c>
      <c r="I8208" s="7" t="n">
        <f aca="false">YEAR(B8208)</f>
        <v>2015</v>
      </c>
      <c r="J8208" s="0" t="str">
        <f aca="false">I8208&amp;"-Q"&amp;ROUNDUP(MONTH(B8208)/3,0)</f>
        <v>2015-Q2</v>
      </c>
    </row>
    <row r="8209" customFormat="false" ht="15" hidden="false" customHeight="false" outlineLevel="0" collapsed="false">
      <c r="A8209" s="0" t="s">
        <v>4150</v>
      </c>
      <c r="B8209" s="6" t="n">
        <v>42120</v>
      </c>
      <c r="C8209" s="7" t="s">
        <v>29</v>
      </c>
      <c r="D8209" s="7" t="s">
        <v>37</v>
      </c>
      <c r="E8209" s="7" t="s">
        <v>35</v>
      </c>
      <c r="F8209" s="0" t="n">
        <v>2.624</v>
      </c>
      <c r="G8209" s="0" t="n">
        <v>0.4264</v>
      </c>
      <c r="H8209" s="0" t="n">
        <v>0.2</v>
      </c>
      <c r="I8209" s="7" t="n">
        <f aca="false">YEAR(B8209)</f>
        <v>2015</v>
      </c>
      <c r="J8209" s="0" t="str">
        <f aca="false">I8209&amp;"-Q"&amp;ROUNDUP(MONTH(B8209)/3,0)</f>
        <v>2015-Q2</v>
      </c>
    </row>
    <row r="8210" customFormat="false" ht="15" hidden="false" customHeight="false" outlineLevel="0" collapsed="false">
      <c r="A8210" s="0" t="s">
        <v>4151</v>
      </c>
      <c r="B8210" s="6" t="n">
        <v>42267</v>
      </c>
      <c r="C8210" s="7" t="s">
        <v>29</v>
      </c>
      <c r="D8210" s="7" t="s">
        <v>87</v>
      </c>
      <c r="E8210" s="7" t="s">
        <v>35</v>
      </c>
      <c r="F8210" s="0" t="n">
        <v>1369.764</v>
      </c>
      <c r="G8210" s="0" t="n">
        <v>-913.176</v>
      </c>
      <c r="H8210" s="0" t="n">
        <v>0.7</v>
      </c>
      <c r="I8210" s="7" t="n">
        <f aca="false">YEAR(B8210)</f>
        <v>2015</v>
      </c>
      <c r="J8210" s="0" t="str">
        <f aca="false">I8210&amp;"-Q"&amp;ROUNDUP(MONTH(B8210)/3,0)</f>
        <v>2015-Q3</v>
      </c>
    </row>
    <row r="8211" customFormat="false" ht="15" hidden="false" customHeight="false" outlineLevel="0" collapsed="false">
      <c r="A8211" s="0" t="s">
        <v>4151</v>
      </c>
      <c r="B8211" s="6" t="n">
        <v>42267</v>
      </c>
      <c r="C8211" s="7" t="s">
        <v>29</v>
      </c>
      <c r="D8211" s="7" t="s">
        <v>87</v>
      </c>
      <c r="E8211" s="7" t="s">
        <v>35</v>
      </c>
      <c r="F8211" s="0" t="n">
        <v>294.368</v>
      </c>
      <c r="G8211" s="0" t="n">
        <v>-58.8736</v>
      </c>
      <c r="H8211" s="0" t="n">
        <v>0.2</v>
      </c>
      <c r="I8211" s="7" t="n">
        <f aca="false">YEAR(B8211)</f>
        <v>2015</v>
      </c>
      <c r="J8211" s="0" t="str">
        <f aca="false">I8211&amp;"-Q"&amp;ROUNDUP(MONTH(B8211)/3,0)</f>
        <v>2015-Q3</v>
      </c>
    </row>
    <row r="8212" customFormat="false" ht="15" hidden="false" customHeight="false" outlineLevel="0" collapsed="false">
      <c r="A8212" s="0" t="s">
        <v>4152</v>
      </c>
      <c r="B8212" s="6" t="n">
        <v>42985</v>
      </c>
      <c r="C8212" s="7" t="s">
        <v>29</v>
      </c>
      <c r="D8212" s="7" t="s">
        <v>87</v>
      </c>
      <c r="E8212" s="7" t="s">
        <v>35</v>
      </c>
      <c r="F8212" s="0" t="n">
        <v>81.568</v>
      </c>
      <c r="G8212" s="0" t="n">
        <v>7.1372</v>
      </c>
      <c r="H8212" s="0" t="n">
        <v>0.2</v>
      </c>
      <c r="I8212" s="7" t="n">
        <f aca="false">YEAR(B8212)</f>
        <v>2017</v>
      </c>
      <c r="J8212" s="0" t="str">
        <f aca="false">I8212&amp;"-Q"&amp;ROUNDUP(MONTH(B8212)/3,0)</f>
        <v>2017-Q3</v>
      </c>
    </row>
    <row r="8213" customFormat="false" ht="15" hidden="false" customHeight="false" outlineLevel="0" collapsed="false">
      <c r="A8213" s="0" t="s">
        <v>4153</v>
      </c>
      <c r="B8213" s="6" t="n">
        <v>42681</v>
      </c>
      <c r="C8213" s="7" t="s">
        <v>45</v>
      </c>
      <c r="D8213" s="7" t="s">
        <v>46</v>
      </c>
      <c r="E8213" s="7" t="s">
        <v>31</v>
      </c>
      <c r="F8213" s="0" t="n">
        <v>44.46</v>
      </c>
      <c r="G8213" s="0" t="n">
        <v>-17.784</v>
      </c>
      <c r="H8213" s="0" t="n">
        <v>0.6</v>
      </c>
      <c r="I8213" s="7" t="n">
        <f aca="false">YEAR(B8213)</f>
        <v>2016</v>
      </c>
      <c r="J8213" s="0" t="str">
        <f aca="false">I8213&amp;"-Q"&amp;ROUNDUP(MONTH(B8213)/3,0)</f>
        <v>2016-Q4</v>
      </c>
    </row>
    <row r="8214" customFormat="false" ht="15" hidden="false" customHeight="false" outlineLevel="0" collapsed="false">
      <c r="A8214" s="0" t="s">
        <v>4153</v>
      </c>
      <c r="B8214" s="6" t="n">
        <v>42681</v>
      </c>
      <c r="C8214" s="7" t="s">
        <v>45</v>
      </c>
      <c r="D8214" s="7" t="s">
        <v>46</v>
      </c>
      <c r="E8214" s="7" t="s">
        <v>35</v>
      </c>
      <c r="F8214" s="0" t="n">
        <v>314.088</v>
      </c>
      <c r="G8214" s="0" t="n">
        <v>19.6305</v>
      </c>
      <c r="H8214" s="0" t="n">
        <v>0.2</v>
      </c>
      <c r="I8214" s="7" t="n">
        <f aca="false">YEAR(B8214)</f>
        <v>2016</v>
      </c>
      <c r="J8214" s="0" t="str">
        <f aca="false">I8214&amp;"-Q"&amp;ROUNDUP(MONTH(B8214)/3,0)</f>
        <v>2016-Q4</v>
      </c>
    </row>
    <row r="8215" customFormat="false" ht="15" hidden="false" customHeight="false" outlineLevel="0" collapsed="false">
      <c r="A8215" s="0" t="s">
        <v>4154</v>
      </c>
      <c r="B8215" s="6" t="n">
        <v>42272</v>
      </c>
      <c r="C8215" s="7" t="s">
        <v>29</v>
      </c>
      <c r="D8215" s="7" t="s">
        <v>87</v>
      </c>
      <c r="E8215" s="7" t="s">
        <v>35</v>
      </c>
      <c r="F8215" s="0" t="n">
        <v>6.336</v>
      </c>
      <c r="G8215" s="0" t="n">
        <v>-4.6464</v>
      </c>
      <c r="H8215" s="0" t="n">
        <v>0.7</v>
      </c>
      <c r="I8215" s="7" t="n">
        <f aca="false">YEAR(B8215)</f>
        <v>2015</v>
      </c>
      <c r="J8215" s="0" t="str">
        <f aca="false">I8215&amp;"-Q"&amp;ROUNDUP(MONTH(B8215)/3,0)</f>
        <v>2015-Q3</v>
      </c>
    </row>
    <row r="8216" customFormat="false" ht="15" hidden="false" customHeight="false" outlineLevel="0" collapsed="false">
      <c r="A8216" s="0" t="s">
        <v>4154</v>
      </c>
      <c r="B8216" s="6" t="n">
        <v>42272</v>
      </c>
      <c r="C8216" s="7" t="s">
        <v>29</v>
      </c>
      <c r="D8216" s="7" t="s">
        <v>87</v>
      </c>
      <c r="E8216" s="7" t="s">
        <v>35</v>
      </c>
      <c r="F8216" s="0" t="n">
        <v>10.48</v>
      </c>
      <c r="G8216" s="0" t="n">
        <v>3.799</v>
      </c>
      <c r="H8216" s="0" t="n">
        <v>0.2</v>
      </c>
      <c r="I8216" s="7" t="n">
        <f aca="false">YEAR(B8216)</f>
        <v>2015</v>
      </c>
      <c r="J8216" s="0" t="str">
        <f aca="false">I8216&amp;"-Q"&amp;ROUNDUP(MONTH(B8216)/3,0)</f>
        <v>2015-Q3</v>
      </c>
    </row>
    <row r="8217" customFormat="false" ht="15" hidden="false" customHeight="false" outlineLevel="0" collapsed="false">
      <c r="A8217" s="0" t="s">
        <v>4154</v>
      </c>
      <c r="B8217" s="6" t="n">
        <v>42272</v>
      </c>
      <c r="C8217" s="7" t="s">
        <v>29</v>
      </c>
      <c r="D8217" s="7" t="s">
        <v>87</v>
      </c>
      <c r="E8217" s="7" t="s">
        <v>35</v>
      </c>
      <c r="F8217" s="0" t="n">
        <v>2.469</v>
      </c>
      <c r="G8217" s="0" t="n">
        <v>-1.8106</v>
      </c>
      <c r="H8217" s="0" t="n">
        <v>0.7</v>
      </c>
      <c r="I8217" s="7" t="n">
        <f aca="false">YEAR(B8217)</f>
        <v>2015</v>
      </c>
      <c r="J8217" s="0" t="str">
        <f aca="false">I8217&amp;"-Q"&amp;ROUNDUP(MONTH(B8217)/3,0)</f>
        <v>2015-Q3</v>
      </c>
    </row>
    <row r="8218" customFormat="false" ht="15" hidden="false" customHeight="false" outlineLevel="0" collapsed="false">
      <c r="A8218" s="0" t="s">
        <v>4154</v>
      </c>
      <c r="B8218" s="6" t="n">
        <v>42272</v>
      </c>
      <c r="C8218" s="7" t="s">
        <v>29</v>
      </c>
      <c r="D8218" s="7" t="s">
        <v>87</v>
      </c>
      <c r="E8218" s="7" t="s">
        <v>35</v>
      </c>
      <c r="F8218" s="0" t="n">
        <v>3.264</v>
      </c>
      <c r="G8218" s="0" t="n">
        <v>-2.2848</v>
      </c>
      <c r="H8218" s="0" t="n">
        <v>0.7</v>
      </c>
      <c r="I8218" s="7" t="n">
        <f aca="false">YEAR(B8218)</f>
        <v>2015</v>
      </c>
      <c r="J8218" s="0" t="str">
        <f aca="false">I8218&amp;"-Q"&amp;ROUNDUP(MONTH(B8218)/3,0)</f>
        <v>2015-Q3</v>
      </c>
    </row>
    <row r="8219" customFormat="false" ht="15" hidden="false" customHeight="false" outlineLevel="0" collapsed="false">
      <c r="A8219" s="0" t="s">
        <v>4155</v>
      </c>
      <c r="B8219" s="6" t="n">
        <v>41915</v>
      </c>
      <c r="C8219" s="7" t="s">
        <v>45</v>
      </c>
      <c r="D8219" s="7" t="s">
        <v>46</v>
      </c>
      <c r="E8219" s="7" t="s">
        <v>35</v>
      </c>
      <c r="F8219" s="0" t="n">
        <v>4.344</v>
      </c>
      <c r="G8219" s="0" t="n">
        <v>0.8688</v>
      </c>
      <c r="H8219" s="0" t="n">
        <v>0.2</v>
      </c>
      <c r="I8219" s="7" t="n">
        <f aca="false">YEAR(B8219)</f>
        <v>2014</v>
      </c>
      <c r="J8219" s="0" t="str">
        <f aca="false">I8219&amp;"-Q"&amp;ROUNDUP(MONTH(B8219)/3,0)</f>
        <v>2014-Q4</v>
      </c>
    </row>
    <row r="8220" customFormat="false" ht="15" hidden="false" customHeight="false" outlineLevel="0" collapsed="false">
      <c r="A8220" s="0" t="s">
        <v>4155</v>
      </c>
      <c r="B8220" s="6" t="n">
        <v>41915</v>
      </c>
      <c r="C8220" s="7" t="s">
        <v>45</v>
      </c>
      <c r="D8220" s="7" t="s">
        <v>46</v>
      </c>
      <c r="E8220" s="7" t="s">
        <v>31</v>
      </c>
      <c r="F8220" s="0" t="n">
        <v>31.776</v>
      </c>
      <c r="G8220" s="0" t="n">
        <v>-19.0656</v>
      </c>
      <c r="H8220" s="0" t="n">
        <v>0.6</v>
      </c>
      <c r="I8220" s="7" t="n">
        <f aca="false">YEAR(B8220)</f>
        <v>2014</v>
      </c>
      <c r="J8220" s="0" t="str">
        <f aca="false">I8220&amp;"-Q"&amp;ROUNDUP(MONTH(B8220)/3,0)</f>
        <v>2014-Q4</v>
      </c>
    </row>
    <row r="8221" customFormat="false" ht="15" hidden="false" customHeight="false" outlineLevel="0" collapsed="false">
      <c r="A8221" s="0" t="s">
        <v>4155</v>
      </c>
      <c r="B8221" s="6" t="n">
        <v>41915</v>
      </c>
      <c r="C8221" s="7" t="s">
        <v>45</v>
      </c>
      <c r="D8221" s="7" t="s">
        <v>46</v>
      </c>
      <c r="E8221" s="7" t="s">
        <v>35</v>
      </c>
      <c r="F8221" s="0" t="n">
        <v>4.928</v>
      </c>
      <c r="G8221" s="0" t="n">
        <v>1.7248</v>
      </c>
      <c r="H8221" s="0" t="n">
        <v>0.2</v>
      </c>
      <c r="I8221" s="7" t="n">
        <f aca="false">YEAR(B8221)</f>
        <v>2014</v>
      </c>
      <c r="J8221" s="0" t="str">
        <f aca="false">I8221&amp;"-Q"&amp;ROUNDUP(MONTH(B8221)/3,0)</f>
        <v>2014-Q4</v>
      </c>
    </row>
    <row r="8222" customFormat="false" ht="15" hidden="false" customHeight="false" outlineLevel="0" collapsed="false">
      <c r="A8222" s="0" t="s">
        <v>4155</v>
      </c>
      <c r="B8222" s="6" t="n">
        <v>41915</v>
      </c>
      <c r="C8222" s="7" t="s">
        <v>45</v>
      </c>
      <c r="D8222" s="7" t="s">
        <v>46</v>
      </c>
      <c r="E8222" s="7" t="s">
        <v>35</v>
      </c>
      <c r="F8222" s="0" t="n">
        <v>1.788</v>
      </c>
      <c r="G8222" s="0" t="n">
        <v>-3.0396</v>
      </c>
      <c r="H8222" s="0" t="n">
        <v>0.8</v>
      </c>
      <c r="I8222" s="7" t="n">
        <f aca="false">YEAR(B8222)</f>
        <v>2014</v>
      </c>
      <c r="J8222" s="0" t="str">
        <f aca="false">I8222&amp;"-Q"&amp;ROUNDUP(MONTH(B8222)/3,0)</f>
        <v>2014-Q4</v>
      </c>
    </row>
    <row r="8223" customFormat="false" ht="15" hidden="false" customHeight="false" outlineLevel="0" collapsed="false">
      <c r="A8223" s="0" t="s">
        <v>4155</v>
      </c>
      <c r="B8223" s="6" t="n">
        <v>41915</v>
      </c>
      <c r="C8223" s="7" t="s">
        <v>45</v>
      </c>
      <c r="D8223" s="7" t="s">
        <v>46</v>
      </c>
      <c r="E8223" s="7" t="s">
        <v>35</v>
      </c>
      <c r="F8223" s="0" t="n">
        <v>15.072</v>
      </c>
      <c r="G8223" s="0" t="n">
        <v>-3.768</v>
      </c>
      <c r="H8223" s="0" t="n">
        <v>0.2</v>
      </c>
      <c r="I8223" s="7" t="n">
        <f aca="false">YEAR(B8223)</f>
        <v>2014</v>
      </c>
      <c r="J8223" s="0" t="str">
        <f aca="false">I8223&amp;"-Q"&amp;ROUNDUP(MONTH(B8223)/3,0)</f>
        <v>2014-Q4</v>
      </c>
    </row>
    <row r="8224" customFormat="false" ht="15" hidden="false" customHeight="false" outlineLevel="0" collapsed="false">
      <c r="A8224" s="0" t="s">
        <v>4156</v>
      </c>
      <c r="B8224" s="6" t="n">
        <v>41688</v>
      </c>
      <c r="C8224" s="7" t="s">
        <v>45</v>
      </c>
      <c r="D8224" s="7" t="s">
        <v>46</v>
      </c>
      <c r="E8224" s="7" t="s">
        <v>35</v>
      </c>
      <c r="F8224" s="0" t="n">
        <v>12.624</v>
      </c>
      <c r="G8224" s="0" t="n">
        <v>-2.5248</v>
      </c>
      <c r="H8224" s="0" t="n">
        <v>0.2</v>
      </c>
      <c r="I8224" s="7" t="n">
        <f aca="false">YEAR(B8224)</f>
        <v>2014</v>
      </c>
      <c r="J8224" s="0" t="str">
        <f aca="false">I8224&amp;"-Q"&amp;ROUNDUP(MONTH(B8224)/3,0)</f>
        <v>2014-Q1</v>
      </c>
    </row>
    <row r="8225" customFormat="false" ht="15" hidden="false" customHeight="false" outlineLevel="0" collapsed="false">
      <c r="A8225" s="0" t="s">
        <v>4157</v>
      </c>
      <c r="B8225" s="6" t="n">
        <v>42533</v>
      </c>
      <c r="C8225" s="7" t="s">
        <v>33</v>
      </c>
      <c r="D8225" s="7" t="s">
        <v>34</v>
      </c>
      <c r="E8225" s="7" t="s">
        <v>35</v>
      </c>
      <c r="F8225" s="0" t="n">
        <v>185.88</v>
      </c>
      <c r="G8225" s="0" t="n">
        <v>83.646</v>
      </c>
      <c r="H8225" s="0" t="n">
        <v>0</v>
      </c>
      <c r="I8225" s="7" t="n">
        <f aca="false">YEAR(B8225)</f>
        <v>2016</v>
      </c>
      <c r="J8225" s="0" t="str">
        <f aca="false">I8225&amp;"-Q"&amp;ROUNDUP(MONTH(B8225)/3,0)</f>
        <v>2016-Q2</v>
      </c>
    </row>
    <row r="8226" customFormat="false" ht="15" hidden="false" customHeight="false" outlineLevel="0" collapsed="false">
      <c r="A8226" s="0" t="s">
        <v>4157</v>
      </c>
      <c r="B8226" s="6" t="n">
        <v>42533</v>
      </c>
      <c r="C8226" s="7" t="s">
        <v>33</v>
      </c>
      <c r="D8226" s="7" t="s">
        <v>34</v>
      </c>
      <c r="E8226" s="7" t="s">
        <v>35</v>
      </c>
      <c r="F8226" s="0" t="n">
        <v>12.96</v>
      </c>
      <c r="G8226" s="0" t="n">
        <v>6.2208</v>
      </c>
      <c r="H8226" s="0" t="n">
        <v>0</v>
      </c>
      <c r="I8226" s="7" t="n">
        <f aca="false">YEAR(B8226)</f>
        <v>2016</v>
      </c>
      <c r="J8226" s="0" t="str">
        <f aca="false">I8226&amp;"-Q"&amp;ROUNDUP(MONTH(B8226)/3,0)</f>
        <v>2016-Q2</v>
      </c>
    </row>
    <row r="8227" customFormat="false" ht="15" hidden="false" customHeight="false" outlineLevel="0" collapsed="false">
      <c r="A8227" s="0" t="s">
        <v>4158</v>
      </c>
      <c r="B8227" s="6" t="n">
        <v>43040</v>
      </c>
      <c r="C8227" s="7" t="s">
        <v>55</v>
      </c>
      <c r="D8227" s="7" t="s">
        <v>225</v>
      </c>
      <c r="E8227" s="7" t="s">
        <v>35</v>
      </c>
      <c r="F8227" s="0" t="n">
        <v>189.7</v>
      </c>
      <c r="G8227" s="0" t="n">
        <v>91.056</v>
      </c>
      <c r="H8227" s="0" t="n">
        <v>0</v>
      </c>
      <c r="I8227" s="7" t="n">
        <f aca="false">YEAR(B8227)</f>
        <v>2017</v>
      </c>
      <c r="J8227" s="0" t="str">
        <f aca="false">I8227&amp;"-Q"&amp;ROUNDUP(MONTH(B8227)/3,0)</f>
        <v>2017-Q4</v>
      </c>
    </row>
    <row r="8228" customFormat="false" ht="15" hidden="false" customHeight="false" outlineLevel="0" collapsed="false">
      <c r="A8228" s="0" t="s">
        <v>4158</v>
      </c>
      <c r="B8228" s="6" t="n">
        <v>43040</v>
      </c>
      <c r="C8228" s="7" t="s">
        <v>55</v>
      </c>
      <c r="D8228" s="7" t="s">
        <v>225</v>
      </c>
      <c r="E8228" s="7" t="s">
        <v>35</v>
      </c>
      <c r="F8228" s="0" t="n">
        <v>40.99</v>
      </c>
      <c r="G8228" s="0" t="n">
        <v>20.0851</v>
      </c>
      <c r="H8228" s="0" t="n">
        <v>0</v>
      </c>
      <c r="I8228" s="7" t="n">
        <f aca="false">YEAR(B8228)</f>
        <v>2017</v>
      </c>
      <c r="J8228" s="0" t="str">
        <f aca="false">I8228&amp;"-Q"&amp;ROUNDUP(MONTH(B8228)/3,0)</f>
        <v>2017-Q4</v>
      </c>
    </row>
    <row r="8229" customFormat="false" ht="15" hidden="false" customHeight="false" outlineLevel="0" collapsed="false">
      <c r="A8229" s="0" t="s">
        <v>4159</v>
      </c>
      <c r="B8229" s="6" t="n">
        <v>42464</v>
      </c>
      <c r="C8229" s="7" t="s">
        <v>55</v>
      </c>
      <c r="D8229" s="7" t="s">
        <v>76</v>
      </c>
      <c r="E8229" s="7" t="s">
        <v>31</v>
      </c>
      <c r="F8229" s="0" t="n">
        <v>82.64</v>
      </c>
      <c r="G8229" s="0" t="n">
        <v>7.4376</v>
      </c>
      <c r="H8229" s="0" t="n">
        <v>0</v>
      </c>
      <c r="I8229" s="7" t="n">
        <f aca="false">YEAR(B8229)</f>
        <v>2016</v>
      </c>
      <c r="J8229" s="0" t="str">
        <f aca="false">I8229&amp;"-Q"&amp;ROUNDUP(MONTH(B8229)/3,0)</f>
        <v>2016-Q2</v>
      </c>
    </row>
    <row r="8230" customFormat="false" ht="15" hidden="false" customHeight="false" outlineLevel="0" collapsed="false">
      <c r="A8230" s="0" t="s">
        <v>4159</v>
      </c>
      <c r="B8230" s="6" t="n">
        <v>42464</v>
      </c>
      <c r="C8230" s="7" t="s">
        <v>55</v>
      </c>
      <c r="D8230" s="7" t="s">
        <v>76</v>
      </c>
      <c r="E8230" s="7" t="s">
        <v>35</v>
      </c>
      <c r="F8230" s="0" t="n">
        <v>31.02</v>
      </c>
      <c r="G8230" s="0" t="n">
        <v>8.0652</v>
      </c>
      <c r="H8230" s="0" t="n">
        <v>0</v>
      </c>
      <c r="I8230" s="7" t="n">
        <f aca="false">YEAR(B8230)</f>
        <v>2016</v>
      </c>
      <c r="J8230" s="0" t="str">
        <f aca="false">I8230&amp;"-Q"&amp;ROUNDUP(MONTH(B8230)/3,0)</f>
        <v>2016-Q2</v>
      </c>
    </row>
    <row r="8231" customFormat="false" ht="15" hidden="false" customHeight="false" outlineLevel="0" collapsed="false">
      <c r="A8231" s="0" t="s">
        <v>4159</v>
      </c>
      <c r="B8231" s="6" t="n">
        <v>42464</v>
      </c>
      <c r="C8231" s="7" t="s">
        <v>55</v>
      </c>
      <c r="D8231" s="7" t="s">
        <v>76</v>
      </c>
      <c r="E8231" s="7" t="s">
        <v>39</v>
      </c>
      <c r="F8231" s="0" t="n">
        <v>89.97</v>
      </c>
      <c r="G8231" s="0" t="n">
        <v>37.7874</v>
      </c>
      <c r="H8231" s="0" t="n">
        <v>0</v>
      </c>
      <c r="I8231" s="7" t="n">
        <f aca="false">YEAR(B8231)</f>
        <v>2016</v>
      </c>
      <c r="J8231" s="0" t="str">
        <f aca="false">I8231&amp;"-Q"&amp;ROUNDUP(MONTH(B8231)/3,0)</f>
        <v>2016-Q2</v>
      </c>
    </row>
    <row r="8232" customFormat="false" ht="15" hidden="false" customHeight="false" outlineLevel="0" collapsed="false">
      <c r="A8232" s="0" t="s">
        <v>4160</v>
      </c>
      <c r="B8232" s="6" t="n">
        <v>42551</v>
      </c>
      <c r="C8232" s="7" t="s">
        <v>29</v>
      </c>
      <c r="D8232" s="7" t="s">
        <v>230</v>
      </c>
      <c r="E8232" s="7" t="s">
        <v>35</v>
      </c>
      <c r="F8232" s="0" t="n">
        <v>35.97</v>
      </c>
      <c r="G8232" s="0" t="n">
        <v>9.7119</v>
      </c>
      <c r="H8232" s="0" t="n">
        <v>0</v>
      </c>
      <c r="I8232" s="7" t="n">
        <f aca="false">YEAR(B8232)</f>
        <v>2016</v>
      </c>
      <c r="J8232" s="0" t="str">
        <f aca="false">I8232&amp;"-Q"&amp;ROUNDUP(MONTH(B8232)/3,0)</f>
        <v>2016-Q2</v>
      </c>
    </row>
    <row r="8233" customFormat="false" ht="15" hidden="false" customHeight="false" outlineLevel="0" collapsed="false">
      <c r="A8233" s="0" t="s">
        <v>4160</v>
      </c>
      <c r="B8233" s="6" t="n">
        <v>42551</v>
      </c>
      <c r="C8233" s="7" t="s">
        <v>29</v>
      </c>
      <c r="D8233" s="7" t="s">
        <v>230</v>
      </c>
      <c r="E8233" s="7" t="s">
        <v>31</v>
      </c>
      <c r="F8233" s="0" t="n">
        <v>1266.86</v>
      </c>
      <c r="G8233" s="0" t="n">
        <v>291.3778</v>
      </c>
      <c r="H8233" s="0" t="n">
        <v>0</v>
      </c>
      <c r="I8233" s="7" t="n">
        <f aca="false">YEAR(B8233)</f>
        <v>2016</v>
      </c>
      <c r="J8233" s="0" t="str">
        <f aca="false">I8233&amp;"-Q"&amp;ROUNDUP(MONTH(B8233)/3,0)</f>
        <v>2016-Q2</v>
      </c>
    </row>
    <row r="8234" customFormat="false" ht="15" hidden="false" customHeight="false" outlineLevel="0" collapsed="false">
      <c r="A8234" s="0" t="s">
        <v>4161</v>
      </c>
      <c r="B8234" s="6" t="n">
        <v>41904</v>
      </c>
      <c r="C8234" s="7" t="s">
        <v>33</v>
      </c>
      <c r="D8234" s="7" t="s">
        <v>34</v>
      </c>
      <c r="E8234" s="7" t="s">
        <v>35</v>
      </c>
      <c r="F8234" s="0" t="n">
        <v>169.45</v>
      </c>
      <c r="G8234" s="0" t="n">
        <v>42.3625</v>
      </c>
      <c r="H8234" s="0" t="n">
        <v>0</v>
      </c>
      <c r="I8234" s="7" t="n">
        <f aca="false">YEAR(B8234)</f>
        <v>2014</v>
      </c>
      <c r="J8234" s="0" t="str">
        <f aca="false">I8234&amp;"-Q"&amp;ROUNDUP(MONTH(B8234)/3,0)</f>
        <v>2014-Q3</v>
      </c>
    </row>
    <row r="8235" customFormat="false" ht="15" hidden="false" customHeight="false" outlineLevel="0" collapsed="false">
      <c r="A8235" s="0" t="s">
        <v>4161</v>
      </c>
      <c r="B8235" s="6" t="n">
        <v>41904</v>
      </c>
      <c r="C8235" s="7" t="s">
        <v>33</v>
      </c>
      <c r="D8235" s="7" t="s">
        <v>34</v>
      </c>
      <c r="E8235" s="7" t="s">
        <v>35</v>
      </c>
      <c r="F8235" s="0" t="n">
        <v>40.68</v>
      </c>
      <c r="G8235" s="0" t="n">
        <v>0.4068</v>
      </c>
      <c r="H8235" s="0" t="n">
        <v>0</v>
      </c>
      <c r="I8235" s="7" t="n">
        <f aca="false">YEAR(B8235)</f>
        <v>2014</v>
      </c>
      <c r="J8235" s="0" t="str">
        <f aca="false">I8235&amp;"-Q"&amp;ROUNDUP(MONTH(B8235)/3,0)</f>
        <v>2014-Q3</v>
      </c>
    </row>
    <row r="8236" customFormat="false" ht="15" hidden="false" customHeight="false" outlineLevel="0" collapsed="false">
      <c r="A8236" s="0" t="s">
        <v>4162</v>
      </c>
      <c r="B8236" s="6" t="n">
        <v>42856</v>
      </c>
      <c r="C8236" s="7" t="s">
        <v>29</v>
      </c>
      <c r="D8236" s="7" t="s">
        <v>37</v>
      </c>
      <c r="E8236" s="7" t="s">
        <v>35</v>
      </c>
      <c r="F8236" s="0" t="n">
        <v>3.328</v>
      </c>
      <c r="G8236" s="0" t="n">
        <v>0.416</v>
      </c>
      <c r="H8236" s="0" t="n">
        <v>0.2</v>
      </c>
      <c r="I8236" s="7" t="n">
        <f aca="false">YEAR(B8236)</f>
        <v>2017</v>
      </c>
      <c r="J8236" s="0" t="str">
        <f aca="false">I8236&amp;"-Q"&amp;ROUNDUP(MONTH(B8236)/3,0)</f>
        <v>2017-Q2</v>
      </c>
    </row>
    <row r="8237" customFormat="false" ht="15" hidden="false" customHeight="false" outlineLevel="0" collapsed="false">
      <c r="A8237" s="0" t="s">
        <v>4162</v>
      </c>
      <c r="B8237" s="6" t="n">
        <v>42856</v>
      </c>
      <c r="C8237" s="7" t="s">
        <v>29</v>
      </c>
      <c r="D8237" s="7" t="s">
        <v>37</v>
      </c>
      <c r="E8237" s="7" t="s">
        <v>31</v>
      </c>
      <c r="F8237" s="0" t="n">
        <v>933.262</v>
      </c>
      <c r="G8237" s="0" t="n">
        <v>-458.1468</v>
      </c>
      <c r="H8237" s="0" t="n">
        <v>0.45</v>
      </c>
      <c r="I8237" s="7" t="n">
        <f aca="false">YEAR(B8237)</f>
        <v>2017</v>
      </c>
      <c r="J8237" s="0" t="str">
        <f aca="false">I8237&amp;"-Q"&amp;ROUNDUP(MONTH(B8237)/3,0)</f>
        <v>2017-Q2</v>
      </c>
    </row>
    <row r="8238" customFormat="false" ht="15" hidden="false" customHeight="false" outlineLevel="0" collapsed="false">
      <c r="A8238" s="0" t="s">
        <v>4162</v>
      </c>
      <c r="B8238" s="6" t="n">
        <v>42856</v>
      </c>
      <c r="C8238" s="7" t="s">
        <v>29</v>
      </c>
      <c r="D8238" s="7" t="s">
        <v>37</v>
      </c>
      <c r="E8238" s="7" t="s">
        <v>31</v>
      </c>
      <c r="F8238" s="0" t="n">
        <v>2803.92</v>
      </c>
      <c r="G8238" s="0" t="n">
        <v>0</v>
      </c>
      <c r="H8238" s="0" t="n">
        <v>0.2</v>
      </c>
      <c r="I8238" s="7" t="n">
        <f aca="false">YEAR(B8238)</f>
        <v>2017</v>
      </c>
      <c r="J8238" s="0" t="str">
        <f aca="false">I8238&amp;"-Q"&amp;ROUNDUP(MONTH(B8238)/3,0)</f>
        <v>2017-Q2</v>
      </c>
    </row>
    <row r="8239" customFormat="false" ht="15" hidden="false" customHeight="false" outlineLevel="0" collapsed="false">
      <c r="A8239" s="0" t="s">
        <v>4163</v>
      </c>
      <c r="B8239" s="6" t="n">
        <v>43028</v>
      </c>
      <c r="C8239" s="7" t="s">
        <v>29</v>
      </c>
      <c r="D8239" s="7" t="s">
        <v>37</v>
      </c>
      <c r="E8239" s="7" t="s">
        <v>35</v>
      </c>
      <c r="F8239" s="0" t="n">
        <v>4.768</v>
      </c>
      <c r="G8239" s="0" t="n">
        <v>-0.7748</v>
      </c>
      <c r="H8239" s="0" t="n">
        <v>0.2</v>
      </c>
      <c r="I8239" s="7" t="n">
        <f aca="false">YEAR(B8239)</f>
        <v>2017</v>
      </c>
      <c r="J8239" s="0" t="str">
        <f aca="false">I8239&amp;"-Q"&amp;ROUNDUP(MONTH(B8239)/3,0)</f>
        <v>2017-Q4</v>
      </c>
    </row>
    <row r="8240" customFormat="false" ht="15" hidden="false" customHeight="false" outlineLevel="0" collapsed="false">
      <c r="A8240" s="0" t="s">
        <v>4163</v>
      </c>
      <c r="B8240" s="6" t="n">
        <v>43028</v>
      </c>
      <c r="C8240" s="7" t="s">
        <v>29</v>
      </c>
      <c r="D8240" s="7" t="s">
        <v>37</v>
      </c>
      <c r="E8240" s="7" t="s">
        <v>35</v>
      </c>
      <c r="F8240" s="0" t="n">
        <v>6.672</v>
      </c>
      <c r="G8240" s="0" t="n">
        <v>2.502</v>
      </c>
      <c r="H8240" s="0" t="n">
        <v>0.2</v>
      </c>
      <c r="I8240" s="7" t="n">
        <f aca="false">YEAR(B8240)</f>
        <v>2017</v>
      </c>
      <c r="J8240" s="0" t="str">
        <f aca="false">I8240&amp;"-Q"&amp;ROUNDUP(MONTH(B8240)/3,0)</f>
        <v>2017-Q4</v>
      </c>
    </row>
    <row r="8241" customFormat="false" ht="15" hidden="false" customHeight="false" outlineLevel="0" collapsed="false">
      <c r="A8241" s="0" t="s">
        <v>4163</v>
      </c>
      <c r="B8241" s="6" t="n">
        <v>43028</v>
      </c>
      <c r="C8241" s="7" t="s">
        <v>29</v>
      </c>
      <c r="D8241" s="7" t="s">
        <v>37</v>
      </c>
      <c r="E8241" s="7" t="s">
        <v>35</v>
      </c>
      <c r="F8241" s="0" t="n">
        <v>4.448</v>
      </c>
      <c r="G8241" s="0" t="n">
        <v>1.112</v>
      </c>
      <c r="H8241" s="0" t="n">
        <v>0.2</v>
      </c>
      <c r="I8241" s="7" t="n">
        <f aca="false">YEAR(B8241)</f>
        <v>2017</v>
      </c>
      <c r="J8241" s="0" t="str">
        <f aca="false">I8241&amp;"-Q"&amp;ROUNDUP(MONTH(B8241)/3,0)</f>
        <v>2017-Q4</v>
      </c>
    </row>
    <row r="8242" customFormat="false" ht="15" hidden="false" customHeight="false" outlineLevel="0" collapsed="false">
      <c r="A8242" s="0" t="s">
        <v>4163</v>
      </c>
      <c r="B8242" s="6" t="n">
        <v>43028</v>
      </c>
      <c r="C8242" s="7" t="s">
        <v>29</v>
      </c>
      <c r="D8242" s="7" t="s">
        <v>37</v>
      </c>
      <c r="E8242" s="7" t="s">
        <v>31</v>
      </c>
      <c r="F8242" s="0" t="n">
        <v>43.936</v>
      </c>
      <c r="G8242" s="0" t="n">
        <v>6.0412</v>
      </c>
      <c r="H8242" s="0" t="n">
        <v>0.2</v>
      </c>
      <c r="I8242" s="7" t="n">
        <f aca="false">YEAR(B8242)</f>
        <v>2017</v>
      </c>
      <c r="J8242" s="0" t="str">
        <f aca="false">I8242&amp;"-Q"&amp;ROUNDUP(MONTH(B8242)/3,0)</f>
        <v>2017-Q4</v>
      </c>
    </row>
    <row r="8243" customFormat="false" ht="15" hidden="false" customHeight="false" outlineLevel="0" collapsed="false">
      <c r="A8243" s="0" t="s">
        <v>4164</v>
      </c>
      <c r="B8243" s="6" t="n">
        <v>41883</v>
      </c>
      <c r="C8243" s="7" t="s">
        <v>55</v>
      </c>
      <c r="D8243" s="7" t="s">
        <v>76</v>
      </c>
      <c r="E8243" s="7" t="s">
        <v>35</v>
      </c>
      <c r="F8243" s="0" t="n">
        <v>23.744</v>
      </c>
      <c r="G8243" s="0" t="n">
        <v>8.3104</v>
      </c>
      <c r="H8243" s="0" t="n">
        <v>0.2</v>
      </c>
      <c r="I8243" s="7" t="n">
        <f aca="false">YEAR(B8243)</f>
        <v>2014</v>
      </c>
      <c r="J8243" s="0" t="str">
        <f aca="false">I8243&amp;"-Q"&amp;ROUNDUP(MONTH(B8243)/3,0)</f>
        <v>2014-Q3</v>
      </c>
    </row>
    <row r="8244" customFormat="false" ht="15" hidden="false" customHeight="false" outlineLevel="0" collapsed="false">
      <c r="A8244" s="0" t="s">
        <v>4164</v>
      </c>
      <c r="B8244" s="6" t="n">
        <v>41883</v>
      </c>
      <c r="C8244" s="7" t="s">
        <v>55</v>
      </c>
      <c r="D8244" s="7" t="s">
        <v>76</v>
      </c>
      <c r="E8244" s="7" t="s">
        <v>39</v>
      </c>
      <c r="F8244" s="0" t="n">
        <v>357</v>
      </c>
      <c r="G8244" s="0" t="n">
        <v>57.12</v>
      </c>
      <c r="H8244" s="0" t="n">
        <v>0</v>
      </c>
      <c r="I8244" s="7" t="n">
        <f aca="false">YEAR(B8244)</f>
        <v>2014</v>
      </c>
      <c r="J8244" s="0" t="str">
        <f aca="false">I8244&amp;"-Q"&amp;ROUNDUP(MONTH(B8244)/3,0)</f>
        <v>2014-Q3</v>
      </c>
    </row>
    <row r="8245" customFormat="false" ht="15" hidden="false" customHeight="false" outlineLevel="0" collapsed="false">
      <c r="A8245" s="0" t="s">
        <v>4165</v>
      </c>
      <c r="B8245" s="6" t="n">
        <v>41863</v>
      </c>
      <c r="C8245" s="7" t="s">
        <v>33</v>
      </c>
      <c r="D8245" s="7" t="s">
        <v>34</v>
      </c>
      <c r="E8245" s="7" t="s">
        <v>39</v>
      </c>
      <c r="F8245" s="0" t="n">
        <v>806.336</v>
      </c>
      <c r="G8245" s="0" t="n">
        <v>50.396</v>
      </c>
      <c r="H8245" s="0" t="n">
        <v>0.2</v>
      </c>
      <c r="I8245" s="7" t="n">
        <f aca="false">YEAR(B8245)</f>
        <v>2014</v>
      </c>
      <c r="J8245" s="0" t="str">
        <f aca="false">I8245&amp;"-Q"&amp;ROUNDUP(MONTH(B8245)/3,0)</f>
        <v>2014-Q3</v>
      </c>
    </row>
    <row r="8246" customFormat="false" ht="15" hidden="false" customHeight="false" outlineLevel="0" collapsed="false">
      <c r="A8246" s="0" t="s">
        <v>4165</v>
      </c>
      <c r="B8246" s="6" t="n">
        <v>41863</v>
      </c>
      <c r="C8246" s="7" t="s">
        <v>33</v>
      </c>
      <c r="D8246" s="7" t="s">
        <v>34</v>
      </c>
      <c r="E8246" s="7" t="s">
        <v>31</v>
      </c>
      <c r="F8246" s="0" t="n">
        <v>85.44</v>
      </c>
      <c r="G8246" s="0" t="n">
        <v>31.6128</v>
      </c>
      <c r="H8246" s="0" t="n">
        <v>0</v>
      </c>
      <c r="I8246" s="7" t="n">
        <f aca="false">YEAR(B8246)</f>
        <v>2014</v>
      </c>
      <c r="J8246" s="0" t="str">
        <f aca="false">I8246&amp;"-Q"&amp;ROUNDUP(MONTH(B8246)/3,0)</f>
        <v>2014-Q3</v>
      </c>
    </row>
    <row r="8247" customFormat="false" ht="15" hidden="false" customHeight="false" outlineLevel="0" collapsed="false">
      <c r="A8247" s="0" t="s">
        <v>4166</v>
      </c>
      <c r="B8247" s="6" t="n">
        <v>41870</v>
      </c>
      <c r="C8247" s="7" t="s">
        <v>29</v>
      </c>
      <c r="D8247" s="7" t="s">
        <v>230</v>
      </c>
      <c r="E8247" s="7" t="s">
        <v>35</v>
      </c>
      <c r="F8247" s="0" t="n">
        <v>344.91</v>
      </c>
      <c r="G8247" s="0" t="n">
        <v>10.3473</v>
      </c>
      <c r="H8247" s="0" t="n">
        <v>0</v>
      </c>
      <c r="I8247" s="7" t="n">
        <f aca="false">YEAR(B8247)</f>
        <v>2014</v>
      </c>
      <c r="J8247" s="0" t="str">
        <f aca="false">I8247&amp;"-Q"&amp;ROUNDUP(MONTH(B8247)/3,0)</f>
        <v>2014-Q3</v>
      </c>
    </row>
    <row r="8248" customFormat="false" ht="15" hidden="false" customHeight="false" outlineLevel="0" collapsed="false">
      <c r="A8248" s="0" t="s">
        <v>4167</v>
      </c>
      <c r="B8248" s="6" t="n">
        <v>42134</v>
      </c>
      <c r="C8248" s="7" t="s">
        <v>45</v>
      </c>
      <c r="D8248" s="7" t="s">
        <v>64</v>
      </c>
      <c r="E8248" s="7" t="s">
        <v>35</v>
      </c>
      <c r="F8248" s="0" t="n">
        <v>70.97</v>
      </c>
      <c r="G8248" s="0" t="n">
        <v>-191.619</v>
      </c>
      <c r="H8248" s="0" t="n">
        <v>0.8</v>
      </c>
      <c r="I8248" s="7" t="n">
        <f aca="false">YEAR(B8248)</f>
        <v>2015</v>
      </c>
      <c r="J8248" s="0" t="str">
        <f aca="false">I8248&amp;"-Q"&amp;ROUNDUP(MONTH(B8248)/3,0)</f>
        <v>2015-Q2</v>
      </c>
    </row>
    <row r="8249" customFormat="false" ht="15" hidden="false" customHeight="false" outlineLevel="0" collapsed="false">
      <c r="A8249" s="0" t="s">
        <v>4167</v>
      </c>
      <c r="B8249" s="6" t="n">
        <v>42134</v>
      </c>
      <c r="C8249" s="7" t="s">
        <v>45</v>
      </c>
      <c r="D8249" s="7" t="s">
        <v>64</v>
      </c>
      <c r="E8249" s="7" t="s">
        <v>35</v>
      </c>
      <c r="F8249" s="0" t="n">
        <v>36.784</v>
      </c>
      <c r="G8249" s="0" t="n">
        <v>3.6784</v>
      </c>
      <c r="H8249" s="0" t="n">
        <v>0.2</v>
      </c>
      <c r="I8249" s="7" t="n">
        <f aca="false">YEAR(B8249)</f>
        <v>2015</v>
      </c>
      <c r="J8249" s="0" t="str">
        <f aca="false">I8249&amp;"-Q"&amp;ROUNDUP(MONTH(B8249)/3,0)</f>
        <v>2015-Q2</v>
      </c>
    </row>
    <row r="8250" customFormat="false" ht="15" hidden="false" customHeight="false" outlineLevel="0" collapsed="false">
      <c r="A8250" s="0" t="s">
        <v>4168</v>
      </c>
      <c r="B8250" s="6" t="n">
        <v>42500</v>
      </c>
      <c r="C8250" s="7" t="s">
        <v>55</v>
      </c>
      <c r="D8250" s="7" t="s">
        <v>56</v>
      </c>
      <c r="E8250" s="7" t="s">
        <v>39</v>
      </c>
      <c r="F8250" s="0" t="n">
        <v>743.988</v>
      </c>
      <c r="G8250" s="0" t="n">
        <v>-123.998</v>
      </c>
      <c r="H8250" s="0" t="n">
        <v>0.4</v>
      </c>
      <c r="I8250" s="7" t="n">
        <f aca="false">YEAR(B8250)</f>
        <v>2016</v>
      </c>
      <c r="J8250" s="0" t="str">
        <f aca="false">I8250&amp;"-Q"&amp;ROUNDUP(MONTH(B8250)/3,0)</f>
        <v>2016-Q2</v>
      </c>
    </row>
    <row r="8251" customFormat="false" ht="15" hidden="false" customHeight="false" outlineLevel="0" collapsed="false">
      <c r="A8251" s="0" t="s">
        <v>4169</v>
      </c>
      <c r="B8251" s="6" t="n">
        <v>42068</v>
      </c>
      <c r="C8251" s="7" t="s">
        <v>45</v>
      </c>
      <c r="D8251" s="7" t="s">
        <v>64</v>
      </c>
      <c r="E8251" s="7" t="s">
        <v>35</v>
      </c>
      <c r="F8251" s="0" t="n">
        <v>11.212</v>
      </c>
      <c r="G8251" s="0" t="n">
        <v>-16.818</v>
      </c>
      <c r="H8251" s="0" t="n">
        <v>0.8</v>
      </c>
      <c r="I8251" s="7" t="n">
        <f aca="false">YEAR(B8251)</f>
        <v>2015</v>
      </c>
      <c r="J8251" s="0" t="str">
        <f aca="false">I8251&amp;"-Q"&amp;ROUNDUP(MONTH(B8251)/3,0)</f>
        <v>2015-Q1</v>
      </c>
    </row>
    <row r="8252" customFormat="false" ht="15" hidden="false" customHeight="false" outlineLevel="0" collapsed="false">
      <c r="A8252" s="0" t="s">
        <v>4169</v>
      </c>
      <c r="B8252" s="6" t="n">
        <v>42068</v>
      </c>
      <c r="C8252" s="7" t="s">
        <v>45</v>
      </c>
      <c r="D8252" s="7" t="s">
        <v>64</v>
      </c>
      <c r="E8252" s="7" t="s">
        <v>31</v>
      </c>
      <c r="F8252" s="0" t="n">
        <v>4.712</v>
      </c>
      <c r="G8252" s="0" t="n">
        <v>-1.8848</v>
      </c>
      <c r="H8252" s="0" t="n">
        <v>0.6</v>
      </c>
      <c r="I8252" s="7" t="n">
        <f aca="false">YEAR(B8252)</f>
        <v>2015</v>
      </c>
      <c r="J8252" s="0" t="str">
        <f aca="false">I8252&amp;"-Q"&amp;ROUNDUP(MONTH(B8252)/3,0)</f>
        <v>2015-Q1</v>
      </c>
    </row>
    <row r="8253" customFormat="false" ht="15" hidden="false" customHeight="false" outlineLevel="0" collapsed="false">
      <c r="A8253" s="0" t="s">
        <v>4169</v>
      </c>
      <c r="B8253" s="6" t="n">
        <v>42068</v>
      </c>
      <c r="C8253" s="7" t="s">
        <v>45</v>
      </c>
      <c r="D8253" s="7" t="s">
        <v>64</v>
      </c>
      <c r="E8253" s="7" t="s">
        <v>35</v>
      </c>
      <c r="F8253" s="0" t="n">
        <v>180.98</v>
      </c>
      <c r="G8253" s="0" t="n">
        <v>-470.548</v>
      </c>
      <c r="H8253" s="0" t="n">
        <v>0.8</v>
      </c>
      <c r="I8253" s="7" t="n">
        <f aca="false">YEAR(B8253)</f>
        <v>2015</v>
      </c>
      <c r="J8253" s="0" t="str">
        <f aca="false">I8253&amp;"-Q"&amp;ROUNDUP(MONTH(B8253)/3,0)</f>
        <v>2015-Q1</v>
      </c>
    </row>
    <row r="8254" customFormat="false" ht="15" hidden="false" customHeight="false" outlineLevel="0" collapsed="false">
      <c r="A8254" s="0" t="s">
        <v>4169</v>
      </c>
      <c r="B8254" s="6" t="n">
        <v>42068</v>
      </c>
      <c r="C8254" s="7" t="s">
        <v>45</v>
      </c>
      <c r="D8254" s="7" t="s">
        <v>64</v>
      </c>
      <c r="E8254" s="7" t="s">
        <v>35</v>
      </c>
      <c r="F8254" s="0" t="n">
        <v>60.416</v>
      </c>
      <c r="G8254" s="0" t="n">
        <v>6.0416</v>
      </c>
      <c r="H8254" s="0" t="n">
        <v>0.2</v>
      </c>
      <c r="I8254" s="7" t="n">
        <f aca="false">YEAR(B8254)</f>
        <v>2015</v>
      </c>
      <c r="J8254" s="0" t="str">
        <f aca="false">I8254&amp;"-Q"&amp;ROUNDUP(MONTH(B8254)/3,0)</f>
        <v>2015-Q1</v>
      </c>
    </row>
    <row r="8255" customFormat="false" ht="15" hidden="false" customHeight="false" outlineLevel="0" collapsed="false">
      <c r="A8255" s="0" t="s">
        <v>4170</v>
      </c>
      <c r="B8255" s="6" t="n">
        <v>42959</v>
      </c>
      <c r="C8255" s="7" t="s">
        <v>33</v>
      </c>
      <c r="D8255" s="7" t="s">
        <v>43</v>
      </c>
      <c r="E8255" s="7" t="s">
        <v>39</v>
      </c>
      <c r="F8255" s="0" t="n">
        <v>299.99</v>
      </c>
      <c r="G8255" s="0" t="n">
        <v>89.997</v>
      </c>
      <c r="H8255" s="0" t="n">
        <v>0</v>
      </c>
      <c r="I8255" s="7" t="n">
        <f aca="false">YEAR(B8255)</f>
        <v>2017</v>
      </c>
      <c r="J8255" s="0" t="str">
        <f aca="false">I8255&amp;"-Q"&amp;ROUNDUP(MONTH(B8255)/3,0)</f>
        <v>2017-Q3</v>
      </c>
    </row>
    <row r="8256" customFormat="false" ht="15" hidden="false" customHeight="false" outlineLevel="0" collapsed="false">
      <c r="A8256" s="0" t="s">
        <v>4170</v>
      </c>
      <c r="B8256" s="6" t="n">
        <v>42959</v>
      </c>
      <c r="C8256" s="7" t="s">
        <v>33</v>
      </c>
      <c r="D8256" s="7" t="s">
        <v>43</v>
      </c>
      <c r="E8256" s="7" t="s">
        <v>35</v>
      </c>
      <c r="F8256" s="0" t="n">
        <v>192.16</v>
      </c>
      <c r="G8256" s="0" t="n">
        <v>92.2368</v>
      </c>
      <c r="H8256" s="0" t="n">
        <v>0</v>
      </c>
      <c r="I8256" s="7" t="n">
        <f aca="false">YEAR(B8256)</f>
        <v>2017</v>
      </c>
      <c r="J8256" s="0" t="str">
        <f aca="false">I8256&amp;"-Q"&amp;ROUNDUP(MONTH(B8256)/3,0)</f>
        <v>2017-Q3</v>
      </c>
    </row>
    <row r="8257" customFormat="false" ht="15" hidden="false" customHeight="false" outlineLevel="0" collapsed="false">
      <c r="A8257" s="0" t="s">
        <v>4170</v>
      </c>
      <c r="B8257" s="6" t="n">
        <v>42959</v>
      </c>
      <c r="C8257" s="7" t="s">
        <v>33</v>
      </c>
      <c r="D8257" s="7" t="s">
        <v>43</v>
      </c>
      <c r="E8257" s="7" t="s">
        <v>39</v>
      </c>
      <c r="F8257" s="0" t="n">
        <v>242.624</v>
      </c>
      <c r="G8257" s="0" t="n">
        <v>27.2952</v>
      </c>
      <c r="H8257" s="0" t="n">
        <v>0.2</v>
      </c>
      <c r="I8257" s="7" t="n">
        <f aca="false">YEAR(B8257)</f>
        <v>2017</v>
      </c>
      <c r="J8257" s="0" t="str">
        <f aca="false">I8257&amp;"-Q"&amp;ROUNDUP(MONTH(B8257)/3,0)</f>
        <v>2017-Q3</v>
      </c>
    </row>
    <row r="8258" customFormat="false" ht="15" hidden="false" customHeight="false" outlineLevel="0" collapsed="false">
      <c r="A8258" s="0" t="s">
        <v>4170</v>
      </c>
      <c r="B8258" s="6" t="n">
        <v>42959</v>
      </c>
      <c r="C8258" s="7" t="s">
        <v>33</v>
      </c>
      <c r="D8258" s="7" t="s">
        <v>43</v>
      </c>
      <c r="E8258" s="7" t="s">
        <v>35</v>
      </c>
      <c r="F8258" s="0" t="n">
        <v>46.74</v>
      </c>
      <c r="G8258" s="0" t="n">
        <v>11.685</v>
      </c>
      <c r="H8258" s="0" t="n">
        <v>0</v>
      </c>
      <c r="I8258" s="7" t="n">
        <f aca="false">YEAR(B8258)</f>
        <v>2017</v>
      </c>
      <c r="J8258" s="0" t="str">
        <f aca="false">I8258&amp;"-Q"&amp;ROUNDUP(MONTH(B8258)/3,0)</f>
        <v>2017-Q3</v>
      </c>
    </row>
    <row r="8259" customFormat="false" ht="15" hidden="false" customHeight="false" outlineLevel="0" collapsed="false">
      <c r="A8259" s="0" t="s">
        <v>4170</v>
      </c>
      <c r="B8259" s="6" t="n">
        <v>42959</v>
      </c>
      <c r="C8259" s="7" t="s">
        <v>33</v>
      </c>
      <c r="D8259" s="7" t="s">
        <v>43</v>
      </c>
      <c r="E8259" s="7" t="s">
        <v>39</v>
      </c>
      <c r="F8259" s="0" t="n">
        <v>174.95</v>
      </c>
      <c r="G8259" s="0" t="n">
        <v>12.2465</v>
      </c>
      <c r="H8259" s="0" t="n">
        <v>0</v>
      </c>
      <c r="I8259" s="7" t="n">
        <f aca="false">YEAR(B8259)</f>
        <v>2017</v>
      </c>
      <c r="J8259" s="0" t="str">
        <f aca="false">I8259&amp;"-Q"&amp;ROUNDUP(MONTH(B8259)/3,0)</f>
        <v>2017-Q3</v>
      </c>
    </row>
    <row r="8260" customFormat="false" ht="15" hidden="false" customHeight="false" outlineLevel="0" collapsed="false">
      <c r="A8260" s="0" t="s">
        <v>4170</v>
      </c>
      <c r="B8260" s="6" t="n">
        <v>42959</v>
      </c>
      <c r="C8260" s="7" t="s">
        <v>33</v>
      </c>
      <c r="D8260" s="7" t="s">
        <v>43</v>
      </c>
      <c r="E8260" s="7" t="s">
        <v>35</v>
      </c>
      <c r="F8260" s="0" t="n">
        <v>100.704</v>
      </c>
      <c r="G8260" s="0" t="n">
        <v>37.764</v>
      </c>
      <c r="H8260" s="0" t="n">
        <v>0.2</v>
      </c>
      <c r="I8260" s="7" t="n">
        <f aca="false">YEAR(B8260)</f>
        <v>2017</v>
      </c>
      <c r="J8260" s="0" t="str">
        <f aca="false">I8260&amp;"-Q"&amp;ROUNDUP(MONTH(B8260)/3,0)</f>
        <v>2017-Q3</v>
      </c>
    </row>
    <row r="8261" customFormat="false" ht="15" hidden="false" customHeight="false" outlineLevel="0" collapsed="false">
      <c r="A8261" s="0" t="s">
        <v>4171</v>
      </c>
      <c r="B8261" s="6" t="n">
        <v>42547</v>
      </c>
      <c r="C8261" s="7" t="s">
        <v>45</v>
      </c>
      <c r="D8261" s="7" t="s">
        <v>70</v>
      </c>
      <c r="E8261" s="7" t="s">
        <v>35</v>
      </c>
      <c r="F8261" s="0" t="n">
        <v>368.91</v>
      </c>
      <c r="G8261" s="0" t="n">
        <v>180.7659</v>
      </c>
      <c r="H8261" s="0" t="n">
        <v>0</v>
      </c>
      <c r="I8261" s="7" t="n">
        <f aca="false">YEAR(B8261)</f>
        <v>2016</v>
      </c>
      <c r="J8261" s="0" t="str">
        <f aca="false">I8261&amp;"-Q"&amp;ROUNDUP(MONTH(B8261)/3,0)</f>
        <v>2016-Q2</v>
      </c>
    </row>
    <row r="8262" customFormat="false" ht="15" hidden="false" customHeight="false" outlineLevel="0" collapsed="false">
      <c r="A8262" s="0" t="s">
        <v>4171</v>
      </c>
      <c r="B8262" s="6" t="n">
        <v>42547</v>
      </c>
      <c r="C8262" s="7" t="s">
        <v>45</v>
      </c>
      <c r="D8262" s="7" t="s">
        <v>70</v>
      </c>
      <c r="E8262" s="7" t="s">
        <v>35</v>
      </c>
      <c r="F8262" s="0" t="n">
        <v>8.02</v>
      </c>
      <c r="G8262" s="0" t="n">
        <v>3.7694</v>
      </c>
      <c r="H8262" s="0" t="n">
        <v>0</v>
      </c>
      <c r="I8262" s="7" t="n">
        <f aca="false">YEAR(B8262)</f>
        <v>2016</v>
      </c>
      <c r="J8262" s="0" t="str">
        <f aca="false">I8262&amp;"-Q"&amp;ROUNDUP(MONTH(B8262)/3,0)</f>
        <v>2016-Q2</v>
      </c>
    </row>
    <row r="8263" customFormat="false" ht="15" hidden="false" customHeight="false" outlineLevel="0" collapsed="false">
      <c r="A8263" s="0" t="s">
        <v>4171</v>
      </c>
      <c r="B8263" s="6" t="n">
        <v>42547</v>
      </c>
      <c r="C8263" s="7" t="s">
        <v>45</v>
      </c>
      <c r="D8263" s="7" t="s">
        <v>70</v>
      </c>
      <c r="E8263" s="7" t="s">
        <v>35</v>
      </c>
      <c r="F8263" s="0" t="n">
        <v>171.04</v>
      </c>
      <c r="G8263" s="0" t="n">
        <v>44.4704</v>
      </c>
      <c r="H8263" s="0" t="n">
        <v>0</v>
      </c>
      <c r="I8263" s="7" t="n">
        <f aca="false">YEAR(B8263)</f>
        <v>2016</v>
      </c>
      <c r="J8263" s="0" t="str">
        <f aca="false">I8263&amp;"-Q"&amp;ROUNDUP(MONTH(B8263)/3,0)</f>
        <v>2016-Q2</v>
      </c>
    </row>
    <row r="8264" customFormat="false" ht="15" hidden="false" customHeight="false" outlineLevel="0" collapsed="false">
      <c r="A8264" s="0" t="s">
        <v>4172</v>
      </c>
      <c r="B8264" s="6" t="n">
        <v>42719</v>
      </c>
      <c r="C8264" s="7" t="s">
        <v>29</v>
      </c>
      <c r="D8264" s="7" t="s">
        <v>301</v>
      </c>
      <c r="E8264" s="7" t="s">
        <v>35</v>
      </c>
      <c r="F8264" s="0" t="n">
        <v>19.44</v>
      </c>
      <c r="G8264" s="0" t="n">
        <v>9.3312</v>
      </c>
      <c r="H8264" s="0" t="n">
        <v>0</v>
      </c>
      <c r="I8264" s="7" t="n">
        <f aca="false">YEAR(B8264)</f>
        <v>2016</v>
      </c>
      <c r="J8264" s="0" t="str">
        <f aca="false">I8264&amp;"-Q"&amp;ROUNDUP(MONTH(B8264)/3,0)</f>
        <v>2016-Q4</v>
      </c>
    </row>
    <row r="8265" customFormat="false" ht="15" hidden="false" customHeight="false" outlineLevel="0" collapsed="false">
      <c r="A8265" s="0" t="s">
        <v>4173</v>
      </c>
      <c r="B8265" s="6" t="n">
        <v>42260</v>
      </c>
      <c r="C8265" s="7" t="s">
        <v>29</v>
      </c>
      <c r="D8265" s="7" t="s">
        <v>41</v>
      </c>
      <c r="E8265" s="7" t="s">
        <v>35</v>
      </c>
      <c r="F8265" s="0" t="n">
        <v>13.092</v>
      </c>
      <c r="G8265" s="0" t="n">
        <v>-10.0372</v>
      </c>
      <c r="H8265" s="0" t="n">
        <v>0.7</v>
      </c>
      <c r="I8265" s="7" t="n">
        <f aca="false">YEAR(B8265)</f>
        <v>2015</v>
      </c>
      <c r="J8265" s="0" t="str">
        <f aca="false">I8265&amp;"-Q"&amp;ROUNDUP(MONTH(B8265)/3,0)</f>
        <v>2015-Q3</v>
      </c>
    </row>
    <row r="8266" customFormat="false" ht="15" hidden="false" customHeight="false" outlineLevel="0" collapsed="false">
      <c r="A8266" s="0" t="s">
        <v>4174</v>
      </c>
      <c r="B8266" s="6" t="n">
        <v>42003</v>
      </c>
      <c r="C8266" s="7" t="s">
        <v>55</v>
      </c>
      <c r="D8266" s="7" t="s">
        <v>76</v>
      </c>
      <c r="E8266" s="7" t="s">
        <v>35</v>
      </c>
      <c r="F8266" s="0" t="n">
        <v>122.94</v>
      </c>
      <c r="G8266" s="0" t="n">
        <v>30.735</v>
      </c>
      <c r="H8266" s="0" t="n">
        <v>0</v>
      </c>
      <c r="I8266" s="7" t="n">
        <f aca="false">YEAR(B8266)</f>
        <v>2014</v>
      </c>
      <c r="J8266" s="0" t="str">
        <f aca="false">I8266&amp;"-Q"&amp;ROUNDUP(MONTH(B8266)/3,0)</f>
        <v>2014-Q4</v>
      </c>
    </row>
    <row r="8267" customFormat="false" ht="15" hidden="false" customHeight="false" outlineLevel="0" collapsed="false">
      <c r="A8267" s="0" t="s">
        <v>4174</v>
      </c>
      <c r="B8267" s="6" t="n">
        <v>42003</v>
      </c>
      <c r="C8267" s="7" t="s">
        <v>55</v>
      </c>
      <c r="D8267" s="7" t="s">
        <v>76</v>
      </c>
      <c r="E8267" s="7" t="s">
        <v>35</v>
      </c>
      <c r="F8267" s="0" t="n">
        <v>35.448</v>
      </c>
      <c r="G8267" s="0" t="n">
        <v>12.8499</v>
      </c>
      <c r="H8267" s="0" t="n">
        <v>0.2</v>
      </c>
      <c r="I8267" s="7" t="n">
        <f aca="false">YEAR(B8267)</f>
        <v>2014</v>
      </c>
      <c r="J8267" s="0" t="str">
        <f aca="false">I8267&amp;"-Q"&amp;ROUNDUP(MONTH(B8267)/3,0)</f>
        <v>2014-Q4</v>
      </c>
    </row>
    <row r="8268" customFormat="false" ht="15" hidden="false" customHeight="false" outlineLevel="0" collapsed="false">
      <c r="A8268" s="0" t="s">
        <v>4175</v>
      </c>
      <c r="B8268" s="6" t="n">
        <v>41758</v>
      </c>
      <c r="C8268" s="7" t="s">
        <v>55</v>
      </c>
      <c r="D8268" s="7" t="s">
        <v>72</v>
      </c>
      <c r="E8268" s="7" t="s">
        <v>39</v>
      </c>
      <c r="F8268" s="0" t="n">
        <v>19.98</v>
      </c>
      <c r="G8268" s="0" t="n">
        <v>5.1948</v>
      </c>
      <c r="H8268" s="0" t="n">
        <v>0</v>
      </c>
      <c r="I8268" s="7" t="n">
        <f aca="false">YEAR(B8268)</f>
        <v>2014</v>
      </c>
      <c r="J8268" s="0" t="str">
        <f aca="false">I8268&amp;"-Q"&amp;ROUNDUP(MONTH(B8268)/3,0)</f>
        <v>2014-Q2</v>
      </c>
    </row>
    <row r="8269" customFormat="false" ht="15" hidden="false" customHeight="false" outlineLevel="0" collapsed="false">
      <c r="A8269" s="0" t="s">
        <v>4176</v>
      </c>
      <c r="B8269" s="6" t="n">
        <v>42765</v>
      </c>
      <c r="C8269" s="7" t="s">
        <v>45</v>
      </c>
      <c r="D8269" s="7" t="s">
        <v>64</v>
      </c>
      <c r="E8269" s="7" t="s">
        <v>31</v>
      </c>
      <c r="F8269" s="0" t="n">
        <v>69.375</v>
      </c>
      <c r="G8269" s="0" t="n">
        <v>-47.175</v>
      </c>
      <c r="H8269" s="0" t="n">
        <v>0.5</v>
      </c>
      <c r="I8269" s="7" t="n">
        <f aca="false">YEAR(B8269)</f>
        <v>2017</v>
      </c>
      <c r="J8269" s="0" t="str">
        <f aca="false">I8269&amp;"-Q"&amp;ROUNDUP(MONTH(B8269)/3,0)</f>
        <v>2017-Q1</v>
      </c>
    </row>
    <row r="8270" customFormat="false" ht="15" hidden="false" customHeight="false" outlineLevel="0" collapsed="false">
      <c r="A8270" s="0" t="s">
        <v>4176</v>
      </c>
      <c r="B8270" s="6" t="n">
        <v>42765</v>
      </c>
      <c r="C8270" s="7" t="s">
        <v>45</v>
      </c>
      <c r="D8270" s="7" t="s">
        <v>64</v>
      </c>
      <c r="E8270" s="7" t="s">
        <v>35</v>
      </c>
      <c r="F8270" s="0" t="n">
        <v>31.68</v>
      </c>
      <c r="G8270" s="0" t="n">
        <v>2.772</v>
      </c>
      <c r="H8270" s="0" t="n">
        <v>0.2</v>
      </c>
      <c r="I8270" s="7" t="n">
        <f aca="false">YEAR(B8270)</f>
        <v>2017</v>
      </c>
      <c r="J8270" s="0" t="str">
        <f aca="false">I8270&amp;"-Q"&amp;ROUNDUP(MONTH(B8270)/3,0)</f>
        <v>2017-Q1</v>
      </c>
    </row>
    <row r="8271" customFormat="false" ht="15" hidden="false" customHeight="false" outlineLevel="0" collapsed="false">
      <c r="A8271" s="0" t="s">
        <v>4176</v>
      </c>
      <c r="B8271" s="6" t="n">
        <v>42765</v>
      </c>
      <c r="C8271" s="7" t="s">
        <v>45</v>
      </c>
      <c r="D8271" s="7" t="s">
        <v>64</v>
      </c>
      <c r="E8271" s="7" t="s">
        <v>39</v>
      </c>
      <c r="F8271" s="0" t="n">
        <v>2003.168</v>
      </c>
      <c r="G8271" s="0" t="n">
        <v>250.396</v>
      </c>
      <c r="H8271" s="0" t="n">
        <v>0.2</v>
      </c>
      <c r="I8271" s="7" t="n">
        <f aca="false">YEAR(B8271)</f>
        <v>2017</v>
      </c>
      <c r="J8271" s="0" t="str">
        <f aca="false">I8271&amp;"-Q"&amp;ROUNDUP(MONTH(B8271)/3,0)</f>
        <v>2017-Q1</v>
      </c>
    </row>
    <row r="8272" customFormat="false" ht="15" hidden="false" customHeight="false" outlineLevel="0" collapsed="false">
      <c r="A8272" s="0" t="s">
        <v>4176</v>
      </c>
      <c r="B8272" s="6" t="n">
        <v>42765</v>
      </c>
      <c r="C8272" s="7" t="s">
        <v>45</v>
      </c>
      <c r="D8272" s="7" t="s">
        <v>64</v>
      </c>
      <c r="E8272" s="7" t="s">
        <v>35</v>
      </c>
      <c r="F8272" s="0" t="n">
        <v>9.344</v>
      </c>
      <c r="G8272" s="0" t="n">
        <v>3.1536</v>
      </c>
      <c r="H8272" s="0" t="n">
        <v>0.2</v>
      </c>
      <c r="I8272" s="7" t="n">
        <f aca="false">YEAR(B8272)</f>
        <v>2017</v>
      </c>
      <c r="J8272" s="0" t="str">
        <f aca="false">I8272&amp;"-Q"&amp;ROUNDUP(MONTH(B8272)/3,0)</f>
        <v>2017-Q1</v>
      </c>
    </row>
    <row r="8273" customFormat="false" ht="15" hidden="false" customHeight="false" outlineLevel="0" collapsed="false">
      <c r="A8273" s="0" t="s">
        <v>4177</v>
      </c>
      <c r="B8273" s="6" t="n">
        <v>42729</v>
      </c>
      <c r="C8273" s="7" t="s">
        <v>55</v>
      </c>
      <c r="D8273" s="7" t="s">
        <v>76</v>
      </c>
      <c r="E8273" s="7" t="s">
        <v>31</v>
      </c>
      <c r="F8273" s="0" t="n">
        <v>2563.056</v>
      </c>
      <c r="G8273" s="0" t="n">
        <v>313.2624</v>
      </c>
      <c r="H8273" s="0" t="n">
        <v>0.1</v>
      </c>
      <c r="I8273" s="7" t="n">
        <f aca="false">YEAR(B8273)</f>
        <v>2016</v>
      </c>
      <c r="J8273" s="0" t="str">
        <f aca="false">I8273&amp;"-Q"&amp;ROUNDUP(MONTH(B8273)/3,0)</f>
        <v>2016-Q4</v>
      </c>
    </row>
    <row r="8274" customFormat="false" ht="15" hidden="false" customHeight="false" outlineLevel="0" collapsed="false">
      <c r="A8274" s="0" t="s">
        <v>4178</v>
      </c>
      <c r="B8274" s="6" t="n">
        <v>42663</v>
      </c>
      <c r="C8274" s="7" t="s">
        <v>33</v>
      </c>
      <c r="D8274" s="7" t="s">
        <v>34</v>
      </c>
      <c r="E8274" s="7" t="s">
        <v>31</v>
      </c>
      <c r="F8274" s="0" t="n">
        <v>387.136</v>
      </c>
      <c r="G8274" s="0" t="n">
        <v>4.8392</v>
      </c>
      <c r="H8274" s="0" t="n">
        <v>0.2</v>
      </c>
      <c r="I8274" s="7" t="n">
        <f aca="false">YEAR(B8274)</f>
        <v>2016</v>
      </c>
      <c r="J8274" s="0" t="str">
        <f aca="false">I8274&amp;"-Q"&amp;ROUNDUP(MONTH(B8274)/3,0)</f>
        <v>2016-Q4</v>
      </c>
    </row>
    <row r="8275" customFormat="false" ht="15" hidden="false" customHeight="false" outlineLevel="0" collapsed="false">
      <c r="A8275" s="0" t="s">
        <v>4179</v>
      </c>
      <c r="B8275" s="6" t="n">
        <v>42168</v>
      </c>
      <c r="C8275" s="7" t="s">
        <v>55</v>
      </c>
      <c r="D8275" s="7" t="s">
        <v>116</v>
      </c>
      <c r="E8275" s="7" t="s">
        <v>35</v>
      </c>
      <c r="F8275" s="0" t="n">
        <v>3.424</v>
      </c>
      <c r="G8275" s="0" t="n">
        <v>0.2996</v>
      </c>
      <c r="H8275" s="0" t="n">
        <v>0.2</v>
      </c>
      <c r="I8275" s="7" t="n">
        <f aca="false">YEAR(B8275)</f>
        <v>2015</v>
      </c>
      <c r="J8275" s="0" t="str">
        <f aca="false">I8275&amp;"-Q"&amp;ROUNDUP(MONTH(B8275)/3,0)</f>
        <v>2015-Q2</v>
      </c>
    </row>
    <row r="8276" customFormat="false" ht="15" hidden="false" customHeight="false" outlineLevel="0" collapsed="false">
      <c r="A8276" s="0" t="s">
        <v>4180</v>
      </c>
      <c r="B8276" s="6" t="n">
        <v>42916</v>
      </c>
      <c r="C8276" s="7" t="s">
        <v>55</v>
      </c>
      <c r="D8276" s="7" t="s">
        <v>76</v>
      </c>
      <c r="E8276" s="7" t="s">
        <v>35</v>
      </c>
      <c r="F8276" s="0" t="n">
        <v>1085.42</v>
      </c>
      <c r="G8276" s="0" t="n">
        <v>282.2092</v>
      </c>
      <c r="H8276" s="0" t="n">
        <v>0</v>
      </c>
      <c r="I8276" s="7" t="n">
        <f aca="false">YEAR(B8276)</f>
        <v>2017</v>
      </c>
      <c r="J8276" s="0" t="str">
        <f aca="false">I8276&amp;"-Q"&amp;ROUNDUP(MONTH(B8276)/3,0)</f>
        <v>2017-Q2</v>
      </c>
    </row>
    <row r="8277" customFormat="false" ht="15" hidden="false" customHeight="false" outlineLevel="0" collapsed="false">
      <c r="A8277" s="0" t="s">
        <v>4181</v>
      </c>
      <c r="B8277" s="6" t="n">
        <v>42181</v>
      </c>
      <c r="C8277" s="7" t="s">
        <v>55</v>
      </c>
      <c r="D8277" s="7" t="s">
        <v>116</v>
      </c>
      <c r="E8277" s="7" t="s">
        <v>35</v>
      </c>
      <c r="F8277" s="0" t="n">
        <v>43.056</v>
      </c>
      <c r="G8277" s="0" t="n">
        <v>15.6078</v>
      </c>
      <c r="H8277" s="0" t="n">
        <v>0.2</v>
      </c>
      <c r="I8277" s="7" t="n">
        <f aca="false">YEAR(B8277)</f>
        <v>2015</v>
      </c>
      <c r="J8277" s="0" t="str">
        <f aca="false">I8277&amp;"-Q"&amp;ROUNDUP(MONTH(B8277)/3,0)</f>
        <v>2015-Q2</v>
      </c>
    </row>
    <row r="8278" customFormat="false" ht="15" hidden="false" customHeight="false" outlineLevel="0" collapsed="false">
      <c r="A8278" s="0" t="s">
        <v>4182</v>
      </c>
      <c r="B8278" s="6" t="n">
        <v>42421</v>
      </c>
      <c r="C8278" s="7" t="s">
        <v>29</v>
      </c>
      <c r="D8278" s="7" t="s">
        <v>37</v>
      </c>
      <c r="E8278" s="7" t="s">
        <v>35</v>
      </c>
      <c r="F8278" s="0" t="n">
        <v>3.762</v>
      </c>
      <c r="G8278" s="0" t="n">
        <v>-2.7588</v>
      </c>
      <c r="H8278" s="0" t="n">
        <v>0.7</v>
      </c>
      <c r="I8278" s="7" t="n">
        <f aca="false">YEAR(B8278)</f>
        <v>2016</v>
      </c>
      <c r="J8278" s="0" t="str">
        <f aca="false">I8278&amp;"-Q"&amp;ROUNDUP(MONTH(B8278)/3,0)</f>
        <v>2016-Q1</v>
      </c>
    </row>
    <row r="8279" customFormat="false" ht="15" hidden="false" customHeight="false" outlineLevel="0" collapsed="false">
      <c r="A8279" s="0" t="s">
        <v>4182</v>
      </c>
      <c r="B8279" s="6" t="n">
        <v>42421</v>
      </c>
      <c r="C8279" s="7" t="s">
        <v>29</v>
      </c>
      <c r="D8279" s="7" t="s">
        <v>37</v>
      </c>
      <c r="E8279" s="7" t="s">
        <v>35</v>
      </c>
      <c r="F8279" s="0" t="n">
        <v>34.86</v>
      </c>
      <c r="G8279" s="0" t="n">
        <v>-26.726</v>
      </c>
      <c r="H8279" s="0" t="n">
        <v>0.7</v>
      </c>
      <c r="I8279" s="7" t="n">
        <f aca="false">YEAR(B8279)</f>
        <v>2016</v>
      </c>
      <c r="J8279" s="0" t="str">
        <f aca="false">I8279&amp;"-Q"&amp;ROUNDUP(MONTH(B8279)/3,0)</f>
        <v>2016-Q1</v>
      </c>
    </row>
    <row r="8280" customFormat="false" ht="15" hidden="false" customHeight="false" outlineLevel="0" collapsed="false">
      <c r="A8280" s="0" t="s">
        <v>4182</v>
      </c>
      <c r="B8280" s="6" t="n">
        <v>42421</v>
      </c>
      <c r="C8280" s="7" t="s">
        <v>29</v>
      </c>
      <c r="D8280" s="7" t="s">
        <v>37</v>
      </c>
      <c r="E8280" s="7" t="s">
        <v>35</v>
      </c>
      <c r="F8280" s="0" t="n">
        <v>432.456</v>
      </c>
      <c r="G8280" s="0" t="n">
        <v>32.4342</v>
      </c>
      <c r="H8280" s="0" t="n">
        <v>0.2</v>
      </c>
      <c r="I8280" s="7" t="n">
        <f aca="false">YEAR(B8280)</f>
        <v>2016</v>
      </c>
      <c r="J8280" s="0" t="str">
        <f aca="false">I8280&amp;"-Q"&amp;ROUNDUP(MONTH(B8280)/3,0)</f>
        <v>2016-Q1</v>
      </c>
    </row>
    <row r="8281" customFormat="false" ht="15" hidden="false" customHeight="false" outlineLevel="0" collapsed="false">
      <c r="A8281" s="0" t="s">
        <v>4183</v>
      </c>
      <c r="B8281" s="6" t="n">
        <v>42847</v>
      </c>
      <c r="C8281" s="7" t="s">
        <v>29</v>
      </c>
      <c r="D8281" s="7" t="s">
        <v>230</v>
      </c>
      <c r="E8281" s="7" t="s">
        <v>35</v>
      </c>
      <c r="F8281" s="0" t="n">
        <v>675.06</v>
      </c>
      <c r="G8281" s="0" t="n">
        <v>87.7578</v>
      </c>
      <c r="H8281" s="0" t="n">
        <v>0</v>
      </c>
      <c r="I8281" s="7" t="n">
        <f aca="false">YEAR(B8281)</f>
        <v>2017</v>
      </c>
      <c r="J8281" s="0" t="str">
        <f aca="false">I8281&amp;"-Q"&amp;ROUNDUP(MONTH(B8281)/3,0)</f>
        <v>2017-Q2</v>
      </c>
    </row>
    <row r="8282" customFormat="false" ht="15" hidden="false" customHeight="false" outlineLevel="0" collapsed="false">
      <c r="A8282" s="0" t="s">
        <v>4184</v>
      </c>
      <c r="B8282" s="6" t="n">
        <v>42864</v>
      </c>
      <c r="C8282" s="7" t="s">
        <v>29</v>
      </c>
      <c r="D8282" s="7" t="s">
        <v>41</v>
      </c>
      <c r="E8282" s="7" t="s">
        <v>35</v>
      </c>
      <c r="F8282" s="0" t="n">
        <v>65.232</v>
      </c>
      <c r="G8282" s="0" t="n">
        <v>22.0158</v>
      </c>
      <c r="H8282" s="0" t="n">
        <v>0.2</v>
      </c>
      <c r="I8282" s="7" t="n">
        <f aca="false">YEAR(B8282)</f>
        <v>2017</v>
      </c>
      <c r="J8282" s="0" t="str">
        <f aca="false">I8282&amp;"-Q"&amp;ROUNDUP(MONTH(B8282)/3,0)</f>
        <v>2017-Q2</v>
      </c>
    </row>
    <row r="8283" customFormat="false" ht="15" hidden="false" customHeight="false" outlineLevel="0" collapsed="false">
      <c r="A8283" s="0" t="s">
        <v>4184</v>
      </c>
      <c r="B8283" s="6" t="n">
        <v>42864</v>
      </c>
      <c r="C8283" s="7" t="s">
        <v>29</v>
      </c>
      <c r="D8283" s="7" t="s">
        <v>41</v>
      </c>
      <c r="E8283" s="7" t="s">
        <v>31</v>
      </c>
      <c r="F8283" s="0" t="n">
        <v>207</v>
      </c>
      <c r="G8283" s="0" t="n">
        <v>25.875</v>
      </c>
      <c r="H8283" s="0" t="n">
        <v>0.2</v>
      </c>
      <c r="I8283" s="7" t="n">
        <f aca="false">YEAR(B8283)</f>
        <v>2017</v>
      </c>
      <c r="J8283" s="0" t="str">
        <f aca="false">I8283&amp;"-Q"&amp;ROUNDUP(MONTH(B8283)/3,0)</f>
        <v>2017-Q2</v>
      </c>
    </row>
    <row r="8284" customFormat="false" ht="15" hidden="false" customHeight="false" outlineLevel="0" collapsed="false">
      <c r="A8284" s="0" t="s">
        <v>4185</v>
      </c>
      <c r="B8284" s="6" t="n">
        <v>42359</v>
      </c>
      <c r="C8284" s="7" t="s">
        <v>45</v>
      </c>
      <c r="D8284" s="7" t="s">
        <v>64</v>
      </c>
      <c r="E8284" s="7" t="s">
        <v>39</v>
      </c>
      <c r="F8284" s="0" t="n">
        <v>600.53</v>
      </c>
      <c r="G8284" s="0" t="n">
        <v>137.264</v>
      </c>
      <c r="H8284" s="0" t="n">
        <v>0.3</v>
      </c>
      <c r="I8284" s="7" t="n">
        <f aca="false">YEAR(B8284)</f>
        <v>2015</v>
      </c>
      <c r="J8284" s="0" t="str">
        <f aca="false">I8284&amp;"-Q"&amp;ROUNDUP(MONTH(B8284)/3,0)</f>
        <v>2015-Q4</v>
      </c>
    </row>
    <row r="8285" customFormat="false" ht="15" hidden="false" customHeight="false" outlineLevel="0" collapsed="false">
      <c r="A8285" s="0" t="s">
        <v>4185</v>
      </c>
      <c r="B8285" s="6" t="n">
        <v>42359</v>
      </c>
      <c r="C8285" s="7" t="s">
        <v>45</v>
      </c>
      <c r="D8285" s="7" t="s">
        <v>64</v>
      </c>
      <c r="E8285" s="7" t="s">
        <v>35</v>
      </c>
      <c r="F8285" s="0" t="n">
        <v>59.904</v>
      </c>
      <c r="G8285" s="0" t="n">
        <v>14.2272</v>
      </c>
      <c r="H8285" s="0" t="n">
        <v>0.2</v>
      </c>
      <c r="I8285" s="7" t="n">
        <f aca="false">YEAR(B8285)</f>
        <v>2015</v>
      </c>
      <c r="J8285" s="0" t="str">
        <f aca="false">I8285&amp;"-Q"&amp;ROUNDUP(MONTH(B8285)/3,0)</f>
        <v>2015-Q4</v>
      </c>
    </row>
    <row r="8286" customFormat="false" ht="15" hidden="false" customHeight="false" outlineLevel="0" collapsed="false">
      <c r="A8286" s="0" t="s">
        <v>4185</v>
      </c>
      <c r="B8286" s="6" t="n">
        <v>42359</v>
      </c>
      <c r="C8286" s="7" t="s">
        <v>45</v>
      </c>
      <c r="D8286" s="7" t="s">
        <v>64</v>
      </c>
      <c r="E8286" s="7" t="s">
        <v>39</v>
      </c>
      <c r="F8286" s="0" t="n">
        <v>637.44</v>
      </c>
      <c r="G8286" s="0" t="n">
        <v>135.456</v>
      </c>
      <c r="H8286" s="0" t="n">
        <v>0.2</v>
      </c>
      <c r="I8286" s="7" t="n">
        <f aca="false">YEAR(B8286)</f>
        <v>2015</v>
      </c>
      <c r="J8286" s="0" t="str">
        <f aca="false">I8286&amp;"-Q"&amp;ROUNDUP(MONTH(B8286)/3,0)</f>
        <v>2015-Q4</v>
      </c>
    </row>
    <row r="8287" customFormat="false" ht="15" hidden="false" customHeight="false" outlineLevel="0" collapsed="false">
      <c r="A8287" s="0" t="s">
        <v>4185</v>
      </c>
      <c r="B8287" s="6" t="n">
        <v>42359</v>
      </c>
      <c r="C8287" s="7" t="s">
        <v>45</v>
      </c>
      <c r="D8287" s="7" t="s">
        <v>64</v>
      </c>
      <c r="E8287" s="7" t="s">
        <v>31</v>
      </c>
      <c r="F8287" s="0" t="n">
        <v>51.756</v>
      </c>
      <c r="G8287" s="0" t="n">
        <v>-33.6414</v>
      </c>
      <c r="H8287" s="0" t="n">
        <v>0.6</v>
      </c>
      <c r="I8287" s="7" t="n">
        <f aca="false">YEAR(B8287)</f>
        <v>2015</v>
      </c>
      <c r="J8287" s="0" t="str">
        <f aca="false">I8287&amp;"-Q"&amp;ROUNDUP(MONTH(B8287)/3,0)</f>
        <v>2015-Q4</v>
      </c>
    </row>
    <row r="8288" customFormat="false" ht="15" hidden="false" customHeight="false" outlineLevel="0" collapsed="false">
      <c r="A8288" s="0" t="s">
        <v>4186</v>
      </c>
      <c r="B8288" s="6" t="n">
        <v>41863</v>
      </c>
      <c r="C8288" s="7" t="s">
        <v>29</v>
      </c>
      <c r="D8288" s="7" t="s">
        <v>37</v>
      </c>
      <c r="E8288" s="7" t="s">
        <v>35</v>
      </c>
      <c r="F8288" s="0" t="n">
        <v>31.104</v>
      </c>
      <c r="G8288" s="0" t="n">
        <v>10.8864</v>
      </c>
      <c r="H8288" s="0" t="n">
        <v>0.2</v>
      </c>
      <c r="I8288" s="7" t="n">
        <f aca="false">YEAR(B8288)</f>
        <v>2014</v>
      </c>
      <c r="J8288" s="0" t="str">
        <f aca="false">I8288&amp;"-Q"&amp;ROUNDUP(MONTH(B8288)/3,0)</f>
        <v>2014-Q3</v>
      </c>
    </row>
    <row r="8289" customFormat="false" ht="15" hidden="false" customHeight="false" outlineLevel="0" collapsed="false">
      <c r="A8289" s="0" t="s">
        <v>4186</v>
      </c>
      <c r="B8289" s="6" t="n">
        <v>41863</v>
      </c>
      <c r="C8289" s="7" t="s">
        <v>29</v>
      </c>
      <c r="D8289" s="7" t="s">
        <v>37</v>
      </c>
      <c r="E8289" s="7" t="s">
        <v>35</v>
      </c>
      <c r="F8289" s="0" t="n">
        <v>47.96</v>
      </c>
      <c r="G8289" s="0" t="n">
        <v>4.1965</v>
      </c>
      <c r="H8289" s="0" t="n">
        <v>0.2</v>
      </c>
      <c r="I8289" s="7" t="n">
        <f aca="false">YEAR(B8289)</f>
        <v>2014</v>
      </c>
      <c r="J8289" s="0" t="str">
        <f aca="false">I8289&amp;"-Q"&amp;ROUNDUP(MONTH(B8289)/3,0)</f>
        <v>2014-Q3</v>
      </c>
    </row>
    <row r="8290" customFormat="false" ht="15" hidden="false" customHeight="false" outlineLevel="0" collapsed="false">
      <c r="A8290" s="0" t="s">
        <v>4186</v>
      </c>
      <c r="B8290" s="6" t="n">
        <v>41863</v>
      </c>
      <c r="C8290" s="7" t="s">
        <v>29</v>
      </c>
      <c r="D8290" s="7" t="s">
        <v>37</v>
      </c>
      <c r="E8290" s="7" t="s">
        <v>39</v>
      </c>
      <c r="F8290" s="0" t="n">
        <v>158.928</v>
      </c>
      <c r="G8290" s="0" t="n">
        <v>41.7186</v>
      </c>
      <c r="H8290" s="0" t="n">
        <v>0.2</v>
      </c>
      <c r="I8290" s="7" t="n">
        <f aca="false">YEAR(B8290)</f>
        <v>2014</v>
      </c>
      <c r="J8290" s="0" t="str">
        <f aca="false">I8290&amp;"-Q"&amp;ROUNDUP(MONTH(B8290)/3,0)</f>
        <v>2014-Q3</v>
      </c>
    </row>
    <row r="8291" customFormat="false" ht="15" hidden="false" customHeight="false" outlineLevel="0" collapsed="false">
      <c r="A8291" s="0" t="s">
        <v>4186</v>
      </c>
      <c r="B8291" s="6" t="n">
        <v>41863</v>
      </c>
      <c r="C8291" s="7" t="s">
        <v>29</v>
      </c>
      <c r="D8291" s="7" t="s">
        <v>37</v>
      </c>
      <c r="E8291" s="7" t="s">
        <v>35</v>
      </c>
      <c r="F8291" s="0" t="n">
        <v>211.248</v>
      </c>
      <c r="G8291" s="0" t="n">
        <v>15.8436</v>
      </c>
      <c r="H8291" s="0" t="n">
        <v>0.2</v>
      </c>
      <c r="I8291" s="7" t="n">
        <f aca="false">YEAR(B8291)</f>
        <v>2014</v>
      </c>
      <c r="J8291" s="0" t="str">
        <f aca="false">I8291&amp;"-Q"&amp;ROUNDUP(MONTH(B8291)/3,0)</f>
        <v>2014-Q3</v>
      </c>
    </row>
    <row r="8292" customFormat="false" ht="15" hidden="false" customHeight="false" outlineLevel="0" collapsed="false">
      <c r="A8292" s="0" t="s">
        <v>4186</v>
      </c>
      <c r="B8292" s="6" t="n">
        <v>41863</v>
      </c>
      <c r="C8292" s="7" t="s">
        <v>29</v>
      </c>
      <c r="D8292" s="7" t="s">
        <v>37</v>
      </c>
      <c r="E8292" s="7" t="s">
        <v>35</v>
      </c>
      <c r="F8292" s="0" t="n">
        <v>5.552</v>
      </c>
      <c r="G8292" s="0" t="n">
        <v>-1.041</v>
      </c>
      <c r="H8292" s="0" t="n">
        <v>0.2</v>
      </c>
      <c r="I8292" s="7" t="n">
        <f aca="false">YEAR(B8292)</f>
        <v>2014</v>
      </c>
      <c r="J8292" s="0" t="str">
        <f aca="false">I8292&amp;"-Q"&amp;ROUNDUP(MONTH(B8292)/3,0)</f>
        <v>2014-Q3</v>
      </c>
    </row>
    <row r="8293" customFormat="false" ht="15" hidden="false" customHeight="false" outlineLevel="0" collapsed="false">
      <c r="A8293" s="0" t="s">
        <v>4186</v>
      </c>
      <c r="B8293" s="6" t="n">
        <v>41863</v>
      </c>
      <c r="C8293" s="7" t="s">
        <v>29</v>
      </c>
      <c r="D8293" s="7" t="s">
        <v>37</v>
      </c>
      <c r="E8293" s="7" t="s">
        <v>35</v>
      </c>
      <c r="F8293" s="0" t="n">
        <v>2.952</v>
      </c>
      <c r="G8293" s="0" t="n">
        <v>0.9963</v>
      </c>
      <c r="H8293" s="0" t="n">
        <v>0.2</v>
      </c>
      <c r="I8293" s="7" t="n">
        <f aca="false">YEAR(B8293)</f>
        <v>2014</v>
      </c>
      <c r="J8293" s="0" t="str">
        <f aca="false">I8293&amp;"-Q"&amp;ROUNDUP(MONTH(B8293)/3,0)</f>
        <v>2014-Q3</v>
      </c>
    </row>
    <row r="8294" customFormat="false" ht="15" hidden="false" customHeight="false" outlineLevel="0" collapsed="false">
      <c r="A8294" s="0" t="s">
        <v>4187</v>
      </c>
      <c r="B8294" s="6" t="n">
        <v>42349</v>
      </c>
      <c r="C8294" s="7" t="s">
        <v>55</v>
      </c>
      <c r="D8294" s="7" t="s">
        <v>116</v>
      </c>
      <c r="E8294" s="7" t="s">
        <v>35</v>
      </c>
      <c r="F8294" s="0" t="n">
        <v>10.332</v>
      </c>
      <c r="G8294" s="0" t="n">
        <v>-7.5768</v>
      </c>
      <c r="H8294" s="0" t="n">
        <v>0.7</v>
      </c>
      <c r="I8294" s="7" t="n">
        <f aca="false">YEAR(B8294)</f>
        <v>2015</v>
      </c>
      <c r="J8294" s="0" t="str">
        <f aca="false">I8294&amp;"-Q"&amp;ROUNDUP(MONTH(B8294)/3,0)</f>
        <v>2015-Q4</v>
      </c>
    </row>
    <row r="8295" customFormat="false" ht="15" hidden="false" customHeight="false" outlineLevel="0" collapsed="false">
      <c r="A8295" s="0" t="s">
        <v>4188</v>
      </c>
      <c r="B8295" s="6" t="n">
        <v>43042</v>
      </c>
      <c r="C8295" s="7" t="s">
        <v>33</v>
      </c>
      <c r="D8295" s="7" t="s">
        <v>43</v>
      </c>
      <c r="E8295" s="7" t="s">
        <v>35</v>
      </c>
      <c r="F8295" s="0" t="n">
        <v>18.368</v>
      </c>
      <c r="G8295" s="0" t="n">
        <v>5.9696</v>
      </c>
      <c r="H8295" s="0" t="n">
        <v>0.2</v>
      </c>
      <c r="I8295" s="7" t="n">
        <f aca="false">YEAR(B8295)</f>
        <v>2017</v>
      </c>
      <c r="J8295" s="0" t="str">
        <f aca="false">I8295&amp;"-Q"&amp;ROUNDUP(MONTH(B8295)/3,0)</f>
        <v>2017-Q4</v>
      </c>
    </row>
    <row r="8296" customFormat="false" ht="15" hidden="false" customHeight="false" outlineLevel="0" collapsed="false">
      <c r="A8296" s="0" t="s">
        <v>4189</v>
      </c>
      <c r="B8296" s="6" t="n">
        <v>42807</v>
      </c>
      <c r="C8296" s="7" t="s">
        <v>55</v>
      </c>
      <c r="D8296" s="7" t="s">
        <v>76</v>
      </c>
      <c r="E8296" s="7" t="s">
        <v>39</v>
      </c>
      <c r="F8296" s="0" t="n">
        <v>299.9</v>
      </c>
      <c r="G8296" s="0" t="n">
        <v>74.975</v>
      </c>
      <c r="H8296" s="0" t="n">
        <v>0</v>
      </c>
      <c r="I8296" s="7" t="n">
        <f aca="false">YEAR(B8296)</f>
        <v>2017</v>
      </c>
      <c r="J8296" s="0" t="str">
        <f aca="false">I8296&amp;"-Q"&amp;ROUNDUP(MONTH(B8296)/3,0)</f>
        <v>2017-Q1</v>
      </c>
    </row>
    <row r="8297" customFormat="false" ht="15" hidden="false" customHeight="false" outlineLevel="0" collapsed="false">
      <c r="A8297" s="0" t="s">
        <v>4190</v>
      </c>
      <c r="B8297" s="6" t="n">
        <v>42520</v>
      </c>
      <c r="C8297" s="7" t="s">
        <v>29</v>
      </c>
      <c r="D8297" s="7" t="s">
        <v>83</v>
      </c>
      <c r="E8297" s="7" t="s">
        <v>35</v>
      </c>
      <c r="F8297" s="0" t="n">
        <v>26.55</v>
      </c>
      <c r="G8297" s="0" t="n">
        <v>12.744</v>
      </c>
      <c r="H8297" s="0" t="n">
        <v>0</v>
      </c>
      <c r="I8297" s="7" t="n">
        <f aca="false">YEAR(B8297)</f>
        <v>2016</v>
      </c>
      <c r="J8297" s="0" t="str">
        <f aca="false">I8297&amp;"-Q"&amp;ROUNDUP(MONTH(B8297)/3,0)</f>
        <v>2016-Q2</v>
      </c>
    </row>
    <row r="8298" customFormat="false" ht="15" hidden="false" customHeight="false" outlineLevel="0" collapsed="false">
      <c r="A8298" s="0" t="s">
        <v>4190</v>
      </c>
      <c r="B8298" s="6" t="n">
        <v>42520</v>
      </c>
      <c r="C8298" s="7" t="s">
        <v>29</v>
      </c>
      <c r="D8298" s="7" t="s">
        <v>83</v>
      </c>
      <c r="E8298" s="7" t="s">
        <v>39</v>
      </c>
      <c r="F8298" s="0" t="n">
        <v>111.98</v>
      </c>
      <c r="G8298" s="0" t="n">
        <v>26.8752</v>
      </c>
      <c r="H8298" s="0" t="n">
        <v>0</v>
      </c>
      <c r="I8298" s="7" t="n">
        <f aca="false">YEAR(B8298)</f>
        <v>2016</v>
      </c>
      <c r="J8298" s="0" t="str">
        <f aca="false">I8298&amp;"-Q"&amp;ROUNDUP(MONTH(B8298)/3,0)</f>
        <v>2016-Q2</v>
      </c>
    </row>
    <row r="8299" customFormat="false" ht="15" hidden="false" customHeight="false" outlineLevel="0" collapsed="false">
      <c r="A8299" s="0" t="s">
        <v>4191</v>
      </c>
      <c r="B8299" s="6" t="n">
        <v>42190</v>
      </c>
      <c r="C8299" s="7" t="s">
        <v>29</v>
      </c>
      <c r="D8299" s="7" t="s">
        <v>41</v>
      </c>
      <c r="E8299" s="7" t="s">
        <v>31</v>
      </c>
      <c r="F8299" s="0" t="n">
        <v>4.928</v>
      </c>
      <c r="G8299" s="0" t="n">
        <v>0.7392</v>
      </c>
      <c r="H8299" s="0" t="n">
        <v>0.2</v>
      </c>
      <c r="I8299" s="7" t="n">
        <f aca="false">YEAR(B8299)</f>
        <v>2015</v>
      </c>
      <c r="J8299" s="0" t="str">
        <f aca="false">I8299&amp;"-Q"&amp;ROUNDUP(MONTH(B8299)/3,0)</f>
        <v>2015-Q3</v>
      </c>
    </row>
    <row r="8300" customFormat="false" ht="15" hidden="false" customHeight="false" outlineLevel="0" collapsed="false">
      <c r="A8300" s="0" t="s">
        <v>4191</v>
      </c>
      <c r="B8300" s="6" t="n">
        <v>42190</v>
      </c>
      <c r="C8300" s="7" t="s">
        <v>29</v>
      </c>
      <c r="D8300" s="7" t="s">
        <v>41</v>
      </c>
      <c r="E8300" s="7" t="s">
        <v>35</v>
      </c>
      <c r="F8300" s="0" t="n">
        <v>11.784</v>
      </c>
      <c r="G8300" s="0" t="n">
        <v>4.2717</v>
      </c>
      <c r="H8300" s="0" t="n">
        <v>0.2</v>
      </c>
      <c r="I8300" s="7" t="n">
        <f aca="false">YEAR(B8300)</f>
        <v>2015</v>
      </c>
      <c r="J8300" s="0" t="str">
        <f aca="false">I8300&amp;"-Q"&amp;ROUNDUP(MONTH(B8300)/3,0)</f>
        <v>2015-Q3</v>
      </c>
    </row>
    <row r="8301" customFormat="false" ht="15" hidden="false" customHeight="false" outlineLevel="0" collapsed="false">
      <c r="A8301" s="0" t="s">
        <v>4192</v>
      </c>
      <c r="B8301" s="6" t="n">
        <v>41709</v>
      </c>
      <c r="C8301" s="7" t="s">
        <v>33</v>
      </c>
      <c r="D8301" s="7" t="s">
        <v>34</v>
      </c>
      <c r="E8301" s="7" t="s">
        <v>35</v>
      </c>
      <c r="F8301" s="0" t="n">
        <v>7.98</v>
      </c>
      <c r="G8301" s="0" t="n">
        <v>2.0748</v>
      </c>
      <c r="H8301" s="0" t="n">
        <v>0</v>
      </c>
      <c r="I8301" s="7" t="n">
        <f aca="false">YEAR(B8301)</f>
        <v>2014</v>
      </c>
      <c r="J8301" s="0" t="str">
        <f aca="false">I8301&amp;"-Q"&amp;ROUNDUP(MONTH(B8301)/3,0)</f>
        <v>2014-Q1</v>
      </c>
    </row>
    <row r="8302" customFormat="false" ht="15" hidden="false" customHeight="false" outlineLevel="0" collapsed="false">
      <c r="A8302" s="0" t="s">
        <v>4193</v>
      </c>
      <c r="B8302" s="6" t="n">
        <v>42114</v>
      </c>
      <c r="C8302" s="7" t="s">
        <v>45</v>
      </c>
      <c r="D8302" s="7" t="s">
        <v>70</v>
      </c>
      <c r="E8302" s="7" t="s">
        <v>35</v>
      </c>
      <c r="F8302" s="0" t="n">
        <v>180.96</v>
      </c>
      <c r="G8302" s="0" t="n">
        <v>81.432</v>
      </c>
      <c r="H8302" s="0" t="n">
        <v>0</v>
      </c>
      <c r="I8302" s="7" t="n">
        <f aca="false">YEAR(B8302)</f>
        <v>2015</v>
      </c>
      <c r="J8302" s="0" t="str">
        <f aca="false">I8302&amp;"-Q"&amp;ROUNDUP(MONTH(B8302)/3,0)</f>
        <v>2015-Q2</v>
      </c>
    </row>
    <row r="8303" customFormat="false" ht="15" hidden="false" customHeight="false" outlineLevel="0" collapsed="false">
      <c r="A8303" s="0" t="s">
        <v>4194</v>
      </c>
      <c r="B8303" s="6" t="n">
        <v>42942</v>
      </c>
      <c r="C8303" s="7" t="s">
        <v>33</v>
      </c>
      <c r="D8303" s="7" t="s">
        <v>34</v>
      </c>
      <c r="E8303" s="7" t="s">
        <v>39</v>
      </c>
      <c r="F8303" s="0" t="n">
        <v>1649.95</v>
      </c>
      <c r="G8303" s="0" t="n">
        <v>659.98</v>
      </c>
      <c r="H8303" s="0" t="n">
        <v>0</v>
      </c>
      <c r="I8303" s="7" t="n">
        <f aca="false">YEAR(B8303)</f>
        <v>2017</v>
      </c>
      <c r="J8303" s="0" t="str">
        <f aca="false">I8303&amp;"-Q"&amp;ROUNDUP(MONTH(B8303)/3,0)</f>
        <v>2017-Q3</v>
      </c>
    </row>
    <row r="8304" customFormat="false" ht="15" hidden="false" customHeight="false" outlineLevel="0" collapsed="false">
      <c r="A8304" s="0" t="s">
        <v>4194</v>
      </c>
      <c r="B8304" s="6" t="n">
        <v>42942</v>
      </c>
      <c r="C8304" s="7" t="s">
        <v>33</v>
      </c>
      <c r="D8304" s="7" t="s">
        <v>34</v>
      </c>
      <c r="E8304" s="7" t="s">
        <v>31</v>
      </c>
      <c r="F8304" s="0" t="n">
        <v>362.352</v>
      </c>
      <c r="G8304" s="0" t="n">
        <v>45.294</v>
      </c>
      <c r="H8304" s="0" t="n">
        <v>0.2</v>
      </c>
      <c r="I8304" s="7" t="n">
        <f aca="false">YEAR(B8304)</f>
        <v>2017</v>
      </c>
      <c r="J8304" s="0" t="str">
        <f aca="false">I8304&amp;"-Q"&amp;ROUNDUP(MONTH(B8304)/3,0)</f>
        <v>2017-Q3</v>
      </c>
    </row>
    <row r="8305" customFormat="false" ht="15" hidden="false" customHeight="false" outlineLevel="0" collapsed="false">
      <c r="A8305" s="0" t="s">
        <v>4195</v>
      </c>
      <c r="B8305" s="6" t="n">
        <v>41943</v>
      </c>
      <c r="C8305" s="7" t="s">
        <v>33</v>
      </c>
      <c r="D8305" s="7" t="s">
        <v>34</v>
      </c>
      <c r="E8305" s="7" t="s">
        <v>39</v>
      </c>
      <c r="F8305" s="0" t="n">
        <v>73.584</v>
      </c>
      <c r="G8305" s="0" t="n">
        <v>8.2782</v>
      </c>
      <c r="H8305" s="0" t="n">
        <v>0.2</v>
      </c>
      <c r="I8305" s="7" t="n">
        <f aca="false">YEAR(B8305)</f>
        <v>2014</v>
      </c>
      <c r="J8305" s="0" t="str">
        <f aca="false">I8305&amp;"-Q"&amp;ROUNDUP(MONTH(B8305)/3,0)</f>
        <v>2014-Q4</v>
      </c>
    </row>
    <row r="8306" customFormat="false" ht="15" hidden="false" customHeight="false" outlineLevel="0" collapsed="false">
      <c r="A8306" s="0" t="s">
        <v>4196</v>
      </c>
      <c r="B8306" s="6" t="n">
        <v>43042</v>
      </c>
      <c r="C8306" s="7" t="s">
        <v>33</v>
      </c>
      <c r="D8306" s="7" t="s">
        <v>34</v>
      </c>
      <c r="E8306" s="7" t="s">
        <v>31</v>
      </c>
      <c r="F8306" s="0" t="n">
        <v>486.368</v>
      </c>
      <c r="G8306" s="0" t="n">
        <v>36.4776</v>
      </c>
      <c r="H8306" s="0" t="n">
        <v>0.2</v>
      </c>
      <c r="I8306" s="7" t="n">
        <f aca="false">YEAR(B8306)</f>
        <v>2017</v>
      </c>
      <c r="J8306" s="0" t="str">
        <f aca="false">I8306&amp;"-Q"&amp;ROUNDUP(MONTH(B8306)/3,0)</f>
        <v>2017-Q4</v>
      </c>
    </row>
    <row r="8307" customFormat="false" ht="15" hidden="false" customHeight="false" outlineLevel="0" collapsed="false">
      <c r="A8307" s="0" t="s">
        <v>4197</v>
      </c>
      <c r="B8307" s="6" t="n">
        <v>42593</v>
      </c>
      <c r="C8307" s="7" t="s">
        <v>45</v>
      </c>
      <c r="D8307" s="7" t="s">
        <v>138</v>
      </c>
      <c r="E8307" s="7" t="s">
        <v>35</v>
      </c>
      <c r="F8307" s="0" t="n">
        <v>32.4</v>
      </c>
      <c r="G8307" s="0" t="n">
        <v>15.552</v>
      </c>
      <c r="H8307" s="0" t="n">
        <v>0</v>
      </c>
      <c r="I8307" s="7" t="n">
        <f aca="false">YEAR(B8307)</f>
        <v>2016</v>
      </c>
      <c r="J8307" s="0" t="str">
        <f aca="false">I8307&amp;"-Q"&amp;ROUNDUP(MONTH(B8307)/3,0)</f>
        <v>2016-Q3</v>
      </c>
    </row>
    <row r="8308" customFormat="false" ht="15" hidden="false" customHeight="false" outlineLevel="0" collapsed="false">
      <c r="A8308" s="0" t="s">
        <v>4197</v>
      </c>
      <c r="B8308" s="6" t="n">
        <v>42593</v>
      </c>
      <c r="C8308" s="7" t="s">
        <v>45</v>
      </c>
      <c r="D8308" s="7" t="s">
        <v>138</v>
      </c>
      <c r="E8308" s="7" t="s">
        <v>35</v>
      </c>
      <c r="F8308" s="0" t="n">
        <v>41.86</v>
      </c>
      <c r="G8308" s="0" t="n">
        <v>19.2556</v>
      </c>
      <c r="H8308" s="0" t="n">
        <v>0</v>
      </c>
      <c r="I8308" s="7" t="n">
        <f aca="false">YEAR(B8308)</f>
        <v>2016</v>
      </c>
      <c r="J8308" s="0" t="str">
        <f aca="false">I8308&amp;"-Q"&amp;ROUNDUP(MONTH(B8308)/3,0)</f>
        <v>2016-Q3</v>
      </c>
    </row>
    <row r="8309" customFormat="false" ht="15" hidden="false" customHeight="false" outlineLevel="0" collapsed="false">
      <c r="A8309" s="0" t="s">
        <v>4197</v>
      </c>
      <c r="B8309" s="6" t="n">
        <v>42593</v>
      </c>
      <c r="C8309" s="7" t="s">
        <v>45</v>
      </c>
      <c r="D8309" s="7" t="s">
        <v>138</v>
      </c>
      <c r="E8309" s="7" t="s">
        <v>35</v>
      </c>
      <c r="F8309" s="0" t="n">
        <v>77.56</v>
      </c>
      <c r="G8309" s="0" t="n">
        <v>35.6776</v>
      </c>
      <c r="H8309" s="0" t="n">
        <v>0</v>
      </c>
      <c r="I8309" s="7" t="n">
        <f aca="false">YEAR(B8309)</f>
        <v>2016</v>
      </c>
      <c r="J8309" s="0" t="str">
        <f aca="false">I8309&amp;"-Q"&amp;ROUNDUP(MONTH(B8309)/3,0)</f>
        <v>2016-Q3</v>
      </c>
    </row>
    <row r="8310" customFormat="false" ht="15" hidden="false" customHeight="false" outlineLevel="0" collapsed="false">
      <c r="A8310" s="0" t="s">
        <v>4198</v>
      </c>
      <c r="B8310" s="6" t="n">
        <v>42576</v>
      </c>
      <c r="C8310" s="7" t="s">
        <v>33</v>
      </c>
      <c r="D8310" s="7" t="s">
        <v>34</v>
      </c>
      <c r="E8310" s="7" t="s">
        <v>35</v>
      </c>
      <c r="F8310" s="0" t="n">
        <v>37.17</v>
      </c>
      <c r="G8310" s="0" t="n">
        <v>11.151</v>
      </c>
      <c r="H8310" s="0" t="n">
        <v>0</v>
      </c>
      <c r="I8310" s="7" t="n">
        <f aca="false">YEAR(B8310)</f>
        <v>2016</v>
      </c>
      <c r="J8310" s="0" t="str">
        <f aca="false">I8310&amp;"-Q"&amp;ROUNDUP(MONTH(B8310)/3,0)</f>
        <v>2016-Q3</v>
      </c>
    </row>
    <row r="8311" customFormat="false" ht="15" hidden="false" customHeight="false" outlineLevel="0" collapsed="false">
      <c r="A8311" s="0" t="s">
        <v>4199</v>
      </c>
      <c r="B8311" s="6" t="n">
        <v>41699</v>
      </c>
      <c r="C8311" s="7" t="s">
        <v>45</v>
      </c>
      <c r="D8311" s="7" t="s">
        <v>46</v>
      </c>
      <c r="E8311" s="7" t="s">
        <v>35</v>
      </c>
      <c r="F8311" s="0" t="n">
        <v>137.352</v>
      </c>
      <c r="G8311" s="0" t="n">
        <v>8.5845</v>
      </c>
      <c r="H8311" s="0" t="n">
        <v>0.2</v>
      </c>
      <c r="I8311" s="7" t="n">
        <f aca="false">YEAR(B8311)</f>
        <v>2014</v>
      </c>
      <c r="J8311" s="0" t="str">
        <f aca="false">I8311&amp;"-Q"&amp;ROUNDUP(MONTH(B8311)/3,0)</f>
        <v>2014-Q1</v>
      </c>
    </row>
    <row r="8312" customFormat="false" ht="15" hidden="false" customHeight="false" outlineLevel="0" collapsed="false">
      <c r="A8312" s="0" t="s">
        <v>4199</v>
      </c>
      <c r="B8312" s="6" t="n">
        <v>41699</v>
      </c>
      <c r="C8312" s="7" t="s">
        <v>45</v>
      </c>
      <c r="D8312" s="7" t="s">
        <v>46</v>
      </c>
      <c r="E8312" s="7" t="s">
        <v>31</v>
      </c>
      <c r="F8312" s="0" t="n">
        <v>376.509</v>
      </c>
      <c r="G8312" s="0" t="n">
        <v>-43.0296</v>
      </c>
      <c r="H8312" s="0" t="n">
        <v>0.3</v>
      </c>
      <c r="I8312" s="7" t="n">
        <f aca="false">YEAR(B8312)</f>
        <v>2014</v>
      </c>
      <c r="J8312" s="0" t="str">
        <f aca="false">I8312&amp;"-Q"&amp;ROUNDUP(MONTH(B8312)/3,0)</f>
        <v>2014-Q1</v>
      </c>
    </row>
    <row r="8313" customFormat="false" ht="15" hidden="false" customHeight="false" outlineLevel="0" collapsed="false">
      <c r="A8313" s="0" t="s">
        <v>4200</v>
      </c>
      <c r="B8313" s="6" t="n">
        <v>42761</v>
      </c>
      <c r="C8313" s="7" t="s">
        <v>29</v>
      </c>
      <c r="D8313" s="7" t="s">
        <v>230</v>
      </c>
      <c r="E8313" s="7" t="s">
        <v>31</v>
      </c>
      <c r="F8313" s="0" t="n">
        <v>62.72</v>
      </c>
      <c r="G8313" s="0" t="n">
        <v>24.4608</v>
      </c>
      <c r="H8313" s="0" t="n">
        <v>0</v>
      </c>
      <c r="I8313" s="7" t="n">
        <f aca="false">YEAR(B8313)</f>
        <v>2017</v>
      </c>
      <c r="J8313" s="0" t="str">
        <f aca="false">I8313&amp;"-Q"&amp;ROUNDUP(MONTH(B8313)/3,0)</f>
        <v>2017-Q1</v>
      </c>
    </row>
    <row r="8314" customFormat="false" ht="15" hidden="false" customHeight="false" outlineLevel="0" collapsed="false">
      <c r="A8314" s="0" t="s">
        <v>4200</v>
      </c>
      <c r="B8314" s="6" t="n">
        <v>42761</v>
      </c>
      <c r="C8314" s="7" t="s">
        <v>29</v>
      </c>
      <c r="D8314" s="7" t="s">
        <v>230</v>
      </c>
      <c r="E8314" s="7" t="s">
        <v>39</v>
      </c>
      <c r="F8314" s="0" t="n">
        <v>2939.93</v>
      </c>
      <c r="G8314" s="0" t="n">
        <v>764.3818</v>
      </c>
      <c r="H8314" s="0" t="n">
        <v>0</v>
      </c>
      <c r="I8314" s="7" t="n">
        <f aca="false">YEAR(B8314)</f>
        <v>2017</v>
      </c>
      <c r="J8314" s="0" t="str">
        <f aca="false">I8314&amp;"-Q"&amp;ROUNDUP(MONTH(B8314)/3,0)</f>
        <v>2017-Q1</v>
      </c>
    </row>
    <row r="8315" customFormat="false" ht="15" hidden="false" customHeight="false" outlineLevel="0" collapsed="false">
      <c r="A8315" s="0" t="s">
        <v>4201</v>
      </c>
      <c r="B8315" s="6" t="n">
        <v>41832</v>
      </c>
      <c r="C8315" s="7" t="s">
        <v>45</v>
      </c>
      <c r="D8315" s="7" t="s">
        <v>46</v>
      </c>
      <c r="E8315" s="7" t="s">
        <v>31</v>
      </c>
      <c r="F8315" s="0" t="n">
        <v>512.358</v>
      </c>
      <c r="G8315" s="0" t="n">
        <v>-14.6388</v>
      </c>
      <c r="H8315" s="0" t="n">
        <v>0.3</v>
      </c>
      <c r="I8315" s="7" t="n">
        <f aca="false">YEAR(B8315)</f>
        <v>2014</v>
      </c>
      <c r="J8315" s="0" t="str">
        <f aca="false">I8315&amp;"-Q"&amp;ROUNDUP(MONTH(B8315)/3,0)</f>
        <v>2014-Q3</v>
      </c>
    </row>
    <row r="8316" customFormat="false" ht="15" hidden="false" customHeight="false" outlineLevel="0" collapsed="false">
      <c r="A8316" s="0" t="s">
        <v>4201</v>
      </c>
      <c r="B8316" s="6" t="n">
        <v>41832</v>
      </c>
      <c r="C8316" s="7" t="s">
        <v>45</v>
      </c>
      <c r="D8316" s="7" t="s">
        <v>46</v>
      </c>
      <c r="E8316" s="7" t="s">
        <v>35</v>
      </c>
      <c r="F8316" s="0" t="n">
        <v>3.488</v>
      </c>
      <c r="G8316" s="0" t="n">
        <v>0.5668</v>
      </c>
      <c r="H8316" s="0" t="n">
        <v>0.2</v>
      </c>
      <c r="I8316" s="7" t="n">
        <f aca="false">YEAR(B8316)</f>
        <v>2014</v>
      </c>
      <c r="J8316" s="0" t="str">
        <f aca="false">I8316&amp;"-Q"&amp;ROUNDUP(MONTH(B8316)/3,0)</f>
        <v>2014-Q3</v>
      </c>
    </row>
    <row r="8317" customFormat="false" ht="15" hidden="false" customHeight="false" outlineLevel="0" collapsed="false">
      <c r="A8317" s="0" t="s">
        <v>4201</v>
      </c>
      <c r="B8317" s="6" t="n">
        <v>41832</v>
      </c>
      <c r="C8317" s="7" t="s">
        <v>45</v>
      </c>
      <c r="D8317" s="7" t="s">
        <v>46</v>
      </c>
      <c r="E8317" s="7" t="s">
        <v>35</v>
      </c>
      <c r="F8317" s="0" t="n">
        <v>22.288</v>
      </c>
      <c r="G8317" s="0" t="n">
        <v>3.9004</v>
      </c>
      <c r="H8317" s="0" t="n">
        <v>0.2</v>
      </c>
      <c r="I8317" s="7" t="n">
        <f aca="false">YEAR(B8317)</f>
        <v>2014</v>
      </c>
      <c r="J8317" s="0" t="str">
        <f aca="false">I8317&amp;"-Q"&amp;ROUNDUP(MONTH(B8317)/3,0)</f>
        <v>2014-Q3</v>
      </c>
    </row>
    <row r="8318" customFormat="false" ht="15" hidden="false" customHeight="false" outlineLevel="0" collapsed="false">
      <c r="A8318" s="0" t="s">
        <v>4201</v>
      </c>
      <c r="B8318" s="6" t="n">
        <v>41832</v>
      </c>
      <c r="C8318" s="7" t="s">
        <v>45</v>
      </c>
      <c r="D8318" s="7" t="s">
        <v>46</v>
      </c>
      <c r="E8318" s="7" t="s">
        <v>35</v>
      </c>
      <c r="F8318" s="0" t="n">
        <v>16.032</v>
      </c>
      <c r="G8318" s="0" t="n">
        <v>5.6112</v>
      </c>
      <c r="H8318" s="0" t="n">
        <v>0.2</v>
      </c>
      <c r="I8318" s="7" t="n">
        <f aca="false">YEAR(B8318)</f>
        <v>2014</v>
      </c>
      <c r="J8318" s="0" t="str">
        <f aca="false">I8318&amp;"-Q"&amp;ROUNDUP(MONTH(B8318)/3,0)</f>
        <v>2014-Q3</v>
      </c>
    </row>
    <row r="8319" customFormat="false" ht="15" hidden="false" customHeight="false" outlineLevel="0" collapsed="false">
      <c r="A8319" s="0" t="s">
        <v>4202</v>
      </c>
      <c r="B8319" s="6" t="n">
        <v>42836</v>
      </c>
      <c r="C8319" s="7" t="s">
        <v>29</v>
      </c>
      <c r="D8319" s="7" t="s">
        <v>41</v>
      </c>
      <c r="E8319" s="7" t="s">
        <v>35</v>
      </c>
      <c r="F8319" s="0" t="n">
        <v>1.752</v>
      </c>
      <c r="G8319" s="0" t="n">
        <v>0.1533</v>
      </c>
      <c r="H8319" s="0" t="n">
        <v>0.2</v>
      </c>
      <c r="I8319" s="7" t="n">
        <f aca="false">YEAR(B8319)</f>
        <v>2017</v>
      </c>
      <c r="J8319" s="0" t="str">
        <f aca="false">I8319&amp;"-Q"&amp;ROUNDUP(MONTH(B8319)/3,0)</f>
        <v>2017-Q2</v>
      </c>
    </row>
    <row r="8320" customFormat="false" ht="15" hidden="false" customHeight="false" outlineLevel="0" collapsed="false">
      <c r="A8320" s="0" t="s">
        <v>4202</v>
      </c>
      <c r="B8320" s="6" t="n">
        <v>42836</v>
      </c>
      <c r="C8320" s="7" t="s">
        <v>29</v>
      </c>
      <c r="D8320" s="7" t="s">
        <v>41</v>
      </c>
      <c r="E8320" s="7" t="s">
        <v>35</v>
      </c>
      <c r="F8320" s="0" t="n">
        <v>20.992</v>
      </c>
      <c r="G8320" s="0" t="n">
        <v>2.3616</v>
      </c>
      <c r="H8320" s="0" t="n">
        <v>0.2</v>
      </c>
      <c r="I8320" s="7" t="n">
        <f aca="false">YEAR(B8320)</f>
        <v>2017</v>
      </c>
      <c r="J8320" s="0" t="str">
        <f aca="false">I8320&amp;"-Q"&amp;ROUNDUP(MONTH(B8320)/3,0)</f>
        <v>2017-Q2</v>
      </c>
    </row>
    <row r="8321" customFormat="false" ht="15" hidden="false" customHeight="false" outlineLevel="0" collapsed="false">
      <c r="A8321" s="0" t="s">
        <v>4203</v>
      </c>
      <c r="B8321" s="6" t="n">
        <v>43052</v>
      </c>
      <c r="C8321" s="7" t="s">
        <v>55</v>
      </c>
      <c r="D8321" s="7" t="s">
        <v>76</v>
      </c>
      <c r="E8321" s="7" t="s">
        <v>35</v>
      </c>
      <c r="F8321" s="0" t="n">
        <v>11.21</v>
      </c>
      <c r="G8321" s="0" t="n">
        <v>3.363</v>
      </c>
      <c r="H8321" s="0" t="n">
        <v>0</v>
      </c>
      <c r="I8321" s="7" t="n">
        <f aca="false">YEAR(B8321)</f>
        <v>2017</v>
      </c>
      <c r="J8321" s="0" t="str">
        <f aca="false">I8321&amp;"-Q"&amp;ROUNDUP(MONTH(B8321)/3,0)</f>
        <v>2017-Q4</v>
      </c>
    </row>
    <row r="8322" customFormat="false" ht="15" hidden="false" customHeight="false" outlineLevel="0" collapsed="false">
      <c r="A8322" s="0" t="s">
        <v>4204</v>
      </c>
      <c r="B8322" s="6" t="n">
        <v>42343</v>
      </c>
      <c r="C8322" s="7" t="s">
        <v>45</v>
      </c>
      <c r="D8322" s="7" t="s">
        <v>46</v>
      </c>
      <c r="E8322" s="7" t="s">
        <v>35</v>
      </c>
      <c r="F8322" s="0" t="n">
        <v>45.04</v>
      </c>
      <c r="G8322" s="0" t="n">
        <v>4.504</v>
      </c>
      <c r="H8322" s="0" t="n">
        <v>0.2</v>
      </c>
      <c r="I8322" s="7" t="n">
        <f aca="false">YEAR(B8322)</f>
        <v>2015</v>
      </c>
      <c r="J8322" s="0" t="str">
        <f aca="false">I8322&amp;"-Q"&amp;ROUNDUP(MONTH(B8322)/3,0)</f>
        <v>2015-Q4</v>
      </c>
    </row>
    <row r="8323" customFormat="false" ht="15" hidden="false" customHeight="false" outlineLevel="0" collapsed="false">
      <c r="A8323" s="0" t="s">
        <v>4205</v>
      </c>
      <c r="B8323" s="6" t="n">
        <v>42639</v>
      </c>
      <c r="C8323" s="7" t="s">
        <v>45</v>
      </c>
      <c r="D8323" s="7" t="s">
        <v>46</v>
      </c>
      <c r="E8323" s="7" t="s">
        <v>35</v>
      </c>
      <c r="F8323" s="0" t="n">
        <v>15.624</v>
      </c>
      <c r="G8323" s="0" t="n">
        <v>-24.9984</v>
      </c>
      <c r="H8323" s="0" t="n">
        <v>0.8</v>
      </c>
      <c r="I8323" s="7" t="n">
        <f aca="false">YEAR(B8323)</f>
        <v>2016</v>
      </c>
      <c r="J8323" s="0" t="str">
        <f aca="false">I8323&amp;"-Q"&amp;ROUNDUP(MONTH(B8323)/3,0)</f>
        <v>2016-Q3</v>
      </c>
    </row>
    <row r="8324" customFormat="false" ht="15" hidden="false" customHeight="false" outlineLevel="0" collapsed="false">
      <c r="A8324" s="0" t="s">
        <v>4206</v>
      </c>
      <c r="B8324" s="6" t="n">
        <v>42693</v>
      </c>
      <c r="C8324" s="7" t="s">
        <v>55</v>
      </c>
      <c r="D8324" s="7" t="s">
        <v>76</v>
      </c>
      <c r="E8324" s="7" t="s">
        <v>35</v>
      </c>
      <c r="F8324" s="0" t="n">
        <v>8.74</v>
      </c>
      <c r="G8324" s="0" t="n">
        <v>2.2724</v>
      </c>
      <c r="H8324" s="0" t="n">
        <v>0</v>
      </c>
      <c r="I8324" s="7" t="n">
        <f aca="false">YEAR(B8324)</f>
        <v>2016</v>
      </c>
      <c r="J8324" s="0" t="str">
        <f aca="false">I8324&amp;"-Q"&amp;ROUNDUP(MONTH(B8324)/3,0)</f>
        <v>2016-Q4</v>
      </c>
    </row>
    <row r="8325" customFormat="false" ht="15" hidden="false" customHeight="false" outlineLevel="0" collapsed="false">
      <c r="A8325" s="0" t="s">
        <v>4206</v>
      </c>
      <c r="B8325" s="6" t="n">
        <v>42693</v>
      </c>
      <c r="C8325" s="7" t="s">
        <v>55</v>
      </c>
      <c r="D8325" s="7" t="s">
        <v>76</v>
      </c>
      <c r="E8325" s="7" t="s">
        <v>35</v>
      </c>
      <c r="F8325" s="0" t="n">
        <v>44.75</v>
      </c>
      <c r="G8325" s="0" t="n">
        <v>20.585</v>
      </c>
      <c r="H8325" s="0" t="n">
        <v>0</v>
      </c>
      <c r="I8325" s="7" t="n">
        <f aca="false">YEAR(B8325)</f>
        <v>2016</v>
      </c>
      <c r="J8325" s="0" t="str">
        <f aca="false">I8325&amp;"-Q"&amp;ROUNDUP(MONTH(B8325)/3,0)</f>
        <v>2016-Q4</v>
      </c>
    </row>
    <row r="8326" customFormat="false" ht="15" hidden="false" customHeight="false" outlineLevel="0" collapsed="false">
      <c r="A8326" s="0" t="s">
        <v>4207</v>
      </c>
      <c r="B8326" s="6" t="n">
        <v>42986</v>
      </c>
      <c r="C8326" s="7" t="s">
        <v>29</v>
      </c>
      <c r="D8326" s="7" t="s">
        <v>37</v>
      </c>
      <c r="E8326" s="7" t="s">
        <v>35</v>
      </c>
      <c r="F8326" s="0" t="n">
        <v>61.68</v>
      </c>
      <c r="G8326" s="0" t="n">
        <v>5.397</v>
      </c>
      <c r="H8326" s="0" t="n">
        <v>0.2</v>
      </c>
      <c r="I8326" s="7" t="n">
        <f aca="false">YEAR(B8326)</f>
        <v>2017</v>
      </c>
      <c r="J8326" s="0" t="str">
        <f aca="false">I8326&amp;"-Q"&amp;ROUNDUP(MONTH(B8326)/3,0)</f>
        <v>2017-Q3</v>
      </c>
    </row>
    <row r="8327" customFormat="false" ht="15" hidden="false" customHeight="false" outlineLevel="0" collapsed="false">
      <c r="A8327" s="0" t="s">
        <v>4207</v>
      </c>
      <c r="B8327" s="6" t="n">
        <v>42986</v>
      </c>
      <c r="C8327" s="7" t="s">
        <v>29</v>
      </c>
      <c r="D8327" s="7" t="s">
        <v>37</v>
      </c>
      <c r="E8327" s="7" t="s">
        <v>39</v>
      </c>
      <c r="F8327" s="0" t="n">
        <v>158.376</v>
      </c>
      <c r="G8327" s="0" t="n">
        <v>13.8579</v>
      </c>
      <c r="H8327" s="0" t="n">
        <v>0.2</v>
      </c>
      <c r="I8327" s="7" t="n">
        <f aca="false">YEAR(B8327)</f>
        <v>2017</v>
      </c>
      <c r="J8327" s="0" t="str">
        <f aca="false">I8327&amp;"-Q"&amp;ROUNDUP(MONTH(B8327)/3,0)</f>
        <v>2017-Q3</v>
      </c>
    </row>
    <row r="8328" customFormat="false" ht="15" hidden="false" customHeight="false" outlineLevel="0" collapsed="false">
      <c r="A8328" s="0" t="s">
        <v>4208</v>
      </c>
      <c r="B8328" s="6" t="n">
        <v>42937</v>
      </c>
      <c r="C8328" s="7" t="s">
        <v>45</v>
      </c>
      <c r="D8328" s="7" t="s">
        <v>64</v>
      </c>
      <c r="E8328" s="7" t="s">
        <v>35</v>
      </c>
      <c r="F8328" s="0" t="n">
        <v>2.864</v>
      </c>
      <c r="G8328" s="0" t="n">
        <v>-4.5824</v>
      </c>
      <c r="H8328" s="0" t="n">
        <v>0.8</v>
      </c>
      <c r="I8328" s="7" t="n">
        <f aca="false">YEAR(B8328)</f>
        <v>2017</v>
      </c>
      <c r="J8328" s="0" t="str">
        <f aca="false">I8328&amp;"-Q"&amp;ROUNDUP(MONTH(B8328)/3,0)</f>
        <v>2017-Q3</v>
      </c>
    </row>
    <row r="8329" customFormat="false" ht="15" hidden="false" customHeight="false" outlineLevel="0" collapsed="false">
      <c r="A8329" s="0" t="s">
        <v>4208</v>
      </c>
      <c r="B8329" s="6" t="n">
        <v>42937</v>
      </c>
      <c r="C8329" s="7" t="s">
        <v>45</v>
      </c>
      <c r="D8329" s="7" t="s">
        <v>64</v>
      </c>
      <c r="E8329" s="7" t="s">
        <v>35</v>
      </c>
      <c r="F8329" s="0" t="n">
        <v>94.192</v>
      </c>
      <c r="G8329" s="0" t="n">
        <v>-164.836</v>
      </c>
      <c r="H8329" s="0" t="n">
        <v>0.8</v>
      </c>
      <c r="I8329" s="7" t="n">
        <f aca="false">YEAR(B8329)</f>
        <v>2017</v>
      </c>
      <c r="J8329" s="0" t="str">
        <f aca="false">I8329&amp;"-Q"&amp;ROUNDUP(MONTH(B8329)/3,0)</f>
        <v>2017-Q3</v>
      </c>
    </row>
    <row r="8330" customFormat="false" ht="15" hidden="false" customHeight="false" outlineLevel="0" collapsed="false">
      <c r="A8330" s="0" t="s">
        <v>4209</v>
      </c>
      <c r="B8330" s="6" t="n">
        <v>43014</v>
      </c>
      <c r="C8330" s="7" t="s">
        <v>55</v>
      </c>
      <c r="D8330" s="7" t="s">
        <v>161</v>
      </c>
      <c r="E8330" s="7" t="s">
        <v>35</v>
      </c>
      <c r="F8330" s="0" t="n">
        <v>143.7</v>
      </c>
      <c r="G8330" s="0" t="n">
        <v>68.976</v>
      </c>
      <c r="H8330" s="0" t="n">
        <v>0</v>
      </c>
      <c r="I8330" s="7" t="n">
        <f aca="false">YEAR(B8330)</f>
        <v>2017</v>
      </c>
      <c r="J8330" s="0" t="str">
        <f aca="false">I8330&amp;"-Q"&amp;ROUNDUP(MONTH(B8330)/3,0)</f>
        <v>2017-Q4</v>
      </c>
    </row>
    <row r="8331" customFormat="false" ht="15" hidden="false" customHeight="false" outlineLevel="0" collapsed="false">
      <c r="A8331" s="0" t="s">
        <v>4209</v>
      </c>
      <c r="B8331" s="6" t="n">
        <v>43014</v>
      </c>
      <c r="C8331" s="7" t="s">
        <v>55</v>
      </c>
      <c r="D8331" s="7" t="s">
        <v>161</v>
      </c>
      <c r="E8331" s="7" t="s">
        <v>35</v>
      </c>
      <c r="F8331" s="0" t="n">
        <v>6.48</v>
      </c>
      <c r="G8331" s="0" t="n">
        <v>3.1104</v>
      </c>
      <c r="H8331" s="0" t="n">
        <v>0</v>
      </c>
      <c r="I8331" s="7" t="n">
        <f aca="false">YEAR(B8331)</f>
        <v>2017</v>
      </c>
      <c r="J8331" s="0" t="str">
        <f aca="false">I8331&amp;"-Q"&amp;ROUNDUP(MONTH(B8331)/3,0)</f>
        <v>2017-Q4</v>
      </c>
    </row>
    <row r="8332" customFormat="false" ht="15" hidden="false" customHeight="false" outlineLevel="0" collapsed="false">
      <c r="A8332" s="0" t="s">
        <v>4210</v>
      </c>
      <c r="B8332" s="6" t="n">
        <v>43046</v>
      </c>
      <c r="C8332" s="7" t="s">
        <v>55</v>
      </c>
      <c r="D8332" s="7" t="s">
        <v>76</v>
      </c>
      <c r="E8332" s="7" t="s">
        <v>39</v>
      </c>
      <c r="F8332" s="0" t="n">
        <v>7.88</v>
      </c>
      <c r="G8332" s="0" t="n">
        <v>2.5216</v>
      </c>
      <c r="H8332" s="0" t="n">
        <v>0</v>
      </c>
      <c r="I8332" s="7" t="n">
        <f aca="false">YEAR(B8332)</f>
        <v>2017</v>
      </c>
      <c r="J8332" s="0" t="str">
        <f aca="false">I8332&amp;"-Q"&amp;ROUNDUP(MONTH(B8332)/3,0)</f>
        <v>2017-Q4</v>
      </c>
    </row>
    <row r="8333" customFormat="false" ht="15" hidden="false" customHeight="false" outlineLevel="0" collapsed="false">
      <c r="A8333" s="0" t="s">
        <v>4211</v>
      </c>
      <c r="B8333" s="6" t="n">
        <v>42438</v>
      </c>
      <c r="C8333" s="7" t="s">
        <v>55</v>
      </c>
      <c r="D8333" s="7" t="s">
        <v>225</v>
      </c>
      <c r="E8333" s="7" t="s">
        <v>35</v>
      </c>
      <c r="F8333" s="0" t="n">
        <v>11.21</v>
      </c>
      <c r="G8333" s="0" t="n">
        <v>3.363</v>
      </c>
      <c r="H8333" s="0" t="n">
        <v>0</v>
      </c>
      <c r="I8333" s="7" t="n">
        <f aca="false">YEAR(B8333)</f>
        <v>2016</v>
      </c>
      <c r="J8333" s="0" t="str">
        <f aca="false">I8333&amp;"-Q"&amp;ROUNDUP(MONTH(B8333)/3,0)</f>
        <v>2016-Q1</v>
      </c>
    </row>
    <row r="8334" customFormat="false" ht="15" hidden="false" customHeight="false" outlineLevel="0" collapsed="false">
      <c r="A8334" s="0" t="s">
        <v>4211</v>
      </c>
      <c r="B8334" s="6" t="n">
        <v>42438</v>
      </c>
      <c r="C8334" s="7" t="s">
        <v>55</v>
      </c>
      <c r="D8334" s="7" t="s">
        <v>225</v>
      </c>
      <c r="E8334" s="7" t="s">
        <v>31</v>
      </c>
      <c r="F8334" s="0" t="n">
        <v>354.9</v>
      </c>
      <c r="G8334" s="0" t="n">
        <v>88.725</v>
      </c>
      <c r="H8334" s="0" t="n">
        <v>0</v>
      </c>
      <c r="I8334" s="7" t="n">
        <f aca="false">YEAR(B8334)</f>
        <v>2016</v>
      </c>
      <c r="J8334" s="0" t="str">
        <f aca="false">I8334&amp;"-Q"&amp;ROUNDUP(MONTH(B8334)/3,0)</f>
        <v>2016-Q1</v>
      </c>
    </row>
    <row r="8335" customFormat="false" ht="15" hidden="false" customHeight="false" outlineLevel="0" collapsed="false">
      <c r="A8335" s="0" t="s">
        <v>4211</v>
      </c>
      <c r="B8335" s="6" t="n">
        <v>42438</v>
      </c>
      <c r="C8335" s="7" t="s">
        <v>55</v>
      </c>
      <c r="D8335" s="7" t="s">
        <v>225</v>
      </c>
      <c r="E8335" s="7" t="s">
        <v>35</v>
      </c>
      <c r="F8335" s="0" t="n">
        <v>17.94</v>
      </c>
      <c r="G8335" s="0" t="n">
        <v>8.7906</v>
      </c>
      <c r="H8335" s="0" t="n">
        <v>0</v>
      </c>
      <c r="I8335" s="7" t="n">
        <f aca="false">YEAR(B8335)</f>
        <v>2016</v>
      </c>
      <c r="J8335" s="0" t="str">
        <f aca="false">I8335&amp;"-Q"&amp;ROUNDUP(MONTH(B8335)/3,0)</f>
        <v>2016-Q1</v>
      </c>
    </row>
    <row r="8336" customFormat="false" ht="15" hidden="false" customHeight="false" outlineLevel="0" collapsed="false">
      <c r="A8336" s="0" t="s">
        <v>4211</v>
      </c>
      <c r="B8336" s="6" t="n">
        <v>42438</v>
      </c>
      <c r="C8336" s="7" t="s">
        <v>55</v>
      </c>
      <c r="D8336" s="7" t="s">
        <v>225</v>
      </c>
      <c r="E8336" s="7" t="s">
        <v>35</v>
      </c>
      <c r="F8336" s="0" t="n">
        <v>51.8</v>
      </c>
      <c r="G8336" s="0" t="n">
        <v>23.31</v>
      </c>
      <c r="H8336" s="0" t="n">
        <v>0</v>
      </c>
      <c r="I8336" s="7" t="n">
        <f aca="false">YEAR(B8336)</f>
        <v>2016</v>
      </c>
      <c r="J8336" s="0" t="str">
        <f aca="false">I8336&amp;"-Q"&amp;ROUNDUP(MONTH(B8336)/3,0)</f>
        <v>2016-Q1</v>
      </c>
    </row>
    <row r="8337" customFormat="false" ht="15" hidden="false" customHeight="false" outlineLevel="0" collapsed="false">
      <c r="A8337" s="0" t="s">
        <v>4212</v>
      </c>
      <c r="B8337" s="6" t="n">
        <v>42868</v>
      </c>
      <c r="C8337" s="7" t="s">
        <v>55</v>
      </c>
      <c r="D8337" s="7" t="s">
        <v>72</v>
      </c>
      <c r="E8337" s="7" t="s">
        <v>35</v>
      </c>
      <c r="F8337" s="0" t="n">
        <v>299.52</v>
      </c>
      <c r="G8337" s="0" t="n">
        <v>149.76</v>
      </c>
      <c r="H8337" s="0" t="n">
        <v>0</v>
      </c>
      <c r="I8337" s="7" t="n">
        <f aca="false">YEAR(B8337)</f>
        <v>2017</v>
      </c>
      <c r="J8337" s="0" t="str">
        <f aca="false">I8337&amp;"-Q"&amp;ROUNDUP(MONTH(B8337)/3,0)</f>
        <v>2017-Q2</v>
      </c>
    </row>
    <row r="8338" customFormat="false" ht="15" hidden="false" customHeight="false" outlineLevel="0" collapsed="false">
      <c r="A8338" s="0" t="s">
        <v>4213</v>
      </c>
      <c r="B8338" s="6" t="n">
        <v>42553</v>
      </c>
      <c r="C8338" s="7" t="s">
        <v>29</v>
      </c>
      <c r="D8338" s="7" t="s">
        <v>83</v>
      </c>
      <c r="E8338" s="7" t="s">
        <v>35</v>
      </c>
      <c r="F8338" s="0" t="n">
        <v>7.7</v>
      </c>
      <c r="G8338" s="0" t="n">
        <v>3.157</v>
      </c>
      <c r="H8338" s="0" t="n">
        <v>0</v>
      </c>
      <c r="I8338" s="7" t="n">
        <f aca="false">YEAR(B8338)</f>
        <v>2016</v>
      </c>
      <c r="J8338" s="0" t="str">
        <f aca="false">I8338&amp;"-Q"&amp;ROUNDUP(MONTH(B8338)/3,0)</f>
        <v>2016-Q3</v>
      </c>
    </row>
    <row r="8339" customFormat="false" ht="15" hidden="false" customHeight="false" outlineLevel="0" collapsed="false">
      <c r="A8339" s="0" t="s">
        <v>4214</v>
      </c>
      <c r="B8339" s="6" t="n">
        <v>42000</v>
      </c>
      <c r="C8339" s="7" t="s">
        <v>29</v>
      </c>
      <c r="D8339" s="7" t="s">
        <v>91</v>
      </c>
      <c r="E8339" s="7" t="s">
        <v>35</v>
      </c>
      <c r="F8339" s="0" t="n">
        <v>23.92</v>
      </c>
      <c r="G8339" s="0" t="n">
        <v>11.7208</v>
      </c>
      <c r="H8339" s="0" t="n">
        <v>0</v>
      </c>
      <c r="I8339" s="7" t="n">
        <f aca="false">YEAR(B8339)</f>
        <v>2014</v>
      </c>
      <c r="J8339" s="0" t="str">
        <f aca="false">I8339&amp;"-Q"&amp;ROUNDUP(MONTH(B8339)/3,0)</f>
        <v>2014-Q4</v>
      </c>
    </row>
    <row r="8340" customFormat="false" ht="15" hidden="false" customHeight="false" outlineLevel="0" collapsed="false">
      <c r="A8340" s="0" t="s">
        <v>4214</v>
      </c>
      <c r="B8340" s="6" t="n">
        <v>42000</v>
      </c>
      <c r="C8340" s="7" t="s">
        <v>29</v>
      </c>
      <c r="D8340" s="7" t="s">
        <v>91</v>
      </c>
      <c r="E8340" s="7" t="s">
        <v>39</v>
      </c>
      <c r="F8340" s="0" t="n">
        <v>498</v>
      </c>
      <c r="G8340" s="0" t="n">
        <v>184.26</v>
      </c>
      <c r="H8340" s="0" t="n">
        <v>0</v>
      </c>
      <c r="I8340" s="7" t="n">
        <f aca="false">YEAR(B8340)</f>
        <v>2014</v>
      </c>
      <c r="J8340" s="0" t="str">
        <f aca="false">I8340&amp;"-Q"&amp;ROUNDUP(MONTH(B8340)/3,0)</f>
        <v>2014-Q4</v>
      </c>
    </row>
    <row r="8341" customFormat="false" ht="15" hidden="false" customHeight="false" outlineLevel="0" collapsed="false">
      <c r="A8341" s="0" t="s">
        <v>4215</v>
      </c>
      <c r="B8341" s="6" t="n">
        <v>42838</v>
      </c>
      <c r="C8341" s="7" t="s">
        <v>33</v>
      </c>
      <c r="D8341" s="7" t="s">
        <v>34</v>
      </c>
      <c r="E8341" s="7" t="s">
        <v>31</v>
      </c>
      <c r="F8341" s="0" t="n">
        <v>436.704</v>
      </c>
      <c r="G8341" s="0" t="n">
        <v>-38.2116</v>
      </c>
      <c r="H8341" s="0" t="n">
        <v>0.2</v>
      </c>
      <c r="I8341" s="7" t="n">
        <f aca="false">YEAR(B8341)</f>
        <v>2017</v>
      </c>
      <c r="J8341" s="0" t="str">
        <f aca="false">I8341&amp;"-Q"&amp;ROUNDUP(MONTH(B8341)/3,0)</f>
        <v>2017-Q2</v>
      </c>
    </row>
    <row r="8342" customFormat="false" ht="15" hidden="false" customHeight="false" outlineLevel="0" collapsed="false">
      <c r="A8342" s="0" t="s">
        <v>4216</v>
      </c>
      <c r="B8342" s="6" t="n">
        <v>41957</v>
      </c>
      <c r="C8342" s="7" t="s">
        <v>29</v>
      </c>
      <c r="D8342" s="7" t="s">
        <v>83</v>
      </c>
      <c r="E8342" s="7" t="s">
        <v>35</v>
      </c>
      <c r="F8342" s="0" t="n">
        <v>32.4</v>
      </c>
      <c r="G8342" s="0" t="n">
        <v>15.552</v>
      </c>
      <c r="H8342" s="0" t="n">
        <v>0</v>
      </c>
      <c r="I8342" s="7" t="n">
        <f aca="false">YEAR(B8342)</f>
        <v>2014</v>
      </c>
      <c r="J8342" s="0" t="str">
        <f aca="false">I8342&amp;"-Q"&amp;ROUNDUP(MONTH(B8342)/3,0)</f>
        <v>2014-Q4</v>
      </c>
    </row>
    <row r="8343" customFormat="false" ht="15" hidden="false" customHeight="false" outlineLevel="0" collapsed="false">
      <c r="A8343" s="0" t="s">
        <v>4217</v>
      </c>
      <c r="B8343" s="6" t="n">
        <v>42897</v>
      </c>
      <c r="C8343" s="7" t="s">
        <v>33</v>
      </c>
      <c r="D8343" s="7" t="s">
        <v>34</v>
      </c>
      <c r="E8343" s="7" t="s">
        <v>35</v>
      </c>
      <c r="F8343" s="0" t="n">
        <v>61.44</v>
      </c>
      <c r="G8343" s="0" t="n">
        <v>16.5888</v>
      </c>
      <c r="H8343" s="0" t="n">
        <v>0</v>
      </c>
      <c r="I8343" s="7" t="n">
        <f aca="false">YEAR(B8343)</f>
        <v>2017</v>
      </c>
      <c r="J8343" s="0" t="str">
        <f aca="false">I8343&amp;"-Q"&amp;ROUNDUP(MONTH(B8343)/3,0)</f>
        <v>2017-Q2</v>
      </c>
    </row>
    <row r="8344" customFormat="false" ht="15" hidden="false" customHeight="false" outlineLevel="0" collapsed="false">
      <c r="A8344" s="0" t="s">
        <v>4218</v>
      </c>
      <c r="B8344" s="6" t="n">
        <v>42699</v>
      </c>
      <c r="C8344" s="7" t="s">
        <v>29</v>
      </c>
      <c r="D8344" s="7" t="s">
        <v>91</v>
      </c>
      <c r="E8344" s="7" t="s">
        <v>35</v>
      </c>
      <c r="F8344" s="0" t="n">
        <v>73.36</v>
      </c>
      <c r="G8344" s="0" t="n">
        <v>19.8072</v>
      </c>
      <c r="H8344" s="0" t="n">
        <v>0</v>
      </c>
      <c r="I8344" s="7" t="n">
        <f aca="false">YEAR(B8344)</f>
        <v>2016</v>
      </c>
      <c r="J8344" s="0" t="str">
        <f aca="false">I8344&amp;"-Q"&amp;ROUNDUP(MONTH(B8344)/3,0)</f>
        <v>2016-Q4</v>
      </c>
    </row>
    <row r="8345" customFormat="false" ht="15" hidden="false" customHeight="false" outlineLevel="0" collapsed="false">
      <c r="A8345" s="0" t="s">
        <v>4219</v>
      </c>
      <c r="B8345" s="6" t="n">
        <v>41719</v>
      </c>
      <c r="C8345" s="7" t="s">
        <v>29</v>
      </c>
      <c r="D8345" s="7" t="s">
        <v>87</v>
      </c>
      <c r="E8345" s="7" t="s">
        <v>35</v>
      </c>
      <c r="F8345" s="0" t="n">
        <v>59.2</v>
      </c>
      <c r="G8345" s="0" t="n">
        <v>22.2</v>
      </c>
      <c r="H8345" s="0" t="n">
        <v>0.2</v>
      </c>
      <c r="I8345" s="7" t="n">
        <f aca="false">YEAR(B8345)</f>
        <v>2014</v>
      </c>
      <c r="J8345" s="0" t="str">
        <f aca="false">I8345&amp;"-Q"&amp;ROUNDUP(MONTH(B8345)/3,0)</f>
        <v>2014-Q1</v>
      </c>
    </row>
    <row r="8346" customFormat="false" ht="15" hidden="false" customHeight="false" outlineLevel="0" collapsed="false">
      <c r="A8346" s="0" t="s">
        <v>4219</v>
      </c>
      <c r="B8346" s="6" t="n">
        <v>41719</v>
      </c>
      <c r="C8346" s="7" t="s">
        <v>29</v>
      </c>
      <c r="D8346" s="7" t="s">
        <v>87</v>
      </c>
      <c r="E8346" s="7" t="s">
        <v>31</v>
      </c>
      <c r="F8346" s="0" t="n">
        <v>32.952</v>
      </c>
      <c r="G8346" s="0" t="n">
        <v>6.5904</v>
      </c>
      <c r="H8346" s="0" t="n">
        <v>0.2</v>
      </c>
      <c r="I8346" s="7" t="n">
        <f aca="false">YEAR(B8346)</f>
        <v>2014</v>
      </c>
      <c r="J8346" s="0" t="str">
        <f aca="false">I8346&amp;"-Q"&amp;ROUNDUP(MONTH(B8346)/3,0)</f>
        <v>2014-Q1</v>
      </c>
    </row>
    <row r="8347" customFormat="false" ht="15" hidden="false" customHeight="false" outlineLevel="0" collapsed="false">
      <c r="A8347" s="0" t="s">
        <v>4219</v>
      </c>
      <c r="B8347" s="6" t="n">
        <v>41719</v>
      </c>
      <c r="C8347" s="7" t="s">
        <v>29</v>
      </c>
      <c r="D8347" s="7" t="s">
        <v>87</v>
      </c>
      <c r="E8347" s="7" t="s">
        <v>31</v>
      </c>
      <c r="F8347" s="0" t="n">
        <v>218.376</v>
      </c>
      <c r="G8347" s="0" t="n">
        <v>-10.9188</v>
      </c>
      <c r="H8347" s="0" t="n">
        <v>0.2</v>
      </c>
      <c r="I8347" s="7" t="n">
        <f aca="false">YEAR(B8347)</f>
        <v>2014</v>
      </c>
      <c r="J8347" s="0" t="str">
        <f aca="false">I8347&amp;"-Q"&amp;ROUNDUP(MONTH(B8347)/3,0)</f>
        <v>2014-Q1</v>
      </c>
    </row>
    <row r="8348" customFormat="false" ht="15" hidden="false" customHeight="false" outlineLevel="0" collapsed="false">
      <c r="A8348" s="0" t="s">
        <v>4220</v>
      </c>
      <c r="B8348" s="6" t="n">
        <v>42124</v>
      </c>
      <c r="C8348" s="7" t="s">
        <v>55</v>
      </c>
      <c r="D8348" s="7" t="s">
        <v>225</v>
      </c>
      <c r="E8348" s="7" t="s">
        <v>31</v>
      </c>
      <c r="F8348" s="0" t="n">
        <v>31.4</v>
      </c>
      <c r="G8348" s="0" t="n">
        <v>13.188</v>
      </c>
      <c r="H8348" s="0" t="n">
        <v>0</v>
      </c>
      <c r="I8348" s="7" t="n">
        <f aca="false">YEAR(B8348)</f>
        <v>2015</v>
      </c>
      <c r="J8348" s="0" t="str">
        <f aca="false">I8348&amp;"-Q"&amp;ROUNDUP(MONTH(B8348)/3,0)</f>
        <v>2015-Q2</v>
      </c>
    </row>
    <row r="8349" customFormat="false" ht="15" hidden="false" customHeight="false" outlineLevel="0" collapsed="false">
      <c r="A8349" s="0" t="s">
        <v>4220</v>
      </c>
      <c r="B8349" s="6" t="n">
        <v>42124</v>
      </c>
      <c r="C8349" s="7" t="s">
        <v>55</v>
      </c>
      <c r="D8349" s="7" t="s">
        <v>225</v>
      </c>
      <c r="E8349" s="7" t="s">
        <v>31</v>
      </c>
      <c r="F8349" s="0" t="n">
        <v>9.48</v>
      </c>
      <c r="G8349" s="0" t="n">
        <v>3.792</v>
      </c>
      <c r="H8349" s="0" t="n">
        <v>0</v>
      </c>
      <c r="I8349" s="7" t="n">
        <f aca="false">YEAR(B8349)</f>
        <v>2015</v>
      </c>
      <c r="J8349" s="0" t="str">
        <f aca="false">I8349&amp;"-Q"&amp;ROUNDUP(MONTH(B8349)/3,0)</f>
        <v>2015-Q2</v>
      </c>
    </row>
    <row r="8350" customFormat="false" ht="15" hidden="false" customHeight="false" outlineLevel="0" collapsed="false">
      <c r="A8350" s="0" t="s">
        <v>4220</v>
      </c>
      <c r="B8350" s="6" t="n">
        <v>42124</v>
      </c>
      <c r="C8350" s="7" t="s">
        <v>55</v>
      </c>
      <c r="D8350" s="7" t="s">
        <v>225</v>
      </c>
      <c r="E8350" s="7" t="s">
        <v>39</v>
      </c>
      <c r="F8350" s="0" t="n">
        <v>209.5</v>
      </c>
      <c r="G8350" s="0" t="n">
        <v>58.66</v>
      </c>
      <c r="H8350" s="0" t="n">
        <v>0</v>
      </c>
      <c r="I8350" s="7" t="n">
        <f aca="false">YEAR(B8350)</f>
        <v>2015</v>
      </c>
      <c r="J8350" s="0" t="str">
        <f aca="false">I8350&amp;"-Q"&amp;ROUNDUP(MONTH(B8350)/3,0)</f>
        <v>2015-Q2</v>
      </c>
    </row>
    <row r="8351" customFormat="false" ht="15" hidden="false" customHeight="false" outlineLevel="0" collapsed="false">
      <c r="A8351" s="0" t="s">
        <v>4220</v>
      </c>
      <c r="B8351" s="6" t="n">
        <v>42124</v>
      </c>
      <c r="C8351" s="7" t="s">
        <v>55</v>
      </c>
      <c r="D8351" s="7" t="s">
        <v>225</v>
      </c>
      <c r="E8351" s="7" t="s">
        <v>31</v>
      </c>
      <c r="F8351" s="0" t="n">
        <v>24.3</v>
      </c>
      <c r="G8351" s="0" t="n">
        <v>10.449</v>
      </c>
      <c r="H8351" s="0" t="n">
        <v>0</v>
      </c>
      <c r="I8351" s="7" t="n">
        <f aca="false">YEAR(B8351)</f>
        <v>2015</v>
      </c>
      <c r="J8351" s="0" t="str">
        <f aca="false">I8351&amp;"-Q"&amp;ROUNDUP(MONTH(B8351)/3,0)</f>
        <v>2015-Q2</v>
      </c>
    </row>
    <row r="8352" customFormat="false" ht="15" hidden="false" customHeight="false" outlineLevel="0" collapsed="false">
      <c r="A8352" s="0" t="s">
        <v>4220</v>
      </c>
      <c r="B8352" s="6" t="n">
        <v>42124</v>
      </c>
      <c r="C8352" s="7" t="s">
        <v>55</v>
      </c>
      <c r="D8352" s="7" t="s">
        <v>225</v>
      </c>
      <c r="E8352" s="7" t="s">
        <v>35</v>
      </c>
      <c r="F8352" s="0" t="n">
        <v>6.48</v>
      </c>
      <c r="G8352" s="0" t="n">
        <v>3.1104</v>
      </c>
      <c r="H8352" s="0" t="n">
        <v>0</v>
      </c>
      <c r="I8352" s="7" t="n">
        <f aca="false">YEAR(B8352)</f>
        <v>2015</v>
      </c>
      <c r="J8352" s="0" t="str">
        <f aca="false">I8352&amp;"-Q"&amp;ROUNDUP(MONTH(B8352)/3,0)</f>
        <v>2015-Q2</v>
      </c>
    </row>
    <row r="8353" customFormat="false" ht="15" hidden="false" customHeight="false" outlineLevel="0" collapsed="false">
      <c r="A8353" s="0" t="s">
        <v>4221</v>
      </c>
      <c r="B8353" s="6" t="n">
        <v>42858</v>
      </c>
      <c r="C8353" s="7" t="s">
        <v>55</v>
      </c>
      <c r="D8353" s="7" t="s">
        <v>56</v>
      </c>
      <c r="E8353" s="7" t="s">
        <v>31</v>
      </c>
      <c r="F8353" s="0" t="n">
        <v>32.448</v>
      </c>
      <c r="G8353" s="0" t="n">
        <v>7.3008</v>
      </c>
      <c r="H8353" s="0" t="n">
        <v>0.2</v>
      </c>
      <c r="I8353" s="7" t="n">
        <f aca="false">YEAR(B8353)</f>
        <v>2017</v>
      </c>
      <c r="J8353" s="0" t="str">
        <f aca="false">I8353&amp;"-Q"&amp;ROUNDUP(MONTH(B8353)/3,0)</f>
        <v>2017-Q2</v>
      </c>
    </row>
    <row r="8354" customFormat="false" ht="15" hidden="false" customHeight="false" outlineLevel="0" collapsed="false">
      <c r="A8354" s="0" t="s">
        <v>4221</v>
      </c>
      <c r="B8354" s="6" t="n">
        <v>42858</v>
      </c>
      <c r="C8354" s="7" t="s">
        <v>55</v>
      </c>
      <c r="D8354" s="7" t="s">
        <v>56</v>
      </c>
      <c r="E8354" s="7" t="s">
        <v>35</v>
      </c>
      <c r="F8354" s="0" t="n">
        <v>26.388</v>
      </c>
      <c r="G8354" s="0" t="n">
        <v>-17.592</v>
      </c>
      <c r="H8354" s="0" t="n">
        <v>0.7</v>
      </c>
      <c r="I8354" s="7" t="n">
        <f aca="false">YEAR(B8354)</f>
        <v>2017</v>
      </c>
      <c r="J8354" s="0" t="str">
        <f aca="false">I8354&amp;"-Q"&amp;ROUNDUP(MONTH(B8354)/3,0)</f>
        <v>2017-Q2</v>
      </c>
    </row>
    <row r="8355" customFormat="false" ht="15" hidden="false" customHeight="false" outlineLevel="0" collapsed="false">
      <c r="A8355" s="0" t="s">
        <v>4221</v>
      </c>
      <c r="B8355" s="6" t="n">
        <v>42858</v>
      </c>
      <c r="C8355" s="7" t="s">
        <v>55</v>
      </c>
      <c r="D8355" s="7" t="s">
        <v>56</v>
      </c>
      <c r="E8355" s="7" t="s">
        <v>31</v>
      </c>
      <c r="F8355" s="0" t="n">
        <v>373.47</v>
      </c>
      <c r="G8355" s="0" t="n">
        <v>-112.041</v>
      </c>
      <c r="H8355" s="0" t="n">
        <v>0.4</v>
      </c>
      <c r="I8355" s="7" t="n">
        <f aca="false">YEAR(B8355)</f>
        <v>2017</v>
      </c>
      <c r="J8355" s="0" t="str">
        <f aca="false">I8355&amp;"-Q"&amp;ROUNDUP(MONTH(B8355)/3,0)</f>
        <v>2017-Q2</v>
      </c>
    </row>
    <row r="8356" customFormat="false" ht="15" hidden="false" customHeight="false" outlineLevel="0" collapsed="false">
      <c r="A8356" s="0" t="s">
        <v>4221</v>
      </c>
      <c r="B8356" s="6" t="n">
        <v>42858</v>
      </c>
      <c r="C8356" s="7" t="s">
        <v>55</v>
      </c>
      <c r="D8356" s="7" t="s">
        <v>56</v>
      </c>
      <c r="E8356" s="7" t="s">
        <v>35</v>
      </c>
      <c r="F8356" s="0" t="n">
        <v>64.2</v>
      </c>
      <c r="G8356" s="0" t="n">
        <v>-44.94</v>
      </c>
      <c r="H8356" s="0" t="n">
        <v>0.7</v>
      </c>
      <c r="I8356" s="7" t="n">
        <f aca="false">YEAR(B8356)</f>
        <v>2017</v>
      </c>
      <c r="J8356" s="0" t="str">
        <f aca="false">I8356&amp;"-Q"&amp;ROUNDUP(MONTH(B8356)/3,0)</f>
        <v>2017-Q2</v>
      </c>
    </row>
    <row r="8357" customFormat="false" ht="15" hidden="false" customHeight="false" outlineLevel="0" collapsed="false">
      <c r="A8357" s="0" t="s">
        <v>4221</v>
      </c>
      <c r="B8357" s="6" t="n">
        <v>42858</v>
      </c>
      <c r="C8357" s="7" t="s">
        <v>55</v>
      </c>
      <c r="D8357" s="7" t="s">
        <v>56</v>
      </c>
      <c r="E8357" s="7" t="s">
        <v>35</v>
      </c>
      <c r="F8357" s="0" t="n">
        <v>8</v>
      </c>
      <c r="G8357" s="0" t="n">
        <v>2.8</v>
      </c>
      <c r="H8357" s="0" t="n">
        <v>0.2</v>
      </c>
      <c r="I8357" s="7" t="n">
        <f aca="false">YEAR(B8357)</f>
        <v>2017</v>
      </c>
      <c r="J8357" s="0" t="str">
        <f aca="false">I8357&amp;"-Q"&amp;ROUNDUP(MONTH(B8357)/3,0)</f>
        <v>2017-Q2</v>
      </c>
    </row>
    <row r="8358" customFormat="false" ht="15" hidden="false" customHeight="false" outlineLevel="0" collapsed="false">
      <c r="A8358" s="0" t="s">
        <v>4222</v>
      </c>
      <c r="B8358" s="6" t="n">
        <v>42608</v>
      </c>
      <c r="C8358" s="7" t="s">
        <v>29</v>
      </c>
      <c r="D8358" s="7" t="s">
        <v>230</v>
      </c>
      <c r="E8358" s="7" t="s">
        <v>31</v>
      </c>
      <c r="F8358" s="0" t="n">
        <v>186.54</v>
      </c>
      <c r="G8358" s="0" t="n">
        <v>41.0388</v>
      </c>
      <c r="H8358" s="0" t="n">
        <v>0</v>
      </c>
      <c r="I8358" s="7" t="n">
        <f aca="false">YEAR(B8358)</f>
        <v>2016</v>
      </c>
      <c r="J8358" s="0" t="str">
        <f aca="false">I8358&amp;"-Q"&amp;ROUNDUP(MONTH(B8358)/3,0)</f>
        <v>2016-Q3</v>
      </c>
    </row>
    <row r="8359" customFormat="false" ht="15" hidden="false" customHeight="false" outlineLevel="0" collapsed="false">
      <c r="A8359" s="0" t="s">
        <v>4223</v>
      </c>
      <c r="B8359" s="6" t="n">
        <v>41740</v>
      </c>
      <c r="C8359" s="7" t="s">
        <v>33</v>
      </c>
      <c r="D8359" s="7" t="s">
        <v>310</v>
      </c>
      <c r="E8359" s="7" t="s">
        <v>35</v>
      </c>
      <c r="F8359" s="0" t="n">
        <v>87.08</v>
      </c>
      <c r="G8359" s="0" t="n">
        <v>24.3824</v>
      </c>
      <c r="H8359" s="0" t="n">
        <v>0</v>
      </c>
      <c r="I8359" s="7" t="n">
        <f aca="false">YEAR(B8359)</f>
        <v>2014</v>
      </c>
      <c r="J8359" s="0" t="str">
        <f aca="false">I8359&amp;"-Q"&amp;ROUNDUP(MONTH(B8359)/3,0)</f>
        <v>2014-Q2</v>
      </c>
    </row>
    <row r="8360" customFormat="false" ht="15" hidden="false" customHeight="false" outlineLevel="0" collapsed="false">
      <c r="A8360" s="0" t="s">
        <v>4223</v>
      </c>
      <c r="B8360" s="6" t="n">
        <v>41740</v>
      </c>
      <c r="C8360" s="7" t="s">
        <v>33</v>
      </c>
      <c r="D8360" s="7" t="s">
        <v>310</v>
      </c>
      <c r="E8360" s="7" t="s">
        <v>39</v>
      </c>
      <c r="F8360" s="0" t="n">
        <v>105.584</v>
      </c>
      <c r="G8360" s="0" t="n">
        <v>9.2386</v>
      </c>
      <c r="H8360" s="0" t="n">
        <v>0.2</v>
      </c>
      <c r="I8360" s="7" t="n">
        <f aca="false">YEAR(B8360)</f>
        <v>2014</v>
      </c>
      <c r="J8360" s="0" t="str">
        <f aca="false">I8360&amp;"-Q"&amp;ROUNDUP(MONTH(B8360)/3,0)</f>
        <v>2014-Q2</v>
      </c>
    </row>
    <row r="8361" customFormat="false" ht="15" hidden="false" customHeight="false" outlineLevel="0" collapsed="false">
      <c r="A8361" s="0" t="s">
        <v>4223</v>
      </c>
      <c r="B8361" s="6" t="n">
        <v>41740</v>
      </c>
      <c r="C8361" s="7" t="s">
        <v>33</v>
      </c>
      <c r="D8361" s="7" t="s">
        <v>310</v>
      </c>
      <c r="E8361" s="7" t="s">
        <v>39</v>
      </c>
      <c r="F8361" s="0" t="n">
        <v>217.44</v>
      </c>
      <c r="G8361" s="0" t="n">
        <v>91.3248</v>
      </c>
      <c r="H8361" s="0" t="n">
        <v>0</v>
      </c>
      <c r="I8361" s="7" t="n">
        <f aca="false">YEAR(B8361)</f>
        <v>2014</v>
      </c>
      <c r="J8361" s="0" t="str">
        <f aca="false">I8361&amp;"-Q"&amp;ROUNDUP(MONTH(B8361)/3,0)</f>
        <v>2014-Q2</v>
      </c>
    </row>
    <row r="8362" customFormat="false" ht="15" hidden="false" customHeight="false" outlineLevel="0" collapsed="false">
      <c r="A8362" s="0" t="s">
        <v>4224</v>
      </c>
      <c r="B8362" s="6" t="n">
        <v>42737</v>
      </c>
      <c r="C8362" s="7" t="s">
        <v>45</v>
      </c>
      <c r="D8362" s="7" t="s">
        <v>46</v>
      </c>
      <c r="E8362" s="7" t="s">
        <v>35</v>
      </c>
      <c r="F8362" s="0" t="n">
        <v>31.744</v>
      </c>
      <c r="G8362" s="0" t="n">
        <v>3.968</v>
      </c>
      <c r="H8362" s="0" t="n">
        <v>0.2</v>
      </c>
      <c r="I8362" s="7" t="n">
        <f aca="false">YEAR(B8362)</f>
        <v>2017</v>
      </c>
      <c r="J8362" s="0" t="str">
        <f aca="false">I8362&amp;"-Q"&amp;ROUNDUP(MONTH(B8362)/3,0)</f>
        <v>2017-Q1</v>
      </c>
    </row>
    <row r="8363" customFormat="false" ht="15" hidden="false" customHeight="false" outlineLevel="0" collapsed="false">
      <c r="A8363" s="0" t="s">
        <v>4224</v>
      </c>
      <c r="B8363" s="6" t="n">
        <v>42737</v>
      </c>
      <c r="C8363" s="7" t="s">
        <v>45</v>
      </c>
      <c r="D8363" s="7" t="s">
        <v>46</v>
      </c>
      <c r="E8363" s="7" t="s">
        <v>35</v>
      </c>
      <c r="F8363" s="0" t="n">
        <v>5.432</v>
      </c>
      <c r="G8363" s="0" t="n">
        <v>-13.58</v>
      </c>
      <c r="H8363" s="0" t="n">
        <v>0.8</v>
      </c>
      <c r="I8363" s="7" t="n">
        <f aca="false">YEAR(B8363)</f>
        <v>2017</v>
      </c>
      <c r="J8363" s="0" t="str">
        <f aca="false">I8363&amp;"-Q"&amp;ROUNDUP(MONTH(B8363)/3,0)</f>
        <v>2017-Q1</v>
      </c>
    </row>
    <row r="8364" customFormat="false" ht="15" hidden="false" customHeight="false" outlineLevel="0" collapsed="false">
      <c r="A8364" s="0" t="s">
        <v>4224</v>
      </c>
      <c r="B8364" s="6" t="n">
        <v>42737</v>
      </c>
      <c r="C8364" s="7" t="s">
        <v>45</v>
      </c>
      <c r="D8364" s="7" t="s">
        <v>46</v>
      </c>
      <c r="E8364" s="7" t="s">
        <v>31</v>
      </c>
      <c r="F8364" s="0" t="n">
        <v>913.43</v>
      </c>
      <c r="G8364" s="0" t="n">
        <v>-169.637</v>
      </c>
      <c r="H8364" s="0" t="n">
        <v>0.3</v>
      </c>
      <c r="I8364" s="7" t="n">
        <f aca="false">YEAR(B8364)</f>
        <v>2017</v>
      </c>
      <c r="J8364" s="0" t="str">
        <f aca="false">I8364&amp;"-Q"&amp;ROUNDUP(MONTH(B8364)/3,0)</f>
        <v>2017-Q1</v>
      </c>
    </row>
    <row r="8365" customFormat="false" ht="15" hidden="false" customHeight="false" outlineLevel="0" collapsed="false">
      <c r="A8365" s="0" t="s">
        <v>4224</v>
      </c>
      <c r="B8365" s="6" t="n">
        <v>42737</v>
      </c>
      <c r="C8365" s="7" t="s">
        <v>45</v>
      </c>
      <c r="D8365" s="7" t="s">
        <v>46</v>
      </c>
      <c r="E8365" s="7" t="s">
        <v>35</v>
      </c>
      <c r="F8365" s="0" t="n">
        <v>372.144</v>
      </c>
      <c r="G8365" s="0" t="n">
        <v>27.9108</v>
      </c>
      <c r="H8365" s="0" t="n">
        <v>0.2</v>
      </c>
      <c r="I8365" s="7" t="n">
        <f aca="false">YEAR(B8365)</f>
        <v>2017</v>
      </c>
      <c r="J8365" s="0" t="str">
        <f aca="false">I8365&amp;"-Q"&amp;ROUNDUP(MONTH(B8365)/3,0)</f>
        <v>2017-Q1</v>
      </c>
    </row>
    <row r="8366" customFormat="false" ht="15" hidden="false" customHeight="false" outlineLevel="0" collapsed="false">
      <c r="A8366" s="0" t="s">
        <v>4225</v>
      </c>
      <c r="B8366" s="6" t="n">
        <v>42853</v>
      </c>
      <c r="C8366" s="7" t="s">
        <v>29</v>
      </c>
      <c r="D8366" s="7" t="s">
        <v>37</v>
      </c>
      <c r="E8366" s="7" t="s">
        <v>39</v>
      </c>
      <c r="F8366" s="0" t="n">
        <v>751.984</v>
      </c>
      <c r="G8366" s="0" t="n">
        <v>84.5982</v>
      </c>
      <c r="H8366" s="0" t="n">
        <v>0.2</v>
      </c>
      <c r="I8366" s="7" t="n">
        <f aca="false">YEAR(B8366)</f>
        <v>2017</v>
      </c>
      <c r="J8366" s="0" t="str">
        <f aca="false">I8366&amp;"-Q"&amp;ROUNDUP(MONTH(B8366)/3,0)</f>
        <v>2017-Q2</v>
      </c>
    </row>
    <row r="8367" customFormat="false" ht="15" hidden="false" customHeight="false" outlineLevel="0" collapsed="false">
      <c r="A8367" s="0" t="s">
        <v>4226</v>
      </c>
      <c r="B8367" s="6" t="n">
        <v>42765</v>
      </c>
      <c r="C8367" s="7" t="s">
        <v>33</v>
      </c>
      <c r="D8367" s="7" t="s">
        <v>43</v>
      </c>
      <c r="E8367" s="7" t="s">
        <v>39</v>
      </c>
      <c r="F8367" s="0" t="n">
        <v>604.768</v>
      </c>
      <c r="G8367" s="0" t="n">
        <v>60.4768</v>
      </c>
      <c r="H8367" s="0" t="n">
        <v>0.2</v>
      </c>
      <c r="I8367" s="7" t="n">
        <f aca="false">YEAR(B8367)</f>
        <v>2017</v>
      </c>
      <c r="J8367" s="0" t="str">
        <f aca="false">I8367&amp;"-Q"&amp;ROUNDUP(MONTH(B8367)/3,0)</f>
        <v>2017-Q1</v>
      </c>
    </row>
    <row r="8368" customFormat="false" ht="15" hidden="false" customHeight="false" outlineLevel="0" collapsed="false">
      <c r="A8368" s="0" t="s">
        <v>4227</v>
      </c>
      <c r="B8368" s="6" t="n">
        <v>41889</v>
      </c>
      <c r="C8368" s="7" t="s">
        <v>33</v>
      </c>
      <c r="D8368" s="7" t="s">
        <v>34</v>
      </c>
      <c r="E8368" s="7" t="s">
        <v>35</v>
      </c>
      <c r="F8368" s="0" t="n">
        <v>27.36</v>
      </c>
      <c r="G8368" s="0" t="n">
        <v>7.3872</v>
      </c>
      <c r="H8368" s="0" t="n">
        <v>0</v>
      </c>
      <c r="I8368" s="7" t="n">
        <f aca="false">YEAR(B8368)</f>
        <v>2014</v>
      </c>
      <c r="J8368" s="0" t="str">
        <f aca="false">I8368&amp;"-Q"&amp;ROUNDUP(MONTH(B8368)/3,0)</f>
        <v>2014-Q3</v>
      </c>
    </row>
    <row r="8369" customFormat="false" ht="15" hidden="false" customHeight="false" outlineLevel="0" collapsed="false">
      <c r="A8369" s="0" t="s">
        <v>4227</v>
      </c>
      <c r="B8369" s="6" t="n">
        <v>41889</v>
      </c>
      <c r="C8369" s="7" t="s">
        <v>33</v>
      </c>
      <c r="D8369" s="7" t="s">
        <v>34</v>
      </c>
      <c r="E8369" s="7" t="s">
        <v>35</v>
      </c>
      <c r="F8369" s="0" t="n">
        <v>20.56</v>
      </c>
      <c r="G8369" s="0" t="n">
        <v>9.6632</v>
      </c>
      <c r="H8369" s="0" t="n">
        <v>0</v>
      </c>
      <c r="I8369" s="7" t="n">
        <f aca="false">YEAR(B8369)</f>
        <v>2014</v>
      </c>
      <c r="J8369" s="0" t="str">
        <f aca="false">I8369&amp;"-Q"&amp;ROUNDUP(MONTH(B8369)/3,0)</f>
        <v>2014-Q3</v>
      </c>
    </row>
    <row r="8370" customFormat="false" ht="15" hidden="false" customHeight="false" outlineLevel="0" collapsed="false">
      <c r="A8370" s="0" t="s">
        <v>4227</v>
      </c>
      <c r="B8370" s="6" t="n">
        <v>41889</v>
      </c>
      <c r="C8370" s="7" t="s">
        <v>33</v>
      </c>
      <c r="D8370" s="7" t="s">
        <v>34</v>
      </c>
      <c r="E8370" s="7" t="s">
        <v>35</v>
      </c>
      <c r="F8370" s="0" t="n">
        <v>83.92</v>
      </c>
      <c r="G8370" s="0" t="n">
        <v>31.47</v>
      </c>
      <c r="H8370" s="0" t="n">
        <v>0.2</v>
      </c>
      <c r="I8370" s="7" t="n">
        <f aca="false">YEAR(B8370)</f>
        <v>2014</v>
      </c>
      <c r="J8370" s="0" t="str">
        <f aca="false">I8370&amp;"-Q"&amp;ROUNDUP(MONTH(B8370)/3,0)</f>
        <v>2014-Q3</v>
      </c>
    </row>
    <row r="8371" customFormat="false" ht="15" hidden="false" customHeight="false" outlineLevel="0" collapsed="false">
      <c r="A8371" s="0" t="s">
        <v>4228</v>
      </c>
      <c r="B8371" s="6" t="n">
        <v>42532</v>
      </c>
      <c r="C8371" s="7" t="s">
        <v>33</v>
      </c>
      <c r="D8371" s="7" t="s">
        <v>34</v>
      </c>
      <c r="E8371" s="7" t="s">
        <v>31</v>
      </c>
      <c r="F8371" s="0" t="n">
        <v>902.712</v>
      </c>
      <c r="G8371" s="0" t="n">
        <v>33.8517</v>
      </c>
      <c r="H8371" s="0" t="n">
        <v>0.2</v>
      </c>
      <c r="I8371" s="7" t="n">
        <f aca="false">YEAR(B8371)</f>
        <v>2016</v>
      </c>
      <c r="J8371" s="0" t="str">
        <f aca="false">I8371&amp;"-Q"&amp;ROUNDUP(MONTH(B8371)/3,0)</f>
        <v>2016-Q2</v>
      </c>
    </row>
    <row r="8372" customFormat="false" ht="15" hidden="false" customHeight="false" outlineLevel="0" collapsed="false">
      <c r="A8372" s="0" t="s">
        <v>4229</v>
      </c>
      <c r="B8372" s="6" t="n">
        <v>42660</v>
      </c>
      <c r="C8372" s="7" t="s">
        <v>33</v>
      </c>
      <c r="D8372" s="7" t="s">
        <v>34</v>
      </c>
      <c r="E8372" s="7" t="s">
        <v>31</v>
      </c>
      <c r="F8372" s="0" t="n">
        <v>120.666</v>
      </c>
      <c r="G8372" s="0" t="n">
        <v>21.294</v>
      </c>
      <c r="H8372" s="0" t="n">
        <v>0.15</v>
      </c>
      <c r="I8372" s="7" t="n">
        <f aca="false">YEAR(B8372)</f>
        <v>2016</v>
      </c>
      <c r="J8372" s="0" t="str">
        <f aca="false">I8372&amp;"-Q"&amp;ROUNDUP(MONTH(B8372)/3,0)</f>
        <v>2016-Q4</v>
      </c>
    </row>
    <row r="8373" customFormat="false" ht="15" hidden="false" customHeight="false" outlineLevel="0" collapsed="false">
      <c r="A8373" s="0" t="s">
        <v>4230</v>
      </c>
      <c r="B8373" s="6" t="n">
        <v>42000</v>
      </c>
      <c r="C8373" s="7" t="s">
        <v>45</v>
      </c>
      <c r="D8373" s="7" t="s">
        <v>46</v>
      </c>
      <c r="E8373" s="7" t="s">
        <v>35</v>
      </c>
      <c r="F8373" s="0" t="n">
        <v>4.984</v>
      </c>
      <c r="G8373" s="0" t="n">
        <v>-8.4728</v>
      </c>
      <c r="H8373" s="0" t="n">
        <v>0.8</v>
      </c>
      <c r="I8373" s="7" t="n">
        <f aca="false">YEAR(B8373)</f>
        <v>2014</v>
      </c>
      <c r="J8373" s="0" t="str">
        <f aca="false">I8373&amp;"-Q"&amp;ROUNDUP(MONTH(B8373)/3,0)</f>
        <v>2014-Q4</v>
      </c>
    </row>
    <row r="8374" customFormat="false" ht="15" hidden="false" customHeight="false" outlineLevel="0" collapsed="false">
      <c r="A8374" s="0" t="s">
        <v>4231</v>
      </c>
      <c r="B8374" s="6" t="n">
        <v>42698</v>
      </c>
      <c r="C8374" s="7" t="s">
        <v>33</v>
      </c>
      <c r="D8374" s="7" t="s">
        <v>43</v>
      </c>
      <c r="E8374" s="7" t="s">
        <v>31</v>
      </c>
      <c r="F8374" s="0" t="n">
        <v>82.26</v>
      </c>
      <c r="G8374" s="0" t="n">
        <v>33.7266</v>
      </c>
      <c r="H8374" s="0" t="n">
        <v>0</v>
      </c>
      <c r="I8374" s="7" t="n">
        <f aca="false">YEAR(B8374)</f>
        <v>2016</v>
      </c>
      <c r="J8374" s="0" t="str">
        <f aca="false">I8374&amp;"-Q"&amp;ROUNDUP(MONTH(B8374)/3,0)</f>
        <v>2016-Q4</v>
      </c>
    </row>
    <row r="8375" customFormat="false" ht="15" hidden="false" customHeight="false" outlineLevel="0" collapsed="false">
      <c r="A8375" s="0" t="s">
        <v>4232</v>
      </c>
      <c r="B8375" s="6" t="n">
        <v>42684</v>
      </c>
      <c r="C8375" s="7" t="s">
        <v>33</v>
      </c>
      <c r="D8375" s="7" t="s">
        <v>34</v>
      </c>
      <c r="E8375" s="7" t="s">
        <v>35</v>
      </c>
      <c r="F8375" s="0" t="n">
        <v>29.74</v>
      </c>
      <c r="G8375" s="0" t="n">
        <v>4.461</v>
      </c>
      <c r="H8375" s="0" t="n">
        <v>0</v>
      </c>
      <c r="I8375" s="7" t="n">
        <f aca="false">YEAR(B8375)</f>
        <v>2016</v>
      </c>
      <c r="J8375" s="0" t="str">
        <f aca="false">I8375&amp;"-Q"&amp;ROUNDUP(MONTH(B8375)/3,0)</f>
        <v>2016-Q4</v>
      </c>
    </row>
    <row r="8376" customFormat="false" ht="15" hidden="false" customHeight="false" outlineLevel="0" collapsed="false">
      <c r="A8376" s="0" t="s">
        <v>4233</v>
      </c>
      <c r="B8376" s="6" t="n">
        <v>42009</v>
      </c>
      <c r="C8376" s="7" t="s">
        <v>33</v>
      </c>
      <c r="D8376" s="7" t="s">
        <v>34</v>
      </c>
      <c r="E8376" s="7" t="s">
        <v>35</v>
      </c>
      <c r="F8376" s="0" t="n">
        <v>87.36</v>
      </c>
      <c r="G8376" s="0" t="n">
        <v>23.5872</v>
      </c>
      <c r="H8376" s="0" t="n">
        <v>0</v>
      </c>
      <c r="I8376" s="7" t="n">
        <f aca="false">YEAR(B8376)</f>
        <v>2015</v>
      </c>
      <c r="J8376" s="0" t="str">
        <f aca="false">I8376&amp;"-Q"&amp;ROUNDUP(MONTH(B8376)/3,0)</f>
        <v>2015-Q1</v>
      </c>
    </row>
    <row r="8377" customFormat="false" ht="15" hidden="false" customHeight="false" outlineLevel="0" collapsed="false">
      <c r="A8377" s="0" t="s">
        <v>4233</v>
      </c>
      <c r="B8377" s="6" t="n">
        <v>42009</v>
      </c>
      <c r="C8377" s="7" t="s">
        <v>33</v>
      </c>
      <c r="D8377" s="7" t="s">
        <v>34</v>
      </c>
      <c r="E8377" s="7" t="s">
        <v>35</v>
      </c>
      <c r="F8377" s="0" t="n">
        <v>56.16</v>
      </c>
      <c r="G8377" s="0" t="n">
        <v>17.55</v>
      </c>
      <c r="H8377" s="0" t="n">
        <v>0.2</v>
      </c>
      <c r="I8377" s="7" t="n">
        <f aca="false">YEAR(B8377)</f>
        <v>2015</v>
      </c>
      <c r="J8377" s="0" t="str">
        <f aca="false">I8377&amp;"-Q"&amp;ROUNDUP(MONTH(B8377)/3,0)</f>
        <v>2015-Q1</v>
      </c>
    </row>
    <row r="8378" customFormat="false" ht="15" hidden="false" customHeight="false" outlineLevel="0" collapsed="false">
      <c r="A8378" s="0" t="s">
        <v>4234</v>
      </c>
      <c r="B8378" s="6" t="n">
        <v>42815</v>
      </c>
      <c r="C8378" s="7" t="s">
        <v>29</v>
      </c>
      <c r="D8378" s="7" t="s">
        <v>37</v>
      </c>
      <c r="E8378" s="7" t="s">
        <v>35</v>
      </c>
      <c r="F8378" s="0" t="n">
        <v>64.384</v>
      </c>
      <c r="G8378" s="0" t="n">
        <v>8.048</v>
      </c>
      <c r="H8378" s="0" t="n">
        <v>0.2</v>
      </c>
      <c r="I8378" s="7" t="n">
        <f aca="false">YEAR(B8378)</f>
        <v>2017</v>
      </c>
      <c r="J8378" s="0" t="str">
        <f aca="false">I8378&amp;"-Q"&amp;ROUNDUP(MONTH(B8378)/3,0)</f>
        <v>2017-Q1</v>
      </c>
    </row>
    <row r="8379" customFormat="false" ht="15" hidden="false" customHeight="false" outlineLevel="0" collapsed="false">
      <c r="A8379" s="0" t="s">
        <v>4235</v>
      </c>
      <c r="B8379" s="6" t="n">
        <v>42320</v>
      </c>
      <c r="C8379" s="7" t="s">
        <v>45</v>
      </c>
      <c r="D8379" s="7" t="s">
        <v>46</v>
      </c>
      <c r="E8379" s="7" t="s">
        <v>35</v>
      </c>
      <c r="F8379" s="0" t="n">
        <v>64.784</v>
      </c>
      <c r="G8379" s="0" t="n">
        <v>-14.5764</v>
      </c>
      <c r="H8379" s="0" t="n">
        <v>0.2</v>
      </c>
      <c r="I8379" s="7" t="n">
        <f aca="false">YEAR(B8379)</f>
        <v>2015</v>
      </c>
      <c r="J8379" s="0" t="str">
        <f aca="false">I8379&amp;"-Q"&amp;ROUNDUP(MONTH(B8379)/3,0)</f>
        <v>2015-Q4</v>
      </c>
    </row>
    <row r="8380" customFormat="false" ht="15" hidden="false" customHeight="false" outlineLevel="0" collapsed="false">
      <c r="A8380" s="0" t="s">
        <v>4235</v>
      </c>
      <c r="B8380" s="6" t="n">
        <v>42320</v>
      </c>
      <c r="C8380" s="7" t="s">
        <v>45</v>
      </c>
      <c r="D8380" s="7" t="s">
        <v>46</v>
      </c>
      <c r="E8380" s="7" t="s">
        <v>35</v>
      </c>
      <c r="F8380" s="0" t="n">
        <v>15.552</v>
      </c>
      <c r="G8380" s="0" t="n">
        <v>5.6376</v>
      </c>
      <c r="H8380" s="0" t="n">
        <v>0.2</v>
      </c>
      <c r="I8380" s="7" t="n">
        <f aca="false">YEAR(B8380)</f>
        <v>2015</v>
      </c>
      <c r="J8380" s="0" t="str">
        <f aca="false">I8380&amp;"-Q"&amp;ROUNDUP(MONTH(B8380)/3,0)</f>
        <v>2015-Q4</v>
      </c>
    </row>
    <row r="8381" customFormat="false" ht="15" hidden="false" customHeight="false" outlineLevel="0" collapsed="false">
      <c r="A8381" s="0" t="s">
        <v>4235</v>
      </c>
      <c r="B8381" s="6" t="n">
        <v>42320</v>
      </c>
      <c r="C8381" s="7" t="s">
        <v>45</v>
      </c>
      <c r="D8381" s="7" t="s">
        <v>46</v>
      </c>
      <c r="E8381" s="7" t="s">
        <v>35</v>
      </c>
      <c r="F8381" s="0" t="n">
        <v>223.888</v>
      </c>
      <c r="G8381" s="0" t="n">
        <v>69.965</v>
      </c>
      <c r="H8381" s="0" t="n">
        <v>0.2</v>
      </c>
      <c r="I8381" s="7" t="n">
        <f aca="false">YEAR(B8381)</f>
        <v>2015</v>
      </c>
      <c r="J8381" s="0" t="str">
        <f aca="false">I8381&amp;"-Q"&amp;ROUNDUP(MONTH(B8381)/3,0)</f>
        <v>2015-Q4</v>
      </c>
    </row>
    <row r="8382" customFormat="false" ht="15" hidden="false" customHeight="false" outlineLevel="0" collapsed="false">
      <c r="A8382" s="0" t="s">
        <v>4236</v>
      </c>
      <c r="B8382" s="6" t="n">
        <v>41891</v>
      </c>
      <c r="C8382" s="7" t="s">
        <v>45</v>
      </c>
      <c r="D8382" s="7" t="s">
        <v>64</v>
      </c>
      <c r="E8382" s="7" t="s">
        <v>35</v>
      </c>
      <c r="F8382" s="0" t="n">
        <v>10.896</v>
      </c>
      <c r="G8382" s="0" t="n">
        <v>3.405</v>
      </c>
      <c r="H8382" s="0" t="n">
        <v>0.2</v>
      </c>
      <c r="I8382" s="7" t="n">
        <f aca="false">YEAR(B8382)</f>
        <v>2014</v>
      </c>
      <c r="J8382" s="0" t="str">
        <f aca="false">I8382&amp;"-Q"&amp;ROUNDUP(MONTH(B8382)/3,0)</f>
        <v>2014-Q3</v>
      </c>
    </row>
    <row r="8383" customFormat="false" ht="15" hidden="false" customHeight="false" outlineLevel="0" collapsed="false">
      <c r="A8383" s="0" t="s">
        <v>4237</v>
      </c>
      <c r="B8383" s="6" t="n">
        <v>42446</v>
      </c>
      <c r="C8383" s="7" t="s">
        <v>33</v>
      </c>
      <c r="D8383" s="7" t="s">
        <v>34</v>
      </c>
      <c r="E8383" s="7" t="s">
        <v>39</v>
      </c>
      <c r="F8383" s="0" t="n">
        <v>84.784</v>
      </c>
      <c r="G8383" s="0" t="n">
        <v>-20.1362</v>
      </c>
      <c r="H8383" s="0" t="n">
        <v>0.2</v>
      </c>
      <c r="I8383" s="7" t="n">
        <f aca="false">YEAR(B8383)</f>
        <v>2016</v>
      </c>
      <c r="J8383" s="0" t="str">
        <f aca="false">I8383&amp;"-Q"&amp;ROUNDUP(MONTH(B8383)/3,0)</f>
        <v>2016-Q1</v>
      </c>
    </row>
    <row r="8384" customFormat="false" ht="15" hidden="false" customHeight="false" outlineLevel="0" collapsed="false">
      <c r="A8384" s="0" t="s">
        <v>4238</v>
      </c>
      <c r="B8384" s="6" t="n">
        <v>42408</v>
      </c>
      <c r="C8384" s="7" t="s">
        <v>45</v>
      </c>
      <c r="D8384" s="7" t="s">
        <v>46</v>
      </c>
      <c r="E8384" s="7" t="s">
        <v>31</v>
      </c>
      <c r="F8384" s="0" t="n">
        <v>241.5</v>
      </c>
      <c r="G8384" s="0" t="n">
        <v>0</v>
      </c>
      <c r="H8384" s="0" t="n">
        <v>0.3</v>
      </c>
      <c r="I8384" s="7" t="n">
        <f aca="false">YEAR(B8384)</f>
        <v>2016</v>
      </c>
      <c r="J8384" s="0" t="str">
        <f aca="false">I8384&amp;"-Q"&amp;ROUNDUP(MONTH(B8384)/3,0)</f>
        <v>2016-Q1</v>
      </c>
    </row>
    <row r="8385" customFormat="false" ht="15" hidden="false" customHeight="false" outlineLevel="0" collapsed="false">
      <c r="A8385" s="0" t="s">
        <v>4239</v>
      </c>
      <c r="B8385" s="6" t="n">
        <v>42700</v>
      </c>
      <c r="C8385" s="7" t="s">
        <v>55</v>
      </c>
      <c r="D8385" s="7" t="s">
        <v>154</v>
      </c>
      <c r="E8385" s="7" t="s">
        <v>39</v>
      </c>
      <c r="F8385" s="0" t="n">
        <v>59.97</v>
      </c>
      <c r="G8385" s="0" t="n">
        <v>14.9925</v>
      </c>
      <c r="H8385" s="0" t="n">
        <v>0</v>
      </c>
      <c r="I8385" s="7" t="n">
        <f aca="false">YEAR(B8385)</f>
        <v>2016</v>
      </c>
      <c r="J8385" s="0" t="str">
        <f aca="false">I8385&amp;"-Q"&amp;ROUNDUP(MONTH(B8385)/3,0)</f>
        <v>2016-Q4</v>
      </c>
    </row>
    <row r="8386" customFormat="false" ht="15" hidden="false" customHeight="false" outlineLevel="0" collapsed="false">
      <c r="A8386" s="0" t="s">
        <v>4239</v>
      </c>
      <c r="B8386" s="6" t="n">
        <v>42700</v>
      </c>
      <c r="C8386" s="7" t="s">
        <v>55</v>
      </c>
      <c r="D8386" s="7" t="s">
        <v>154</v>
      </c>
      <c r="E8386" s="7" t="s">
        <v>35</v>
      </c>
      <c r="F8386" s="0" t="n">
        <v>13.36</v>
      </c>
      <c r="G8386" s="0" t="n">
        <v>6.4128</v>
      </c>
      <c r="H8386" s="0" t="n">
        <v>0</v>
      </c>
      <c r="I8386" s="7" t="n">
        <f aca="false">YEAR(B8386)</f>
        <v>2016</v>
      </c>
      <c r="J8386" s="0" t="str">
        <f aca="false">I8386&amp;"-Q"&amp;ROUNDUP(MONTH(B8386)/3,0)</f>
        <v>2016-Q4</v>
      </c>
    </row>
    <row r="8387" customFormat="false" ht="15" hidden="false" customHeight="false" outlineLevel="0" collapsed="false">
      <c r="A8387" s="0" t="s">
        <v>4240</v>
      </c>
      <c r="B8387" s="6" t="n">
        <v>42982</v>
      </c>
      <c r="C8387" s="7" t="s">
        <v>33</v>
      </c>
      <c r="D8387" s="7" t="s">
        <v>34</v>
      </c>
      <c r="E8387" s="7" t="s">
        <v>35</v>
      </c>
      <c r="F8387" s="0" t="n">
        <v>11.808</v>
      </c>
      <c r="G8387" s="0" t="n">
        <v>4.1328</v>
      </c>
      <c r="H8387" s="0" t="n">
        <v>0.2</v>
      </c>
      <c r="I8387" s="7" t="n">
        <f aca="false">YEAR(B8387)</f>
        <v>2017</v>
      </c>
      <c r="J8387" s="0" t="str">
        <f aca="false">I8387&amp;"-Q"&amp;ROUNDUP(MONTH(B8387)/3,0)</f>
        <v>2017-Q3</v>
      </c>
    </row>
    <row r="8388" customFormat="false" ht="15" hidden="false" customHeight="false" outlineLevel="0" collapsed="false">
      <c r="A8388" s="0" t="s">
        <v>4241</v>
      </c>
      <c r="B8388" s="6" t="n">
        <v>42152</v>
      </c>
      <c r="C8388" s="7" t="s">
        <v>55</v>
      </c>
      <c r="D8388" s="7" t="s">
        <v>154</v>
      </c>
      <c r="E8388" s="7" t="s">
        <v>35</v>
      </c>
      <c r="F8388" s="0" t="n">
        <v>16.24</v>
      </c>
      <c r="G8388" s="0" t="n">
        <v>2.436</v>
      </c>
      <c r="H8388" s="0" t="n">
        <v>0</v>
      </c>
      <c r="I8388" s="7" t="n">
        <f aca="false">YEAR(B8388)</f>
        <v>2015</v>
      </c>
      <c r="J8388" s="0" t="str">
        <f aca="false">I8388&amp;"-Q"&amp;ROUNDUP(MONTH(B8388)/3,0)</f>
        <v>2015-Q2</v>
      </c>
    </row>
    <row r="8389" customFormat="false" ht="15" hidden="false" customHeight="false" outlineLevel="0" collapsed="false">
      <c r="A8389" s="0" t="s">
        <v>4241</v>
      </c>
      <c r="B8389" s="6" t="n">
        <v>42152</v>
      </c>
      <c r="C8389" s="7" t="s">
        <v>55</v>
      </c>
      <c r="D8389" s="7" t="s">
        <v>154</v>
      </c>
      <c r="E8389" s="7" t="s">
        <v>35</v>
      </c>
      <c r="F8389" s="0" t="n">
        <v>77.55</v>
      </c>
      <c r="G8389" s="0" t="n">
        <v>21.714</v>
      </c>
      <c r="H8389" s="0" t="n">
        <v>0</v>
      </c>
      <c r="I8389" s="7" t="n">
        <f aca="false">YEAR(B8389)</f>
        <v>2015</v>
      </c>
      <c r="J8389" s="0" t="str">
        <f aca="false">I8389&amp;"-Q"&amp;ROUNDUP(MONTH(B8389)/3,0)</f>
        <v>2015-Q2</v>
      </c>
    </row>
    <row r="8390" customFormat="false" ht="15" hidden="false" customHeight="false" outlineLevel="0" collapsed="false">
      <c r="A8390" s="0" t="s">
        <v>4242</v>
      </c>
      <c r="B8390" s="6" t="n">
        <v>41944</v>
      </c>
      <c r="C8390" s="7" t="s">
        <v>55</v>
      </c>
      <c r="D8390" s="7" t="s">
        <v>161</v>
      </c>
      <c r="E8390" s="7" t="s">
        <v>35</v>
      </c>
      <c r="F8390" s="0" t="n">
        <v>76.12</v>
      </c>
      <c r="G8390" s="0" t="n">
        <v>22.0748</v>
      </c>
      <c r="H8390" s="0" t="n">
        <v>0</v>
      </c>
      <c r="I8390" s="7" t="n">
        <f aca="false">YEAR(B8390)</f>
        <v>2014</v>
      </c>
      <c r="J8390" s="0" t="str">
        <f aca="false">I8390&amp;"-Q"&amp;ROUNDUP(MONTH(B8390)/3,0)</f>
        <v>2014-Q4</v>
      </c>
    </row>
    <row r="8391" customFormat="false" ht="15" hidden="false" customHeight="false" outlineLevel="0" collapsed="false">
      <c r="A8391" s="0" t="s">
        <v>4243</v>
      </c>
      <c r="B8391" s="6" t="n">
        <v>42731</v>
      </c>
      <c r="C8391" s="7" t="s">
        <v>55</v>
      </c>
      <c r="D8391" s="7" t="s">
        <v>116</v>
      </c>
      <c r="E8391" s="7" t="s">
        <v>35</v>
      </c>
      <c r="F8391" s="0" t="n">
        <v>17.184</v>
      </c>
      <c r="G8391" s="0" t="n">
        <v>6.2292</v>
      </c>
      <c r="H8391" s="0" t="n">
        <v>0.2</v>
      </c>
      <c r="I8391" s="7" t="n">
        <f aca="false">YEAR(B8391)</f>
        <v>2016</v>
      </c>
      <c r="J8391" s="0" t="str">
        <f aca="false">I8391&amp;"-Q"&amp;ROUNDUP(MONTH(B8391)/3,0)</f>
        <v>2016-Q4</v>
      </c>
    </row>
    <row r="8392" customFormat="false" ht="15" hidden="false" customHeight="false" outlineLevel="0" collapsed="false">
      <c r="A8392" s="0" t="s">
        <v>4244</v>
      </c>
      <c r="B8392" s="6" t="n">
        <v>43073</v>
      </c>
      <c r="C8392" s="7" t="s">
        <v>33</v>
      </c>
      <c r="D8392" s="7" t="s">
        <v>34</v>
      </c>
      <c r="E8392" s="7" t="s">
        <v>35</v>
      </c>
      <c r="F8392" s="0" t="n">
        <v>11.76</v>
      </c>
      <c r="G8392" s="0" t="n">
        <v>5.7624</v>
      </c>
      <c r="H8392" s="0" t="n">
        <v>0</v>
      </c>
      <c r="I8392" s="7" t="n">
        <f aca="false">YEAR(B8392)</f>
        <v>2017</v>
      </c>
      <c r="J8392" s="0" t="str">
        <f aca="false">I8392&amp;"-Q"&amp;ROUNDUP(MONTH(B8392)/3,0)</f>
        <v>2017-Q4</v>
      </c>
    </row>
    <row r="8393" customFormat="false" ht="15" hidden="false" customHeight="false" outlineLevel="0" collapsed="false">
      <c r="A8393" s="0" t="s">
        <v>4245</v>
      </c>
      <c r="B8393" s="6" t="n">
        <v>43092</v>
      </c>
      <c r="C8393" s="7" t="s">
        <v>55</v>
      </c>
      <c r="D8393" s="7" t="s">
        <v>154</v>
      </c>
      <c r="E8393" s="7" t="s">
        <v>31</v>
      </c>
      <c r="F8393" s="0" t="n">
        <v>27.46</v>
      </c>
      <c r="G8393" s="0" t="n">
        <v>9.8856</v>
      </c>
      <c r="H8393" s="0" t="n">
        <v>0</v>
      </c>
      <c r="I8393" s="7" t="n">
        <f aca="false">YEAR(B8393)</f>
        <v>2017</v>
      </c>
      <c r="J8393" s="0" t="str">
        <f aca="false">I8393&amp;"-Q"&amp;ROUNDUP(MONTH(B8393)/3,0)</f>
        <v>2017-Q4</v>
      </c>
    </row>
    <row r="8394" customFormat="false" ht="15" hidden="false" customHeight="false" outlineLevel="0" collapsed="false">
      <c r="A8394" s="0" t="s">
        <v>4246</v>
      </c>
      <c r="B8394" s="6" t="n">
        <v>42705</v>
      </c>
      <c r="C8394" s="7" t="s">
        <v>55</v>
      </c>
      <c r="D8394" s="7" t="s">
        <v>225</v>
      </c>
      <c r="E8394" s="7" t="s">
        <v>39</v>
      </c>
      <c r="F8394" s="0" t="n">
        <v>137.94</v>
      </c>
      <c r="G8394" s="0" t="n">
        <v>35.8644</v>
      </c>
      <c r="H8394" s="0" t="n">
        <v>0</v>
      </c>
      <c r="I8394" s="7" t="n">
        <f aca="false">YEAR(B8394)</f>
        <v>2016</v>
      </c>
      <c r="J8394" s="0" t="str">
        <f aca="false">I8394&amp;"-Q"&amp;ROUNDUP(MONTH(B8394)/3,0)</f>
        <v>2016-Q4</v>
      </c>
    </row>
    <row r="8395" customFormat="false" ht="15" hidden="false" customHeight="false" outlineLevel="0" collapsed="false">
      <c r="A8395" s="0" t="s">
        <v>4246</v>
      </c>
      <c r="B8395" s="6" t="n">
        <v>42705</v>
      </c>
      <c r="C8395" s="7" t="s">
        <v>55</v>
      </c>
      <c r="D8395" s="7" t="s">
        <v>225</v>
      </c>
      <c r="E8395" s="7" t="s">
        <v>31</v>
      </c>
      <c r="F8395" s="0" t="n">
        <v>111.15</v>
      </c>
      <c r="G8395" s="0" t="n">
        <v>48.906</v>
      </c>
      <c r="H8395" s="0" t="n">
        <v>0</v>
      </c>
      <c r="I8395" s="7" t="n">
        <f aca="false">YEAR(B8395)</f>
        <v>2016</v>
      </c>
      <c r="J8395" s="0" t="str">
        <f aca="false">I8395&amp;"-Q"&amp;ROUNDUP(MONTH(B8395)/3,0)</f>
        <v>2016-Q4</v>
      </c>
    </row>
    <row r="8396" customFormat="false" ht="15" hidden="false" customHeight="false" outlineLevel="0" collapsed="false">
      <c r="A8396" s="0" t="s">
        <v>4246</v>
      </c>
      <c r="B8396" s="6" t="n">
        <v>42705</v>
      </c>
      <c r="C8396" s="7" t="s">
        <v>55</v>
      </c>
      <c r="D8396" s="7" t="s">
        <v>225</v>
      </c>
      <c r="E8396" s="7" t="s">
        <v>35</v>
      </c>
      <c r="F8396" s="0" t="n">
        <v>901.95</v>
      </c>
      <c r="G8396" s="0" t="n">
        <v>297.6435</v>
      </c>
      <c r="H8396" s="0" t="n">
        <v>0</v>
      </c>
      <c r="I8396" s="7" t="n">
        <f aca="false">YEAR(B8396)</f>
        <v>2016</v>
      </c>
      <c r="J8396" s="0" t="str">
        <f aca="false">I8396&amp;"-Q"&amp;ROUNDUP(MONTH(B8396)/3,0)</f>
        <v>2016-Q4</v>
      </c>
    </row>
    <row r="8397" customFormat="false" ht="15" hidden="false" customHeight="false" outlineLevel="0" collapsed="false">
      <c r="A8397" s="0" t="s">
        <v>4246</v>
      </c>
      <c r="B8397" s="6" t="n">
        <v>42705</v>
      </c>
      <c r="C8397" s="7" t="s">
        <v>55</v>
      </c>
      <c r="D8397" s="7" t="s">
        <v>225</v>
      </c>
      <c r="E8397" s="7" t="s">
        <v>31</v>
      </c>
      <c r="F8397" s="0" t="n">
        <v>366.009</v>
      </c>
      <c r="G8397" s="0" t="n">
        <v>-47.0583</v>
      </c>
      <c r="H8397" s="0" t="n">
        <v>0.3</v>
      </c>
      <c r="I8397" s="7" t="n">
        <f aca="false">YEAR(B8397)</f>
        <v>2016</v>
      </c>
      <c r="J8397" s="0" t="str">
        <f aca="false">I8397&amp;"-Q"&amp;ROUNDUP(MONTH(B8397)/3,0)</f>
        <v>2016-Q4</v>
      </c>
    </row>
    <row r="8398" customFormat="false" ht="15" hidden="false" customHeight="false" outlineLevel="0" collapsed="false">
      <c r="A8398" s="0" t="s">
        <v>4247</v>
      </c>
      <c r="B8398" s="6" t="n">
        <v>41820</v>
      </c>
      <c r="C8398" s="7" t="s">
        <v>29</v>
      </c>
      <c r="D8398" s="7" t="s">
        <v>41</v>
      </c>
      <c r="E8398" s="7" t="s">
        <v>35</v>
      </c>
      <c r="F8398" s="0" t="n">
        <v>310.688</v>
      </c>
      <c r="G8398" s="0" t="n">
        <v>108.7408</v>
      </c>
      <c r="H8398" s="0" t="n">
        <v>0.2</v>
      </c>
      <c r="I8398" s="7" t="n">
        <f aca="false">YEAR(B8398)</f>
        <v>2014</v>
      </c>
      <c r="J8398" s="0" t="str">
        <f aca="false">I8398&amp;"-Q"&amp;ROUNDUP(MONTH(B8398)/3,0)</f>
        <v>2014-Q2</v>
      </c>
    </row>
    <row r="8399" customFormat="false" ht="15" hidden="false" customHeight="false" outlineLevel="0" collapsed="false">
      <c r="A8399" s="0" t="s">
        <v>4248</v>
      </c>
      <c r="B8399" s="6" t="n">
        <v>41885</v>
      </c>
      <c r="C8399" s="7" t="s">
        <v>45</v>
      </c>
      <c r="D8399" s="7" t="s">
        <v>46</v>
      </c>
      <c r="E8399" s="7" t="s">
        <v>35</v>
      </c>
      <c r="F8399" s="0" t="n">
        <v>7.68</v>
      </c>
      <c r="G8399" s="0" t="n">
        <v>-11.52</v>
      </c>
      <c r="H8399" s="0" t="n">
        <v>0.8</v>
      </c>
      <c r="I8399" s="7" t="n">
        <f aca="false">YEAR(B8399)</f>
        <v>2014</v>
      </c>
      <c r="J8399" s="0" t="str">
        <f aca="false">I8399&amp;"-Q"&amp;ROUNDUP(MONTH(B8399)/3,0)</f>
        <v>2014-Q3</v>
      </c>
    </row>
    <row r="8400" customFormat="false" ht="15" hidden="false" customHeight="false" outlineLevel="0" collapsed="false">
      <c r="A8400" s="0" t="s">
        <v>4249</v>
      </c>
      <c r="B8400" s="6" t="n">
        <v>43041</v>
      </c>
      <c r="C8400" s="7" t="s">
        <v>55</v>
      </c>
      <c r="D8400" s="7" t="s">
        <v>116</v>
      </c>
      <c r="E8400" s="7" t="s">
        <v>31</v>
      </c>
      <c r="F8400" s="0" t="n">
        <v>155.372</v>
      </c>
      <c r="G8400" s="0" t="n">
        <v>-35.5136</v>
      </c>
      <c r="H8400" s="0" t="n">
        <v>0.3</v>
      </c>
      <c r="I8400" s="7" t="n">
        <f aca="false">YEAR(B8400)</f>
        <v>2017</v>
      </c>
      <c r="J8400" s="0" t="str">
        <f aca="false">I8400&amp;"-Q"&amp;ROUNDUP(MONTH(B8400)/3,0)</f>
        <v>2017-Q4</v>
      </c>
    </row>
    <row r="8401" customFormat="false" ht="15" hidden="false" customHeight="false" outlineLevel="0" collapsed="false">
      <c r="A8401" s="0" t="s">
        <v>4250</v>
      </c>
      <c r="B8401" s="6" t="n">
        <v>42107</v>
      </c>
      <c r="C8401" s="7" t="s">
        <v>33</v>
      </c>
      <c r="D8401" s="7" t="s">
        <v>81</v>
      </c>
      <c r="E8401" s="7" t="s">
        <v>35</v>
      </c>
      <c r="F8401" s="0" t="n">
        <v>10.744</v>
      </c>
      <c r="G8401" s="0" t="n">
        <v>0.8058</v>
      </c>
      <c r="H8401" s="0" t="n">
        <v>0.2</v>
      </c>
      <c r="I8401" s="7" t="n">
        <f aca="false">YEAR(B8401)</f>
        <v>2015</v>
      </c>
      <c r="J8401" s="0" t="str">
        <f aca="false">I8401&amp;"-Q"&amp;ROUNDUP(MONTH(B8401)/3,0)</f>
        <v>2015-Q2</v>
      </c>
    </row>
    <row r="8402" customFormat="false" ht="15" hidden="false" customHeight="false" outlineLevel="0" collapsed="false">
      <c r="A8402" s="0" t="s">
        <v>4251</v>
      </c>
      <c r="B8402" s="6" t="n">
        <v>42343</v>
      </c>
      <c r="C8402" s="7" t="s">
        <v>55</v>
      </c>
      <c r="D8402" s="7" t="s">
        <v>76</v>
      </c>
      <c r="E8402" s="7" t="s">
        <v>35</v>
      </c>
      <c r="F8402" s="0" t="n">
        <v>232.4</v>
      </c>
      <c r="G8402" s="0" t="n">
        <v>78.435</v>
      </c>
      <c r="H8402" s="0" t="n">
        <v>0.2</v>
      </c>
      <c r="I8402" s="7" t="n">
        <f aca="false">YEAR(B8402)</f>
        <v>2015</v>
      </c>
      <c r="J8402" s="0" t="str">
        <f aca="false">I8402&amp;"-Q"&amp;ROUNDUP(MONTH(B8402)/3,0)</f>
        <v>2015-Q4</v>
      </c>
    </row>
    <row r="8403" customFormat="false" ht="15" hidden="false" customHeight="false" outlineLevel="0" collapsed="false">
      <c r="A8403" s="0" t="s">
        <v>4251</v>
      </c>
      <c r="B8403" s="6" t="n">
        <v>42343</v>
      </c>
      <c r="C8403" s="7" t="s">
        <v>55</v>
      </c>
      <c r="D8403" s="7" t="s">
        <v>76</v>
      </c>
      <c r="E8403" s="7" t="s">
        <v>31</v>
      </c>
      <c r="F8403" s="0" t="n">
        <v>164.646</v>
      </c>
      <c r="G8403" s="0" t="n">
        <v>12.8058</v>
      </c>
      <c r="H8403" s="0" t="n">
        <v>0.1</v>
      </c>
      <c r="I8403" s="7" t="n">
        <f aca="false">YEAR(B8403)</f>
        <v>2015</v>
      </c>
      <c r="J8403" s="0" t="str">
        <f aca="false">I8403&amp;"-Q"&amp;ROUNDUP(MONTH(B8403)/3,0)</f>
        <v>2015-Q4</v>
      </c>
    </row>
    <row r="8404" customFormat="false" ht="15" hidden="false" customHeight="false" outlineLevel="0" collapsed="false">
      <c r="A8404" s="0" t="s">
        <v>4251</v>
      </c>
      <c r="B8404" s="6" t="n">
        <v>42343</v>
      </c>
      <c r="C8404" s="7" t="s">
        <v>55</v>
      </c>
      <c r="D8404" s="7" t="s">
        <v>76</v>
      </c>
      <c r="E8404" s="7" t="s">
        <v>35</v>
      </c>
      <c r="F8404" s="0" t="n">
        <v>22.68</v>
      </c>
      <c r="G8404" s="0" t="n">
        <v>11.1132</v>
      </c>
      <c r="H8404" s="0" t="n">
        <v>0</v>
      </c>
      <c r="I8404" s="7" t="n">
        <f aca="false">YEAR(B8404)</f>
        <v>2015</v>
      </c>
      <c r="J8404" s="0" t="str">
        <f aca="false">I8404&amp;"-Q"&amp;ROUNDUP(MONTH(B8404)/3,0)</f>
        <v>2015-Q4</v>
      </c>
    </row>
    <row r="8405" customFormat="false" ht="15" hidden="false" customHeight="false" outlineLevel="0" collapsed="false">
      <c r="A8405" s="0" t="s">
        <v>4252</v>
      </c>
      <c r="B8405" s="6" t="n">
        <v>42401</v>
      </c>
      <c r="C8405" s="7" t="s">
        <v>33</v>
      </c>
      <c r="D8405" s="7" t="s">
        <v>34</v>
      </c>
      <c r="E8405" s="7" t="s">
        <v>35</v>
      </c>
      <c r="F8405" s="0" t="n">
        <v>105.52</v>
      </c>
      <c r="G8405" s="0" t="n">
        <v>48.5392</v>
      </c>
      <c r="H8405" s="0" t="n">
        <v>0</v>
      </c>
      <c r="I8405" s="7" t="n">
        <f aca="false">YEAR(B8405)</f>
        <v>2016</v>
      </c>
      <c r="J8405" s="0" t="str">
        <f aca="false">I8405&amp;"-Q"&amp;ROUNDUP(MONTH(B8405)/3,0)</f>
        <v>2016-Q1</v>
      </c>
    </row>
    <row r="8406" customFormat="false" ht="15" hidden="false" customHeight="false" outlineLevel="0" collapsed="false">
      <c r="A8406" s="0" t="s">
        <v>4253</v>
      </c>
      <c r="B8406" s="6" t="n">
        <v>42924</v>
      </c>
      <c r="C8406" s="7" t="s">
        <v>55</v>
      </c>
      <c r="D8406" s="7" t="s">
        <v>72</v>
      </c>
      <c r="E8406" s="7" t="s">
        <v>31</v>
      </c>
      <c r="F8406" s="0" t="n">
        <v>83.92</v>
      </c>
      <c r="G8406" s="0" t="n">
        <v>5.8744</v>
      </c>
      <c r="H8406" s="0" t="n">
        <v>0</v>
      </c>
      <c r="I8406" s="7" t="n">
        <f aca="false">YEAR(B8406)</f>
        <v>2017</v>
      </c>
      <c r="J8406" s="0" t="str">
        <f aca="false">I8406&amp;"-Q"&amp;ROUNDUP(MONTH(B8406)/3,0)</f>
        <v>2017-Q3</v>
      </c>
    </row>
    <row r="8407" customFormat="false" ht="15" hidden="false" customHeight="false" outlineLevel="0" collapsed="false">
      <c r="A8407" s="0" t="s">
        <v>4253</v>
      </c>
      <c r="B8407" s="6" t="n">
        <v>42924</v>
      </c>
      <c r="C8407" s="7" t="s">
        <v>55</v>
      </c>
      <c r="D8407" s="7" t="s">
        <v>72</v>
      </c>
      <c r="E8407" s="7" t="s">
        <v>39</v>
      </c>
      <c r="F8407" s="0" t="n">
        <v>141.9</v>
      </c>
      <c r="G8407" s="0" t="n">
        <v>58.179</v>
      </c>
      <c r="H8407" s="0" t="n">
        <v>0</v>
      </c>
      <c r="I8407" s="7" t="n">
        <f aca="false">YEAR(B8407)</f>
        <v>2017</v>
      </c>
      <c r="J8407" s="0" t="str">
        <f aca="false">I8407&amp;"-Q"&amp;ROUNDUP(MONTH(B8407)/3,0)</f>
        <v>2017-Q3</v>
      </c>
    </row>
    <row r="8408" customFormat="false" ht="15" hidden="false" customHeight="false" outlineLevel="0" collapsed="false">
      <c r="A8408" s="0" t="s">
        <v>4253</v>
      </c>
      <c r="B8408" s="6" t="n">
        <v>42924</v>
      </c>
      <c r="C8408" s="7" t="s">
        <v>55</v>
      </c>
      <c r="D8408" s="7" t="s">
        <v>72</v>
      </c>
      <c r="E8408" s="7" t="s">
        <v>31</v>
      </c>
      <c r="F8408" s="0" t="n">
        <v>39.98</v>
      </c>
      <c r="G8408" s="0" t="n">
        <v>9.1954</v>
      </c>
      <c r="H8408" s="0" t="n">
        <v>0</v>
      </c>
      <c r="I8408" s="7" t="n">
        <f aca="false">YEAR(B8408)</f>
        <v>2017</v>
      </c>
      <c r="J8408" s="0" t="str">
        <f aca="false">I8408&amp;"-Q"&amp;ROUNDUP(MONTH(B8408)/3,0)</f>
        <v>2017-Q3</v>
      </c>
    </row>
    <row r="8409" customFormat="false" ht="15" hidden="false" customHeight="false" outlineLevel="0" collapsed="false">
      <c r="A8409" s="0" t="s">
        <v>4253</v>
      </c>
      <c r="B8409" s="6" t="n">
        <v>42924</v>
      </c>
      <c r="C8409" s="7" t="s">
        <v>55</v>
      </c>
      <c r="D8409" s="7" t="s">
        <v>72</v>
      </c>
      <c r="E8409" s="7" t="s">
        <v>35</v>
      </c>
      <c r="F8409" s="0" t="n">
        <v>28.91</v>
      </c>
      <c r="G8409" s="0" t="n">
        <v>8.673</v>
      </c>
      <c r="H8409" s="0" t="n">
        <v>0</v>
      </c>
      <c r="I8409" s="7" t="n">
        <f aca="false">YEAR(B8409)</f>
        <v>2017</v>
      </c>
      <c r="J8409" s="0" t="str">
        <f aca="false">I8409&amp;"-Q"&amp;ROUNDUP(MONTH(B8409)/3,0)</f>
        <v>2017-Q3</v>
      </c>
    </row>
    <row r="8410" customFormat="false" ht="15" hidden="false" customHeight="false" outlineLevel="0" collapsed="false">
      <c r="A8410" s="0" t="s">
        <v>4253</v>
      </c>
      <c r="B8410" s="6" t="n">
        <v>42924</v>
      </c>
      <c r="C8410" s="7" t="s">
        <v>55</v>
      </c>
      <c r="D8410" s="7" t="s">
        <v>72</v>
      </c>
      <c r="E8410" s="7" t="s">
        <v>35</v>
      </c>
      <c r="F8410" s="0" t="n">
        <v>174.95</v>
      </c>
      <c r="G8410" s="0" t="n">
        <v>45.487</v>
      </c>
      <c r="H8410" s="0" t="n">
        <v>0</v>
      </c>
      <c r="I8410" s="7" t="n">
        <f aca="false">YEAR(B8410)</f>
        <v>2017</v>
      </c>
      <c r="J8410" s="0" t="str">
        <f aca="false">I8410&amp;"-Q"&amp;ROUNDUP(MONTH(B8410)/3,0)</f>
        <v>2017-Q3</v>
      </c>
    </row>
    <row r="8411" customFormat="false" ht="15" hidden="false" customHeight="false" outlineLevel="0" collapsed="false">
      <c r="A8411" s="0" t="s">
        <v>4254</v>
      </c>
      <c r="B8411" s="6" t="n">
        <v>42349</v>
      </c>
      <c r="C8411" s="7" t="s">
        <v>33</v>
      </c>
      <c r="D8411" s="7" t="s">
        <v>34</v>
      </c>
      <c r="E8411" s="7" t="s">
        <v>35</v>
      </c>
      <c r="F8411" s="0" t="n">
        <v>110.528</v>
      </c>
      <c r="G8411" s="0" t="n">
        <v>38.6848</v>
      </c>
      <c r="H8411" s="0" t="n">
        <v>0.2</v>
      </c>
      <c r="I8411" s="7" t="n">
        <f aca="false">YEAR(B8411)</f>
        <v>2015</v>
      </c>
      <c r="J8411" s="0" t="str">
        <f aca="false">I8411&amp;"-Q"&amp;ROUNDUP(MONTH(B8411)/3,0)</f>
        <v>2015-Q4</v>
      </c>
    </row>
    <row r="8412" customFormat="false" ht="15" hidden="false" customHeight="false" outlineLevel="0" collapsed="false">
      <c r="A8412" s="0" t="s">
        <v>4255</v>
      </c>
      <c r="B8412" s="6" t="n">
        <v>42689</v>
      </c>
      <c r="C8412" s="7" t="s">
        <v>29</v>
      </c>
      <c r="D8412" s="7" t="s">
        <v>41</v>
      </c>
      <c r="E8412" s="7" t="s">
        <v>31</v>
      </c>
      <c r="F8412" s="0" t="n">
        <v>630.024</v>
      </c>
      <c r="G8412" s="0" t="n">
        <v>-199.5076</v>
      </c>
      <c r="H8412" s="0" t="n">
        <v>0.4</v>
      </c>
      <c r="I8412" s="7" t="n">
        <f aca="false">YEAR(B8412)</f>
        <v>2016</v>
      </c>
      <c r="J8412" s="0" t="str">
        <f aca="false">I8412&amp;"-Q"&amp;ROUNDUP(MONTH(B8412)/3,0)</f>
        <v>2016-Q4</v>
      </c>
    </row>
    <row r="8413" customFormat="false" ht="15" hidden="false" customHeight="false" outlineLevel="0" collapsed="false">
      <c r="A8413" s="0" t="s">
        <v>4256</v>
      </c>
      <c r="B8413" s="6" t="n">
        <v>42499</v>
      </c>
      <c r="C8413" s="7" t="s">
        <v>29</v>
      </c>
      <c r="D8413" s="7" t="s">
        <v>83</v>
      </c>
      <c r="E8413" s="7" t="s">
        <v>35</v>
      </c>
      <c r="F8413" s="0" t="n">
        <v>27.86</v>
      </c>
      <c r="G8413" s="0" t="n">
        <v>9.1938</v>
      </c>
      <c r="H8413" s="0" t="n">
        <v>0</v>
      </c>
      <c r="I8413" s="7" t="n">
        <f aca="false">YEAR(B8413)</f>
        <v>2016</v>
      </c>
      <c r="J8413" s="0" t="str">
        <f aca="false">I8413&amp;"-Q"&amp;ROUNDUP(MONTH(B8413)/3,0)</f>
        <v>2016-Q2</v>
      </c>
    </row>
    <row r="8414" customFormat="false" ht="15" hidden="false" customHeight="false" outlineLevel="0" collapsed="false">
      <c r="A8414" s="0" t="s">
        <v>4257</v>
      </c>
      <c r="B8414" s="6" t="n">
        <v>42804</v>
      </c>
      <c r="C8414" s="7" t="s">
        <v>45</v>
      </c>
      <c r="D8414" s="7" t="s">
        <v>46</v>
      </c>
      <c r="E8414" s="7" t="s">
        <v>31</v>
      </c>
      <c r="F8414" s="0" t="n">
        <v>933.408</v>
      </c>
      <c r="G8414" s="0" t="n">
        <v>-173.3472</v>
      </c>
      <c r="H8414" s="0" t="n">
        <v>0.3</v>
      </c>
      <c r="I8414" s="7" t="n">
        <f aca="false">YEAR(B8414)</f>
        <v>2017</v>
      </c>
      <c r="J8414" s="0" t="str">
        <f aca="false">I8414&amp;"-Q"&amp;ROUNDUP(MONTH(B8414)/3,0)</f>
        <v>2017-Q1</v>
      </c>
    </row>
    <row r="8415" customFormat="false" ht="15" hidden="false" customHeight="false" outlineLevel="0" collapsed="false">
      <c r="A8415" s="0" t="s">
        <v>4258</v>
      </c>
      <c r="B8415" s="6" t="n">
        <v>42721</v>
      </c>
      <c r="C8415" s="7" t="s">
        <v>45</v>
      </c>
      <c r="D8415" s="7" t="s">
        <v>46</v>
      </c>
      <c r="E8415" s="7" t="s">
        <v>35</v>
      </c>
      <c r="F8415" s="0" t="n">
        <v>51.84</v>
      </c>
      <c r="G8415" s="0" t="n">
        <v>18.144</v>
      </c>
      <c r="H8415" s="0" t="n">
        <v>0.2</v>
      </c>
      <c r="I8415" s="7" t="n">
        <f aca="false">YEAR(B8415)</f>
        <v>2016</v>
      </c>
      <c r="J8415" s="0" t="str">
        <f aca="false">I8415&amp;"-Q"&amp;ROUNDUP(MONTH(B8415)/3,0)</f>
        <v>2016-Q4</v>
      </c>
    </row>
    <row r="8416" customFormat="false" ht="15" hidden="false" customHeight="false" outlineLevel="0" collapsed="false">
      <c r="A8416" s="0" t="s">
        <v>4258</v>
      </c>
      <c r="B8416" s="6" t="n">
        <v>42721</v>
      </c>
      <c r="C8416" s="7" t="s">
        <v>45</v>
      </c>
      <c r="D8416" s="7" t="s">
        <v>46</v>
      </c>
      <c r="E8416" s="7" t="s">
        <v>39</v>
      </c>
      <c r="F8416" s="0" t="n">
        <v>165.6</v>
      </c>
      <c r="G8416" s="0" t="n">
        <v>-6.21</v>
      </c>
      <c r="H8416" s="0" t="n">
        <v>0.2</v>
      </c>
      <c r="I8416" s="7" t="n">
        <f aca="false">YEAR(B8416)</f>
        <v>2016</v>
      </c>
      <c r="J8416" s="0" t="str">
        <f aca="false">I8416&amp;"-Q"&amp;ROUNDUP(MONTH(B8416)/3,0)</f>
        <v>2016-Q4</v>
      </c>
    </row>
    <row r="8417" customFormat="false" ht="15" hidden="false" customHeight="false" outlineLevel="0" collapsed="false">
      <c r="A8417" s="0" t="s">
        <v>4259</v>
      </c>
      <c r="B8417" s="6" t="n">
        <v>42831</v>
      </c>
      <c r="C8417" s="7" t="s">
        <v>45</v>
      </c>
      <c r="D8417" s="7" t="s">
        <v>114</v>
      </c>
      <c r="E8417" s="7" t="s">
        <v>35</v>
      </c>
      <c r="F8417" s="0" t="n">
        <v>106.32</v>
      </c>
      <c r="G8417" s="0" t="n">
        <v>49.9704</v>
      </c>
      <c r="H8417" s="0" t="n">
        <v>0</v>
      </c>
      <c r="I8417" s="7" t="n">
        <f aca="false">YEAR(B8417)</f>
        <v>2017</v>
      </c>
      <c r="J8417" s="0" t="str">
        <f aca="false">I8417&amp;"-Q"&amp;ROUNDUP(MONTH(B8417)/3,0)</f>
        <v>2017-Q2</v>
      </c>
    </row>
    <row r="8418" customFormat="false" ht="15" hidden="false" customHeight="false" outlineLevel="0" collapsed="false">
      <c r="A8418" s="0" t="s">
        <v>4260</v>
      </c>
      <c r="B8418" s="6" t="n">
        <v>42864</v>
      </c>
      <c r="C8418" s="7" t="s">
        <v>33</v>
      </c>
      <c r="D8418" s="7" t="s">
        <v>43</v>
      </c>
      <c r="E8418" s="7" t="s">
        <v>35</v>
      </c>
      <c r="F8418" s="0" t="n">
        <v>147.92</v>
      </c>
      <c r="G8418" s="0" t="n">
        <v>46.225</v>
      </c>
      <c r="H8418" s="0" t="n">
        <v>0.2</v>
      </c>
      <c r="I8418" s="7" t="n">
        <f aca="false">YEAR(B8418)</f>
        <v>2017</v>
      </c>
      <c r="J8418" s="0" t="str">
        <f aca="false">I8418&amp;"-Q"&amp;ROUNDUP(MONTH(B8418)/3,0)</f>
        <v>2017-Q2</v>
      </c>
    </row>
    <row r="8419" customFormat="false" ht="15" hidden="false" customHeight="false" outlineLevel="0" collapsed="false">
      <c r="A8419" s="0" t="s">
        <v>4260</v>
      </c>
      <c r="B8419" s="6" t="n">
        <v>42864</v>
      </c>
      <c r="C8419" s="7" t="s">
        <v>33</v>
      </c>
      <c r="D8419" s="7" t="s">
        <v>43</v>
      </c>
      <c r="E8419" s="7" t="s">
        <v>35</v>
      </c>
      <c r="F8419" s="0" t="n">
        <v>104.28</v>
      </c>
      <c r="G8419" s="0" t="n">
        <v>26.07</v>
      </c>
      <c r="H8419" s="0" t="n">
        <v>0</v>
      </c>
      <c r="I8419" s="7" t="n">
        <f aca="false">YEAR(B8419)</f>
        <v>2017</v>
      </c>
      <c r="J8419" s="0" t="str">
        <f aca="false">I8419&amp;"-Q"&amp;ROUNDUP(MONTH(B8419)/3,0)</f>
        <v>2017-Q2</v>
      </c>
    </row>
    <row r="8420" customFormat="false" ht="15" hidden="false" customHeight="false" outlineLevel="0" collapsed="false">
      <c r="A8420" s="0" t="s">
        <v>4260</v>
      </c>
      <c r="B8420" s="6" t="n">
        <v>42864</v>
      </c>
      <c r="C8420" s="7" t="s">
        <v>33</v>
      </c>
      <c r="D8420" s="7" t="s">
        <v>43</v>
      </c>
      <c r="E8420" s="7" t="s">
        <v>31</v>
      </c>
      <c r="F8420" s="0" t="n">
        <v>286.85</v>
      </c>
      <c r="G8420" s="0" t="n">
        <v>63.107</v>
      </c>
      <c r="H8420" s="0" t="n">
        <v>0</v>
      </c>
      <c r="I8420" s="7" t="n">
        <f aca="false">YEAR(B8420)</f>
        <v>2017</v>
      </c>
      <c r="J8420" s="0" t="str">
        <f aca="false">I8420&amp;"-Q"&amp;ROUNDUP(MONTH(B8420)/3,0)</f>
        <v>2017-Q2</v>
      </c>
    </row>
    <row r="8421" customFormat="false" ht="15" hidden="false" customHeight="false" outlineLevel="0" collapsed="false">
      <c r="A8421" s="0" t="s">
        <v>4260</v>
      </c>
      <c r="B8421" s="6" t="n">
        <v>42864</v>
      </c>
      <c r="C8421" s="7" t="s">
        <v>33</v>
      </c>
      <c r="D8421" s="7" t="s">
        <v>43</v>
      </c>
      <c r="E8421" s="7" t="s">
        <v>35</v>
      </c>
      <c r="F8421" s="0" t="n">
        <v>66.96</v>
      </c>
      <c r="G8421" s="0" t="n">
        <v>2.6784</v>
      </c>
      <c r="H8421" s="0" t="n">
        <v>0</v>
      </c>
      <c r="I8421" s="7" t="n">
        <f aca="false">YEAR(B8421)</f>
        <v>2017</v>
      </c>
      <c r="J8421" s="0" t="str">
        <f aca="false">I8421&amp;"-Q"&amp;ROUNDUP(MONTH(B8421)/3,0)</f>
        <v>2017-Q2</v>
      </c>
    </row>
    <row r="8422" customFormat="false" ht="15" hidden="false" customHeight="false" outlineLevel="0" collapsed="false">
      <c r="A8422" s="0" t="s">
        <v>4260</v>
      </c>
      <c r="B8422" s="6" t="n">
        <v>42864</v>
      </c>
      <c r="C8422" s="7" t="s">
        <v>33</v>
      </c>
      <c r="D8422" s="7" t="s">
        <v>43</v>
      </c>
      <c r="E8422" s="7" t="s">
        <v>39</v>
      </c>
      <c r="F8422" s="0" t="n">
        <v>199.98</v>
      </c>
      <c r="G8422" s="0" t="n">
        <v>87.9912</v>
      </c>
      <c r="H8422" s="0" t="n">
        <v>0</v>
      </c>
      <c r="I8422" s="7" t="n">
        <f aca="false">YEAR(B8422)</f>
        <v>2017</v>
      </c>
      <c r="J8422" s="0" t="str">
        <f aca="false">I8422&amp;"-Q"&amp;ROUNDUP(MONTH(B8422)/3,0)</f>
        <v>2017-Q2</v>
      </c>
    </row>
    <row r="8423" customFormat="false" ht="15" hidden="false" customHeight="false" outlineLevel="0" collapsed="false">
      <c r="A8423" s="0" t="s">
        <v>4261</v>
      </c>
      <c r="B8423" s="6" t="n">
        <v>43020</v>
      </c>
      <c r="C8423" s="7" t="s">
        <v>55</v>
      </c>
      <c r="D8423" s="7" t="s">
        <v>161</v>
      </c>
      <c r="E8423" s="7" t="s">
        <v>39</v>
      </c>
      <c r="F8423" s="0" t="n">
        <v>45</v>
      </c>
      <c r="G8423" s="0" t="n">
        <v>4.95</v>
      </c>
      <c r="H8423" s="0" t="n">
        <v>0</v>
      </c>
      <c r="I8423" s="7" t="n">
        <f aca="false">YEAR(B8423)</f>
        <v>2017</v>
      </c>
      <c r="J8423" s="0" t="str">
        <f aca="false">I8423&amp;"-Q"&amp;ROUNDUP(MONTH(B8423)/3,0)</f>
        <v>2017-Q4</v>
      </c>
    </row>
    <row r="8424" customFormat="false" ht="15" hidden="false" customHeight="false" outlineLevel="0" collapsed="false">
      <c r="A8424" s="0" t="s">
        <v>4261</v>
      </c>
      <c r="B8424" s="6" t="n">
        <v>43020</v>
      </c>
      <c r="C8424" s="7" t="s">
        <v>55</v>
      </c>
      <c r="D8424" s="7" t="s">
        <v>161</v>
      </c>
      <c r="E8424" s="7" t="s">
        <v>35</v>
      </c>
      <c r="F8424" s="0" t="n">
        <v>17.9</v>
      </c>
      <c r="G8424" s="0" t="n">
        <v>8.771</v>
      </c>
      <c r="H8424" s="0" t="n">
        <v>0</v>
      </c>
      <c r="I8424" s="7" t="n">
        <f aca="false">YEAR(B8424)</f>
        <v>2017</v>
      </c>
      <c r="J8424" s="0" t="str">
        <f aca="false">I8424&amp;"-Q"&amp;ROUNDUP(MONTH(B8424)/3,0)</f>
        <v>2017-Q4</v>
      </c>
    </row>
    <row r="8425" customFormat="false" ht="15" hidden="false" customHeight="false" outlineLevel="0" collapsed="false">
      <c r="A8425" s="0" t="s">
        <v>4261</v>
      </c>
      <c r="B8425" s="6" t="n">
        <v>43020</v>
      </c>
      <c r="C8425" s="7" t="s">
        <v>55</v>
      </c>
      <c r="D8425" s="7" t="s">
        <v>161</v>
      </c>
      <c r="E8425" s="7" t="s">
        <v>31</v>
      </c>
      <c r="F8425" s="0" t="n">
        <v>40.48</v>
      </c>
      <c r="G8425" s="0" t="n">
        <v>17.4064</v>
      </c>
      <c r="H8425" s="0" t="n">
        <v>0</v>
      </c>
      <c r="I8425" s="7" t="n">
        <f aca="false">YEAR(B8425)</f>
        <v>2017</v>
      </c>
      <c r="J8425" s="0" t="str">
        <f aca="false">I8425&amp;"-Q"&amp;ROUNDUP(MONTH(B8425)/3,0)</f>
        <v>2017-Q4</v>
      </c>
    </row>
    <row r="8426" customFormat="false" ht="15" hidden="false" customHeight="false" outlineLevel="0" collapsed="false">
      <c r="A8426" s="0" t="s">
        <v>4261</v>
      </c>
      <c r="B8426" s="6" t="n">
        <v>43020</v>
      </c>
      <c r="C8426" s="7" t="s">
        <v>55</v>
      </c>
      <c r="D8426" s="7" t="s">
        <v>161</v>
      </c>
      <c r="E8426" s="7" t="s">
        <v>31</v>
      </c>
      <c r="F8426" s="0" t="n">
        <v>2154.9</v>
      </c>
      <c r="G8426" s="0" t="n">
        <v>129.294</v>
      </c>
      <c r="H8426" s="0" t="n">
        <v>0</v>
      </c>
      <c r="I8426" s="7" t="n">
        <f aca="false">YEAR(B8426)</f>
        <v>2017</v>
      </c>
      <c r="J8426" s="0" t="str">
        <f aca="false">I8426&amp;"-Q"&amp;ROUNDUP(MONTH(B8426)/3,0)</f>
        <v>2017-Q4</v>
      </c>
    </row>
    <row r="8427" customFormat="false" ht="15" hidden="false" customHeight="false" outlineLevel="0" collapsed="false">
      <c r="A8427" s="0" t="s">
        <v>4262</v>
      </c>
      <c r="B8427" s="6" t="n">
        <v>42610</v>
      </c>
      <c r="C8427" s="7" t="s">
        <v>55</v>
      </c>
      <c r="D8427" s="7" t="s">
        <v>116</v>
      </c>
      <c r="E8427" s="7" t="s">
        <v>35</v>
      </c>
      <c r="F8427" s="0" t="n">
        <v>18.432</v>
      </c>
      <c r="G8427" s="0" t="n">
        <v>-12.288</v>
      </c>
      <c r="H8427" s="0" t="n">
        <v>0.7</v>
      </c>
      <c r="I8427" s="7" t="n">
        <f aca="false">YEAR(B8427)</f>
        <v>2016</v>
      </c>
      <c r="J8427" s="0" t="str">
        <f aca="false">I8427&amp;"-Q"&amp;ROUNDUP(MONTH(B8427)/3,0)</f>
        <v>2016-Q3</v>
      </c>
    </row>
    <row r="8428" customFormat="false" ht="15" hidden="false" customHeight="false" outlineLevel="0" collapsed="false">
      <c r="A8428" s="0" t="s">
        <v>4263</v>
      </c>
      <c r="B8428" s="6" t="n">
        <v>42279</v>
      </c>
      <c r="C8428" s="7" t="s">
        <v>33</v>
      </c>
      <c r="D8428" s="7" t="s">
        <v>109</v>
      </c>
      <c r="E8428" s="7" t="s">
        <v>35</v>
      </c>
      <c r="F8428" s="0" t="n">
        <v>10.944</v>
      </c>
      <c r="G8428" s="0" t="n">
        <v>0.9576</v>
      </c>
      <c r="H8428" s="0" t="n">
        <v>0.2</v>
      </c>
      <c r="I8428" s="7" t="n">
        <f aca="false">YEAR(B8428)</f>
        <v>2015</v>
      </c>
      <c r="J8428" s="0" t="str">
        <f aca="false">I8428&amp;"-Q"&amp;ROUNDUP(MONTH(B8428)/3,0)</f>
        <v>2015-Q4</v>
      </c>
    </row>
    <row r="8429" customFormat="false" ht="15" hidden="false" customHeight="false" outlineLevel="0" collapsed="false">
      <c r="A8429" s="0" t="s">
        <v>4264</v>
      </c>
      <c r="B8429" s="6" t="n">
        <v>43062</v>
      </c>
      <c r="C8429" s="7" t="s">
        <v>45</v>
      </c>
      <c r="D8429" s="7" t="s">
        <v>70</v>
      </c>
      <c r="E8429" s="7" t="s">
        <v>35</v>
      </c>
      <c r="F8429" s="0" t="n">
        <v>4.36</v>
      </c>
      <c r="G8429" s="0" t="n">
        <v>0.1744</v>
      </c>
      <c r="H8429" s="0" t="n">
        <v>0</v>
      </c>
      <c r="I8429" s="7" t="n">
        <f aca="false">YEAR(B8429)</f>
        <v>2017</v>
      </c>
      <c r="J8429" s="0" t="str">
        <f aca="false">I8429&amp;"-Q"&amp;ROUNDUP(MONTH(B8429)/3,0)</f>
        <v>2017-Q4</v>
      </c>
    </row>
    <row r="8430" customFormat="false" ht="15" hidden="false" customHeight="false" outlineLevel="0" collapsed="false">
      <c r="A8430" s="0" t="s">
        <v>4265</v>
      </c>
      <c r="B8430" s="6" t="n">
        <v>43051</v>
      </c>
      <c r="C8430" s="7" t="s">
        <v>33</v>
      </c>
      <c r="D8430" s="7" t="s">
        <v>81</v>
      </c>
      <c r="E8430" s="7" t="s">
        <v>39</v>
      </c>
      <c r="F8430" s="0" t="n">
        <v>62.352</v>
      </c>
      <c r="G8430" s="0" t="n">
        <v>-10.9116</v>
      </c>
      <c r="H8430" s="0" t="n">
        <v>0.2</v>
      </c>
      <c r="I8430" s="7" t="n">
        <f aca="false">YEAR(B8430)</f>
        <v>2017</v>
      </c>
      <c r="J8430" s="0" t="str">
        <f aca="false">I8430&amp;"-Q"&amp;ROUNDUP(MONTH(B8430)/3,0)</f>
        <v>2017-Q4</v>
      </c>
    </row>
    <row r="8431" customFormat="false" ht="15" hidden="false" customHeight="false" outlineLevel="0" collapsed="false">
      <c r="A8431" s="0" t="s">
        <v>4266</v>
      </c>
      <c r="B8431" s="6" t="n">
        <v>42723</v>
      </c>
      <c r="C8431" s="7" t="s">
        <v>55</v>
      </c>
      <c r="D8431" s="7" t="s">
        <v>56</v>
      </c>
      <c r="E8431" s="7" t="s">
        <v>31</v>
      </c>
      <c r="F8431" s="0" t="n">
        <v>303.92</v>
      </c>
      <c r="G8431" s="0" t="n">
        <v>-30.392</v>
      </c>
      <c r="H8431" s="0" t="n">
        <v>0.2</v>
      </c>
      <c r="I8431" s="7" t="n">
        <f aca="false">YEAR(B8431)</f>
        <v>2016</v>
      </c>
      <c r="J8431" s="0" t="str">
        <f aca="false">I8431&amp;"-Q"&amp;ROUNDUP(MONTH(B8431)/3,0)</f>
        <v>2016-Q4</v>
      </c>
    </row>
    <row r="8432" customFormat="false" ht="15" hidden="false" customHeight="false" outlineLevel="0" collapsed="false">
      <c r="A8432" s="0" t="s">
        <v>4267</v>
      </c>
      <c r="B8432" s="6" t="n">
        <v>41728</v>
      </c>
      <c r="C8432" s="7" t="s">
        <v>45</v>
      </c>
      <c r="D8432" s="7" t="s">
        <v>68</v>
      </c>
      <c r="E8432" s="7" t="s">
        <v>35</v>
      </c>
      <c r="F8432" s="0" t="n">
        <v>129.3</v>
      </c>
      <c r="G8432" s="0" t="n">
        <v>6.465</v>
      </c>
      <c r="H8432" s="0" t="n">
        <v>0</v>
      </c>
      <c r="I8432" s="7" t="n">
        <f aca="false">YEAR(B8432)</f>
        <v>2014</v>
      </c>
      <c r="J8432" s="0" t="str">
        <f aca="false">I8432&amp;"-Q"&amp;ROUNDUP(MONTH(B8432)/3,0)</f>
        <v>2014-Q1</v>
      </c>
    </row>
    <row r="8433" customFormat="false" ht="15" hidden="false" customHeight="false" outlineLevel="0" collapsed="false">
      <c r="A8433" s="0" t="s">
        <v>4268</v>
      </c>
      <c r="B8433" s="6" t="n">
        <v>43047</v>
      </c>
      <c r="C8433" s="7" t="s">
        <v>55</v>
      </c>
      <c r="D8433" s="7" t="s">
        <v>495</v>
      </c>
      <c r="E8433" s="7" t="s">
        <v>31</v>
      </c>
      <c r="F8433" s="0" t="n">
        <v>274.2</v>
      </c>
      <c r="G8433" s="0" t="n">
        <v>112.422</v>
      </c>
      <c r="H8433" s="0" t="n">
        <v>0</v>
      </c>
      <c r="I8433" s="7" t="n">
        <f aca="false">YEAR(B8433)</f>
        <v>2017</v>
      </c>
      <c r="J8433" s="0" t="str">
        <f aca="false">I8433&amp;"-Q"&amp;ROUNDUP(MONTH(B8433)/3,0)</f>
        <v>2017-Q4</v>
      </c>
    </row>
    <row r="8434" customFormat="false" ht="15" hidden="false" customHeight="false" outlineLevel="0" collapsed="false">
      <c r="A8434" s="0" t="s">
        <v>4269</v>
      </c>
      <c r="B8434" s="6" t="n">
        <v>41896</v>
      </c>
      <c r="C8434" s="7" t="s">
        <v>45</v>
      </c>
      <c r="D8434" s="7" t="s">
        <v>46</v>
      </c>
      <c r="E8434" s="7" t="s">
        <v>35</v>
      </c>
      <c r="F8434" s="0" t="n">
        <v>6.048</v>
      </c>
      <c r="G8434" s="0" t="n">
        <v>-1.3608</v>
      </c>
      <c r="H8434" s="0" t="n">
        <v>0.2</v>
      </c>
      <c r="I8434" s="7" t="n">
        <f aca="false">YEAR(B8434)</f>
        <v>2014</v>
      </c>
      <c r="J8434" s="0" t="str">
        <f aca="false">I8434&amp;"-Q"&amp;ROUNDUP(MONTH(B8434)/3,0)</f>
        <v>2014-Q3</v>
      </c>
    </row>
    <row r="8435" customFormat="false" ht="15" hidden="false" customHeight="false" outlineLevel="0" collapsed="false">
      <c r="A8435" s="0" t="s">
        <v>4269</v>
      </c>
      <c r="B8435" s="6" t="n">
        <v>41896</v>
      </c>
      <c r="C8435" s="7" t="s">
        <v>45</v>
      </c>
      <c r="D8435" s="7" t="s">
        <v>46</v>
      </c>
      <c r="E8435" s="7" t="s">
        <v>35</v>
      </c>
      <c r="F8435" s="0" t="n">
        <v>6.848</v>
      </c>
      <c r="G8435" s="0" t="n">
        <v>2.14</v>
      </c>
      <c r="H8435" s="0" t="n">
        <v>0.2</v>
      </c>
      <c r="I8435" s="7" t="n">
        <f aca="false">YEAR(B8435)</f>
        <v>2014</v>
      </c>
      <c r="J8435" s="0" t="str">
        <f aca="false">I8435&amp;"-Q"&amp;ROUNDUP(MONTH(B8435)/3,0)</f>
        <v>2014-Q3</v>
      </c>
    </row>
    <row r="8436" customFormat="false" ht="15" hidden="false" customHeight="false" outlineLevel="0" collapsed="false">
      <c r="A8436" s="0" t="s">
        <v>4269</v>
      </c>
      <c r="B8436" s="6" t="n">
        <v>41896</v>
      </c>
      <c r="C8436" s="7" t="s">
        <v>45</v>
      </c>
      <c r="D8436" s="7" t="s">
        <v>46</v>
      </c>
      <c r="E8436" s="7" t="s">
        <v>31</v>
      </c>
      <c r="F8436" s="0" t="n">
        <v>9.96</v>
      </c>
      <c r="G8436" s="0" t="n">
        <v>-6.723</v>
      </c>
      <c r="H8436" s="0" t="n">
        <v>0.6</v>
      </c>
      <c r="I8436" s="7" t="n">
        <f aca="false">YEAR(B8436)</f>
        <v>2014</v>
      </c>
      <c r="J8436" s="0" t="str">
        <f aca="false">I8436&amp;"-Q"&amp;ROUNDUP(MONTH(B8436)/3,0)</f>
        <v>2014-Q3</v>
      </c>
    </row>
    <row r="8437" customFormat="false" ht="15" hidden="false" customHeight="false" outlineLevel="0" collapsed="false">
      <c r="A8437" s="0" t="s">
        <v>4269</v>
      </c>
      <c r="B8437" s="6" t="n">
        <v>41896</v>
      </c>
      <c r="C8437" s="7" t="s">
        <v>45</v>
      </c>
      <c r="D8437" s="7" t="s">
        <v>46</v>
      </c>
      <c r="E8437" s="7" t="s">
        <v>35</v>
      </c>
      <c r="F8437" s="0" t="n">
        <v>8.552</v>
      </c>
      <c r="G8437" s="0" t="n">
        <v>-13.6832</v>
      </c>
      <c r="H8437" s="0" t="n">
        <v>0.8</v>
      </c>
      <c r="I8437" s="7" t="n">
        <f aca="false">YEAR(B8437)</f>
        <v>2014</v>
      </c>
      <c r="J8437" s="0" t="str">
        <f aca="false">I8437&amp;"-Q"&amp;ROUNDUP(MONTH(B8437)/3,0)</f>
        <v>2014-Q3</v>
      </c>
    </row>
    <row r="8438" customFormat="false" ht="15" hidden="false" customHeight="false" outlineLevel="0" collapsed="false">
      <c r="A8438" s="0" t="s">
        <v>4270</v>
      </c>
      <c r="B8438" s="6" t="n">
        <v>42267</v>
      </c>
      <c r="C8438" s="7" t="s">
        <v>33</v>
      </c>
      <c r="D8438" s="7" t="s">
        <v>248</v>
      </c>
      <c r="E8438" s="7" t="s">
        <v>35</v>
      </c>
      <c r="F8438" s="0" t="n">
        <v>45.584</v>
      </c>
      <c r="G8438" s="0" t="n">
        <v>16.5242</v>
      </c>
      <c r="H8438" s="0" t="n">
        <v>0.2</v>
      </c>
      <c r="I8438" s="7" t="n">
        <f aca="false">YEAR(B8438)</f>
        <v>2015</v>
      </c>
      <c r="J8438" s="0" t="str">
        <f aca="false">I8438&amp;"-Q"&amp;ROUNDUP(MONTH(B8438)/3,0)</f>
        <v>2015-Q3</v>
      </c>
    </row>
    <row r="8439" customFormat="false" ht="15" hidden="false" customHeight="false" outlineLevel="0" collapsed="false">
      <c r="A8439" s="0" t="s">
        <v>4271</v>
      </c>
      <c r="B8439" s="6" t="n">
        <v>42348</v>
      </c>
      <c r="C8439" s="7" t="s">
        <v>55</v>
      </c>
      <c r="D8439" s="7" t="s">
        <v>116</v>
      </c>
      <c r="E8439" s="7" t="s">
        <v>39</v>
      </c>
      <c r="F8439" s="0" t="n">
        <v>25.488</v>
      </c>
      <c r="G8439" s="0" t="n">
        <v>4.4604</v>
      </c>
      <c r="H8439" s="0" t="n">
        <v>0.2</v>
      </c>
      <c r="I8439" s="7" t="n">
        <f aca="false">YEAR(B8439)</f>
        <v>2015</v>
      </c>
      <c r="J8439" s="0" t="str">
        <f aca="false">I8439&amp;"-Q"&amp;ROUNDUP(MONTH(B8439)/3,0)</f>
        <v>2015-Q4</v>
      </c>
    </row>
    <row r="8440" customFormat="false" ht="15" hidden="false" customHeight="false" outlineLevel="0" collapsed="false">
      <c r="A8440" s="0" t="s">
        <v>4272</v>
      </c>
      <c r="B8440" s="6" t="n">
        <v>41787</v>
      </c>
      <c r="C8440" s="7" t="s">
        <v>33</v>
      </c>
      <c r="D8440" s="7" t="s">
        <v>43</v>
      </c>
      <c r="E8440" s="7" t="s">
        <v>35</v>
      </c>
      <c r="F8440" s="0" t="n">
        <v>136.96</v>
      </c>
      <c r="G8440" s="0" t="n">
        <v>51.36</v>
      </c>
      <c r="H8440" s="0" t="n">
        <v>0.2</v>
      </c>
      <c r="I8440" s="7" t="n">
        <f aca="false">YEAR(B8440)</f>
        <v>2014</v>
      </c>
      <c r="J8440" s="0" t="str">
        <f aca="false">I8440&amp;"-Q"&amp;ROUNDUP(MONTH(B8440)/3,0)</f>
        <v>2014-Q2</v>
      </c>
    </row>
    <row r="8441" customFormat="false" ht="15" hidden="false" customHeight="false" outlineLevel="0" collapsed="false">
      <c r="A8441" s="0" t="s">
        <v>4273</v>
      </c>
      <c r="B8441" s="6" t="n">
        <v>42808</v>
      </c>
      <c r="C8441" s="7" t="s">
        <v>45</v>
      </c>
      <c r="D8441" s="7" t="s">
        <v>64</v>
      </c>
      <c r="E8441" s="7" t="s">
        <v>39</v>
      </c>
      <c r="F8441" s="0" t="n">
        <v>49.616</v>
      </c>
      <c r="G8441" s="0" t="n">
        <v>4.9616</v>
      </c>
      <c r="H8441" s="0" t="n">
        <v>0.2</v>
      </c>
      <c r="I8441" s="7" t="n">
        <f aca="false">YEAR(B8441)</f>
        <v>2017</v>
      </c>
      <c r="J8441" s="0" t="str">
        <f aca="false">I8441&amp;"-Q"&amp;ROUNDUP(MONTH(B8441)/3,0)</f>
        <v>2017-Q1</v>
      </c>
    </row>
    <row r="8442" customFormat="false" ht="15" hidden="false" customHeight="false" outlineLevel="0" collapsed="false">
      <c r="A8442" s="0" t="s">
        <v>4274</v>
      </c>
      <c r="B8442" s="6" t="n">
        <v>42712</v>
      </c>
      <c r="C8442" s="7" t="s">
        <v>55</v>
      </c>
      <c r="D8442" s="7" t="s">
        <v>116</v>
      </c>
      <c r="E8442" s="7" t="s">
        <v>35</v>
      </c>
      <c r="F8442" s="0" t="n">
        <v>10.584</v>
      </c>
      <c r="G8442" s="0" t="n">
        <v>3.4398</v>
      </c>
      <c r="H8442" s="0" t="n">
        <v>0.2</v>
      </c>
      <c r="I8442" s="7" t="n">
        <f aca="false">YEAR(B8442)</f>
        <v>2016</v>
      </c>
      <c r="J8442" s="0" t="str">
        <f aca="false">I8442&amp;"-Q"&amp;ROUNDUP(MONTH(B8442)/3,0)</f>
        <v>2016-Q4</v>
      </c>
    </row>
    <row r="8443" customFormat="false" ht="15" hidden="false" customHeight="false" outlineLevel="0" collapsed="false">
      <c r="A8443" s="0" t="s">
        <v>4275</v>
      </c>
      <c r="B8443" s="6" t="n">
        <v>42861</v>
      </c>
      <c r="C8443" s="7" t="s">
        <v>33</v>
      </c>
      <c r="D8443" s="7" t="s">
        <v>81</v>
      </c>
      <c r="E8443" s="7" t="s">
        <v>35</v>
      </c>
      <c r="F8443" s="0" t="n">
        <v>84.416</v>
      </c>
      <c r="G8443" s="0" t="n">
        <v>27.4352</v>
      </c>
      <c r="H8443" s="0" t="n">
        <v>0.2</v>
      </c>
      <c r="I8443" s="7" t="n">
        <f aca="false">YEAR(B8443)</f>
        <v>2017</v>
      </c>
      <c r="J8443" s="0" t="str">
        <f aca="false">I8443&amp;"-Q"&amp;ROUNDUP(MONTH(B8443)/3,0)</f>
        <v>2017-Q2</v>
      </c>
    </row>
    <row r="8444" customFormat="false" ht="15" hidden="false" customHeight="false" outlineLevel="0" collapsed="false">
      <c r="A8444" s="0" t="s">
        <v>4276</v>
      </c>
      <c r="B8444" s="6" t="n">
        <v>42435</v>
      </c>
      <c r="C8444" s="7" t="s">
        <v>55</v>
      </c>
      <c r="D8444" s="7" t="s">
        <v>56</v>
      </c>
      <c r="E8444" s="7" t="s">
        <v>39</v>
      </c>
      <c r="F8444" s="0" t="n">
        <v>431.94</v>
      </c>
      <c r="G8444" s="0" t="n">
        <v>-71.99</v>
      </c>
      <c r="H8444" s="0" t="n">
        <v>0.4</v>
      </c>
      <c r="I8444" s="7" t="n">
        <f aca="false">YEAR(B8444)</f>
        <v>2016</v>
      </c>
      <c r="J8444" s="0" t="str">
        <f aca="false">I8444&amp;"-Q"&amp;ROUNDUP(MONTH(B8444)/3,0)</f>
        <v>2016-Q1</v>
      </c>
    </row>
    <row r="8445" customFormat="false" ht="15" hidden="false" customHeight="false" outlineLevel="0" collapsed="false">
      <c r="A8445" s="0" t="s">
        <v>4276</v>
      </c>
      <c r="B8445" s="6" t="n">
        <v>42435</v>
      </c>
      <c r="C8445" s="7" t="s">
        <v>55</v>
      </c>
      <c r="D8445" s="7" t="s">
        <v>56</v>
      </c>
      <c r="E8445" s="7" t="s">
        <v>35</v>
      </c>
      <c r="F8445" s="0" t="n">
        <v>2.043</v>
      </c>
      <c r="G8445" s="0" t="n">
        <v>-1.4982</v>
      </c>
      <c r="H8445" s="0" t="n">
        <v>0.7</v>
      </c>
      <c r="I8445" s="7" t="n">
        <f aca="false">YEAR(B8445)</f>
        <v>2016</v>
      </c>
      <c r="J8445" s="0" t="str">
        <f aca="false">I8445&amp;"-Q"&amp;ROUNDUP(MONTH(B8445)/3,0)</f>
        <v>2016-Q1</v>
      </c>
    </row>
    <row r="8446" customFormat="false" ht="15" hidden="false" customHeight="false" outlineLevel="0" collapsed="false">
      <c r="A8446" s="0" t="s">
        <v>4276</v>
      </c>
      <c r="B8446" s="6" t="n">
        <v>42435</v>
      </c>
      <c r="C8446" s="7" t="s">
        <v>55</v>
      </c>
      <c r="D8446" s="7" t="s">
        <v>56</v>
      </c>
      <c r="E8446" s="7" t="s">
        <v>39</v>
      </c>
      <c r="F8446" s="0" t="n">
        <v>68.238</v>
      </c>
      <c r="G8446" s="0" t="n">
        <v>-12.5103</v>
      </c>
      <c r="H8446" s="0" t="n">
        <v>0.4</v>
      </c>
      <c r="I8446" s="7" t="n">
        <f aca="false">YEAR(B8446)</f>
        <v>2016</v>
      </c>
      <c r="J8446" s="0" t="str">
        <f aca="false">I8446&amp;"-Q"&amp;ROUNDUP(MONTH(B8446)/3,0)</f>
        <v>2016-Q1</v>
      </c>
    </row>
    <row r="8447" customFormat="false" ht="15" hidden="false" customHeight="false" outlineLevel="0" collapsed="false">
      <c r="A8447" s="0" t="s">
        <v>4277</v>
      </c>
      <c r="B8447" s="6" t="n">
        <v>43031</v>
      </c>
      <c r="C8447" s="7" t="s">
        <v>55</v>
      </c>
      <c r="D8447" s="7" t="s">
        <v>250</v>
      </c>
      <c r="E8447" s="7" t="s">
        <v>31</v>
      </c>
      <c r="F8447" s="0" t="n">
        <v>240.744</v>
      </c>
      <c r="G8447" s="0" t="n">
        <v>-13.7568</v>
      </c>
      <c r="H8447" s="0" t="n">
        <v>0.3</v>
      </c>
      <c r="I8447" s="7" t="n">
        <f aca="false">YEAR(B8447)</f>
        <v>2017</v>
      </c>
      <c r="J8447" s="0" t="str">
        <f aca="false">I8447&amp;"-Q"&amp;ROUNDUP(MONTH(B8447)/3,0)</f>
        <v>2017-Q4</v>
      </c>
    </row>
    <row r="8448" customFormat="false" ht="15" hidden="false" customHeight="false" outlineLevel="0" collapsed="false">
      <c r="A8448" s="0" t="s">
        <v>4277</v>
      </c>
      <c r="B8448" s="6" t="n">
        <v>43031</v>
      </c>
      <c r="C8448" s="7" t="s">
        <v>55</v>
      </c>
      <c r="D8448" s="7" t="s">
        <v>250</v>
      </c>
      <c r="E8448" s="7" t="s">
        <v>31</v>
      </c>
      <c r="F8448" s="0" t="n">
        <v>35</v>
      </c>
      <c r="G8448" s="0" t="n">
        <v>14.7</v>
      </c>
      <c r="H8448" s="0" t="n">
        <v>0</v>
      </c>
      <c r="I8448" s="7" t="n">
        <f aca="false">YEAR(B8448)</f>
        <v>2017</v>
      </c>
      <c r="J8448" s="0" t="str">
        <f aca="false">I8448&amp;"-Q"&amp;ROUNDUP(MONTH(B8448)/3,0)</f>
        <v>2017-Q4</v>
      </c>
    </row>
    <row r="8449" customFormat="false" ht="15" hidden="false" customHeight="false" outlineLevel="0" collapsed="false">
      <c r="A8449" s="0" t="s">
        <v>4277</v>
      </c>
      <c r="B8449" s="6" t="n">
        <v>43031</v>
      </c>
      <c r="C8449" s="7" t="s">
        <v>55</v>
      </c>
      <c r="D8449" s="7" t="s">
        <v>250</v>
      </c>
      <c r="E8449" s="7" t="s">
        <v>31</v>
      </c>
      <c r="F8449" s="0" t="n">
        <v>210.68</v>
      </c>
      <c r="G8449" s="0" t="n">
        <v>50.5632</v>
      </c>
      <c r="H8449" s="0" t="n">
        <v>0</v>
      </c>
      <c r="I8449" s="7" t="n">
        <f aca="false">YEAR(B8449)</f>
        <v>2017</v>
      </c>
      <c r="J8449" s="0" t="str">
        <f aca="false">I8449&amp;"-Q"&amp;ROUNDUP(MONTH(B8449)/3,0)</f>
        <v>2017-Q4</v>
      </c>
    </row>
    <row r="8450" customFormat="false" ht="15" hidden="false" customHeight="false" outlineLevel="0" collapsed="false">
      <c r="A8450" s="0" t="s">
        <v>4277</v>
      </c>
      <c r="B8450" s="6" t="n">
        <v>43031</v>
      </c>
      <c r="C8450" s="7" t="s">
        <v>55</v>
      </c>
      <c r="D8450" s="7" t="s">
        <v>250</v>
      </c>
      <c r="E8450" s="7" t="s">
        <v>31</v>
      </c>
      <c r="F8450" s="0" t="n">
        <v>637.896</v>
      </c>
      <c r="G8450" s="0" t="n">
        <v>-127.5792</v>
      </c>
      <c r="H8450" s="0" t="n">
        <v>0.3</v>
      </c>
      <c r="I8450" s="7" t="n">
        <f aca="false">YEAR(B8450)</f>
        <v>2017</v>
      </c>
      <c r="J8450" s="0" t="str">
        <f aca="false">I8450&amp;"-Q"&amp;ROUNDUP(MONTH(B8450)/3,0)</f>
        <v>2017-Q4</v>
      </c>
    </row>
    <row r="8451" customFormat="false" ht="15" hidden="false" customHeight="false" outlineLevel="0" collapsed="false">
      <c r="A8451" s="0" t="s">
        <v>4277</v>
      </c>
      <c r="B8451" s="6" t="n">
        <v>43031</v>
      </c>
      <c r="C8451" s="7" t="s">
        <v>55</v>
      </c>
      <c r="D8451" s="7" t="s">
        <v>250</v>
      </c>
      <c r="E8451" s="7" t="s">
        <v>35</v>
      </c>
      <c r="F8451" s="0" t="n">
        <v>43.44</v>
      </c>
      <c r="G8451" s="0" t="n">
        <v>21.2856</v>
      </c>
      <c r="H8451" s="0" t="n">
        <v>0</v>
      </c>
      <c r="I8451" s="7" t="n">
        <f aca="false">YEAR(B8451)</f>
        <v>2017</v>
      </c>
      <c r="J8451" s="0" t="str">
        <f aca="false">I8451&amp;"-Q"&amp;ROUNDUP(MONTH(B8451)/3,0)</f>
        <v>2017-Q4</v>
      </c>
    </row>
    <row r="8452" customFormat="false" ht="15" hidden="false" customHeight="false" outlineLevel="0" collapsed="false">
      <c r="A8452" s="0" t="s">
        <v>4277</v>
      </c>
      <c r="B8452" s="6" t="n">
        <v>43031</v>
      </c>
      <c r="C8452" s="7" t="s">
        <v>55</v>
      </c>
      <c r="D8452" s="7" t="s">
        <v>250</v>
      </c>
      <c r="E8452" s="7" t="s">
        <v>35</v>
      </c>
      <c r="F8452" s="0" t="n">
        <v>2.22</v>
      </c>
      <c r="G8452" s="0" t="n">
        <v>0.666</v>
      </c>
      <c r="H8452" s="0" t="n">
        <v>0</v>
      </c>
      <c r="I8452" s="7" t="n">
        <f aca="false">YEAR(B8452)</f>
        <v>2017</v>
      </c>
      <c r="J8452" s="0" t="str">
        <f aca="false">I8452&amp;"-Q"&amp;ROUNDUP(MONTH(B8452)/3,0)</f>
        <v>2017-Q4</v>
      </c>
    </row>
    <row r="8453" customFormat="false" ht="15" hidden="false" customHeight="false" outlineLevel="0" collapsed="false">
      <c r="A8453" s="0" t="s">
        <v>4278</v>
      </c>
      <c r="B8453" s="6" t="n">
        <v>41757</v>
      </c>
      <c r="C8453" s="7" t="s">
        <v>33</v>
      </c>
      <c r="D8453" s="7" t="s">
        <v>34</v>
      </c>
      <c r="E8453" s="7" t="s">
        <v>39</v>
      </c>
      <c r="F8453" s="0" t="n">
        <v>1679.96</v>
      </c>
      <c r="G8453" s="0" t="n">
        <v>125.997</v>
      </c>
      <c r="H8453" s="0" t="n">
        <v>0.2</v>
      </c>
      <c r="I8453" s="7" t="n">
        <f aca="false">YEAR(B8453)</f>
        <v>2014</v>
      </c>
      <c r="J8453" s="0" t="str">
        <f aca="false">I8453&amp;"-Q"&amp;ROUNDUP(MONTH(B8453)/3,0)</f>
        <v>2014-Q2</v>
      </c>
    </row>
    <row r="8454" customFormat="false" ht="15" hidden="false" customHeight="false" outlineLevel="0" collapsed="false">
      <c r="A8454" s="0" t="s">
        <v>4279</v>
      </c>
      <c r="B8454" s="6" t="n">
        <v>42478</v>
      </c>
      <c r="C8454" s="7" t="s">
        <v>45</v>
      </c>
      <c r="D8454" s="7" t="s">
        <v>46</v>
      </c>
      <c r="E8454" s="7" t="s">
        <v>31</v>
      </c>
      <c r="F8454" s="0" t="n">
        <v>344.372</v>
      </c>
      <c r="G8454" s="0" t="n">
        <v>-93.4724</v>
      </c>
      <c r="H8454" s="0" t="n">
        <v>0.3</v>
      </c>
      <c r="I8454" s="7" t="n">
        <f aca="false">YEAR(B8454)</f>
        <v>2016</v>
      </c>
      <c r="J8454" s="0" t="str">
        <f aca="false">I8454&amp;"-Q"&amp;ROUNDUP(MONTH(B8454)/3,0)</f>
        <v>2016-Q2</v>
      </c>
    </row>
    <row r="8455" customFormat="false" ht="15" hidden="false" customHeight="false" outlineLevel="0" collapsed="false">
      <c r="A8455" s="0" t="s">
        <v>4279</v>
      </c>
      <c r="B8455" s="6" t="n">
        <v>42478</v>
      </c>
      <c r="C8455" s="7" t="s">
        <v>45</v>
      </c>
      <c r="D8455" s="7" t="s">
        <v>46</v>
      </c>
      <c r="E8455" s="7" t="s">
        <v>35</v>
      </c>
      <c r="F8455" s="0" t="n">
        <v>1554.936</v>
      </c>
      <c r="G8455" s="0" t="n">
        <v>77.7468</v>
      </c>
      <c r="H8455" s="0" t="n">
        <v>0.2</v>
      </c>
      <c r="I8455" s="7" t="n">
        <f aca="false">YEAR(B8455)</f>
        <v>2016</v>
      </c>
      <c r="J8455" s="0" t="str">
        <f aca="false">I8455&amp;"-Q"&amp;ROUNDUP(MONTH(B8455)/3,0)</f>
        <v>2016-Q2</v>
      </c>
    </row>
    <row r="8456" customFormat="false" ht="15" hidden="false" customHeight="false" outlineLevel="0" collapsed="false">
      <c r="A8456" s="0" t="s">
        <v>4279</v>
      </c>
      <c r="B8456" s="6" t="n">
        <v>42478</v>
      </c>
      <c r="C8456" s="7" t="s">
        <v>45</v>
      </c>
      <c r="D8456" s="7" t="s">
        <v>46</v>
      </c>
      <c r="E8456" s="7" t="s">
        <v>31</v>
      </c>
      <c r="F8456" s="0" t="n">
        <v>127.88</v>
      </c>
      <c r="G8456" s="0" t="n">
        <v>-67.137</v>
      </c>
      <c r="H8456" s="0" t="n">
        <v>0.6</v>
      </c>
      <c r="I8456" s="7" t="n">
        <f aca="false">YEAR(B8456)</f>
        <v>2016</v>
      </c>
      <c r="J8456" s="0" t="str">
        <f aca="false">I8456&amp;"-Q"&amp;ROUNDUP(MONTH(B8456)/3,0)</f>
        <v>2016-Q2</v>
      </c>
    </row>
    <row r="8457" customFormat="false" ht="15" hidden="false" customHeight="false" outlineLevel="0" collapsed="false">
      <c r="A8457" s="0" t="s">
        <v>4280</v>
      </c>
      <c r="B8457" s="6" t="n">
        <v>42512</v>
      </c>
      <c r="C8457" s="7" t="s">
        <v>33</v>
      </c>
      <c r="D8457" s="7" t="s">
        <v>34</v>
      </c>
      <c r="E8457" s="7" t="s">
        <v>39</v>
      </c>
      <c r="F8457" s="0" t="n">
        <v>222.384</v>
      </c>
      <c r="G8457" s="0" t="n">
        <v>22.2384</v>
      </c>
      <c r="H8457" s="0" t="n">
        <v>0.2</v>
      </c>
      <c r="I8457" s="7" t="n">
        <f aca="false">YEAR(B8457)</f>
        <v>2016</v>
      </c>
      <c r="J8457" s="0" t="str">
        <f aca="false">I8457&amp;"-Q"&amp;ROUNDUP(MONTH(B8457)/3,0)</f>
        <v>2016-Q2</v>
      </c>
    </row>
    <row r="8458" customFormat="false" ht="15" hidden="false" customHeight="false" outlineLevel="0" collapsed="false">
      <c r="A8458" s="0" t="s">
        <v>4281</v>
      </c>
      <c r="B8458" s="6" t="n">
        <v>42883</v>
      </c>
      <c r="C8458" s="7" t="s">
        <v>45</v>
      </c>
      <c r="D8458" s="7" t="s">
        <v>64</v>
      </c>
      <c r="E8458" s="7" t="s">
        <v>31</v>
      </c>
      <c r="F8458" s="0" t="n">
        <v>106.869</v>
      </c>
      <c r="G8458" s="0" t="n">
        <v>-29.0073</v>
      </c>
      <c r="H8458" s="0" t="n">
        <v>0.3</v>
      </c>
      <c r="I8458" s="7" t="n">
        <f aca="false">YEAR(B8458)</f>
        <v>2017</v>
      </c>
      <c r="J8458" s="0" t="str">
        <f aca="false">I8458&amp;"-Q"&amp;ROUNDUP(MONTH(B8458)/3,0)</f>
        <v>2017-Q2</v>
      </c>
    </row>
    <row r="8459" customFormat="false" ht="15" hidden="false" customHeight="false" outlineLevel="0" collapsed="false">
      <c r="A8459" s="0" t="s">
        <v>4281</v>
      </c>
      <c r="B8459" s="6" t="n">
        <v>42883</v>
      </c>
      <c r="C8459" s="7" t="s">
        <v>45</v>
      </c>
      <c r="D8459" s="7" t="s">
        <v>64</v>
      </c>
      <c r="E8459" s="7" t="s">
        <v>35</v>
      </c>
      <c r="F8459" s="0" t="n">
        <v>3.564</v>
      </c>
      <c r="G8459" s="0" t="n">
        <v>-6.237</v>
      </c>
      <c r="H8459" s="0" t="n">
        <v>0.8</v>
      </c>
      <c r="I8459" s="7" t="n">
        <f aca="false">YEAR(B8459)</f>
        <v>2017</v>
      </c>
      <c r="J8459" s="0" t="str">
        <f aca="false">I8459&amp;"-Q"&amp;ROUNDUP(MONTH(B8459)/3,0)</f>
        <v>2017-Q2</v>
      </c>
    </row>
    <row r="8460" customFormat="false" ht="15" hidden="false" customHeight="false" outlineLevel="0" collapsed="false">
      <c r="A8460" s="0" t="s">
        <v>4282</v>
      </c>
      <c r="B8460" s="6" t="n">
        <v>41876</v>
      </c>
      <c r="C8460" s="7" t="s">
        <v>45</v>
      </c>
      <c r="D8460" s="7" t="s">
        <v>46</v>
      </c>
      <c r="E8460" s="7" t="s">
        <v>35</v>
      </c>
      <c r="F8460" s="0" t="n">
        <v>25.68</v>
      </c>
      <c r="G8460" s="0" t="n">
        <v>-39.804</v>
      </c>
      <c r="H8460" s="0" t="n">
        <v>0.8</v>
      </c>
      <c r="I8460" s="7" t="n">
        <f aca="false">YEAR(B8460)</f>
        <v>2014</v>
      </c>
      <c r="J8460" s="0" t="str">
        <f aca="false">I8460&amp;"-Q"&amp;ROUNDUP(MONTH(B8460)/3,0)</f>
        <v>2014-Q3</v>
      </c>
    </row>
    <row r="8461" customFormat="false" ht="15" hidden="false" customHeight="false" outlineLevel="0" collapsed="false">
      <c r="A8461" s="0" t="s">
        <v>4282</v>
      </c>
      <c r="B8461" s="6" t="n">
        <v>41876</v>
      </c>
      <c r="C8461" s="7" t="s">
        <v>45</v>
      </c>
      <c r="D8461" s="7" t="s">
        <v>46</v>
      </c>
      <c r="E8461" s="7" t="s">
        <v>35</v>
      </c>
      <c r="F8461" s="0" t="n">
        <v>12.384</v>
      </c>
      <c r="G8461" s="0" t="n">
        <v>-19.8144</v>
      </c>
      <c r="H8461" s="0" t="n">
        <v>0.8</v>
      </c>
      <c r="I8461" s="7" t="n">
        <f aca="false">YEAR(B8461)</f>
        <v>2014</v>
      </c>
      <c r="J8461" s="0" t="str">
        <f aca="false">I8461&amp;"-Q"&amp;ROUNDUP(MONTH(B8461)/3,0)</f>
        <v>2014-Q3</v>
      </c>
    </row>
    <row r="8462" customFormat="false" ht="15" hidden="false" customHeight="false" outlineLevel="0" collapsed="false">
      <c r="A8462" s="0" t="s">
        <v>4283</v>
      </c>
      <c r="B8462" s="6" t="n">
        <v>41881</v>
      </c>
      <c r="C8462" s="7" t="s">
        <v>55</v>
      </c>
      <c r="D8462" s="7" t="s">
        <v>154</v>
      </c>
      <c r="E8462" s="7" t="s">
        <v>35</v>
      </c>
      <c r="F8462" s="0" t="n">
        <v>25.3</v>
      </c>
      <c r="G8462" s="0" t="n">
        <v>11.891</v>
      </c>
      <c r="H8462" s="0" t="n">
        <v>0</v>
      </c>
      <c r="I8462" s="7" t="n">
        <f aca="false">YEAR(B8462)</f>
        <v>2014</v>
      </c>
      <c r="J8462" s="0" t="str">
        <f aca="false">I8462&amp;"-Q"&amp;ROUNDUP(MONTH(B8462)/3,0)</f>
        <v>2014-Q3</v>
      </c>
    </row>
    <row r="8463" customFormat="false" ht="15" hidden="false" customHeight="false" outlineLevel="0" collapsed="false">
      <c r="A8463" s="0" t="s">
        <v>4283</v>
      </c>
      <c r="B8463" s="6" t="n">
        <v>41881</v>
      </c>
      <c r="C8463" s="7" t="s">
        <v>55</v>
      </c>
      <c r="D8463" s="7" t="s">
        <v>154</v>
      </c>
      <c r="E8463" s="7" t="s">
        <v>35</v>
      </c>
      <c r="F8463" s="0" t="n">
        <v>95.94</v>
      </c>
      <c r="G8463" s="0" t="n">
        <v>9.594</v>
      </c>
      <c r="H8463" s="0" t="n">
        <v>0</v>
      </c>
      <c r="I8463" s="7" t="n">
        <f aca="false">YEAR(B8463)</f>
        <v>2014</v>
      </c>
      <c r="J8463" s="0" t="str">
        <f aca="false">I8463&amp;"-Q"&amp;ROUNDUP(MONTH(B8463)/3,0)</f>
        <v>2014-Q3</v>
      </c>
    </row>
    <row r="8464" customFormat="false" ht="15" hidden="false" customHeight="false" outlineLevel="0" collapsed="false">
      <c r="A8464" s="0" t="s">
        <v>4284</v>
      </c>
      <c r="B8464" s="6" t="n">
        <v>42250</v>
      </c>
      <c r="C8464" s="7" t="s">
        <v>45</v>
      </c>
      <c r="D8464" s="7" t="s">
        <v>70</v>
      </c>
      <c r="E8464" s="7" t="s">
        <v>35</v>
      </c>
      <c r="F8464" s="0" t="n">
        <v>7.5</v>
      </c>
      <c r="G8464" s="0" t="n">
        <v>3.6</v>
      </c>
      <c r="H8464" s="0" t="n">
        <v>0</v>
      </c>
      <c r="I8464" s="7" t="n">
        <f aca="false">YEAR(B8464)</f>
        <v>2015</v>
      </c>
      <c r="J8464" s="0" t="str">
        <f aca="false">I8464&amp;"-Q"&amp;ROUNDUP(MONTH(B8464)/3,0)</f>
        <v>2015-Q3</v>
      </c>
    </row>
    <row r="8465" customFormat="false" ht="15" hidden="false" customHeight="false" outlineLevel="0" collapsed="false">
      <c r="A8465" s="0" t="s">
        <v>4285</v>
      </c>
      <c r="B8465" s="6" t="n">
        <v>41726</v>
      </c>
      <c r="C8465" s="7" t="s">
        <v>33</v>
      </c>
      <c r="D8465" s="7" t="s">
        <v>142</v>
      </c>
      <c r="E8465" s="7" t="s">
        <v>39</v>
      </c>
      <c r="F8465" s="0" t="n">
        <v>302.376</v>
      </c>
      <c r="G8465" s="0" t="n">
        <v>22.6782</v>
      </c>
      <c r="H8465" s="0" t="n">
        <v>0.2</v>
      </c>
      <c r="I8465" s="7" t="n">
        <f aca="false">YEAR(B8465)</f>
        <v>2014</v>
      </c>
      <c r="J8465" s="0" t="str">
        <f aca="false">I8465&amp;"-Q"&amp;ROUNDUP(MONTH(B8465)/3,0)</f>
        <v>2014-Q1</v>
      </c>
    </row>
    <row r="8466" customFormat="false" ht="15" hidden="false" customHeight="false" outlineLevel="0" collapsed="false">
      <c r="A8466" s="0" t="s">
        <v>4286</v>
      </c>
      <c r="B8466" s="6" t="n">
        <v>42134</v>
      </c>
      <c r="C8466" s="7" t="s">
        <v>33</v>
      </c>
      <c r="D8466" s="7" t="s">
        <v>109</v>
      </c>
      <c r="E8466" s="7" t="s">
        <v>39</v>
      </c>
      <c r="F8466" s="0" t="n">
        <v>46.688</v>
      </c>
      <c r="G8466" s="0" t="n">
        <v>-2.918</v>
      </c>
      <c r="H8466" s="0" t="n">
        <v>0.2</v>
      </c>
      <c r="I8466" s="7" t="n">
        <f aca="false">YEAR(B8466)</f>
        <v>2015</v>
      </c>
      <c r="J8466" s="0" t="str">
        <f aca="false">I8466&amp;"-Q"&amp;ROUNDUP(MONTH(B8466)/3,0)</f>
        <v>2015-Q2</v>
      </c>
    </row>
    <row r="8467" customFormat="false" ht="15" hidden="false" customHeight="false" outlineLevel="0" collapsed="false">
      <c r="A8467" s="0" t="s">
        <v>4287</v>
      </c>
      <c r="B8467" s="6" t="n">
        <v>42103</v>
      </c>
      <c r="C8467" s="7" t="s">
        <v>55</v>
      </c>
      <c r="D8467" s="7" t="s">
        <v>76</v>
      </c>
      <c r="E8467" s="7" t="s">
        <v>35</v>
      </c>
      <c r="F8467" s="0" t="n">
        <v>17.94</v>
      </c>
      <c r="G8467" s="0" t="n">
        <v>3.0498</v>
      </c>
      <c r="H8467" s="0" t="n">
        <v>0</v>
      </c>
      <c r="I8467" s="7" t="n">
        <f aca="false">YEAR(B8467)</f>
        <v>2015</v>
      </c>
      <c r="J8467" s="0" t="str">
        <f aca="false">I8467&amp;"-Q"&amp;ROUNDUP(MONTH(B8467)/3,0)</f>
        <v>2015-Q2</v>
      </c>
    </row>
    <row r="8468" customFormat="false" ht="15" hidden="false" customHeight="false" outlineLevel="0" collapsed="false">
      <c r="A8468" s="0" t="s">
        <v>4288</v>
      </c>
      <c r="B8468" s="6" t="n">
        <v>42103</v>
      </c>
      <c r="C8468" s="7" t="s">
        <v>55</v>
      </c>
      <c r="D8468" s="7" t="s">
        <v>154</v>
      </c>
      <c r="E8468" s="7" t="s">
        <v>35</v>
      </c>
      <c r="F8468" s="0" t="n">
        <v>370.14</v>
      </c>
      <c r="G8468" s="0" t="n">
        <v>144.3546</v>
      </c>
      <c r="H8468" s="0" t="n">
        <v>0</v>
      </c>
      <c r="I8468" s="7" t="n">
        <f aca="false">YEAR(B8468)</f>
        <v>2015</v>
      </c>
      <c r="J8468" s="0" t="str">
        <f aca="false">I8468&amp;"-Q"&amp;ROUNDUP(MONTH(B8468)/3,0)</f>
        <v>2015-Q2</v>
      </c>
    </row>
    <row r="8469" customFormat="false" ht="15" hidden="false" customHeight="false" outlineLevel="0" collapsed="false">
      <c r="A8469" s="0" t="s">
        <v>4289</v>
      </c>
      <c r="B8469" s="6" t="n">
        <v>42632</v>
      </c>
      <c r="C8469" s="7" t="s">
        <v>33</v>
      </c>
      <c r="D8469" s="7" t="s">
        <v>34</v>
      </c>
      <c r="E8469" s="7" t="s">
        <v>35</v>
      </c>
      <c r="F8469" s="0" t="n">
        <v>8.928</v>
      </c>
      <c r="G8469" s="0" t="n">
        <v>3.1248</v>
      </c>
      <c r="H8469" s="0" t="n">
        <v>0.2</v>
      </c>
      <c r="I8469" s="7" t="n">
        <f aca="false">YEAR(B8469)</f>
        <v>2016</v>
      </c>
      <c r="J8469" s="0" t="str">
        <f aca="false">I8469&amp;"-Q"&amp;ROUNDUP(MONTH(B8469)/3,0)</f>
        <v>2016-Q3</v>
      </c>
    </row>
    <row r="8470" customFormat="false" ht="15" hidden="false" customHeight="false" outlineLevel="0" collapsed="false">
      <c r="A8470" s="0" t="s">
        <v>4290</v>
      </c>
      <c r="B8470" s="6" t="n">
        <v>42685</v>
      </c>
      <c r="C8470" s="7" t="s">
        <v>45</v>
      </c>
      <c r="D8470" s="7" t="s">
        <v>74</v>
      </c>
      <c r="E8470" s="7" t="s">
        <v>31</v>
      </c>
      <c r="F8470" s="0" t="n">
        <v>2678.94</v>
      </c>
      <c r="G8470" s="0" t="n">
        <v>241.1046</v>
      </c>
      <c r="H8470" s="0" t="n">
        <v>0</v>
      </c>
      <c r="I8470" s="7" t="n">
        <f aca="false">YEAR(B8470)</f>
        <v>2016</v>
      </c>
      <c r="J8470" s="0" t="str">
        <f aca="false">I8470&amp;"-Q"&amp;ROUNDUP(MONTH(B8470)/3,0)</f>
        <v>2016-Q4</v>
      </c>
    </row>
    <row r="8471" customFormat="false" ht="15" hidden="false" customHeight="false" outlineLevel="0" collapsed="false">
      <c r="A8471" s="0" t="s">
        <v>4291</v>
      </c>
      <c r="B8471" s="6" t="n">
        <v>42848</v>
      </c>
      <c r="C8471" s="7" t="s">
        <v>29</v>
      </c>
      <c r="D8471" s="7" t="s">
        <v>87</v>
      </c>
      <c r="E8471" s="7" t="s">
        <v>31</v>
      </c>
      <c r="F8471" s="0" t="n">
        <v>387.136</v>
      </c>
      <c r="G8471" s="0" t="n">
        <v>-14.5176</v>
      </c>
      <c r="H8471" s="0" t="n">
        <v>0.2</v>
      </c>
      <c r="I8471" s="7" t="n">
        <f aca="false">YEAR(B8471)</f>
        <v>2017</v>
      </c>
      <c r="J8471" s="0" t="str">
        <f aca="false">I8471&amp;"-Q"&amp;ROUNDUP(MONTH(B8471)/3,0)</f>
        <v>2017-Q2</v>
      </c>
    </row>
    <row r="8472" customFormat="false" ht="15" hidden="false" customHeight="false" outlineLevel="0" collapsed="false">
      <c r="A8472" s="0" t="s">
        <v>4291</v>
      </c>
      <c r="B8472" s="6" t="n">
        <v>42848</v>
      </c>
      <c r="C8472" s="7" t="s">
        <v>29</v>
      </c>
      <c r="D8472" s="7" t="s">
        <v>87</v>
      </c>
      <c r="E8472" s="7" t="s">
        <v>39</v>
      </c>
      <c r="F8472" s="0" t="n">
        <v>45.408</v>
      </c>
      <c r="G8472" s="0" t="n">
        <v>11.9196</v>
      </c>
      <c r="H8472" s="0" t="n">
        <v>0.2</v>
      </c>
      <c r="I8472" s="7" t="n">
        <f aca="false">YEAR(B8472)</f>
        <v>2017</v>
      </c>
      <c r="J8472" s="0" t="str">
        <f aca="false">I8472&amp;"-Q"&amp;ROUNDUP(MONTH(B8472)/3,0)</f>
        <v>2017-Q2</v>
      </c>
    </row>
    <row r="8473" customFormat="false" ht="15" hidden="false" customHeight="false" outlineLevel="0" collapsed="false">
      <c r="A8473" s="0" t="s">
        <v>4291</v>
      </c>
      <c r="B8473" s="6" t="n">
        <v>42848</v>
      </c>
      <c r="C8473" s="7" t="s">
        <v>29</v>
      </c>
      <c r="D8473" s="7" t="s">
        <v>87</v>
      </c>
      <c r="E8473" s="7" t="s">
        <v>31</v>
      </c>
      <c r="F8473" s="0" t="n">
        <v>77.952</v>
      </c>
      <c r="G8473" s="0" t="n">
        <v>-11.6928</v>
      </c>
      <c r="H8473" s="0" t="n">
        <v>0.2</v>
      </c>
      <c r="I8473" s="7" t="n">
        <f aca="false">YEAR(B8473)</f>
        <v>2017</v>
      </c>
      <c r="J8473" s="0" t="str">
        <f aca="false">I8473&amp;"-Q"&amp;ROUNDUP(MONTH(B8473)/3,0)</f>
        <v>2017-Q2</v>
      </c>
    </row>
    <row r="8474" customFormat="false" ht="15" hidden="false" customHeight="false" outlineLevel="0" collapsed="false">
      <c r="A8474" s="0" t="s">
        <v>4291</v>
      </c>
      <c r="B8474" s="6" t="n">
        <v>42848</v>
      </c>
      <c r="C8474" s="7" t="s">
        <v>29</v>
      </c>
      <c r="D8474" s="7" t="s">
        <v>87</v>
      </c>
      <c r="E8474" s="7" t="s">
        <v>35</v>
      </c>
      <c r="F8474" s="0" t="n">
        <v>3</v>
      </c>
      <c r="G8474" s="0" t="n">
        <v>1.05</v>
      </c>
      <c r="H8474" s="0" t="n">
        <v>0.2</v>
      </c>
      <c r="I8474" s="7" t="n">
        <f aca="false">YEAR(B8474)</f>
        <v>2017</v>
      </c>
      <c r="J8474" s="0" t="str">
        <f aca="false">I8474&amp;"-Q"&amp;ROUNDUP(MONTH(B8474)/3,0)</f>
        <v>2017-Q2</v>
      </c>
    </row>
    <row r="8475" customFormat="false" ht="15" hidden="false" customHeight="false" outlineLevel="0" collapsed="false">
      <c r="A8475" s="0" t="s">
        <v>4292</v>
      </c>
      <c r="B8475" s="6" t="n">
        <v>42299</v>
      </c>
      <c r="C8475" s="7" t="s">
        <v>29</v>
      </c>
      <c r="D8475" s="7" t="s">
        <v>37</v>
      </c>
      <c r="E8475" s="7" t="s">
        <v>35</v>
      </c>
      <c r="F8475" s="0" t="n">
        <v>9.952</v>
      </c>
      <c r="G8475" s="0" t="n">
        <v>0.9952</v>
      </c>
      <c r="H8475" s="0" t="n">
        <v>0.2</v>
      </c>
      <c r="I8475" s="7" t="n">
        <f aca="false">YEAR(B8475)</f>
        <v>2015</v>
      </c>
      <c r="J8475" s="0" t="str">
        <f aca="false">I8475&amp;"-Q"&amp;ROUNDUP(MONTH(B8475)/3,0)</f>
        <v>2015-Q4</v>
      </c>
    </row>
    <row r="8476" customFormat="false" ht="15" hidden="false" customHeight="false" outlineLevel="0" collapsed="false">
      <c r="A8476" s="0" t="s">
        <v>4293</v>
      </c>
      <c r="B8476" s="6" t="n">
        <v>42834</v>
      </c>
      <c r="C8476" s="7" t="s">
        <v>55</v>
      </c>
      <c r="D8476" s="7" t="s">
        <v>56</v>
      </c>
      <c r="E8476" s="7" t="s">
        <v>35</v>
      </c>
      <c r="F8476" s="0" t="n">
        <v>37.896</v>
      </c>
      <c r="G8476" s="0" t="n">
        <v>-29.0536</v>
      </c>
      <c r="H8476" s="0" t="n">
        <v>0.7</v>
      </c>
      <c r="I8476" s="7" t="n">
        <f aca="false">YEAR(B8476)</f>
        <v>2017</v>
      </c>
      <c r="J8476" s="0" t="str">
        <f aca="false">I8476&amp;"-Q"&amp;ROUNDUP(MONTH(B8476)/3,0)</f>
        <v>2017-Q2</v>
      </c>
    </row>
    <row r="8477" customFormat="false" ht="15" hidden="false" customHeight="false" outlineLevel="0" collapsed="false">
      <c r="A8477" s="0" t="s">
        <v>4293</v>
      </c>
      <c r="B8477" s="6" t="n">
        <v>42834</v>
      </c>
      <c r="C8477" s="7" t="s">
        <v>55</v>
      </c>
      <c r="D8477" s="7" t="s">
        <v>56</v>
      </c>
      <c r="E8477" s="7" t="s">
        <v>35</v>
      </c>
      <c r="F8477" s="0" t="n">
        <v>65.584</v>
      </c>
      <c r="G8477" s="0" t="n">
        <v>23.7742</v>
      </c>
      <c r="H8477" s="0" t="n">
        <v>0.2</v>
      </c>
      <c r="I8477" s="7" t="n">
        <f aca="false">YEAR(B8477)</f>
        <v>2017</v>
      </c>
      <c r="J8477" s="0" t="str">
        <f aca="false">I8477&amp;"-Q"&amp;ROUNDUP(MONTH(B8477)/3,0)</f>
        <v>2017-Q2</v>
      </c>
    </row>
    <row r="8478" customFormat="false" ht="15" hidden="false" customHeight="false" outlineLevel="0" collapsed="false">
      <c r="A8478" s="0" t="s">
        <v>4294</v>
      </c>
      <c r="B8478" s="6" t="n">
        <v>43035</v>
      </c>
      <c r="C8478" s="7" t="s">
        <v>33</v>
      </c>
      <c r="D8478" s="7" t="s">
        <v>81</v>
      </c>
      <c r="E8478" s="7" t="s">
        <v>35</v>
      </c>
      <c r="F8478" s="0" t="n">
        <v>44.784</v>
      </c>
      <c r="G8478" s="0" t="n">
        <v>16.2342</v>
      </c>
      <c r="H8478" s="0" t="n">
        <v>0.2</v>
      </c>
      <c r="I8478" s="7" t="n">
        <f aca="false">YEAR(B8478)</f>
        <v>2017</v>
      </c>
      <c r="J8478" s="0" t="str">
        <f aca="false">I8478&amp;"-Q"&amp;ROUNDUP(MONTH(B8478)/3,0)</f>
        <v>2017-Q4</v>
      </c>
    </row>
    <row r="8479" customFormat="false" ht="15" hidden="false" customHeight="false" outlineLevel="0" collapsed="false">
      <c r="A8479" s="0" t="s">
        <v>4295</v>
      </c>
      <c r="B8479" s="6" t="n">
        <v>42307</v>
      </c>
      <c r="C8479" s="7" t="s">
        <v>55</v>
      </c>
      <c r="D8479" s="7" t="s">
        <v>76</v>
      </c>
      <c r="E8479" s="7" t="s">
        <v>39</v>
      </c>
      <c r="F8479" s="0" t="n">
        <v>1035.8</v>
      </c>
      <c r="G8479" s="0" t="n">
        <v>269.308</v>
      </c>
      <c r="H8479" s="0" t="n">
        <v>0</v>
      </c>
      <c r="I8479" s="7" t="n">
        <f aca="false">YEAR(B8479)</f>
        <v>2015</v>
      </c>
      <c r="J8479" s="0" t="str">
        <f aca="false">I8479&amp;"-Q"&amp;ROUNDUP(MONTH(B8479)/3,0)</f>
        <v>2015-Q4</v>
      </c>
    </row>
    <row r="8480" customFormat="false" ht="15" hidden="false" customHeight="false" outlineLevel="0" collapsed="false">
      <c r="A8480" s="0" t="s">
        <v>4296</v>
      </c>
      <c r="B8480" s="6" t="n">
        <v>43087</v>
      </c>
      <c r="C8480" s="7" t="s">
        <v>33</v>
      </c>
      <c r="D8480" s="7" t="s">
        <v>34</v>
      </c>
      <c r="E8480" s="7" t="s">
        <v>35</v>
      </c>
      <c r="F8480" s="0" t="n">
        <v>5.76</v>
      </c>
      <c r="G8480" s="0" t="n">
        <v>1.6704</v>
      </c>
      <c r="H8480" s="0" t="n">
        <v>0</v>
      </c>
      <c r="I8480" s="7" t="n">
        <f aca="false">YEAR(B8480)</f>
        <v>2017</v>
      </c>
      <c r="J8480" s="0" t="str">
        <f aca="false">I8480&amp;"-Q"&amp;ROUNDUP(MONTH(B8480)/3,0)</f>
        <v>2017-Q4</v>
      </c>
    </row>
    <row r="8481" customFormat="false" ht="15" hidden="false" customHeight="false" outlineLevel="0" collapsed="false">
      <c r="A8481" s="0" t="s">
        <v>4297</v>
      </c>
      <c r="B8481" s="6" t="n">
        <v>42441</v>
      </c>
      <c r="C8481" s="7" t="s">
        <v>33</v>
      </c>
      <c r="D8481" s="7" t="s">
        <v>34</v>
      </c>
      <c r="E8481" s="7" t="s">
        <v>35</v>
      </c>
      <c r="F8481" s="0" t="n">
        <v>19.98</v>
      </c>
      <c r="G8481" s="0" t="n">
        <v>8.991</v>
      </c>
      <c r="H8481" s="0" t="n">
        <v>0</v>
      </c>
      <c r="I8481" s="7" t="n">
        <f aca="false">YEAR(B8481)</f>
        <v>2016</v>
      </c>
      <c r="J8481" s="0" t="str">
        <f aca="false">I8481&amp;"-Q"&amp;ROUNDUP(MONTH(B8481)/3,0)</f>
        <v>2016-Q1</v>
      </c>
    </row>
    <row r="8482" customFormat="false" ht="15" hidden="false" customHeight="false" outlineLevel="0" collapsed="false">
      <c r="A8482" s="0" t="s">
        <v>4298</v>
      </c>
      <c r="B8482" s="6" t="n">
        <v>41841</v>
      </c>
      <c r="C8482" s="7" t="s">
        <v>45</v>
      </c>
      <c r="D8482" s="7" t="s">
        <v>53</v>
      </c>
      <c r="E8482" s="7" t="s">
        <v>39</v>
      </c>
      <c r="F8482" s="0" t="n">
        <v>35.98</v>
      </c>
      <c r="G8482" s="0" t="n">
        <v>10.0744</v>
      </c>
      <c r="H8482" s="0" t="n">
        <v>0</v>
      </c>
      <c r="I8482" s="7" t="n">
        <f aca="false">YEAR(B8482)</f>
        <v>2014</v>
      </c>
      <c r="J8482" s="0" t="str">
        <f aca="false">I8482&amp;"-Q"&amp;ROUNDUP(MONTH(B8482)/3,0)</f>
        <v>2014-Q3</v>
      </c>
    </row>
    <row r="8483" customFormat="false" ht="15" hidden="false" customHeight="false" outlineLevel="0" collapsed="false">
      <c r="A8483" s="0" t="s">
        <v>4299</v>
      </c>
      <c r="B8483" s="6" t="n">
        <v>42514</v>
      </c>
      <c r="C8483" s="7" t="s">
        <v>55</v>
      </c>
      <c r="D8483" s="7" t="s">
        <v>56</v>
      </c>
      <c r="E8483" s="7" t="s">
        <v>35</v>
      </c>
      <c r="F8483" s="0" t="n">
        <v>16.656</v>
      </c>
      <c r="G8483" s="0" t="n">
        <v>3.3312</v>
      </c>
      <c r="H8483" s="0" t="n">
        <v>0.2</v>
      </c>
      <c r="I8483" s="7" t="n">
        <f aca="false">YEAR(B8483)</f>
        <v>2016</v>
      </c>
      <c r="J8483" s="0" t="str">
        <f aca="false">I8483&amp;"-Q"&amp;ROUNDUP(MONTH(B8483)/3,0)</f>
        <v>2016-Q2</v>
      </c>
    </row>
    <row r="8484" customFormat="false" ht="15" hidden="false" customHeight="false" outlineLevel="0" collapsed="false">
      <c r="A8484" s="0" t="s">
        <v>4300</v>
      </c>
      <c r="B8484" s="6" t="n">
        <v>42777</v>
      </c>
      <c r="C8484" s="7" t="s">
        <v>55</v>
      </c>
      <c r="D8484" s="7" t="s">
        <v>76</v>
      </c>
      <c r="E8484" s="7" t="s">
        <v>35</v>
      </c>
      <c r="F8484" s="0" t="n">
        <v>20.7</v>
      </c>
      <c r="G8484" s="0" t="n">
        <v>9.936</v>
      </c>
      <c r="H8484" s="0" t="n">
        <v>0</v>
      </c>
      <c r="I8484" s="7" t="n">
        <f aca="false">YEAR(B8484)</f>
        <v>2017</v>
      </c>
      <c r="J8484" s="0" t="str">
        <f aca="false">I8484&amp;"-Q"&amp;ROUNDUP(MONTH(B8484)/3,0)</f>
        <v>2017-Q1</v>
      </c>
    </row>
    <row r="8485" customFormat="false" ht="15" hidden="false" customHeight="false" outlineLevel="0" collapsed="false">
      <c r="A8485" s="0" t="s">
        <v>4301</v>
      </c>
      <c r="B8485" s="6" t="n">
        <v>42633</v>
      </c>
      <c r="C8485" s="7" t="s">
        <v>45</v>
      </c>
      <c r="D8485" s="7" t="s">
        <v>70</v>
      </c>
      <c r="E8485" s="7" t="s">
        <v>35</v>
      </c>
      <c r="F8485" s="0" t="n">
        <v>83.7</v>
      </c>
      <c r="G8485" s="0" t="n">
        <v>41.013</v>
      </c>
      <c r="H8485" s="0" t="n">
        <v>0</v>
      </c>
      <c r="I8485" s="7" t="n">
        <f aca="false">YEAR(B8485)</f>
        <v>2016</v>
      </c>
      <c r="J8485" s="0" t="str">
        <f aca="false">I8485&amp;"-Q"&amp;ROUNDUP(MONTH(B8485)/3,0)</f>
        <v>2016-Q3</v>
      </c>
    </row>
    <row r="8486" customFormat="false" ht="15" hidden="false" customHeight="false" outlineLevel="0" collapsed="false">
      <c r="A8486" s="0" t="s">
        <v>4302</v>
      </c>
      <c r="B8486" s="6" t="n">
        <v>43002</v>
      </c>
      <c r="C8486" s="7" t="s">
        <v>33</v>
      </c>
      <c r="D8486" s="7" t="s">
        <v>43</v>
      </c>
      <c r="E8486" s="7" t="s">
        <v>31</v>
      </c>
      <c r="F8486" s="0" t="n">
        <v>199.8</v>
      </c>
      <c r="G8486" s="0" t="n">
        <v>71.928</v>
      </c>
      <c r="H8486" s="0" t="n">
        <v>0</v>
      </c>
      <c r="I8486" s="7" t="n">
        <f aca="false">YEAR(B8486)</f>
        <v>2017</v>
      </c>
      <c r="J8486" s="0" t="str">
        <f aca="false">I8486&amp;"-Q"&amp;ROUNDUP(MONTH(B8486)/3,0)</f>
        <v>2017-Q3</v>
      </c>
    </row>
    <row r="8487" customFormat="false" ht="15" hidden="false" customHeight="false" outlineLevel="0" collapsed="false">
      <c r="A8487" s="0" t="s">
        <v>4303</v>
      </c>
      <c r="B8487" s="6" t="n">
        <v>42821</v>
      </c>
      <c r="C8487" s="7" t="s">
        <v>33</v>
      </c>
      <c r="D8487" s="7" t="s">
        <v>34</v>
      </c>
      <c r="E8487" s="7" t="s">
        <v>35</v>
      </c>
      <c r="F8487" s="0" t="n">
        <v>45.68</v>
      </c>
      <c r="G8487" s="0" t="n">
        <v>21.0128</v>
      </c>
      <c r="H8487" s="0" t="n">
        <v>0</v>
      </c>
      <c r="I8487" s="7" t="n">
        <f aca="false">YEAR(B8487)</f>
        <v>2017</v>
      </c>
      <c r="J8487" s="0" t="str">
        <f aca="false">I8487&amp;"-Q"&amp;ROUNDUP(MONTH(B8487)/3,0)</f>
        <v>2017-Q1</v>
      </c>
    </row>
    <row r="8488" customFormat="false" ht="15" hidden="false" customHeight="false" outlineLevel="0" collapsed="false">
      <c r="A8488" s="0" t="s">
        <v>4303</v>
      </c>
      <c r="B8488" s="6" t="n">
        <v>42821</v>
      </c>
      <c r="C8488" s="7" t="s">
        <v>33</v>
      </c>
      <c r="D8488" s="7" t="s">
        <v>34</v>
      </c>
      <c r="E8488" s="7" t="s">
        <v>35</v>
      </c>
      <c r="F8488" s="0" t="n">
        <v>110.96</v>
      </c>
      <c r="G8488" s="0" t="n">
        <v>53.2608</v>
      </c>
      <c r="H8488" s="0" t="n">
        <v>0</v>
      </c>
      <c r="I8488" s="7" t="n">
        <f aca="false">YEAR(B8488)</f>
        <v>2017</v>
      </c>
      <c r="J8488" s="0" t="str">
        <f aca="false">I8488&amp;"-Q"&amp;ROUNDUP(MONTH(B8488)/3,0)</f>
        <v>2017-Q1</v>
      </c>
    </row>
    <row r="8489" customFormat="false" ht="15" hidden="false" customHeight="false" outlineLevel="0" collapsed="false">
      <c r="A8489" s="0" t="s">
        <v>4303</v>
      </c>
      <c r="B8489" s="6" t="n">
        <v>42821</v>
      </c>
      <c r="C8489" s="7" t="s">
        <v>33</v>
      </c>
      <c r="D8489" s="7" t="s">
        <v>34</v>
      </c>
      <c r="E8489" s="7" t="s">
        <v>35</v>
      </c>
      <c r="F8489" s="0" t="n">
        <v>11.94</v>
      </c>
      <c r="G8489" s="0" t="n">
        <v>5.97</v>
      </c>
      <c r="H8489" s="0" t="n">
        <v>0</v>
      </c>
      <c r="I8489" s="7" t="n">
        <f aca="false">YEAR(B8489)</f>
        <v>2017</v>
      </c>
      <c r="J8489" s="0" t="str">
        <f aca="false">I8489&amp;"-Q"&amp;ROUNDUP(MONTH(B8489)/3,0)</f>
        <v>2017-Q1</v>
      </c>
    </row>
    <row r="8490" customFormat="false" ht="15" hidden="false" customHeight="false" outlineLevel="0" collapsed="false">
      <c r="A8490" s="0" t="s">
        <v>4304</v>
      </c>
      <c r="B8490" s="6" t="n">
        <v>42402</v>
      </c>
      <c r="C8490" s="7" t="s">
        <v>29</v>
      </c>
      <c r="D8490" s="7" t="s">
        <v>83</v>
      </c>
      <c r="E8490" s="7" t="s">
        <v>39</v>
      </c>
      <c r="F8490" s="0" t="n">
        <v>8749.95</v>
      </c>
      <c r="G8490" s="0" t="n">
        <v>2799.984</v>
      </c>
      <c r="H8490" s="0" t="n">
        <v>0</v>
      </c>
      <c r="I8490" s="7" t="n">
        <f aca="false">YEAR(B8490)</f>
        <v>2016</v>
      </c>
      <c r="J8490" s="0" t="str">
        <f aca="false">I8490&amp;"-Q"&amp;ROUNDUP(MONTH(B8490)/3,0)</f>
        <v>2016-Q1</v>
      </c>
    </row>
    <row r="8491" customFormat="false" ht="15" hidden="false" customHeight="false" outlineLevel="0" collapsed="false">
      <c r="A8491" s="0" t="s">
        <v>4304</v>
      </c>
      <c r="B8491" s="6" t="n">
        <v>42402</v>
      </c>
      <c r="C8491" s="7" t="s">
        <v>29</v>
      </c>
      <c r="D8491" s="7" t="s">
        <v>83</v>
      </c>
      <c r="E8491" s="7" t="s">
        <v>35</v>
      </c>
      <c r="F8491" s="0" t="n">
        <v>36.4</v>
      </c>
      <c r="G8491" s="0" t="n">
        <v>18.2</v>
      </c>
      <c r="H8491" s="0" t="n">
        <v>0</v>
      </c>
      <c r="I8491" s="7" t="n">
        <f aca="false">YEAR(B8491)</f>
        <v>2016</v>
      </c>
      <c r="J8491" s="0" t="str">
        <f aca="false">I8491&amp;"-Q"&amp;ROUNDUP(MONTH(B8491)/3,0)</f>
        <v>2016-Q1</v>
      </c>
    </row>
    <row r="8492" customFormat="false" ht="15" hidden="false" customHeight="false" outlineLevel="0" collapsed="false">
      <c r="A8492" s="0" t="s">
        <v>4304</v>
      </c>
      <c r="B8492" s="6" t="n">
        <v>42402</v>
      </c>
      <c r="C8492" s="7" t="s">
        <v>29</v>
      </c>
      <c r="D8492" s="7" t="s">
        <v>83</v>
      </c>
      <c r="E8492" s="7" t="s">
        <v>31</v>
      </c>
      <c r="F8492" s="0" t="n">
        <v>18.69</v>
      </c>
      <c r="G8492" s="0" t="n">
        <v>7.1022</v>
      </c>
      <c r="H8492" s="0" t="n">
        <v>0</v>
      </c>
      <c r="I8492" s="7" t="n">
        <f aca="false">YEAR(B8492)</f>
        <v>2016</v>
      </c>
      <c r="J8492" s="0" t="str">
        <f aca="false">I8492&amp;"-Q"&amp;ROUNDUP(MONTH(B8492)/3,0)</f>
        <v>2016-Q1</v>
      </c>
    </row>
    <row r="8493" customFormat="false" ht="15" hidden="false" customHeight="false" outlineLevel="0" collapsed="false">
      <c r="A8493" s="0" t="s">
        <v>4305</v>
      </c>
      <c r="B8493" s="6" t="n">
        <v>42923</v>
      </c>
      <c r="C8493" s="7" t="s">
        <v>33</v>
      </c>
      <c r="D8493" s="7" t="s">
        <v>34</v>
      </c>
      <c r="E8493" s="7" t="s">
        <v>35</v>
      </c>
      <c r="F8493" s="0" t="n">
        <v>5.94</v>
      </c>
      <c r="G8493" s="0" t="n">
        <v>0.1188</v>
      </c>
      <c r="H8493" s="0" t="n">
        <v>0</v>
      </c>
      <c r="I8493" s="7" t="n">
        <f aca="false">YEAR(B8493)</f>
        <v>2017</v>
      </c>
      <c r="J8493" s="0" t="str">
        <f aca="false">I8493&amp;"-Q"&amp;ROUNDUP(MONTH(B8493)/3,0)</f>
        <v>2017-Q3</v>
      </c>
    </row>
    <row r="8494" customFormat="false" ht="15" hidden="false" customHeight="false" outlineLevel="0" collapsed="false">
      <c r="A8494" s="0" t="s">
        <v>4306</v>
      </c>
      <c r="B8494" s="6" t="n">
        <v>42300</v>
      </c>
      <c r="C8494" s="7" t="s">
        <v>45</v>
      </c>
      <c r="D8494" s="7" t="s">
        <v>46</v>
      </c>
      <c r="E8494" s="7" t="s">
        <v>35</v>
      </c>
      <c r="F8494" s="0" t="n">
        <v>60.736</v>
      </c>
      <c r="G8494" s="0" t="n">
        <v>20.4984</v>
      </c>
      <c r="H8494" s="0" t="n">
        <v>0.2</v>
      </c>
      <c r="I8494" s="7" t="n">
        <f aca="false">YEAR(B8494)</f>
        <v>2015</v>
      </c>
      <c r="J8494" s="0" t="str">
        <f aca="false">I8494&amp;"-Q"&amp;ROUNDUP(MONTH(B8494)/3,0)</f>
        <v>2015-Q4</v>
      </c>
    </row>
    <row r="8495" customFormat="false" ht="15" hidden="false" customHeight="false" outlineLevel="0" collapsed="false">
      <c r="A8495" s="0" t="s">
        <v>4306</v>
      </c>
      <c r="B8495" s="6" t="n">
        <v>42300</v>
      </c>
      <c r="C8495" s="7" t="s">
        <v>45</v>
      </c>
      <c r="D8495" s="7" t="s">
        <v>46</v>
      </c>
      <c r="E8495" s="7" t="s">
        <v>39</v>
      </c>
      <c r="F8495" s="0" t="n">
        <v>479.976</v>
      </c>
      <c r="G8495" s="0" t="n">
        <v>161.9919</v>
      </c>
      <c r="H8495" s="0" t="n">
        <v>0.2</v>
      </c>
      <c r="I8495" s="7" t="n">
        <f aca="false">YEAR(B8495)</f>
        <v>2015</v>
      </c>
      <c r="J8495" s="0" t="str">
        <f aca="false">I8495&amp;"-Q"&amp;ROUNDUP(MONTH(B8495)/3,0)</f>
        <v>2015-Q4</v>
      </c>
    </row>
    <row r="8496" customFormat="false" ht="15" hidden="false" customHeight="false" outlineLevel="0" collapsed="false">
      <c r="A8496" s="0" t="s">
        <v>4306</v>
      </c>
      <c r="B8496" s="6" t="n">
        <v>42300</v>
      </c>
      <c r="C8496" s="7" t="s">
        <v>45</v>
      </c>
      <c r="D8496" s="7" t="s">
        <v>46</v>
      </c>
      <c r="E8496" s="7" t="s">
        <v>35</v>
      </c>
      <c r="F8496" s="0" t="n">
        <v>6.08</v>
      </c>
      <c r="G8496" s="0" t="n">
        <v>-10.336</v>
      </c>
      <c r="H8496" s="0" t="n">
        <v>0.8</v>
      </c>
      <c r="I8496" s="7" t="n">
        <f aca="false">YEAR(B8496)</f>
        <v>2015</v>
      </c>
      <c r="J8496" s="0" t="str">
        <f aca="false">I8496&amp;"-Q"&amp;ROUNDUP(MONTH(B8496)/3,0)</f>
        <v>2015-Q4</v>
      </c>
    </row>
    <row r="8497" customFormat="false" ht="15" hidden="false" customHeight="false" outlineLevel="0" collapsed="false">
      <c r="A8497" s="0" t="s">
        <v>4307</v>
      </c>
      <c r="B8497" s="6" t="n">
        <v>42706</v>
      </c>
      <c r="C8497" s="7" t="s">
        <v>33</v>
      </c>
      <c r="D8497" s="7" t="s">
        <v>109</v>
      </c>
      <c r="E8497" s="7" t="s">
        <v>39</v>
      </c>
      <c r="F8497" s="0" t="n">
        <v>165.6</v>
      </c>
      <c r="G8497" s="0" t="n">
        <v>-6.21</v>
      </c>
      <c r="H8497" s="0" t="n">
        <v>0.2</v>
      </c>
      <c r="I8497" s="7" t="n">
        <f aca="false">YEAR(B8497)</f>
        <v>2016</v>
      </c>
      <c r="J8497" s="0" t="str">
        <f aca="false">I8497&amp;"-Q"&amp;ROUNDUP(MONTH(B8497)/3,0)</f>
        <v>2016-Q4</v>
      </c>
    </row>
    <row r="8498" customFormat="false" ht="15" hidden="false" customHeight="false" outlineLevel="0" collapsed="false">
      <c r="A8498" s="0" t="s">
        <v>4308</v>
      </c>
      <c r="B8498" s="6" t="n">
        <v>41703</v>
      </c>
      <c r="C8498" s="7" t="s">
        <v>55</v>
      </c>
      <c r="D8498" s="7" t="s">
        <v>76</v>
      </c>
      <c r="E8498" s="7" t="s">
        <v>35</v>
      </c>
      <c r="F8498" s="0" t="n">
        <v>59.52</v>
      </c>
      <c r="G8498" s="0" t="n">
        <v>15.4752</v>
      </c>
      <c r="H8498" s="0" t="n">
        <v>0</v>
      </c>
      <c r="I8498" s="7" t="n">
        <f aca="false">YEAR(B8498)</f>
        <v>2014</v>
      </c>
      <c r="J8498" s="0" t="str">
        <f aca="false">I8498&amp;"-Q"&amp;ROUNDUP(MONTH(B8498)/3,0)</f>
        <v>2014-Q1</v>
      </c>
    </row>
    <row r="8499" customFormat="false" ht="15" hidden="false" customHeight="false" outlineLevel="0" collapsed="false">
      <c r="A8499" s="0" t="s">
        <v>4308</v>
      </c>
      <c r="B8499" s="6" t="n">
        <v>41703</v>
      </c>
      <c r="C8499" s="7" t="s">
        <v>55</v>
      </c>
      <c r="D8499" s="7" t="s">
        <v>76</v>
      </c>
      <c r="E8499" s="7" t="s">
        <v>39</v>
      </c>
      <c r="F8499" s="0" t="n">
        <v>479.97</v>
      </c>
      <c r="G8499" s="0" t="n">
        <v>177.5889</v>
      </c>
      <c r="H8499" s="0" t="n">
        <v>0</v>
      </c>
      <c r="I8499" s="7" t="n">
        <f aca="false">YEAR(B8499)</f>
        <v>2014</v>
      </c>
      <c r="J8499" s="0" t="str">
        <f aca="false">I8499&amp;"-Q"&amp;ROUNDUP(MONTH(B8499)/3,0)</f>
        <v>2014-Q1</v>
      </c>
    </row>
    <row r="8500" customFormat="false" ht="15" hidden="false" customHeight="false" outlineLevel="0" collapsed="false">
      <c r="A8500" s="0" t="s">
        <v>4308</v>
      </c>
      <c r="B8500" s="6" t="n">
        <v>41703</v>
      </c>
      <c r="C8500" s="7" t="s">
        <v>55</v>
      </c>
      <c r="D8500" s="7" t="s">
        <v>76</v>
      </c>
      <c r="E8500" s="7" t="s">
        <v>35</v>
      </c>
      <c r="F8500" s="0" t="n">
        <v>18.62</v>
      </c>
      <c r="G8500" s="0" t="n">
        <v>5.3998</v>
      </c>
      <c r="H8500" s="0" t="n">
        <v>0</v>
      </c>
      <c r="I8500" s="7" t="n">
        <f aca="false">YEAR(B8500)</f>
        <v>2014</v>
      </c>
      <c r="J8500" s="0" t="str">
        <f aca="false">I8500&amp;"-Q"&amp;ROUNDUP(MONTH(B8500)/3,0)</f>
        <v>2014-Q1</v>
      </c>
    </row>
    <row r="8501" customFormat="false" ht="15" hidden="false" customHeight="false" outlineLevel="0" collapsed="false">
      <c r="A8501" s="0" t="s">
        <v>4308</v>
      </c>
      <c r="B8501" s="6" t="n">
        <v>41703</v>
      </c>
      <c r="C8501" s="7" t="s">
        <v>55</v>
      </c>
      <c r="D8501" s="7" t="s">
        <v>76</v>
      </c>
      <c r="E8501" s="7" t="s">
        <v>35</v>
      </c>
      <c r="F8501" s="0" t="n">
        <v>49.632</v>
      </c>
      <c r="G8501" s="0" t="n">
        <v>16.7508</v>
      </c>
      <c r="H8501" s="0" t="n">
        <v>0.2</v>
      </c>
      <c r="I8501" s="7" t="n">
        <f aca="false">YEAR(B8501)</f>
        <v>2014</v>
      </c>
      <c r="J8501" s="0" t="str">
        <f aca="false">I8501&amp;"-Q"&amp;ROUNDUP(MONTH(B8501)/3,0)</f>
        <v>2014-Q1</v>
      </c>
    </row>
    <row r="8502" customFormat="false" ht="15" hidden="false" customHeight="false" outlineLevel="0" collapsed="false">
      <c r="A8502" s="0" t="s">
        <v>4308</v>
      </c>
      <c r="B8502" s="6" t="n">
        <v>41703</v>
      </c>
      <c r="C8502" s="7" t="s">
        <v>55</v>
      </c>
      <c r="D8502" s="7" t="s">
        <v>76</v>
      </c>
      <c r="E8502" s="7" t="s">
        <v>35</v>
      </c>
      <c r="F8502" s="0" t="n">
        <v>97.82</v>
      </c>
      <c r="G8502" s="0" t="n">
        <v>45.9754</v>
      </c>
      <c r="H8502" s="0" t="n">
        <v>0</v>
      </c>
      <c r="I8502" s="7" t="n">
        <f aca="false">YEAR(B8502)</f>
        <v>2014</v>
      </c>
      <c r="J8502" s="0" t="str">
        <f aca="false">I8502&amp;"-Q"&amp;ROUNDUP(MONTH(B8502)/3,0)</f>
        <v>2014-Q1</v>
      </c>
    </row>
    <row r="8503" customFormat="false" ht="15" hidden="false" customHeight="false" outlineLevel="0" collapsed="false">
      <c r="A8503" s="0" t="s">
        <v>4309</v>
      </c>
      <c r="B8503" s="6" t="n">
        <v>42064</v>
      </c>
      <c r="C8503" s="7" t="s">
        <v>33</v>
      </c>
      <c r="D8503" s="7" t="s">
        <v>34</v>
      </c>
      <c r="E8503" s="7" t="s">
        <v>39</v>
      </c>
      <c r="F8503" s="0" t="n">
        <v>15.984</v>
      </c>
      <c r="G8503" s="0" t="n">
        <v>1.1988</v>
      </c>
      <c r="H8503" s="0" t="n">
        <v>0.2</v>
      </c>
      <c r="I8503" s="7" t="n">
        <f aca="false">YEAR(B8503)</f>
        <v>2015</v>
      </c>
      <c r="J8503" s="0" t="str">
        <f aca="false">I8503&amp;"-Q"&amp;ROUNDUP(MONTH(B8503)/3,0)</f>
        <v>2015-Q1</v>
      </c>
    </row>
    <row r="8504" customFormat="false" ht="15" hidden="false" customHeight="false" outlineLevel="0" collapsed="false">
      <c r="A8504" s="0" t="s">
        <v>4309</v>
      </c>
      <c r="B8504" s="6" t="n">
        <v>42064</v>
      </c>
      <c r="C8504" s="7" t="s">
        <v>33</v>
      </c>
      <c r="D8504" s="7" t="s">
        <v>34</v>
      </c>
      <c r="E8504" s="7" t="s">
        <v>31</v>
      </c>
      <c r="F8504" s="0" t="n">
        <v>184.752</v>
      </c>
      <c r="G8504" s="0" t="n">
        <v>-20.7846</v>
      </c>
      <c r="H8504" s="0" t="n">
        <v>0.2</v>
      </c>
      <c r="I8504" s="7" t="n">
        <f aca="false">YEAR(B8504)</f>
        <v>2015</v>
      </c>
      <c r="J8504" s="0" t="str">
        <f aca="false">I8504&amp;"-Q"&amp;ROUNDUP(MONTH(B8504)/3,0)</f>
        <v>2015-Q1</v>
      </c>
    </row>
    <row r="8505" customFormat="false" ht="15" hidden="false" customHeight="false" outlineLevel="0" collapsed="false">
      <c r="A8505" s="0" t="s">
        <v>4310</v>
      </c>
      <c r="B8505" s="6" t="n">
        <v>41690</v>
      </c>
      <c r="C8505" s="7" t="s">
        <v>33</v>
      </c>
      <c r="D8505" s="7" t="s">
        <v>34</v>
      </c>
      <c r="E8505" s="7" t="s">
        <v>35</v>
      </c>
      <c r="F8505" s="0" t="n">
        <v>12.96</v>
      </c>
      <c r="G8505" s="0" t="n">
        <v>6.2208</v>
      </c>
      <c r="H8505" s="0" t="n">
        <v>0</v>
      </c>
      <c r="I8505" s="7" t="n">
        <f aca="false">YEAR(B8505)</f>
        <v>2014</v>
      </c>
      <c r="J8505" s="0" t="str">
        <f aca="false">I8505&amp;"-Q"&amp;ROUNDUP(MONTH(B8505)/3,0)</f>
        <v>2014-Q1</v>
      </c>
    </row>
    <row r="8506" customFormat="false" ht="15" hidden="false" customHeight="false" outlineLevel="0" collapsed="false">
      <c r="A8506" s="0" t="s">
        <v>4311</v>
      </c>
      <c r="B8506" s="6" t="n">
        <v>42492</v>
      </c>
      <c r="C8506" s="7" t="s">
        <v>45</v>
      </c>
      <c r="D8506" s="7" t="s">
        <v>46</v>
      </c>
      <c r="E8506" s="7" t="s">
        <v>31</v>
      </c>
      <c r="F8506" s="0" t="n">
        <v>366.744</v>
      </c>
      <c r="G8506" s="0" t="n">
        <v>-110.0232</v>
      </c>
      <c r="H8506" s="0" t="n">
        <v>0.3</v>
      </c>
      <c r="I8506" s="7" t="n">
        <f aca="false">YEAR(B8506)</f>
        <v>2016</v>
      </c>
      <c r="J8506" s="0" t="str">
        <f aca="false">I8506&amp;"-Q"&amp;ROUNDUP(MONTH(B8506)/3,0)</f>
        <v>2016-Q2</v>
      </c>
    </row>
    <row r="8507" customFormat="false" ht="15" hidden="false" customHeight="false" outlineLevel="0" collapsed="false">
      <c r="A8507" s="0" t="s">
        <v>4312</v>
      </c>
      <c r="B8507" s="6" t="n">
        <v>42437</v>
      </c>
      <c r="C8507" s="7" t="s">
        <v>45</v>
      </c>
      <c r="D8507" s="7" t="s">
        <v>46</v>
      </c>
      <c r="E8507" s="7" t="s">
        <v>35</v>
      </c>
      <c r="F8507" s="0" t="n">
        <v>8.856</v>
      </c>
      <c r="G8507" s="0" t="n">
        <v>-14.1696</v>
      </c>
      <c r="H8507" s="0" t="n">
        <v>0.8</v>
      </c>
      <c r="I8507" s="7" t="n">
        <f aca="false">YEAR(B8507)</f>
        <v>2016</v>
      </c>
      <c r="J8507" s="0" t="str">
        <f aca="false">I8507&amp;"-Q"&amp;ROUNDUP(MONTH(B8507)/3,0)</f>
        <v>2016-Q1</v>
      </c>
    </row>
    <row r="8508" customFormat="false" ht="15" hidden="false" customHeight="false" outlineLevel="0" collapsed="false">
      <c r="A8508" s="0" t="s">
        <v>4312</v>
      </c>
      <c r="B8508" s="6" t="n">
        <v>42437</v>
      </c>
      <c r="C8508" s="7" t="s">
        <v>45</v>
      </c>
      <c r="D8508" s="7" t="s">
        <v>46</v>
      </c>
      <c r="E8508" s="7" t="s">
        <v>39</v>
      </c>
      <c r="F8508" s="0" t="n">
        <v>27.96</v>
      </c>
      <c r="G8508" s="0" t="n">
        <v>8.388</v>
      </c>
      <c r="H8508" s="0" t="n">
        <v>0.2</v>
      </c>
      <c r="I8508" s="7" t="n">
        <f aca="false">YEAR(B8508)</f>
        <v>2016</v>
      </c>
      <c r="J8508" s="0" t="str">
        <f aca="false">I8508&amp;"-Q"&amp;ROUNDUP(MONTH(B8508)/3,0)</f>
        <v>2016-Q1</v>
      </c>
    </row>
    <row r="8509" customFormat="false" ht="15" hidden="false" customHeight="false" outlineLevel="0" collapsed="false">
      <c r="A8509" s="0" t="s">
        <v>4312</v>
      </c>
      <c r="B8509" s="6" t="n">
        <v>42437</v>
      </c>
      <c r="C8509" s="7" t="s">
        <v>45</v>
      </c>
      <c r="D8509" s="7" t="s">
        <v>46</v>
      </c>
      <c r="E8509" s="7" t="s">
        <v>35</v>
      </c>
      <c r="F8509" s="0" t="n">
        <v>146.352</v>
      </c>
      <c r="G8509" s="0" t="n">
        <v>49.3938</v>
      </c>
      <c r="H8509" s="0" t="n">
        <v>0.2</v>
      </c>
      <c r="I8509" s="7" t="n">
        <f aca="false">YEAR(B8509)</f>
        <v>2016</v>
      </c>
      <c r="J8509" s="0" t="str">
        <f aca="false">I8509&amp;"-Q"&amp;ROUNDUP(MONTH(B8509)/3,0)</f>
        <v>2016-Q1</v>
      </c>
    </row>
    <row r="8510" customFormat="false" ht="15" hidden="false" customHeight="false" outlineLevel="0" collapsed="false">
      <c r="A8510" s="0" t="s">
        <v>4313</v>
      </c>
      <c r="B8510" s="6" t="n">
        <v>42349</v>
      </c>
      <c r="C8510" s="7" t="s">
        <v>45</v>
      </c>
      <c r="D8510" s="7" t="s">
        <v>70</v>
      </c>
      <c r="E8510" s="7" t="s">
        <v>39</v>
      </c>
      <c r="F8510" s="0" t="n">
        <v>175.23</v>
      </c>
      <c r="G8510" s="0" t="n">
        <v>61.3305</v>
      </c>
      <c r="H8510" s="0" t="n">
        <v>0</v>
      </c>
      <c r="I8510" s="7" t="n">
        <f aca="false">YEAR(B8510)</f>
        <v>2015</v>
      </c>
      <c r="J8510" s="0" t="str">
        <f aca="false">I8510&amp;"-Q"&amp;ROUNDUP(MONTH(B8510)/3,0)</f>
        <v>2015-Q4</v>
      </c>
    </row>
    <row r="8511" customFormat="false" ht="15" hidden="false" customHeight="false" outlineLevel="0" collapsed="false">
      <c r="A8511" s="0" t="s">
        <v>4313</v>
      </c>
      <c r="B8511" s="6" t="n">
        <v>42349</v>
      </c>
      <c r="C8511" s="7" t="s">
        <v>45</v>
      </c>
      <c r="D8511" s="7" t="s">
        <v>70</v>
      </c>
      <c r="E8511" s="7" t="s">
        <v>39</v>
      </c>
      <c r="F8511" s="0" t="n">
        <v>125.99</v>
      </c>
      <c r="G8511" s="0" t="n">
        <v>31.4975</v>
      </c>
      <c r="H8511" s="0" t="n">
        <v>0</v>
      </c>
      <c r="I8511" s="7" t="n">
        <f aca="false">YEAR(B8511)</f>
        <v>2015</v>
      </c>
      <c r="J8511" s="0" t="str">
        <f aca="false">I8511&amp;"-Q"&amp;ROUNDUP(MONTH(B8511)/3,0)</f>
        <v>2015-Q4</v>
      </c>
    </row>
    <row r="8512" customFormat="false" ht="15" hidden="false" customHeight="false" outlineLevel="0" collapsed="false">
      <c r="A8512" s="0" t="s">
        <v>4313</v>
      </c>
      <c r="B8512" s="6" t="n">
        <v>42349</v>
      </c>
      <c r="C8512" s="7" t="s">
        <v>45</v>
      </c>
      <c r="D8512" s="7" t="s">
        <v>70</v>
      </c>
      <c r="E8512" s="7" t="s">
        <v>35</v>
      </c>
      <c r="F8512" s="0" t="n">
        <v>23</v>
      </c>
      <c r="G8512" s="0" t="n">
        <v>10.35</v>
      </c>
      <c r="H8512" s="0" t="n">
        <v>0</v>
      </c>
      <c r="I8512" s="7" t="n">
        <f aca="false">YEAR(B8512)</f>
        <v>2015</v>
      </c>
      <c r="J8512" s="0" t="str">
        <f aca="false">I8512&amp;"-Q"&amp;ROUNDUP(MONTH(B8512)/3,0)</f>
        <v>2015-Q4</v>
      </c>
    </row>
    <row r="8513" customFormat="false" ht="15" hidden="false" customHeight="false" outlineLevel="0" collapsed="false">
      <c r="A8513" s="0" t="s">
        <v>4314</v>
      </c>
      <c r="B8513" s="6" t="n">
        <v>42726</v>
      </c>
      <c r="C8513" s="7" t="s">
        <v>55</v>
      </c>
      <c r="D8513" s="7" t="s">
        <v>76</v>
      </c>
      <c r="E8513" s="7" t="s">
        <v>35</v>
      </c>
      <c r="F8513" s="0" t="n">
        <v>25.584</v>
      </c>
      <c r="G8513" s="0" t="n">
        <v>8.9544</v>
      </c>
      <c r="H8513" s="0" t="n">
        <v>0.2</v>
      </c>
      <c r="I8513" s="7" t="n">
        <f aca="false">YEAR(B8513)</f>
        <v>2016</v>
      </c>
      <c r="J8513" s="0" t="str">
        <f aca="false">I8513&amp;"-Q"&amp;ROUNDUP(MONTH(B8513)/3,0)</f>
        <v>2016-Q4</v>
      </c>
    </row>
    <row r="8514" customFormat="false" ht="15" hidden="false" customHeight="false" outlineLevel="0" collapsed="false">
      <c r="A8514" s="0" t="s">
        <v>4315</v>
      </c>
      <c r="B8514" s="6" t="n">
        <v>42402</v>
      </c>
      <c r="C8514" s="7" t="s">
        <v>45</v>
      </c>
      <c r="D8514" s="7" t="s">
        <v>46</v>
      </c>
      <c r="E8514" s="7" t="s">
        <v>31</v>
      </c>
      <c r="F8514" s="0" t="n">
        <v>73.784</v>
      </c>
      <c r="G8514" s="0" t="n">
        <v>-77.4732</v>
      </c>
      <c r="H8514" s="0" t="n">
        <v>0.6</v>
      </c>
      <c r="I8514" s="7" t="n">
        <f aca="false">YEAR(B8514)</f>
        <v>2016</v>
      </c>
      <c r="J8514" s="0" t="str">
        <f aca="false">I8514&amp;"-Q"&amp;ROUNDUP(MONTH(B8514)/3,0)</f>
        <v>2016-Q1</v>
      </c>
    </row>
    <row r="8515" customFormat="false" ht="15" hidden="false" customHeight="false" outlineLevel="0" collapsed="false">
      <c r="A8515" s="0" t="s">
        <v>4316</v>
      </c>
      <c r="B8515" s="6" t="n">
        <v>42891</v>
      </c>
      <c r="C8515" s="7" t="s">
        <v>29</v>
      </c>
      <c r="D8515" s="7" t="s">
        <v>37</v>
      </c>
      <c r="E8515" s="7" t="s">
        <v>35</v>
      </c>
      <c r="F8515" s="0" t="n">
        <v>20.736</v>
      </c>
      <c r="G8515" s="0" t="n">
        <v>7.2576</v>
      </c>
      <c r="H8515" s="0" t="n">
        <v>0.2</v>
      </c>
      <c r="I8515" s="7" t="n">
        <f aca="false">YEAR(B8515)</f>
        <v>2017</v>
      </c>
      <c r="J8515" s="0" t="str">
        <f aca="false">I8515&amp;"-Q"&amp;ROUNDUP(MONTH(B8515)/3,0)</f>
        <v>2017-Q2</v>
      </c>
    </row>
    <row r="8516" customFormat="false" ht="15" hidden="false" customHeight="false" outlineLevel="0" collapsed="false">
      <c r="A8516" s="0" t="s">
        <v>4317</v>
      </c>
      <c r="B8516" s="6" t="n">
        <v>42237</v>
      </c>
      <c r="C8516" s="7" t="s">
        <v>29</v>
      </c>
      <c r="D8516" s="7" t="s">
        <v>30</v>
      </c>
      <c r="E8516" s="7" t="s">
        <v>35</v>
      </c>
      <c r="F8516" s="0" t="n">
        <v>17.52</v>
      </c>
      <c r="G8516" s="0" t="n">
        <v>8.2344</v>
      </c>
      <c r="H8516" s="0" t="n">
        <v>0</v>
      </c>
      <c r="I8516" s="7" t="n">
        <f aca="false">YEAR(B8516)</f>
        <v>2015</v>
      </c>
      <c r="J8516" s="0" t="str">
        <f aca="false">I8516&amp;"-Q"&amp;ROUNDUP(MONTH(B8516)/3,0)</f>
        <v>2015-Q3</v>
      </c>
    </row>
    <row r="8517" customFormat="false" ht="15" hidden="false" customHeight="false" outlineLevel="0" collapsed="false">
      <c r="A8517" s="0" t="s">
        <v>4317</v>
      </c>
      <c r="B8517" s="6" t="n">
        <v>42237</v>
      </c>
      <c r="C8517" s="7" t="s">
        <v>29</v>
      </c>
      <c r="D8517" s="7" t="s">
        <v>30</v>
      </c>
      <c r="E8517" s="7" t="s">
        <v>35</v>
      </c>
      <c r="F8517" s="0" t="n">
        <v>35.76</v>
      </c>
      <c r="G8517" s="0" t="n">
        <v>10.0128</v>
      </c>
      <c r="H8517" s="0" t="n">
        <v>0</v>
      </c>
      <c r="I8517" s="7" t="n">
        <f aca="false">YEAR(B8517)</f>
        <v>2015</v>
      </c>
      <c r="J8517" s="0" t="str">
        <f aca="false">I8517&amp;"-Q"&amp;ROUNDUP(MONTH(B8517)/3,0)</f>
        <v>2015-Q3</v>
      </c>
    </row>
    <row r="8518" customFormat="false" ht="15" hidden="false" customHeight="false" outlineLevel="0" collapsed="false">
      <c r="A8518" s="0" t="s">
        <v>4318</v>
      </c>
      <c r="B8518" s="6" t="n">
        <v>42467</v>
      </c>
      <c r="C8518" s="7" t="s">
        <v>55</v>
      </c>
      <c r="D8518" s="7" t="s">
        <v>76</v>
      </c>
      <c r="E8518" s="7" t="s">
        <v>35</v>
      </c>
      <c r="F8518" s="0" t="n">
        <v>3.64</v>
      </c>
      <c r="G8518" s="0" t="n">
        <v>0.9828</v>
      </c>
      <c r="H8518" s="0" t="n">
        <v>0</v>
      </c>
      <c r="I8518" s="7" t="n">
        <f aca="false">YEAR(B8518)</f>
        <v>2016</v>
      </c>
      <c r="J8518" s="0" t="str">
        <f aca="false">I8518&amp;"-Q"&amp;ROUNDUP(MONTH(B8518)/3,0)</f>
        <v>2016-Q2</v>
      </c>
    </row>
    <row r="8519" customFormat="false" ht="15" hidden="false" customHeight="false" outlineLevel="0" collapsed="false">
      <c r="A8519" s="0" t="s">
        <v>4319</v>
      </c>
      <c r="B8519" s="6" t="n">
        <v>42890</v>
      </c>
      <c r="C8519" s="7" t="s">
        <v>45</v>
      </c>
      <c r="D8519" s="7" t="s">
        <v>46</v>
      </c>
      <c r="E8519" s="7" t="s">
        <v>31</v>
      </c>
      <c r="F8519" s="0" t="n">
        <v>30.336</v>
      </c>
      <c r="G8519" s="0" t="n">
        <v>-17.4432</v>
      </c>
      <c r="H8519" s="0" t="n">
        <v>0.6</v>
      </c>
      <c r="I8519" s="7" t="n">
        <f aca="false">YEAR(B8519)</f>
        <v>2017</v>
      </c>
      <c r="J8519" s="0" t="str">
        <f aca="false">I8519&amp;"-Q"&amp;ROUNDUP(MONTH(B8519)/3,0)</f>
        <v>2017-Q2</v>
      </c>
    </row>
    <row r="8520" customFormat="false" ht="15" hidden="false" customHeight="false" outlineLevel="0" collapsed="false">
      <c r="A8520" s="0" t="s">
        <v>4320</v>
      </c>
      <c r="B8520" s="6" t="n">
        <v>43073</v>
      </c>
      <c r="C8520" s="7" t="s">
        <v>55</v>
      </c>
      <c r="D8520" s="7" t="s">
        <v>161</v>
      </c>
      <c r="E8520" s="7" t="s">
        <v>31</v>
      </c>
      <c r="F8520" s="0" t="n">
        <v>12.99</v>
      </c>
      <c r="G8520" s="0" t="n">
        <v>1.5588</v>
      </c>
      <c r="H8520" s="0" t="n">
        <v>0</v>
      </c>
      <c r="I8520" s="7" t="n">
        <f aca="false">YEAR(B8520)</f>
        <v>2017</v>
      </c>
      <c r="J8520" s="0" t="str">
        <f aca="false">I8520&amp;"-Q"&amp;ROUNDUP(MONTH(B8520)/3,0)</f>
        <v>2017-Q4</v>
      </c>
    </row>
    <row r="8521" customFormat="false" ht="15" hidden="false" customHeight="false" outlineLevel="0" collapsed="false">
      <c r="A8521" s="0" t="s">
        <v>4320</v>
      </c>
      <c r="B8521" s="6" t="n">
        <v>43073</v>
      </c>
      <c r="C8521" s="7" t="s">
        <v>55</v>
      </c>
      <c r="D8521" s="7" t="s">
        <v>161</v>
      </c>
      <c r="E8521" s="7" t="s">
        <v>31</v>
      </c>
      <c r="F8521" s="0" t="n">
        <v>182.22</v>
      </c>
      <c r="G8521" s="0" t="n">
        <v>45.555</v>
      </c>
      <c r="H8521" s="0" t="n">
        <v>0</v>
      </c>
      <c r="I8521" s="7" t="n">
        <f aca="false">YEAR(B8521)</f>
        <v>2017</v>
      </c>
      <c r="J8521" s="0" t="str">
        <f aca="false">I8521&amp;"-Q"&amp;ROUNDUP(MONTH(B8521)/3,0)</f>
        <v>2017-Q4</v>
      </c>
    </row>
    <row r="8522" customFormat="false" ht="15" hidden="false" customHeight="false" outlineLevel="0" collapsed="false">
      <c r="A8522" s="0" t="s">
        <v>4320</v>
      </c>
      <c r="B8522" s="6" t="n">
        <v>43073</v>
      </c>
      <c r="C8522" s="7" t="s">
        <v>55</v>
      </c>
      <c r="D8522" s="7" t="s">
        <v>161</v>
      </c>
      <c r="E8522" s="7" t="s">
        <v>31</v>
      </c>
      <c r="F8522" s="0" t="n">
        <v>302.94</v>
      </c>
      <c r="G8522" s="0" t="n">
        <v>18.1764</v>
      </c>
      <c r="H8522" s="0" t="n">
        <v>0</v>
      </c>
      <c r="I8522" s="7" t="n">
        <f aca="false">YEAR(B8522)</f>
        <v>2017</v>
      </c>
      <c r="J8522" s="0" t="str">
        <f aca="false">I8522&amp;"-Q"&amp;ROUNDUP(MONTH(B8522)/3,0)</f>
        <v>2017-Q4</v>
      </c>
    </row>
    <row r="8523" customFormat="false" ht="15" hidden="false" customHeight="false" outlineLevel="0" collapsed="false">
      <c r="A8523" s="0" t="s">
        <v>4321</v>
      </c>
      <c r="B8523" s="6" t="n">
        <v>42380</v>
      </c>
      <c r="C8523" s="7" t="s">
        <v>55</v>
      </c>
      <c r="D8523" s="7" t="s">
        <v>116</v>
      </c>
      <c r="E8523" s="7" t="s">
        <v>31</v>
      </c>
      <c r="F8523" s="0" t="n">
        <v>54.992</v>
      </c>
      <c r="G8523" s="0" t="n">
        <v>8.9362</v>
      </c>
      <c r="H8523" s="0" t="n">
        <v>0.2</v>
      </c>
      <c r="I8523" s="7" t="n">
        <f aca="false">YEAR(B8523)</f>
        <v>2016</v>
      </c>
      <c r="J8523" s="0" t="str">
        <f aca="false">I8523&amp;"-Q"&amp;ROUNDUP(MONTH(B8523)/3,0)</f>
        <v>2016-Q1</v>
      </c>
    </row>
    <row r="8524" customFormat="false" ht="15" hidden="false" customHeight="false" outlineLevel="0" collapsed="false">
      <c r="A8524" s="0" t="s">
        <v>4322</v>
      </c>
      <c r="B8524" s="6" t="n">
        <v>42461</v>
      </c>
      <c r="C8524" s="7" t="s">
        <v>45</v>
      </c>
      <c r="D8524" s="7" t="s">
        <v>48</v>
      </c>
      <c r="E8524" s="7" t="s">
        <v>39</v>
      </c>
      <c r="F8524" s="0" t="n">
        <v>12.99</v>
      </c>
      <c r="G8524" s="0" t="n">
        <v>0.2598</v>
      </c>
      <c r="H8524" s="0" t="n">
        <v>0</v>
      </c>
      <c r="I8524" s="7" t="n">
        <f aca="false">YEAR(B8524)</f>
        <v>2016</v>
      </c>
      <c r="J8524" s="0" t="str">
        <f aca="false">I8524&amp;"-Q"&amp;ROUNDUP(MONTH(B8524)/3,0)</f>
        <v>2016-Q2</v>
      </c>
    </row>
    <row r="8525" customFormat="false" ht="15" hidden="false" customHeight="false" outlineLevel="0" collapsed="false">
      <c r="A8525" s="0" t="s">
        <v>4323</v>
      </c>
      <c r="B8525" s="6" t="n">
        <v>42999</v>
      </c>
      <c r="C8525" s="7" t="s">
        <v>33</v>
      </c>
      <c r="D8525" s="7" t="s">
        <v>34</v>
      </c>
      <c r="E8525" s="7" t="s">
        <v>35</v>
      </c>
      <c r="F8525" s="0" t="n">
        <v>55.86</v>
      </c>
      <c r="G8525" s="0" t="n">
        <v>27.93</v>
      </c>
      <c r="H8525" s="0" t="n">
        <v>0</v>
      </c>
      <c r="I8525" s="7" t="n">
        <f aca="false">YEAR(B8525)</f>
        <v>2017</v>
      </c>
      <c r="J8525" s="0" t="str">
        <f aca="false">I8525&amp;"-Q"&amp;ROUNDUP(MONTH(B8525)/3,0)</f>
        <v>2017-Q3</v>
      </c>
    </row>
    <row r="8526" customFormat="false" ht="15" hidden="false" customHeight="false" outlineLevel="0" collapsed="false">
      <c r="A8526" s="0" t="s">
        <v>4324</v>
      </c>
      <c r="B8526" s="6" t="n">
        <v>42810</v>
      </c>
      <c r="C8526" s="7" t="s">
        <v>55</v>
      </c>
      <c r="D8526" s="7" t="s">
        <v>116</v>
      </c>
      <c r="E8526" s="7" t="s">
        <v>39</v>
      </c>
      <c r="F8526" s="0" t="n">
        <v>44.376</v>
      </c>
      <c r="G8526" s="0" t="n">
        <v>-7.396</v>
      </c>
      <c r="H8526" s="0" t="n">
        <v>0.4</v>
      </c>
      <c r="I8526" s="7" t="n">
        <f aca="false">YEAR(B8526)</f>
        <v>2017</v>
      </c>
      <c r="J8526" s="0" t="str">
        <f aca="false">I8526&amp;"-Q"&amp;ROUNDUP(MONTH(B8526)/3,0)</f>
        <v>2017-Q1</v>
      </c>
    </row>
    <row r="8527" customFormat="false" ht="15" hidden="false" customHeight="false" outlineLevel="0" collapsed="false">
      <c r="A8527" s="0" t="s">
        <v>4324</v>
      </c>
      <c r="B8527" s="6" t="n">
        <v>42810</v>
      </c>
      <c r="C8527" s="7" t="s">
        <v>55</v>
      </c>
      <c r="D8527" s="7" t="s">
        <v>116</v>
      </c>
      <c r="E8527" s="7" t="s">
        <v>31</v>
      </c>
      <c r="F8527" s="0" t="n">
        <v>51.264</v>
      </c>
      <c r="G8527" s="0" t="n">
        <v>7.6896</v>
      </c>
      <c r="H8527" s="0" t="n">
        <v>0.2</v>
      </c>
      <c r="I8527" s="7" t="n">
        <f aca="false">YEAR(B8527)</f>
        <v>2017</v>
      </c>
      <c r="J8527" s="0" t="str">
        <f aca="false">I8527&amp;"-Q"&amp;ROUNDUP(MONTH(B8527)/3,0)</f>
        <v>2017-Q1</v>
      </c>
    </row>
    <row r="8528" customFormat="false" ht="15" hidden="false" customHeight="false" outlineLevel="0" collapsed="false">
      <c r="A8528" s="0" t="s">
        <v>4324</v>
      </c>
      <c r="B8528" s="6" t="n">
        <v>42810</v>
      </c>
      <c r="C8528" s="7" t="s">
        <v>55</v>
      </c>
      <c r="D8528" s="7" t="s">
        <v>116</v>
      </c>
      <c r="E8528" s="7" t="s">
        <v>35</v>
      </c>
      <c r="F8528" s="0" t="n">
        <v>5.193</v>
      </c>
      <c r="G8528" s="0" t="n">
        <v>-3.462</v>
      </c>
      <c r="H8528" s="0" t="n">
        <v>0.7</v>
      </c>
      <c r="I8528" s="7" t="n">
        <f aca="false">YEAR(B8528)</f>
        <v>2017</v>
      </c>
      <c r="J8528" s="0" t="str">
        <f aca="false">I8528&amp;"-Q"&amp;ROUNDUP(MONTH(B8528)/3,0)</f>
        <v>2017-Q1</v>
      </c>
    </row>
    <row r="8529" customFormat="false" ht="15" hidden="false" customHeight="false" outlineLevel="0" collapsed="false">
      <c r="A8529" s="0" t="s">
        <v>4324</v>
      </c>
      <c r="B8529" s="6" t="n">
        <v>42810</v>
      </c>
      <c r="C8529" s="7" t="s">
        <v>55</v>
      </c>
      <c r="D8529" s="7" t="s">
        <v>116</v>
      </c>
      <c r="E8529" s="7" t="s">
        <v>39</v>
      </c>
      <c r="F8529" s="0" t="n">
        <v>159.984</v>
      </c>
      <c r="G8529" s="0" t="n">
        <v>43.9956</v>
      </c>
      <c r="H8529" s="0" t="n">
        <v>0.2</v>
      </c>
      <c r="I8529" s="7" t="n">
        <f aca="false">YEAR(B8529)</f>
        <v>2017</v>
      </c>
      <c r="J8529" s="0" t="str">
        <f aca="false">I8529&amp;"-Q"&amp;ROUNDUP(MONTH(B8529)/3,0)</f>
        <v>2017-Q1</v>
      </c>
    </row>
    <row r="8530" customFormat="false" ht="15" hidden="false" customHeight="false" outlineLevel="0" collapsed="false">
      <c r="A8530" s="0" t="s">
        <v>4324</v>
      </c>
      <c r="B8530" s="6" t="n">
        <v>42810</v>
      </c>
      <c r="C8530" s="7" t="s">
        <v>55</v>
      </c>
      <c r="D8530" s="7" t="s">
        <v>116</v>
      </c>
      <c r="E8530" s="7" t="s">
        <v>35</v>
      </c>
      <c r="F8530" s="0" t="n">
        <v>54.224</v>
      </c>
      <c r="G8530" s="0" t="n">
        <v>3.389</v>
      </c>
      <c r="H8530" s="0" t="n">
        <v>0.2</v>
      </c>
      <c r="I8530" s="7" t="n">
        <f aca="false">YEAR(B8530)</f>
        <v>2017</v>
      </c>
      <c r="J8530" s="0" t="str">
        <f aca="false">I8530&amp;"-Q"&amp;ROUNDUP(MONTH(B8530)/3,0)</f>
        <v>2017-Q1</v>
      </c>
    </row>
    <row r="8531" customFormat="false" ht="15" hidden="false" customHeight="false" outlineLevel="0" collapsed="false">
      <c r="A8531" s="0" t="s">
        <v>4325</v>
      </c>
      <c r="B8531" s="6" t="n">
        <v>43049</v>
      </c>
      <c r="C8531" s="7" t="s">
        <v>33</v>
      </c>
      <c r="D8531" s="7" t="s">
        <v>34</v>
      </c>
      <c r="E8531" s="7" t="s">
        <v>31</v>
      </c>
      <c r="F8531" s="0" t="n">
        <v>241.424</v>
      </c>
      <c r="G8531" s="0" t="n">
        <v>-36.2136</v>
      </c>
      <c r="H8531" s="0" t="n">
        <v>0.2</v>
      </c>
      <c r="I8531" s="7" t="n">
        <f aca="false">YEAR(B8531)</f>
        <v>2017</v>
      </c>
      <c r="J8531" s="0" t="str">
        <f aca="false">I8531&amp;"-Q"&amp;ROUNDUP(MONTH(B8531)/3,0)</f>
        <v>2017-Q4</v>
      </c>
    </row>
    <row r="8532" customFormat="false" ht="15" hidden="false" customHeight="false" outlineLevel="0" collapsed="false">
      <c r="A8532" s="0" t="s">
        <v>4326</v>
      </c>
      <c r="B8532" s="6" t="n">
        <v>42704</v>
      </c>
      <c r="C8532" s="7" t="s">
        <v>45</v>
      </c>
      <c r="D8532" s="7" t="s">
        <v>70</v>
      </c>
      <c r="E8532" s="7" t="s">
        <v>35</v>
      </c>
      <c r="F8532" s="0" t="n">
        <v>33.36</v>
      </c>
      <c r="G8532" s="0" t="n">
        <v>16.68</v>
      </c>
      <c r="H8532" s="0" t="n">
        <v>0</v>
      </c>
      <c r="I8532" s="7" t="n">
        <f aca="false">YEAR(B8532)</f>
        <v>2016</v>
      </c>
      <c r="J8532" s="0" t="str">
        <f aca="false">I8532&amp;"-Q"&amp;ROUNDUP(MONTH(B8532)/3,0)</f>
        <v>2016-Q4</v>
      </c>
    </row>
    <row r="8533" customFormat="false" ht="15" hidden="false" customHeight="false" outlineLevel="0" collapsed="false">
      <c r="A8533" s="0" t="s">
        <v>4326</v>
      </c>
      <c r="B8533" s="6" t="n">
        <v>42704</v>
      </c>
      <c r="C8533" s="7" t="s">
        <v>45</v>
      </c>
      <c r="D8533" s="7" t="s">
        <v>70</v>
      </c>
      <c r="E8533" s="7" t="s">
        <v>35</v>
      </c>
      <c r="F8533" s="0" t="n">
        <v>13.76</v>
      </c>
      <c r="G8533" s="0" t="n">
        <v>6.3296</v>
      </c>
      <c r="H8533" s="0" t="n">
        <v>0</v>
      </c>
      <c r="I8533" s="7" t="n">
        <f aca="false">YEAR(B8533)</f>
        <v>2016</v>
      </c>
      <c r="J8533" s="0" t="str">
        <f aca="false">I8533&amp;"-Q"&amp;ROUNDUP(MONTH(B8533)/3,0)</f>
        <v>2016-Q4</v>
      </c>
    </row>
    <row r="8534" customFormat="false" ht="15" hidden="false" customHeight="false" outlineLevel="0" collapsed="false">
      <c r="A8534" s="0" t="s">
        <v>4326</v>
      </c>
      <c r="B8534" s="6" t="n">
        <v>42704</v>
      </c>
      <c r="C8534" s="7" t="s">
        <v>45</v>
      </c>
      <c r="D8534" s="7" t="s">
        <v>70</v>
      </c>
      <c r="E8534" s="7" t="s">
        <v>35</v>
      </c>
      <c r="F8534" s="0" t="n">
        <v>496.86</v>
      </c>
      <c r="G8534" s="0" t="n">
        <v>24.843</v>
      </c>
      <c r="H8534" s="0" t="n">
        <v>0</v>
      </c>
      <c r="I8534" s="7" t="n">
        <f aca="false">YEAR(B8534)</f>
        <v>2016</v>
      </c>
      <c r="J8534" s="0" t="str">
        <f aca="false">I8534&amp;"-Q"&amp;ROUNDUP(MONTH(B8534)/3,0)</f>
        <v>2016-Q4</v>
      </c>
    </row>
    <row r="8535" customFormat="false" ht="15" hidden="false" customHeight="false" outlineLevel="0" collapsed="false">
      <c r="A8535" s="0" t="s">
        <v>4326</v>
      </c>
      <c r="B8535" s="6" t="n">
        <v>42704</v>
      </c>
      <c r="C8535" s="7" t="s">
        <v>45</v>
      </c>
      <c r="D8535" s="7" t="s">
        <v>70</v>
      </c>
      <c r="E8535" s="7" t="s">
        <v>31</v>
      </c>
      <c r="F8535" s="0" t="n">
        <v>389.97</v>
      </c>
      <c r="G8535" s="0" t="n">
        <v>35.0973</v>
      </c>
      <c r="H8535" s="0" t="n">
        <v>0</v>
      </c>
      <c r="I8535" s="7" t="n">
        <f aca="false">YEAR(B8535)</f>
        <v>2016</v>
      </c>
      <c r="J8535" s="0" t="str">
        <f aca="false">I8535&amp;"-Q"&amp;ROUNDUP(MONTH(B8535)/3,0)</f>
        <v>2016-Q4</v>
      </c>
    </row>
    <row r="8536" customFormat="false" ht="15" hidden="false" customHeight="false" outlineLevel="0" collapsed="false">
      <c r="A8536" s="0" t="s">
        <v>4327</v>
      </c>
      <c r="B8536" s="6" t="n">
        <v>42017</v>
      </c>
      <c r="C8536" s="7" t="s">
        <v>29</v>
      </c>
      <c r="D8536" s="7" t="s">
        <v>230</v>
      </c>
      <c r="E8536" s="7" t="s">
        <v>35</v>
      </c>
      <c r="F8536" s="0" t="n">
        <v>9.82</v>
      </c>
      <c r="G8536" s="0" t="n">
        <v>4.8118</v>
      </c>
      <c r="H8536" s="0" t="n">
        <v>0</v>
      </c>
      <c r="I8536" s="7" t="n">
        <f aca="false">YEAR(B8536)</f>
        <v>2015</v>
      </c>
      <c r="J8536" s="0" t="str">
        <f aca="false">I8536&amp;"-Q"&amp;ROUNDUP(MONTH(B8536)/3,0)</f>
        <v>2015-Q1</v>
      </c>
    </row>
    <row r="8537" customFormat="false" ht="15" hidden="false" customHeight="false" outlineLevel="0" collapsed="false">
      <c r="A8537" s="0" t="s">
        <v>4328</v>
      </c>
      <c r="B8537" s="6" t="n">
        <v>41775</v>
      </c>
      <c r="C8537" s="7" t="s">
        <v>33</v>
      </c>
      <c r="D8537" s="7" t="s">
        <v>34</v>
      </c>
      <c r="E8537" s="7" t="s">
        <v>39</v>
      </c>
      <c r="F8537" s="0" t="n">
        <v>56.4</v>
      </c>
      <c r="G8537" s="0" t="n">
        <v>3.384</v>
      </c>
      <c r="H8537" s="0" t="n">
        <v>0</v>
      </c>
      <c r="I8537" s="7" t="n">
        <f aca="false">YEAR(B8537)</f>
        <v>2014</v>
      </c>
      <c r="J8537" s="0" t="str">
        <f aca="false">I8537&amp;"-Q"&amp;ROUNDUP(MONTH(B8537)/3,0)</f>
        <v>2014-Q2</v>
      </c>
    </row>
    <row r="8538" customFormat="false" ht="15" hidden="false" customHeight="false" outlineLevel="0" collapsed="false">
      <c r="A8538" s="0" t="s">
        <v>4329</v>
      </c>
      <c r="B8538" s="6" t="n">
        <v>42162</v>
      </c>
      <c r="C8538" s="7" t="s">
        <v>55</v>
      </c>
      <c r="D8538" s="7" t="s">
        <v>56</v>
      </c>
      <c r="E8538" s="7" t="s">
        <v>35</v>
      </c>
      <c r="F8538" s="0" t="n">
        <v>18.312</v>
      </c>
      <c r="G8538" s="0" t="n">
        <v>-12.208</v>
      </c>
      <c r="H8538" s="0" t="n">
        <v>0.7</v>
      </c>
      <c r="I8538" s="7" t="n">
        <f aca="false">YEAR(B8538)</f>
        <v>2015</v>
      </c>
      <c r="J8538" s="0" t="str">
        <f aca="false">I8538&amp;"-Q"&amp;ROUNDUP(MONTH(B8538)/3,0)</f>
        <v>2015-Q2</v>
      </c>
    </row>
    <row r="8539" customFormat="false" ht="15" hidden="false" customHeight="false" outlineLevel="0" collapsed="false">
      <c r="A8539" s="0" t="s">
        <v>4329</v>
      </c>
      <c r="B8539" s="6" t="n">
        <v>42162</v>
      </c>
      <c r="C8539" s="7" t="s">
        <v>55</v>
      </c>
      <c r="D8539" s="7" t="s">
        <v>56</v>
      </c>
      <c r="E8539" s="7" t="s">
        <v>35</v>
      </c>
      <c r="F8539" s="0" t="n">
        <v>25.92</v>
      </c>
      <c r="G8539" s="0" t="n">
        <v>9.072</v>
      </c>
      <c r="H8539" s="0" t="n">
        <v>0.2</v>
      </c>
      <c r="I8539" s="7" t="n">
        <f aca="false">YEAR(B8539)</f>
        <v>2015</v>
      </c>
      <c r="J8539" s="0" t="str">
        <f aca="false">I8539&amp;"-Q"&amp;ROUNDUP(MONTH(B8539)/3,0)</f>
        <v>2015-Q2</v>
      </c>
    </row>
    <row r="8540" customFormat="false" ht="15" hidden="false" customHeight="false" outlineLevel="0" collapsed="false">
      <c r="A8540" s="0" t="s">
        <v>4329</v>
      </c>
      <c r="B8540" s="6" t="n">
        <v>42162</v>
      </c>
      <c r="C8540" s="7" t="s">
        <v>55</v>
      </c>
      <c r="D8540" s="7" t="s">
        <v>56</v>
      </c>
      <c r="E8540" s="7" t="s">
        <v>35</v>
      </c>
      <c r="F8540" s="0" t="n">
        <v>8.016</v>
      </c>
      <c r="G8540" s="0" t="n">
        <v>1.002</v>
      </c>
      <c r="H8540" s="0" t="n">
        <v>0.2</v>
      </c>
      <c r="I8540" s="7" t="n">
        <f aca="false">YEAR(B8540)</f>
        <v>2015</v>
      </c>
      <c r="J8540" s="0" t="str">
        <f aca="false">I8540&amp;"-Q"&amp;ROUNDUP(MONTH(B8540)/3,0)</f>
        <v>2015-Q2</v>
      </c>
    </row>
    <row r="8541" customFormat="false" ht="15" hidden="false" customHeight="false" outlineLevel="0" collapsed="false">
      <c r="A8541" s="0" t="s">
        <v>4330</v>
      </c>
      <c r="B8541" s="6" t="n">
        <v>42803</v>
      </c>
      <c r="C8541" s="7" t="s">
        <v>33</v>
      </c>
      <c r="D8541" s="7" t="s">
        <v>34</v>
      </c>
      <c r="E8541" s="7" t="s">
        <v>39</v>
      </c>
      <c r="F8541" s="0" t="n">
        <v>479.984</v>
      </c>
      <c r="G8541" s="0" t="n">
        <v>59.998</v>
      </c>
      <c r="H8541" s="0" t="n">
        <v>0.2</v>
      </c>
      <c r="I8541" s="7" t="n">
        <f aca="false">YEAR(B8541)</f>
        <v>2017</v>
      </c>
      <c r="J8541" s="0" t="str">
        <f aca="false">I8541&amp;"-Q"&amp;ROUNDUP(MONTH(B8541)/3,0)</f>
        <v>2017-Q1</v>
      </c>
    </row>
    <row r="8542" customFormat="false" ht="15" hidden="false" customHeight="false" outlineLevel="0" collapsed="false">
      <c r="A8542" s="0" t="s">
        <v>4330</v>
      </c>
      <c r="B8542" s="6" t="n">
        <v>42803</v>
      </c>
      <c r="C8542" s="7" t="s">
        <v>33</v>
      </c>
      <c r="D8542" s="7" t="s">
        <v>34</v>
      </c>
      <c r="E8542" s="7" t="s">
        <v>35</v>
      </c>
      <c r="F8542" s="0" t="n">
        <v>30.84</v>
      </c>
      <c r="G8542" s="0" t="n">
        <v>9.6375</v>
      </c>
      <c r="H8542" s="0" t="n">
        <v>0.2</v>
      </c>
      <c r="I8542" s="7" t="n">
        <f aca="false">YEAR(B8542)</f>
        <v>2017</v>
      </c>
      <c r="J8542" s="0" t="str">
        <f aca="false">I8542&amp;"-Q"&amp;ROUNDUP(MONTH(B8542)/3,0)</f>
        <v>2017-Q1</v>
      </c>
    </row>
    <row r="8543" customFormat="false" ht="15" hidden="false" customHeight="false" outlineLevel="0" collapsed="false">
      <c r="A8543" s="0" t="s">
        <v>4331</v>
      </c>
      <c r="B8543" s="6" t="n">
        <v>42360</v>
      </c>
      <c r="C8543" s="7" t="s">
        <v>55</v>
      </c>
      <c r="D8543" s="7" t="s">
        <v>56</v>
      </c>
      <c r="E8543" s="7" t="s">
        <v>35</v>
      </c>
      <c r="F8543" s="0" t="n">
        <v>33.568</v>
      </c>
      <c r="G8543" s="0" t="n">
        <v>1.6784</v>
      </c>
      <c r="H8543" s="0" t="n">
        <v>0.2</v>
      </c>
      <c r="I8543" s="7" t="n">
        <f aca="false">YEAR(B8543)</f>
        <v>2015</v>
      </c>
      <c r="J8543" s="0" t="str">
        <f aca="false">I8543&amp;"-Q"&amp;ROUNDUP(MONTH(B8543)/3,0)</f>
        <v>2015-Q4</v>
      </c>
    </row>
    <row r="8544" customFormat="false" ht="15" hidden="false" customHeight="false" outlineLevel="0" collapsed="false">
      <c r="A8544" s="0" t="s">
        <v>4331</v>
      </c>
      <c r="B8544" s="6" t="n">
        <v>42360</v>
      </c>
      <c r="C8544" s="7" t="s">
        <v>55</v>
      </c>
      <c r="D8544" s="7" t="s">
        <v>56</v>
      </c>
      <c r="E8544" s="7" t="s">
        <v>31</v>
      </c>
      <c r="F8544" s="0" t="n">
        <v>422.625</v>
      </c>
      <c r="G8544" s="0" t="n">
        <v>0</v>
      </c>
      <c r="H8544" s="0" t="n">
        <v>0.3</v>
      </c>
      <c r="I8544" s="7" t="n">
        <f aca="false">YEAR(B8544)</f>
        <v>2015</v>
      </c>
      <c r="J8544" s="0" t="str">
        <f aca="false">I8544&amp;"-Q"&amp;ROUNDUP(MONTH(B8544)/3,0)</f>
        <v>2015-Q4</v>
      </c>
    </row>
    <row r="8545" customFormat="false" ht="15" hidden="false" customHeight="false" outlineLevel="0" collapsed="false">
      <c r="A8545" s="0" t="s">
        <v>4332</v>
      </c>
      <c r="B8545" s="6" t="n">
        <v>41857</v>
      </c>
      <c r="C8545" s="7" t="s">
        <v>55</v>
      </c>
      <c r="D8545" s="7" t="s">
        <v>76</v>
      </c>
      <c r="E8545" s="7" t="s">
        <v>39</v>
      </c>
      <c r="F8545" s="0" t="n">
        <v>199.98</v>
      </c>
      <c r="G8545" s="0" t="n">
        <v>83.9916</v>
      </c>
      <c r="H8545" s="0" t="n">
        <v>0</v>
      </c>
      <c r="I8545" s="7" t="n">
        <f aca="false">YEAR(B8545)</f>
        <v>2014</v>
      </c>
      <c r="J8545" s="0" t="str">
        <f aca="false">I8545&amp;"-Q"&amp;ROUNDUP(MONTH(B8545)/3,0)</f>
        <v>2014-Q3</v>
      </c>
    </row>
    <row r="8546" customFormat="false" ht="15" hidden="false" customHeight="false" outlineLevel="0" collapsed="false">
      <c r="A8546" s="0" t="s">
        <v>4333</v>
      </c>
      <c r="B8546" s="6" t="n">
        <v>42456</v>
      </c>
      <c r="C8546" s="7" t="s">
        <v>29</v>
      </c>
      <c r="D8546" s="7" t="s">
        <v>230</v>
      </c>
      <c r="E8546" s="7" t="s">
        <v>31</v>
      </c>
      <c r="F8546" s="0" t="n">
        <v>20.24</v>
      </c>
      <c r="G8546" s="0" t="n">
        <v>8.7032</v>
      </c>
      <c r="H8546" s="0" t="n">
        <v>0</v>
      </c>
      <c r="I8546" s="7" t="n">
        <f aca="false">YEAR(B8546)</f>
        <v>2016</v>
      </c>
      <c r="J8546" s="0" t="str">
        <f aca="false">I8546&amp;"-Q"&amp;ROUNDUP(MONTH(B8546)/3,0)</f>
        <v>2016-Q1</v>
      </c>
    </row>
    <row r="8547" customFormat="false" ht="15" hidden="false" customHeight="false" outlineLevel="0" collapsed="false">
      <c r="A8547" s="0" t="s">
        <v>4333</v>
      </c>
      <c r="B8547" s="6" t="n">
        <v>42456</v>
      </c>
      <c r="C8547" s="7" t="s">
        <v>29</v>
      </c>
      <c r="D8547" s="7" t="s">
        <v>230</v>
      </c>
      <c r="E8547" s="7" t="s">
        <v>31</v>
      </c>
      <c r="F8547" s="0" t="n">
        <v>39.92</v>
      </c>
      <c r="G8547" s="0" t="n">
        <v>11.1776</v>
      </c>
      <c r="H8547" s="0" t="n">
        <v>0</v>
      </c>
      <c r="I8547" s="7" t="n">
        <f aca="false">YEAR(B8547)</f>
        <v>2016</v>
      </c>
      <c r="J8547" s="0" t="str">
        <f aca="false">I8547&amp;"-Q"&amp;ROUNDUP(MONTH(B8547)/3,0)</f>
        <v>2016-Q1</v>
      </c>
    </row>
    <row r="8548" customFormat="false" ht="15" hidden="false" customHeight="false" outlineLevel="0" collapsed="false">
      <c r="A8548" s="0" t="s">
        <v>4333</v>
      </c>
      <c r="B8548" s="6" t="n">
        <v>42456</v>
      </c>
      <c r="C8548" s="7" t="s">
        <v>29</v>
      </c>
      <c r="D8548" s="7" t="s">
        <v>230</v>
      </c>
      <c r="E8548" s="7" t="s">
        <v>35</v>
      </c>
      <c r="F8548" s="0" t="n">
        <v>32.54</v>
      </c>
      <c r="G8548" s="0" t="n">
        <v>15.9446</v>
      </c>
      <c r="H8548" s="0" t="n">
        <v>0</v>
      </c>
      <c r="I8548" s="7" t="n">
        <f aca="false">YEAR(B8548)</f>
        <v>2016</v>
      </c>
      <c r="J8548" s="0" t="str">
        <f aca="false">I8548&amp;"-Q"&amp;ROUNDUP(MONTH(B8548)/3,0)</f>
        <v>2016-Q1</v>
      </c>
    </row>
    <row r="8549" customFormat="false" ht="15" hidden="false" customHeight="false" outlineLevel="0" collapsed="false">
      <c r="A8549" s="0" t="s">
        <v>4334</v>
      </c>
      <c r="B8549" s="6" t="n">
        <v>42343</v>
      </c>
      <c r="C8549" s="7" t="s">
        <v>33</v>
      </c>
      <c r="D8549" s="7" t="s">
        <v>34</v>
      </c>
      <c r="E8549" s="7" t="s">
        <v>39</v>
      </c>
      <c r="F8549" s="0" t="n">
        <v>39</v>
      </c>
      <c r="G8549" s="0" t="n">
        <v>17.55</v>
      </c>
      <c r="H8549" s="0" t="n">
        <v>0</v>
      </c>
      <c r="I8549" s="7" t="n">
        <f aca="false">YEAR(B8549)</f>
        <v>2015</v>
      </c>
      <c r="J8549" s="0" t="str">
        <f aca="false">I8549&amp;"-Q"&amp;ROUNDUP(MONTH(B8549)/3,0)</f>
        <v>2015-Q4</v>
      </c>
    </row>
    <row r="8550" customFormat="false" ht="15" hidden="false" customHeight="false" outlineLevel="0" collapsed="false">
      <c r="A8550" s="0" t="s">
        <v>4334</v>
      </c>
      <c r="B8550" s="6" t="n">
        <v>42343</v>
      </c>
      <c r="C8550" s="7" t="s">
        <v>33</v>
      </c>
      <c r="D8550" s="7" t="s">
        <v>34</v>
      </c>
      <c r="E8550" s="7" t="s">
        <v>35</v>
      </c>
      <c r="F8550" s="0" t="n">
        <v>12.6</v>
      </c>
      <c r="G8550" s="0" t="n">
        <v>6.048</v>
      </c>
      <c r="H8550" s="0" t="n">
        <v>0</v>
      </c>
      <c r="I8550" s="7" t="n">
        <f aca="false">YEAR(B8550)</f>
        <v>2015</v>
      </c>
      <c r="J8550" s="0" t="str">
        <f aca="false">I8550&amp;"-Q"&amp;ROUNDUP(MONTH(B8550)/3,0)</f>
        <v>2015-Q4</v>
      </c>
    </row>
    <row r="8551" customFormat="false" ht="15" hidden="false" customHeight="false" outlineLevel="0" collapsed="false">
      <c r="A8551" s="0" t="s">
        <v>4335</v>
      </c>
      <c r="B8551" s="6" t="n">
        <v>42258</v>
      </c>
      <c r="C8551" s="7" t="s">
        <v>33</v>
      </c>
      <c r="D8551" s="7" t="s">
        <v>109</v>
      </c>
      <c r="E8551" s="7" t="s">
        <v>31</v>
      </c>
      <c r="F8551" s="0" t="n">
        <v>24.64</v>
      </c>
      <c r="G8551" s="0" t="n">
        <v>4.004</v>
      </c>
      <c r="H8551" s="0" t="n">
        <v>0.2</v>
      </c>
      <c r="I8551" s="7" t="n">
        <f aca="false">YEAR(B8551)</f>
        <v>2015</v>
      </c>
      <c r="J8551" s="0" t="str">
        <f aca="false">I8551&amp;"-Q"&amp;ROUNDUP(MONTH(B8551)/3,0)</f>
        <v>2015-Q3</v>
      </c>
    </row>
    <row r="8552" customFormat="false" ht="15" hidden="false" customHeight="false" outlineLevel="0" collapsed="false">
      <c r="A8552" s="0" t="s">
        <v>4336</v>
      </c>
      <c r="B8552" s="6" t="n">
        <v>42202</v>
      </c>
      <c r="C8552" s="7" t="s">
        <v>45</v>
      </c>
      <c r="D8552" s="7" t="s">
        <v>46</v>
      </c>
      <c r="E8552" s="7" t="s">
        <v>35</v>
      </c>
      <c r="F8552" s="0" t="n">
        <v>6.264</v>
      </c>
      <c r="G8552" s="0" t="n">
        <v>2.0358</v>
      </c>
      <c r="H8552" s="0" t="n">
        <v>0.2</v>
      </c>
      <c r="I8552" s="7" t="n">
        <f aca="false">YEAR(B8552)</f>
        <v>2015</v>
      </c>
      <c r="J8552" s="0" t="str">
        <f aca="false">I8552&amp;"-Q"&amp;ROUNDUP(MONTH(B8552)/3,0)</f>
        <v>2015-Q3</v>
      </c>
    </row>
    <row r="8553" customFormat="false" ht="15" hidden="false" customHeight="false" outlineLevel="0" collapsed="false">
      <c r="A8553" s="0" t="s">
        <v>4336</v>
      </c>
      <c r="B8553" s="6" t="n">
        <v>42202</v>
      </c>
      <c r="C8553" s="7" t="s">
        <v>45</v>
      </c>
      <c r="D8553" s="7" t="s">
        <v>46</v>
      </c>
      <c r="E8553" s="7" t="s">
        <v>35</v>
      </c>
      <c r="F8553" s="0" t="n">
        <v>14.432</v>
      </c>
      <c r="G8553" s="0" t="n">
        <v>3.4276</v>
      </c>
      <c r="H8553" s="0" t="n">
        <v>0.2</v>
      </c>
      <c r="I8553" s="7" t="n">
        <f aca="false">YEAR(B8553)</f>
        <v>2015</v>
      </c>
      <c r="J8553" s="0" t="str">
        <f aca="false">I8553&amp;"-Q"&amp;ROUNDUP(MONTH(B8553)/3,0)</f>
        <v>2015-Q3</v>
      </c>
    </row>
    <row r="8554" customFormat="false" ht="15" hidden="false" customHeight="false" outlineLevel="0" collapsed="false">
      <c r="A8554" s="0" t="s">
        <v>4337</v>
      </c>
      <c r="B8554" s="6" t="n">
        <v>41789</v>
      </c>
      <c r="C8554" s="7" t="s">
        <v>45</v>
      </c>
      <c r="D8554" s="7" t="s">
        <v>64</v>
      </c>
      <c r="E8554" s="7" t="s">
        <v>39</v>
      </c>
      <c r="F8554" s="0" t="n">
        <v>719.976</v>
      </c>
      <c r="G8554" s="0" t="n">
        <v>134.9955</v>
      </c>
      <c r="H8554" s="0" t="n">
        <v>0.2</v>
      </c>
      <c r="I8554" s="7" t="n">
        <f aca="false">YEAR(B8554)</f>
        <v>2014</v>
      </c>
      <c r="J8554" s="0" t="str">
        <f aca="false">I8554&amp;"-Q"&amp;ROUNDUP(MONTH(B8554)/3,0)</f>
        <v>2014-Q2</v>
      </c>
    </row>
    <row r="8555" customFormat="false" ht="15" hidden="false" customHeight="false" outlineLevel="0" collapsed="false">
      <c r="A8555" s="0" t="s">
        <v>4338</v>
      </c>
      <c r="B8555" s="6" t="n">
        <v>43052</v>
      </c>
      <c r="C8555" s="7" t="s">
        <v>29</v>
      </c>
      <c r="D8555" s="7" t="s">
        <v>91</v>
      </c>
      <c r="E8555" s="7" t="s">
        <v>39</v>
      </c>
      <c r="F8555" s="0" t="n">
        <v>239.92</v>
      </c>
      <c r="G8555" s="0" t="n">
        <v>23.992</v>
      </c>
      <c r="H8555" s="0" t="n">
        <v>0</v>
      </c>
      <c r="I8555" s="7" t="n">
        <f aca="false">YEAR(B8555)</f>
        <v>2017</v>
      </c>
      <c r="J8555" s="0" t="str">
        <f aca="false">I8555&amp;"-Q"&amp;ROUNDUP(MONTH(B8555)/3,0)</f>
        <v>2017-Q4</v>
      </c>
    </row>
    <row r="8556" customFormat="false" ht="15" hidden="false" customHeight="false" outlineLevel="0" collapsed="false">
      <c r="A8556" s="0" t="s">
        <v>4339</v>
      </c>
      <c r="B8556" s="6" t="n">
        <v>42713</v>
      </c>
      <c r="C8556" s="7" t="s">
        <v>29</v>
      </c>
      <c r="D8556" s="7" t="s">
        <v>83</v>
      </c>
      <c r="E8556" s="7" t="s">
        <v>31</v>
      </c>
      <c r="F8556" s="0" t="n">
        <v>1056.86</v>
      </c>
      <c r="G8556" s="0" t="n">
        <v>158.529</v>
      </c>
      <c r="H8556" s="0" t="n">
        <v>0</v>
      </c>
      <c r="I8556" s="7" t="n">
        <f aca="false">YEAR(B8556)</f>
        <v>2016</v>
      </c>
      <c r="J8556" s="0" t="str">
        <f aca="false">I8556&amp;"-Q"&amp;ROUNDUP(MONTH(B8556)/3,0)</f>
        <v>2016-Q4</v>
      </c>
    </row>
    <row r="8557" customFormat="false" ht="15" hidden="false" customHeight="false" outlineLevel="0" collapsed="false">
      <c r="A8557" s="0" t="s">
        <v>4340</v>
      </c>
      <c r="B8557" s="6" t="n">
        <v>42085</v>
      </c>
      <c r="C8557" s="7" t="s">
        <v>29</v>
      </c>
      <c r="D8557" s="7" t="s">
        <v>37</v>
      </c>
      <c r="E8557" s="7" t="s">
        <v>39</v>
      </c>
      <c r="F8557" s="0" t="n">
        <v>447.944</v>
      </c>
      <c r="G8557" s="0" t="n">
        <v>89.5888</v>
      </c>
      <c r="H8557" s="0" t="n">
        <v>0.2</v>
      </c>
      <c r="I8557" s="7" t="n">
        <f aca="false">YEAR(B8557)</f>
        <v>2015</v>
      </c>
      <c r="J8557" s="0" t="str">
        <f aca="false">I8557&amp;"-Q"&amp;ROUNDUP(MONTH(B8557)/3,0)</f>
        <v>2015-Q1</v>
      </c>
    </row>
    <row r="8558" customFormat="false" ht="15" hidden="false" customHeight="false" outlineLevel="0" collapsed="false">
      <c r="A8558" s="0" t="s">
        <v>4340</v>
      </c>
      <c r="B8558" s="6" t="n">
        <v>42085</v>
      </c>
      <c r="C8558" s="7" t="s">
        <v>29</v>
      </c>
      <c r="D8558" s="7" t="s">
        <v>37</v>
      </c>
      <c r="E8558" s="7" t="s">
        <v>35</v>
      </c>
      <c r="F8558" s="0" t="n">
        <v>150.408</v>
      </c>
      <c r="G8558" s="0" t="n">
        <v>-33.8418</v>
      </c>
      <c r="H8558" s="0" t="n">
        <v>0.2</v>
      </c>
      <c r="I8558" s="7" t="n">
        <f aca="false">YEAR(B8558)</f>
        <v>2015</v>
      </c>
      <c r="J8558" s="0" t="str">
        <f aca="false">I8558&amp;"-Q"&amp;ROUNDUP(MONTH(B8558)/3,0)</f>
        <v>2015-Q1</v>
      </c>
    </row>
    <row r="8559" customFormat="false" ht="15" hidden="false" customHeight="false" outlineLevel="0" collapsed="false">
      <c r="A8559" s="0" t="s">
        <v>4341</v>
      </c>
      <c r="B8559" s="6" t="n">
        <v>42727</v>
      </c>
      <c r="C8559" s="7" t="s">
        <v>45</v>
      </c>
      <c r="D8559" s="7" t="s">
        <v>46</v>
      </c>
      <c r="E8559" s="7" t="s">
        <v>39</v>
      </c>
      <c r="F8559" s="0" t="n">
        <v>453.576</v>
      </c>
      <c r="G8559" s="0" t="n">
        <v>39.6879</v>
      </c>
      <c r="H8559" s="0" t="n">
        <v>0.2</v>
      </c>
      <c r="I8559" s="7" t="n">
        <f aca="false">YEAR(B8559)</f>
        <v>2016</v>
      </c>
      <c r="J8559" s="0" t="str">
        <f aca="false">I8559&amp;"-Q"&amp;ROUNDUP(MONTH(B8559)/3,0)</f>
        <v>2016-Q4</v>
      </c>
    </row>
    <row r="8560" customFormat="false" ht="15" hidden="false" customHeight="false" outlineLevel="0" collapsed="false">
      <c r="A8560" s="0" t="s">
        <v>4341</v>
      </c>
      <c r="B8560" s="6" t="n">
        <v>42727</v>
      </c>
      <c r="C8560" s="7" t="s">
        <v>45</v>
      </c>
      <c r="D8560" s="7" t="s">
        <v>46</v>
      </c>
      <c r="E8560" s="7" t="s">
        <v>35</v>
      </c>
      <c r="F8560" s="0" t="n">
        <v>45.36</v>
      </c>
      <c r="G8560" s="0" t="n">
        <v>14.742</v>
      </c>
      <c r="H8560" s="0" t="n">
        <v>0.2</v>
      </c>
      <c r="I8560" s="7" t="n">
        <f aca="false">YEAR(B8560)</f>
        <v>2016</v>
      </c>
      <c r="J8560" s="0" t="str">
        <f aca="false">I8560&amp;"-Q"&amp;ROUNDUP(MONTH(B8560)/3,0)</f>
        <v>2016-Q4</v>
      </c>
    </row>
    <row r="8561" customFormat="false" ht="15" hidden="false" customHeight="false" outlineLevel="0" collapsed="false">
      <c r="A8561" s="0" t="s">
        <v>4341</v>
      </c>
      <c r="B8561" s="6" t="n">
        <v>42727</v>
      </c>
      <c r="C8561" s="7" t="s">
        <v>45</v>
      </c>
      <c r="D8561" s="7" t="s">
        <v>46</v>
      </c>
      <c r="E8561" s="7" t="s">
        <v>39</v>
      </c>
      <c r="F8561" s="0" t="n">
        <v>287.88</v>
      </c>
      <c r="G8561" s="0" t="n">
        <v>35.985</v>
      </c>
      <c r="H8561" s="0" t="n">
        <v>0.2</v>
      </c>
      <c r="I8561" s="7" t="n">
        <f aca="false">YEAR(B8561)</f>
        <v>2016</v>
      </c>
      <c r="J8561" s="0" t="str">
        <f aca="false">I8561&amp;"-Q"&amp;ROUNDUP(MONTH(B8561)/3,0)</f>
        <v>2016-Q4</v>
      </c>
    </row>
    <row r="8562" customFormat="false" ht="15" hidden="false" customHeight="false" outlineLevel="0" collapsed="false">
      <c r="A8562" s="0" t="s">
        <v>4341</v>
      </c>
      <c r="B8562" s="6" t="n">
        <v>42727</v>
      </c>
      <c r="C8562" s="7" t="s">
        <v>45</v>
      </c>
      <c r="D8562" s="7" t="s">
        <v>46</v>
      </c>
      <c r="E8562" s="7" t="s">
        <v>39</v>
      </c>
      <c r="F8562" s="0" t="n">
        <v>131.88</v>
      </c>
      <c r="G8562" s="0" t="n">
        <v>14.8365</v>
      </c>
      <c r="H8562" s="0" t="n">
        <v>0.2</v>
      </c>
      <c r="I8562" s="7" t="n">
        <f aca="false">YEAR(B8562)</f>
        <v>2016</v>
      </c>
      <c r="J8562" s="0" t="str">
        <f aca="false">I8562&amp;"-Q"&amp;ROUNDUP(MONTH(B8562)/3,0)</f>
        <v>2016-Q4</v>
      </c>
    </row>
    <row r="8563" customFormat="false" ht="15" hidden="false" customHeight="false" outlineLevel="0" collapsed="false">
      <c r="A8563" s="0" t="s">
        <v>4341</v>
      </c>
      <c r="B8563" s="6" t="n">
        <v>42727</v>
      </c>
      <c r="C8563" s="7" t="s">
        <v>45</v>
      </c>
      <c r="D8563" s="7" t="s">
        <v>46</v>
      </c>
      <c r="E8563" s="7" t="s">
        <v>31</v>
      </c>
      <c r="F8563" s="0" t="n">
        <v>2.328</v>
      </c>
      <c r="G8563" s="0" t="n">
        <v>-0.7566</v>
      </c>
      <c r="H8563" s="0" t="n">
        <v>0.6</v>
      </c>
      <c r="I8563" s="7" t="n">
        <f aca="false">YEAR(B8563)</f>
        <v>2016</v>
      </c>
      <c r="J8563" s="0" t="str">
        <f aca="false">I8563&amp;"-Q"&amp;ROUNDUP(MONTH(B8563)/3,0)</f>
        <v>2016-Q4</v>
      </c>
    </row>
    <row r="8564" customFormat="false" ht="15" hidden="false" customHeight="false" outlineLevel="0" collapsed="false">
      <c r="A8564" s="0" t="s">
        <v>4342</v>
      </c>
      <c r="B8564" s="6" t="n">
        <v>42462</v>
      </c>
      <c r="C8564" s="7" t="s">
        <v>45</v>
      </c>
      <c r="D8564" s="7" t="s">
        <v>48</v>
      </c>
      <c r="E8564" s="7" t="s">
        <v>31</v>
      </c>
      <c r="F8564" s="0" t="n">
        <v>1454.9</v>
      </c>
      <c r="G8564" s="0" t="n">
        <v>378.274</v>
      </c>
      <c r="H8564" s="0" t="n">
        <v>0</v>
      </c>
      <c r="I8564" s="7" t="n">
        <f aca="false">YEAR(B8564)</f>
        <v>2016</v>
      </c>
      <c r="J8564" s="0" t="str">
        <f aca="false">I8564&amp;"-Q"&amp;ROUNDUP(MONTH(B8564)/3,0)</f>
        <v>2016-Q2</v>
      </c>
    </row>
    <row r="8565" customFormat="false" ht="15" hidden="false" customHeight="false" outlineLevel="0" collapsed="false">
      <c r="A8565" s="0" t="s">
        <v>4343</v>
      </c>
      <c r="B8565" s="6" t="n">
        <v>42855</v>
      </c>
      <c r="C8565" s="7" t="s">
        <v>29</v>
      </c>
      <c r="D8565" s="7" t="s">
        <v>37</v>
      </c>
      <c r="E8565" s="7" t="s">
        <v>35</v>
      </c>
      <c r="F8565" s="0" t="n">
        <v>4.842</v>
      </c>
      <c r="G8565" s="0" t="n">
        <v>-3.5508</v>
      </c>
      <c r="H8565" s="0" t="n">
        <v>0.7</v>
      </c>
      <c r="I8565" s="7" t="n">
        <f aca="false">YEAR(B8565)</f>
        <v>2017</v>
      </c>
      <c r="J8565" s="0" t="str">
        <f aca="false">I8565&amp;"-Q"&amp;ROUNDUP(MONTH(B8565)/3,0)</f>
        <v>2017-Q2</v>
      </c>
    </row>
    <row r="8566" customFormat="false" ht="15" hidden="false" customHeight="false" outlineLevel="0" collapsed="false">
      <c r="A8566" s="0" t="s">
        <v>4343</v>
      </c>
      <c r="B8566" s="6" t="n">
        <v>42855</v>
      </c>
      <c r="C8566" s="7" t="s">
        <v>29</v>
      </c>
      <c r="D8566" s="7" t="s">
        <v>37</v>
      </c>
      <c r="E8566" s="7" t="s">
        <v>31</v>
      </c>
      <c r="F8566" s="0" t="n">
        <v>220.704</v>
      </c>
      <c r="G8566" s="0" t="n">
        <v>-8.2764</v>
      </c>
      <c r="H8566" s="0" t="n">
        <v>0.2</v>
      </c>
      <c r="I8566" s="7" t="n">
        <f aca="false">YEAR(B8566)</f>
        <v>2017</v>
      </c>
      <c r="J8566" s="0" t="str">
        <f aca="false">I8566&amp;"-Q"&amp;ROUNDUP(MONTH(B8566)/3,0)</f>
        <v>2017-Q2</v>
      </c>
    </row>
    <row r="8567" customFormat="false" ht="15" hidden="false" customHeight="false" outlineLevel="0" collapsed="false">
      <c r="A8567" s="0" t="s">
        <v>4344</v>
      </c>
      <c r="B8567" s="6" t="n">
        <v>42691</v>
      </c>
      <c r="C8567" s="7" t="s">
        <v>45</v>
      </c>
      <c r="D8567" s="7" t="s">
        <v>46</v>
      </c>
      <c r="E8567" s="7" t="s">
        <v>39</v>
      </c>
      <c r="F8567" s="0" t="n">
        <v>67.176</v>
      </c>
      <c r="G8567" s="0" t="n">
        <v>6.7176</v>
      </c>
      <c r="H8567" s="0" t="n">
        <v>0.2</v>
      </c>
      <c r="I8567" s="7" t="n">
        <f aca="false">YEAR(B8567)</f>
        <v>2016</v>
      </c>
      <c r="J8567" s="0" t="str">
        <f aca="false">I8567&amp;"-Q"&amp;ROUNDUP(MONTH(B8567)/3,0)</f>
        <v>2016-Q4</v>
      </c>
    </row>
    <row r="8568" customFormat="false" ht="15" hidden="false" customHeight="false" outlineLevel="0" collapsed="false">
      <c r="A8568" s="0" t="s">
        <v>4344</v>
      </c>
      <c r="B8568" s="6" t="n">
        <v>42691</v>
      </c>
      <c r="C8568" s="7" t="s">
        <v>45</v>
      </c>
      <c r="D8568" s="7" t="s">
        <v>46</v>
      </c>
      <c r="E8568" s="7" t="s">
        <v>35</v>
      </c>
      <c r="F8568" s="0" t="n">
        <v>15.232</v>
      </c>
      <c r="G8568" s="0" t="n">
        <v>5.5216</v>
      </c>
      <c r="H8568" s="0" t="n">
        <v>0.2</v>
      </c>
      <c r="I8568" s="7" t="n">
        <f aca="false">YEAR(B8568)</f>
        <v>2016</v>
      </c>
      <c r="J8568" s="0" t="str">
        <f aca="false">I8568&amp;"-Q"&amp;ROUNDUP(MONTH(B8568)/3,0)</f>
        <v>2016-Q4</v>
      </c>
    </row>
    <row r="8569" customFormat="false" ht="15" hidden="false" customHeight="false" outlineLevel="0" collapsed="false">
      <c r="A8569" s="0" t="s">
        <v>4345</v>
      </c>
      <c r="B8569" s="6" t="n">
        <v>42684</v>
      </c>
      <c r="C8569" s="7" t="s">
        <v>55</v>
      </c>
      <c r="D8569" s="7" t="s">
        <v>116</v>
      </c>
      <c r="E8569" s="7" t="s">
        <v>35</v>
      </c>
      <c r="F8569" s="0" t="n">
        <v>31.104</v>
      </c>
      <c r="G8569" s="0" t="n">
        <v>10.8864</v>
      </c>
      <c r="H8569" s="0" t="n">
        <v>0.2</v>
      </c>
      <c r="I8569" s="7" t="n">
        <f aca="false">YEAR(B8569)</f>
        <v>2016</v>
      </c>
      <c r="J8569" s="0" t="str">
        <f aca="false">I8569&amp;"-Q"&amp;ROUNDUP(MONTH(B8569)/3,0)</f>
        <v>2016-Q4</v>
      </c>
    </row>
    <row r="8570" customFormat="false" ht="15" hidden="false" customHeight="false" outlineLevel="0" collapsed="false">
      <c r="A8570" s="0" t="s">
        <v>4346</v>
      </c>
      <c r="B8570" s="6" t="n">
        <v>42710</v>
      </c>
      <c r="C8570" s="7" t="s">
        <v>55</v>
      </c>
      <c r="D8570" s="7" t="s">
        <v>76</v>
      </c>
      <c r="E8570" s="7" t="s">
        <v>35</v>
      </c>
      <c r="F8570" s="0" t="n">
        <v>968.744</v>
      </c>
      <c r="G8570" s="0" t="n">
        <v>314.8418</v>
      </c>
      <c r="H8570" s="0" t="n">
        <v>0.2</v>
      </c>
      <c r="I8570" s="7" t="n">
        <f aca="false">YEAR(B8570)</f>
        <v>2016</v>
      </c>
      <c r="J8570" s="0" t="str">
        <f aca="false">I8570&amp;"-Q"&amp;ROUNDUP(MONTH(B8570)/3,0)</f>
        <v>2016-Q4</v>
      </c>
    </row>
    <row r="8571" customFormat="false" ht="15" hidden="false" customHeight="false" outlineLevel="0" collapsed="false">
      <c r="A8571" s="0" t="s">
        <v>4346</v>
      </c>
      <c r="B8571" s="6" t="n">
        <v>42710</v>
      </c>
      <c r="C8571" s="7" t="s">
        <v>55</v>
      </c>
      <c r="D8571" s="7" t="s">
        <v>76</v>
      </c>
      <c r="E8571" s="7" t="s">
        <v>35</v>
      </c>
      <c r="F8571" s="0" t="n">
        <v>222.352</v>
      </c>
      <c r="G8571" s="0" t="n">
        <v>77.8232</v>
      </c>
      <c r="H8571" s="0" t="n">
        <v>0.2</v>
      </c>
      <c r="I8571" s="7" t="n">
        <f aca="false">YEAR(B8571)</f>
        <v>2016</v>
      </c>
      <c r="J8571" s="0" t="str">
        <f aca="false">I8571&amp;"-Q"&amp;ROUNDUP(MONTH(B8571)/3,0)</f>
        <v>2016-Q4</v>
      </c>
    </row>
    <row r="8572" customFormat="false" ht="15" hidden="false" customHeight="false" outlineLevel="0" collapsed="false">
      <c r="A8572" s="0" t="s">
        <v>4346</v>
      </c>
      <c r="B8572" s="6" t="n">
        <v>42710</v>
      </c>
      <c r="C8572" s="7" t="s">
        <v>55</v>
      </c>
      <c r="D8572" s="7" t="s">
        <v>76</v>
      </c>
      <c r="E8572" s="7" t="s">
        <v>39</v>
      </c>
      <c r="F8572" s="0" t="n">
        <v>479.984</v>
      </c>
      <c r="G8572" s="0" t="n">
        <v>89.997</v>
      </c>
      <c r="H8572" s="0" t="n">
        <v>0.2</v>
      </c>
      <c r="I8572" s="7" t="n">
        <f aca="false">YEAR(B8572)</f>
        <v>2016</v>
      </c>
      <c r="J8572" s="0" t="str">
        <f aca="false">I8572&amp;"-Q"&amp;ROUNDUP(MONTH(B8572)/3,0)</f>
        <v>2016-Q4</v>
      </c>
    </row>
    <row r="8573" customFormat="false" ht="15" hidden="false" customHeight="false" outlineLevel="0" collapsed="false">
      <c r="A8573" s="0" t="s">
        <v>4347</v>
      </c>
      <c r="B8573" s="6" t="n">
        <v>42463</v>
      </c>
      <c r="C8573" s="7" t="s">
        <v>45</v>
      </c>
      <c r="D8573" s="7" t="s">
        <v>46</v>
      </c>
      <c r="E8573" s="7" t="s">
        <v>35</v>
      </c>
      <c r="F8573" s="0" t="n">
        <v>10.272</v>
      </c>
      <c r="G8573" s="0" t="n">
        <v>3.21</v>
      </c>
      <c r="H8573" s="0" t="n">
        <v>0.2</v>
      </c>
      <c r="I8573" s="7" t="n">
        <f aca="false">YEAR(B8573)</f>
        <v>2016</v>
      </c>
      <c r="J8573" s="0" t="str">
        <f aca="false">I8573&amp;"-Q"&amp;ROUNDUP(MONTH(B8573)/3,0)</f>
        <v>2016-Q2</v>
      </c>
    </row>
    <row r="8574" customFormat="false" ht="15" hidden="false" customHeight="false" outlineLevel="0" collapsed="false">
      <c r="A8574" s="0" t="s">
        <v>4348</v>
      </c>
      <c r="B8574" s="6" t="n">
        <v>41971</v>
      </c>
      <c r="C8574" s="7" t="s">
        <v>45</v>
      </c>
      <c r="D8574" s="7" t="s">
        <v>46</v>
      </c>
      <c r="E8574" s="7" t="s">
        <v>39</v>
      </c>
      <c r="F8574" s="0" t="n">
        <v>998.85</v>
      </c>
      <c r="G8574" s="0" t="n">
        <v>-199.77</v>
      </c>
      <c r="H8574" s="0" t="n">
        <v>0.4</v>
      </c>
      <c r="I8574" s="7" t="n">
        <f aca="false">YEAR(B8574)</f>
        <v>2014</v>
      </c>
      <c r="J8574" s="0" t="str">
        <f aca="false">I8574&amp;"-Q"&amp;ROUNDUP(MONTH(B8574)/3,0)</f>
        <v>2014-Q4</v>
      </c>
    </row>
    <row r="8575" customFormat="false" ht="15" hidden="false" customHeight="false" outlineLevel="0" collapsed="false">
      <c r="A8575" s="0" t="s">
        <v>4349</v>
      </c>
      <c r="B8575" s="6" t="n">
        <v>42297</v>
      </c>
      <c r="C8575" s="7" t="s">
        <v>55</v>
      </c>
      <c r="D8575" s="7" t="s">
        <v>76</v>
      </c>
      <c r="E8575" s="7" t="s">
        <v>35</v>
      </c>
      <c r="F8575" s="0" t="n">
        <v>24.56</v>
      </c>
      <c r="G8575" s="0" t="n">
        <v>11.5432</v>
      </c>
      <c r="H8575" s="0" t="n">
        <v>0</v>
      </c>
      <c r="I8575" s="7" t="n">
        <f aca="false">YEAR(B8575)</f>
        <v>2015</v>
      </c>
      <c r="J8575" s="0" t="str">
        <f aca="false">I8575&amp;"-Q"&amp;ROUNDUP(MONTH(B8575)/3,0)</f>
        <v>2015-Q4</v>
      </c>
    </row>
    <row r="8576" customFormat="false" ht="15" hidden="false" customHeight="false" outlineLevel="0" collapsed="false">
      <c r="A8576" s="0" t="s">
        <v>4350</v>
      </c>
      <c r="B8576" s="6" t="n">
        <v>41901</v>
      </c>
      <c r="C8576" s="7" t="s">
        <v>33</v>
      </c>
      <c r="D8576" s="7" t="s">
        <v>34</v>
      </c>
      <c r="E8576" s="7" t="s">
        <v>35</v>
      </c>
      <c r="F8576" s="0" t="n">
        <v>5.67</v>
      </c>
      <c r="G8576" s="0" t="n">
        <v>0.1134</v>
      </c>
      <c r="H8576" s="0" t="n">
        <v>0</v>
      </c>
      <c r="I8576" s="7" t="n">
        <f aca="false">YEAR(B8576)</f>
        <v>2014</v>
      </c>
      <c r="J8576" s="0" t="str">
        <f aca="false">I8576&amp;"-Q"&amp;ROUNDUP(MONTH(B8576)/3,0)</f>
        <v>2014-Q3</v>
      </c>
    </row>
    <row r="8577" customFormat="false" ht="15" hidden="false" customHeight="false" outlineLevel="0" collapsed="false">
      <c r="A8577" s="0" t="s">
        <v>4351</v>
      </c>
      <c r="B8577" s="6" t="n">
        <v>42974</v>
      </c>
      <c r="C8577" s="7" t="s">
        <v>29</v>
      </c>
      <c r="D8577" s="7" t="s">
        <v>37</v>
      </c>
      <c r="E8577" s="7" t="s">
        <v>35</v>
      </c>
      <c r="F8577" s="0" t="n">
        <v>14.336</v>
      </c>
      <c r="G8577" s="0" t="n">
        <v>0.896</v>
      </c>
      <c r="H8577" s="0" t="n">
        <v>0.2</v>
      </c>
      <c r="I8577" s="7" t="n">
        <f aca="false">YEAR(B8577)</f>
        <v>2017</v>
      </c>
      <c r="J8577" s="0" t="str">
        <f aca="false">I8577&amp;"-Q"&amp;ROUNDUP(MONTH(B8577)/3,0)</f>
        <v>2017-Q3</v>
      </c>
    </row>
    <row r="8578" customFormat="false" ht="15" hidden="false" customHeight="false" outlineLevel="0" collapsed="false">
      <c r="A8578" s="0" t="s">
        <v>4352</v>
      </c>
      <c r="B8578" s="6" t="n">
        <v>42919</v>
      </c>
      <c r="C8578" s="7" t="s">
        <v>55</v>
      </c>
      <c r="D8578" s="7" t="s">
        <v>482</v>
      </c>
      <c r="E8578" s="7" t="s">
        <v>31</v>
      </c>
      <c r="F8578" s="0" t="n">
        <v>102.3</v>
      </c>
      <c r="G8578" s="0" t="n">
        <v>26.598</v>
      </c>
      <c r="H8578" s="0" t="n">
        <v>0</v>
      </c>
      <c r="I8578" s="7" t="n">
        <f aca="false">YEAR(B8578)</f>
        <v>2017</v>
      </c>
      <c r="J8578" s="0" t="str">
        <f aca="false">I8578&amp;"-Q"&amp;ROUNDUP(MONTH(B8578)/3,0)</f>
        <v>2017-Q3</v>
      </c>
    </row>
    <row r="8579" customFormat="false" ht="15" hidden="false" customHeight="false" outlineLevel="0" collapsed="false">
      <c r="A8579" s="0" t="s">
        <v>4353</v>
      </c>
      <c r="B8579" s="6" t="n">
        <v>43091</v>
      </c>
      <c r="C8579" s="7" t="s">
        <v>45</v>
      </c>
      <c r="D8579" s="7" t="s">
        <v>68</v>
      </c>
      <c r="E8579" s="7" t="s">
        <v>31</v>
      </c>
      <c r="F8579" s="0" t="n">
        <v>607.52</v>
      </c>
      <c r="G8579" s="0" t="n">
        <v>97.2032</v>
      </c>
      <c r="H8579" s="0" t="n">
        <v>0</v>
      </c>
      <c r="I8579" s="7" t="n">
        <f aca="false">YEAR(B8579)</f>
        <v>2017</v>
      </c>
      <c r="J8579" s="0" t="str">
        <f aca="false">I8579&amp;"-Q"&amp;ROUNDUP(MONTH(B8579)/3,0)</f>
        <v>2017-Q4</v>
      </c>
    </row>
    <row r="8580" customFormat="false" ht="15" hidden="false" customHeight="false" outlineLevel="0" collapsed="false">
      <c r="A8580" s="0" t="s">
        <v>4353</v>
      </c>
      <c r="B8580" s="6" t="n">
        <v>43091</v>
      </c>
      <c r="C8580" s="7" t="s">
        <v>45</v>
      </c>
      <c r="D8580" s="7" t="s">
        <v>68</v>
      </c>
      <c r="E8580" s="7" t="s">
        <v>35</v>
      </c>
      <c r="F8580" s="0" t="n">
        <v>31.16</v>
      </c>
      <c r="G8580" s="0" t="n">
        <v>7.79</v>
      </c>
      <c r="H8580" s="0" t="n">
        <v>0</v>
      </c>
      <c r="I8580" s="7" t="n">
        <f aca="false">YEAR(B8580)</f>
        <v>2017</v>
      </c>
      <c r="J8580" s="0" t="str">
        <f aca="false">I8580&amp;"-Q"&amp;ROUNDUP(MONTH(B8580)/3,0)</f>
        <v>2017-Q4</v>
      </c>
    </row>
    <row r="8581" customFormat="false" ht="15" hidden="false" customHeight="false" outlineLevel="0" collapsed="false">
      <c r="A8581" s="0" t="s">
        <v>4354</v>
      </c>
      <c r="B8581" s="6" t="n">
        <v>42731</v>
      </c>
      <c r="C8581" s="7" t="s">
        <v>29</v>
      </c>
      <c r="D8581" s="7" t="s">
        <v>30</v>
      </c>
      <c r="E8581" s="7" t="s">
        <v>35</v>
      </c>
      <c r="F8581" s="0" t="n">
        <v>2.61</v>
      </c>
      <c r="G8581" s="0" t="n">
        <v>1.2006</v>
      </c>
      <c r="H8581" s="0" t="n">
        <v>0</v>
      </c>
      <c r="I8581" s="7" t="n">
        <f aca="false">YEAR(B8581)</f>
        <v>2016</v>
      </c>
      <c r="J8581" s="0" t="str">
        <f aca="false">I8581&amp;"-Q"&amp;ROUNDUP(MONTH(B8581)/3,0)</f>
        <v>2016-Q4</v>
      </c>
    </row>
    <row r="8582" customFormat="false" ht="15" hidden="false" customHeight="false" outlineLevel="0" collapsed="false">
      <c r="A8582" s="0" t="s">
        <v>4355</v>
      </c>
      <c r="B8582" s="6" t="n">
        <v>41779</v>
      </c>
      <c r="C8582" s="7" t="s">
        <v>45</v>
      </c>
      <c r="D8582" s="7" t="s">
        <v>46</v>
      </c>
      <c r="E8582" s="7" t="s">
        <v>31</v>
      </c>
      <c r="F8582" s="0" t="n">
        <v>10.332</v>
      </c>
      <c r="G8582" s="0" t="n">
        <v>-5.9409</v>
      </c>
      <c r="H8582" s="0" t="n">
        <v>0.6</v>
      </c>
      <c r="I8582" s="7" t="n">
        <f aca="false">YEAR(B8582)</f>
        <v>2014</v>
      </c>
      <c r="J8582" s="0" t="str">
        <f aca="false">I8582&amp;"-Q"&amp;ROUNDUP(MONTH(B8582)/3,0)</f>
        <v>2014-Q2</v>
      </c>
    </row>
    <row r="8583" customFormat="false" ht="15" hidden="false" customHeight="false" outlineLevel="0" collapsed="false">
      <c r="A8583" s="0" t="s">
        <v>4355</v>
      </c>
      <c r="B8583" s="6" t="n">
        <v>41779</v>
      </c>
      <c r="C8583" s="7" t="s">
        <v>45</v>
      </c>
      <c r="D8583" s="7" t="s">
        <v>46</v>
      </c>
      <c r="E8583" s="7" t="s">
        <v>35</v>
      </c>
      <c r="F8583" s="0" t="n">
        <v>10.368</v>
      </c>
      <c r="G8583" s="0" t="n">
        <v>3.6288</v>
      </c>
      <c r="H8583" s="0" t="n">
        <v>0.2</v>
      </c>
      <c r="I8583" s="7" t="n">
        <f aca="false">YEAR(B8583)</f>
        <v>2014</v>
      </c>
      <c r="J8583" s="0" t="str">
        <f aca="false">I8583&amp;"-Q"&amp;ROUNDUP(MONTH(B8583)/3,0)</f>
        <v>2014-Q2</v>
      </c>
    </row>
    <row r="8584" customFormat="false" ht="15" hidden="false" customHeight="false" outlineLevel="0" collapsed="false">
      <c r="A8584" s="0" t="s">
        <v>4355</v>
      </c>
      <c r="B8584" s="6" t="n">
        <v>41779</v>
      </c>
      <c r="C8584" s="7" t="s">
        <v>45</v>
      </c>
      <c r="D8584" s="7" t="s">
        <v>46</v>
      </c>
      <c r="E8584" s="7" t="s">
        <v>39</v>
      </c>
      <c r="F8584" s="0" t="n">
        <v>20.784</v>
      </c>
      <c r="G8584" s="0" t="n">
        <v>-3.6372</v>
      </c>
      <c r="H8584" s="0" t="n">
        <v>0.2</v>
      </c>
      <c r="I8584" s="7" t="n">
        <f aca="false">YEAR(B8584)</f>
        <v>2014</v>
      </c>
      <c r="J8584" s="0" t="str">
        <f aca="false">I8584&amp;"-Q"&amp;ROUNDUP(MONTH(B8584)/3,0)</f>
        <v>2014-Q2</v>
      </c>
    </row>
    <row r="8585" customFormat="false" ht="15" hidden="false" customHeight="false" outlineLevel="0" collapsed="false">
      <c r="A8585" s="0" t="s">
        <v>4355</v>
      </c>
      <c r="B8585" s="6" t="n">
        <v>41779</v>
      </c>
      <c r="C8585" s="7" t="s">
        <v>45</v>
      </c>
      <c r="D8585" s="7" t="s">
        <v>46</v>
      </c>
      <c r="E8585" s="7" t="s">
        <v>35</v>
      </c>
      <c r="F8585" s="0" t="n">
        <v>66.96</v>
      </c>
      <c r="G8585" s="0" t="n">
        <v>-13.392</v>
      </c>
      <c r="H8585" s="0" t="n">
        <v>0.2</v>
      </c>
      <c r="I8585" s="7" t="n">
        <f aca="false">YEAR(B8585)</f>
        <v>2014</v>
      </c>
      <c r="J8585" s="0" t="str">
        <f aca="false">I8585&amp;"-Q"&amp;ROUNDUP(MONTH(B8585)/3,0)</f>
        <v>2014-Q2</v>
      </c>
    </row>
    <row r="8586" customFormat="false" ht="15" hidden="false" customHeight="false" outlineLevel="0" collapsed="false">
      <c r="A8586" s="0" t="s">
        <v>4356</v>
      </c>
      <c r="B8586" s="6" t="n">
        <v>41674</v>
      </c>
      <c r="C8586" s="7" t="s">
        <v>33</v>
      </c>
      <c r="D8586" s="7" t="s">
        <v>34</v>
      </c>
      <c r="E8586" s="7" t="s">
        <v>35</v>
      </c>
      <c r="F8586" s="0" t="n">
        <v>17.248</v>
      </c>
      <c r="G8586" s="0" t="n">
        <v>6.0368</v>
      </c>
      <c r="H8586" s="0" t="n">
        <v>0.2</v>
      </c>
      <c r="I8586" s="7" t="n">
        <f aca="false">YEAR(B8586)</f>
        <v>2014</v>
      </c>
      <c r="J8586" s="0" t="str">
        <f aca="false">I8586&amp;"-Q"&amp;ROUNDUP(MONTH(B8586)/3,0)</f>
        <v>2014-Q1</v>
      </c>
    </row>
    <row r="8587" customFormat="false" ht="15" hidden="false" customHeight="false" outlineLevel="0" collapsed="false">
      <c r="A8587" s="0" t="s">
        <v>4357</v>
      </c>
      <c r="B8587" s="6" t="n">
        <v>43078</v>
      </c>
      <c r="C8587" s="7" t="s">
        <v>55</v>
      </c>
      <c r="D8587" s="7" t="s">
        <v>56</v>
      </c>
      <c r="E8587" s="7" t="s">
        <v>35</v>
      </c>
      <c r="F8587" s="0" t="n">
        <v>11.088</v>
      </c>
      <c r="G8587" s="0" t="n">
        <v>-8.1312</v>
      </c>
      <c r="H8587" s="0" t="n">
        <v>0.7</v>
      </c>
      <c r="I8587" s="7" t="n">
        <f aca="false">YEAR(B8587)</f>
        <v>2017</v>
      </c>
      <c r="J8587" s="0" t="str">
        <f aca="false">I8587&amp;"-Q"&amp;ROUNDUP(MONTH(B8587)/3,0)</f>
        <v>2017-Q4</v>
      </c>
    </row>
    <row r="8588" customFormat="false" ht="15" hidden="false" customHeight="false" outlineLevel="0" collapsed="false">
      <c r="A8588" s="0" t="s">
        <v>4358</v>
      </c>
      <c r="B8588" s="6" t="n">
        <v>42927</v>
      </c>
      <c r="C8588" s="7" t="s">
        <v>33</v>
      </c>
      <c r="D8588" s="7" t="s">
        <v>34</v>
      </c>
      <c r="E8588" s="7" t="s">
        <v>39</v>
      </c>
      <c r="F8588" s="0" t="n">
        <v>1287.45</v>
      </c>
      <c r="G8588" s="0" t="n">
        <v>244.6155</v>
      </c>
      <c r="H8588" s="0" t="n">
        <v>0</v>
      </c>
      <c r="I8588" s="7" t="n">
        <f aca="false">YEAR(B8588)</f>
        <v>2017</v>
      </c>
      <c r="J8588" s="0" t="str">
        <f aca="false">I8588&amp;"-Q"&amp;ROUNDUP(MONTH(B8588)/3,0)</f>
        <v>2017-Q3</v>
      </c>
    </row>
    <row r="8589" customFormat="false" ht="15" hidden="false" customHeight="false" outlineLevel="0" collapsed="false">
      <c r="A8589" s="0" t="s">
        <v>4358</v>
      </c>
      <c r="B8589" s="6" t="n">
        <v>42927</v>
      </c>
      <c r="C8589" s="7" t="s">
        <v>33</v>
      </c>
      <c r="D8589" s="7" t="s">
        <v>34</v>
      </c>
      <c r="E8589" s="7" t="s">
        <v>35</v>
      </c>
      <c r="F8589" s="0" t="n">
        <v>168.1</v>
      </c>
      <c r="G8589" s="0" t="n">
        <v>43.706</v>
      </c>
      <c r="H8589" s="0" t="n">
        <v>0</v>
      </c>
      <c r="I8589" s="7" t="n">
        <f aca="false">YEAR(B8589)</f>
        <v>2017</v>
      </c>
      <c r="J8589" s="0" t="str">
        <f aca="false">I8589&amp;"-Q"&amp;ROUNDUP(MONTH(B8589)/3,0)</f>
        <v>2017-Q3</v>
      </c>
    </row>
    <row r="8590" customFormat="false" ht="15" hidden="false" customHeight="false" outlineLevel="0" collapsed="false">
      <c r="A8590" s="0" t="s">
        <v>4359</v>
      </c>
      <c r="B8590" s="6" t="n">
        <v>42139</v>
      </c>
      <c r="C8590" s="7" t="s">
        <v>55</v>
      </c>
      <c r="D8590" s="7" t="s">
        <v>56</v>
      </c>
      <c r="E8590" s="7" t="s">
        <v>35</v>
      </c>
      <c r="F8590" s="0" t="n">
        <v>51.968</v>
      </c>
      <c r="G8590" s="0" t="n">
        <v>-10.3936</v>
      </c>
      <c r="H8590" s="0" t="n">
        <v>0.2</v>
      </c>
      <c r="I8590" s="7" t="n">
        <f aca="false">YEAR(B8590)</f>
        <v>2015</v>
      </c>
      <c r="J8590" s="0" t="str">
        <f aca="false">I8590&amp;"-Q"&amp;ROUNDUP(MONTH(B8590)/3,0)</f>
        <v>2015-Q2</v>
      </c>
    </row>
    <row r="8591" customFormat="false" ht="15" hidden="false" customHeight="false" outlineLevel="0" collapsed="false">
      <c r="A8591" s="0" t="s">
        <v>4360</v>
      </c>
      <c r="B8591" s="6" t="n">
        <v>42764</v>
      </c>
      <c r="C8591" s="7" t="s">
        <v>55</v>
      </c>
      <c r="D8591" s="7" t="s">
        <v>56</v>
      </c>
      <c r="E8591" s="7" t="s">
        <v>35</v>
      </c>
      <c r="F8591" s="0" t="n">
        <v>4.768</v>
      </c>
      <c r="G8591" s="0" t="n">
        <v>0.4768</v>
      </c>
      <c r="H8591" s="0" t="n">
        <v>0.2</v>
      </c>
      <c r="I8591" s="7" t="n">
        <f aca="false">YEAR(B8591)</f>
        <v>2017</v>
      </c>
      <c r="J8591" s="0" t="str">
        <f aca="false">I8591&amp;"-Q"&amp;ROUNDUP(MONTH(B8591)/3,0)</f>
        <v>2017-Q1</v>
      </c>
    </row>
    <row r="8592" customFormat="false" ht="15" hidden="false" customHeight="false" outlineLevel="0" collapsed="false">
      <c r="A8592" s="0" t="s">
        <v>4361</v>
      </c>
      <c r="B8592" s="6" t="n">
        <v>43007</v>
      </c>
      <c r="C8592" s="7" t="s">
        <v>55</v>
      </c>
      <c r="D8592" s="7" t="s">
        <v>76</v>
      </c>
      <c r="E8592" s="7" t="s">
        <v>35</v>
      </c>
      <c r="F8592" s="0" t="n">
        <v>7.98</v>
      </c>
      <c r="G8592" s="0" t="n">
        <v>3.9102</v>
      </c>
      <c r="H8592" s="0" t="n">
        <v>0</v>
      </c>
      <c r="I8592" s="7" t="n">
        <f aca="false">YEAR(B8592)</f>
        <v>2017</v>
      </c>
      <c r="J8592" s="0" t="str">
        <f aca="false">I8592&amp;"-Q"&amp;ROUNDUP(MONTH(B8592)/3,0)</f>
        <v>2017-Q3</v>
      </c>
    </row>
    <row r="8593" customFormat="false" ht="15" hidden="false" customHeight="false" outlineLevel="0" collapsed="false">
      <c r="A8593" s="0" t="s">
        <v>4362</v>
      </c>
      <c r="B8593" s="6" t="n">
        <v>42848</v>
      </c>
      <c r="C8593" s="7" t="s">
        <v>33</v>
      </c>
      <c r="D8593" s="7" t="s">
        <v>109</v>
      </c>
      <c r="E8593" s="7" t="s">
        <v>35</v>
      </c>
      <c r="F8593" s="0" t="n">
        <v>18.688</v>
      </c>
      <c r="G8593" s="0" t="n">
        <v>7.008</v>
      </c>
      <c r="H8593" s="0" t="n">
        <v>0.2</v>
      </c>
      <c r="I8593" s="7" t="n">
        <f aca="false">YEAR(B8593)</f>
        <v>2017</v>
      </c>
      <c r="J8593" s="0" t="str">
        <f aca="false">I8593&amp;"-Q"&amp;ROUNDUP(MONTH(B8593)/3,0)</f>
        <v>2017-Q2</v>
      </c>
    </row>
    <row r="8594" customFormat="false" ht="15" hidden="false" customHeight="false" outlineLevel="0" collapsed="false">
      <c r="A8594" s="0" t="s">
        <v>4362</v>
      </c>
      <c r="B8594" s="6" t="n">
        <v>42848</v>
      </c>
      <c r="C8594" s="7" t="s">
        <v>33</v>
      </c>
      <c r="D8594" s="7" t="s">
        <v>109</v>
      </c>
      <c r="E8594" s="7" t="s">
        <v>31</v>
      </c>
      <c r="F8594" s="0" t="n">
        <v>11.664</v>
      </c>
      <c r="G8594" s="0" t="n">
        <v>3.3534</v>
      </c>
      <c r="H8594" s="0" t="n">
        <v>0.2</v>
      </c>
      <c r="I8594" s="7" t="n">
        <f aca="false">YEAR(B8594)</f>
        <v>2017</v>
      </c>
      <c r="J8594" s="0" t="str">
        <f aca="false">I8594&amp;"-Q"&amp;ROUNDUP(MONTH(B8594)/3,0)</f>
        <v>2017-Q2</v>
      </c>
    </row>
    <row r="8595" customFormat="false" ht="15" hidden="false" customHeight="false" outlineLevel="0" collapsed="false">
      <c r="A8595" s="0" t="s">
        <v>4363</v>
      </c>
      <c r="B8595" s="6" t="n">
        <v>43048</v>
      </c>
      <c r="C8595" s="7" t="s">
        <v>29</v>
      </c>
      <c r="D8595" s="7" t="s">
        <v>37</v>
      </c>
      <c r="E8595" s="7" t="s">
        <v>39</v>
      </c>
      <c r="F8595" s="0" t="n">
        <v>191.976</v>
      </c>
      <c r="G8595" s="0" t="n">
        <v>38.3952</v>
      </c>
      <c r="H8595" s="0" t="n">
        <v>0.2</v>
      </c>
      <c r="I8595" s="7" t="n">
        <f aca="false">YEAR(B8595)</f>
        <v>2017</v>
      </c>
      <c r="J8595" s="0" t="str">
        <f aca="false">I8595&amp;"-Q"&amp;ROUNDUP(MONTH(B8595)/3,0)</f>
        <v>2017-Q4</v>
      </c>
    </row>
    <row r="8596" customFormat="false" ht="15" hidden="false" customHeight="false" outlineLevel="0" collapsed="false">
      <c r="A8596" s="0" t="s">
        <v>4363</v>
      </c>
      <c r="B8596" s="6" t="n">
        <v>43048</v>
      </c>
      <c r="C8596" s="7" t="s">
        <v>29</v>
      </c>
      <c r="D8596" s="7" t="s">
        <v>37</v>
      </c>
      <c r="E8596" s="7" t="s">
        <v>39</v>
      </c>
      <c r="F8596" s="0" t="n">
        <v>499.168</v>
      </c>
      <c r="G8596" s="0" t="n">
        <v>31.198</v>
      </c>
      <c r="H8596" s="0" t="n">
        <v>0.2</v>
      </c>
      <c r="I8596" s="7" t="n">
        <f aca="false">YEAR(B8596)</f>
        <v>2017</v>
      </c>
      <c r="J8596" s="0" t="str">
        <f aca="false">I8596&amp;"-Q"&amp;ROUNDUP(MONTH(B8596)/3,0)</f>
        <v>2017-Q4</v>
      </c>
    </row>
    <row r="8597" customFormat="false" ht="15" hidden="false" customHeight="false" outlineLevel="0" collapsed="false">
      <c r="A8597" s="0" t="s">
        <v>4364</v>
      </c>
      <c r="B8597" s="6" t="n">
        <v>41764</v>
      </c>
      <c r="C8597" s="7" t="s">
        <v>29</v>
      </c>
      <c r="D8597" s="7" t="s">
        <v>83</v>
      </c>
      <c r="E8597" s="7" t="s">
        <v>35</v>
      </c>
      <c r="F8597" s="0" t="n">
        <v>11.88</v>
      </c>
      <c r="G8597" s="0" t="n">
        <v>5.346</v>
      </c>
      <c r="H8597" s="0" t="n">
        <v>0</v>
      </c>
      <c r="I8597" s="7" t="n">
        <f aca="false">YEAR(B8597)</f>
        <v>2014</v>
      </c>
      <c r="J8597" s="0" t="str">
        <f aca="false">I8597&amp;"-Q"&amp;ROUNDUP(MONTH(B8597)/3,0)</f>
        <v>2014-Q2</v>
      </c>
    </row>
    <row r="8598" customFormat="false" ht="15" hidden="false" customHeight="false" outlineLevel="0" collapsed="false">
      <c r="A8598" s="0" t="s">
        <v>4364</v>
      </c>
      <c r="B8598" s="6" t="n">
        <v>41764</v>
      </c>
      <c r="C8598" s="7" t="s">
        <v>29</v>
      </c>
      <c r="D8598" s="7" t="s">
        <v>83</v>
      </c>
      <c r="E8598" s="7" t="s">
        <v>35</v>
      </c>
      <c r="F8598" s="0" t="n">
        <v>35.44</v>
      </c>
      <c r="G8598" s="0" t="n">
        <v>16.6568</v>
      </c>
      <c r="H8598" s="0" t="n">
        <v>0</v>
      </c>
      <c r="I8598" s="7" t="n">
        <f aca="false">YEAR(B8598)</f>
        <v>2014</v>
      </c>
      <c r="J8598" s="0" t="str">
        <f aca="false">I8598&amp;"-Q"&amp;ROUNDUP(MONTH(B8598)/3,0)</f>
        <v>2014-Q2</v>
      </c>
    </row>
    <row r="8599" customFormat="false" ht="15" hidden="false" customHeight="false" outlineLevel="0" collapsed="false">
      <c r="A8599" s="0" t="s">
        <v>4365</v>
      </c>
      <c r="B8599" s="6" t="n">
        <v>42670</v>
      </c>
      <c r="C8599" s="7" t="s">
        <v>33</v>
      </c>
      <c r="D8599" s="7" t="s">
        <v>34</v>
      </c>
      <c r="E8599" s="7" t="s">
        <v>35</v>
      </c>
      <c r="F8599" s="0" t="n">
        <v>67.136</v>
      </c>
      <c r="G8599" s="0" t="n">
        <v>25.176</v>
      </c>
      <c r="H8599" s="0" t="n">
        <v>0.2</v>
      </c>
      <c r="I8599" s="7" t="n">
        <f aca="false">YEAR(B8599)</f>
        <v>2016</v>
      </c>
      <c r="J8599" s="0" t="str">
        <f aca="false">I8599&amp;"-Q"&amp;ROUNDUP(MONTH(B8599)/3,0)</f>
        <v>2016-Q4</v>
      </c>
    </row>
    <row r="8600" customFormat="false" ht="15" hidden="false" customHeight="false" outlineLevel="0" collapsed="false">
      <c r="A8600" s="0" t="s">
        <v>4366</v>
      </c>
      <c r="B8600" s="6" t="n">
        <v>41969</v>
      </c>
      <c r="C8600" s="7" t="s">
        <v>33</v>
      </c>
      <c r="D8600" s="7" t="s">
        <v>34</v>
      </c>
      <c r="E8600" s="7" t="s">
        <v>35</v>
      </c>
      <c r="F8600" s="0" t="n">
        <v>4.32</v>
      </c>
      <c r="G8600" s="0" t="n">
        <v>1.512</v>
      </c>
      <c r="H8600" s="0" t="n">
        <v>0.2</v>
      </c>
      <c r="I8600" s="7" t="n">
        <f aca="false">YEAR(B8600)</f>
        <v>2014</v>
      </c>
      <c r="J8600" s="0" t="str">
        <f aca="false">I8600&amp;"-Q"&amp;ROUNDUP(MONTH(B8600)/3,0)</f>
        <v>2014-Q4</v>
      </c>
    </row>
    <row r="8601" customFormat="false" ht="15" hidden="false" customHeight="false" outlineLevel="0" collapsed="false">
      <c r="A8601" s="0" t="s">
        <v>4366</v>
      </c>
      <c r="B8601" s="6" t="n">
        <v>41969</v>
      </c>
      <c r="C8601" s="7" t="s">
        <v>33</v>
      </c>
      <c r="D8601" s="7" t="s">
        <v>34</v>
      </c>
      <c r="E8601" s="7" t="s">
        <v>35</v>
      </c>
      <c r="F8601" s="0" t="n">
        <v>14.94</v>
      </c>
      <c r="G8601" s="0" t="n">
        <v>7.0218</v>
      </c>
      <c r="H8601" s="0" t="n">
        <v>0</v>
      </c>
      <c r="I8601" s="7" t="n">
        <f aca="false">YEAR(B8601)</f>
        <v>2014</v>
      </c>
      <c r="J8601" s="0" t="str">
        <f aca="false">I8601&amp;"-Q"&amp;ROUNDUP(MONTH(B8601)/3,0)</f>
        <v>2014-Q4</v>
      </c>
    </row>
    <row r="8602" customFormat="false" ht="15" hidden="false" customHeight="false" outlineLevel="0" collapsed="false">
      <c r="A8602" s="0" t="s">
        <v>4366</v>
      </c>
      <c r="B8602" s="6" t="n">
        <v>41969</v>
      </c>
      <c r="C8602" s="7" t="s">
        <v>33</v>
      </c>
      <c r="D8602" s="7" t="s">
        <v>34</v>
      </c>
      <c r="E8602" s="7" t="s">
        <v>35</v>
      </c>
      <c r="F8602" s="0" t="n">
        <v>40.54</v>
      </c>
      <c r="G8602" s="0" t="n">
        <v>11.3512</v>
      </c>
      <c r="H8602" s="0" t="n">
        <v>0</v>
      </c>
      <c r="I8602" s="7" t="n">
        <f aca="false">YEAR(B8602)</f>
        <v>2014</v>
      </c>
      <c r="J8602" s="0" t="str">
        <f aca="false">I8602&amp;"-Q"&amp;ROUNDUP(MONTH(B8602)/3,0)</f>
        <v>2014-Q4</v>
      </c>
    </row>
    <row r="8603" customFormat="false" ht="15" hidden="false" customHeight="false" outlineLevel="0" collapsed="false">
      <c r="A8603" s="0" t="s">
        <v>4366</v>
      </c>
      <c r="B8603" s="6" t="n">
        <v>41969</v>
      </c>
      <c r="C8603" s="7" t="s">
        <v>33</v>
      </c>
      <c r="D8603" s="7" t="s">
        <v>34</v>
      </c>
      <c r="E8603" s="7" t="s">
        <v>35</v>
      </c>
      <c r="F8603" s="0" t="n">
        <v>7.312</v>
      </c>
      <c r="G8603" s="0" t="n">
        <v>2.5592</v>
      </c>
      <c r="H8603" s="0" t="n">
        <v>0.2</v>
      </c>
      <c r="I8603" s="7" t="n">
        <f aca="false">YEAR(B8603)</f>
        <v>2014</v>
      </c>
      <c r="J8603" s="0" t="str">
        <f aca="false">I8603&amp;"-Q"&amp;ROUNDUP(MONTH(B8603)/3,0)</f>
        <v>2014-Q4</v>
      </c>
    </row>
    <row r="8604" customFormat="false" ht="15" hidden="false" customHeight="false" outlineLevel="0" collapsed="false">
      <c r="A8604" s="0" t="s">
        <v>4367</v>
      </c>
      <c r="B8604" s="6" t="n">
        <v>42004</v>
      </c>
      <c r="C8604" s="7" t="s">
        <v>33</v>
      </c>
      <c r="D8604" s="7" t="s">
        <v>248</v>
      </c>
      <c r="E8604" s="7" t="s">
        <v>39</v>
      </c>
      <c r="F8604" s="0" t="n">
        <v>475.944</v>
      </c>
      <c r="G8604" s="0" t="n">
        <v>59.493</v>
      </c>
      <c r="H8604" s="0" t="n">
        <v>0.2</v>
      </c>
      <c r="I8604" s="7" t="n">
        <f aca="false">YEAR(B8604)</f>
        <v>2014</v>
      </c>
      <c r="J8604" s="0" t="str">
        <f aca="false">I8604&amp;"-Q"&amp;ROUNDUP(MONTH(B8604)/3,0)</f>
        <v>2014-Q4</v>
      </c>
    </row>
    <row r="8605" customFormat="false" ht="15" hidden="false" customHeight="false" outlineLevel="0" collapsed="false">
      <c r="A8605" s="0" t="s">
        <v>4368</v>
      </c>
      <c r="B8605" s="6" t="n">
        <v>42372</v>
      </c>
      <c r="C8605" s="7" t="s">
        <v>45</v>
      </c>
      <c r="D8605" s="7" t="s">
        <v>46</v>
      </c>
      <c r="E8605" s="7" t="s">
        <v>39</v>
      </c>
      <c r="F8605" s="0" t="n">
        <v>30.08</v>
      </c>
      <c r="G8605" s="0" t="n">
        <v>-5.264</v>
      </c>
      <c r="H8605" s="0" t="n">
        <v>0.2</v>
      </c>
      <c r="I8605" s="7" t="n">
        <f aca="false">YEAR(B8605)</f>
        <v>2016</v>
      </c>
      <c r="J8605" s="0" t="str">
        <f aca="false">I8605&amp;"-Q"&amp;ROUNDUP(MONTH(B8605)/3,0)</f>
        <v>2016-Q1</v>
      </c>
    </row>
    <row r="8606" customFormat="false" ht="15" hidden="false" customHeight="false" outlineLevel="0" collapsed="false">
      <c r="A8606" s="0" t="s">
        <v>4368</v>
      </c>
      <c r="B8606" s="6" t="n">
        <v>42372</v>
      </c>
      <c r="C8606" s="7" t="s">
        <v>45</v>
      </c>
      <c r="D8606" s="7" t="s">
        <v>46</v>
      </c>
      <c r="E8606" s="7" t="s">
        <v>39</v>
      </c>
      <c r="F8606" s="0" t="n">
        <v>165.6</v>
      </c>
      <c r="G8606" s="0" t="n">
        <v>-6.21</v>
      </c>
      <c r="H8606" s="0" t="n">
        <v>0.2</v>
      </c>
      <c r="I8606" s="7" t="n">
        <f aca="false">YEAR(B8606)</f>
        <v>2016</v>
      </c>
      <c r="J8606" s="0" t="str">
        <f aca="false">I8606&amp;"-Q"&amp;ROUNDUP(MONTH(B8606)/3,0)</f>
        <v>2016-Q1</v>
      </c>
    </row>
    <row r="8607" customFormat="false" ht="15" hidden="false" customHeight="false" outlineLevel="0" collapsed="false">
      <c r="A8607" s="0" t="s">
        <v>4368</v>
      </c>
      <c r="B8607" s="6" t="n">
        <v>42372</v>
      </c>
      <c r="C8607" s="7" t="s">
        <v>45</v>
      </c>
      <c r="D8607" s="7" t="s">
        <v>46</v>
      </c>
      <c r="E8607" s="7" t="s">
        <v>39</v>
      </c>
      <c r="F8607" s="0" t="n">
        <v>180.96</v>
      </c>
      <c r="G8607" s="0" t="n">
        <v>13.572</v>
      </c>
      <c r="H8607" s="0" t="n">
        <v>0.2</v>
      </c>
      <c r="I8607" s="7" t="n">
        <f aca="false">YEAR(B8607)</f>
        <v>2016</v>
      </c>
      <c r="J8607" s="0" t="str">
        <f aca="false">I8607&amp;"-Q"&amp;ROUNDUP(MONTH(B8607)/3,0)</f>
        <v>2016-Q1</v>
      </c>
    </row>
    <row r="8608" customFormat="false" ht="15" hidden="false" customHeight="false" outlineLevel="0" collapsed="false">
      <c r="A8608" s="0" t="s">
        <v>4369</v>
      </c>
      <c r="B8608" s="6" t="n">
        <v>42965</v>
      </c>
      <c r="C8608" s="7" t="s">
        <v>55</v>
      </c>
      <c r="D8608" s="7" t="s">
        <v>225</v>
      </c>
      <c r="E8608" s="7" t="s">
        <v>39</v>
      </c>
      <c r="F8608" s="0" t="n">
        <v>23.18</v>
      </c>
      <c r="G8608" s="0" t="n">
        <v>7.6494</v>
      </c>
      <c r="H8608" s="0" t="n">
        <v>0</v>
      </c>
      <c r="I8608" s="7" t="n">
        <f aca="false">YEAR(B8608)</f>
        <v>2017</v>
      </c>
      <c r="J8608" s="0" t="str">
        <f aca="false">I8608&amp;"-Q"&amp;ROUNDUP(MONTH(B8608)/3,0)</f>
        <v>2017-Q3</v>
      </c>
    </row>
    <row r="8609" customFormat="false" ht="15" hidden="false" customHeight="false" outlineLevel="0" collapsed="false">
      <c r="A8609" s="0" t="s">
        <v>4370</v>
      </c>
      <c r="B8609" s="6" t="n">
        <v>41794</v>
      </c>
      <c r="C8609" s="7" t="s">
        <v>55</v>
      </c>
      <c r="D8609" s="7" t="s">
        <v>76</v>
      </c>
      <c r="E8609" s="7" t="s">
        <v>31</v>
      </c>
      <c r="F8609" s="0" t="n">
        <v>56.96</v>
      </c>
      <c r="G8609" s="0" t="n">
        <v>21.0752</v>
      </c>
      <c r="H8609" s="0" t="n">
        <v>0</v>
      </c>
      <c r="I8609" s="7" t="n">
        <f aca="false">YEAR(B8609)</f>
        <v>2014</v>
      </c>
      <c r="J8609" s="0" t="str">
        <f aca="false">I8609&amp;"-Q"&amp;ROUNDUP(MONTH(B8609)/3,0)</f>
        <v>2014-Q2</v>
      </c>
    </row>
    <row r="8610" customFormat="false" ht="15" hidden="false" customHeight="false" outlineLevel="0" collapsed="false">
      <c r="A8610" s="0" t="s">
        <v>4370</v>
      </c>
      <c r="B8610" s="6" t="n">
        <v>41794</v>
      </c>
      <c r="C8610" s="7" t="s">
        <v>55</v>
      </c>
      <c r="D8610" s="7" t="s">
        <v>76</v>
      </c>
      <c r="E8610" s="7" t="s">
        <v>35</v>
      </c>
      <c r="F8610" s="0" t="n">
        <v>15.56</v>
      </c>
      <c r="G8610" s="0" t="n">
        <v>4.0456</v>
      </c>
      <c r="H8610" s="0" t="n">
        <v>0</v>
      </c>
      <c r="I8610" s="7" t="n">
        <f aca="false">YEAR(B8610)</f>
        <v>2014</v>
      </c>
      <c r="J8610" s="0" t="str">
        <f aca="false">I8610&amp;"-Q"&amp;ROUNDUP(MONTH(B8610)/3,0)</f>
        <v>2014-Q2</v>
      </c>
    </row>
    <row r="8611" customFormat="false" ht="15" hidden="false" customHeight="false" outlineLevel="0" collapsed="false">
      <c r="A8611" s="0" t="s">
        <v>4370</v>
      </c>
      <c r="B8611" s="6" t="n">
        <v>41794</v>
      </c>
      <c r="C8611" s="7" t="s">
        <v>55</v>
      </c>
      <c r="D8611" s="7" t="s">
        <v>76</v>
      </c>
      <c r="E8611" s="7" t="s">
        <v>31</v>
      </c>
      <c r="F8611" s="0" t="n">
        <v>353.568</v>
      </c>
      <c r="G8611" s="0" t="n">
        <v>-44.196</v>
      </c>
      <c r="H8611" s="0" t="n">
        <v>0.2</v>
      </c>
      <c r="I8611" s="7" t="n">
        <f aca="false">YEAR(B8611)</f>
        <v>2014</v>
      </c>
      <c r="J8611" s="0" t="str">
        <f aca="false">I8611&amp;"-Q"&amp;ROUNDUP(MONTH(B8611)/3,0)</f>
        <v>2014-Q2</v>
      </c>
    </row>
    <row r="8612" customFormat="false" ht="15" hidden="false" customHeight="false" outlineLevel="0" collapsed="false">
      <c r="A8612" s="0" t="s">
        <v>4370</v>
      </c>
      <c r="B8612" s="6" t="n">
        <v>41794</v>
      </c>
      <c r="C8612" s="7" t="s">
        <v>55</v>
      </c>
      <c r="D8612" s="7" t="s">
        <v>76</v>
      </c>
      <c r="E8612" s="7" t="s">
        <v>31</v>
      </c>
      <c r="F8612" s="0" t="n">
        <v>13.96</v>
      </c>
      <c r="G8612" s="0" t="n">
        <v>6.7008</v>
      </c>
      <c r="H8612" s="0" t="n">
        <v>0</v>
      </c>
      <c r="I8612" s="7" t="n">
        <f aca="false">YEAR(B8612)</f>
        <v>2014</v>
      </c>
      <c r="J8612" s="0" t="str">
        <f aca="false">I8612&amp;"-Q"&amp;ROUNDUP(MONTH(B8612)/3,0)</f>
        <v>2014-Q2</v>
      </c>
    </row>
    <row r="8613" customFormat="false" ht="15" hidden="false" customHeight="false" outlineLevel="0" collapsed="false">
      <c r="A8613" s="0" t="s">
        <v>4371</v>
      </c>
      <c r="B8613" s="6" t="n">
        <v>43052</v>
      </c>
      <c r="C8613" s="7" t="s">
        <v>33</v>
      </c>
      <c r="D8613" s="7" t="s">
        <v>34</v>
      </c>
      <c r="E8613" s="7" t="s">
        <v>39</v>
      </c>
      <c r="F8613" s="0" t="n">
        <v>82.95</v>
      </c>
      <c r="G8613" s="0" t="n">
        <v>29.0325</v>
      </c>
      <c r="H8613" s="0" t="n">
        <v>0</v>
      </c>
      <c r="I8613" s="7" t="n">
        <f aca="false">YEAR(B8613)</f>
        <v>2017</v>
      </c>
      <c r="J8613" s="0" t="str">
        <f aca="false">I8613&amp;"-Q"&amp;ROUNDUP(MONTH(B8613)/3,0)</f>
        <v>2017-Q4</v>
      </c>
    </row>
    <row r="8614" customFormat="false" ht="15" hidden="false" customHeight="false" outlineLevel="0" collapsed="false">
      <c r="A8614" s="0" t="s">
        <v>4372</v>
      </c>
      <c r="B8614" s="6" t="n">
        <v>42397</v>
      </c>
      <c r="C8614" s="7" t="s">
        <v>33</v>
      </c>
      <c r="D8614" s="7" t="s">
        <v>34</v>
      </c>
      <c r="E8614" s="7" t="s">
        <v>35</v>
      </c>
      <c r="F8614" s="0" t="n">
        <v>39.68</v>
      </c>
      <c r="G8614" s="0" t="n">
        <v>10.3168</v>
      </c>
      <c r="H8614" s="0" t="n">
        <v>0</v>
      </c>
      <c r="I8614" s="7" t="n">
        <f aca="false">YEAR(B8614)</f>
        <v>2016</v>
      </c>
      <c r="J8614" s="0" t="str">
        <f aca="false">I8614&amp;"-Q"&amp;ROUNDUP(MONTH(B8614)/3,0)</f>
        <v>2016-Q1</v>
      </c>
    </row>
    <row r="8615" customFormat="false" ht="15" hidden="false" customHeight="false" outlineLevel="0" collapsed="false">
      <c r="A8615" s="0" t="s">
        <v>4373</v>
      </c>
      <c r="B8615" s="6" t="n">
        <v>42683</v>
      </c>
      <c r="C8615" s="7" t="s">
        <v>33</v>
      </c>
      <c r="D8615" s="7" t="s">
        <v>34</v>
      </c>
      <c r="E8615" s="7" t="s">
        <v>39</v>
      </c>
      <c r="F8615" s="0" t="n">
        <v>479.97</v>
      </c>
      <c r="G8615" s="0" t="n">
        <v>177.5889</v>
      </c>
      <c r="H8615" s="0" t="n">
        <v>0</v>
      </c>
      <c r="I8615" s="7" t="n">
        <f aca="false">YEAR(B8615)</f>
        <v>2016</v>
      </c>
      <c r="J8615" s="0" t="str">
        <f aca="false">I8615&amp;"-Q"&amp;ROUNDUP(MONTH(B8615)/3,0)</f>
        <v>2016-Q4</v>
      </c>
    </row>
    <row r="8616" customFormat="false" ht="15" hidden="false" customHeight="false" outlineLevel="0" collapsed="false">
      <c r="A8616" s="0" t="s">
        <v>4374</v>
      </c>
      <c r="B8616" s="6" t="n">
        <v>42623</v>
      </c>
      <c r="C8616" s="7" t="s">
        <v>33</v>
      </c>
      <c r="D8616" s="7" t="s">
        <v>43</v>
      </c>
      <c r="E8616" s="7" t="s">
        <v>35</v>
      </c>
      <c r="F8616" s="0" t="n">
        <v>7.38</v>
      </c>
      <c r="G8616" s="0" t="n">
        <v>3.4686</v>
      </c>
      <c r="H8616" s="0" t="n">
        <v>0</v>
      </c>
      <c r="I8616" s="7" t="n">
        <f aca="false">YEAR(B8616)</f>
        <v>2016</v>
      </c>
      <c r="J8616" s="0" t="str">
        <f aca="false">I8616&amp;"-Q"&amp;ROUNDUP(MONTH(B8616)/3,0)</f>
        <v>2016-Q3</v>
      </c>
    </row>
    <row r="8617" customFormat="false" ht="15" hidden="false" customHeight="false" outlineLevel="0" collapsed="false">
      <c r="A8617" s="0" t="s">
        <v>4374</v>
      </c>
      <c r="B8617" s="6" t="n">
        <v>42623</v>
      </c>
      <c r="C8617" s="7" t="s">
        <v>33</v>
      </c>
      <c r="D8617" s="7" t="s">
        <v>43</v>
      </c>
      <c r="E8617" s="7" t="s">
        <v>35</v>
      </c>
      <c r="F8617" s="0" t="n">
        <v>14.256</v>
      </c>
      <c r="G8617" s="0" t="n">
        <v>4.455</v>
      </c>
      <c r="H8617" s="0" t="n">
        <v>0.2</v>
      </c>
      <c r="I8617" s="7" t="n">
        <f aca="false">YEAR(B8617)</f>
        <v>2016</v>
      </c>
      <c r="J8617" s="0" t="str">
        <f aca="false">I8617&amp;"-Q"&amp;ROUNDUP(MONTH(B8617)/3,0)</f>
        <v>2016-Q3</v>
      </c>
    </row>
    <row r="8618" customFormat="false" ht="15" hidden="false" customHeight="false" outlineLevel="0" collapsed="false">
      <c r="A8618" s="0" t="s">
        <v>4374</v>
      </c>
      <c r="B8618" s="6" t="n">
        <v>42623</v>
      </c>
      <c r="C8618" s="7" t="s">
        <v>33</v>
      </c>
      <c r="D8618" s="7" t="s">
        <v>43</v>
      </c>
      <c r="E8618" s="7" t="s">
        <v>35</v>
      </c>
      <c r="F8618" s="0" t="n">
        <v>81.98</v>
      </c>
      <c r="G8618" s="0" t="n">
        <v>40.1702</v>
      </c>
      <c r="H8618" s="0" t="n">
        <v>0</v>
      </c>
      <c r="I8618" s="7" t="n">
        <f aca="false">YEAR(B8618)</f>
        <v>2016</v>
      </c>
      <c r="J8618" s="0" t="str">
        <f aca="false">I8618&amp;"-Q"&amp;ROUNDUP(MONTH(B8618)/3,0)</f>
        <v>2016-Q3</v>
      </c>
    </row>
    <row r="8619" customFormat="false" ht="15" hidden="false" customHeight="false" outlineLevel="0" collapsed="false">
      <c r="A8619" s="0" t="s">
        <v>4374</v>
      </c>
      <c r="B8619" s="6" t="n">
        <v>42623</v>
      </c>
      <c r="C8619" s="7" t="s">
        <v>33</v>
      </c>
      <c r="D8619" s="7" t="s">
        <v>43</v>
      </c>
      <c r="E8619" s="7" t="s">
        <v>35</v>
      </c>
      <c r="F8619" s="0" t="n">
        <v>39.624</v>
      </c>
      <c r="G8619" s="0" t="n">
        <v>13.8684</v>
      </c>
      <c r="H8619" s="0" t="n">
        <v>0.2</v>
      </c>
      <c r="I8619" s="7" t="n">
        <f aca="false">YEAR(B8619)</f>
        <v>2016</v>
      </c>
      <c r="J8619" s="0" t="str">
        <f aca="false">I8619&amp;"-Q"&amp;ROUNDUP(MONTH(B8619)/3,0)</f>
        <v>2016-Q3</v>
      </c>
    </row>
    <row r="8620" customFormat="false" ht="15" hidden="false" customHeight="false" outlineLevel="0" collapsed="false">
      <c r="A8620" s="0" t="s">
        <v>4375</v>
      </c>
      <c r="B8620" s="6" t="n">
        <v>42797</v>
      </c>
      <c r="C8620" s="7" t="s">
        <v>33</v>
      </c>
      <c r="D8620" s="7" t="s">
        <v>34</v>
      </c>
      <c r="E8620" s="7" t="s">
        <v>31</v>
      </c>
      <c r="F8620" s="0" t="n">
        <v>399.672</v>
      </c>
      <c r="G8620" s="0" t="n">
        <v>-14.9877</v>
      </c>
      <c r="H8620" s="0" t="n">
        <v>0.2</v>
      </c>
      <c r="I8620" s="7" t="n">
        <f aca="false">YEAR(B8620)</f>
        <v>2017</v>
      </c>
      <c r="J8620" s="0" t="str">
        <f aca="false">I8620&amp;"-Q"&amp;ROUNDUP(MONTH(B8620)/3,0)</f>
        <v>2017-Q1</v>
      </c>
    </row>
    <row r="8621" customFormat="false" ht="15" hidden="false" customHeight="false" outlineLevel="0" collapsed="false">
      <c r="A8621" s="0" t="s">
        <v>4376</v>
      </c>
      <c r="B8621" s="6" t="n">
        <v>42986</v>
      </c>
      <c r="C8621" s="7" t="s">
        <v>55</v>
      </c>
      <c r="D8621" s="7" t="s">
        <v>76</v>
      </c>
      <c r="E8621" s="7" t="s">
        <v>35</v>
      </c>
      <c r="F8621" s="0" t="n">
        <v>65.12</v>
      </c>
      <c r="G8621" s="0" t="n">
        <v>16.9312</v>
      </c>
      <c r="H8621" s="0" t="n">
        <v>0</v>
      </c>
      <c r="I8621" s="7" t="n">
        <f aca="false">YEAR(B8621)</f>
        <v>2017</v>
      </c>
      <c r="J8621" s="0" t="str">
        <f aca="false">I8621&amp;"-Q"&amp;ROUNDUP(MONTH(B8621)/3,0)</f>
        <v>2017-Q3</v>
      </c>
    </row>
    <row r="8622" customFormat="false" ht="15" hidden="false" customHeight="false" outlineLevel="0" collapsed="false">
      <c r="A8622" s="0" t="s">
        <v>4377</v>
      </c>
      <c r="B8622" s="6" t="n">
        <v>43045</v>
      </c>
      <c r="C8622" s="7" t="s">
        <v>45</v>
      </c>
      <c r="D8622" s="7" t="s">
        <v>46</v>
      </c>
      <c r="E8622" s="7" t="s">
        <v>31</v>
      </c>
      <c r="F8622" s="0" t="n">
        <v>30.56</v>
      </c>
      <c r="G8622" s="0" t="n">
        <v>-19.864</v>
      </c>
      <c r="H8622" s="0" t="n">
        <v>0.6</v>
      </c>
      <c r="I8622" s="7" t="n">
        <f aca="false">YEAR(B8622)</f>
        <v>2017</v>
      </c>
      <c r="J8622" s="0" t="str">
        <f aca="false">I8622&amp;"-Q"&amp;ROUNDUP(MONTH(B8622)/3,0)</f>
        <v>2017-Q4</v>
      </c>
    </row>
    <row r="8623" customFormat="false" ht="15" hidden="false" customHeight="false" outlineLevel="0" collapsed="false">
      <c r="A8623" s="0" t="s">
        <v>4378</v>
      </c>
      <c r="B8623" s="6" t="n">
        <v>42868</v>
      </c>
      <c r="C8623" s="7" t="s">
        <v>29</v>
      </c>
      <c r="D8623" s="7" t="s">
        <v>87</v>
      </c>
      <c r="E8623" s="7" t="s">
        <v>35</v>
      </c>
      <c r="F8623" s="0" t="n">
        <v>20.768</v>
      </c>
      <c r="G8623" s="0" t="n">
        <v>2.3364</v>
      </c>
      <c r="H8623" s="0" t="n">
        <v>0.2</v>
      </c>
      <c r="I8623" s="7" t="n">
        <f aca="false">YEAR(B8623)</f>
        <v>2017</v>
      </c>
      <c r="J8623" s="0" t="str">
        <f aca="false">I8623&amp;"-Q"&amp;ROUNDUP(MONTH(B8623)/3,0)</f>
        <v>2017-Q2</v>
      </c>
    </row>
    <row r="8624" customFormat="false" ht="15" hidden="false" customHeight="false" outlineLevel="0" collapsed="false">
      <c r="A8624" s="0" t="s">
        <v>4379</v>
      </c>
      <c r="B8624" s="6" t="n">
        <v>42701</v>
      </c>
      <c r="C8624" s="7" t="s">
        <v>33</v>
      </c>
      <c r="D8624" s="7" t="s">
        <v>81</v>
      </c>
      <c r="E8624" s="7" t="s">
        <v>35</v>
      </c>
      <c r="F8624" s="0" t="n">
        <v>39.808</v>
      </c>
      <c r="G8624" s="0" t="n">
        <v>3.9808</v>
      </c>
      <c r="H8624" s="0" t="n">
        <v>0.2</v>
      </c>
      <c r="I8624" s="7" t="n">
        <f aca="false">YEAR(B8624)</f>
        <v>2016</v>
      </c>
      <c r="J8624" s="0" t="str">
        <f aca="false">I8624&amp;"-Q"&amp;ROUNDUP(MONTH(B8624)/3,0)</f>
        <v>2016-Q4</v>
      </c>
    </row>
    <row r="8625" customFormat="false" ht="15" hidden="false" customHeight="false" outlineLevel="0" collapsed="false">
      <c r="A8625" s="0" t="s">
        <v>4380</v>
      </c>
      <c r="B8625" s="6" t="n">
        <v>42321</v>
      </c>
      <c r="C8625" s="7" t="s">
        <v>29</v>
      </c>
      <c r="D8625" s="7" t="s">
        <v>37</v>
      </c>
      <c r="E8625" s="7" t="s">
        <v>35</v>
      </c>
      <c r="F8625" s="0" t="n">
        <v>121.104</v>
      </c>
      <c r="G8625" s="0" t="n">
        <v>-100.92</v>
      </c>
      <c r="H8625" s="0" t="n">
        <v>0.7</v>
      </c>
      <c r="I8625" s="7" t="n">
        <f aca="false">YEAR(B8625)</f>
        <v>2015</v>
      </c>
      <c r="J8625" s="0" t="str">
        <f aca="false">I8625&amp;"-Q"&amp;ROUNDUP(MONTH(B8625)/3,0)</f>
        <v>2015-Q4</v>
      </c>
    </row>
    <row r="8626" customFormat="false" ht="15" hidden="false" customHeight="false" outlineLevel="0" collapsed="false">
      <c r="A8626" s="0" t="s">
        <v>4380</v>
      </c>
      <c r="B8626" s="6" t="n">
        <v>42321</v>
      </c>
      <c r="C8626" s="7" t="s">
        <v>29</v>
      </c>
      <c r="D8626" s="7" t="s">
        <v>37</v>
      </c>
      <c r="E8626" s="7" t="s">
        <v>39</v>
      </c>
      <c r="F8626" s="0" t="n">
        <v>111.96</v>
      </c>
      <c r="G8626" s="0" t="n">
        <v>-1.3995</v>
      </c>
      <c r="H8626" s="0" t="n">
        <v>0.2</v>
      </c>
      <c r="I8626" s="7" t="n">
        <f aca="false">YEAR(B8626)</f>
        <v>2015</v>
      </c>
      <c r="J8626" s="0" t="str">
        <f aca="false">I8626&amp;"-Q"&amp;ROUNDUP(MONTH(B8626)/3,0)</f>
        <v>2015-Q4</v>
      </c>
    </row>
    <row r="8627" customFormat="false" ht="15" hidden="false" customHeight="false" outlineLevel="0" collapsed="false">
      <c r="A8627" s="0" t="s">
        <v>4381</v>
      </c>
      <c r="B8627" s="6" t="n">
        <v>42346</v>
      </c>
      <c r="C8627" s="7" t="s">
        <v>33</v>
      </c>
      <c r="D8627" s="7" t="s">
        <v>109</v>
      </c>
      <c r="E8627" s="7" t="s">
        <v>35</v>
      </c>
      <c r="F8627" s="0" t="n">
        <v>15.696</v>
      </c>
      <c r="G8627" s="0" t="n">
        <v>5.1012</v>
      </c>
      <c r="H8627" s="0" t="n">
        <v>0.2</v>
      </c>
      <c r="I8627" s="7" t="n">
        <f aca="false">YEAR(B8627)</f>
        <v>2015</v>
      </c>
      <c r="J8627" s="0" t="str">
        <f aca="false">I8627&amp;"-Q"&amp;ROUNDUP(MONTH(B8627)/3,0)</f>
        <v>2015-Q4</v>
      </c>
    </row>
    <row r="8628" customFormat="false" ht="15" hidden="false" customHeight="false" outlineLevel="0" collapsed="false">
      <c r="A8628" s="0" t="s">
        <v>4382</v>
      </c>
      <c r="B8628" s="6" t="n">
        <v>42254</v>
      </c>
      <c r="C8628" s="7" t="s">
        <v>55</v>
      </c>
      <c r="D8628" s="7" t="s">
        <v>76</v>
      </c>
      <c r="E8628" s="7" t="s">
        <v>35</v>
      </c>
      <c r="F8628" s="0" t="n">
        <v>70.26</v>
      </c>
      <c r="G8628" s="0" t="n">
        <v>18.9702</v>
      </c>
      <c r="H8628" s="0" t="n">
        <v>0</v>
      </c>
      <c r="I8628" s="7" t="n">
        <f aca="false">YEAR(B8628)</f>
        <v>2015</v>
      </c>
      <c r="J8628" s="0" t="str">
        <f aca="false">I8628&amp;"-Q"&amp;ROUNDUP(MONTH(B8628)/3,0)</f>
        <v>2015-Q3</v>
      </c>
    </row>
    <row r="8629" customFormat="false" ht="15" hidden="false" customHeight="false" outlineLevel="0" collapsed="false">
      <c r="A8629" s="0" t="s">
        <v>4382</v>
      </c>
      <c r="B8629" s="6" t="n">
        <v>42254</v>
      </c>
      <c r="C8629" s="7" t="s">
        <v>55</v>
      </c>
      <c r="D8629" s="7" t="s">
        <v>76</v>
      </c>
      <c r="E8629" s="7" t="s">
        <v>39</v>
      </c>
      <c r="F8629" s="0" t="n">
        <v>90</v>
      </c>
      <c r="G8629" s="0" t="n">
        <v>16.2</v>
      </c>
      <c r="H8629" s="0" t="n">
        <v>0</v>
      </c>
      <c r="I8629" s="7" t="n">
        <f aca="false">YEAR(B8629)</f>
        <v>2015</v>
      </c>
      <c r="J8629" s="0" t="str">
        <f aca="false">I8629&amp;"-Q"&amp;ROUNDUP(MONTH(B8629)/3,0)</f>
        <v>2015-Q3</v>
      </c>
    </row>
    <row r="8630" customFormat="false" ht="15" hidden="false" customHeight="false" outlineLevel="0" collapsed="false">
      <c r="A8630" s="0" t="s">
        <v>4382</v>
      </c>
      <c r="B8630" s="6" t="n">
        <v>42254</v>
      </c>
      <c r="C8630" s="7" t="s">
        <v>55</v>
      </c>
      <c r="D8630" s="7" t="s">
        <v>76</v>
      </c>
      <c r="E8630" s="7" t="s">
        <v>35</v>
      </c>
      <c r="F8630" s="0" t="n">
        <v>6.096</v>
      </c>
      <c r="G8630" s="0" t="n">
        <v>2.0574</v>
      </c>
      <c r="H8630" s="0" t="n">
        <v>0.2</v>
      </c>
      <c r="I8630" s="7" t="n">
        <f aca="false">YEAR(B8630)</f>
        <v>2015</v>
      </c>
      <c r="J8630" s="0" t="str">
        <f aca="false">I8630&amp;"-Q"&amp;ROUNDUP(MONTH(B8630)/3,0)</f>
        <v>2015-Q3</v>
      </c>
    </row>
    <row r="8631" customFormat="false" ht="15" hidden="false" customHeight="false" outlineLevel="0" collapsed="false">
      <c r="A8631" s="0" t="s">
        <v>4382</v>
      </c>
      <c r="B8631" s="6" t="n">
        <v>42254</v>
      </c>
      <c r="C8631" s="7" t="s">
        <v>55</v>
      </c>
      <c r="D8631" s="7" t="s">
        <v>76</v>
      </c>
      <c r="E8631" s="7" t="s">
        <v>31</v>
      </c>
      <c r="F8631" s="0" t="n">
        <v>481.176</v>
      </c>
      <c r="G8631" s="0" t="n">
        <v>-120.294</v>
      </c>
      <c r="H8631" s="0" t="n">
        <v>0.4</v>
      </c>
      <c r="I8631" s="7" t="n">
        <f aca="false">YEAR(B8631)</f>
        <v>2015</v>
      </c>
      <c r="J8631" s="0" t="str">
        <f aca="false">I8631&amp;"-Q"&amp;ROUNDUP(MONTH(B8631)/3,0)</f>
        <v>2015-Q3</v>
      </c>
    </row>
    <row r="8632" customFormat="false" ht="15" hidden="false" customHeight="false" outlineLevel="0" collapsed="false">
      <c r="A8632" s="0" t="s">
        <v>4382</v>
      </c>
      <c r="B8632" s="6" t="n">
        <v>42254</v>
      </c>
      <c r="C8632" s="7" t="s">
        <v>55</v>
      </c>
      <c r="D8632" s="7" t="s">
        <v>76</v>
      </c>
      <c r="E8632" s="7" t="s">
        <v>35</v>
      </c>
      <c r="F8632" s="0" t="n">
        <v>7.24</v>
      </c>
      <c r="G8632" s="0" t="n">
        <v>2.3892</v>
      </c>
      <c r="H8632" s="0" t="n">
        <v>0</v>
      </c>
      <c r="I8632" s="7" t="n">
        <f aca="false">YEAR(B8632)</f>
        <v>2015</v>
      </c>
      <c r="J8632" s="0" t="str">
        <f aca="false">I8632&amp;"-Q"&amp;ROUNDUP(MONTH(B8632)/3,0)</f>
        <v>2015-Q3</v>
      </c>
    </row>
    <row r="8633" customFormat="false" ht="15" hidden="false" customHeight="false" outlineLevel="0" collapsed="false">
      <c r="A8633" s="0" t="s">
        <v>4383</v>
      </c>
      <c r="B8633" s="6" t="n">
        <v>42579</v>
      </c>
      <c r="C8633" s="7" t="s">
        <v>55</v>
      </c>
      <c r="D8633" s="7" t="s">
        <v>56</v>
      </c>
      <c r="E8633" s="7" t="s">
        <v>31</v>
      </c>
      <c r="F8633" s="0" t="n">
        <v>177.45</v>
      </c>
      <c r="G8633" s="0" t="n">
        <v>-78.078</v>
      </c>
      <c r="H8633" s="0" t="n">
        <v>0.5</v>
      </c>
      <c r="I8633" s="7" t="n">
        <f aca="false">YEAR(B8633)</f>
        <v>2016</v>
      </c>
      <c r="J8633" s="0" t="str">
        <f aca="false">I8633&amp;"-Q"&amp;ROUNDUP(MONTH(B8633)/3,0)</f>
        <v>2016-Q3</v>
      </c>
    </row>
    <row r="8634" customFormat="false" ht="15" hidden="false" customHeight="false" outlineLevel="0" collapsed="false">
      <c r="A8634" s="0" t="s">
        <v>4383</v>
      </c>
      <c r="B8634" s="6" t="n">
        <v>42579</v>
      </c>
      <c r="C8634" s="7" t="s">
        <v>55</v>
      </c>
      <c r="D8634" s="7" t="s">
        <v>56</v>
      </c>
      <c r="E8634" s="7" t="s">
        <v>35</v>
      </c>
      <c r="F8634" s="0" t="n">
        <v>1369.764</v>
      </c>
      <c r="G8634" s="0" t="n">
        <v>-913.176</v>
      </c>
      <c r="H8634" s="0" t="n">
        <v>0.7</v>
      </c>
      <c r="I8634" s="7" t="n">
        <f aca="false">YEAR(B8634)</f>
        <v>2016</v>
      </c>
      <c r="J8634" s="0" t="str">
        <f aca="false">I8634&amp;"-Q"&amp;ROUNDUP(MONTH(B8634)/3,0)</f>
        <v>2016-Q3</v>
      </c>
    </row>
    <row r="8635" customFormat="false" ht="15" hidden="false" customHeight="false" outlineLevel="0" collapsed="false">
      <c r="A8635" s="0" t="s">
        <v>4383</v>
      </c>
      <c r="B8635" s="6" t="n">
        <v>42579</v>
      </c>
      <c r="C8635" s="7" t="s">
        <v>55</v>
      </c>
      <c r="D8635" s="7" t="s">
        <v>56</v>
      </c>
      <c r="E8635" s="7" t="s">
        <v>35</v>
      </c>
      <c r="F8635" s="0" t="n">
        <v>9.48</v>
      </c>
      <c r="G8635" s="0" t="n">
        <v>0.711</v>
      </c>
      <c r="H8635" s="0" t="n">
        <v>0.2</v>
      </c>
      <c r="I8635" s="7" t="n">
        <f aca="false">YEAR(B8635)</f>
        <v>2016</v>
      </c>
      <c r="J8635" s="0" t="str">
        <f aca="false">I8635&amp;"-Q"&amp;ROUNDUP(MONTH(B8635)/3,0)</f>
        <v>2016-Q3</v>
      </c>
    </row>
    <row r="8636" customFormat="false" ht="15" hidden="false" customHeight="false" outlineLevel="0" collapsed="false">
      <c r="A8636" s="0" t="s">
        <v>4384</v>
      </c>
      <c r="B8636" s="6" t="n">
        <v>42972</v>
      </c>
      <c r="C8636" s="7" t="s">
        <v>55</v>
      </c>
      <c r="D8636" s="7" t="s">
        <v>56</v>
      </c>
      <c r="E8636" s="7" t="s">
        <v>31</v>
      </c>
      <c r="F8636" s="0" t="n">
        <v>130.98</v>
      </c>
      <c r="G8636" s="0" t="n">
        <v>-89.0664</v>
      </c>
      <c r="H8636" s="0" t="n">
        <v>0.5</v>
      </c>
      <c r="I8636" s="7" t="n">
        <f aca="false">YEAR(B8636)</f>
        <v>2017</v>
      </c>
      <c r="J8636" s="0" t="str">
        <f aca="false">I8636&amp;"-Q"&amp;ROUNDUP(MONTH(B8636)/3,0)</f>
        <v>2017-Q3</v>
      </c>
    </row>
    <row r="8637" customFormat="false" ht="15" hidden="false" customHeight="false" outlineLevel="0" collapsed="false">
      <c r="A8637" s="0" t="s">
        <v>4385</v>
      </c>
      <c r="B8637" s="6" t="n">
        <v>41759</v>
      </c>
      <c r="C8637" s="7" t="s">
        <v>29</v>
      </c>
      <c r="D8637" s="7" t="s">
        <v>30</v>
      </c>
      <c r="E8637" s="7" t="s">
        <v>35</v>
      </c>
      <c r="F8637" s="0" t="n">
        <v>174.95</v>
      </c>
      <c r="G8637" s="0" t="n">
        <v>45.487</v>
      </c>
      <c r="H8637" s="0" t="n">
        <v>0</v>
      </c>
      <c r="I8637" s="7" t="n">
        <f aca="false">YEAR(B8637)</f>
        <v>2014</v>
      </c>
      <c r="J8637" s="0" t="str">
        <f aca="false">I8637&amp;"-Q"&amp;ROUNDUP(MONTH(B8637)/3,0)</f>
        <v>2014-Q2</v>
      </c>
    </row>
    <row r="8638" customFormat="false" ht="15" hidden="false" customHeight="false" outlineLevel="0" collapsed="false">
      <c r="A8638" s="0" t="s">
        <v>4385</v>
      </c>
      <c r="B8638" s="6" t="n">
        <v>41759</v>
      </c>
      <c r="C8638" s="7" t="s">
        <v>29</v>
      </c>
      <c r="D8638" s="7" t="s">
        <v>30</v>
      </c>
      <c r="E8638" s="7" t="s">
        <v>35</v>
      </c>
      <c r="F8638" s="0" t="n">
        <v>826</v>
      </c>
      <c r="G8638" s="0" t="n">
        <v>214.76</v>
      </c>
      <c r="H8638" s="0" t="n">
        <v>0</v>
      </c>
      <c r="I8638" s="7" t="n">
        <f aca="false">YEAR(B8638)</f>
        <v>2014</v>
      </c>
      <c r="J8638" s="0" t="str">
        <f aca="false">I8638&amp;"-Q"&amp;ROUNDUP(MONTH(B8638)/3,0)</f>
        <v>2014-Q2</v>
      </c>
    </row>
    <row r="8639" customFormat="false" ht="15" hidden="false" customHeight="false" outlineLevel="0" collapsed="false">
      <c r="A8639" s="0" t="s">
        <v>4386</v>
      </c>
      <c r="B8639" s="6" t="n">
        <v>42852</v>
      </c>
      <c r="C8639" s="7" t="s">
        <v>33</v>
      </c>
      <c r="D8639" s="7" t="s">
        <v>43</v>
      </c>
      <c r="E8639" s="7" t="s">
        <v>31</v>
      </c>
      <c r="F8639" s="0" t="n">
        <v>139.58</v>
      </c>
      <c r="G8639" s="0" t="n">
        <v>39.0824</v>
      </c>
      <c r="H8639" s="0" t="n">
        <v>0</v>
      </c>
      <c r="I8639" s="7" t="n">
        <f aca="false">YEAR(B8639)</f>
        <v>2017</v>
      </c>
      <c r="J8639" s="0" t="str">
        <f aca="false">I8639&amp;"-Q"&amp;ROUNDUP(MONTH(B8639)/3,0)</f>
        <v>2017-Q2</v>
      </c>
    </row>
    <row r="8640" customFormat="false" ht="15" hidden="false" customHeight="false" outlineLevel="0" collapsed="false">
      <c r="A8640" s="0" t="s">
        <v>4387</v>
      </c>
      <c r="B8640" s="6" t="n">
        <v>42939</v>
      </c>
      <c r="C8640" s="7" t="s">
        <v>45</v>
      </c>
      <c r="D8640" s="7" t="s">
        <v>48</v>
      </c>
      <c r="E8640" s="7" t="s">
        <v>39</v>
      </c>
      <c r="F8640" s="0" t="n">
        <v>399.95</v>
      </c>
      <c r="G8640" s="0" t="n">
        <v>143.982</v>
      </c>
      <c r="H8640" s="0" t="n">
        <v>0</v>
      </c>
      <c r="I8640" s="7" t="n">
        <f aca="false">YEAR(B8640)</f>
        <v>2017</v>
      </c>
      <c r="J8640" s="0" t="str">
        <f aca="false">I8640&amp;"-Q"&amp;ROUNDUP(MONTH(B8640)/3,0)</f>
        <v>2017-Q3</v>
      </c>
    </row>
    <row r="8641" customFormat="false" ht="15" hidden="false" customHeight="false" outlineLevel="0" collapsed="false">
      <c r="A8641" s="0" t="s">
        <v>4388</v>
      </c>
      <c r="B8641" s="6" t="n">
        <v>41986</v>
      </c>
      <c r="C8641" s="7" t="s">
        <v>29</v>
      </c>
      <c r="D8641" s="7" t="s">
        <v>30</v>
      </c>
      <c r="E8641" s="7" t="s">
        <v>35</v>
      </c>
      <c r="F8641" s="0" t="n">
        <v>12.39</v>
      </c>
      <c r="G8641" s="0" t="n">
        <v>5.8233</v>
      </c>
      <c r="H8641" s="0" t="n">
        <v>0</v>
      </c>
      <c r="I8641" s="7" t="n">
        <f aca="false">YEAR(B8641)</f>
        <v>2014</v>
      </c>
      <c r="J8641" s="0" t="str">
        <f aca="false">I8641&amp;"-Q"&amp;ROUNDUP(MONTH(B8641)/3,0)</f>
        <v>2014-Q4</v>
      </c>
    </row>
    <row r="8642" customFormat="false" ht="15" hidden="false" customHeight="false" outlineLevel="0" collapsed="false">
      <c r="A8642" s="0" t="s">
        <v>4389</v>
      </c>
      <c r="B8642" s="6" t="n">
        <v>42747</v>
      </c>
      <c r="C8642" s="7" t="s">
        <v>45</v>
      </c>
      <c r="D8642" s="7" t="s">
        <v>46</v>
      </c>
      <c r="E8642" s="7" t="s">
        <v>35</v>
      </c>
      <c r="F8642" s="0" t="n">
        <v>760.98</v>
      </c>
      <c r="G8642" s="0" t="n">
        <v>-1141.47</v>
      </c>
      <c r="H8642" s="0" t="n">
        <v>0.8</v>
      </c>
      <c r="I8642" s="7" t="n">
        <f aca="false">YEAR(B8642)</f>
        <v>2017</v>
      </c>
      <c r="J8642" s="0" t="str">
        <f aca="false">I8642&amp;"-Q"&amp;ROUNDUP(MONTH(B8642)/3,0)</f>
        <v>2017-Q1</v>
      </c>
    </row>
    <row r="8643" customFormat="false" ht="15" hidden="false" customHeight="false" outlineLevel="0" collapsed="false">
      <c r="A8643" s="0" t="s">
        <v>4390</v>
      </c>
      <c r="B8643" s="6" t="n">
        <v>43071</v>
      </c>
      <c r="C8643" s="7" t="s">
        <v>33</v>
      </c>
      <c r="D8643" s="7" t="s">
        <v>81</v>
      </c>
      <c r="E8643" s="7" t="s">
        <v>35</v>
      </c>
      <c r="F8643" s="0" t="n">
        <v>67.86</v>
      </c>
      <c r="G8643" s="0" t="n">
        <v>-45.24</v>
      </c>
      <c r="H8643" s="0" t="n">
        <v>0.7</v>
      </c>
      <c r="I8643" s="7" t="n">
        <f aca="false">YEAR(B8643)</f>
        <v>2017</v>
      </c>
      <c r="J8643" s="0" t="str">
        <f aca="false">I8643&amp;"-Q"&amp;ROUNDUP(MONTH(B8643)/3,0)</f>
        <v>2017-Q4</v>
      </c>
    </row>
    <row r="8644" customFormat="false" ht="15" hidden="false" customHeight="false" outlineLevel="0" collapsed="false">
      <c r="A8644" s="0" t="s">
        <v>4391</v>
      </c>
      <c r="B8644" s="6" t="n">
        <v>42316</v>
      </c>
      <c r="C8644" s="7" t="s">
        <v>29</v>
      </c>
      <c r="D8644" s="7" t="s">
        <v>41</v>
      </c>
      <c r="E8644" s="7" t="s">
        <v>35</v>
      </c>
      <c r="F8644" s="0" t="n">
        <v>31.504</v>
      </c>
      <c r="G8644" s="0" t="n">
        <v>11.814</v>
      </c>
      <c r="H8644" s="0" t="n">
        <v>0.2</v>
      </c>
      <c r="I8644" s="7" t="n">
        <f aca="false">YEAR(B8644)</f>
        <v>2015</v>
      </c>
      <c r="J8644" s="0" t="str">
        <f aca="false">I8644&amp;"-Q"&amp;ROUNDUP(MONTH(B8644)/3,0)</f>
        <v>2015-Q4</v>
      </c>
    </row>
    <row r="8645" customFormat="false" ht="15" hidden="false" customHeight="false" outlineLevel="0" collapsed="false">
      <c r="A8645" s="0" t="s">
        <v>4391</v>
      </c>
      <c r="B8645" s="6" t="n">
        <v>42316</v>
      </c>
      <c r="C8645" s="7" t="s">
        <v>29</v>
      </c>
      <c r="D8645" s="7" t="s">
        <v>41</v>
      </c>
      <c r="E8645" s="7" t="s">
        <v>35</v>
      </c>
      <c r="F8645" s="0" t="n">
        <v>5.04</v>
      </c>
      <c r="G8645" s="0" t="n">
        <v>1.638</v>
      </c>
      <c r="H8645" s="0" t="n">
        <v>0.2</v>
      </c>
      <c r="I8645" s="7" t="n">
        <f aca="false">YEAR(B8645)</f>
        <v>2015</v>
      </c>
      <c r="J8645" s="0" t="str">
        <f aca="false">I8645&amp;"-Q"&amp;ROUNDUP(MONTH(B8645)/3,0)</f>
        <v>2015-Q4</v>
      </c>
    </row>
    <row r="8646" customFormat="false" ht="15" hidden="false" customHeight="false" outlineLevel="0" collapsed="false">
      <c r="A8646" s="0" t="s">
        <v>4391</v>
      </c>
      <c r="B8646" s="6" t="n">
        <v>42316</v>
      </c>
      <c r="C8646" s="7" t="s">
        <v>29</v>
      </c>
      <c r="D8646" s="7" t="s">
        <v>41</v>
      </c>
      <c r="E8646" s="7" t="s">
        <v>35</v>
      </c>
      <c r="F8646" s="0" t="n">
        <v>39.879</v>
      </c>
      <c r="G8646" s="0" t="n">
        <v>-29.2446</v>
      </c>
      <c r="H8646" s="0" t="n">
        <v>0.7</v>
      </c>
      <c r="I8646" s="7" t="n">
        <f aca="false">YEAR(B8646)</f>
        <v>2015</v>
      </c>
      <c r="J8646" s="0" t="str">
        <f aca="false">I8646&amp;"-Q"&amp;ROUNDUP(MONTH(B8646)/3,0)</f>
        <v>2015-Q4</v>
      </c>
    </row>
    <row r="8647" customFormat="false" ht="15" hidden="false" customHeight="false" outlineLevel="0" collapsed="false">
      <c r="A8647" s="0" t="s">
        <v>4391</v>
      </c>
      <c r="B8647" s="6" t="n">
        <v>42316</v>
      </c>
      <c r="C8647" s="7" t="s">
        <v>29</v>
      </c>
      <c r="D8647" s="7" t="s">
        <v>41</v>
      </c>
      <c r="E8647" s="7" t="s">
        <v>31</v>
      </c>
      <c r="F8647" s="0" t="n">
        <v>4.712</v>
      </c>
      <c r="G8647" s="0" t="n">
        <v>1.4136</v>
      </c>
      <c r="H8647" s="0" t="n">
        <v>0.2</v>
      </c>
      <c r="I8647" s="7" t="n">
        <f aca="false">YEAR(B8647)</f>
        <v>2015</v>
      </c>
      <c r="J8647" s="0" t="str">
        <f aca="false">I8647&amp;"-Q"&amp;ROUNDUP(MONTH(B8647)/3,0)</f>
        <v>2015-Q4</v>
      </c>
    </row>
    <row r="8648" customFormat="false" ht="15" hidden="false" customHeight="false" outlineLevel="0" collapsed="false">
      <c r="A8648" s="0" t="s">
        <v>4392</v>
      </c>
      <c r="B8648" s="6" t="n">
        <v>42699</v>
      </c>
      <c r="C8648" s="7" t="s">
        <v>33</v>
      </c>
      <c r="D8648" s="7" t="s">
        <v>34</v>
      </c>
      <c r="E8648" s="7" t="s">
        <v>31</v>
      </c>
      <c r="F8648" s="0" t="n">
        <v>194.352</v>
      </c>
      <c r="G8648" s="0" t="n">
        <v>19.4352</v>
      </c>
      <c r="H8648" s="0" t="n">
        <v>0.2</v>
      </c>
      <c r="I8648" s="7" t="n">
        <f aca="false">YEAR(B8648)</f>
        <v>2016</v>
      </c>
      <c r="J8648" s="0" t="str">
        <f aca="false">I8648&amp;"-Q"&amp;ROUNDUP(MONTH(B8648)/3,0)</f>
        <v>2016-Q4</v>
      </c>
    </row>
    <row r="8649" customFormat="false" ht="15" hidden="false" customHeight="false" outlineLevel="0" collapsed="false">
      <c r="A8649" s="0" t="s">
        <v>4393</v>
      </c>
      <c r="B8649" s="6" t="n">
        <v>42343</v>
      </c>
      <c r="C8649" s="7" t="s">
        <v>29</v>
      </c>
      <c r="D8649" s="7" t="s">
        <v>87</v>
      </c>
      <c r="E8649" s="7" t="s">
        <v>31</v>
      </c>
      <c r="F8649" s="0" t="n">
        <v>97.424</v>
      </c>
      <c r="G8649" s="0" t="n">
        <v>10.9602</v>
      </c>
      <c r="H8649" s="0" t="n">
        <v>0.2</v>
      </c>
      <c r="I8649" s="7" t="n">
        <f aca="false">YEAR(B8649)</f>
        <v>2015</v>
      </c>
      <c r="J8649" s="0" t="str">
        <f aca="false">I8649&amp;"-Q"&amp;ROUNDUP(MONTH(B8649)/3,0)</f>
        <v>2015-Q4</v>
      </c>
    </row>
    <row r="8650" customFormat="false" ht="15" hidden="false" customHeight="false" outlineLevel="0" collapsed="false">
      <c r="A8650" s="0" t="s">
        <v>4394</v>
      </c>
      <c r="B8650" s="6" t="n">
        <v>42580</v>
      </c>
      <c r="C8650" s="7" t="s">
        <v>29</v>
      </c>
      <c r="D8650" s="7" t="s">
        <v>41</v>
      </c>
      <c r="E8650" s="7" t="s">
        <v>35</v>
      </c>
      <c r="F8650" s="0" t="n">
        <v>704.76</v>
      </c>
      <c r="G8650" s="0" t="n">
        <v>26.4285</v>
      </c>
      <c r="H8650" s="0" t="n">
        <v>0.2</v>
      </c>
      <c r="I8650" s="7" t="n">
        <f aca="false">YEAR(B8650)</f>
        <v>2016</v>
      </c>
      <c r="J8650" s="0" t="str">
        <f aca="false">I8650&amp;"-Q"&amp;ROUNDUP(MONTH(B8650)/3,0)</f>
        <v>2016-Q3</v>
      </c>
    </row>
    <row r="8651" customFormat="false" ht="15" hidden="false" customHeight="false" outlineLevel="0" collapsed="false">
      <c r="A8651" s="0" t="s">
        <v>4394</v>
      </c>
      <c r="B8651" s="6" t="n">
        <v>42580</v>
      </c>
      <c r="C8651" s="7" t="s">
        <v>29</v>
      </c>
      <c r="D8651" s="7" t="s">
        <v>41</v>
      </c>
      <c r="E8651" s="7" t="s">
        <v>35</v>
      </c>
      <c r="F8651" s="0" t="n">
        <v>27.396</v>
      </c>
      <c r="G8651" s="0" t="n">
        <v>-20.0904</v>
      </c>
      <c r="H8651" s="0" t="n">
        <v>0.7</v>
      </c>
      <c r="I8651" s="7" t="n">
        <f aca="false">YEAR(B8651)</f>
        <v>2016</v>
      </c>
      <c r="J8651" s="0" t="str">
        <f aca="false">I8651&amp;"-Q"&amp;ROUNDUP(MONTH(B8651)/3,0)</f>
        <v>2016-Q3</v>
      </c>
    </row>
    <row r="8652" customFormat="false" ht="15" hidden="false" customHeight="false" outlineLevel="0" collapsed="false">
      <c r="A8652" s="0" t="s">
        <v>4395</v>
      </c>
      <c r="B8652" s="6" t="n">
        <v>41895</v>
      </c>
      <c r="C8652" s="7" t="s">
        <v>33</v>
      </c>
      <c r="D8652" s="7" t="s">
        <v>43</v>
      </c>
      <c r="E8652" s="7" t="s">
        <v>35</v>
      </c>
      <c r="F8652" s="0" t="n">
        <v>5.7</v>
      </c>
      <c r="G8652" s="0" t="n">
        <v>2.679</v>
      </c>
      <c r="H8652" s="0" t="n">
        <v>0</v>
      </c>
      <c r="I8652" s="7" t="n">
        <f aca="false">YEAR(B8652)</f>
        <v>2014</v>
      </c>
      <c r="J8652" s="0" t="str">
        <f aca="false">I8652&amp;"-Q"&amp;ROUNDUP(MONTH(B8652)/3,0)</f>
        <v>2014-Q3</v>
      </c>
    </row>
    <row r="8653" customFormat="false" ht="15" hidden="false" customHeight="false" outlineLevel="0" collapsed="false">
      <c r="A8653" s="0" t="s">
        <v>4395</v>
      </c>
      <c r="B8653" s="6" t="n">
        <v>41895</v>
      </c>
      <c r="C8653" s="7" t="s">
        <v>33</v>
      </c>
      <c r="D8653" s="7" t="s">
        <v>43</v>
      </c>
      <c r="E8653" s="7" t="s">
        <v>31</v>
      </c>
      <c r="F8653" s="0" t="n">
        <v>14.19</v>
      </c>
      <c r="G8653" s="0" t="n">
        <v>5.5341</v>
      </c>
      <c r="H8653" s="0" t="n">
        <v>0</v>
      </c>
      <c r="I8653" s="7" t="n">
        <f aca="false">YEAR(B8653)</f>
        <v>2014</v>
      </c>
      <c r="J8653" s="0" t="str">
        <f aca="false">I8653&amp;"-Q"&amp;ROUNDUP(MONTH(B8653)/3,0)</f>
        <v>2014-Q3</v>
      </c>
    </row>
    <row r="8654" customFormat="false" ht="15" hidden="false" customHeight="false" outlineLevel="0" collapsed="false">
      <c r="A8654" s="0" t="s">
        <v>4395</v>
      </c>
      <c r="B8654" s="6" t="n">
        <v>41895</v>
      </c>
      <c r="C8654" s="7" t="s">
        <v>33</v>
      </c>
      <c r="D8654" s="7" t="s">
        <v>43</v>
      </c>
      <c r="E8654" s="7" t="s">
        <v>35</v>
      </c>
      <c r="F8654" s="0" t="n">
        <v>7.3</v>
      </c>
      <c r="G8654" s="0" t="n">
        <v>2.19</v>
      </c>
      <c r="H8654" s="0" t="n">
        <v>0</v>
      </c>
      <c r="I8654" s="7" t="n">
        <f aca="false">YEAR(B8654)</f>
        <v>2014</v>
      </c>
      <c r="J8654" s="0" t="str">
        <f aca="false">I8654&amp;"-Q"&amp;ROUNDUP(MONTH(B8654)/3,0)</f>
        <v>2014-Q3</v>
      </c>
    </row>
    <row r="8655" customFormat="false" ht="15" hidden="false" customHeight="false" outlineLevel="0" collapsed="false">
      <c r="A8655" s="0" t="s">
        <v>4395</v>
      </c>
      <c r="B8655" s="6" t="n">
        <v>41895</v>
      </c>
      <c r="C8655" s="7" t="s">
        <v>33</v>
      </c>
      <c r="D8655" s="7" t="s">
        <v>43</v>
      </c>
      <c r="E8655" s="7" t="s">
        <v>39</v>
      </c>
      <c r="F8655" s="0" t="n">
        <v>199.98</v>
      </c>
      <c r="G8655" s="0" t="n">
        <v>75.9924</v>
      </c>
      <c r="H8655" s="0" t="n">
        <v>0</v>
      </c>
      <c r="I8655" s="7" t="n">
        <f aca="false">YEAR(B8655)</f>
        <v>2014</v>
      </c>
      <c r="J8655" s="0" t="str">
        <f aca="false">I8655&amp;"-Q"&amp;ROUNDUP(MONTH(B8655)/3,0)</f>
        <v>2014-Q3</v>
      </c>
    </row>
    <row r="8656" customFormat="false" ht="15" hidden="false" customHeight="false" outlineLevel="0" collapsed="false">
      <c r="A8656" s="0" t="s">
        <v>4395</v>
      </c>
      <c r="B8656" s="6" t="n">
        <v>41895</v>
      </c>
      <c r="C8656" s="7" t="s">
        <v>33</v>
      </c>
      <c r="D8656" s="7" t="s">
        <v>43</v>
      </c>
      <c r="E8656" s="7" t="s">
        <v>39</v>
      </c>
      <c r="F8656" s="0" t="n">
        <v>144.96</v>
      </c>
      <c r="G8656" s="0" t="n">
        <v>60.8832</v>
      </c>
      <c r="H8656" s="0" t="n">
        <v>0</v>
      </c>
      <c r="I8656" s="7" t="n">
        <f aca="false">YEAR(B8656)</f>
        <v>2014</v>
      </c>
      <c r="J8656" s="0" t="str">
        <f aca="false">I8656&amp;"-Q"&amp;ROUNDUP(MONTH(B8656)/3,0)</f>
        <v>2014-Q3</v>
      </c>
    </row>
    <row r="8657" customFormat="false" ht="15" hidden="false" customHeight="false" outlineLevel="0" collapsed="false">
      <c r="A8657" s="0" t="s">
        <v>4395</v>
      </c>
      <c r="B8657" s="6" t="n">
        <v>41895</v>
      </c>
      <c r="C8657" s="7" t="s">
        <v>33</v>
      </c>
      <c r="D8657" s="7" t="s">
        <v>43</v>
      </c>
      <c r="E8657" s="7" t="s">
        <v>39</v>
      </c>
      <c r="F8657" s="0" t="n">
        <v>118</v>
      </c>
      <c r="G8657" s="0" t="n">
        <v>20.06</v>
      </c>
      <c r="H8657" s="0" t="n">
        <v>0</v>
      </c>
      <c r="I8657" s="7" t="n">
        <f aca="false">YEAR(B8657)</f>
        <v>2014</v>
      </c>
      <c r="J8657" s="0" t="str">
        <f aca="false">I8657&amp;"-Q"&amp;ROUNDUP(MONTH(B8657)/3,0)</f>
        <v>2014-Q3</v>
      </c>
    </row>
    <row r="8658" customFormat="false" ht="15" hidden="false" customHeight="false" outlineLevel="0" collapsed="false">
      <c r="A8658" s="0" t="s">
        <v>4395</v>
      </c>
      <c r="B8658" s="6" t="n">
        <v>41895</v>
      </c>
      <c r="C8658" s="7" t="s">
        <v>33</v>
      </c>
      <c r="D8658" s="7" t="s">
        <v>43</v>
      </c>
      <c r="E8658" s="7" t="s">
        <v>35</v>
      </c>
      <c r="F8658" s="0" t="n">
        <v>48.94</v>
      </c>
      <c r="G8658" s="0" t="n">
        <v>24.47</v>
      </c>
      <c r="H8658" s="0" t="n">
        <v>0</v>
      </c>
      <c r="I8658" s="7" t="n">
        <f aca="false">YEAR(B8658)</f>
        <v>2014</v>
      </c>
      <c r="J8658" s="0" t="str">
        <f aca="false">I8658&amp;"-Q"&amp;ROUNDUP(MONTH(B8658)/3,0)</f>
        <v>2014-Q3</v>
      </c>
    </row>
    <row r="8659" customFormat="false" ht="15" hidden="false" customHeight="false" outlineLevel="0" collapsed="false">
      <c r="A8659" s="0" t="s">
        <v>4395</v>
      </c>
      <c r="B8659" s="6" t="n">
        <v>41895</v>
      </c>
      <c r="C8659" s="7" t="s">
        <v>33</v>
      </c>
      <c r="D8659" s="7" t="s">
        <v>43</v>
      </c>
      <c r="E8659" s="7" t="s">
        <v>35</v>
      </c>
      <c r="F8659" s="0" t="n">
        <v>22.66</v>
      </c>
      <c r="G8659" s="0" t="n">
        <v>9.7438</v>
      </c>
      <c r="H8659" s="0" t="n">
        <v>0</v>
      </c>
      <c r="I8659" s="7" t="n">
        <f aca="false">YEAR(B8659)</f>
        <v>2014</v>
      </c>
      <c r="J8659" s="0" t="str">
        <f aca="false">I8659&amp;"-Q"&amp;ROUNDUP(MONTH(B8659)/3,0)</f>
        <v>2014-Q3</v>
      </c>
    </row>
    <row r="8660" customFormat="false" ht="15" hidden="false" customHeight="false" outlineLevel="0" collapsed="false">
      <c r="A8660" s="0" t="s">
        <v>4396</v>
      </c>
      <c r="B8660" s="6" t="n">
        <v>42542</v>
      </c>
      <c r="C8660" s="7" t="s">
        <v>45</v>
      </c>
      <c r="D8660" s="7" t="s">
        <v>64</v>
      </c>
      <c r="E8660" s="7" t="s">
        <v>35</v>
      </c>
      <c r="F8660" s="0" t="n">
        <v>0.836</v>
      </c>
      <c r="G8660" s="0" t="n">
        <v>-1.3376</v>
      </c>
      <c r="H8660" s="0" t="n">
        <v>0.8</v>
      </c>
      <c r="I8660" s="7" t="n">
        <f aca="false">YEAR(B8660)</f>
        <v>2016</v>
      </c>
      <c r="J8660" s="0" t="str">
        <f aca="false">I8660&amp;"-Q"&amp;ROUNDUP(MONTH(B8660)/3,0)</f>
        <v>2016-Q2</v>
      </c>
    </row>
    <row r="8661" customFormat="false" ht="15" hidden="false" customHeight="false" outlineLevel="0" collapsed="false">
      <c r="A8661" s="0" t="s">
        <v>4397</v>
      </c>
      <c r="B8661" s="6" t="n">
        <v>42616</v>
      </c>
      <c r="C8661" s="7" t="s">
        <v>55</v>
      </c>
      <c r="D8661" s="7" t="s">
        <v>116</v>
      </c>
      <c r="E8661" s="7" t="s">
        <v>35</v>
      </c>
      <c r="F8661" s="0" t="n">
        <v>30.96</v>
      </c>
      <c r="G8661" s="0" t="n">
        <v>11.223</v>
      </c>
      <c r="H8661" s="0" t="n">
        <v>0.2</v>
      </c>
      <c r="I8661" s="7" t="n">
        <f aca="false">YEAR(B8661)</f>
        <v>2016</v>
      </c>
      <c r="J8661" s="0" t="str">
        <f aca="false">I8661&amp;"-Q"&amp;ROUNDUP(MONTH(B8661)/3,0)</f>
        <v>2016-Q3</v>
      </c>
    </row>
    <row r="8662" customFormat="false" ht="15" hidden="false" customHeight="false" outlineLevel="0" collapsed="false">
      <c r="A8662" s="0" t="s">
        <v>4398</v>
      </c>
      <c r="B8662" s="6" t="n">
        <v>43064</v>
      </c>
      <c r="C8662" s="7" t="s">
        <v>29</v>
      </c>
      <c r="D8662" s="7" t="s">
        <v>37</v>
      </c>
      <c r="E8662" s="7" t="s">
        <v>31</v>
      </c>
      <c r="F8662" s="0" t="n">
        <v>723.92</v>
      </c>
      <c r="G8662" s="0" t="n">
        <v>-81.441</v>
      </c>
      <c r="H8662" s="0" t="n">
        <v>0.2</v>
      </c>
      <c r="I8662" s="7" t="n">
        <f aca="false">YEAR(B8662)</f>
        <v>2017</v>
      </c>
      <c r="J8662" s="0" t="str">
        <f aca="false">I8662&amp;"-Q"&amp;ROUNDUP(MONTH(B8662)/3,0)</f>
        <v>2017-Q4</v>
      </c>
    </row>
    <row r="8663" customFormat="false" ht="15" hidden="false" customHeight="false" outlineLevel="0" collapsed="false">
      <c r="A8663" s="0" t="s">
        <v>4399</v>
      </c>
      <c r="B8663" s="6" t="n">
        <v>42136</v>
      </c>
      <c r="C8663" s="7" t="s">
        <v>45</v>
      </c>
      <c r="D8663" s="7" t="s">
        <v>46</v>
      </c>
      <c r="E8663" s="7" t="s">
        <v>31</v>
      </c>
      <c r="F8663" s="0" t="n">
        <v>21.968</v>
      </c>
      <c r="G8663" s="0" t="n">
        <v>-15.9268</v>
      </c>
      <c r="H8663" s="0" t="n">
        <v>0.6</v>
      </c>
      <c r="I8663" s="7" t="n">
        <f aca="false">YEAR(B8663)</f>
        <v>2015</v>
      </c>
      <c r="J8663" s="0" t="str">
        <f aca="false">I8663&amp;"-Q"&amp;ROUNDUP(MONTH(B8663)/3,0)</f>
        <v>2015-Q2</v>
      </c>
    </row>
    <row r="8664" customFormat="false" ht="15" hidden="false" customHeight="false" outlineLevel="0" collapsed="false">
      <c r="A8664" s="0" t="s">
        <v>4399</v>
      </c>
      <c r="B8664" s="6" t="n">
        <v>42136</v>
      </c>
      <c r="C8664" s="7" t="s">
        <v>45</v>
      </c>
      <c r="D8664" s="7" t="s">
        <v>46</v>
      </c>
      <c r="E8664" s="7" t="s">
        <v>39</v>
      </c>
      <c r="F8664" s="0" t="n">
        <v>619.152</v>
      </c>
      <c r="G8664" s="0" t="n">
        <v>69.6546</v>
      </c>
      <c r="H8664" s="0" t="n">
        <v>0.2</v>
      </c>
      <c r="I8664" s="7" t="n">
        <f aca="false">YEAR(B8664)</f>
        <v>2015</v>
      </c>
      <c r="J8664" s="0" t="str">
        <f aca="false">I8664&amp;"-Q"&amp;ROUNDUP(MONTH(B8664)/3,0)</f>
        <v>2015-Q2</v>
      </c>
    </row>
    <row r="8665" customFormat="false" ht="15" hidden="false" customHeight="false" outlineLevel="0" collapsed="false">
      <c r="A8665" s="0" t="s">
        <v>4399</v>
      </c>
      <c r="B8665" s="6" t="n">
        <v>42136</v>
      </c>
      <c r="C8665" s="7" t="s">
        <v>45</v>
      </c>
      <c r="D8665" s="7" t="s">
        <v>46</v>
      </c>
      <c r="E8665" s="7" t="s">
        <v>35</v>
      </c>
      <c r="F8665" s="0" t="n">
        <v>127.904</v>
      </c>
      <c r="G8665" s="0" t="n">
        <v>41.5688</v>
      </c>
      <c r="H8665" s="0" t="n">
        <v>0.2</v>
      </c>
      <c r="I8665" s="7" t="n">
        <f aca="false">YEAR(B8665)</f>
        <v>2015</v>
      </c>
      <c r="J8665" s="0" t="str">
        <f aca="false">I8665&amp;"-Q"&amp;ROUNDUP(MONTH(B8665)/3,0)</f>
        <v>2015-Q2</v>
      </c>
    </row>
    <row r="8666" customFormat="false" ht="15" hidden="false" customHeight="false" outlineLevel="0" collapsed="false">
      <c r="A8666" s="0" t="s">
        <v>4400</v>
      </c>
      <c r="B8666" s="6" t="n">
        <v>42824</v>
      </c>
      <c r="C8666" s="7" t="s">
        <v>33</v>
      </c>
      <c r="D8666" s="7" t="s">
        <v>34</v>
      </c>
      <c r="E8666" s="7" t="s">
        <v>31</v>
      </c>
      <c r="F8666" s="0" t="n">
        <v>94.2</v>
      </c>
      <c r="G8666" s="0" t="n">
        <v>39.564</v>
      </c>
      <c r="H8666" s="0" t="n">
        <v>0</v>
      </c>
      <c r="I8666" s="7" t="n">
        <f aca="false">YEAR(B8666)</f>
        <v>2017</v>
      </c>
      <c r="J8666" s="0" t="str">
        <f aca="false">I8666&amp;"-Q"&amp;ROUNDUP(MONTH(B8666)/3,0)</f>
        <v>2017-Q1</v>
      </c>
    </row>
    <row r="8667" customFormat="false" ht="15" hidden="false" customHeight="false" outlineLevel="0" collapsed="false">
      <c r="A8667" s="0" t="s">
        <v>4401</v>
      </c>
      <c r="B8667" s="6" t="n">
        <v>42691</v>
      </c>
      <c r="C8667" s="7" t="s">
        <v>33</v>
      </c>
      <c r="D8667" s="7" t="s">
        <v>34</v>
      </c>
      <c r="E8667" s="7" t="s">
        <v>35</v>
      </c>
      <c r="F8667" s="0" t="n">
        <v>49.5</v>
      </c>
      <c r="G8667" s="0" t="n">
        <v>13.365</v>
      </c>
      <c r="H8667" s="0" t="n">
        <v>0</v>
      </c>
      <c r="I8667" s="7" t="n">
        <f aca="false">YEAR(B8667)</f>
        <v>2016</v>
      </c>
      <c r="J8667" s="0" t="str">
        <f aca="false">I8667&amp;"-Q"&amp;ROUNDUP(MONTH(B8667)/3,0)</f>
        <v>2016-Q4</v>
      </c>
    </row>
    <row r="8668" customFormat="false" ht="15" hidden="false" customHeight="false" outlineLevel="0" collapsed="false">
      <c r="A8668" s="0" t="s">
        <v>4402</v>
      </c>
      <c r="B8668" s="6" t="n">
        <v>42734</v>
      </c>
      <c r="C8668" s="7" t="s">
        <v>55</v>
      </c>
      <c r="D8668" s="7" t="s">
        <v>56</v>
      </c>
      <c r="E8668" s="7" t="s">
        <v>35</v>
      </c>
      <c r="F8668" s="0" t="n">
        <v>16.52</v>
      </c>
      <c r="G8668" s="0" t="n">
        <v>1.652</v>
      </c>
      <c r="H8668" s="0" t="n">
        <v>0.2</v>
      </c>
      <c r="I8668" s="7" t="n">
        <f aca="false">YEAR(B8668)</f>
        <v>2016</v>
      </c>
      <c r="J8668" s="0" t="str">
        <f aca="false">I8668&amp;"-Q"&amp;ROUNDUP(MONTH(B8668)/3,0)</f>
        <v>2016-Q4</v>
      </c>
    </row>
    <row r="8669" customFormat="false" ht="15" hidden="false" customHeight="false" outlineLevel="0" collapsed="false">
      <c r="A8669" s="0" t="s">
        <v>4403</v>
      </c>
      <c r="B8669" s="6" t="n">
        <v>42726</v>
      </c>
      <c r="C8669" s="7" t="s">
        <v>33</v>
      </c>
      <c r="D8669" s="7" t="s">
        <v>43</v>
      </c>
      <c r="E8669" s="7" t="s">
        <v>35</v>
      </c>
      <c r="F8669" s="0" t="n">
        <v>55.36</v>
      </c>
      <c r="G8669" s="0" t="n">
        <v>19.376</v>
      </c>
      <c r="H8669" s="0" t="n">
        <v>0.2</v>
      </c>
      <c r="I8669" s="7" t="n">
        <f aca="false">YEAR(B8669)</f>
        <v>2016</v>
      </c>
      <c r="J8669" s="0" t="str">
        <f aca="false">I8669&amp;"-Q"&amp;ROUNDUP(MONTH(B8669)/3,0)</f>
        <v>2016-Q4</v>
      </c>
    </row>
    <row r="8670" customFormat="false" ht="15" hidden="false" customHeight="false" outlineLevel="0" collapsed="false">
      <c r="A8670" s="0" t="s">
        <v>4403</v>
      </c>
      <c r="B8670" s="6" t="n">
        <v>42726</v>
      </c>
      <c r="C8670" s="7" t="s">
        <v>33</v>
      </c>
      <c r="D8670" s="7" t="s">
        <v>43</v>
      </c>
      <c r="E8670" s="7" t="s">
        <v>39</v>
      </c>
      <c r="F8670" s="0" t="n">
        <v>11.56</v>
      </c>
      <c r="G8670" s="0" t="n">
        <v>3.757</v>
      </c>
      <c r="H8670" s="0" t="n">
        <v>0.2</v>
      </c>
      <c r="I8670" s="7" t="n">
        <f aca="false">YEAR(B8670)</f>
        <v>2016</v>
      </c>
      <c r="J8670" s="0" t="str">
        <f aca="false">I8670&amp;"-Q"&amp;ROUNDUP(MONTH(B8670)/3,0)</f>
        <v>2016-Q4</v>
      </c>
    </row>
    <row r="8671" customFormat="false" ht="15" hidden="false" customHeight="false" outlineLevel="0" collapsed="false">
      <c r="A8671" s="0" t="s">
        <v>4404</v>
      </c>
      <c r="B8671" s="6" t="n">
        <v>42358</v>
      </c>
      <c r="C8671" s="7" t="s">
        <v>33</v>
      </c>
      <c r="D8671" s="7" t="s">
        <v>34</v>
      </c>
      <c r="E8671" s="7" t="s">
        <v>35</v>
      </c>
      <c r="F8671" s="0" t="n">
        <v>17.12</v>
      </c>
      <c r="G8671" s="0" t="n">
        <v>7.704</v>
      </c>
      <c r="H8671" s="0" t="n">
        <v>0</v>
      </c>
      <c r="I8671" s="7" t="n">
        <f aca="false">YEAR(B8671)</f>
        <v>2015</v>
      </c>
      <c r="J8671" s="0" t="str">
        <f aca="false">I8671&amp;"-Q"&amp;ROUNDUP(MONTH(B8671)/3,0)</f>
        <v>2015-Q4</v>
      </c>
    </row>
    <row r="8672" customFormat="false" ht="15" hidden="false" customHeight="false" outlineLevel="0" collapsed="false">
      <c r="A8672" s="0" t="s">
        <v>4405</v>
      </c>
      <c r="B8672" s="6" t="n">
        <v>42000</v>
      </c>
      <c r="C8672" s="7" t="s">
        <v>55</v>
      </c>
      <c r="D8672" s="7" t="s">
        <v>116</v>
      </c>
      <c r="E8672" s="7" t="s">
        <v>31</v>
      </c>
      <c r="F8672" s="0" t="n">
        <v>182.352</v>
      </c>
      <c r="G8672" s="0" t="n">
        <v>-18.2352</v>
      </c>
      <c r="H8672" s="0" t="n">
        <v>0.2</v>
      </c>
      <c r="I8672" s="7" t="n">
        <f aca="false">YEAR(B8672)</f>
        <v>2014</v>
      </c>
      <c r="J8672" s="0" t="str">
        <f aca="false">I8672&amp;"-Q"&amp;ROUNDUP(MONTH(B8672)/3,0)</f>
        <v>2014-Q4</v>
      </c>
    </row>
    <row r="8673" customFormat="false" ht="15" hidden="false" customHeight="false" outlineLevel="0" collapsed="false">
      <c r="A8673" s="0" t="s">
        <v>4405</v>
      </c>
      <c r="B8673" s="6" t="n">
        <v>42000</v>
      </c>
      <c r="C8673" s="7" t="s">
        <v>55</v>
      </c>
      <c r="D8673" s="7" t="s">
        <v>116</v>
      </c>
      <c r="E8673" s="7" t="s">
        <v>35</v>
      </c>
      <c r="F8673" s="0" t="n">
        <v>118.16</v>
      </c>
      <c r="G8673" s="0" t="n">
        <v>-25.109</v>
      </c>
      <c r="H8673" s="0" t="n">
        <v>0.2</v>
      </c>
      <c r="I8673" s="7" t="n">
        <f aca="false">YEAR(B8673)</f>
        <v>2014</v>
      </c>
      <c r="J8673" s="0" t="str">
        <f aca="false">I8673&amp;"-Q"&amp;ROUNDUP(MONTH(B8673)/3,0)</f>
        <v>2014-Q4</v>
      </c>
    </row>
    <row r="8674" customFormat="false" ht="15" hidden="false" customHeight="false" outlineLevel="0" collapsed="false">
      <c r="A8674" s="0" t="s">
        <v>4406</v>
      </c>
      <c r="B8674" s="6" t="n">
        <v>42782</v>
      </c>
      <c r="C8674" s="7" t="s">
        <v>45</v>
      </c>
      <c r="D8674" s="7" t="s">
        <v>64</v>
      </c>
      <c r="E8674" s="7" t="s">
        <v>35</v>
      </c>
      <c r="F8674" s="0" t="n">
        <v>18.368</v>
      </c>
      <c r="G8674" s="0" t="n">
        <v>6.1992</v>
      </c>
      <c r="H8674" s="0" t="n">
        <v>0.2</v>
      </c>
      <c r="I8674" s="7" t="n">
        <f aca="false">YEAR(B8674)</f>
        <v>2017</v>
      </c>
      <c r="J8674" s="0" t="str">
        <f aca="false">I8674&amp;"-Q"&amp;ROUNDUP(MONTH(B8674)/3,0)</f>
        <v>2017-Q1</v>
      </c>
    </row>
    <row r="8675" customFormat="false" ht="15" hidden="false" customHeight="false" outlineLevel="0" collapsed="false">
      <c r="A8675" s="0" t="s">
        <v>4406</v>
      </c>
      <c r="B8675" s="6" t="n">
        <v>42782</v>
      </c>
      <c r="C8675" s="7" t="s">
        <v>45</v>
      </c>
      <c r="D8675" s="7" t="s">
        <v>64</v>
      </c>
      <c r="E8675" s="7" t="s">
        <v>31</v>
      </c>
      <c r="F8675" s="0" t="n">
        <v>600.558</v>
      </c>
      <c r="G8675" s="0" t="n">
        <v>-8.5794</v>
      </c>
      <c r="H8675" s="0" t="n">
        <v>0.3</v>
      </c>
      <c r="I8675" s="7" t="n">
        <f aca="false">YEAR(B8675)</f>
        <v>2017</v>
      </c>
      <c r="J8675" s="0" t="str">
        <f aca="false">I8675&amp;"-Q"&amp;ROUNDUP(MONTH(B8675)/3,0)</f>
        <v>2017-Q1</v>
      </c>
    </row>
    <row r="8676" customFormat="false" ht="15" hidden="false" customHeight="false" outlineLevel="0" collapsed="false">
      <c r="A8676" s="0" t="s">
        <v>4406</v>
      </c>
      <c r="B8676" s="6" t="n">
        <v>42782</v>
      </c>
      <c r="C8676" s="7" t="s">
        <v>45</v>
      </c>
      <c r="D8676" s="7" t="s">
        <v>64</v>
      </c>
      <c r="E8676" s="7" t="s">
        <v>35</v>
      </c>
      <c r="F8676" s="0" t="n">
        <v>50.352</v>
      </c>
      <c r="G8676" s="0" t="n">
        <v>-8.1822</v>
      </c>
      <c r="H8676" s="0" t="n">
        <v>0.2</v>
      </c>
      <c r="I8676" s="7" t="n">
        <f aca="false">YEAR(B8676)</f>
        <v>2017</v>
      </c>
      <c r="J8676" s="0" t="str">
        <f aca="false">I8676&amp;"-Q"&amp;ROUNDUP(MONTH(B8676)/3,0)</f>
        <v>2017-Q1</v>
      </c>
    </row>
    <row r="8677" customFormat="false" ht="15" hidden="false" customHeight="false" outlineLevel="0" collapsed="false">
      <c r="A8677" s="0" t="s">
        <v>4406</v>
      </c>
      <c r="B8677" s="6" t="n">
        <v>42782</v>
      </c>
      <c r="C8677" s="7" t="s">
        <v>45</v>
      </c>
      <c r="D8677" s="7" t="s">
        <v>64</v>
      </c>
      <c r="E8677" s="7" t="s">
        <v>35</v>
      </c>
      <c r="F8677" s="0" t="n">
        <v>28.032</v>
      </c>
      <c r="G8677" s="0" t="n">
        <v>3.504</v>
      </c>
      <c r="H8677" s="0" t="n">
        <v>0.2</v>
      </c>
      <c r="I8677" s="7" t="n">
        <f aca="false">YEAR(B8677)</f>
        <v>2017</v>
      </c>
      <c r="J8677" s="0" t="str">
        <f aca="false">I8677&amp;"-Q"&amp;ROUNDUP(MONTH(B8677)/3,0)</f>
        <v>2017-Q1</v>
      </c>
    </row>
    <row r="8678" customFormat="false" ht="15" hidden="false" customHeight="false" outlineLevel="0" collapsed="false">
      <c r="A8678" s="0" t="s">
        <v>4406</v>
      </c>
      <c r="B8678" s="6" t="n">
        <v>42782</v>
      </c>
      <c r="C8678" s="7" t="s">
        <v>45</v>
      </c>
      <c r="D8678" s="7" t="s">
        <v>64</v>
      </c>
      <c r="E8678" s="7" t="s">
        <v>31</v>
      </c>
      <c r="F8678" s="0" t="n">
        <v>7.692</v>
      </c>
      <c r="G8678" s="0" t="n">
        <v>-3.6537</v>
      </c>
      <c r="H8678" s="0" t="n">
        <v>0.6</v>
      </c>
      <c r="I8678" s="7" t="n">
        <f aca="false">YEAR(B8678)</f>
        <v>2017</v>
      </c>
      <c r="J8678" s="0" t="str">
        <f aca="false">I8678&amp;"-Q"&amp;ROUNDUP(MONTH(B8678)/3,0)</f>
        <v>2017-Q1</v>
      </c>
    </row>
    <row r="8679" customFormat="false" ht="15" hidden="false" customHeight="false" outlineLevel="0" collapsed="false">
      <c r="A8679" s="0" t="s">
        <v>4407</v>
      </c>
      <c r="B8679" s="6" t="n">
        <v>43032</v>
      </c>
      <c r="C8679" s="7" t="s">
        <v>45</v>
      </c>
      <c r="D8679" s="7" t="s">
        <v>46</v>
      </c>
      <c r="E8679" s="7" t="s">
        <v>31</v>
      </c>
      <c r="F8679" s="0" t="n">
        <v>517.405</v>
      </c>
      <c r="G8679" s="0" t="n">
        <v>-81.3065</v>
      </c>
      <c r="H8679" s="0" t="n">
        <v>0.3</v>
      </c>
      <c r="I8679" s="7" t="n">
        <f aca="false">YEAR(B8679)</f>
        <v>2017</v>
      </c>
      <c r="J8679" s="0" t="str">
        <f aca="false">I8679&amp;"-Q"&amp;ROUNDUP(MONTH(B8679)/3,0)</f>
        <v>2017-Q4</v>
      </c>
    </row>
    <row r="8680" customFormat="false" ht="15" hidden="false" customHeight="false" outlineLevel="0" collapsed="false">
      <c r="A8680" s="0" t="s">
        <v>4408</v>
      </c>
      <c r="B8680" s="6" t="n">
        <v>42615</v>
      </c>
      <c r="C8680" s="7" t="s">
        <v>45</v>
      </c>
      <c r="D8680" s="7" t="s">
        <v>46</v>
      </c>
      <c r="E8680" s="7" t="s">
        <v>35</v>
      </c>
      <c r="F8680" s="0" t="n">
        <v>8.608</v>
      </c>
      <c r="G8680" s="0" t="n">
        <v>-13.3424</v>
      </c>
      <c r="H8680" s="0" t="n">
        <v>0.8</v>
      </c>
      <c r="I8680" s="7" t="n">
        <f aca="false">YEAR(B8680)</f>
        <v>2016</v>
      </c>
      <c r="J8680" s="0" t="str">
        <f aca="false">I8680&amp;"-Q"&amp;ROUNDUP(MONTH(B8680)/3,0)</f>
        <v>2016-Q3</v>
      </c>
    </row>
    <row r="8681" customFormat="false" ht="15" hidden="false" customHeight="false" outlineLevel="0" collapsed="false">
      <c r="A8681" s="0" t="s">
        <v>4408</v>
      </c>
      <c r="B8681" s="6" t="n">
        <v>42615</v>
      </c>
      <c r="C8681" s="7" t="s">
        <v>45</v>
      </c>
      <c r="D8681" s="7" t="s">
        <v>46</v>
      </c>
      <c r="E8681" s="7" t="s">
        <v>39</v>
      </c>
      <c r="F8681" s="0" t="n">
        <v>159.56</v>
      </c>
      <c r="G8681" s="0" t="n">
        <v>33.9065</v>
      </c>
      <c r="H8681" s="0" t="n">
        <v>0.2</v>
      </c>
      <c r="I8681" s="7" t="n">
        <f aca="false">YEAR(B8681)</f>
        <v>2016</v>
      </c>
      <c r="J8681" s="0" t="str">
        <f aca="false">I8681&amp;"-Q"&amp;ROUNDUP(MONTH(B8681)/3,0)</f>
        <v>2016-Q3</v>
      </c>
    </row>
    <row r="8682" customFormat="false" ht="15" hidden="false" customHeight="false" outlineLevel="0" collapsed="false">
      <c r="A8682" s="0" t="s">
        <v>4409</v>
      </c>
      <c r="B8682" s="6" t="n">
        <v>42705</v>
      </c>
      <c r="C8682" s="7" t="s">
        <v>29</v>
      </c>
      <c r="D8682" s="7" t="s">
        <v>83</v>
      </c>
      <c r="E8682" s="7" t="s">
        <v>35</v>
      </c>
      <c r="F8682" s="0" t="n">
        <v>2104.55</v>
      </c>
      <c r="G8682" s="0" t="n">
        <v>694.5015</v>
      </c>
      <c r="H8682" s="0" t="n">
        <v>0</v>
      </c>
      <c r="I8682" s="7" t="n">
        <f aca="false">YEAR(B8682)</f>
        <v>2016</v>
      </c>
      <c r="J8682" s="0" t="str">
        <f aca="false">I8682&amp;"-Q"&amp;ROUNDUP(MONTH(B8682)/3,0)</f>
        <v>2016-Q4</v>
      </c>
    </row>
    <row r="8683" customFormat="false" ht="15" hidden="false" customHeight="false" outlineLevel="0" collapsed="false">
      <c r="A8683" s="0" t="s">
        <v>4409</v>
      </c>
      <c r="B8683" s="6" t="n">
        <v>42705</v>
      </c>
      <c r="C8683" s="7" t="s">
        <v>29</v>
      </c>
      <c r="D8683" s="7" t="s">
        <v>83</v>
      </c>
      <c r="E8683" s="7" t="s">
        <v>35</v>
      </c>
      <c r="F8683" s="0" t="n">
        <v>40.7</v>
      </c>
      <c r="G8683" s="0" t="n">
        <v>11.803</v>
      </c>
      <c r="H8683" s="0" t="n">
        <v>0</v>
      </c>
      <c r="I8683" s="7" t="n">
        <f aca="false">YEAR(B8683)</f>
        <v>2016</v>
      </c>
      <c r="J8683" s="0" t="str">
        <f aca="false">I8683&amp;"-Q"&amp;ROUNDUP(MONTH(B8683)/3,0)</f>
        <v>2016-Q4</v>
      </c>
    </row>
    <row r="8684" customFormat="false" ht="15" hidden="false" customHeight="false" outlineLevel="0" collapsed="false">
      <c r="A8684" s="0" t="s">
        <v>4410</v>
      </c>
      <c r="B8684" s="6" t="n">
        <v>41948</v>
      </c>
      <c r="C8684" s="7" t="s">
        <v>29</v>
      </c>
      <c r="D8684" s="7" t="s">
        <v>83</v>
      </c>
      <c r="E8684" s="7" t="s">
        <v>39</v>
      </c>
      <c r="F8684" s="0" t="n">
        <v>47.79</v>
      </c>
      <c r="G8684" s="0" t="n">
        <v>16.2486</v>
      </c>
      <c r="H8684" s="0" t="n">
        <v>0</v>
      </c>
      <c r="I8684" s="7" t="n">
        <f aca="false">YEAR(B8684)</f>
        <v>2014</v>
      </c>
      <c r="J8684" s="0" t="str">
        <f aca="false">I8684&amp;"-Q"&amp;ROUNDUP(MONTH(B8684)/3,0)</f>
        <v>2014-Q4</v>
      </c>
    </row>
    <row r="8685" customFormat="false" ht="15" hidden="false" customHeight="false" outlineLevel="0" collapsed="false">
      <c r="A8685" s="0" t="s">
        <v>4411</v>
      </c>
      <c r="B8685" s="6" t="n">
        <v>43064</v>
      </c>
      <c r="C8685" s="7" t="s">
        <v>33</v>
      </c>
      <c r="D8685" s="7" t="s">
        <v>34</v>
      </c>
      <c r="E8685" s="7" t="s">
        <v>35</v>
      </c>
      <c r="F8685" s="0" t="n">
        <v>5.16</v>
      </c>
      <c r="G8685" s="0" t="n">
        <v>1.3416</v>
      </c>
      <c r="H8685" s="0" t="n">
        <v>0</v>
      </c>
      <c r="I8685" s="7" t="n">
        <f aca="false">YEAR(B8685)</f>
        <v>2017</v>
      </c>
      <c r="J8685" s="0" t="str">
        <f aca="false">I8685&amp;"-Q"&amp;ROUNDUP(MONTH(B8685)/3,0)</f>
        <v>2017-Q4</v>
      </c>
    </row>
    <row r="8686" customFormat="false" ht="15" hidden="false" customHeight="false" outlineLevel="0" collapsed="false">
      <c r="A8686" s="0" t="s">
        <v>4412</v>
      </c>
      <c r="B8686" s="6" t="n">
        <v>42720</v>
      </c>
      <c r="C8686" s="7" t="s">
        <v>33</v>
      </c>
      <c r="D8686" s="7" t="s">
        <v>34</v>
      </c>
      <c r="E8686" s="7" t="s">
        <v>39</v>
      </c>
      <c r="F8686" s="0" t="n">
        <v>21.21</v>
      </c>
      <c r="G8686" s="0" t="n">
        <v>4.4541</v>
      </c>
      <c r="H8686" s="0" t="n">
        <v>0</v>
      </c>
      <c r="I8686" s="7" t="n">
        <f aca="false">YEAR(B8686)</f>
        <v>2016</v>
      </c>
      <c r="J8686" s="0" t="str">
        <f aca="false">I8686&amp;"-Q"&amp;ROUNDUP(MONTH(B8686)/3,0)</f>
        <v>2016-Q4</v>
      </c>
    </row>
    <row r="8687" customFormat="false" ht="15" hidden="false" customHeight="false" outlineLevel="0" collapsed="false">
      <c r="A8687" s="0" t="s">
        <v>4413</v>
      </c>
      <c r="B8687" s="6" t="n">
        <v>43053</v>
      </c>
      <c r="C8687" s="7" t="s">
        <v>55</v>
      </c>
      <c r="D8687" s="7" t="s">
        <v>76</v>
      </c>
      <c r="E8687" s="7" t="s">
        <v>35</v>
      </c>
      <c r="F8687" s="0" t="n">
        <v>96.36</v>
      </c>
      <c r="G8687" s="0" t="n">
        <v>25.0536</v>
      </c>
      <c r="H8687" s="0" t="n">
        <v>0</v>
      </c>
      <c r="I8687" s="7" t="n">
        <f aca="false">YEAR(B8687)</f>
        <v>2017</v>
      </c>
      <c r="J8687" s="0" t="str">
        <f aca="false">I8687&amp;"-Q"&amp;ROUNDUP(MONTH(B8687)/3,0)</f>
        <v>2017-Q4</v>
      </c>
    </row>
    <row r="8688" customFormat="false" ht="15" hidden="false" customHeight="false" outlineLevel="0" collapsed="false">
      <c r="A8688" s="0" t="s">
        <v>4414</v>
      </c>
      <c r="B8688" s="6" t="n">
        <v>42547</v>
      </c>
      <c r="C8688" s="7" t="s">
        <v>33</v>
      </c>
      <c r="D8688" s="7" t="s">
        <v>34</v>
      </c>
      <c r="E8688" s="7" t="s">
        <v>35</v>
      </c>
      <c r="F8688" s="0" t="n">
        <v>231.72</v>
      </c>
      <c r="G8688" s="0" t="n">
        <v>11.586</v>
      </c>
      <c r="H8688" s="0" t="n">
        <v>0</v>
      </c>
      <c r="I8688" s="7" t="n">
        <f aca="false">YEAR(B8688)</f>
        <v>2016</v>
      </c>
      <c r="J8688" s="0" t="str">
        <f aca="false">I8688&amp;"-Q"&amp;ROUNDUP(MONTH(B8688)/3,0)</f>
        <v>2016-Q2</v>
      </c>
    </row>
    <row r="8689" customFormat="false" ht="15" hidden="false" customHeight="false" outlineLevel="0" collapsed="false">
      <c r="A8689" s="0" t="s">
        <v>4414</v>
      </c>
      <c r="B8689" s="6" t="n">
        <v>42547</v>
      </c>
      <c r="C8689" s="7" t="s">
        <v>33</v>
      </c>
      <c r="D8689" s="7" t="s">
        <v>34</v>
      </c>
      <c r="E8689" s="7" t="s">
        <v>35</v>
      </c>
      <c r="F8689" s="0" t="n">
        <v>17.9</v>
      </c>
      <c r="G8689" s="0" t="n">
        <v>8.95</v>
      </c>
      <c r="H8689" s="0" t="n">
        <v>0</v>
      </c>
      <c r="I8689" s="7" t="n">
        <f aca="false">YEAR(B8689)</f>
        <v>2016</v>
      </c>
      <c r="J8689" s="0" t="str">
        <f aca="false">I8689&amp;"-Q"&amp;ROUNDUP(MONTH(B8689)/3,0)</f>
        <v>2016-Q2</v>
      </c>
    </row>
    <row r="8690" customFormat="false" ht="15" hidden="false" customHeight="false" outlineLevel="0" collapsed="false">
      <c r="A8690" s="0" t="s">
        <v>4414</v>
      </c>
      <c r="B8690" s="6" t="n">
        <v>42547</v>
      </c>
      <c r="C8690" s="7" t="s">
        <v>33</v>
      </c>
      <c r="D8690" s="7" t="s">
        <v>34</v>
      </c>
      <c r="E8690" s="7" t="s">
        <v>35</v>
      </c>
      <c r="F8690" s="0" t="n">
        <v>12.48</v>
      </c>
      <c r="G8690" s="0" t="n">
        <v>5.616</v>
      </c>
      <c r="H8690" s="0" t="n">
        <v>0</v>
      </c>
      <c r="I8690" s="7" t="n">
        <f aca="false">YEAR(B8690)</f>
        <v>2016</v>
      </c>
      <c r="J8690" s="0" t="str">
        <f aca="false">I8690&amp;"-Q"&amp;ROUNDUP(MONTH(B8690)/3,0)</f>
        <v>2016-Q2</v>
      </c>
    </row>
    <row r="8691" customFormat="false" ht="15" hidden="false" customHeight="false" outlineLevel="0" collapsed="false">
      <c r="A8691" s="0" t="s">
        <v>4415</v>
      </c>
      <c r="B8691" s="6" t="n">
        <v>41999</v>
      </c>
      <c r="C8691" s="7" t="s">
        <v>55</v>
      </c>
      <c r="D8691" s="7" t="s">
        <v>56</v>
      </c>
      <c r="E8691" s="7" t="s">
        <v>35</v>
      </c>
      <c r="F8691" s="0" t="n">
        <v>8.016</v>
      </c>
      <c r="G8691" s="0" t="n">
        <v>1.1022</v>
      </c>
      <c r="H8691" s="0" t="n">
        <v>0.2</v>
      </c>
      <c r="I8691" s="7" t="n">
        <f aca="false">YEAR(B8691)</f>
        <v>2014</v>
      </c>
      <c r="J8691" s="0" t="str">
        <f aca="false">I8691&amp;"-Q"&amp;ROUNDUP(MONTH(B8691)/3,0)</f>
        <v>2014-Q4</v>
      </c>
    </row>
    <row r="8692" customFormat="false" ht="15" hidden="false" customHeight="false" outlineLevel="0" collapsed="false">
      <c r="A8692" s="0" t="s">
        <v>4416</v>
      </c>
      <c r="B8692" s="6" t="n">
        <v>42596</v>
      </c>
      <c r="C8692" s="7" t="s">
        <v>55</v>
      </c>
      <c r="D8692" s="7" t="s">
        <v>116</v>
      </c>
      <c r="E8692" s="7" t="s">
        <v>39</v>
      </c>
      <c r="F8692" s="0" t="n">
        <v>259.896</v>
      </c>
      <c r="G8692" s="0" t="n">
        <v>-56.3108</v>
      </c>
      <c r="H8692" s="0" t="n">
        <v>0.4</v>
      </c>
      <c r="I8692" s="7" t="n">
        <f aca="false">YEAR(B8692)</f>
        <v>2016</v>
      </c>
      <c r="J8692" s="0" t="str">
        <f aca="false">I8692&amp;"-Q"&amp;ROUNDUP(MONTH(B8692)/3,0)</f>
        <v>2016-Q3</v>
      </c>
    </row>
    <row r="8693" customFormat="false" ht="15" hidden="false" customHeight="false" outlineLevel="0" collapsed="false">
      <c r="A8693" s="0" t="s">
        <v>4416</v>
      </c>
      <c r="B8693" s="6" t="n">
        <v>42596</v>
      </c>
      <c r="C8693" s="7" t="s">
        <v>55</v>
      </c>
      <c r="D8693" s="7" t="s">
        <v>116</v>
      </c>
      <c r="E8693" s="7" t="s">
        <v>39</v>
      </c>
      <c r="F8693" s="0" t="n">
        <v>247.188</v>
      </c>
      <c r="G8693" s="0" t="n">
        <v>-49.4376</v>
      </c>
      <c r="H8693" s="0" t="n">
        <v>0.4</v>
      </c>
      <c r="I8693" s="7" t="n">
        <f aca="false">YEAR(B8693)</f>
        <v>2016</v>
      </c>
      <c r="J8693" s="0" t="str">
        <f aca="false">I8693&amp;"-Q"&amp;ROUNDUP(MONTH(B8693)/3,0)</f>
        <v>2016-Q3</v>
      </c>
    </row>
    <row r="8694" customFormat="false" ht="15" hidden="false" customHeight="false" outlineLevel="0" collapsed="false">
      <c r="A8694" s="0" t="s">
        <v>4416</v>
      </c>
      <c r="B8694" s="6" t="n">
        <v>42596</v>
      </c>
      <c r="C8694" s="7" t="s">
        <v>55</v>
      </c>
      <c r="D8694" s="7" t="s">
        <v>116</v>
      </c>
      <c r="E8694" s="7" t="s">
        <v>39</v>
      </c>
      <c r="F8694" s="0" t="n">
        <v>279.96</v>
      </c>
      <c r="G8694" s="0" t="n">
        <v>48.993</v>
      </c>
      <c r="H8694" s="0" t="n">
        <v>0.2</v>
      </c>
      <c r="I8694" s="7" t="n">
        <f aca="false">YEAR(B8694)</f>
        <v>2016</v>
      </c>
      <c r="J8694" s="0" t="str">
        <f aca="false">I8694&amp;"-Q"&amp;ROUNDUP(MONTH(B8694)/3,0)</f>
        <v>2016-Q3</v>
      </c>
    </row>
    <row r="8695" customFormat="false" ht="15" hidden="false" customHeight="false" outlineLevel="0" collapsed="false">
      <c r="A8695" s="0" t="s">
        <v>4417</v>
      </c>
      <c r="B8695" s="6" t="n">
        <v>42667</v>
      </c>
      <c r="C8695" s="7" t="s">
        <v>33</v>
      </c>
      <c r="D8695" s="7" t="s">
        <v>34</v>
      </c>
      <c r="E8695" s="7" t="s">
        <v>39</v>
      </c>
      <c r="F8695" s="0" t="n">
        <v>450</v>
      </c>
      <c r="G8695" s="0" t="n">
        <v>162</v>
      </c>
      <c r="H8695" s="0" t="n">
        <v>0</v>
      </c>
      <c r="I8695" s="7" t="n">
        <f aca="false">YEAR(B8695)</f>
        <v>2016</v>
      </c>
      <c r="J8695" s="0" t="str">
        <f aca="false">I8695&amp;"-Q"&amp;ROUNDUP(MONTH(B8695)/3,0)</f>
        <v>2016-Q4</v>
      </c>
    </row>
    <row r="8696" customFormat="false" ht="15" hidden="false" customHeight="false" outlineLevel="0" collapsed="false">
      <c r="A8696" s="0" t="s">
        <v>4418</v>
      </c>
      <c r="B8696" s="6" t="n">
        <v>41874</v>
      </c>
      <c r="C8696" s="7" t="s">
        <v>45</v>
      </c>
      <c r="D8696" s="7" t="s">
        <v>70</v>
      </c>
      <c r="E8696" s="7" t="s">
        <v>35</v>
      </c>
      <c r="F8696" s="0" t="n">
        <v>19.44</v>
      </c>
      <c r="G8696" s="0" t="n">
        <v>9.5256</v>
      </c>
      <c r="H8696" s="0" t="n">
        <v>0</v>
      </c>
      <c r="I8696" s="7" t="n">
        <f aca="false">YEAR(B8696)</f>
        <v>2014</v>
      </c>
      <c r="J8696" s="0" t="str">
        <f aca="false">I8696&amp;"-Q"&amp;ROUNDUP(MONTH(B8696)/3,0)</f>
        <v>2014-Q3</v>
      </c>
    </row>
    <row r="8697" customFormat="false" ht="15" hidden="false" customHeight="false" outlineLevel="0" collapsed="false">
      <c r="A8697" s="0" t="s">
        <v>4419</v>
      </c>
      <c r="B8697" s="6" t="n">
        <v>42993</v>
      </c>
      <c r="C8697" s="7" t="s">
        <v>33</v>
      </c>
      <c r="D8697" s="7" t="s">
        <v>34</v>
      </c>
      <c r="E8697" s="7" t="s">
        <v>31</v>
      </c>
      <c r="F8697" s="0" t="n">
        <v>300.904</v>
      </c>
      <c r="G8697" s="0" t="n">
        <v>11.2839</v>
      </c>
      <c r="H8697" s="0" t="n">
        <v>0.2</v>
      </c>
      <c r="I8697" s="7" t="n">
        <f aca="false">YEAR(B8697)</f>
        <v>2017</v>
      </c>
      <c r="J8697" s="0" t="str">
        <f aca="false">I8697&amp;"-Q"&amp;ROUNDUP(MONTH(B8697)/3,0)</f>
        <v>2017-Q3</v>
      </c>
    </row>
    <row r="8698" customFormat="false" ht="15" hidden="false" customHeight="false" outlineLevel="0" collapsed="false">
      <c r="A8698" s="0" t="s">
        <v>4420</v>
      </c>
      <c r="B8698" s="6" t="n">
        <v>42901</v>
      </c>
      <c r="C8698" s="7" t="s">
        <v>29</v>
      </c>
      <c r="D8698" s="7" t="s">
        <v>87</v>
      </c>
      <c r="E8698" s="7" t="s">
        <v>39</v>
      </c>
      <c r="F8698" s="0" t="n">
        <v>239.976</v>
      </c>
      <c r="G8698" s="0" t="n">
        <v>26.9973</v>
      </c>
      <c r="H8698" s="0" t="n">
        <v>0.2</v>
      </c>
      <c r="I8698" s="7" t="n">
        <f aca="false">YEAR(B8698)</f>
        <v>2017</v>
      </c>
      <c r="J8698" s="0" t="str">
        <f aca="false">I8698&amp;"-Q"&amp;ROUNDUP(MONTH(B8698)/3,0)</f>
        <v>2017-Q2</v>
      </c>
    </row>
    <row r="8699" customFormat="false" ht="15" hidden="false" customHeight="false" outlineLevel="0" collapsed="false">
      <c r="A8699" s="0" t="s">
        <v>4420</v>
      </c>
      <c r="B8699" s="6" t="n">
        <v>42901</v>
      </c>
      <c r="C8699" s="7" t="s">
        <v>29</v>
      </c>
      <c r="D8699" s="7" t="s">
        <v>87</v>
      </c>
      <c r="E8699" s="7" t="s">
        <v>31</v>
      </c>
      <c r="F8699" s="0" t="n">
        <v>31.168</v>
      </c>
      <c r="G8699" s="0" t="n">
        <v>9.3504</v>
      </c>
      <c r="H8699" s="0" t="n">
        <v>0.2</v>
      </c>
      <c r="I8699" s="7" t="n">
        <f aca="false">YEAR(B8699)</f>
        <v>2017</v>
      </c>
      <c r="J8699" s="0" t="str">
        <f aca="false">I8699&amp;"-Q"&amp;ROUNDUP(MONTH(B8699)/3,0)</f>
        <v>2017-Q2</v>
      </c>
    </row>
    <row r="8700" customFormat="false" ht="15" hidden="false" customHeight="false" outlineLevel="0" collapsed="false">
      <c r="A8700" s="0" t="s">
        <v>4420</v>
      </c>
      <c r="B8700" s="6" t="n">
        <v>42901</v>
      </c>
      <c r="C8700" s="7" t="s">
        <v>29</v>
      </c>
      <c r="D8700" s="7" t="s">
        <v>87</v>
      </c>
      <c r="E8700" s="7" t="s">
        <v>31</v>
      </c>
      <c r="F8700" s="0" t="n">
        <v>120.96</v>
      </c>
      <c r="G8700" s="0" t="n">
        <v>-28.224</v>
      </c>
      <c r="H8700" s="0" t="n">
        <v>0.4</v>
      </c>
      <c r="I8700" s="7" t="n">
        <f aca="false">YEAR(B8700)</f>
        <v>2017</v>
      </c>
      <c r="J8700" s="0" t="str">
        <f aca="false">I8700&amp;"-Q"&amp;ROUNDUP(MONTH(B8700)/3,0)</f>
        <v>2017-Q2</v>
      </c>
    </row>
    <row r="8701" customFormat="false" ht="15" hidden="false" customHeight="false" outlineLevel="0" collapsed="false">
      <c r="A8701" s="0" t="s">
        <v>4420</v>
      </c>
      <c r="B8701" s="6" t="n">
        <v>42901</v>
      </c>
      <c r="C8701" s="7" t="s">
        <v>29</v>
      </c>
      <c r="D8701" s="7" t="s">
        <v>87</v>
      </c>
      <c r="E8701" s="7" t="s">
        <v>39</v>
      </c>
      <c r="F8701" s="0" t="n">
        <v>2239.936</v>
      </c>
      <c r="G8701" s="0" t="n">
        <v>223.9936</v>
      </c>
      <c r="H8701" s="0" t="n">
        <v>0.2</v>
      </c>
      <c r="I8701" s="7" t="n">
        <f aca="false">YEAR(B8701)</f>
        <v>2017</v>
      </c>
      <c r="J8701" s="0" t="str">
        <f aca="false">I8701&amp;"-Q"&amp;ROUNDUP(MONTH(B8701)/3,0)</f>
        <v>2017-Q2</v>
      </c>
    </row>
    <row r="8702" customFormat="false" ht="15" hidden="false" customHeight="false" outlineLevel="0" collapsed="false">
      <c r="A8702" s="0" t="s">
        <v>4420</v>
      </c>
      <c r="B8702" s="6" t="n">
        <v>42901</v>
      </c>
      <c r="C8702" s="7" t="s">
        <v>29</v>
      </c>
      <c r="D8702" s="7" t="s">
        <v>87</v>
      </c>
      <c r="E8702" s="7" t="s">
        <v>35</v>
      </c>
      <c r="F8702" s="0" t="n">
        <v>76.608</v>
      </c>
      <c r="G8702" s="0" t="n">
        <v>6.7032</v>
      </c>
      <c r="H8702" s="0" t="n">
        <v>0.2</v>
      </c>
      <c r="I8702" s="7" t="n">
        <f aca="false">YEAR(B8702)</f>
        <v>2017</v>
      </c>
      <c r="J8702" s="0" t="str">
        <f aca="false">I8702&amp;"-Q"&amp;ROUNDUP(MONTH(B8702)/3,0)</f>
        <v>2017-Q2</v>
      </c>
    </row>
    <row r="8703" customFormat="false" ht="15" hidden="false" customHeight="false" outlineLevel="0" collapsed="false">
      <c r="A8703" s="0" t="s">
        <v>4420</v>
      </c>
      <c r="B8703" s="6" t="n">
        <v>42901</v>
      </c>
      <c r="C8703" s="7" t="s">
        <v>29</v>
      </c>
      <c r="D8703" s="7" t="s">
        <v>87</v>
      </c>
      <c r="E8703" s="7" t="s">
        <v>35</v>
      </c>
      <c r="F8703" s="0" t="n">
        <v>142.776</v>
      </c>
      <c r="G8703" s="0" t="n">
        <v>17.847</v>
      </c>
      <c r="H8703" s="0" t="n">
        <v>0.2</v>
      </c>
      <c r="I8703" s="7" t="n">
        <f aca="false">YEAR(B8703)</f>
        <v>2017</v>
      </c>
      <c r="J8703" s="0" t="str">
        <f aca="false">I8703&amp;"-Q"&amp;ROUNDUP(MONTH(B8703)/3,0)</f>
        <v>2017-Q2</v>
      </c>
    </row>
    <row r="8704" customFormat="false" ht="15" hidden="false" customHeight="false" outlineLevel="0" collapsed="false">
      <c r="A8704" s="0" t="s">
        <v>4420</v>
      </c>
      <c r="B8704" s="6" t="n">
        <v>42901</v>
      </c>
      <c r="C8704" s="7" t="s">
        <v>29</v>
      </c>
      <c r="D8704" s="7" t="s">
        <v>87</v>
      </c>
      <c r="E8704" s="7" t="s">
        <v>35</v>
      </c>
      <c r="F8704" s="0" t="n">
        <v>91.36</v>
      </c>
      <c r="G8704" s="0" t="n">
        <v>29.692</v>
      </c>
      <c r="H8704" s="0" t="n">
        <v>0.2</v>
      </c>
      <c r="I8704" s="7" t="n">
        <f aca="false">YEAR(B8704)</f>
        <v>2017</v>
      </c>
      <c r="J8704" s="0" t="str">
        <f aca="false">I8704&amp;"-Q"&amp;ROUNDUP(MONTH(B8704)/3,0)</f>
        <v>2017-Q2</v>
      </c>
    </row>
    <row r="8705" customFormat="false" ht="15" hidden="false" customHeight="false" outlineLevel="0" collapsed="false">
      <c r="A8705" s="0" t="s">
        <v>4421</v>
      </c>
      <c r="B8705" s="6" t="n">
        <v>42064</v>
      </c>
      <c r="C8705" s="7" t="s">
        <v>55</v>
      </c>
      <c r="D8705" s="7" t="s">
        <v>56</v>
      </c>
      <c r="E8705" s="7" t="s">
        <v>35</v>
      </c>
      <c r="F8705" s="0" t="n">
        <v>3.552</v>
      </c>
      <c r="G8705" s="0" t="n">
        <v>0.444</v>
      </c>
      <c r="H8705" s="0" t="n">
        <v>0.2</v>
      </c>
      <c r="I8705" s="7" t="n">
        <f aca="false">YEAR(B8705)</f>
        <v>2015</v>
      </c>
      <c r="J8705" s="0" t="str">
        <f aca="false">I8705&amp;"-Q"&amp;ROUNDUP(MONTH(B8705)/3,0)</f>
        <v>2015-Q1</v>
      </c>
    </row>
    <row r="8706" customFormat="false" ht="15" hidden="false" customHeight="false" outlineLevel="0" collapsed="false">
      <c r="A8706" s="0" t="s">
        <v>4422</v>
      </c>
      <c r="B8706" s="6" t="n">
        <v>42574</v>
      </c>
      <c r="C8706" s="7" t="s">
        <v>45</v>
      </c>
      <c r="D8706" s="7" t="s">
        <v>46</v>
      </c>
      <c r="E8706" s="7" t="s">
        <v>39</v>
      </c>
      <c r="F8706" s="0" t="n">
        <v>115.136</v>
      </c>
      <c r="G8706" s="0" t="n">
        <v>11.5136</v>
      </c>
      <c r="H8706" s="0" t="n">
        <v>0.2</v>
      </c>
      <c r="I8706" s="7" t="n">
        <f aca="false">YEAR(B8706)</f>
        <v>2016</v>
      </c>
      <c r="J8706" s="0" t="str">
        <f aca="false">I8706&amp;"-Q"&amp;ROUNDUP(MONTH(B8706)/3,0)</f>
        <v>2016-Q3</v>
      </c>
    </row>
    <row r="8707" customFormat="false" ht="15" hidden="false" customHeight="false" outlineLevel="0" collapsed="false">
      <c r="A8707" s="0" t="s">
        <v>4423</v>
      </c>
      <c r="B8707" s="6" t="n">
        <v>41913</v>
      </c>
      <c r="C8707" s="7" t="s">
        <v>33</v>
      </c>
      <c r="D8707" s="7" t="s">
        <v>248</v>
      </c>
      <c r="E8707" s="7" t="s">
        <v>35</v>
      </c>
      <c r="F8707" s="0" t="n">
        <v>4.71</v>
      </c>
      <c r="G8707" s="0" t="n">
        <v>0</v>
      </c>
      <c r="H8707" s="0" t="n">
        <v>0</v>
      </c>
      <c r="I8707" s="7" t="n">
        <f aca="false">YEAR(B8707)</f>
        <v>2014</v>
      </c>
      <c r="J8707" s="0" t="str">
        <f aca="false">I8707&amp;"-Q"&amp;ROUNDUP(MONTH(B8707)/3,0)</f>
        <v>2014-Q4</v>
      </c>
    </row>
    <row r="8708" customFormat="false" ht="15" hidden="false" customHeight="false" outlineLevel="0" collapsed="false">
      <c r="A8708" s="0" t="s">
        <v>4424</v>
      </c>
      <c r="B8708" s="6" t="n">
        <v>41890</v>
      </c>
      <c r="C8708" s="7" t="s">
        <v>55</v>
      </c>
      <c r="D8708" s="7" t="s">
        <v>76</v>
      </c>
      <c r="E8708" s="7" t="s">
        <v>31</v>
      </c>
      <c r="F8708" s="0" t="n">
        <v>172.764</v>
      </c>
      <c r="G8708" s="0" t="n">
        <v>13.4372</v>
      </c>
      <c r="H8708" s="0" t="n">
        <v>0.1</v>
      </c>
      <c r="I8708" s="7" t="n">
        <f aca="false">YEAR(B8708)</f>
        <v>2014</v>
      </c>
      <c r="J8708" s="0" t="str">
        <f aca="false">I8708&amp;"-Q"&amp;ROUNDUP(MONTH(B8708)/3,0)</f>
        <v>2014-Q3</v>
      </c>
    </row>
    <row r="8709" customFormat="false" ht="15" hidden="false" customHeight="false" outlineLevel="0" collapsed="false">
      <c r="A8709" s="0" t="s">
        <v>4424</v>
      </c>
      <c r="B8709" s="6" t="n">
        <v>41890</v>
      </c>
      <c r="C8709" s="7" t="s">
        <v>55</v>
      </c>
      <c r="D8709" s="7" t="s">
        <v>76</v>
      </c>
      <c r="E8709" s="7" t="s">
        <v>35</v>
      </c>
      <c r="F8709" s="0" t="n">
        <v>3.52</v>
      </c>
      <c r="G8709" s="0" t="n">
        <v>1.6896</v>
      </c>
      <c r="H8709" s="0" t="n">
        <v>0</v>
      </c>
      <c r="I8709" s="7" t="n">
        <f aca="false">YEAR(B8709)</f>
        <v>2014</v>
      </c>
      <c r="J8709" s="0" t="str">
        <f aca="false">I8709&amp;"-Q"&amp;ROUNDUP(MONTH(B8709)/3,0)</f>
        <v>2014-Q3</v>
      </c>
    </row>
    <row r="8710" customFormat="false" ht="15" hidden="false" customHeight="false" outlineLevel="0" collapsed="false">
      <c r="A8710" s="0" t="s">
        <v>4425</v>
      </c>
      <c r="B8710" s="6" t="n">
        <v>41959</v>
      </c>
      <c r="C8710" s="7" t="s">
        <v>33</v>
      </c>
      <c r="D8710" s="7" t="s">
        <v>34</v>
      </c>
      <c r="E8710" s="7" t="s">
        <v>39</v>
      </c>
      <c r="F8710" s="0" t="n">
        <v>79.968</v>
      </c>
      <c r="G8710" s="0" t="n">
        <v>-17.9928</v>
      </c>
      <c r="H8710" s="0" t="n">
        <v>0.2</v>
      </c>
      <c r="I8710" s="7" t="n">
        <f aca="false">YEAR(B8710)</f>
        <v>2014</v>
      </c>
      <c r="J8710" s="0" t="str">
        <f aca="false">I8710&amp;"-Q"&amp;ROUNDUP(MONTH(B8710)/3,0)</f>
        <v>2014-Q4</v>
      </c>
    </row>
    <row r="8711" customFormat="false" ht="15" hidden="false" customHeight="false" outlineLevel="0" collapsed="false">
      <c r="A8711" s="0" t="s">
        <v>4425</v>
      </c>
      <c r="B8711" s="6" t="n">
        <v>41959</v>
      </c>
      <c r="C8711" s="7" t="s">
        <v>33</v>
      </c>
      <c r="D8711" s="7" t="s">
        <v>34</v>
      </c>
      <c r="E8711" s="7" t="s">
        <v>31</v>
      </c>
      <c r="F8711" s="0" t="n">
        <v>305.9745</v>
      </c>
      <c r="G8711" s="0" t="n">
        <v>25.1979</v>
      </c>
      <c r="H8711" s="0" t="n">
        <v>0.15</v>
      </c>
      <c r="I8711" s="7" t="n">
        <f aca="false">YEAR(B8711)</f>
        <v>2014</v>
      </c>
      <c r="J8711" s="0" t="str">
        <f aca="false">I8711&amp;"-Q"&amp;ROUNDUP(MONTH(B8711)/3,0)</f>
        <v>2014-Q4</v>
      </c>
    </row>
    <row r="8712" customFormat="false" ht="15" hidden="false" customHeight="false" outlineLevel="0" collapsed="false">
      <c r="A8712" s="0" t="s">
        <v>4425</v>
      </c>
      <c r="B8712" s="6" t="n">
        <v>41959</v>
      </c>
      <c r="C8712" s="7" t="s">
        <v>33</v>
      </c>
      <c r="D8712" s="7" t="s">
        <v>34</v>
      </c>
      <c r="E8712" s="7" t="s">
        <v>35</v>
      </c>
      <c r="F8712" s="0" t="n">
        <v>344.91</v>
      </c>
      <c r="G8712" s="0" t="n">
        <v>10.3473</v>
      </c>
      <c r="H8712" s="0" t="n">
        <v>0</v>
      </c>
      <c r="I8712" s="7" t="n">
        <f aca="false">YEAR(B8712)</f>
        <v>2014</v>
      </c>
      <c r="J8712" s="0" t="str">
        <f aca="false">I8712&amp;"-Q"&amp;ROUNDUP(MONTH(B8712)/3,0)</f>
        <v>2014-Q4</v>
      </c>
    </row>
    <row r="8713" customFormat="false" ht="15" hidden="false" customHeight="false" outlineLevel="0" collapsed="false">
      <c r="A8713" s="0" t="s">
        <v>4426</v>
      </c>
      <c r="B8713" s="6" t="n">
        <v>41701</v>
      </c>
      <c r="C8713" s="7" t="s">
        <v>33</v>
      </c>
      <c r="D8713" s="7" t="s">
        <v>34</v>
      </c>
      <c r="E8713" s="7" t="s">
        <v>31</v>
      </c>
      <c r="F8713" s="0" t="n">
        <v>626.352</v>
      </c>
      <c r="G8713" s="0" t="n">
        <v>-23.4882</v>
      </c>
      <c r="H8713" s="0" t="n">
        <v>0.2</v>
      </c>
      <c r="I8713" s="7" t="n">
        <f aca="false">YEAR(B8713)</f>
        <v>2014</v>
      </c>
      <c r="J8713" s="0" t="str">
        <f aca="false">I8713&amp;"-Q"&amp;ROUNDUP(MONTH(B8713)/3,0)</f>
        <v>2014-Q1</v>
      </c>
    </row>
    <row r="8714" customFormat="false" ht="15" hidden="false" customHeight="false" outlineLevel="0" collapsed="false">
      <c r="A8714" s="0" t="s">
        <v>4427</v>
      </c>
      <c r="B8714" s="6" t="n">
        <v>42341</v>
      </c>
      <c r="C8714" s="7" t="s">
        <v>33</v>
      </c>
      <c r="D8714" s="7" t="s">
        <v>34</v>
      </c>
      <c r="E8714" s="7" t="s">
        <v>31</v>
      </c>
      <c r="F8714" s="0" t="n">
        <v>359.499</v>
      </c>
      <c r="G8714" s="0" t="n">
        <v>-29.6058</v>
      </c>
      <c r="H8714" s="0" t="n">
        <v>0.15</v>
      </c>
      <c r="I8714" s="7" t="n">
        <f aca="false">YEAR(B8714)</f>
        <v>2015</v>
      </c>
      <c r="J8714" s="0" t="str">
        <f aca="false">I8714&amp;"-Q"&amp;ROUNDUP(MONTH(B8714)/3,0)</f>
        <v>2015-Q4</v>
      </c>
    </row>
    <row r="8715" customFormat="false" ht="15" hidden="false" customHeight="false" outlineLevel="0" collapsed="false">
      <c r="A8715" s="0" t="s">
        <v>4428</v>
      </c>
      <c r="B8715" s="6" t="n">
        <v>42927</v>
      </c>
      <c r="C8715" s="7" t="s">
        <v>33</v>
      </c>
      <c r="D8715" s="7" t="s">
        <v>34</v>
      </c>
      <c r="E8715" s="7" t="s">
        <v>39</v>
      </c>
      <c r="F8715" s="0" t="n">
        <v>71.952</v>
      </c>
      <c r="G8715" s="0" t="n">
        <v>5.3964</v>
      </c>
      <c r="H8715" s="0" t="n">
        <v>0.2</v>
      </c>
      <c r="I8715" s="7" t="n">
        <f aca="false">YEAR(B8715)</f>
        <v>2017</v>
      </c>
      <c r="J8715" s="0" t="str">
        <f aca="false">I8715&amp;"-Q"&amp;ROUNDUP(MONTH(B8715)/3,0)</f>
        <v>2017-Q3</v>
      </c>
    </row>
    <row r="8716" customFormat="false" ht="15" hidden="false" customHeight="false" outlineLevel="0" collapsed="false">
      <c r="A8716" s="0" t="s">
        <v>4428</v>
      </c>
      <c r="B8716" s="6" t="n">
        <v>42927</v>
      </c>
      <c r="C8716" s="7" t="s">
        <v>33</v>
      </c>
      <c r="D8716" s="7" t="s">
        <v>34</v>
      </c>
      <c r="E8716" s="7" t="s">
        <v>35</v>
      </c>
      <c r="F8716" s="0" t="n">
        <v>29.8</v>
      </c>
      <c r="G8716" s="0" t="n">
        <v>9.3125</v>
      </c>
      <c r="H8716" s="0" t="n">
        <v>0.2</v>
      </c>
      <c r="I8716" s="7" t="n">
        <f aca="false">YEAR(B8716)</f>
        <v>2017</v>
      </c>
      <c r="J8716" s="0" t="str">
        <f aca="false">I8716&amp;"-Q"&amp;ROUNDUP(MONTH(B8716)/3,0)</f>
        <v>2017-Q3</v>
      </c>
    </row>
    <row r="8717" customFormat="false" ht="15" hidden="false" customHeight="false" outlineLevel="0" collapsed="false">
      <c r="A8717" s="0" t="s">
        <v>4429</v>
      </c>
      <c r="B8717" s="6" t="n">
        <v>43055</v>
      </c>
      <c r="C8717" s="7" t="s">
        <v>55</v>
      </c>
      <c r="D8717" s="7" t="s">
        <v>116</v>
      </c>
      <c r="E8717" s="7" t="s">
        <v>35</v>
      </c>
      <c r="F8717" s="0" t="n">
        <v>1.824</v>
      </c>
      <c r="G8717" s="0" t="n">
        <v>-1.3984</v>
      </c>
      <c r="H8717" s="0" t="n">
        <v>0.7</v>
      </c>
      <c r="I8717" s="7" t="n">
        <f aca="false">YEAR(B8717)</f>
        <v>2017</v>
      </c>
      <c r="J8717" s="0" t="str">
        <f aca="false">I8717&amp;"-Q"&amp;ROUNDUP(MONTH(B8717)/3,0)</f>
        <v>2017-Q4</v>
      </c>
    </row>
    <row r="8718" customFormat="false" ht="15" hidden="false" customHeight="false" outlineLevel="0" collapsed="false">
      <c r="A8718" s="0" t="s">
        <v>4430</v>
      </c>
      <c r="B8718" s="6" t="n">
        <v>42533</v>
      </c>
      <c r="C8718" s="7" t="s">
        <v>45</v>
      </c>
      <c r="D8718" s="7" t="s">
        <v>46</v>
      </c>
      <c r="E8718" s="7" t="s">
        <v>35</v>
      </c>
      <c r="F8718" s="0" t="n">
        <v>64.384</v>
      </c>
      <c r="G8718" s="0" t="n">
        <v>-160.96</v>
      </c>
      <c r="H8718" s="0" t="n">
        <v>0.8</v>
      </c>
      <c r="I8718" s="7" t="n">
        <f aca="false">YEAR(B8718)</f>
        <v>2016</v>
      </c>
      <c r="J8718" s="0" t="str">
        <f aca="false">I8718&amp;"-Q"&amp;ROUNDUP(MONTH(B8718)/3,0)</f>
        <v>2016-Q2</v>
      </c>
    </row>
    <row r="8719" customFormat="false" ht="15" hidden="false" customHeight="false" outlineLevel="0" collapsed="false">
      <c r="A8719" s="0" t="s">
        <v>4430</v>
      </c>
      <c r="B8719" s="6" t="n">
        <v>42533</v>
      </c>
      <c r="C8719" s="7" t="s">
        <v>45</v>
      </c>
      <c r="D8719" s="7" t="s">
        <v>46</v>
      </c>
      <c r="E8719" s="7" t="s">
        <v>31</v>
      </c>
      <c r="F8719" s="0" t="n">
        <v>6.984</v>
      </c>
      <c r="G8719" s="0" t="n">
        <v>-4.5396</v>
      </c>
      <c r="H8719" s="0" t="n">
        <v>0.6</v>
      </c>
      <c r="I8719" s="7" t="n">
        <f aca="false">YEAR(B8719)</f>
        <v>2016</v>
      </c>
      <c r="J8719" s="0" t="str">
        <f aca="false">I8719&amp;"-Q"&amp;ROUNDUP(MONTH(B8719)/3,0)</f>
        <v>2016-Q2</v>
      </c>
    </row>
    <row r="8720" customFormat="false" ht="15" hidden="false" customHeight="false" outlineLevel="0" collapsed="false">
      <c r="A8720" s="0" t="s">
        <v>4430</v>
      </c>
      <c r="B8720" s="6" t="n">
        <v>42533</v>
      </c>
      <c r="C8720" s="7" t="s">
        <v>45</v>
      </c>
      <c r="D8720" s="7" t="s">
        <v>46</v>
      </c>
      <c r="E8720" s="7" t="s">
        <v>35</v>
      </c>
      <c r="F8720" s="0" t="n">
        <v>11.264</v>
      </c>
      <c r="G8720" s="0" t="n">
        <v>3.9424</v>
      </c>
      <c r="H8720" s="0" t="n">
        <v>0.2</v>
      </c>
      <c r="I8720" s="7" t="n">
        <f aca="false">YEAR(B8720)</f>
        <v>2016</v>
      </c>
      <c r="J8720" s="0" t="str">
        <f aca="false">I8720&amp;"-Q"&amp;ROUNDUP(MONTH(B8720)/3,0)</f>
        <v>2016-Q2</v>
      </c>
    </row>
    <row r="8721" customFormat="false" ht="15" hidden="false" customHeight="false" outlineLevel="0" collapsed="false">
      <c r="A8721" s="0" t="s">
        <v>4430</v>
      </c>
      <c r="B8721" s="6" t="n">
        <v>42533</v>
      </c>
      <c r="C8721" s="7" t="s">
        <v>45</v>
      </c>
      <c r="D8721" s="7" t="s">
        <v>46</v>
      </c>
      <c r="E8721" s="7" t="s">
        <v>35</v>
      </c>
      <c r="F8721" s="0" t="n">
        <v>15.552</v>
      </c>
      <c r="G8721" s="0" t="n">
        <v>5.6376</v>
      </c>
      <c r="H8721" s="0" t="n">
        <v>0.2</v>
      </c>
      <c r="I8721" s="7" t="n">
        <f aca="false">YEAR(B8721)</f>
        <v>2016</v>
      </c>
      <c r="J8721" s="0" t="str">
        <f aca="false">I8721&amp;"-Q"&amp;ROUNDUP(MONTH(B8721)/3,0)</f>
        <v>2016-Q2</v>
      </c>
    </row>
    <row r="8722" customFormat="false" ht="15" hidden="false" customHeight="false" outlineLevel="0" collapsed="false">
      <c r="A8722" s="0" t="s">
        <v>4430</v>
      </c>
      <c r="B8722" s="6" t="n">
        <v>42533</v>
      </c>
      <c r="C8722" s="7" t="s">
        <v>45</v>
      </c>
      <c r="D8722" s="7" t="s">
        <v>46</v>
      </c>
      <c r="E8722" s="7" t="s">
        <v>31</v>
      </c>
      <c r="F8722" s="0" t="n">
        <v>379.372</v>
      </c>
      <c r="G8722" s="0" t="n">
        <v>-119.2312</v>
      </c>
      <c r="H8722" s="0" t="n">
        <v>0.3</v>
      </c>
      <c r="I8722" s="7" t="n">
        <f aca="false">YEAR(B8722)</f>
        <v>2016</v>
      </c>
      <c r="J8722" s="0" t="str">
        <f aca="false">I8722&amp;"-Q"&amp;ROUNDUP(MONTH(B8722)/3,0)</f>
        <v>2016-Q2</v>
      </c>
    </row>
    <row r="8723" customFormat="false" ht="15" hidden="false" customHeight="false" outlineLevel="0" collapsed="false">
      <c r="A8723" s="0" t="s">
        <v>4430</v>
      </c>
      <c r="B8723" s="6" t="n">
        <v>42533</v>
      </c>
      <c r="C8723" s="7" t="s">
        <v>45</v>
      </c>
      <c r="D8723" s="7" t="s">
        <v>46</v>
      </c>
      <c r="E8723" s="7" t="s">
        <v>35</v>
      </c>
      <c r="F8723" s="0" t="n">
        <v>67.536</v>
      </c>
      <c r="G8723" s="0" t="n">
        <v>6.7536</v>
      </c>
      <c r="H8723" s="0" t="n">
        <v>0.2</v>
      </c>
      <c r="I8723" s="7" t="n">
        <f aca="false">YEAR(B8723)</f>
        <v>2016</v>
      </c>
      <c r="J8723" s="0" t="str">
        <f aca="false">I8723&amp;"-Q"&amp;ROUNDUP(MONTH(B8723)/3,0)</f>
        <v>2016-Q2</v>
      </c>
    </row>
    <row r="8724" customFormat="false" ht="15" hidden="false" customHeight="false" outlineLevel="0" collapsed="false">
      <c r="A8724" s="0" t="s">
        <v>4430</v>
      </c>
      <c r="B8724" s="6" t="n">
        <v>42533</v>
      </c>
      <c r="C8724" s="7" t="s">
        <v>45</v>
      </c>
      <c r="D8724" s="7" t="s">
        <v>46</v>
      </c>
      <c r="E8724" s="7" t="s">
        <v>35</v>
      </c>
      <c r="F8724" s="0" t="n">
        <v>1.524</v>
      </c>
      <c r="G8724" s="0" t="n">
        <v>-2.667</v>
      </c>
      <c r="H8724" s="0" t="n">
        <v>0.8</v>
      </c>
      <c r="I8724" s="7" t="n">
        <f aca="false">YEAR(B8724)</f>
        <v>2016</v>
      </c>
      <c r="J8724" s="0" t="str">
        <f aca="false">I8724&amp;"-Q"&amp;ROUNDUP(MONTH(B8724)/3,0)</f>
        <v>2016-Q2</v>
      </c>
    </row>
    <row r="8725" customFormat="false" ht="15" hidden="false" customHeight="false" outlineLevel="0" collapsed="false">
      <c r="A8725" s="0" t="s">
        <v>4431</v>
      </c>
      <c r="B8725" s="6" t="n">
        <v>42733</v>
      </c>
      <c r="C8725" s="7" t="s">
        <v>29</v>
      </c>
      <c r="D8725" s="7" t="s">
        <v>37</v>
      </c>
      <c r="E8725" s="7" t="s">
        <v>35</v>
      </c>
      <c r="F8725" s="0" t="n">
        <v>37.408</v>
      </c>
      <c r="G8725" s="0" t="n">
        <v>13.0928</v>
      </c>
      <c r="H8725" s="0" t="n">
        <v>0.2</v>
      </c>
      <c r="I8725" s="7" t="n">
        <f aca="false">YEAR(B8725)</f>
        <v>2016</v>
      </c>
      <c r="J8725" s="0" t="str">
        <f aca="false">I8725&amp;"-Q"&amp;ROUNDUP(MONTH(B8725)/3,0)</f>
        <v>2016-Q4</v>
      </c>
    </row>
    <row r="8726" customFormat="false" ht="15" hidden="false" customHeight="false" outlineLevel="0" collapsed="false">
      <c r="A8726" s="0" t="s">
        <v>4431</v>
      </c>
      <c r="B8726" s="6" t="n">
        <v>42733</v>
      </c>
      <c r="C8726" s="7" t="s">
        <v>29</v>
      </c>
      <c r="D8726" s="7" t="s">
        <v>37</v>
      </c>
      <c r="E8726" s="7" t="s">
        <v>35</v>
      </c>
      <c r="F8726" s="0" t="n">
        <v>25.344</v>
      </c>
      <c r="G8726" s="0" t="n">
        <v>8.8704</v>
      </c>
      <c r="H8726" s="0" t="n">
        <v>0.2</v>
      </c>
      <c r="I8726" s="7" t="n">
        <f aca="false">YEAR(B8726)</f>
        <v>2016</v>
      </c>
      <c r="J8726" s="0" t="str">
        <f aca="false">I8726&amp;"-Q"&amp;ROUNDUP(MONTH(B8726)/3,0)</f>
        <v>2016-Q4</v>
      </c>
    </row>
    <row r="8727" customFormat="false" ht="15" hidden="false" customHeight="false" outlineLevel="0" collapsed="false">
      <c r="A8727" s="0" t="s">
        <v>4432</v>
      </c>
      <c r="B8727" s="6" t="n">
        <v>42812</v>
      </c>
      <c r="C8727" s="7" t="s">
        <v>33</v>
      </c>
      <c r="D8727" s="7" t="s">
        <v>43</v>
      </c>
      <c r="E8727" s="7" t="s">
        <v>35</v>
      </c>
      <c r="F8727" s="0" t="n">
        <v>46.2</v>
      </c>
      <c r="G8727" s="0" t="n">
        <v>21.252</v>
      </c>
      <c r="H8727" s="0" t="n">
        <v>0</v>
      </c>
      <c r="I8727" s="7" t="n">
        <f aca="false">YEAR(B8727)</f>
        <v>2017</v>
      </c>
      <c r="J8727" s="0" t="str">
        <f aca="false">I8727&amp;"-Q"&amp;ROUNDUP(MONTH(B8727)/3,0)</f>
        <v>2017-Q1</v>
      </c>
    </row>
    <row r="8728" customFormat="false" ht="15" hidden="false" customHeight="false" outlineLevel="0" collapsed="false">
      <c r="A8728" s="0" t="s">
        <v>4433</v>
      </c>
      <c r="B8728" s="6" t="n">
        <v>42365</v>
      </c>
      <c r="C8728" s="7" t="s">
        <v>29</v>
      </c>
      <c r="D8728" s="7" t="s">
        <v>87</v>
      </c>
      <c r="E8728" s="7" t="s">
        <v>39</v>
      </c>
      <c r="F8728" s="0" t="n">
        <v>4.728</v>
      </c>
      <c r="G8728" s="0" t="n">
        <v>0.7092</v>
      </c>
      <c r="H8728" s="0" t="n">
        <v>0.2</v>
      </c>
      <c r="I8728" s="7" t="n">
        <f aca="false">YEAR(B8728)</f>
        <v>2015</v>
      </c>
      <c r="J8728" s="0" t="str">
        <f aca="false">I8728&amp;"-Q"&amp;ROUNDUP(MONTH(B8728)/3,0)</f>
        <v>2015-Q4</v>
      </c>
    </row>
    <row r="8729" customFormat="false" ht="15" hidden="false" customHeight="false" outlineLevel="0" collapsed="false">
      <c r="A8729" s="0" t="s">
        <v>4433</v>
      </c>
      <c r="B8729" s="6" t="n">
        <v>42365</v>
      </c>
      <c r="C8729" s="7" t="s">
        <v>29</v>
      </c>
      <c r="D8729" s="7" t="s">
        <v>87</v>
      </c>
      <c r="E8729" s="7" t="s">
        <v>31</v>
      </c>
      <c r="F8729" s="0" t="n">
        <v>53.352</v>
      </c>
      <c r="G8729" s="0" t="n">
        <v>16.0056</v>
      </c>
      <c r="H8729" s="0" t="n">
        <v>0.2</v>
      </c>
      <c r="I8729" s="7" t="n">
        <f aca="false">YEAR(B8729)</f>
        <v>2015</v>
      </c>
      <c r="J8729" s="0" t="str">
        <f aca="false">I8729&amp;"-Q"&amp;ROUNDUP(MONTH(B8729)/3,0)</f>
        <v>2015-Q4</v>
      </c>
    </row>
    <row r="8730" customFormat="false" ht="15" hidden="false" customHeight="false" outlineLevel="0" collapsed="false">
      <c r="A8730" s="0" t="s">
        <v>4433</v>
      </c>
      <c r="B8730" s="6" t="n">
        <v>42365</v>
      </c>
      <c r="C8730" s="7" t="s">
        <v>29</v>
      </c>
      <c r="D8730" s="7" t="s">
        <v>87</v>
      </c>
      <c r="E8730" s="7" t="s">
        <v>31</v>
      </c>
      <c r="F8730" s="0" t="n">
        <v>131.104</v>
      </c>
      <c r="G8730" s="0" t="n">
        <v>8.194</v>
      </c>
      <c r="H8730" s="0" t="n">
        <v>0.2</v>
      </c>
      <c r="I8730" s="7" t="n">
        <f aca="false">YEAR(B8730)</f>
        <v>2015</v>
      </c>
      <c r="J8730" s="0" t="str">
        <f aca="false">I8730&amp;"-Q"&amp;ROUNDUP(MONTH(B8730)/3,0)</f>
        <v>2015-Q4</v>
      </c>
    </row>
    <row r="8731" customFormat="false" ht="15" hidden="false" customHeight="false" outlineLevel="0" collapsed="false">
      <c r="A8731" s="0" t="s">
        <v>4433</v>
      </c>
      <c r="B8731" s="6" t="n">
        <v>42365</v>
      </c>
      <c r="C8731" s="7" t="s">
        <v>29</v>
      </c>
      <c r="D8731" s="7" t="s">
        <v>87</v>
      </c>
      <c r="E8731" s="7" t="s">
        <v>35</v>
      </c>
      <c r="F8731" s="0" t="n">
        <v>22.512</v>
      </c>
      <c r="G8731" s="0" t="n">
        <v>2.2512</v>
      </c>
      <c r="H8731" s="0" t="n">
        <v>0.2</v>
      </c>
      <c r="I8731" s="7" t="n">
        <f aca="false">YEAR(B8731)</f>
        <v>2015</v>
      </c>
      <c r="J8731" s="0" t="str">
        <f aca="false">I8731&amp;"-Q"&amp;ROUNDUP(MONTH(B8731)/3,0)</f>
        <v>2015-Q4</v>
      </c>
    </row>
    <row r="8732" customFormat="false" ht="15" hidden="false" customHeight="false" outlineLevel="0" collapsed="false">
      <c r="A8732" s="0" t="s">
        <v>4433</v>
      </c>
      <c r="B8732" s="6" t="n">
        <v>42365</v>
      </c>
      <c r="C8732" s="7" t="s">
        <v>29</v>
      </c>
      <c r="D8732" s="7" t="s">
        <v>87</v>
      </c>
      <c r="E8732" s="7" t="s">
        <v>39</v>
      </c>
      <c r="F8732" s="0" t="n">
        <v>72.744</v>
      </c>
      <c r="G8732" s="0" t="n">
        <v>-12.7302</v>
      </c>
      <c r="H8732" s="0" t="n">
        <v>0.2</v>
      </c>
      <c r="I8732" s="7" t="n">
        <f aca="false">YEAR(B8732)</f>
        <v>2015</v>
      </c>
      <c r="J8732" s="0" t="str">
        <f aca="false">I8732&amp;"-Q"&amp;ROUNDUP(MONTH(B8732)/3,0)</f>
        <v>2015-Q4</v>
      </c>
    </row>
    <row r="8733" customFormat="false" ht="15" hidden="false" customHeight="false" outlineLevel="0" collapsed="false">
      <c r="A8733" s="0" t="s">
        <v>4434</v>
      </c>
      <c r="B8733" s="6" t="n">
        <v>42216</v>
      </c>
      <c r="C8733" s="7" t="s">
        <v>45</v>
      </c>
      <c r="D8733" s="7" t="s">
        <v>129</v>
      </c>
      <c r="E8733" s="7" t="s">
        <v>35</v>
      </c>
      <c r="F8733" s="0" t="n">
        <v>52.59</v>
      </c>
      <c r="G8733" s="0" t="n">
        <v>15.777</v>
      </c>
      <c r="H8733" s="0" t="n">
        <v>0</v>
      </c>
      <c r="I8733" s="7" t="n">
        <f aca="false">YEAR(B8733)</f>
        <v>2015</v>
      </c>
      <c r="J8733" s="0" t="str">
        <f aca="false">I8733&amp;"-Q"&amp;ROUNDUP(MONTH(B8733)/3,0)</f>
        <v>2015-Q3</v>
      </c>
    </row>
    <row r="8734" customFormat="false" ht="15" hidden="false" customHeight="false" outlineLevel="0" collapsed="false">
      <c r="A8734" s="0" t="s">
        <v>4435</v>
      </c>
      <c r="B8734" s="6" t="n">
        <v>42913</v>
      </c>
      <c r="C8734" s="7" t="s">
        <v>33</v>
      </c>
      <c r="D8734" s="7" t="s">
        <v>43</v>
      </c>
      <c r="E8734" s="7" t="s">
        <v>35</v>
      </c>
      <c r="F8734" s="0" t="n">
        <v>19.44</v>
      </c>
      <c r="G8734" s="0" t="n">
        <v>9.3312</v>
      </c>
      <c r="H8734" s="0" t="n">
        <v>0</v>
      </c>
      <c r="I8734" s="7" t="n">
        <f aca="false">YEAR(B8734)</f>
        <v>2017</v>
      </c>
      <c r="J8734" s="0" t="str">
        <f aca="false">I8734&amp;"-Q"&amp;ROUNDUP(MONTH(B8734)/3,0)</f>
        <v>2017-Q2</v>
      </c>
    </row>
    <row r="8735" customFormat="false" ht="15" hidden="false" customHeight="false" outlineLevel="0" collapsed="false">
      <c r="A8735" s="0" t="s">
        <v>4435</v>
      </c>
      <c r="B8735" s="6" t="n">
        <v>42913</v>
      </c>
      <c r="C8735" s="7" t="s">
        <v>33</v>
      </c>
      <c r="D8735" s="7" t="s">
        <v>43</v>
      </c>
      <c r="E8735" s="7" t="s">
        <v>31</v>
      </c>
      <c r="F8735" s="0" t="n">
        <v>126.3</v>
      </c>
      <c r="G8735" s="0" t="n">
        <v>40.416</v>
      </c>
      <c r="H8735" s="0" t="n">
        <v>0</v>
      </c>
      <c r="I8735" s="7" t="n">
        <f aca="false">YEAR(B8735)</f>
        <v>2017</v>
      </c>
      <c r="J8735" s="0" t="str">
        <f aca="false">I8735&amp;"-Q"&amp;ROUNDUP(MONTH(B8735)/3,0)</f>
        <v>2017-Q2</v>
      </c>
    </row>
    <row r="8736" customFormat="false" ht="15" hidden="false" customHeight="false" outlineLevel="0" collapsed="false">
      <c r="A8736" s="0" t="s">
        <v>4435</v>
      </c>
      <c r="B8736" s="6" t="n">
        <v>42913</v>
      </c>
      <c r="C8736" s="7" t="s">
        <v>33</v>
      </c>
      <c r="D8736" s="7" t="s">
        <v>43</v>
      </c>
      <c r="E8736" s="7" t="s">
        <v>39</v>
      </c>
      <c r="F8736" s="0" t="n">
        <v>1287.45</v>
      </c>
      <c r="G8736" s="0" t="n">
        <v>244.6155</v>
      </c>
      <c r="H8736" s="0" t="n">
        <v>0</v>
      </c>
      <c r="I8736" s="7" t="n">
        <f aca="false">YEAR(B8736)</f>
        <v>2017</v>
      </c>
      <c r="J8736" s="0" t="str">
        <f aca="false">I8736&amp;"-Q"&amp;ROUNDUP(MONTH(B8736)/3,0)</f>
        <v>2017-Q2</v>
      </c>
    </row>
    <row r="8737" customFormat="false" ht="15" hidden="false" customHeight="false" outlineLevel="0" collapsed="false">
      <c r="A8737" s="0" t="s">
        <v>4436</v>
      </c>
      <c r="B8737" s="6" t="n">
        <v>41677</v>
      </c>
      <c r="C8737" s="7" t="s">
        <v>55</v>
      </c>
      <c r="D8737" s="7" t="s">
        <v>76</v>
      </c>
      <c r="E8737" s="7" t="s">
        <v>35</v>
      </c>
      <c r="F8737" s="0" t="n">
        <v>64.96</v>
      </c>
      <c r="G8737" s="0" t="n">
        <v>9.744</v>
      </c>
      <c r="H8737" s="0" t="n">
        <v>0</v>
      </c>
      <c r="I8737" s="7" t="n">
        <f aca="false">YEAR(B8737)</f>
        <v>2014</v>
      </c>
      <c r="J8737" s="0" t="str">
        <f aca="false">I8737&amp;"-Q"&amp;ROUNDUP(MONTH(B8737)/3,0)</f>
        <v>2014-Q1</v>
      </c>
    </row>
    <row r="8738" customFormat="false" ht="15" hidden="false" customHeight="false" outlineLevel="0" collapsed="false">
      <c r="A8738" s="0" t="s">
        <v>4437</v>
      </c>
      <c r="B8738" s="6" t="n">
        <v>42617</v>
      </c>
      <c r="C8738" s="7" t="s">
        <v>45</v>
      </c>
      <c r="D8738" s="7" t="s">
        <v>68</v>
      </c>
      <c r="E8738" s="7" t="s">
        <v>35</v>
      </c>
      <c r="F8738" s="0" t="n">
        <v>535.41</v>
      </c>
      <c r="G8738" s="0" t="n">
        <v>160.623</v>
      </c>
      <c r="H8738" s="0" t="n">
        <v>0</v>
      </c>
      <c r="I8738" s="7" t="n">
        <f aca="false">YEAR(B8738)</f>
        <v>2016</v>
      </c>
      <c r="J8738" s="0" t="str">
        <f aca="false">I8738&amp;"-Q"&amp;ROUNDUP(MONTH(B8738)/3,0)</f>
        <v>2016-Q3</v>
      </c>
    </row>
    <row r="8739" customFormat="false" ht="15" hidden="false" customHeight="false" outlineLevel="0" collapsed="false">
      <c r="A8739" s="0" t="s">
        <v>4438</v>
      </c>
      <c r="B8739" s="6" t="n">
        <v>42831</v>
      </c>
      <c r="C8739" s="7" t="s">
        <v>29</v>
      </c>
      <c r="D8739" s="7" t="s">
        <v>87</v>
      </c>
      <c r="E8739" s="7" t="s">
        <v>35</v>
      </c>
      <c r="F8739" s="0" t="n">
        <v>8.1</v>
      </c>
      <c r="G8739" s="0" t="n">
        <v>-5.94</v>
      </c>
      <c r="H8739" s="0" t="n">
        <v>0.7</v>
      </c>
      <c r="I8739" s="7" t="n">
        <f aca="false">YEAR(B8739)</f>
        <v>2017</v>
      </c>
      <c r="J8739" s="0" t="str">
        <f aca="false">I8739&amp;"-Q"&amp;ROUNDUP(MONTH(B8739)/3,0)</f>
        <v>2017-Q2</v>
      </c>
    </row>
    <row r="8740" customFormat="false" ht="15" hidden="false" customHeight="false" outlineLevel="0" collapsed="false">
      <c r="A8740" s="0" t="s">
        <v>4439</v>
      </c>
      <c r="B8740" s="6" t="n">
        <v>43077</v>
      </c>
      <c r="C8740" s="7" t="s">
        <v>55</v>
      </c>
      <c r="D8740" s="7" t="s">
        <v>56</v>
      </c>
      <c r="E8740" s="7" t="s">
        <v>35</v>
      </c>
      <c r="F8740" s="0" t="n">
        <v>13.248</v>
      </c>
      <c r="G8740" s="0" t="n">
        <v>3.6432</v>
      </c>
      <c r="H8740" s="0" t="n">
        <v>0.2</v>
      </c>
      <c r="I8740" s="7" t="n">
        <f aca="false">YEAR(B8740)</f>
        <v>2017</v>
      </c>
      <c r="J8740" s="0" t="str">
        <f aca="false">I8740&amp;"-Q"&amp;ROUNDUP(MONTH(B8740)/3,0)</f>
        <v>2017-Q4</v>
      </c>
    </row>
    <row r="8741" customFormat="false" ht="15" hidden="false" customHeight="false" outlineLevel="0" collapsed="false">
      <c r="A8741" s="0" t="s">
        <v>4439</v>
      </c>
      <c r="B8741" s="6" t="n">
        <v>43077</v>
      </c>
      <c r="C8741" s="7" t="s">
        <v>55</v>
      </c>
      <c r="D8741" s="7" t="s">
        <v>56</v>
      </c>
      <c r="E8741" s="7" t="s">
        <v>39</v>
      </c>
      <c r="F8741" s="0" t="n">
        <v>83.988</v>
      </c>
      <c r="G8741" s="0" t="n">
        <v>-20.997</v>
      </c>
      <c r="H8741" s="0" t="n">
        <v>0.4</v>
      </c>
      <c r="I8741" s="7" t="n">
        <f aca="false">YEAR(B8741)</f>
        <v>2017</v>
      </c>
      <c r="J8741" s="0" t="str">
        <f aca="false">I8741&amp;"-Q"&amp;ROUNDUP(MONTH(B8741)/3,0)</f>
        <v>2017-Q4</v>
      </c>
    </row>
    <row r="8742" customFormat="false" ht="15" hidden="false" customHeight="false" outlineLevel="0" collapsed="false">
      <c r="A8742" s="0" t="s">
        <v>4440</v>
      </c>
      <c r="B8742" s="6" t="n">
        <v>42575</v>
      </c>
      <c r="C8742" s="7" t="s">
        <v>29</v>
      </c>
      <c r="D8742" s="7" t="s">
        <v>152</v>
      </c>
      <c r="E8742" s="7" t="s">
        <v>35</v>
      </c>
      <c r="F8742" s="0" t="n">
        <v>73.2</v>
      </c>
      <c r="G8742" s="0" t="n">
        <v>21.228</v>
      </c>
      <c r="H8742" s="0" t="n">
        <v>0</v>
      </c>
      <c r="I8742" s="7" t="n">
        <f aca="false">YEAR(B8742)</f>
        <v>2016</v>
      </c>
      <c r="J8742" s="0" t="str">
        <f aca="false">I8742&amp;"-Q"&amp;ROUNDUP(MONTH(B8742)/3,0)</f>
        <v>2016-Q3</v>
      </c>
    </row>
    <row r="8743" customFormat="false" ht="15" hidden="false" customHeight="false" outlineLevel="0" collapsed="false">
      <c r="A8743" s="0" t="s">
        <v>4441</v>
      </c>
      <c r="B8743" s="6" t="n">
        <v>42317</v>
      </c>
      <c r="C8743" s="7" t="s">
        <v>45</v>
      </c>
      <c r="D8743" s="7" t="s">
        <v>74</v>
      </c>
      <c r="E8743" s="7" t="s">
        <v>35</v>
      </c>
      <c r="F8743" s="0" t="n">
        <v>10.74</v>
      </c>
      <c r="G8743" s="0" t="n">
        <v>5.1552</v>
      </c>
      <c r="H8743" s="0" t="n">
        <v>0</v>
      </c>
      <c r="I8743" s="7" t="n">
        <f aca="false">YEAR(B8743)</f>
        <v>2015</v>
      </c>
      <c r="J8743" s="0" t="str">
        <f aca="false">I8743&amp;"-Q"&amp;ROUNDUP(MONTH(B8743)/3,0)</f>
        <v>2015-Q4</v>
      </c>
    </row>
    <row r="8744" customFormat="false" ht="15" hidden="false" customHeight="false" outlineLevel="0" collapsed="false">
      <c r="A8744" s="0" t="s">
        <v>4442</v>
      </c>
      <c r="B8744" s="6" t="n">
        <v>42279</v>
      </c>
      <c r="C8744" s="7" t="s">
        <v>33</v>
      </c>
      <c r="D8744" s="7" t="s">
        <v>102</v>
      </c>
      <c r="E8744" s="7" t="s">
        <v>31</v>
      </c>
      <c r="F8744" s="0" t="n">
        <v>11.032</v>
      </c>
      <c r="G8744" s="0" t="n">
        <v>3.0338</v>
      </c>
      <c r="H8744" s="0" t="n">
        <v>0.2</v>
      </c>
      <c r="I8744" s="7" t="n">
        <f aca="false">YEAR(B8744)</f>
        <v>2015</v>
      </c>
      <c r="J8744" s="0" t="str">
        <f aca="false">I8744&amp;"-Q"&amp;ROUNDUP(MONTH(B8744)/3,0)</f>
        <v>2015-Q4</v>
      </c>
    </row>
    <row r="8745" customFormat="false" ht="15" hidden="false" customHeight="false" outlineLevel="0" collapsed="false">
      <c r="A8745" s="0" t="s">
        <v>4442</v>
      </c>
      <c r="B8745" s="6" t="n">
        <v>42279</v>
      </c>
      <c r="C8745" s="7" t="s">
        <v>33</v>
      </c>
      <c r="D8745" s="7" t="s">
        <v>102</v>
      </c>
      <c r="E8745" s="7" t="s">
        <v>39</v>
      </c>
      <c r="F8745" s="0" t="n">
        <v>53.04</v>
      </c>
      <c r="G8745" s="0" t="n">
        <v>-4.641</v>
      </c>
      <c r="H8745" s="0" t="n">
        <v>0.2</v>
      </c>
      <c r="I8745" s="7" t="n">
        <f aca="false">YEAR(B8745)</f>
        <v>2015</v>
      </c>
      <c r="J8745" s="0" t="str">
        <f aca="false">I8745&amp;"-Q"&amp;ROUNDUP(MONTH(B8745)/3,0)</f>
        <v>2015-Q4</v>
      </c>
    </row>
    <row r="8746" customFormat="false" ht="15" hidden="false" customHeight="false" outlineLevel="0" collapsed="false">
      <c r="A8746" s="0" t="s">
        <v>4443</v>
      </c>
      <c r="B8746" s="6" t="n">
        <v>42330</v>
      </c>
      <c r="C8746" s="7" t="s">
        <v>55</v>
      </c>
      <c r="D8746" s="7" t="s">
        <v>225</v>
      </c>
      <c r="E8746" s="7" t="s">
        <v>35</v>
      </c>
      <c r="F8746" s="0" t="n">
        <v>17.12</v>
      </c>
      <c r="G8746" s="0" t="n">
        <v>4.9648</v>
      </c>
      <c r="H8746" s="0" t="n">
        <v>0</v>
      </c>
      <c r="I8746" s="7" t="n">
        <f aca="false">YEAR(B8746)</f>
        <v>2015</v>
      </c>
      <c r="J8746" s="0" t="str">
        <f aca="false">I8746&amp;"-Q"&amp;ROUNDUP(MONTH(B8746)/3,0)</f>
        <v>2015-Q4</v>
      </c>
    </row>
    <row r="8747" customFormat="false" ht="15" hidden="false" customHeight="false" outlineLevel="0" collapsed="false">
      <c r="A8747" s="0" t="s">
        <v>4443</v>
      </c>
      <c r="B8747" s="6" t="n">
        <v>42330</v>
      </c>
      <c r="C8747" s="7" t="s">
        <v>55</v>
      </c>
      <c r="D8747" s="7" t="s">
        <v>225</v>
      </c>
      <c r="E8747" s="7" t="s">
        <v>35</v>
      </c>
      <c r="F8747" s="0" t="n">
        <v>59.94</v>
      </c>
      <c r="G8747" s="0" t="n">
        <v>28.1718</v>
      </c>
      <c r="H8747" s="0" t="n">
        <v>0</v>
      </c>
      <c r="I8747" s="7" t="n">
        <f aca="false">YEAR(B8747)</f>
        <v>2015</v>
      </c>
      <c r="J8747" s="0" t="str">
        <f aca="false">I8747&amp;"-Q"&amp;ROUNDUP(MONTH(B8747)/3,0)</f>
        <v>2015-Q4</v>
      </c>
    </row>
    <row r="8748" customFormat="false" ht="15" hidden="false" customHeight="false" outlineLevel="0" collapsed="false">
      <c r="A8748" s="0" t="s">
        <v>4444</v>
      </c>
      <c r="B8748" s="6" t="n">
        <v>42768</v>
      </c>
      <c r="C8748" s="7" t="s">
        <v>33</v>
      </c>
      <c r="D8748" s="7" t="s">
        <v>34</v>
      </c>
      <c r="E8748" s="7" t="s">
        <v>31</v>
      </c>
      <c r="F8748" s="0" t="n">
        <v>210.58</v>
      </c>
      <c r="G8748" s="0" t="n">
        <v>12.6348</v>
      </c>
      <c r="H8748" s="0" t="n">
        <v>0</v>
      </c>
      <c r="I8748" s="7" t="n">
        <f aca="false">YEAR(B8748)</f>
        <v>2017</v>
      </c>
      <c r="J8748" s="0" t="str">
        <f aca="false">I8748&amp;"-Q"&amp;ROUNDUP(MONTH(B8748)/3,0)</f>
        <v>2017-Q1</v>
      </c>
    </row>
    <row r="8749" customFormat="false" ht="15" hidden="false" customHeight="false" outlineLevel="0" collapsed="false">
      <c r="A8749" s="0" t="s">
        <v>4444</v>
      </c>
      <c r="B8749" s="6" t="n">
        <v>42768</v>
      </c>
      <c r="C8749" s="7" t="s">
        <v>33</v>
      </c>
      <c r="D8749" s="7" t="s">
        <v>34</v>
      </c>
      <c r="E8749" s="7" t="s">
        <v>35</v>
      </c>
      <c r="F8749" s="0" t="n">
        <v>30.96</v>
      </c>
      <c r="G8749" s="0" t="n">
        <v>10.062</v>
      </c>
      <c r="H8749" s="0" t="n">
        <v>0.2</v>
      </c>
      <c r="I8749" s="7" t="n">
        <f aca="false">YEAR(B8749)</f>
        <v>2017</v>
      </c>
      <c r="J8749" s="0" t="str">
        <f aca="false">I8749&amp;"-Q"&amp;ROUNDUP(MONTH(B8749)/3,0)</f>
        <v>2017-Q1</v>
      </c>
    </row>
    <row r="8750" customFormat="false" ht="15" hidden="false" customHeight="false" outlineLevel="0" collapsed="false">
      <c r="A8750" s="0" t="s">
        <v>4444</v>
      </c>
      <c r="B8750" s="6" t="n">
        <v>42768</v>
      </c>
      <c r="C8750" s="7" t="s">
        <v>33</v>
      </c>
      <c r="D8750" s="7" t="s">
        <v>34</v>
      </c>
      <c r="E8750" s="7" t="s">
        <v>39</v>
      </c>
      <c r="F8750" s="0" t="n">
        <v>239.984</v>
      </c>
      <c r="G8750" s="0" t="n">
        <v>38.9974</v>
      </c>
      <c r="H8750" s="0" t="n">
        <v>0.2</v>
      </c>
      <c r="I8750" s="7" t="n">
        <f aca="false">YEAR(B8750)</f>
        <v>2017</v>
      </c>
      <c r="J8750" s="0" t="str">
        <f aca="false">I8750&amp;"-Q"&amp;ROUNDUP(MONTH(B8750)/3,0)</f>
        <v>2017-Q1</v>
      </c>
    </row>
    <row r="8751" customFormat="false" ht="15" hidden="false" customHeight="false" outlineLevel="0" collapsed="false">
      <c r="A8751" s="0" t="s">
        <v>4445</v>
      </c>
      <c r="B8751" s="6" t="n">
        <v>42171</v>
      </c>
      <c r="C8751" s="7" t="s">
        <v>55</v>
      </c>
      <c r="D8751" s="7" t="s">
        <v>76</v>
      </c>
      <c r="E8751" s="7" t="s">
        <v>35</v>
      </c>
      <c r="F8751" s="0" t="n">
        <v>3050.376</v>
      </c>
      <c r="G8751" s="0" t="n">
        <v>1143.891</v>
      </c>
      <c r="H8751" s="0" t="n">
        <v>0.2</v>
      </c>
      <c r="I8751" s="7" t="n">
        <f aca="false">YEAR(B8751)</f>
        <v>2015</v>
      </c>
      <c r="J8751" s="0" t="str">
        <f aca="false">I8751&amp;"-Q"&amp;ROUNDUP(MONTH(B8751)/3,0)</f>
        <v>2015-Q2</v>
      </c>
    </row>
    <row r="8752" customFormat="false" ht="15" hidden="false" customHeight="false" outlineLevel="0" collapsed="false">
      <c r="A8752" s="0" t="s">
        <v>4445</v>
      </c>
      <c r="B8752" s="6" t="n">
        <v>42171</v>
      </c>
      <c r="C8752" s="7" t="s">
        <v>55</v>
      </c>
      <c r="D8752" s="7" t="s">
        <v>76</v>
      </c>
      <c r="E8752" s="7" t="s">
        <v>39</v>
      </c>
      <c r="F8752" s="0" t="n">
        <v>133.98</v>
      </c>
      <c r="G8752" s="0" t="n">
        <v>33.495</v>
      </c>
      <c r="H8752" s="0" t="n">
        <v>0</v>
      </c>
      <c r="I8752" s="7" t="n">
        <f aca="false">YEAR(B8752)</f>
        <v>2015</v>
      </c>
      <c r="J8752" s="0" t="str">
        <f aca="false">I8752&amp;"-Q"&amp;ROUNDUP(MONTH(B8752)/3,0)</f>
        <v>2015-Q2</v>
      </c>
    </row>
    <row r="8753" customFormat="false" ht="15" hidden="false" customHeight="false" outlineLevel="0" collapsed="false">
      <c r="A8753" s="0" t="s">
        <v>4446</v>
      </c>
      <c r="B8753" s="6" t="n">
        <v>42495</v>
      </c>
      <c r="C8753" s="7" t="s">
        <v>29</v>
      </c>
      <c r="D8753" s="7" t="s">
        <v>37</v>
      </c>
      <c r="E8753" s="7" t="s">
        <v>35</v>
      </c>
      <c r="F8753" s="0" t="n">
        <v>93.248</v>
      </c>
      <c r="G8753" s="0" t="n">
        <v>31.4712</v>
      </c>
      <c r="H8753" s="0" t="n">
        <v>0.2</v>
      </c>
      <c r="I8753" s="7" t="n">
        <f aca="false">YEAR(B8753)</f>
        <v>2016</v>
      </c>
      <c r="J8753" s="0" t="str">
        <f aca="false">I8753&amp;"-Q"&amp;ROUNDUP(MONTH(B8753)/3,0)</f>
        <v>2016-Q2</v>
      </c>
    </row>
    <row r="8754" customFormat="false" ht="15" hidden="false" customHeight="false" outlineLevel="0" collapsed="false">
      <c r="A8754" s="0" t="s">
        <v>4446</v>
      </c>
      <c r="B8754" s="6" t="n">
        <v>42495</v>
      </c>
      <c r="C8754" s="7" t="s">
        <v>29</v>
      </c>
      <c r="D8754" s="7" t="s">
        <v>37</v>
      </c>
      <c r="E8754" s="7" t="s">
        <v>39</v>
      </c>
      <c r="F8754" s="0" t="n">
        <v>177.48</v>
      </c>
      <c r="G8754" s="0" t="n">
        <v>19.9665</v>
      </c>
      <c r="H8754" s="0" t="n">
        <v>0.2</v>
      </c>
      <c r="I8754" s="7" t="n">
        <f aca="false">YEAR(B8754)</f>
        <v>2016</v>
      </c>
      <c r="J8754" s="0" t="str">
        <f aca="false">I8754&amp;"-Q"&amp;ROUNDUP(MONTH(B8754)/3,0)</f>
        <v>2016-Q2</v>
      </c>
    </row>
    <row r="8755" customFormat="false" ht="15" hidden="false" customHeight="false" outlineLevel="0" collapsed="false">
      <c r="A8755" s="0" t="s">
        <v>4447</v>
      </c>
      <c r="B8755" s="6" t="n">
        <v>42987</v>
      </c>
      <c r="C8755" s="7" t="s">
        <v>55</v>
      </c>
      <c r="D8755" s="7" t="s">
        <v>116</v>
      </c>
      <c r="E8755" s="7" t="s">
        <v>35</v>
      </c>
      <c r="F8755" s="0" t="n">
        <v>17.712</v>
      </c>
      <c r="G8755" s="0" t="n">
        <v>5.9778</v>
      </c>
      <c r="H8755" s="0" t="n">
        <v>0.2</v>
      </c>
      <c r="I8755" s="7" t="n">
        <f aca="false">YEAR(B8755)</f>
        <v>2017</v>
      </c>
      <c r="J8755" s="0" t="str">
        <f aca="false">I8755&amp;"-Q"&amp;ROUNDUP(MONTH(B8755)/3,0)</f>
        <v>2017-Q3</v>
      </c>
    </row>
    <row r="8756" customFormat="false" ht="15" hidden="false" customHeight="false" outlineLevel="0" collapsed="false">
      <c r="A8756" s="0" t="s">
        <v>4447</v>
      </c>
      <c r="B8756" s="6" t="n">
        <v>42987</v>
      </c>
      <c r="C8756" s="7" t="s">
        <v>55</v>
      </c>
      <c r="D8756" s="7" t="s">
        <v>116</v>
      </c>
      <c r="E8756" s="7" t="s">
        <v>35</v>
      </c>
      <c r="F8756" s="0" t="n">
        <v>4.86</v>
      </c>
      <c r="G8756" s="0" t="n">
        <v>-3.564</v>
      </c>
      <c r="H8756" s="0" t="n">
        <v>0.7</v>
      </c>
      <c r="I8756" s="7" t="n">
        <f aca="false">YEAR(B8756)</f>
        <v>2017</v>
      </c>
      <c r="J8756" s="0" t="str">
        <f aca="false">I8756&amp;"-Q"&amp;ROUNDUP(MONTH(B8756)/3,0)</f>
        <v>2017-Q3</v>
      </c>
    </row>
    <row r="8757" customFormat="false" ht="15" hidden="false" customHeight="false" outlineLevel="0" collapsed="false">
      <c r="A8757" s="0" t="s">
        <v>4447</v>
      </c>
      <c r="B8757" s="6" t="n">
        <v>42987</v>
      </c>
      <c r="C8757" s="7" t="s">
        <v>55</v>
      </c>
      <c r="D8757" s="7" t="s">
        <v>116</v>
      </c>
      <c r="E8757" s="7" t="s">
        <v>35</v>
      </c>
      <c r="F8757" s="0" t="n">
        <v>6.258</v>
      </c>
      <c r="G8757" s="0" t="n">
        <v>-5.215</v>
      </c>
      <c r="H8757" s="0" t="n">
        <v>0.7</v>
      </c>
      <c r="I8757" s="7" t="n">
        <f aca="false">YEAR(B8757)</f>
        <v>2017</v>
      </c>
      <c r="J8757" s="0" t="str">
        <f aca="false">I8757&amp;"-Q"&amp;ROUNDUP(MONTH(B8757)/3,0)</f>
        <v>2017-Q3</v>
      </c>
    </row>
    <row r="8758" customFormat="false" ht="15" hidden="false" customHeight="false" outlineLevel="0" collapsed="false">
      <c r="A8758" s="0" t="s">
        <v>4448</v>
      </c>
      <c r="B8758" s="6" t="n">
        <v>42573</v>
      </c>
      <c r="C8758" s="7" t="s">
        <v>55</v>
      </c>
      <c r="D8758" s="7" t="s">
        <v>495</v>
      </c>
      <c r="E8758" s="7" t="s">
        <v>35</v>
      </c>
      <c r="F8758" s="0" t="n">
        <v>37.68</v>
      </c>
      <c r="G8758" s="0" t="n">
        <v>10.5504</v>
      </c>
      <c r="H8758" s="0" t="n">
        <v>0</v>
      </c>
      <c r="I8758" s="7" t="n">
        <f aca="false">YEAR(B8758)</f>
        <v>2016</v>
      </c>
      <c r="J8758" s="0" t="str">
        <f aca="false">I8758&amp;"-Q"&amp;ROUNDUP(MONTH(B8758)/3,0)</f>
        <v>2016-Q3</v>
      </c>
    </row>
    <row r="8759" customFormat="false" ht="15" hidden="false" customHeight="false" outlineLevel="0" collapsed="false">
      <c r="A8759" s="0" t="s">
        <v>4448</v>
      </c>
      <c r="B8759" s="6" t="n">
        <v>42573</v>
      </c>
      <c r="C8759" s="7" t="s">
        <v>55</v>
      </c>
      <c r="D8759" s="7" t="s">
        <v>495</v>
      </c>
      <c r="E8759" s="7" t="s">
        <v>35</v>
      </c>
      <c r="F8759" s="0" t="n">
        <v>51.84</v>
      </c>
      <c r="G8759" s="0" t="n">
        <v>24.8832</v>
      </c>
      <c r="H8759" s="0" t="n">
        <v>0</v>
      </c>
      <c r="I8759" s="7" t="n">
        <f aca="false">YEAR(B8759)</f>
        <v>2016</v>
      </c>
      <c r="J8759" s="0" t="str">
        <f aca="false">I8759&amp;"-Q"&amp;ROUNDUP(MONTH(B8759)/3,0)</f>
        <v>2016-Q3</v>
      </c>
    </row>
    <row r="8760" customFormat="false" ht="15" hidden="false" customHeight="false" outlineLevel="0" collapsed="false">
      <c r="A8760" s="0" t="s">
        <v>4448</v>
      </c>
      <c r="B8760" s="6" t="n">
        <v>42573</v>
      </c>
      <c r="C8760" s="7" t="s">
        <v>55</v>
      </c>
      <c r="D8760" s="7" t="s">
        <v>495</v>
      </c>
      <c r="E8760" s="7" t="s">
        <v>31</v>
      </c>
      <c r="F8760" s="0" t="n">
        <v>27.42</v>
      </c>
      <c r="G8760" s="0" t="n">
        <v>9.3228</v>
      </c>
      <c r="H8760" s="0" t="n">
        <v>0</v>
      </c>
      <c r="I8760" s="7" t="n">
        <f aca="false">YEAR(B8760)</f>
        <v>2016</v>
      </c>
      <c r="J8760" s="0" t="str">
        <f aca="false">I8760&amp;"-Q"&amp;ROUNDUP(MONTH(B8760)/3,0)</f>
        <v>2016-Q3</v>
      </c>
    </row>
    <row r="8761" customFormat="false" ht="15" hidden="false" customHeight="false" outlineLevel="0" collapsed="false">
      <c r="A8761" s="0" t="s">
        <v>4448</v>
      </c>
      <c r="B8761" s="6" t="n">
        <v>42573</v>
      </c>
      <c r="C8761" s="7" t="s">
        <v>55</v>
      </c>
      <c r="D8761" s="7" t="s">
        <v>495</v>
      </c>
      <c r="E8761" s="7" t="s">
        <v>35</v>
      </c>
      <c r="F8761" s="0" t="n">
        <v>5.4</v>
      </c>
      <c r="G8761" s="0" t="n">
        <v>2.592</v>
      </c>
      <c r="H8761" s="0" t="n">
        <v>0</v>
      </c>
      <c r="I8761" s="7" t="n">
        <f aca="false">YEAR(B8761)</f>
        <v>2016</v>
      </c>
      <c r="J8761" s="0" t="str">
        <f aca="false">I8761&amp;"-Q"&amp;ROUNDUP(MONTH(B8761)/3,0)</f>
        <v>2016-Q3</v>
      </c>
    </row>
    <row r="8762" customFormat="false" ht="15" hidden="false" customHeight="false" outlineLevel="0" collapsed="false">
      <c r="A8762" s="0" t="s">
        <v>4449</v>
      </c>
      <c r="B8762" s="6" t="n">
        <v>42400</v>
      </c>
      <c r="C8762" s="7" t="s">
        <v>29</v>
      </c>
      <c r="D8762" s="7" t="s">
        <v>230</v>
      </c>
      <c r="E8762" s="7" t="s">
        <v>35</v>
      </c>
      <c r="F8762" s="0" t="n">
        <v>1270.99</v>
      </c>
      <c r="G8762" s="0" t="n">
        <v>635.495</v>
      </c>
      <c r="H8762" s="0" t="n">
        <v>0</v>
      </c>
      <c r="I8762" s="7" t="n">
        <f aca="false">YEAR(B8762)</f>
        <v>2016</v>
      </c>
      <c r="J8762" s="0" t="str">
        <f aca="false">I8762&amp;"-Q"&amp;ROUNDUP(MONTH(B8762)/3,0)</f>
        <v>2016-Q1</v>
      </c>
    </row>
    <row r="8763" customFormat="false" ht="15" hidden="false" customHeight="false" outlineLevel="0" collapsed="false">
      <c r="A8763" s="0" t="s">
        <v>4449</v>
      </c>
      <c r="B8763" s="6" t="n">
        <v>42400</v>
      </c>
      <c r="C8763" s="7" t="s">
        <v>29</v>
      </c>
      <c r="D8763" s="7" t="s">
        <v>230</v>
      </c>
      <c r="E8763" s="7" t="s">
        <v>35</v>
      </c>
      <c r="F8763" s="0" t="n">
        <v>125.36</v>
      </c>
      <c r="G8763" s="0" t="n">
        <v>58.9192</v>
      </c>
      <c r="H8763" s="0" t="n">
        <v>0</v>
      </c>
      <c r="I8763" s="7" t="n">
        <f aca="false">YEAR(B8763)</f>
        <v>2016</v>
      </c>
      <c r="J8763" s="0" t="str">
        <f aca="false">I8763&amp;"-Q"&amp;ROUNDUP(MONTH(B8763)/3,0)</f>
        <v>2016-Q1</v>
      </c>
    </row>
    <row r="8764" customFormat="false" ht="15" hidden="false" customHeight="false" outlineLevel="0" collapsed="false">
      <c r="A8764" s="0" t="s">
        <v>4450</v>
      </c>
      <c r="B8764" s="6" t="n">
        <v>42733</v>
      </c>
      <c r="C8764" s="7" t="s">
        <v>33</v>
      </c>
      <c r="D8764" s="7" t="s">
        <v>34</v>
      </c>
      <c r="E8764" s="7" t="s">
        <v>35</v>
      </c>
      <c r="F8764" s="0" t="n">
        <v>14.03</v>
      </c>
      <c r="G8764" s="0" t="n">
        <v>4.0687</v>
      </c>
      <c r="H8764" s="0" t="n">
        <v>0</v>
      </c>
      <c r="I8764" s="7" t="n">
        <f aca="false">YEAR(B8764)</f>
        <v>2016</v>
      </c>
      <c r="J8764" s="0" t="str">
        <f aca="false">I8764&amp;"-Q"&amp;ROUNDUP(MONTH(B8764)/3,0)</f>
        <v>2016-Q4</v>
      </c>
    </row>
    <row r="8765" customFormat="false" ht="15" hidden="false" customHeight="false" outlineLevel="0" collapsed="false">
      <c r="A8765" s="0" t="s">
        <v>4450</v>
      </c>
      <c r="B8765" s="6" t="n">
        <v>42733</v>
      </c>
      <c r="C8765" s="7" t="s">
        <v>33</v>
      </c>
      <c r="D8765" s="7" t="s">
        <v>34</v>
      </c>
      <c r="E8765" s="7" t="s">
        <v>35</v>
      </c>
      <c r="F8765" s="0" t="n">
        <v>27.96</v>
      </c>
      <c r="G8765" s="0" t="n">
        <v>7.2696</v>
      </c>
      <c r="H8765" s="0" t="n">
        <v>0</v>
      </c>
      <c r="I8765" s="7" t="n">
        <f aca="false">YEAR(B8765)</f>
        <v>2016</v>
      </c>
      <c r="J8765" s="0" t="str">
        <f aca="false">I8765&amp;"-Q"&amp;ROUNDUP(MONTH(B8765)/3,0)</f>
        <v>2016-Q4</v>
      </c>
    </row>
    <row r="8766" customFormat="false" ht="15" hidden="false" customHeight="false" outlineLevel="0" collapsed="false">
      <c r="A8766" s="0" t="s">
        <v>4451</v>
      </c>
      <c r="B8766" s="6" t="n">
        <v>42329</v>
      </c>
      <c r="C8766" s="7" t="s">
        <v>45</v>
      </c>
      <c r="D8766" s="7" t="s">
        <v>46</v>
      </c>
      <c r="E8766" s="7" t="s">
        <v>35</v>
      </c>
      <c r="F8766" s="0" t="n">
        <v>5.344</v>
      </c>
      <c r="G8766" s="0" t="n">
        <v>0.7348</v>
      </c>
      <c r="H8766" s="0" t="n">
        <v>0.2</v>
      </c>
      <c r="I8766" s="7" t="n">
        <f aca="false">YEAR(B8766)</f>
        <v>2015</v>
      </c>
      <c r="J8766" s="0" t="str">
        <f aca="false">I8766&amp;"-Q"&amp;ROUNDUP(MONTH(B8766)/3,0)</f>
        <v>2015-Q4</v>
      </c>
    </row>
    <row r="8767" customFormat="false" ht="15" hidden="false" customHeight="false" outlineLevel="0" collapsed="false">
      <c r="A8767" s="0" t="s">
        <v>4451</v>
      </c>
      <c r="B8767" s="6" t="n">
        <v>42329</v>
      </c>
      <c r="C8767" s="7" t="s">
        <v>45</v>
      </c>
      <c r="D8767" s="7" t="s">
        <v>46</v>
      </c>
      <c r="E8767" s="7" t="s">
        <v>35</v>
      </c>
      <c r="F8767" s="0" t="n">
        <v>1.696</v>
      </c>
      <c r="G8767" s="0" t="n">
        <v>-2.544</v>
      </c>
      <c r="H8767" s="0" t="n">
        <v>0.8</v>
      </c>
      <c r="I8767" s="7" t="n">
        <f aca="false">YEAR(B8767)</f>
        <v>2015</v>
      </c>
      <c r="J8767" s="0" t="str">
        <f aca="false">I8767&amp;"-Q"&amp;ROUNDUP(MONTH(B8767)/3,0)</f>
        <v>2015-Q4</v>
      </c>
    </row>
    <row r="8768" customFormat="false" ht="15" hidden="false" customHeight="false" outlineLevel="0" collapsed="false">
      <c r="A8768" s="0" t="s">
        <v>4451</v>
      </c>
      <c r="B8768" s="6" t="n">
        <v>42329</v>
      </c>
      <c r="C8768" s="7" t="s">
        <v>45</v>
      </c>
      <c r="D8768" s="7" t="s">
        <v>46</v>
      </c>
      <c r="E8768" s="7" t="s">
        <v>35</v>
      </c>
      <c r="F8768" s="0" t="n">
        <v>24.588</v>
      </c>
      <c r="G8768" s="0" t="n">
        <v>-67.617</v>
      </c>
      <c r="H8768" s="0" t="n">
        <v>0.8</v>
      </c>
      <c r="I8768" s="7" t="n">
        <f aca="false">YEAR(B8768)</f>
        <v>2015</v>
      </c>
      <c r="J8768" s="0" t="str">
        <f aca="false">I8768&amp;"-Q"&amp;ROUNDUP(MONTH(B8768)/3,0)</f>
        <v>2015-Q4</v>
      </c>
    </row>
    <row r="8769" customFormat="false" ht="15" hidden="false" customHeight="false" outlineLevel="0" collapsed="false">
      <c r="A8769" s="0" t="s">
        <v>4451</v>
      </c>
      <c r="B8769" s="6" t="n">
        <v>42329</v>
      </c>
      <c r="C8769" s="7" t="s">
        <v>45</v>
      </c>
      <c r="D8769" s="7" t="s">
        <v>46</v>
      </c>
      <c r="E8769" s="7" t="s">
        <v>35</v>
      </c>
      <c r="F8769" s="0" t="n">
        <v>7.98</v>
      </c>
      <c r="G8769" s="0" t="n">
        <v>-13.167</v>
      </c>
      <c r="H8769" s="0" t="n">
        <v>0.8</v>
      </c>
      <c r="I8769" s="7" t="n">
        <f aca="false">YEAR(B8769)</f>
        <v>2015</v>
      </c>
      <c r="J8769" s="0" t="str">
        <f aca="false">I8769&amp;"-Q"&amp;ROUNDUP(MONTH(B8769)/3,0)</f>
        <v>2015-Q4</v>
      </c>
    </row>
    <row r="8770" customFormat="false" ht="15" hidden="false" customHeight="false" outlineLevel="0" collapsed="false">
      <c r="A8770" s="0" t="s">
        <v>4452</v>
      </c>
      <c r="B8770" s="6" t="n">
        <v>42282</v>
      </c>
      <c r="C8770" s="7" t="s">
        <v>55</v>
      </c>
      <c r="D8770" s="7" t="s">
        <v>116</v>
      </c>
      <c r="E8770" s="7" t="s">
        <v>39</v>
      </c>
      <c r="F8770" s="0" t="n">
        <v>288</v>
      </c>
      <c r="G8770" s="0" t="n">
        <v>57.6</v>
      </c>
      <c r="H8770" s="0" t="n">
        <v>0.2</v>
      </c>
      <c r="I8770" s="7" t="n">
        <f aca="false">YEAR(B8770)</f>
        <v>2015</v>
      </c>
      <c r="J8770" s="0" t="str">
        <f aca="false">I8770&amp;"-Q"&amp;ROUNDUP(MONTH(B8770)/3,0)</f>
        <v>2015-Q4</v>
      </c>
    </row>
    <row r="8771" customFormat="false" ht="15" hidden="false" customHeight="false" outlineLevel="0" collapsed="false">
      <c r="A8771" s="0" t="s">
        <v>4453</v>
      </c>
      <c r="B8771" s="6" t="n">
        <v>42625</v>
      </c>
      <c r="C8771" s="7" t="s">
        <v>33</v>
      </c>
      <c r="D8771" s="7" t="s">
        <v>109</v>
      </c>
      <c r="E8771" s="7" t="s">
        <v>39</v>
      </c>
      <c r="F8771" s="0" t="n">
        <v>146.952</v>
      </c>
      <c r="G8771" s="0" t="n">
        <v>9.1845</v>
      </c>
      <c r="H8771" s="0" t="n">
        <v>0.2</v>
      </c>
      <c r="I8771" s="7" t="n">
        <f aca="false">YEAR(B8771)</f>
        <v>2016</v>
      </c>
      <c r="J8771" s="0" t="str">
        <f aca="false">I8771&amp;"-Q"&amp;ROUNDUP(MONTH(B8771)/3,0)</f>
        <v>2016-Q3</v>
      </c>
    </row>
    <row r="8772" customFormat="false" ht="15" hidden="false" customHeight="false" outlineLevel="0" collapsed="false">
      <c r="A8772" s="0" t="s">
        <v>4453</v>
      </c>
      <c r="B8772" s="6" t="n">
        <v>42625</v>
      </c>
      <c r="C8772" s="7" t="s">
        <v>33</v>
      </c>
      <c r="D8772" s="7" t="s">
        <v>109</v>
      </c>
      <c r="E8772" s="7" t="s">
        <v>31</v>
      </c>
      <c r="F8772" s="0" t="n">
        <v>83.136</v>
      </c>
      <c r="G8772" s="0" t="n">
        <v>5.196</v>
      </c>
      <c r="H8772" s="0" t="n">
        <v>0.2</v>
      </c>
      <c r="I8772" s="7" t="n">
        <f aca="false">YEAR(B8772)</f>
        <v>2016</v>
      </c>
      <c r="J8772" s="0" t="str">
        <f aca="false">I8772&amp;"-Q"&amp;ROUNDUP(MONTH(B8772)/3,0)</f>
        <v>2016-Q3</v>
      </c>
    </row>
    <row r="8773" customFormat="false" ht="15" hidden="false" customHeight="false" outlineLevel="0" collapsed="false">
      <c r="A8773" s="0" t="s">
        <v>4454</v>
      </c>
      <c r="B8773" s="6" t="n">
        <v>42992</v>
      </c>
      <c r="C8773" s="7" t="s">
        <v>29</v>
      </c>
      <c r="D8773" s="7" t="s">
        <v>41</v>
      </c>
      <c r="E8773" s="7" t="s">
        <v>35</v>
      </c>
      <c r="F8773" s="0" t="n">
        <v>942.784</v>
      </c>
      <c r="G8773" s="0" t="n">
        <v>94.2784</v>
      </c>
      <c r="H8773" s="0" t="n">
        <v>0.2</v>
      </c>
      <c r="I8773" s="7" t="n">
        <f aca="false">YEAR(B8773)</f>
        <v>2017</v>
      </c>
      <c r="J8773" s="0" t="str">
        <f aca="false">I8773&amp;"-Q"&amp;ROUNDUP(MONTH(B8773)/3,0)</f>
        <v>2017-Q3</v>
      </c>
    </row>
    <row r="8774" customFormat="false" ht="15" hidden="false" customHeight="false" outlineLevel="0" collapsed="false">
      <c r="A8774" s="0" t="s">
        <v>4454</v>
      </c>
      <c r="B8774" s="6" t="n">
        <v>42992</v>
      </c>
      <c r="C8774" s="7" t="s">
        <v>29</v>
      </c>
      <c r="D8774" s="7" t="s">
        <v>41</v>
      </c>
      <c r="E8774" s="7" t="s">
        <v>35</v>
      </c>
      <c r="F8774" s="0" t="n">
        <v>74.352</v>
      </c>
      <c r="G8774" s="0" t="n">
        <v>23.235</v>
      </c>
      <c r="H8774" s="0" t="n">
        <v>0.2</v>
      </c>
      <c r="I8774" s="7" t="n">
        <f aca="false">YEAR(B8774)</f>
        <v>2017</v>
      </c>
      <c r="J8774" s="0" t="str">
        <f aca="false">I8774&amp;"-Q"&amp;ROUNDUP(MONTH(B8774)/3,0)</f>
        <v>2017-Q3</v>
      </c>
    </row>
    <row r="8775" customFormat="false" ht="15" hidden="false" customHeight="false" outlineLevel="0" collapsed="false">
      <c r="A8775" s="0" t="s">
        <v>4455</v>
      </c>
      <c r="B8775" s="6" t="n">
        <v>42058</v>
      </c>
      <c r="C8775" s="7" t="s">
        <v>55</v>
      </c>
      <c r="D8775" s="7" t="s">
        <v>76</v>
      </c>
      <c r="E8775" s="7" t="s">
        <v>35</v>
      </c>
      <c r="F8775" s="0" t="n">
        <v>26.88</v>
      </c>
      <c r="G8775" s="0" t="n">
        <v>6.72</v>
      </c>
      <c r="H8775" s="0" t="n">
        <v>0</v>
      </c>
      <c r="I8775" s="7" t="n">
        <f aca="false">YEAR(B8775)</f>
        <v>2015</v>
      </c>
      <c r="J8775" s="0" t="str">
        <f aca="false">I8775&amp;"-Q"&amp;ROUNDUP(MONTH(B8775)/3,0)</f>
        <v>2015-Q1</v>
      </c>
    </row>
    <row r="8776" customFormat="false" ht="15" hidden="false" customHeight="false" outlineLevel="0" collapsed="false">
      <c r="A8776" s="0" t="s">
        <v>4455</v>
      </c>
      <c r="B8776" s="6" t="n">
        <v>42058</v>
      </c>
      <c r="C8776" s="7" t="s">
        <v>55</v>
      </c>
      <c r="D8776" s="7" t="s">
        <v>76</v>
      </c>
      <c r="E8776" s="7" t="s">
        <v>35</v>
      </c>
      <c r="F8776" s="0" t="n">
        <v>10.896</v>
      </c>
      <c r="G8776" s="0" t="n">
        <v>3.8136</v>
      </c>
      <c r="H8776" s="0" t="n">
        <v>0.2</v>
      </c>
      <c r="I8776" s="7" t="n">
        <f aca="false">YEAR(B8776)</f>
        <v>2015</v>
      </c>
      <c r="J8776" s="0" t="str">
        <f aca="false">I8776&amp;"-Q"&amp;ROUNDUP(MONTH(B8776)/3,0)</f>
        <v>2015-Q1</v>
      </c>
    </row>
    <row r="8777" customFormat="false" ht="15" hidden="false" customHeight="false" outlineLevel="0" collapsed="false">
      <c r="A8777" s="0" t="s">
        <v>4456</v>
      </c>
      <c r="B8777" s="6" t="n">
        <v>42709</v>
      </c>
      <c r="C8777" s="7" t="s">
        <v>45</v>
      </c>
      <c r="D8777" s="7" t="s">
        <v>64</v>
      </c>
      <c r="E8777" s="7" t="s">
        <v>35</v>
      </c>
      <c r="F8777" s="0" t="n">
        <v>3.536</v>
      </c>
      <c r="G8777" s="0" t="n">
        <v>0.3094</v>
      </c>
      <c r="H8777" s="0" t="n">
        <v>0.2</v>
      </c>
      <c r="I8777" s="7" t="n">
        <f aca="false">YEAR(B8777)</f>
        <v>2016</v>
      </c>
      <c r="J8777" s="0" t="str">
        <f aca="false">I8777&amp;"-Q"&amp;ROUNDUP(MONTH(B8777)/3,0)</f>
        <v>2016-Q4</v>
      </c>
    </row>
    <row r="8778" customFormat="false" ht="15" hidden="false" customHeight="false" outlineLevel="0" collapsed="false">
      <c r="A8778" s="0" t="s">
        <v>4457</v>
      </c>
      <c r="B8778" s="6" t="n">
        <v>42553</v>
      </c>
      <c r="C8778" s="7" t="s">
        <v>45</v>
      </c>
      <c r="D8778" s="7" t="s">
        <v>46</v>
      </c>
      <c r="E8778" s="7" t="s">
        <v>31</v>
      </c>
      <c r="F8778" s="0" t="n">
        <v>528.43</v>
      </c>
      <c r="G8778" s="0" t="n">
        <v>0</v>
      </c>
      <c r="H8778" s="0" t="n">
        <v>0.3</v>
      </c>
      <c r="I8778" s="7" t="n">
        <f aca="false">YEAR(B8778)</f>
        <v>2016</v>
      </c>
      <c r="J8778" s="0" t="str">
        <f aca="false">I8778&amp;"-Q"&amp;ROUNDUP(MONTH(B8778)/3,0)</f>
        <v>2016-Q3</v>
      </c>
    </row>
    <row r="8779" customFormat="false" ht="15" hidden="false" customHeight="false" outlineLevel="0" collapsed="false">
      <c r="A8779" s="0" t="s">
        <v>4457</v>
      </c>
      <c r="B8779" s="6" t="n">
        <v>42553</v>
      </c>
      <c r="C8779" s="7" t="s">
        <v>45</v>
      </c>
      <c r="D8779" s="7" t="s">
        <v>46</v>
      </c>
      <c r="E8779" s="7" t="s">
        <v>35</v>
      </c>
      <c r="F8779" s="0" t="n">
        <v>41.472</v>
      </c>
      <c r="G8779" s="0" t="n">
        <v>14.5152</v>
      </c>
      <c r="H8779" s="0" t="n">
        <v>0.2</v>
      </c>
      <c r="I8779" s="7" t="n">
        <f aca="false">YEAR(B8779)</f>
        <v>2016</v>
      </c>
      <c r="J8779" s="0" t="str">
        <f aca="false">I8779&amp;"-Q"&amp;ROUNDUP(MONTH(B8779)/3,0)</f>
        <v>2016-Q3</v>
      </c>
    </row>
    <row r="8780" customFormat="false" ht="15" hidden="false" customHeight="false" outlineLevel="0" collapsed="false">
      <c r="A8780" s="0" t="s">
        <v>4458</v>
      </c>
      <c r="B8780" s="6" t="n">
        <v>43082</v>
      </c>
      <c r="C8780" s="7" t="s">
        <v>55</v>
      </c>
      <c r="D8780" s="7" t="s">
        <v>76</v>
      </c>
      <c r="E8780" s="7" t="s">
        <v>31</v>
      </c>
      <c r="F8780" s="0" t="n">
        <v>287.976</v>
      </c>
      <c r="G8780" s="0" t="n">
        <v>7.1994</v>
      </c>
      <c r="H8780" s="0" t="n">
        <v>0.2</v>
      </c>
      <c r="I8780" s="7" t="n">
        <f aca="false">YEAR(B8780)</f>
        <v>2017</v>
      </c>
      <c r="J8780" s="0" t="str">
        <f aca="false">I8780&amp;"-Q"&amp;ROUNDUP(MONTH(B8780)/3,0)</f>
        <v>2017-Q4</v>
      </c>
    </row>
    <row r="8781" customFormat="false" ht="15" hidden="false" customHeight="false" outlineLevel="0" collapsed="false">
      <c r="A8781" s="0" t="s">
        <v>4459</v>
      </c>
      <c r="B8781" s="6" t="n">
        <v>42083</v>
      </c>
      <c r="C8781" s="7" t="s">
        <v>33</v>
      </c>
      <c r="D8781" s="7" t="s">
        <v>102</v>
      </c>
      <c r="E8781" s="7" t="s">
        <v>35</v>
      </c>
      <c r="F8781" s="0" t="n">
        <v>29.304</v>
      </c>
      <c r="G8781" s="0" t="n">
        <v>2.5641</v>
      </c>
      <c r="H8781" s="0" t="n">
        <v>0.2</v>
      </c>
      <c r="I8781" s="7" t="n">
        <f aca="false">YEAR(B8781)</f>
        <v>2015</v>
      </c>
      <c r="J8781" s="0" t="str">
        <f aca="false">I8781&amp;"-Q"&amp;ROUNDUP(MONTH(B8781)/3,0)</f>
        <v>2015-Q1</v>
      </c>
    </row>
    <row r="8782" customFormat="false" ht="15" hidden="false" customHeight="false" outlineLevel="0" collapsed="false">
      <c r="A8782" s="0" t="s">
        <v>4460</v>
      </c>
      <c r="B8782" s="6" t="n">
        <v>42064</v>
      </c>
      <c r="C8782" s="7" t="s">
        <v>45</v>
      </c>
      <c r="D8782" s="7" t="s">
        <v>46</v>
      </c>
      <c r="E8782" s="7" t="s">
        <v>35</v>
      </c>
      <c r="F8782" s="0" t="n">
        <v>55.328</v>
      </c>
      <c r="G8782" s="0" t="n">
        <v>6.2244</v>
      </c>
      <c r="H8782" s="0" t="n">
        <v>0.2</v>
      </c>
      <c r="I8782" s="7" t="n">
        <f aca="false">YEAR(B8782)</f>
        <v>2015</v>
      </c>
      <c r="J8782" s="0" t="str">
        <f aca="false">I8782&amp;"-Q"&amp;ROUNDUP(MONTH(B8782)/3,0)</f>
        <v>2015-Q1</v>
      </c>
    </row>
    <row r="8783" customFormat="false" ht="15" hidden="false" customHeight="false" outlineLevel="0" collapsed="false">
      <c r="A8783" s="0" t="s">
        <v>4460</v>
      </c>
      <c r="B8783" s="6" t="n">
        <v>42064</v>
      </c>
      <c r="C8783" s="7" t="s">
        <v>45</v>
      </c>
      <c r="D8783" s="7" t="s">
        <v>46</v>
      </c>
      <c r="E8783" s="7" t="s">
        <v>31</v>
      </c>
      <c r="F8783" s="0" t="n">
        <v>1227.9984</v>
      </c>
      <c r="G8783" s="0" t="n">
        <v>-36.1176</v>
      </c>
      <c r="H8783" s="0" t="n">
        <v>0.32</v>
      </c>
      <c r="I8783" s="7" t="n">
        <f aca="false">YEAR(B8783)</f>
        <v>2015</v>
      </c>
      <c r="J8783" s="0" t="str">
        <f aca="false">I8783&amp;"-Q"&amp;ROUNDUP(MONTH(B8783)/3,0)</f>
        <v>2015-Q1</v>
      </c>
    </row>
    <row r="8784" customFormat="false" ht="15" hidden="false" customHeight="false" outlineLevel="0" collapsed="false">
      <c r="A8784" s="0" t="s">
        <v>4461</v>
      </c>
      <c r="B8784" s="6" t="n">
        <v>42628</v>
      </c>
      <c r="C8784" s="7" t="s">
        <v>33</v>
      </c>
      <c r="D8784" s="7" t="s">
        <v>1599</v>
      </c>
      <c r="E8784" s="7" t="s">
        <v>35</v>
      </c>
      <c r="F8784" s="0" t="n">
        <v>20.416</v>
      </c>
      <c r="G8784" s="0" t="n">
        <v>6.6352</v>
      </c>
      <c r="H8784" s="0" t="n">
        <v>0.2</v>
      </c>
      <c r="I8784" s="7" t="n">
        <f aca="false">YEAR(B8784)</f>
        <v>2016</v>
      </c>
      <c r="J8784" s="0" t="str">
        <f aca="false">I8784&amp;"-Q"&amp;ROUNDUP(MONTH(B8784)/3,0)</f>
        <v>2016-Q3</v>
      </c>
    </row>
    <row r="8785" customFormat="false" ht="15" hidden="false" customHeight="false" outlineLevel="0" collapsed="false">
      <c r="A8785" s="0" t="s">
        <v>4461</v>
      </c>
      <c r="B8785" s="6" t="n">
        <v>42628</v>
      </c>
      <c r="C8785" s="7" t="s">
        <v>33</v>
      </c>
      <c r="D8785" s="7" t="s">
        <v>1599</v>
      </c>
      <c r="E8785" s="7" t="s">
        <v>31</v>
      </c>
      <c r="F8785" s="0" t="n">
        <v>1128.39</v>
      </c>
      <c r="G8785" s="0" t="n">
        <v>259.5297</v>
      </c>
      <c r="H8785" s="0" t="n">
        <v>0</v>
      </c>
      <c r="I8785" s="7" t="n">
        <f aca="false">YEAR(B8785)</f>
        <v>2016</v>
      </c>
      <c r="J8785" s="0" t="str">
        <f aca="false">I8785&amp;"-Q"&amp;ROUNDUP(MONTH(B8785)/3,0)</f>
        <v>2016-Q3</v>
      </c>
    </row>
    <row r="8786" customFormat="false" ht="15" hidden="false" customHeight="false" outlineLevel="0" collapsed="false">
      <c r="A8786" s="0" t="s">
        <v>4462</v>
      </c>
      <c r="B8786" s="6" t="n">
        <v>42811</v>
      </c>
      <c r="C8786" s="7" t="s">
        <v>29</v>
      </c>
      <c r="D8786" s="7" t="s">
        <v>87</v>
      </c>
      <c r="E8786" s="7" t="s">
        <v>35</v>
      </c>
      <c r="F8786" s="0" t="n">
        <v>4.608</v>
      </c>
      <c r="G8786" s="0" t="n">
        <v>1.6704</v>
      </c>
      <c r="H8786" s="0" t="n">
        <v>0.2</v>
      </c>
      <c r="I8786" s="7" t="n">
        <f aca="false">YEAR(B8786)</f>
        <v>2017</v>
      </c>
      <c r="J8786" s="0" t="str">
        <f aca="false">I8786&amp;"-Q"&amp;ROUNDUP(MONTH(B8786)/3,0)</f>
        <v>2017-Q1</v>
      </c>
    </row>
    <row r="8787" customFormat="false" ht="15" hidden="false" customHeight="false" outlineLevel="0" collapsed="false">
      <c r="A8787" s="0" t="s">
        <v>4463</v>
      </c>
      <c r="B8787" s="6" t="n">
        <v>42883</v>
      </c>
      <c r="C8787" s="7" t="s">
        <v>33</v>
      </c>
      <c r="D8787" s="7" t="s">
        <v>81</v>
      </c>
      <c r="E8787" s="7" t="s">
        <v>39</v>
      </c>
      <c r="F8787" s="0" t="n">
        <v>195.96</v>
      </c>
      <c r="G8787" s="0" t="n">
        <v>19.596</v>
      </c>
      <c r="H8787" s="0" t="n">
        <v>0.2</v>
      </c>
      <c r="I8787" s="7" t="n">
        <f aca="false">YEAR(B8787)</f>
        <v>2017</v>
      </c>
      <c r="J8787" s="0" t="str">
        <f aca="false">I8787&amp;"-Q"&amp;ROUNDUP(MONTH(B8787)/3,0)</f>
        <v>2017-Q2</v>
      </c>
    </row>
    <row r="8788" customFormat="false" ht="15" hidden="false" customHeight="false" outlineLevel="0" collapsed="false">
      <c r="A8788" s="0" t="s">
        <v>4463</v>
      </c>
      <c r="B8788" s="6" t="n">
        <v>42883</v>
      </c>
      <c r="C8788" s="7" t="s">
        <v>33</v>
      </c>
      <c r="D8788" s="7" t="s">
        <v>81</v>
      </c>
      <c r="E8788" s="7" t="s">
        <v>35</v>
      </c>
      <c r="F8788" s="0" t="n">
        <v>15.552</v>
      </c>
      <c r="G8788" s="0" t="n">
        <v>5.4432</v>
      </c>
      <c r="H8788" s="0" t="n">
        <v>0.2</v>
      </c>
      <c r="I8788" s="7" t="n">
        <f aca="false">YEAR(B8788)</f>
        <v>2017</v>
      </c>
      <c r="J8788" s="0" t="str">
        <f aca="false">I8788&amp;"-Q"&amp;ROUNDUP(MONTH(B8788)/3,0)</f>
        <v>2017-Q2</v>
      </c>
    </row>
    <row r="8789" customFormat="false" ht="15" hidden="false" customHeight="false" outlineLevel="0" collapsed="false">
      <c r="A8789" s="0" t="s">
        <v>4463</v>
      </c>
      <c r="B8789" s="6" t="n">
        <v>42883</v>
      </c>
      <c r="C8789" s="7" t="s">
        <v>33</v>
      </c>
      <c r="D8789" s="7" t="s">
        <v>81</v>
      </c>
      <c r="E8789" s="7" t="s">
        <v>39</v>
      </c>
      <c r="F8789" s="0" t="n">
        <v>271.968</v>
      </c>
      <c r="G8789" s="0" t="n">
        <v>54.3936</v>
      </c>
      <c r="H8789" s="0" t="n">
        <v>0.2</v>
      </c>
      <c r="I8789" s="7" t="n">
        <f aca="false">YEAR(B8789)</f>
        <v>2017</v>
      </c>
      <c r="J8789" s="0" t="str">
        <f aca="false">I8789&amp;"-Q"&amp;ROUNDUP(MONTH(B8789)/3,0)</f>
        <v>2017-Q2</v>
      </c>
    </row>
    <row r="8790" customFormat="false" ht="15" hidden="false" customHeight="false" outlineLevel="0" collapsed="false">
      <c r="A8790" s="0" t="s">
        <v>4464</v>
      </c>
      <c r="B8790" s="6" t="n">
        <v>42901</v>
      </c>
      <c r="C8790" s="7" t="s">
        <v>29</v>
      </c>
      <c r="D8790" s="7" t="s">
        <v>41</v>
      </c>
      <c r="E8790" s="7" t="s">
        <v>31</v>
      </c>
      <c r="F8790" s="0" t="n">
        <v>698.352</v>
      </c>
      <c r="G8790" s="0" t="n">
        <v>52.3764</v>
      </c>
      <c r="H8790" s="0" t="n">
        <v>0.2</v>
      </c>
      <c r="I8790" s="7" t="n">
        <f aca="false">YEAR(B8790)</f>
        <v>2017</v>
      </c>
      <c r="J8790" s="0" t="str">
        <f aca="false">I8790&amp;"-Q"&amp;ROUNDUP(MONTH(B8790)/3,0)</f>
        <v>2017-Q2</v>
      </c>
    </row>
    <row r="8791" customFormat="false" ht="15" hidden="false" customHeight="false" outlineLevel="0" collapsed="false">
      <c r="A8791" s="0" t="s">
        <v>4464</v>
      </c>
      <c r="B8791" s="6" t="n">
        <v>42901</v>
      </c>
      <c r="C8791" s="7" t="s">
        <v>29</v>
      </c>
      <c r="D8791" s="7" t="s">
        <v>41</v>
      </c>
      <c r="E8791" s="7" t="s">
        <v>31</v>
      </c>
      <c r="F8791" s="0" t="n">
        <v>77.728</v>
      </c>
      <c r="G8791" s="0" t="n">
        <v>-3.8864</v>
      </c>
      <c r="H8791" s="0" t="n">
        <v>0.2</v>
      </c>
      <c r="I8791" s="7" t="n">
        <f aca="false">YEAR(B8791)</f>
        <v>2017</v>
      </c>
      <c r="J8791" s="0" t="str">
        <f aca="false">I8791&amp;"-Q"&amp;ROUNDUP(MONTH(B8791)/3,0)</f>
        <v>2017-Q2</v>
      </c>
    </row>
    <row r="8792" customFormat="false" ht="15" hidden="false" customHeight="false" outlineLevel="0" collapsed="false">
      <c r="A8792" s="0" t="s">
        <v>4465</v>
      </c>
      <c r="B8792" s="6" t="n">
        <v>42253</v>
      </c>
      <c r="C8792" s="7" t="s">
        <v>29</v>
      </c>
      <c r="D8792" s="7" t="s">
        <v>83</v>
      </c>
      <c r="E8792" s="7" t="s">
        <v>35</v>
      </c>
      <c r="F8792" s="0" t="n">
        <v>46.62</v>
      </c>
      <c r="G8792" s="0" t="n">
        <v>21.4452</v>
      </c>
      <c r="H8792" s="0" t="n">
        <v>0</v>
      </c>
      <c r="I8792" s="7" t="n">
        <f aca="false">YEAR(B8792)</f>
        <v>2015</v>
      </c>
      <c r="J8792" s="0" t="str">
        <f aca="false">I8792&amp;"-Q"&amp;ROUNDUP(MONTH(B8792)/3,0)</f>
        <v>2015-Q3</v>
      </c>
    </row>
    <row r="8793" customFormat="false" ht="15" hidden="false" customHeight="false" outlineLevel="0" collapsed="false">
      <c r="A8793" s="0" t="s">
        <v>4466</v>
      </c>
      <c r="B8793" s="6" t="n">
        <v>42812</v>
      </c>
      <c r="C8793" s="7" t="s">
        <v>45</v>
      </c>
      <c r="D8793" s="7" t="s">
        <v>46</v>
      </c>
      <c r="E8793" s="7" t="s">
        <v>39</v>
      </c>
      <c r="F8793" s="0" t="n">
        <v>537.544</v>
      </c>
      <c r="G8793" s="0" t="n">
        <v>47.0351</v>
      </c>
      <c r="H8793" s="0" t="n">
        <v>0.2</v>
      </c>
      <c r="I8793" s="7" t="n">
        <f aca="false">YEAR(B8793)</f>
        <v>2017</v>
      </c>
      <c r="J8793" s="0" t="str">
        <f aca="false">I8793&amp;"-Q"&amp;ROUNDUP(MONTH(B8793)/3,0)</f>
        <v>2017-Q1</v>
      </c>
    </row>
    <row r="8794" customFormat="false" ht="15" hidden="false" customHeight="false" outlineLevel="0" collapsed="false">
      <c r="A8794" s="0" t="s">
        <v>4467</v>
      </c>
      <c r="B8794" s="6" t="n">
        <v>41992</v>
      </c>
      <c r="C8794" s="7" t="s">
        <v>33</v>
      </c>
      <c r="D8794" s="7" t="s">
        <v>34</v>
      </c>
      <c r="E8794" s="7" t="s">
        <v>35</v>
      </c>
      <c r="F8794" s="0" t="n">
        <v>14.62</v>
      </c>
      <c r="G8794" s="0" t="n">
        <v>6.8714</v>
      </c>
      <c r="H8794" s="0" t="n">
        <v>0</v>
      </c>
      <c r="I8794" s="7" t="n">
        <f aca="false">YEAR(B8794)</f>
        <v>2014</v>
      </c>
      <c r="J8794" s="0" t="str">
        <f aca="false">I8794&amp;"-Q"&amp;ROUNDUP(MONTH(B8794)/3,0)</f>
        <v>2014-Q4</v>
      </c>
    </row>
    <row r="8795" customFormat="false" ht="15" hidden="false" customHeight="false" outlineLevel="0" collapsed="false">
      <c r="A8795" s="0" t="s">
        <v>4467</v>
      </c>
      <c r="B8795" s="6" t="n">
        <v>41992</v>
      </c>
      <c r="C8795" s="7" t="s">
        <v>33</v>
      </c>
      <c r="D8795" s="7" t="s">
        <v>34</v>
      </c>
      <c r="E8795" s="7" t="s">
        <v>35</v>
      </c>
      <c r="F8795" s="0" t="n">
        <v>22.55</v>
      </c>
      <c r="G8795" s="0" t="n">
        <v>8.7945</v>
      </c>
      <c r="H8795" s="0" t="n">
        <v>0</v>
      </c>
      <c r="I8795" s="7" t="n">
        <f aca="false">YEAR(B8795)</f>
        <v>2014</v>
      </c>
      <c r="J8795" s="0" t="str">
        <f aca="false">I8795&amp;"-Q"&amp;ROUNDUP(MONTH(B8795)/3,0)</f>
        <v>2014-Q4</v>
      </c>
    </row>
    <row r="8796" customFormat="false" ht="15" hidden="false" customHeight="false" outlineLevel="0" collapsed="false">
      <c r="A8796" s="0" t="s">
        <v>4467</v>
      </c>
      <c r="B8796" s="6" t="n">
        <v>41992</v>
      </c>
      <c r="C8796" s="7" t="s">
        <v>33</v>
      </c>
      <c r="D8796" s="7" t="s">
        <v>34</v>
      </c>
      <c r="E8796" s="7" t="s">
        <v>39</v>
      </c>
      <c r="F8796" s="0" t="n">
        <v>583.8</v>
      </c>
      <c r="G8796" s="0" t="n">
        <v>72.975</v>
      </c>
      <c r="H8796" s="0" t="n">
        <v>0.2</v>
      </c>
      <c r="I8796" s="7" t="n">
        <f aca="false">YEAR(B8796)</f>
        <v>2014</v>
      </c>
      <c r="J8796" s="0" t="str">
        <f aca="false">I8796&amp;"-Q"&amp;ROUNDUP(MONTH(B8796)/3,0)</f>
        <v>2014-Q4</v>
      </c>
    </row>
    <row r="8797" customFormat="false" ht="15" hidden="false" customHeight="false" outlineLevel="0" collapsed="false">
      <c r="A8797" s="0" t="s">
        <v>4467</v>
      </c>
      <c r="B8797" s="6" t="n">
        <v>41992</v>
      </c>
      <c r="C8797" s="7" t="s">
        <v>33</v>
      </c>
      <c r="D8797" s="7" t="s">
        <v>34</v>
      </c>
      <c r="E8797" s="7" t="s">
        <v>39</v>
      </c>
      <c r="F8797" s="0" t="n">
        <v>211.168</v>
      </c>
      <c r="G8797" s="0" t="n">
        <v>15.8376</v>
      </c>
      <c r="H8797" s="0" t="n">
        <v>0.2</v>
      </c>
      <c r="I8797" s="7" t="n">
        <f aca="false">YEAR(B8797)</f>
        <v>2014</v>
      </c>
      <c r="J8797" s="0" t="str">
        <f aca="false">I8797&amp;"-Q"&amp;ROUNDUP(MONTH(B8797)/3,0)</f>
        <v>2014-Q4</v>
      </c>
    </row>
    <row r="8798" customFormat="false" ht="15" hidden="false" customHeight="false" outlineLevel="0" collapsed="false">
      <c r="A8798" s="0" t="s">
        <v>4468</v>
      </c>
      <c r="B8798" s="6" t="n">
        <v>42558</v>
      </c>
      <c r="C8798" s="7" t="s">
        <v>33</v>
      </c>
      <c r="D8798" s="7" t="s">
        <v>50</v>
      </c>
      <c r="E8798" s="7" t="s">
        <v>35</v>
      </c>
      <c r="F8798" s="0" t="n">
        <v>12.96</v>
      </c>
      <c r="G8798" s="0" t="n">
        <v>6.2208</v>
      </c>
      <c r="H8798" s="0" t="n">
        <v>0</v>
      </c>
      <c r="I8798" s="7" t="n">
        <f aca="false">YEAR(B8798)</f>
        <v>2016</v>
      </c>
      <c r="J8798" s="0" t="str">
        <f aca="false">I8798&amp;"-Q"&amp;ROUNDUP(MONTH(B8798)/3,0)</f>
        <v>2016-Q3</v>
      </c>
    </row>
    <row r="8799" customFormat="false" ht="15" hidden="false" customHeight="false" outlineLevel="0" collapsed="false">
      <c r="A8799" s="0" t="s">
        <v>4468</v>
      </c>
      <c r="B8799" s="6" t="n">
        <v>42558</v>
      </c>
      <c r="C8799" s="7" t="s">
        <v>33</v>
      </c>
      <c r="D8799" s="7" t="s">
        <v>50</v>
      </c>
      <c r="E8799" s="7" t="s">
        <v>35</v>
      </c>
      <c r="F8799" s="0" t="n">
        <v>45.98</v>
      </c>
      <c r="G8799" s="0" t="n">
        <v>12.8744</v>
      </c>
      <c r="H8799" s="0" t="n">
        <v>0</v>
      </c>
      <c r="I8799" s="7" t="n">
        <f aca="false">YEAR(B8799)</f>
        <v>2016</v>
      </c>
      <c r="J8799" s="0" t="str">
        <f aca="false">I8799&amp;"-Q"&amp;ROUNDUP(MONTH(B8799)/3,0)</f>
        <v>2016-Q3</v>
      </c>
    </row>
    <row r="8800" customFormat="false" ht="15" hidden="false" customHeight="false" outlineLevel="0" collapsed="false">
      <c r="A8800" s="0" t="s">
        <v>4469</v>
      </c>
      <c r="B8800" s="6" t="n">
        <v>42466</v>
      </c>
      <c r="C8800" s="7" t="s">
        <v>55</v>
      </c>
      <c r="D8800" s="7" t="s">
        <v>1173</v>
      </c>
      <c r="E8800" s="7" t="s">
        <v>39</v>
      </c>
      <c r="F8800" s="0" t="n">
        <v>1294.75</v>
      </c>
      <c r="G8800" s="0" t="n">
        <v>336.635</v>
      </c>
      <c r="H8800" s="0" t="n">
        <v>0</v>
      </c>
      <c r="I8800" s="7" t="n">
        <f aca="false">YEAR(B8800)</f>
        <v>2016</v>
      </c>
      <c r="J8800" s="0" t="str">
        <f aca="false">I8800&amp;"-Q"&amp;ROUNDUP(MONTH(B8800)/3,0)</f>
        <v>2016-Q2</v>
      </c>
    </row>
    <row r="8801" customFormat="false" ht="15" hidden="false" customHeight="false" outlineLevel="0" collapsed="false">
      <c r="A8801" s="0" t="s">
        <v>4470</v>
      </c>
      <c r="B8801" s="6" t="n">
        <v>41767</v>
      </c>
      <c r="C8801" s="7" t="s">
        <v>55</v>
      </c>
      <c r="D8801" s="7" t="s">
        <v>56</v>
      </c>
      <c r="E8801" s="7" t="s">
        <v>39</v>
      </c>
      <c r="F8801" s="0" t="n">
        <v>1799.97</v>
      </c>
      <c r="G8801" s="0" t="n">
        <v>239.996</v>
      </c>
      <c r="H8801" s="0" t="n">
        <v>0.4</v>
      </c>
      <c r="I8801" s="7" t="n">
        <f aca="false">YEAR(B8801)</f>
        <v>2014</v>
      </c>
      <c r="J8801" s="0" t="str">
        <f aca="false">I8801&amp;"-Q"&amp;ROUNDUP(MONTH(B8801)/3,0)</f>
        <v>2014-Q2</v>
      </c>
    </row>
    <row r="8802" customFormat="false" ht="15" hidden="false" customHeight="false" outlineLevel="0" collapsed="false">
      <c r="A8802" s="0" t="s">
        <v>4471</v>
      </c>
      <c r="B8802" s="6" t="n">
        <v>43062</v>
      </c>
      <c r="C8802" s="7" t="s">
        <v>45</v>
      </c>
      <c r="D8802" s="7" t="s">
        <v>64</v>
      </c>
      <c r="E8802" s="7" t="s">
        <v>35</v>
      </c>
      <c r="F8802" s="0" t="n">
        <v>10.688</v>
      </c>
      <c r="G8802" s="0" t="n">
        <v>3.7408</v>
      </c>
      <c r="H8802" s="0" t="n">
        <v>0.2</v>
      </c>
      <c r="I8802" s="7" t="n">
        <f aca="false">YEAR(B8802)</f>
        <v>2017</v>
      </c>
      <c r="J8802" s="0" t="str">
        <f aca="false">I8802&amp;"-Q"&amp;ROUNDUP(MONTH(B8802)/3,0)</f>
        <v>2017-Q4</v>
      </c>
    </row>
    <row r="8803" customFormat="false" ht="15" hidden="false" customHeight="false" outlineLevel="0" collapsed="false">
      <c r="A8803" s="0" t="s">
        <v>4472</v>
      </c>
      <c r="B8803" s="6" t="n">
        <v>42684</v>
      </c>
      <c r="C8803" s="7" t="s">
        <v>45</v>
      </c>
      <c r="D8803" s="7" t="s">
        <v>138</v>
      </c>
      <c r="E8803" s="7" t="s">
        <v>39</v>
      </c>
      <c r="F8803" s="0" t="n">
        <v>221.98</v>
      </c>
      <c r="G8803" s="0" t="n">
        <v>62.1544</v>
      </c>
      <c r="H8803" s="0" t="n">
        <v>0</v>
      </c>
      <c r="I8803" s="7" t="n">
        <f aca="false">YEAR(B8803)</f>
        <v>2016</v>
      </c>
      <c r="J8803" s="0" t="str">
        <f aca="false">I8803&amp;"-Q"&amp;ROUNDUP(MONTH(B8803)/3,0)</f>
        <v>2016-Q4</v>
      </c>
    </row>
    <row r="8804" customFormat="false" ht="15" hidden="false" customHeight="false" outlineLevel="0" collapsed="false">
      <c r="A8804" s="0" t="s">
        <v>4472</v>
      </c>
      <c r="B8804" s="6" t="n">
        <v>42684</v>
      </c>
      <c r="C8804" s="7" t="s">
        <v>45</v>
      </c>
      <c r="D8804" s="7" t="s">
        <v>138</v>
      </c>
      <c r="E8804" s="7" t="s">
        <v>31</v>
      </c>
      <c r="F8804" s="0" t="n">
        <v>341.96</v>
      </c>
      <c r="G8804" s="0" t="n">
        <v>54.7136</v>
      </c>
      <c r="H8804" s="0" t="n">
        <v>0</v>
      </c>
      <c r="I8804" s="7" t="n">
        <f aca="false">YEAR(B8804)</f>
        <v>2016</v>
      </c>
      <c r="J8804" s="0" t="str">
        <f aca="false">I8804&amp;"-Q"&amp;ROUNDUP(MONTH(B8804)/3,0)</f>
        <v>2016-Q4</v>
      </c>
    </row>
    <row r="8805" customFormat="false" ht="15" hidden="false" customHeight="false" outlineLevel="0" collapsed="false">
      <c r="A8805" s="0" t="s">
        <v>4473</v>
      </c>
      <c r="B8805" s="6" t="n">
        <v>42004</v>
      </c>
      <c r="C8805" s="7" t="s">
        <v>55</v>
      </c>
      <c r="D8805" s="7" t="s">
        <v>76</v>
      </c>
      <c r="E8805" s="7" t="s">
        <v>39</v>
      </c>
      <c r="F8805" s="0" t="n">
        <v>34.77</v>
      </c>
      <c r="G8805" s="0" t="n">
        <v>11.4741</v>
      </c>
      <c r="H8805" s="0" t="n">
        <v>0</v>
      </c>
      <c r="I8805" s="7" t="n">
        <f aca="false">YEAR(B8805)</f>
        <v>2014</v>
      </c>
      <c r="J8805" s="0" t="str">
        <f aca="false">I8805&amp;"-Q"&amp;ROUNDUP(MONTH(B8805)/3,0)</f>
        <v>2014-Q4</v>
      </c>
    </row>
    <row r="8806" customFormat="false" ht="15" hidden="false" customHeight="false" outlineLevel="0" collapsed="false">
      <c r="A8806" s="0" t="s">
        <v>4473</v>
      </c>
      <c r="B8806" s="6" t="n">
        <v>42004</v>
      </c>
      <c r="C8806" s="7" t="s">
        <v>55</v>
      </c>
      <c r="D8806" s="7" t="s">
        <v>76</v>
      </c>
      <c r="E8806" s="7" t="s">
        <v>35</v>
      </c>
      <c r="F8806" s="0" t="n">
        <v>18.9</v>
      </c>
      <c r="G8806" s="0" t="n">
        <v>8.694</v>
      </c>
      <c r="H8806" s="0" t="n">
        <v>0</v>
      </c>
      <c r="I8806" s="7" t="n">
        <f aca="false">YEAR(B8806)</f>
        <v>2014</v>
      </c>
      <c r="J8806" s="0" t="str">
        <f aca="false">I8806&amp;"-Q"&amp;ROUNDUP(MONTH(B8806)/3,0)</f>
        <v>2014-Q4</v>
      </c>
    </row>
    <row r="8807" customFormat="false" ht="15" hidden="false" customHeight="false" outlineLevel="0" collapsed="false">
      <c r="A8807" s="0" t="s">
        <v>4474</v>
      </c>
      <c r="B8807" s="6" t="n">
        <v>42966</v>
      </c>
      <c r="C8807" s="7" t="s">
        <v>33</v>
      </c>
      <c r="D8807" s="7" t="s">
        <v>50</v>
      </c>
      <c r="E8807" s="7" t="s">
        <v>35</v>
      </c>
      <c r="F8807" s="0" t="n">
        <v>102.72</v>
      </c>
      <c r="G8807" s="0" t="n">
        <v>37.236</v>
      </c>
      <c r="H8807" s="0" t="n">
        <v>0.2</v>
      </c>
      <c r="I8807" s="7" t="n">
        <f aca="false">YEAR(B8807)</f>
        <v>2017</v>
      </c>
      <c r="J8807" s="0" t="str">
        <f aca="false">I8807&amp;"-Q"&amp;ROUNDUP(MONTH(B8807)/3,0)</f>
        <v>2017-Q3</v>
      </c>
    </row>
    <row r="8808" customFormat="false" ht="15" hidden="false" customHeight="false" outlineLevel="0" collapsed="false">
      <c r="A8808" s="0" t="s">
        <v>4475</v>
      </c>
      <c r="B8808" s="6" t="n">
        <v>42625</v>
      </c>
      <c r="C8808" s="7" t="s">
        <v>55</v>
      </c>
      <c r="D8808" s="7" t="s">
        <v>76</v>
      </c>
      <c r="E8808" s="7" t="s">
        <v>31</v>
      </c>
      <c r="F8808" s="0" t="n">
        <v>40.48</v>
      </c>
      <c r="G8808" s="0" t="n">
        <v>14.5728</v>
      </c>
      <c r="H8808" s="0" t="n">
        <v>0</v>
      </c>
      <c r="I8808" s="7" t="n">
        <f aca="false">YEAR(B8808)</f>
        <v>2016</v>
      </c>
      <c r="J8808" s="0" t="str">
        <f aca="false">I8808&amp;"-Q"&amp;ROUNDUP(MONTH(B8808)/3,0)</f>
        <v>2016-Q3</v>
      </c>
    </row>
    <row r="8809" customFormat="false" ht="15" hidden="false" customHeight="false" outlineLevel="0" collapsed="false">
      <c r="A8809" s="0" t="s">
        <v>4476</v>
      </c>
      <c r="B8809" s="6" t="n">
        <v>43034</v>
      </c>
      <c r="C8809" s="7" t="s">
        <v>55</v>
      </c>
      <c r="D8809" s="7" t="s">
        <v>56</v>
      </c>
      <c r="E8809" s="7" t="s">
        <v>35</v>
      </c>
      <c r="F8809" s="0" t="n">
        <v>33.282</v>
      </c>
      <c r="G8809" s="0" t="n">
        <v>-27.735</v>
      </c>
      <c r="H8809" s="0" t="n">
        <v>0.7</v>
      </c>
      <c r="I8809" s="7" t="n">
        <f aca="false">YEAR(B8809)</f>
        <v>2017</v>
      </c>
      <c r="J8809" s="0" t="str">
        <f aca="false">I8809&amp;"-Q"&amp;ROUNDUP(MONTH(B8809)/3,0)</f>
        <v>2017-Q4</v>
      </c>
    </row>
    <row r="8810" customFormat="false" ht="15" hidden="false" customHeight="false" outlineLevel="0" collapsed="false">
      <c r="A8810" s="0" t="s">
        <v>4476</v>
      </c>
      <c r="B8810" s="6" t="n">
        <v>43034</v>
      </c>
      <c r="C8810" s="7" t="s">
        <v>55</v>
      </c>
      <c r="D8810" s="7" t="s">
        <v>56</v>
      </c>
      <c r="E8810" s="7" t="s">
        <v>39</v>
      </c>
      <c r="F8810" s="0" t="n">
        <v>118.65</v>
      </c>
      <c r="G8810" s="0" t="n">
        <v>19.775</v>
      </c>
      <c r="H8810" s="0" t="n">
        <v>0.4</v>
      </c>
      <c r="I8810" s="7" t="n">
        <f aca="false">YEAR(B8810)</f>
        <v>2017</v>
      </c>
      <c r="J8810" s="0" t="str">
        <f aca="false">I8810&amp;"-Q"&amp;ROUNDUP(MONTH(B8810)/3,0)</f>
        <v>2017-Q4</v>
      </c>
    </row>
    <row r="8811" customFormat="false" ht="15" hidden="false" customHeight="false" outlineLevel="0" collapsed="false">
      <c r="A8811" s="0" t="s">
        <v>4476</v>
      </c>
      <c r="B8811" s="6" t="n">
        <v>43034</v>
      </c>
      <c r="C8811" s="7" t="s">
        <v>55</v>
      </c>
      <c r="D8811" s="7" t="s">
        <v>56</v>
      </c>
      <c r="E8811" s="7" t="s">
        <v>35</v>
      </c>
      <c r="F8811" s="0" t="n">
        <v>14.76</v>
      </c>
      <c r="G8811" s="0" t="n">
        <v>4.9815</v>
      </c>
      <c r="H8811" s="0" t="n">
        <v>0.2</v>
      </c>
      <c r="I8811" s="7" t="n">
        <f aca="false">YEAR(B8811)</f>
        <v>2017</v>
      </c>
      <c r="J8811" s="0" t="str">
        <f aca="false">I8811&amp;"-Q"&amp;ROUNDUP(MONTH(B8811)/3,0)</f>
        <v>2017-Q4</v>
      </c>
    </row>
    <row r="8812" customFormat="false" ht="15" hidden="false" customHeight="false" outlineLevel="0" collapsed="false">
      <c r="A8812" s="0" t="s">
        <v>4477</v>
      </c>
      <c r="B8812" s="6" t="n">
        <v>42885</v>
      </c>
      <c r="C8812" s="7" t="s">
        <v>33</v>
      </c>
      <c r="D8812" s="7" t="s">
        <v>34</v>
      </c>
      <c r="E8812" s="7" t="s">
        <v>35</v>
      </c>
      <c r="F8812" s="0" t="n">
        <v>37.52</v>
      </c>
      <c r="G8812" s="0" t="n">
        <v>18.0096</v>
      </c>
      <c r="H8812" s="0" t="n">
        <v>0</v>
      </c>
      <c r="I8812" s="7" t="n">
        <f aca="false">YEAR(B8812)</f>
        <v>2017</v>
      </c>
      <c r="J8812" s="0" t="str">
        <f aca="false">I8812&amp;"-Q"&amp;ROUNDUP(MONTH(B8812)/3,0)</f>
        <v>2017-Q2</v>
      </c>
    </row>
    <row r="8813" customFormat="false" ht="15" hidden="false" customHeight="false" outlineLevel="0" collapsed="false">
      <c r="A8813" s="0" t="s">
        <v>4478</v>
      </c>
      <c r="B8813" s="6" t="n">
        <v>42437</v>
      </c>
      <c r="C8813" s="7" t="s">
        <v>45</v>
      </c>
      <c r="D8813" s="7" t="s">
        <v>70</v>
      </c>
      <c r="E8813" s="7" t="s">
        <v>35</v>
      </c>
      <c r="F8813" s="0" t="n">
        <v>207.144</v>
      </c>
      <c r="G8813" s="0" t="n">
        <v>48.3336</v>
      </c>
      <c r="H8813" s="0" t="n">
        <v>0.1</v>
      </c>
      <c r="I8813" s="7" t="n">
        <f aca="false">YEAR(B8813)</f>
        <v>2016</v>
      </c>
      <c r="J8813" s="0" t="str">
        <f aca="false">I8813&amp;"-Q"&amp;ROUNDUP(MONTH(B8813)/3,0)</f>
        <v>2016-Q1</v>
      </c>
    </row>
    <row r="8814" customFormat="false" ht="15" hidden="false" customHeight="false" outlineLevel="0" collapsed="false">
      <c r="A8814" s="0" t="s">
        <v>4478</v>
      </c>
      <c r="B8814" s="6" t="n">
        <v>42437</v>
      </c>
      <c r="C8814" s="7" t="s">
        <v>45</v>
      </c>
      <c r="D8814" s="7" t="s">
        <v>70</v>
      </c>
      <c r="E8814" s="7" t="s">
        <v>35</v>
      </c>
      <c r="F8814" s="0" t="n">
        <v>13.9</v>
      </c>
      <c r="G8814" s="0" t="n">
        <v>3.753</v>
      </c>
      <c r="H8814" s="0" t="n">
        <v>0</v>
      </c>
      <c r="I8814" s="7" t="n">
        <f aca="false">YEAR(B8814)</f>
        <v>2016</v>
      </c>
      <c r="J8814" s="0" t="str">
        <f aca="false">I8814&amp;"-Q"&amp;ROUNDUP(MONTH(B8814)/3,0)</f>
        <v>2016-Q1</v>
      </c>
    </row>
    <row r="8815" customFormat="false" ht="15" hidden="false" customHeight="false" outlineLevel="0" collapsed="false">
      <c r="A8815" s="0" t="s">
        <v>4479</v>
      </c>
      <c r="B8815" s="6" t="n">
        <v>42211</v>
      </c>
      <c r="C8815" s="7" t="s">
        <v>33</v>
      </c>
      <c r="D8815" s="7" t="s">
        <v>81</v>
      </c>
      <c r="E8815" s="7" t="s">
        <v>31</v>
      </c>
      <c r="F8815" s="0" t="n">
        <v>266.352</v>
      </c>
      <c r="G8815" s="0" t="n">
        <v>13.3176</v>
      </c>
      <c r="H8815" s="0" t="n">
        <v>0.2</v>
      </c>
      <c r="I8815" s="7" t="n">
        <f aca="false">YEAR(B8815)</f>
        <v>2015</v>
      </c>
      <c r="J8815" s="0" t="str">
        <f aca="false">I8815&amp;"-Q"&amp;ROUNDUP(MONTH(B8815)/3,0)</f>
        <v>2015-Q3</v>
      </c>
    </row>
    <row r="8816" customFormat="false" ht="15" hidden="false" customHeight="false" outlineLevel="0" collapsed="false">
      <c r="A8816" s="0" t="s">
        <v>4480</v>
      </c>
      <c r="B8816" s="6" t="n">
        <v>42331</v>
      </c>
      <c r="C8816" s="7" t="s">
        <v>55</v>
      </c>
      <c r="D8816" s="7" t="s">
        <v>72</v>
      </c>
      <c r="E8816" s="7" t="s">
        <v>39</v>
      </c>
      <c r="F8816" s="0" t="n">
        <v>307.98</v>
      </c>
      <c r="G8816" s="0" t="n">
        <v>89.3142</v>
      </c>
      <c r="H8816" s="0" t="n">
        <v>0</v>
      </c>
      <c r="I8816" s="7" t="n">
        <f aca="false">YEAR(B8816)</f>
        <v>2015</v>
      </c>
      <c r="J8816" s="0" t="str">
        <f aca="false">I8816&amp;"-Q"&amp;ROUNDUP(MONTH(B8816)/3,0)</f>
        <v>2015-Q4</v>
      </c>
    </row>
    <row r="8817" customFormat="false" ht="15" hidden="false" customHeight="false" outlineLevel="0" collapsed="false">
      <c r="A8817" s="0" t="s">
        <v>4480</v>
      </c>
      <c r="B8817" s="6" t="n">
        <v>42331</v>
      </c>
      <c r="C8817" s="7" t="s">
        <v>55</v>
      </c>
      <c r="D8817" s="7" t="s">
        <v>72</v>
      </c>
      <c r="E8817" s="7" t="s">
        <v>35</v>
      </c>
      <c r="F8817" s="0" t="n">
        <v>44.1</v>
      </c>
      <c r="G8817" s="0" t="n">
        <v>20.727</v>
      </c>
      <c r="H8817" s="0" t="n">
        <v>0</v>
      </c>
      <c r="I8817" s="7" t="n">
        <f aca="false">YEAR(B8817)</f>
        <v>2015</v>
      </c>
      <c r="J8817" s="0" t="str">
        <f aca="false">I8817&amp;"-Q"&amp;ROUNDUP(MONTH(B8817)/3,0)</f>
        <v>2015-Q4</v>
      </c>
    </row>
    <row r="8818" customFormat="false" ht="15" hidden="false" customHeight="false" outlineLevel="0" collapsed="false">
      <c r="A8818" s="0" t="s">
        <v>4480</v>
      </c>
      <c r="B8818" s="6" t="n">
        <v>42331</v>
      </c>
      <c r="C8818" s="7" t="s">
        <v>55</v>
      </c>
      <c r="D8818" s="7" t="s">
        <v>72</v>
      </c>
      <c r="E8818" s="7" t="s">
        <v>35</v>
      </c>
      <c r="F8818" s="0" t="n">
        <v>13.12</v>
      </c>
      <c r="G8818" s="0" t="n">
        <v>5.6416</v>
      </c>
      <c r="H8818" s="0" t="n">
        <v>0</v>
      </c>
      <c r="I8818" s="7" t="n">
        <f aca="false">YEAR(B8818)</f>
        <v>2015</v>
      </c>
      <c r="J8818" s="0" t="str">
        <f aca="false">I8818&amp;"-Q"&amp;ROUNDUP(MONTH(B8818)/3,0)</f>
        <v>2015-Q4</v>
      </c>
    </row>
    <row r="8819" customFormat="false" ht="15" hidden="false" customHeight="false" outlineLevel="0" collapsed="false">
      <c r="A8819" s="0" t="s">
        <v>4480</v>
      </c>
      <c r="B8819" s="6" t="n">
        <v>42331</v>
      </c>
      <c r="C8819" s="7" t="s">
        <v>55</v>
      </c>
      <c r="D8819" s="7" t="s">
        <v>72</v>
      </c>
      <c r="E8819" s="7" t="s">
        <v>35</v>
      </c>
      <c r="F8819" s="0" t="n">
        <v>16.56</v>
      </c>
      <c r="G8819" s="0" t="n">
        <v>7.7832</v>
      </c>
      <c r="H8819" s="0" t="n">
        <v>0</v>
      </c>
      <c r="I8819" s="7" t="n">
        <f aca="false">YEAR(B8819)</f>
        <v>2015</v>
      </c>
      <c r="J8819" s="0" t="str">
        <f aca="false">I8819&amp;"-Q"&amp;ROUNDUP(MONTH(B8819)/3,0)</f>
        <v>2015-Q4</v>
      </c>
    </row>
    <row r="8820" customFormat="false" ht="15" hidden="false" customHeight="false" outlineLevel="0" collapsed="false">
      <c r="A8820" s="0" t="s">
        <v>4480</v>
      </c>
      <c r="B8820" s="6" t="n">
        <v>42331</v>
      </c>
      <c r="C8820" s="7" t="s">
        <v>55</v>
      </c>
      <c r="D8820" s="7" t="s">
        <v>72</v>
      </c>
      <c r="E8820" s="7" t="s">
        <v>35</v>
      </c>
      <c r="F8820" s="0" t="n">
        <v>38.88</v>
      </c>
      <c r="G8820" s="0" t="n">
        <v>18.6624</v>
      </c>
      <c r="H8820" s="0" t="n">
        <v>0</v>
      </c>
      <c r="I8820" s="7" t="n">
        <f aca="false">YEAR(B8820)</f>
        <v>2015</v>
      </c>
      <c r="J8820" s="0" t="str">
        <f aca="false">I8820&amp;"-Q"&amp;ROUNDUP(MONTH(B8820)/3,0)</f>
        <v>2015-Q4</v>
      </c>
    </row>
    <row r="8821" customFormat="false" ht="15" hidden="false" customHeight="false" outlineLevel="0" collapsed="false">
      <c r="A8821" s="0" t="s">
        <v>4481</v>
      </c>
      <c r="B8821" s="6" t="n">
        <v>42336</v>
      </c>
      <c r="C8821" s="7" t="s">
        <v>45</v>
      </c>
      <c r="D8821" s="7" t="s">
        <v>46</v>
      </c>
      <c r="E8821" s="7" t="s">
        <v>35</v>
      </c>
      <c r="F8821" s="0" t="n">
        <v>335.52</v>
      </c>
      <c r="G8821" s="0" t="n">
        <v>117.432</v>
      </c>
      <c r="H8821" s="0" t="n">
        <v>0.2</v>
      </c>
      <c r="I8821" s="7" t="n">
        <f aca="false">YEAR(B8821)</f>
        <v>2015</v>
      </c>
      <c r="J8821" s="0" t="str">
        <f aca="false">I8821&amp;"-Q"&amp;ROUNDUP(MONTH(B8821)/3,0)</f>
        <v>2015-Q4</v>
      </c>
    </row>
    <row r="8822" customFormat="false" ht="15" hidden="false" customHeight="false" outlineLevel="0" collapsed="false">
      <c r="A8822" s="0" t="s">
        <v>4482</v>
      </c>
      <c r="B8822" s="6" t="n">
        <v>43042</v>
      </c>
      <c r="C8822" s="7" t="s">
        <v>29</v>
      </c>
      <c r="D8822" s="7" t="s">
        <v>37</v>
      </c>
      <c r="E8822" s="7" t="s">
        <v>39</v>
      </c>
      <c r="F8822" s="0" t="n">
        <v>959.984</v>
      </c>
      <c r="G8822" s="0" t="n">
        <v>311.9948</v>
      </c>
      <c r="H8822" s="0" t="n">
        <v>0.2</v>
      </c>
      <c r="I8822" s="7" t="n">
        <f aca="false">YEAR(B8822)</f>
        <v>2017</v>
      </c>
      <c r="J8822" s="0" t="str">
        <f aca="false">I8822&amp;"-Q"&amp;ROUNDUP(MONTH(B8822)/3,0)</f>
        <v>2017-Q4</v>
      </c>
    </row>
    <row r="8823" customFormat="false" ht="15" hidden="false" customHeight="false" outlineLevel="0" collapsed="false">
      <c r="A8823" s="0" t="s">
        <v>4482</v>
      </c>
      <c r="B8823" s="6" t="n">
        <v>43042</v>
      </c>
      <c r="C8823" s="7" t="s">
        <v>29</v>
      </c>
      <c r="D8823" s="7" t="s">
        <v>37</v>
      </c>
      <c r="E8823" s="7" t="s">
        <v>35</v>
      </c>
      <c r="F8823" s="0" t="n">
        <v>4.086</v>
      </c>
      <c r="G8823" s="0" t="n">
        <v>-2.9964</v>
      </c>
      <c r="H8823" s="0" t="n">
        <v>0.7</v>
      </c>
      <c r="I8823" s="7" t="n">
        <f aca="false">YEAR(B8823)</f>
        <v>2017</v>
      </c>
      <c r="J8823" s="0" t="str">
        <f aca="false">I8823&amp;"-Q"&amp;ROUNDUP(MONTH(B8823)/3,0)</f>
        <v>2017-Q4</v>
      </c>
    </row>
    <row r="8824" customFormat="false" ht="15" hidden="false" customHeight="false" outlineLevel="0" collapsed="false">
      <c r="A8824" s="0" t="s">
        <v>4482</v>
      </c>
      <c r="B8824" s="6" t="n">
        <v>43042</v>
      </c>
      <c r="C8824" s="7" t="s">
        <v>29</v>
      </c>
      <c r="D8824" s="7" t="s">
        <v>37</v>
      </c>
      <c r="E8824" s="7" t="s">
        <v>35</v>
      </c>
      <c r="F8824" s="0" t="n">
        <v>55.984</v>
      </c>
      <c r="G8824" s="0" t="n">
        <v>4.1988</v>
      </c>
      <c r="H8824" s="0" t="n">
        <v>0.2</v>
      </c>
      <c r="I8824" s="7" t="n">
        <f aca="false">YEAR(B8824)</f>
        <v>2017</v>
      </c>
      <c r="J8824" s="0" t="str">
        <f aca="false">I8824&amp;"-Q"&amp;ROUNDUP(MONTH(B8824)/3,0)</f>
        <v>2017-Q4</v>
      </c>
    </row>
    <row r="8825" customFormat="false" ht="15" hidden="false" customHeight="false" outlineLevel="0" collapsed="false">
      <c r="A8825" s="0" t="s">
        <v>4482</v>
      </c>
      <c r="B8825" s="6" t="n">
        <v>43042</v>
      </c>
      <c r="C8825" s="7" t="s">
        <v>29</v>
      </c>
      <c r="D8825" s="7" t="s">
        <v>37</v>
      </c>
      <c r="E8825" s="7" t="s">
        <v>35</v>
      </c>
      <c r="F8825" s="0" t="n">
        <v>10.688</v>
      </c>
      <c r="G8825" s="0" t="n">
        <v>3.7408</v>
      </c>
      <c r="H8825" s="0" t="n">
        <v>0.2</v>
      </c>
      <c r="I8825" s="7" t="n">
        <f aca="false">YEAR(B8825)</f>
        <v>2017</v>
      </c>
      <c r="J8825" s="0" t="str">
        <f aca="false">I8825&amp;"-Q"&amp;ROUNDUP(MONTH(B8825)/3,0)</f>
        <v>2017-Q4</v>
      </c>
    </row>
    <row r="8826" customFormat="false" ht="15" hidden="false" customHeight="false" outlineLevel="0" collapsed="false">
      <c r="A8826" s="0" t="s">
        <v>4483</v>
      </c>
      <c r="B8826" s="6" t="n">
        <v>42815</v>
      </c>
      <c r="C8826" s="7" t="s">
        <v>55</v>
      </c>
      <c r="D8826" s="7" t="s">
        <v>56</v>
      </c>
      <c r="E8826" s="7" t="s">
        <v>35</v>
      </c>
      <c r="F8826" s="0" t="n">
        <v>8.856</v>
      </c>
      <c r="G8826" s="0" t="n">
        <v>2.8782</v>
      </c>
      <c r="H8826" s="0" t="n">
        <v>0.2</v>
      </c>
      <c r="I8826" s="7" t="n">
        <f aca="false">YEAR(B8826)</f>
        <v>2017</v>
      </c>
      <c r="J8826" s="0" t="str">
        <f aca="false">I8826&amp;"-Q"&amp;ROUNDUP(MONTH(B8826)/3,0)</f>
        <v>2017-Q1</v>
      </c>
    </row>
    <row r="8827" customFormat="false" ht="15" hidden="false" customHeight="false" outlineLevel="0" collapsed="false">
      <c r="A8827" s="0" t="s">
        <v>4484</v>
      </c>
      <c r="B8827" s="6" t="n">
        <v>42357</v>
      </c>
      <c r="C8827" s="7" t="s">
        <v>55</v>
      </c>
      <c r="D8827" s="7" t="s">
        <v>56</v>
      </c>
      <c r="E8827" s="7" t="s">
        <v>35</v>
      </c>
      <c r="F8827" s="0" t="n">
        <v>6.912</v>
      </c>
      <c r="G8827" s="0" t="n">
        <v>2.5056</v>
      </c>
      <c r="H8827" s="0" t="n">
        <v>0.2</v>
      </c>
      <c r="I8827" s="7" t="n">
        <f aca="false">YEAR(B8827)</f>
        <v>2015</v>
      </c>
      <c r="J8827" s="0" t="str">
        <f aca="false">I8827&amp;"-Q"&amp;ROUNDUP(MONTH(B8827)/3,0)</f>
        <v>2015-Q4</v>
      </c>
    </row>
    <row r="8828" customFormat="false" ht="15" hidden="false" customHeight="false" outlineLevel="0" collapsed="false">
      <c r="A8828" s="0" t="s">
        <v>4485</v>
      </c>
      <c r="B8828" s="6" t="n">
        <v>41731</v>
      </c>
      <c r="C8828" s="7" t="s">
        <v>45</v>
      </c>
      <c r="D8828" s="7" t="s">
        <v>46</v>
      </c>
      <c r="E8828" s="7" t="s">
        <v>35</v>
      </c>
      <c r="F8828" s="0" t="n">
        <v>26.72</v>
      </c>
      <c r="G8828" s="0" t="n">
        <v>9.352</v>
      </c>
      <c r="H8828" s="0" t="n">
        <v>0.2</v>
      </c>
      <c r="I8828" s="7" t="n">
        <f aca="false">YEAR(B8828)</f>
        <v>2014</v>
      </c>
      <c r="J8828" s="0" t="str">
        <f aca="false">I8828&amp;"-Q"&amp;ROUNDUP(MONTH(B8828)/3,0)</f>
        <v>2014-Q2</v>
      </c>
    </row>
    <row r="8829" customFormat="false" ht="15" hidden="false" customHeight="false" outlineLevel="0" collapsed="false">
      <c r="A8829" s="0" t="s">
        <v>4485</v>
      </c>
      <c r="B8829" s="6" t="n">
        <v>41731</v>
      </c>
      <c r="C8829" s="7" t="s">
        <v>45</v>
      </c>
      <c r="D8829" s="7" t="s">
        <v>46</v>
      </c>
      <c r="E8829" s="7" t="s">
        <v>35</v>
      </c>
      <c r="F8829" s="0" t="n">
        <v>33.488</v>
      </c>
      <c r="G8829" s="0" t="n">
        <v>10.465</v>
      </c>
      <c r="H8829" s="0" t="n">
        <v>0.2</v>
      </c>
      <c r="I8829" s="7" t="n">
        <f aca="false">YEAR(B8829)</f>
        <v>2014</v>
      </c>
      <c r="J8829" s="0" t="str">
        <f aca="false">I8829&amp;"-Q"&amp;ROUNDUP(MONTH(B8829)/3,0)</f>
        <v>2014-Q2</v>
      </c>
    </row>
    <row r="8830" customFormat="false" ht="15" hidden="false" customHeight="false" outlineLevel="0" collapsed="false">
      <c r="A8830" s="0" t="s">
        <v>4486</v>
      </c>
      <c r="B8830" s="6" t="n">
        <v>42160</v>
      </c>
      <c r="C8830" s="7" t="s">
        <v>45</v>
      </c>
      <c r="D8830" s="7" t="s">
        <v>129</v>
      </c>
      <c r="E8830" s="7" t="s">
        <v>35</v>
      </c>
      <c r="F8830" s="0" t="n">
        <v>10.56</v>
      </c>
      <c r="G8830" s="0" t="n">
        <v>4.752</v>
      </c>
      <c r="H8830" s="0" t="n">
        <v>0</v>
      </c>
      <c r="I8830" s="7" t="n">
        <f aca="false">YEAR(B8830)</f>
        <v>2015</v>
      </c>
      <c r="J8830" s="0" t="str">
        <f aca="false">I8830&amp;"-Q"&amp;ROUNDUP(MONTH(B8830)/3,0)</f>
        <v>2015-Q2</v>
      </c>
    </row>
    <row r="8831" customFormat="false" ht="15" hidden="false" customHeight="false" outlineLevel="0" collapsed="false">
      <c r="A8831" s="0" t="s">
        <v>4487</v>
      </c>
      <c r="B8831" s="6" t="n">
        <v>41918</v>
      </c>
      <c r="C8831" s="7" t="s">
        <v>45</v>
      </c>
      <c r="D8831" s="7" t="s">
        <v>74</v>
      </c>
      <c r="E8831" s="7" t="s">
        <v>35</v>
      </c>
      <c r="F8831" s="0" t="n">
        <v>386.34</v>
      </c>
      <c r="G8831" s="0" t="n">
        <v>54.0876</v>
      </c>
      <c r="H8831" s="0" t="n">
        <v>0</v>
      </c>
      <c r="I8831" s="7" t="n">
        <f aca="false">YEAR(B8831)</f>
        <v>2014</v>
      </c>
      <c r="J8831" s="0" t="str">
        <f aca="false">I8831&amp;"-Q"&amp;ROUNDUP(MONTH(B8831)/3,0)</f>
        <v>2014-Q4</v>
      </c>
    </row>
    <row r="8832" customFormat="false" ht="15" hidden="false" customHeight="false" outlineLevel="0" collapsed="false">
      <c r="A8832" s="0" t="s">
        <v>4488</v>
      </c>
      <c r="B8832" s="6" t="n">
        <v>42603</v>
      </c>
      <c r="C8832" s="7" t="s">
        <v>33</v>
      </c>
      <c r="D8832" s="7" t="s">
        <v>43</v>
      </c>
      <c r="E8832" s="7" t="s">
        <v>35</v>
      </c>
      <c r="F8832" s="0" t="n">
        <v>33.44</v>
      </c>
      <c r="G8832" s="0" t="n">
        <v>11.704</v>
      </c>
      <c r="H8832" s="0" t="n">
        <v>0.2</v>
      </c>
      <c r="I8832" s="7" t="n">
        <f aca="false">YEAR(B8832)</f>
        <v>2016</v>
      </c>
      <c r="J8832" s="0" t="str">
        <f aca="false">I8832&amp;"-Q"&amp;ROUNDUP(MONTH(B8832)/3,0)</f>
        <v>2016-Q3</v>
      </c>
    </row>
    <row r="8833" customFormat="false" ht="15" hidden="false" customHeight="false" outlineLevel="0" collapsed="false">
      <c r="A8833" s="0" t="s">
        <v>4489</v>
      </c>
      <c r="B8833" s="6" t="n">
        <v>42323</v>
      </c>
      <c r="C8833" s="7" t="s">
        <v>29</v>
      </c>
      <c r="D8833" s="7" t="s">
        <v>83</v>
      </c>
      <c r="E8833" s="7" t="s">
        <v>31</v>
      </c>
      <c r="F8833" s="0" t="n">
        <v>39.96</v>
      </c>
      <c r="G8833" s="0" t="n">
        <v>14.3856</v>
      </c>
      <c r="H8833" s="0" t="n">
        <v>0</v>
      </c>
      <c r="I8833" s="7" t="n">
        <f aca="false">YEAR(B8833)</f>
        <v>2015</v>
      </c>
      <c r="J8833" s="0" t="str">
        <f aca="false">I8833&amp;"-Q"&amp;ROUNDUP(MONTH(B8833)/3,0)</f>
        <v>2015-Q4</v>
      </c>
    </row>
    <row r="8834" customFormat="false" ht="15" hidden="false" customHeight="false" outlineLevel="0" collapsed="false">
      <c r="A8834" s="0" t="s">
        <v>4490</v>
      </c>
      <c r="B8834" s="6" t="n">
        <v>42177</v>
      </c>
      <c r="C8834" s="7" t="s">
        <v>55</v>
      </c>
      <c r="D8834" s="7" t="s">
        <v>76</v>
      </c>
      <c r="E8834" s="7" t="s">
        <v>35</v>
      </c>
      <c r="F8834" s="0" t="n">
        <v>1217.568</v>
      </c>
      <c r="G8834" s="0" t="n">
        <v>456.588</v>
      </c>
      <c r="H8834" s="0" t="n">
        <v>0.2</v>
      </c>
      <c r="I8834" s="7" t="n">
        <f aca="false">YEAR(B8834)</f>
        <v>2015</v>
      </c>
      <c r="J8834" s="0" t="str">
        <f aca="false">I8834&amp;"-Q"&amp;ROUNDUP(MONTH(B8834)/3,0)</f>
        <v>2015-Q2</v>
      </c>
    </row>
    <row r="8835" customFormat="false" ht="15" hidden="false" customHeight="false" outlineLevel="0" collapsed="false">
      <c r="A8835" s="0" t="s">
        <v>4491</v>
      </c>
      <c r="B8835" s="6" t="n">
        <v>43002</v>
      </c>
      <c r="C8835" s="7" t="s">
        <v>29</v>
      </c>
      <c r="D8835" s="7" t="s">
        <v>230</v>
      </c>
      <c r="E8835" s="7" t="s">
        <v>35</v>
      </c>
      <c r="F8835" s="0" t="n">
        <v>15.51</v>
      </c>
      <c r="G8835" s="0" t="n">
        <v>3.8775</v>
      </c>
      <c r="H8835" s="0" t="n">
        <v>0</v>
      </c>
      <c r="I8835" s="7" t="n">
        <f aca="false">YEAR(B8835)</f>
        <v>2017</v>
      </c>
      <c r="J8835" s="0" t="str">
        <f aca="false">I8835&amp;"-Q"&amp;ROUNDUP(MONTH(B8835)/3,0)</f>
        <v>2017-Q3</v>
      </c>
    </row>
    <row r="8836" customFormat="false" ht="15" hidden="false" customHeight="false" outlineLevel="0" collapsed="false">
      <c r="A8836" s="0" t="s">
        <v>4491</v>
      </c>
      <c r="B8836" s="6" t="n">
        <v>43002</v>
      </c>
      <c r="C8836" s="7" t="s">
        <v>29</v>
      </c>
      <c r="D8836" s="7" t="s">
        <v>230</v>
      </c>
      <c r="E8836" s="7" t="s">
        <v>39</v>
      </c>
      <c r="F8836" s="0" t="n">
        <v>89.9</v>
      </c>
      <c r="G8836" s="0" t="n">
        <v>25.172</v>
      </c>
      <c r="H8836" s="0" t="n">
        <v>0</v>
      </c>
      <c r="I8836" s="7" t="n">
        <f aca="false">YEAR(B8836)</f>
        <v>2017</v>
      </c>
      <c r="J8836" s="0" t="str">
        <f aca="false">I8836&amp;"-Q"&amp;ROUNDUP(MONTH(B8836)/3,0)</f>
        <v>2017-Q3</v>
      </c>
    </row>
    <row r="8837" customFormat="false" ht="15" hidden="false" customHeight="false" outlineLevel="0" collapsed="false">
      <c r="A8837" s="0" t="s">
        <v>4491</v>
      </c>
      <c r="B8837" s="6" t="n">
        <v>43002</v>
      </c>
      <c r="C8837" s="7" t="s">
        <v>29</v>
      </c>
      <c r="D8837" s="7" t="s">
        <v>230</v>
      </c>
      <c r="E8837" s="7" t="s">
        <v>35</v>
      </c>
      <c r="F8837" s="0" t="n">
        <v>14.28</v>
      </c>
      <c r="G8837" s="0" t="n">
        <v>3.7128</v>
      </c>
      <c r="H8837" s="0" t="n">
        <v>0</v>
      </c>
      <c r="I8837" s="7" t="n">
        <f aca="false">YEAR(B8837)</f>
        <v>2017</v>
      </c>
      <c r="J8837" s="0" t="str">
        <f aca="false">I8837&amp;"-Q"&amp;ROUNDUP(MONTH(B8837)/3,0)</f>
        <v>2017-Q3</v>
      </c>
    </row>
    <row r="8838" customFormat="false" ht="15" hidden="false" customHeight="false" outlineLevel="0" collapsed="false">
      <c r="A8838" s="0" t="s">
        <v>4491</v>
      </c>
      <c r="B8838" s="6" t="n">
        <v>43002</v>
      </c>
      <c r="C8838" s="7" t="s">
        <v>29</v>
      </c>
      <c r="D8838" s="7" t="s">
        <v>230</v>
      </c>
      <c r="E8838" s="7" t="s">
        <v>35</v>
      </c>
      <c r="F8838" s="0" t="n">
        <v>12.72</v>
      </c>
      <c r="G8838" s="0" t="n">
        <v>4.9608</v>
      </c>
      <c r="H8838" s="0" t="n">
        <v>0</v>
      </c>
      <c r="I8838" s="7" t="n">
        <f aca="false">YEAR(B8838)</f>
        <v>2017</v>
      </c>
      <c r="J8838" s="0" t="str">
        <f aca="false">I8838&amp;"-Q"&amp;ROUNDUP(MONTH(B8838)/3,0)</f>
        <v>2017-Q3</v>
      </c>
    </row>
    <row r="8839" customFormat="false" ht="15" hidden="false" customHeight="false" outlineLevel="0" collapsed="false">
      <c r="A8839" s="0" t="s">
        <v>4491</v>
      </c>
      <c r="B8839" s="6" t="n">
        <v>43002</v>
      </c>
      <c r="C8839" s="7" t="s">
        <v>29</v>
      </c>
      <c r="D8839" s="7" t="s">
        <v>230</v>
      </c>
      <c r="E8839" s="7" t="s">
        <v>35</v>
      </c>
      <c r="F8839" s="0" t="n">
        <v>15.75</v>
      </c>
      <c r="G8839" s="0" t="n">
        <v>7.56</v>
      </c>
      <c r="H8839" s="0" t="n">
        <v>0</v>
      </c>
      <c r="I8839" s="7" t="n">
        <f aca="false">YEAR(B8839)</f>
        <v>2017</v>
      </c>
      <c r="J8839" s="0" t="str">
        <f aca="false">I8839&amp;"-Q"&amp;ROUNDUP(MONTH(B8839)/3,0)</f>
        <v>2017-Q3</v>
      </c>
    </row>
    <row r="8840" customFormat="false" ht="15" hidden="false" customHeight="false" outlineLevel="0" collapsed="false">
      <c r="A8840" s="0" t="s">
        <v>4492</v>
      </c>
      <c r="B8840" s="6" t="n">
        <v>41735</v>
      </c>
      <c r="C8840" s="7" t="s">
        <v>33</v>
      </c>
      <c r="D8840" s="7" t="s">
        <v>34</v>
      </c>
      <c r="E8840" s="7" t="s">
        <v>35</v>
      </c>
      <c r="F8840" s="0" t="n">
        <v>70.95</v>
      </c>
      <c r="G8840" s="0" t="n">
        <v>18.447</v>
      </c>
      <c r="H8840" s="0" t="n">
        <v>0</v>
      </c>
      <c r="I8840" s="7" t="n">
        <f aca="false">YEAR(B8840)</f>
        <v>2014</v>
      </c>
      <c r="J8840" s="0" t="str">
        <f aca="false">I8840&amp;"-Q"&amp;ROUNDUP(MONTH(B8840)/3,0)</f>
        <v>2014-Q2</v>
      </c>
    </row>
    <row r="8841" customFormat="false" ht="15" hidden="false" customHeight="false" outlineLevel="0" collapsed="false">
      <c r="A8841" s="0" t="s">
        <v>4492</v>
      </c>
      <c r="B8841" s="6" t="n">
        <v>41735</v>
      </c>
      <c r="C8841" s="7" t="s">
        <v>33</v>
      </c>
      <c r="D8841" s="7" t="s">
        <v>34</v>
      </c>
      <c r="E8841" s="7" t="s">
        <v>35</v>
      </c>
      <c r="F8841" s="0" t="n">
        <v>65.568</v>
      </c>
      <c r="G8841" s="0" t="n">
        <v>23.7684</v>
      </c>
      <c r="H8841" s="0" t="n">
        <v>0.2</v>
      </c>
      <c r="I8841" s="7" t="n">
        <f aca="false">YEAR(B8841)</f>
        <v>2014</v>
      </c>
      <c r="J8841" s="0" t="str">
        <f aca="false">I8841&amp;"-Q"&amp;ROUNDUP(MONTH(B8841)/3,0)</f>
        <v>2014-Q2</v>
      </c>
    </row>
    <row r="8842" customFormat="false" ht="15" hidden="false" customHeight="false" outlineLevel="0" collapsed="false">
      <c r="A8842" s="0" t="s">
        <v>4492</v>
      </c>
      <c r="B8842" s="6" t="n">
        <v>41735</v>
      </c>
      <c r="C8842" s="7" t="s">
        <v>33</v>
      </c>
      <c r="D8842" s="7" t="s">
        <v>34</v>
      </c>
      <c r="E8842" s="7" t="s">
        <v>39</v>
      </c>
      <c r="F8842" s="0" t="n">
        <v>299.97</v>
      </c>
      <c r="G8842" s="0" t="n">
        <v>131.9868</v>
      </c>
      <c r="H8842" s="0" t="n">
        <v>0</v>
      </c>
      <c r="I8842" s="7" t="n">
        <f aca="false">YEAR(B8842)</f>
        <v>2014</v>
      </c>
      <c r="J8842" s="0" t="str">
        <f aca="false">I8842&amp;"-Q"&amp;ROUNDUP(MONTH(B8842)/3,0)</f>
        <v>2014-Q2</v>
      </c>
    </row>
    <row r="8843" customFormat="false" ht="15" hidden="false" customHeight="false" outlineLevel="0" collapsed="false">
      <c r="A8843" s="0" t="s">
        <v>4493</v>
      </c>
      <c r="B8843" s="6" t="n">
        <v>42409</v>
      </c>
      <c r="C8843" s="7" t="s">
        <v>33</v>
      </c>
      <c r="D8843" s="7" t="s">
        <v>34</v>
      </c>
      <c r="E8843" s="7" t="s">
        <v>39</v>
      </c>
      <c r="F8843" s="0" t="n">
        <v>89.97</v>
      </c>
      <c r="G8843" s="0" t="n">
        <v>39.5868</v>
      </c>
      <c r="H8843" s="0" t="n">
        <v>0</v>
      </c>
      <c r="I8843" s="7" t="n">
        <f aca="false">YEAR(B8843)</f>
        <v>2016</v>
      </c>
      <c r="J8843" s="0" t="str">
        <f aca="false">I8843&amp;"-Q"&amp;ROUNDUP(MONTH(B8843)/3,0)</f>
        <v>2016-Q1</v>
      </c>
    </row>
    <row r="8844" customFormat="false" ht="15" hidden="false" customHeight="false" outlineLevel="0" collapsed="false">
      <c r="A8844" s="0" t="s">
        <v>4493</v>
      </c>
      <c r="B8844" s="6" t="n">
        <v>42409</v>
      </c>
      <c r="C8844" s="7" t="s">
        <v>33</v>
      </c>
      <c r="D8844" s="7" t="s">
        <v>34</v>
      </c>
      <c r="E8844" s="7" t="s">
        <v>39</v>
      </c>
      <c r="F8844" s="0" t="n">
        <v>31.86</v>
      </c>
      <c r="G8844" s="0" t="n">
        <v>11.151</v>
      </c>
      <c r="H8844" s="0" t="n">
        <v>0</v>
      </c>
      <c r="I8844" s="7" t="n">
        <f aca="false">YEAR(B8844)</f>
        <v>2016</v>
      </c>
      <c r="J8844" s="0" t="str">
        <f aca="false">I8844&amp;"-Q"&amp;ROUNDUP(MONTH(B8844)/3,0)</f>
        <v>2016-Q1</v>
      </c>
    </row>
    <row r="8845" customFormat="false" ht="15" hidden="false" customHeight="false" outlineLevel="0" collapsed="false">
      <c r="A8845" s="0" t="s">
        <v>4494</v>
      </c>
      <c r="B8845" s="6" t="n">
        <v>41961</v>
      </c>
      <c r="C8845" s="7" t="s">
        <v>45</v>
      </c>
      <c r="D8845" s="7" t="s">
        <v>68</v>
      </c>
      <c r="E8845" s="7" t="s">
        <v>35</v>
      </c>
      <c r="F8845" s="0" t="n">
        <v>67.15</v>
      </c>
      <c r="G8845" s="0" t="n">
        <v>16.7875</v>
      </c>
      <c r="H8845" s="0" t="n">
        <v>0</v>
      </c>
      <c r="I8845" s="7" t="n">
        <f aca="false">YEAR(B8845)</f>
        <v>2014</v>
      </c>
      <c r="J8845" s="0" t="str">
        <f aca="false">I8845&amp;"-Q"&amp;ROUNDUP(MONTH(B8845)/3,0)</f>
        <v>2014-Q4</v>
      </c>
    </row>
    <row r="8846" customFormat="false" ht="15" hidden="false" customHeight="false" outlineLevel="0" collapsed="false">
      <c r="A8846" s="0" t="s">
        <v>4495</v>
      </c>
      <c r="B8846" s="6" t="n">
        <v>43087</v>
      </c>
      <c r="C8846" s="7" t="s">
        <v>55</v>
      </c>
      <c r="D8846" s="7" t="s">
        <v>116</v>
      </c>
      <c r="E8846" s="7" t="s">
        <v>35</v>
      </c>
      <c r="F8846" s="0" t="n">
        <v>7.236</v>
      </c>
      <c r="G8846" s="0" t="n">
        <v>-6.03</v>
      </c>
      <c r="H8846" s="0" t="n">
        <v>0.7</v>
      </c>
      <c r="I8846" s="7" t="n">
        <f aca="false">YEAR(B8846)</f>
        <v>2017</v>
      </c>
      <c r="J8846" s="0" t="str">
        <f aca="false">I8846&amp;"-Q"&amp;ROUNDUP(MONTH(B8846)/3,0)</f>
        <v>2017-Q4</v>
      </c>
    </row>
    <row r="8847" customFormat="false" ht="15" hidden="false" customHeight="false" outlineLevel="0" collapsed="false">
      <c r="A8847" s="0" t="s">
        <v>4495</v>
      </c>
      <c r="B8847" s="6" t="n">
        <v>43087</v>
      </c>
      <c r="C8847" s="7" t="s">
        <v>55</v>
      </c>
      <c r="D8847" s="7" t="s">
        <v>116</v>
      </c>
      <c r="E8847" s="7" t="s">
        <v>35</v>
      </c>
      <c r="F8847" s="0" t="n">
        <v>4.824</v>
      </c>
      <c r="G8847" s="0" t="n">
        <v>1.7487</v>
      </c>
      <c r="H8847" s="0" t="n">
        <v>0.2</v>
      </c>
      <c r="I8847" s="7" t="n">
        <f aca="false">YEAR(B8847)</f>
        <v>2017</v>
      </c>
      <c r="J8847" s="0" t="str">
        <f aca="false">I8847&amp;"-Q"&amp;ROUNDUP(MONTH(B8847)/3,0)</f>
        <v>2017-Q4</v>
      </c>
    </row>
    <row r="8848" customFormat="false" ht="15" hidden="false" customHeight="false" outlineLevel="0" collapsed="false">
      <c r="A8848" s="0" t="s">
        <v>4495</v>
      </c>
      <c r="B8848" s="6" t="n">
        <v>43087</v>
      </c>
      <c r="C8848" s="7" t="s">
        <v>55</v>
      </c>
      <c r="D8848" s="7" t="s">
        <v>116</v>
      </c>
      <c r="E8848" s="7" t="s">
        <v>35</v>
      </c>
      <c r="F8848" s="0" t="n">
        <v>91.36</v>
      </c>
      <c r="G8848" s="0" t="n">
        <v>29.692</v>
      </c>
      <c r="H8848" s="0" t="n">
        <v>0.2</v>
      </c>
      <c r="I8848" s="7" t="n">
        <f aca="false">YEAR(B8848)</f>
        <v>2017</v>
      </c>
      <c r="J8848" s="0" t="str">
        <f aca="false">I8848&amp;"-Q"&amp;ROUNDUP(MONTH(B8848)/3,0)</f>
        <v>2017-Q4</v>
      </c>
    </row>
    <row r="8849" customFormat="false" ht="15" hidden="false" customHeight="false" outlineLevel="0" collapsed="false">
      <c r="A8849" s="0" t="s">
        <v>4495</v>
      </c>
      <c r="B8849" s="6" t="n">
        <v>43087</v>
      </c>
      <c r="C8849" s="7" t="s">
        <v>55</v>
      </c>
      <c r="D8849" s="7" t="s">
        <v>116</v>
      </c>
      <c r="E8849" s="7" t="s">
        <v>35</v>
      </c>
      <c r="F8849" s="0" t="n">
        <v>130.112</v>
      </c>
      <c r="G8849" s="0" t="n">
        <v>13.0112</v>
      </c>
      <c r="H8849" s="0" t="n">
        <v>0.2</v>
      </c>
      <c r="I8849" s="7" t="n">
        <f aca="false">YEAR(B8849)</f>
        <v>2017</v>
      </c>
      <c r="J8849" s="0" t="str">
        <f aca="false">I8849&amp;"-Q"&amp;ROUNDUP(MONTH(B8849)/3,0)</f>
        <v>2017-Q4</v>
      </c>
    </row>
    <row r="8850" customFormat="false" ht="15" hidden="false" customHeight="false" outlineLevel="0" collapsed="false">
      <c r="A8850" s="0" t="s">
        <v>4496</v>
      </c>
      <c r="B8850" s="6" t="n">
        <v>42187</v>
      </c>
      <c r="C8850" s="7" t="s">
        <v>29</v>
      </c>
      <c r="D8850" s="7" t="s">
        <v>41</v>
      </c>
      <c r="E8850" s="7" t="s">
        <v>39</v>
      </c>
      <c r="F8850" s="0" t="n">
        <v>74.24</v>
      </c>
      <c r="G8850" s="0" t="n">
        <v>8.352</v>
      </c>
      <c r="H8850" s="0" t="n">
        <v>0.2</v>
      </c>
      <c r="I8850" s="7" t="n">
        <f aca="false">YEAR(B8850)</f>
        <v>2015</v>
      </c>
      <c r="J8850" s="0" t="str">
        <f aca="false">I8850&amp;"-Q"&amp;ROUNDUP(MONTH(B8850)/3,0)</f>
        <v>2015-Q3</v>
      </c>
    </row>
    <row r="8851" customFormat="false" ht="15" hidden="false" customHeight="false" outlineLevel="0" collapsed="false">
      <c r="A8851" s="0" t="s">
        <v>4496</v>
      </c>
      <c r="B8851" s="6" t="n">
        <v>42187</v>
      </c>
      <c r="C8851" s="7" t="s">
        <v>29</v>
      </c>
      <c r="D8851" s="7" t="s">
        <v>41</v>
      </c>
      <c r="E8851" s="7" t="s">
        <v>31</v>
      </c>
      <c r="F8851" s="0" t="n">
        <v>159.84</v>
      </c>
      <c r="G8851" s="0" t="n">
        <v>45.954</v>
      </c>
      <c r="H8851" s="0" t="n">
        <v>0.2</v>
      </c>
      <c r="I8851" s="7" t="n">
        <f aca="false">YEAR(B8851)</f>
        <v>2015</v>
      </c>
      <c r="J8851" s="0" t="str">
        <f aca="false">I8851&amp;"-Q"&amp;ROUNDUP(MONTH(B8851)/3,0)</f>
        <v>2015-Q3</v>
      </c>
    </row>
    <row r="8852" customFormat="false" ht="15" hidden="false" customHeight="false" outlineLevel="0" collapsed="false">
      <c r="A8852" s="0" t="s">
        <v>4496</v>
      </c>
      <c r="B8852" s="6" t="n">
        <v>42187</v>
      </c>
      <c r="C8852" s="7" t="s">
        <v>29</v>
      </c>
      <c r="D8852" s="7" t="s">
        <v>41</v>
      </c>
      <c r="E8852" s="7" t="s">
        <v>35</v>
      </c>
      <c r="F8852" s="0" t="n">
        <v>2.892</v>
      </c>
      <c r="G8852" s="0" t="n">
        <v>-2.3136</v>
      </c>
      <c r="H8852" s="0" t="n">
        <v>0.7</v>
      </c>
      <c r="I8852" s="7" t="n">
        <f aca="false">YEAR(B8852)</f>
        <v>2015</v>
      </c>
      <c r="J8852" s="0" t="str">
        <f aca="false">I8852&amp;"-Q"&amp;ROUNDUP(MONTH(B8852)/3,0)</f>
        <v>2015-Q3</v>
      </c>
    </row>
    <row r="8853" customFormat="false" ht="15" hidden="false" customHeight="false" outlineLevel="0" collapsed="false">
      <c r="A8853" s="0" t="s">
        <v>4496</v>
      </c>
      <c r="B8853" s="6" t="n">
        <v>42187</v>
      </c>
      <c r="C8853" s="7" t="s">
        <v>29</v>
      </c>
      <c r="D8853" s="7" t="s">
        <v>41</v>
      </c>
      <c r="E8853" s="7" t="s">
        <v>35</v>
      </c>
      <c r="F8853" s="0" t="n">
        <v>9.392</v>
      </c>
      <c r="G8853" s="0" t="n">
        <v>3.2872</v>
      </c>
      <c r="H8853" s="0" t="n">
        <v>0.2</v>
      </c>
      <c r="I8853" s="7" t="n">
        <f aca="false">YEAR(B8853)</f>
        <v>2015</v>
      </c>
      <c r="J8853" s="0" t="str">
        <f aca="false">I8853&amp;"-Q"&amp;ROUNDUP(MONTH(B8853)/3,0)</f>
        <v>2015-Q3</v>
      </c>
    </row>
    <row r="8854" customFormat="false" ht="15" hidden="false" customHeight="false" outlineLevel="0" collapsed="false">
      <c r="A8854" s="0" t="s">
        <v>4497</v>
      </c>
      <c r="B8854" s="6" t="n">
        <v>41920</v>
      </c>
      <c r="C8854" s="7" t="s">
        <v>55</v>
      </c>
      <c r="D8854" s="7" t="s">
        <v>76</v>
      </c>
      <c r="E8854" s="7" t="s">
        <v>35</v>
      </c>
      <c r="F8854" s="0" t="n">
        <v>123.92</v>
      </c>
      <c r="G8854" s="0" t="n">
        <v>55.764</v>
      </c>
      <c r="H8854" s="0" t="n">
        <v>0</v>
      </c>
      <c r="I8854" s="7" t="n">
        <f aca="false">YEAR(B8854)</f>
        <v>2014</v>
      </c>
      <c r="J8854" s="0" t="str">
        <f aca="false">I8854&amp;"-Q"&amp;ROUNDUP(MONTH(B8854)/3,0)</f>
        <v>2014-Q4</v>
      </c>
    </row>
    <row r="8855" customFormat="false" ht="15" hidden="false" customHeight="false" outlineLevel="0" collapsed="false">
      <c r="A8855" s="0" t="s">
        <v>4498</v>
      </c>
      <c r="B8855" s="6" t="n">
        <v>42269</v>
      </c>
      <c r="C8855" s="7" t="s">
        <v>55</v>
      </c>
      <c r="D8855" s="7" t="s">
        <v>56</v>
      </c>
      <c r="E8855" s="7" t="s">
        <v>35</v>
      </c>
      <c r="F8855" s="0" t="n">
        <v>55.6</v>
      </c>
      <c r="G8855" s="0" t="n">
        <v>6.255</v>
      </c>
      <c r="H8855" s="0" t="n">
        <v>0.2</v>
      </c>
      <c r="I8855" s="7" t="n">
        <f aca="false">YEAR(B8855)</f>
        <v>2015</v>
      </c>
      <c r="J8855" s="0" t="str">
        <f aca="false">I8855&amp;"-Q"&amp;ROUNDUP(MONTH(B8855)/3,0)</f>
        <v>2015-Q3</v>
      </c>
    </row>
    <row r="8856" customFormat="false" ht="15" hidden="false" customHeight="false" outlineLevel="0" collapsed="false">
      <c r="A8856" s="0" t="s">
        <v>4498</v>
      </c>
      <c r="B8856" s="6" t="n">
        <v>42269</v>
      </c>
      <c r="C8856" s="7" t="s">
        <v>55</v>
      </c>
      <c r="D8856" s="7" t="s">
        <v>56</v>
      </c>
      <c r="E8856" s="7" t="s">
        <v>39</v>
      </c>
      <c r="F8856" s="0" t="n">
        <v>617.976</v>
      </c>
      <c r="G8856" s="0" t="n">
        <v>-7.7247</v>
      </c>
      <c r="H8856" s="0" t="n">
        <v>0.2</v>
      </c>
      <c r="I8856" s="7" t="n">
        <f aca="false">YEAR(B8856)</f>
        <v>2015</v>
      </c>
      <c r="J8856" s="0" t="str">
        <f aca="false">I8856&amp;"-Q"&amp;ROUNDUP(MONTH(B8856)/3,0)</f>
        <v>2015-Q3</v>
      </c>
    </row>
    <row r="8857" customFormat="false" ht="15" hidden="false" customHeight="false" outlineLevel="0" collapsed="false">
      <c r="A8857" s="0" t="s">
        <v>4499</v>
      </c>
      <c r="B8857" s="6" t="n">
        <v>43093</v>
      </c>
      <c r="C8857" s="7" t="s">
        <v>33</v>
      </c>
      <c r="D8857" s="7" t="s">
        <v>1599</v>
      </c>
      <c r="E8857" s="7" t="s">
        <v>35</v>
      </c>
      <c r="F8857" s="0" t="n">
        <v>21.312</v>
      </c>
      <c r="G8857" s="0" t="n">
        <v>7.992</v>
      </c>
      <c r="H8857" s="0" t="n">
        <v>0.2</v>
      </c>
      <c r="I8857" s="7" t="n">
        <f aca="false">YEAR(B8857)</f>
        <v>2017</v>
      </c>
      <c r="J8857" s="0" t="str">
        <f aca="false">I8857&amp;"-Q"&amp;ROUNDUP(MONTH(B8857)/3,0)</f>
        <v>2017-Q4</v>
      </c>
    </row>
    <row r="8858" customFormat="false" ht="15" hidden="false" customHeight="false" outlineLevel="0" collapsed="false">
      <c r="A8858" s="0" t="s">
        <v>4500</v>
      </c>
      <c r="B8858" s="6" t="n">
        <v>43021</v>
      </c>
      <c r="C8858" s="7" t="s">
        <v>33</v>
      </c>
      <c r="D8858" s="7" t="s">
        <v>34</v>
      </c>
      <c r="E8858" s="7" t="s">
        <v>39</v>
      </c>
      <c r="F8858" s="0" t="n">
        <v>209.94</v>
      </c>
      <c r="G8858" s="0" t="n">
        <v>39.8886</v>
      </c>
      <c r="H8858" s="0" t="n">
        <v>0</v>
      </c>
      <c r="I8858" s="7" t="n">
        <f aca="false">YEAR(B8858)</f>
        <v>2017</v>
      </c>
      <c r="J8858" s="0" t="str">
        <f aca="false">I8858&amp;"-Q"&amp;ROUNDUP(MONTH(B8858)/3,0)</f>
        <v>2017-Q4</v>
      </c>
    </row>
    <row r="8859" customFormat="false" ht="15" hidden="false" customHeight="false" outlineLevel="0" collapsed="false">
      <c r="A8859" s="0" t="s">
        <v>4500</v>
      </c>
      <c r="B8859" s="6" t="n">
        <v>43021</v>
      </c>
      <c r="C8859" s="7" t="s">
        <v>33</v>
      </c>
      <c r="D8859" s="7" t="s">
        <v>34</v>
      </c>
      <c r="E8859" s="7" t="s">
        <v>39</v>
      </c>
      <c r="F8859" s="0" t="n">
        <v>31.984</v>
      </c>
      <c r="G8859" s="0" t="n">
        <v>-7.996</v>
      </c>
      <c r="H8859" s="0" t="n">
        <v>0.2</v>
      </c>
      <c r="I8859" s="7" t="n">
        <f aca="false">YEAR(B8859)</f>
        <v>2017</v>
      </c>
      <c r="J8859" s="0" t="str">
        <f aca="false">I8859&amp;"-Q"&amp;ROUNDUP(MONTH(B8859)/3,0)</f>
        <v>2017-Q4</v>
      </c>
    </row>
    <row r="8860" customFormat="false" ht="15" hidden="false" customHeight="false" outlineLevel="0" collapsed="false">
      <c r="A8860" s="0" t="s">
        <v>4500</v>
      </c>
      <c r="B8860" s="6" t="n">
        <v>43021</v>
      </c>
      <c r="C8860" s="7" t="s">
        <v>33</v>
      </c>
      <c r="D8860" s="7" t="s">
        <v>34</v>
      </c>
      <c r="E8860" s="7" t="s">
        <v>35</v>
      </c>
      <c r="F8860" s="0" t="n">
        <v>5083.96</v>
      </c>
      <c r="G8860" s="0" t="n">
        <v>1906.485</v>
      </c>
      <c r="H8860" s="0" t="n">
        <v>0.2</v>
      </c>
      <c r="I8860" s="7" t="n">
        <f aca="false">YEAR(B8860)</f>
        <v>2017</v>
      </c>
      <c r="J8860" s="0" t="str">
        <f aca="false">I8860&amp;"-Q"&amp;ROUNDUP(MONTH(B8860)/3,0)</f>
        <v>2017-Q4</v>
      </c>
    </row>
    <row r="8861" customFormat="false" ht="15" hidden="false" customHeight="false" outlineLevel="0" collapsed="false">
      <c r="A8861" s="0" t="s">
        <v>4501</v>
      </c>
      <c r="B8861" s="6" t="n">
        <v>42967</v>
      </c>
      <c r="C8861" s="7" t="s">
        <v>29</v>
      </c>
      <c r="D8861" s="7" t="s">
        <v>41</v>
      </c>
      <c r="E8861" s="7" t="s">
        <v>39</v>
      </c>
      <c r="F8861" s="0" t="n">
        <v>35.96</v>
      </c>
      <c r="G8861" s="0" t="n">
        <v>3.596</v>
      </c>
      <c r="H8861" s="0" t="n">
        <v>0.2</v>
      </c>
      <c r="I8861" s="7" t="n">
        <f aca="false">YEAR(B8861)</f>
        <v>2017</v>
      </c>
      <c r="J8861" s="0" t="str">
        <f aca="false">I8861&amp;"-Q"&amp;ROUNDUP(MONTH(B8861)/3,0)</f>
        <v>2017-Q3</v>
      </c>
    </row>
    <row r="8862" customFormat="false" ht="15" hidden="false" customHeight="false" outlineLevel="0" collapsed="false">
      <c r="A8862" s="0" t="s">
        <v>4502</v>
      </c>
      <c r="B8862" s="6" t="n">
        <v>42258</v>
      </c>
      <c r="C8862" s="7" t="s">
        <v>55</v>
      </c>
      <c r="D8862" s="7" t="s">
        <v>161</v>
      </c>
      <c r="E8862" s="7" t="s">
        <v>35</v>
      </c>
      <c r="F8862" s="0" t="n">
        <v>31.05</v>
      </c>
      <c r="G8862" s="0" t="n">
        <v>14.904</v>
      </c>
      <c r="H8862" s="0" t="n">
        <v>0</v>
      </c>
      <c r="I8862" s="7" t="n">
        <f aca="false">YEAR(B8862)</f>
        <v>2015</v>
      </c>
      <c r="J8862" s="0" t="str">
        <f aca="false">I8862&amp;"-Q"&amp;ROUNDUP(MONTH(B8862)/3,0)</f>
        <v>2015-Q3</v>
      </c>
    </row>
    <row r="8863" customFormat="false" ht="15" hidden="false" customHeight="false" outlineLevel="0" collapsed="false">
      <c r="A8863" s="0" t="s">
        <v>4502</v>
      </c>
      <c r="B8863" s="6" t="n">
        <v>42258</v>
      </c>
      <c r="C8863" s="7" t="s">
        <v>55</v>
      </c>
      <c r="D8863" s="7" t="s">
        <v>161</v>
      </c>
      <c r="E8863" s="7" t="s">
        <v>31</v>
      </c>
      <c r="F8863" s="0" t="n">
        <v>8.92</v>
      </c>
      <c r="G8863" s="0" t="n">
        <v>3.9248</v>
      </c>
      <c r="H8863" s="0" t="n">
        <v>0</v>
      </c>
      <c r="I8863" s="7" t="n">
        <f aca="false">YEAR(B8863)</f>
        <v>2015</v>
      </c>
      <c r="J8863" s="0" t="str">
        <f aca="false">I8863&amp;"-Q"&amp;ROUNDUP(MONTH(B8863)/3,0)</f>
        <v>2015-Q3</v>
      </c>
    </row>
    <row r="8864" customFormat="false" ht="15" hidden="false" customHeight="false" outlineLevel="0" collapsed="false">
      <c r="A8864" s="0" t="s">
        <v>4502</v>
      </c>
      <c r="B8864" s="6" t="n">
        <v>42258</v>
      </c>
      <c r="C8864" s="7" t="s">
        <v>55</v>
      </c>
      <c r="D8864" s="7" t="s">
        <v>161</v>
      </c>
      <c r="E8864" s="7" t="s">
        <v>35</v>
      </c>
      <c r="F8864" s="0" t="n">
        <v>209.6</v>
      </c>
      <c r="G8864" s="0" t="n">
        <v>96.416</v>
      </c>
      <c r="H8864" s="0" t="n">
        <v>0</v>
      </c>
      <c r="I8864" s="7" t="n">
        <f aca="false">YEAR(B8864)</f>
        <v>2015</v>
      </c>
      <c r="J8864" s="0" t="str">
        <f aca="false">I8864&amp;"-Q"&amp;ROUNDUP(MONTH(B8864)/3,0)</f>
        <v>2015-Q3</v>
      </c>
    </row>
    <row r="8865" customFormat="false" ht="15" hidden="false" customHeight="false" outlineLevel="0" collapsed="false">
      <c r="A8865" s="0" t="s">
        <v>4502</v>
      </c>
      <c r="B8865" s="6" t="n">
        <v>42258</v>
      </c>
      <c r="C8865" s="7" t="s">
        <v>55</v>
      </c>
      <c r="D8865" s="7" t="s">
        <v>161</v>
      </c>
      <c r="E8865" s="7" t="s">
        <v>35</v>
      </c>
      <c r="F8865" s="0" t="n">
        <v>111.04</v>
      </c>
      <c r="G8865" s="0" t="n">
        <v>29.9808</v>
      </c>
      <c r="H8865" s="0" t="n">
        <v>0</v>
      </c>
      <c r="I8865" s="7" t="n">
        <f aca="false">YEAR(B8865)</f>
        <v>2015</v>
      </c>
      <c r="J8865" s="0" t="str">
        <f aca="false">I8865&amp;"-Q"&amp;ROUNDUP(MONTH(B8865)/3,0)</f>
        <v>2015-Q3</v>
      </c>
    </row>
    <row r="8866" customFormat="false" ht="15" hidden="false" customHeight="false" outlineLevel="0" collapsed="false">
      <c r="A8866" s="0" t="s">
        <v>4502</v>
      </c>
      <c r="B8866" s="6" t="n">
        <v>42258</v>
      </c>
      <c r="C8866" s="7" t="s">
        <v>55</v>
      </c>
      <c r="D8866" s="7" t="s">
        <v>161</v>
      </c>
      <c r="E8866" s="7" t="s">
        <v>35</v>
      </c>
      <c r="F8866" s="0" t="n">
        <v>38.88</v>
      </c>
      <c r="G8866" s="0" t="n">
        <v>18.6624</v>
      </c>
      <c r="H8866" s="0" t="n">
        <v>0</v>
      </c>
      <c r="I8866" s="7" t="n">
        <f aca="false">YEAR(B8866)</f>
        <v>2015</v>
      </c>
      <c r="J8866" s="0" t="str">
        <f aca="false">I8866&amp;"-Q"&amp;ROUNDUP(MONTH(B8866)/3,0)</f>
        <v>2015-Q3</v>
      </c>
    </row>
    <row r="8867" customFormat="false" ht="15" hidden="false" customHeight="false" outlineLevel="0" collapsed="false">
      <c r="A8867" s="0" t="s">
        <v>4503</v>
      </c>
      <c r="B8867" s="6" t="n">
        <v>42358</v>
      </c>
      <c r="C8867" s="7" t="s">
        <v>29</v>
      </c>
      <c r="D8867" s="7" t="s">
        <v>83</v>
      </c>
      <c r="E8867" s="7" t="s">
        <v>35</v>
      </c>
      <c r="F8867" s="0" t="n">
        <v>36.27</v>
      </c>
      <c r="G8867" s="0" t="n">
        <v>10.881</v>
      </c>
      <c r="H8867" s="0" t="n">
        <v>0</v>
      </c>
      <c r="I8867" s="7" t="n">
        <f aca="false">YEAR(B8867)</f>
        <v>2015</v>
      </c>
      <c r="J8867" s="0" t="str">
        <f aca="false">I8867&amp;"-Q"&amp;ROUNDUP(MONTH(B8867)/3,0)</f>
        <v>2015-Q4</v>
      </c>
    </row>
    <row r="8868" customFormat="false" ht="15" hidden="false" customHeight="false" outlineLevel="0" collapsed="false">
      <c r="A8868" s="0" t="s">
        <v>4504</v>
      </c>
      <c r="B8868" s="6" t="n">
        <v>41902</v>
      </c>
      <c r="C8868" s="7" t="s">
        <v>45</v>
      </c>
      <c r="D8868" s="7" t="s">
        <v>64</v>
      </c>
      <c r="E8868" s="7" t="s">
        <v>31</v>
      </c>
      <c r="F8868" s="0" t="n">
        <v>493.43</v>
      </c>
      <c r="G8868" s="0" t="n">
        <v>-70.49</v>
      </c>
      <c r="H8868" s="0" t="n">
        <v>0.3</v>
      </c>
      <c r="I8868" s="7" t="n">
        <f aca="false">YEAR(B8868)</f>
        <v>2014</v>
      </c>
      <c r="J8868" s="0" t="str">
        <f aca="false">I8868&amp;"-Q"&amp;ROUNDUP(MONTH(B8868)/3,0)</f>
        <v>2014-Q3</v>
      </c>
    </row>
    <row r="8869" customFormat="false" ht="15" hidden="false" customHeight="false" outlineLevel="0" collapsed="false">
      <c r="A8869" s="0" t="s">
        <v>4504</v>
      </c>
      <c r="B8869" s="6" t="n">
        <v>41902</v>
      </c>
      <c r="C8869" s="7" t="s">
        <v>45</v>
      </c>
      <c r="D8869" s="7" t="s">
        <v>64</v>
      </c>
      <c r="E8869" s="7" t="s">
        <v>39</v>
      </c>
      <c r="F8869" s="0" t="n">
        <v>11.12</v>
      </c>
      <c r="G8869" s="0" t="n">
        <v>3.475</v>
      </c>
      <c r="H8869" s="0" t="n">
        <v>0.2</v>
      </c>
      <c r="I8869" s="7" t="n">
        <f aca="false">YEAR(B8869)</f>
        <v>2014</v>
      </c>
      <c r="J8869" s="0" t="str">
        <f aca="false">I8869&amp;"-Q"&amp;ROUNDUP(MONTH(B8869)/3,0)</f>
        <v>2014-Q3</v>
      </c>
    </row>
    <row r="8870" customFormat="false" ht="15" hidden="false" customHeight="false" outlineLevel="0" collapsed="false">
      <c r="A8870" s="0" t="s">
        <v>4505</v>
      </c>
      <c r="B8870" s="6" t="n">
        <v>42678</v>
      </c>
      <c r="C8870" s="7" t="s">
        <v>33</v>
      </c>
      <c r="D8870" s="7" t="s">
        <v>34</v>
      </c>
      <c r="E8870" s="7" t="s">
        <v>39</v>
      </c>
      <c r="F8870" s="0" t="n">
        <v>686.4</v>
      </c>
      <c r="G8870" s="0" t="n">
        <v>77.22</v>
      </c>
      <c r="H8870" s="0" t="n">
        <v>0.2</v>
      </c>
      <c r="I8870" s="7" t="n">
        <f aca="false">YEAR(B8870)</f>
        <v>2016</v>
      </c>
      <c r="J8870" s="0" t="str">
        <f aca="false">I8870&amp;"-Q"&amp;ROUNDUP(MONTH(B8870)/3,0)</f>
        <v>2016-Q4</v>
      </c>
    </row>
    <row r="8871" customFormat="false" ht="15" hidden="false" customHeight="false" outlineLevel="0" collapsed="false">
      <c r="A8871" s="0" t="s">
        <v>4506</v>
      </c>
      <c r="B8871" s="6" t="n">
        <v>43070</v>
      </c>
      <c r="C8871" s="7" t="s">
        <v>33</v>
      </c>
      <c r="D8871" s="7" t="s">
        <v>43</v>
      </c>
      <c r="E8871" s="7" t="s">
        <v>35</v>
      </c>
      <c r="F8871" s="0" t="n">
        <v>15.92</v>
      </c>
      <c r="G8871" s="0" t="n">
        <v>5.373</v>
      </c>
      <c r="H8871" s="0" t="n">
        <v>0.2</v>
      </c>
      <c r="I8871" s="7" t="n">
        <f aca="false">YEAR(B8871)</f>
        <v>2017</v>
      </c>
      <c r="J8871" s="0" t="str">
        <f aca="false">I8871&amp;"-Q"&amp;ROUNDUP(MONTH(B8871)/3,0)</f>
        <v>2017-Q4</v>
      </c>
    </row>
    <row r="8872" customFormat="false" ht="15" hidden="false" customHeight="false" outlineLevel="0" collapsed="false">
      <c r="A8872" s="0" t="s">
        <v>4506</v>
      </c>
      <c r="B8872" s="6" t="n">
        <v>43070</v>
      </c>
      <c r="C8872" s="7" t="s">
        <v>33</v>
      </c>
      <c r="D8872" s="7" t="s">
        <v>43</v>
      </c>
      <c r="E8872" s="7" t="s">
        <v>31</v>
      </c>
      <c r="F8872" s="0" t="n">
        <v>70.68</v>
      </c>
      <c r="G8872" s="0" t="n">
        <v>31.0992</v>
      </c>
      <c r="H8872" s="0" t="n">
        <v>0</v>
      </c>
      <c r="I8872" s="7" t="n">
        <f aca="false">YEAR(B8872)</f>
        <v>2017</v>
      </c>
      <c r="J8872" s="0" t="str">
        <f aca="false">I8872&amp;"-Q"&amp;ROUNDUP(MONTH(B8872)/3,0)</f>
        <v>2017-Q4</v>
      </c>
    </row>
    <row r="8873" customFormat="false" ht="15" hidden="false" customHeight="false" outlineLevel="0" collapsed="false">
      <c r="A8873" s="0" t="s">
        <v>4506</v>
      </c>
      <c r="B8873" s="6" t="n">
        <v>43070</v>
      </c>
      <c r="C8873" s="7" t="s">
        <v>33</v>
      </c>
      <c r="D8873" s="7" t="s">
        <v>43</v>
      </c>
      <c r="E8873" s="7" t="s">
        <v>35</v>
      </c>
      <c r="F8873" s="0" t="n">
        <v>541.24</v>
      </c>
      <c r="G8873" s="0" t="n">
        <v>5.4124</v>
      </c>
      <c r="H8873" s="0" t="n">
        <v>0</v>
      </c>
      <c r="I8873" s="7" t="n">
        <f aca="false">YEAR(B8873)</f>
        <v>2017</v>
      </c>
      <c r="J8873" s="0" t="str">
        <f aca="false">I8873&amp;"-Q"&amp;ROUNDUP(MONTH(B8873)/3,0)</f>
        <v>2017-Q4</v>
      </c>
    </row>
    <row r="8874" customFormat="false" ht="15" hidden="false" customHeight="false" outlineLevel="0" collapsed="false">
      <c r="A8874" s="0" t="s">
        <v>4507</v>
      </c>
      <c r="B8874" s="6" t="n">
        <v>41922</v>
      </c>
      <c r="C8874" s="7" t="s">
        <v>55</v>
      </c>
      <c r="D8874" s="7" t="s">
        <v>116</v>
      </c>
      <c r="E8874" s="7" t="s">
        <v>39</v>
      </c>
      <c r="F8874" s="0" t="n">
        <v>101.994</v>
      </c>
      <c r="G8874" s="0" t="n">
        <v>-71.3958</v>
      </c>
      <c r="H8874" s="0" t="n">
        <v>0.7</v>
      </c>
      <c r="I8874" s="7" t="n">
        <f aca="false">YEAR(B8874)</f>
        <v>2014</v>
      </c>
      <c r="J8874" s="0" t="str">
        <f aca="false">I8874&amp;"-Q"&amp;ROUNDUP(MONTH(B8874)/3,0)</f>
        <v>2014-Q4</v>
      </c>
    </row>
    <row r="8875" customFormat="false" ht="15" hidden="false" customHeight="false" outlineLevel="0" collapsed="false">
      <c r="A8875" s="0" t="s">
        <v>4507</v>
      </c>
      <c r="B8875" s="6" t="n">
        <v>41922</v>
      </c>
      <c r="C8875" s="7" t="s">
        <v>55</v>
      </c>
      <c r="D8875" s="7" t="s">
        <v>116</v>
      </c>
      <c r="E8875" s="7" t="s">
        <v>35</v>
      </c>
      <c r="F8875" s="0" t="n">
        <v>18.264</v>
      </c>
      <c r="G8875" s="0" t="n">
        <v>-13.3936</v>
      </c>
      <c r="H8875" s="0" t="n">
        <v>0.7</v>
      </c>
      <c r="I8875" s="7" t="n">
        <f aca="false">YEAR(B8875)</f>
        <v>2014</v>
      </c>
      <c r="J8875" s="0" t="str">
        <f aca="false">I8875&amp;"-Q"&amp;ROUNDUP(MONTH(B8875)/3,0)</f>
        <v>2014-Q4</v>
      </c>
    </row>
    <row r="8876" customFormat="false" ht="15" hidden="false" customHeight="false" outlineLevel="0" collapsed="false">
      <c r="A8876" s="0" t="s">
        <v>4508</v>
      </c>
      <c r="B8876" s="6" t="n">
        <v>43053</v>
      </c>
      <c r="C8876" s="7" t="s">
        <v>45</v>
      </c>
      <c r="D8876" s="7" t="s">
        <v>46</v>
      </c>
      <c r="E8876" s="7" t="s">
        <v>35</v>
      </c>
      <c r="F8876" s="0" t="n">
        <v>21.99</v>
      </c>
      <c r="G8876" s="0" t="n">
        <v>-32.985</v>
      </c>
      <c r="H8876" s="0" t="n">
        <v>0.8</v>
      </c>
      <c r="I8876" s="7" t="n">
        <f aca="false">YEAR(B8876)</f>
        <v>2017</v>
      </c>
      <c r="J8876" s="0" t="str">
        <f aca="false">I8876&amp;"-Q"&amp;ROUNDUP(MONTH(B8876)/3,0)</f>
        <v>2017-Q4</v>
      </c>
    </row>
    <row r="8877" customFormat="false" ht="15" hidden="false" customHeight="false" outlineLevel="0" collapsed="false">
      <c r="A8877" s="0" t="s">
        <v>4509</v>
      </c>
      <c r="B8877" s="6" t="n">
        <v>42595</v>
      </c>
      <c r="C8877" s="7" t="s">
        <v>45</v>
      </c>
      <c r="D8877" s="7" t="s">
        <v>46</v>
      </c>
      <c r="E8877" s="7" t="s">
        <v>35</v>
      </c>
      <c r="F8877" s="0" t="n">
        <v>185.376</v>
      </c>
      <c r="G8877" s="0" t="n">
        <v>-34.758</v>
      </c>
      <c r="H8877" s="0" t="n">
        <v>0.2</v>
      </c>
      <c r="I8877" s="7" t="n">
        <f aca="false">YEAR(B8877)</f>
        <v>2016</v>
      </c>
      <c r="J8877" s="0" t="str">
        <f aca="false">I8877&amp;"-Q"&amp;ROUNDUP(MONTH(B8877)/3,0)</f>
        <v>2016-Q3</v>
      </c>
    </row>
    <row r="8878" customFormat="false" ht="15" hidden="false" customHeight="false" outlineLevel="0" collapsed="false">
      <c r="A8878" s="0" t="s">
        <v>4509</v>
      </c>
      <c r="B8878" s="6" t="n">
        <v>42595</v>
      </c>
      <c r="C8878" s="7" t="s">
        <v>45</v>
      </c>
      <c r="D8878" s="7" t="s">
        <v>46</v>
      </c>
      <c r="E8878" s="7" t="s">
        <v>35</v>
      </c>
      <c r="F8878" s="0" t="n">
        <v>58.924</v>
      </c>
      <c r="G8878" s="0" t="n">
        <v>-153.2024</v>
      </c>
      <c r="H8878" s="0" t="n">
        <v>0.8</v>
      </c>
      <c r="I8878" s="7" t="n">
        <f aca="false">YEAR(B8878)</f>
        <v>2016</v>
      </c>
      <c r="J8878" s="0" t="str">
        <f aca="false">I8878&amp;"-Q"&amp;ROUNDUP(MONTH(B8878)/3,0)</f>
        <v>2016-Q3</v>
      </c>
    </row>
    <row r="8879" customFormat="false" ht="15" hidden="false" customHeight="false" outlineLevel="0" collapsed="false">
      <c r="A8879" s="0" t="s">
        <v>4510</v>
      </c>
      <c r="B8879" s="6" t="n">
        <v>42995</v>
      </c>
      <c r="C8879" s="7" t="s">
        <v>55</v>
      </c>
      <c r="D8879" s="7" t="s">
        <v>161</v>
      </c>
      <c r="E8879" s="7" t="s">
        <v>39</v>
      </c>
      <c r="F8879" s="0" t="n">
        <v>480</v>
      </c>
      <c r="G8879" s="0" t="n">
        <v>225.6</v>
      </c>
      <c r="H8879" s="0" t="n">
        <v>0</v>
      </c>
      <c r="I8879" s="7" t="n">
        <f aca="false">YEAR(B8879)</f>
        <v>2017</v>
      </c>
      <c r="J8879" s="0" t="str">
        <f aca="false">I8879&amp;"-Q"&amp;ROUNDUP(MONTH(B8879)/3,0)</f>
        <v>2017-Q3</v>
      </c>
    </row>
    <row r="8880" customFormat="false" ht="15" hidden="false" customHeight="false" outlineLevel="0" collapsed="false">
      <c r="A8880" s="0" t="s">
        <v>4510</v>
      </c>
      <c r="B8880" s="6" t="n">
        <v>42995</v>
      </c>
      <c r="C8880" s="7" t="s">
        <v>55</v>
      </c>
      <c r="D8880" s="7" t="s">
        <v>161</v>
      </c>
      <c r="E8880" s="7" t="s">
        <v>35</v>
      </c>
      <c r="F8880" s="0" t="n">
        <v>34.05</v>
      </c>
      <c r="G8880" s="0" t="n">
        <v>9.534</v>
      </c>
      <c r="H8880" s="0" t="n">
        <v>0</v>
      </c>
      <c r="I8880" s="7" t="n">
        <f aca="false">YEAR(B8880)</f>
        <v>2017</v>
      </c>
      <c r="J8880" s="0" t="str">
        <f aca="false">I8880&amp;"-Q"&amp;ROUNDUP(MONTH(B8880)/3,0)</f>
        <v>2017-Q3</v>
      </c>
    </row>
    <row r="8881" customFormat="false" ht="15" hidden="false" customHeight="false" outlineLevel="0" collapsed="false">
      <c r="A8881" s="0" t="s">
        <v>4511</v>
      </c>
      <c r="B8881" s="6" t="n">
        <v>42086</v>
      </c>
      <c r="C8881" s="7" t="s">
        <v>33</v>
      </c>
      <c r="D8881" s="7" t="s">
        <v>34</v>
      </c>
      <c r="E8881" s="7" t="s">
        <v>35</v>
      </c>
      <c r="F8881" s="0" t="n">
        <v>192.72</v>
      </c>
      <c r="G8881" s="0" t="n">
        <v>92.5056</v>
      </c>
      <c r="H8881" s="0" t="n">
        <v>0</v>
      </c>
      <c r="I8881" s="7" t="n">
        <f aca="false">YEAR(B8881)</f>
        <v>2015</v>
      </c>
      <c r="J8881" s="0" t="str">
        <f aca="false">I8881&amp;"-Q"&amp;ROUNDUP(MONTH(B8881)/3,0)</f>
        <v>2015-Q1</v>
      </c>
    </row>
    <row r="8882" customFormat="false" ht="15" hidden="false" customHeight="false" outlineLevel="0" collapsed="false">
      <c r="A8882" s="0" t="s">
        <v>4511</v>
      </c>
      <c r="B8882" s="6" t="n">
        <v>42086</v>
      </c>
      <c r="C8882" s="7" t="s">
        <v>33</v>
      </c>
      <c r="D8882" s="7" t="s">
        <v>34</v>
      </c>
      <c r="E8882" s="7" t="s">
        <v>39</v>
      </c>
      <c r="F8882" s="0" t="n">
        <v>239.97</v>
      </c>
      <c r="G8882" s="0" t="n">
        <v>86.3892</v>
      </c>
      <c r="H8882" s="0" t="n">
        <v>0</v>
      </c>
      <c r="I8882" s="7" t="n">
        <f aca="false">YEAR(B8882)</f>
        <v>2015</v>
      </c>
      <c r="J8882" s="0" t="str">
        <f aca="false">I8882&amp;"-Q"&amp;ROUNDUP(MONTH(B8882)/3,0)</f>
        <v>2015-Q1</v>
      </c>
    </row>
    <row r="8883" customFormat="false" ht="15" hidden="false" customHeight="false" outlineLevel="0" collapsed="false">
      <c r="A8883" s="0" t="s">
        <v>4512</v>
      </c>
      <c r="B8883" s="6" t="n">
        <v>42551</v>
      </c>
      <c r="C8883" s="7" t="s">
        <v>45</v>
      </c>
      <c r="D8883" s="7" t="s">
        <v>64</v>
      </c>
      <c r="E8883" s="7" t="s">
        <v>39</v>
      </c>
      <c r="F8883" s="0" t="n">
        <v>50.12</v>
      </c>
      <c r="G8883" s="0" t="n">
        <v>-0.6265</v>
      </c>
      <c r="H8883" s="0" t="n">
        <v>0.2</v>
      </c>
      <c r="I8883" s="7" t="n">
        <f aca="false">YEAR(B8883)</f>
        <v>2016</v>
      </c>
      <c r="J8883" s="0" t="str">
        <f aca="false">I8883&amp;"-Q"&amp;ROUNDUP(MONTH(B8883)/3,0)</f>
        <v>2016-Q2</v>
      </c>
    </row>
    <row r="8884" customFormat="false" ht="15" hidden="false" customHeight="false" outlineLevel="0" collapsed="false">
      <c r="A8884" s="0" t="s">
        <v>4513</v>
      </c>
      <c r="B8884" s="6" t="n">
        <v>43028</v>
      </c>
      <c r="C8884" s="7" t="s">
        <v>29</v>
      </c>
      <c r="D8884" s="7" t="s">
        <v>41</v>
      </c>
      <c r="E8884" s="7" t="s">
        <v>39</v>
      </c>
      <c r="F8884" s="0" t="n">
        <v>15.984</v>
      </c>
      <c r="G8884" s="0" t="n">
        <v>1.3986</v>
      </c>
      <c r="H8884" s="0" t="n">
        <v>0.2</v>
      </c>
      <c r="I8884" s="7" t="n">
        <f aca="false">YEAR(B8884)</f>
        <v>2017</v>
      </c>
      <c r="J8884" s="0" t="str">
        <f aca="false">I8884&amp;"-Q"&amp;ROUNDUP(MONTH(B8884)/3,0)</f>
        <v>2017-Q4</v>
      </c>
    </row>
    <row r="8885" customFormat="false" ht="15" hidden="false" customHeight="false" outlineLevel="0" collapsed="false">
      <c r="A8885" s="0" t="s">
        <v>4513</v>
      </c>
      <c r="B8885" s="6" t="n">
        <v>43028</v>
      </c>
      <c r="C8885" s="7" t="s">
        <v>29</v>
      </c>
      <c r="D8885" s="7" t="s">
        <v>41</v>
      </c>
      <c r="E8885" s="7" t="s">
        <v>35</v>
      </c>
      <c r="F8885" s="0" t="n">
        <v>14.352</v>
      </c>
      <c r="G8885" s="0" t="n">
        <v>4.485</v>
      </c>
      <c r="H8885" s="0" t="n">
        <v>0.2</v>
      </c>
      <c r="I8885" s="7" t="n">
        <f aca="false">YEAR(B8885)</f>
        <v>2017</v>
      </c>
      <c r="J8885" s="0" t="str">
        <f aca="false">I8885&amp;"-Q"&amp;ROUNDUP(MONTH(B8885)/3,0)</f>
        <v>2017-Q4</v>
      </c>
    </row>
    <row r="8886" customFormat="false" ht="15" hidden="false" customHeight="false" outlineLevel="0" collapsed="false">
      <c r="A8886" s="0" t="s">
        <v>4514</v>
      </c>
      <c r="B8886" s="6" t="n">
        <v>41876</v>
      </c>
      <c r="C8886" s="7" t="s">
        <v>55</v>
      </c>
      <c r="D8886" s="7" t="s">
        <v>116</v>
      </c>
      <c r="E8886" s="7" t="s">
        <v>35</v>
      </c>
      <c r="F8886" s="0" t="n">
        <v>6.528</v>
      </c>
      <c r="G8886" s="0" t="n">
        <v>-4.5696</v>
      </c>
      <c r="H8886" s="0" t="n">
        <v>0.7</v>
      </c>
      <c r="I8886" s="7" t="n">
        <f aca="false">YEAR(B8886)</f>
        <v>2014</v>
      </c>
      <c r="J8886" s="0" t="str">
        <f aca="false">I8886&amp;"-Q"&amp;ROUNDUP(MONTH(B8886)/3,0)</f>
        <v>2014-Q3</v>
      </c>
    </row>
    <row r="8887" customFormat="false" ht="15" hidden="false" customHeight="false" outlineLevel="0" collapsed="false">
      <c r="A8887" s="0" t="s">
        <v>4514</v>
      </c>
      <c r="B8887" s="6" t="n">
        <v>41876</v>
      </c>
      <c r="C8887" s="7" t="s">
        <v>55</v>
      </c>
      <c r="D8887" s="7" t="s">
        <v>116</v>
      </c>
      <c r="E8887" s="7" t="s">
        <v>35</v>
      </c>
      <c r="F8887" s="0" t="n">
        <v>2.862</v>
      </c>
      <c r="G8887" s="0" t="n">
        <v>-2.2896</v>
      </c>
      <c r="H8887" s="0" t="n">
        <v>0.7</v>
      </c>
      <c r="I8887" s="7" t="n">
        <f aca="false">YEAR(B8887)</f>
        <v>2014</v>
      </c>
      <c r="J8887" s="0" t="str">
        <f aca="false">I8887&amp;"-Q"&amp;ROUNDUP(MONTH(B8887)/3,0)</f>
        <v>2014-Q3</v>
      </c>
    </row>
    <row r="8888" customFormat="false" ht="15" hidden="false" customHeight="false" outlineLevel="0" collapsed="false">
      <c r="A8888" s="0" t="s">
        <v>4514</v>
      </c>
      <c r="B8888" s="6" t="n">
        <v>41876</v>
      </c>
      <c r="C8888" s="7" t="s">
        <v>55</v>
      </c>
      <c r="D8888" s="7" t="s">
        <v>116</v>
      </c>
      <c r="E8888" s="7" t="s">
        <v>35</v>
      </c>
      <c r="F8888" s="0" t="n">
        <v>20.856</v>
      </c>
      <c r="G8888" s="0" t="n">
        <v>-16.6848</v>
      </c>
      <c r="H8888" s="0" t="n">
        <v>0.7</v>
      </c>
      <c r="I8888" s="7" t="n">
        <f aca="false">YEAR(B8888)</f>
        <v>2014</v>
      </c>
      <c r="J8888" s="0" t="str">
        <f aca="false">I8888&amp;"-Q"&amp;ROUNDUP(MONTH(B8888)/3,0)</f>
        <v>2014-Q3</v>
      </c>
    </row>
    <row r="8889" customFormat="false" ht="15" hidden="false" customHeight="false" outlineLevel="0" collapsed="false">
      <c r="A8889" s="0" t="s">
        <v>4515</v>
      </c>
      <c r="B8889" s="6" t="n">
        <v>41847</v>
      </c>
      <c r="C8889" s="7" t="s">
        <v>33</v>
      </c>
      <c r="D8889" s="7" t="s">
        <v>34</v>
      </c>
      <c r="E8889" s="7" t="s">
        <v>35</v>
      </c>
      <c r="F8889" s="0" t="n">
        <v>276.28</v>
      </c>
      <c r="G8889" s="0" t="n">
        <v>0</v>
      </c>
      <c r="H8889" s="0" t="n">
        <v>0</v>
      </c>
      <c r="I8889" s="7" t="n">
        <f aca="false">YEAR(B8889)</f>
        <v>2014</v>
      </c>
      <c r="J8889" s="0" t="str">
        <f aca="false">I8889&amp;"-Q"&amp;ROUNDUP(MONTH(B8889)/3,0)</f>
        <v>2014-Q3</v>
      </c>
    </row>
    <row r="8890" customFormat="false" ht="15" hidden="false" customHeight="false" outlineLevel="0" collapsed="false">
      <c r="A8890" s="0" t="s">
        <v>4516</v>
      </c>
      <c r="B8890" s="6" t="n">
        <v>43070</v>
      </c>
      <c r="C8890" s="7" t="s">
        <v>33</v>
      </c>
      <c r="D8890" s="7" t="s">
        <v>34</v>
      </c>
      <c r="E8890" s="7" t="s">
        <v>31</v>
      </c>
      <c r="F8890" s="0" t="n">
        <v>629.64</v>
      </c>
      <c r="G8890" s="0" t="n">
        <v>107.0388</v>
      </c>
      <c r="H8890" s="0" t="n">
        <v>0</v>
      </c>
      <c r="I8890" s="7" t="n">
        <f aca="false">YEAR(B8890)</f>
        <v>2017</v>
      </c>
      <c r="J8890" s="0" t="str">
        <f aca="false">I8890&amp;"-Q"&amp;ROUNDUP(MONTH(B8890)/3,0)</f>
        <v>2017-Q4</v>
      </c>
    </row>
    <row r="8891" customFormat="false" ht="15" hidden="false" customHeight="false" outlineLevel="0" collapsed="false">
      <c r="A8891" s="0" t="s">
        <v>4517</v>
      </c>
      <c r="B8891" s="6" t="n">
        <v>42660</v>
      </c>
      <c r="C8891" s="7" t="s">
        <v>45</v>
      </c>
      <c r="D8891" s="7" t="s">
        <v>129</v>
      </c>
      <c r="E8891" s="7" t="s">
        <v>39</v>
      </c>
      <c r="F8891" s="0" t="n">
        <v>449.97</v>
      </c>
      <c r="G8891" s="0" t="n">
        <v>220.4853</v>
      </c>
      <c r="H8891" s="0" t="n">
        <v>0</v>
      </c>
      <c r="I8891" s="7" t="n">
        <f aca="false">YEAR(B8891)</f>
        <v>2016</v>
      </c>
      <c r="J8891" s="0" t="str">
        <f aca="false">I8891&amp;"-Q"&amp;ROUNDUP(MONTH(B8891)/3,0)</f>
        <v>2016-Q4</v>
      </c>
    </row>
    <row r="8892" customFormat="false" ht="15" hidden="false" customHeight="false" outlineLevel="0" collapsed="false">
      <c r="A8892" s="0" t="s">
        <v>4517</v>
      </c>
      <c r="B8892" s="6" t="n">
        <v>42660</v>
      </c>
      <c r="C8892" s="7" t="s">
        <v>45</v>
      </c>
      <c r="D8892" s="7" t="s">
        <v>129</v>
      </c>
      <c r="E8892" s="7" t="s">
        <v>35</v>
      </c>
      <c r="F8892" s="0" t="n">
        <v>1927.59</v>
      </c>
      <c r="G8892" s="0" t="n">
        <v>751.7601</v>
      </c>
      <c r="H8892" s="0" t="n">
        <v>0</v>
      </c>
      <c r="I8892" s="7" t="n">
        <f aca="false">YEAR(B8892)</f>
        <v>2016</v>
      </c>
      <c r="J8892" s="0" t="str">
        <f aca="false">I8892&amp;"-Q"&amp;ROUNDUP(MONTH(B8892)/3,0)</f>
        <v>2016-Q4</v>
      </c>
    </row>
    <row r="8893" customFormat="false" ht="15" hidden="false" customHeight="false" outlineLevel="0" collapsed="false">
      <c r="A8893" s="0" t="s">
        <v>4518</v>
      </c>
      <c r="B8893" s="6" t="n">
        <v>42629</v>
      </c>
      <c r="C8893" s="7" t="s">
        <v>29</v>
      </c>
      <c r="D8893" s="7" t="s">
        <v>230</v>
      </c>
      <c r="E8893" s="7" t="s">
        <v>31</v>
      </c>
      <c r="F8893" s="0" t="n">
        <v>121.78</v>
      </c>
      <c r="G8893" s="0" t="n">
        <v>30.445</v>
      </c>
      <c r="H8893" s="0" t="n">
        <v>0</v>
      </c>
      <c r="I8893" s="7" t="n">
        <f aca="false">YEAR(B8893)</f>
        <v>2016</v>
      </c>
      <c r="J8893" s="0" t="str">
        <f aca="false">I8893&amp;"-Q"&amp;ROUNDUP(MONTH(B8893)/3,0)</f>
        <v>2016-Q3</v>
      </c>
    </row>
    <row r="8894" customFormat="false" ht="15" hidden="false" customHeight="false" outlineLevel="0" collapsed="false">
      <c r="A8894" s="0" t="s">
        <v>4519</v>
      </c>
      <c r="B8894" s="6" t="n">
        <v>42339</v>
      </c>
      <c r="C8894" s="7" t="s">
        <v>33</v>
      </c>
      <c r="D8894" s="7" t="s">
        <v>34</v>
      </c>
      <c r="E8894" s="7" t="s">
        <v>31</v>
      </c>
      <c r="F8894" s="0" t="n">
        <v>2676.672</v>
      </c>
      <c r="G8894" s="0" t="n">
        <v>267.6672</v>
      </c>
      <c r="H8894" s="0" t="n">
        <v>0.2</v>
      </c>
      <c r="I8894" s="7" t="n">
        <f aca="false">YEAR(B8894)</f>
        <v>2015</v>
      </c>
      <c r="J8894" s="0" t="str">
        <f aca="false">I8894&amp;"-Q"&amp;ROUNDUP(MONTH(B8894)/3,0)</f>
        <v>2015-Q4</v>
      </c>
    </row>
    <row r="8895" customFormat="false" ht="15" hidden="false" customHeight="false" outlineLevel="0" collapsed="false">
      <c r="A8895" s="0" t="s">
        <v>4520</v>
      </c>
      <c r="B8895" s="6" t="n">
        <v>41856</v>
      </c>
      <c r="C8895" s="7" t="s">
        <v>45</v>
      </c>
      <c r="D8895" s="7" t="s">
        <v>46</v>
      </c>
      <c r="E8895" s="7" t="s">
        <v>31</v>
      </c>
      <c r="F8895" s="0" t="n">
        <v>489.23</v>
      </c>
      <c r="G8895" s="0" t="n">
        <v>41.934</v>
      </c>
      <c r="H8895" s="0" t="n">
        <v>0.3</v>
      </c>
      <c r="I8895" s="7" t="n">
        <f aca="false">YEAR(B8895)</f>
        <v>2014</v>
      </c>
      <c r="J8895" s="0" t="str">
        <f aca="false">I8895&amp;"-Q"&amp;ROUNDUP(MONTH(B8895)/3,0)</f>
        <v>2014-Q3</v>
      </c>
    </row>
    <row r="8896" customFormat="false" ht="15" hidden="false" customHeight="false" outlineLevel="0" collapsed="false">
      <c r="A8896" s="0" t="s">
        <v>4521</v>
      </c>
      <c r="B8896" s="6" t="n">
        <v>42597</v>
      </c>
      <c r="C8896" s="7" t="s">
        <v>33</v>
      </c>
      <c r="D8896" s="7" t="s">
        <v>34</v>
      </c>
      <c r="E8896" s="7" t="s">
        <v>31</v>
      </c>
      <c r="F8896" s="0" t="n">
        <v>312.03</v>
      </c>
      <c r="G8896" s="0" t="n">
        <v>43.6842</v>
      </c>
      <c r="H8896" s="0" t="n">
        <v>0</v>
      </c>
      <c r="I8896" s="7" t="n">
        <f aca="false">YEAR(B8896)</f>
        <v>2016</v>
      </c>
      <c r="J8896" s="0" t="str">
        <f aca="false">I8896&amp;"-Q"&amp;ROUNDUP(MONTH(B8896)/3,0)</f>
        <v>2016-Q3</v>
      </c>
    </row>
    <row r="8897" customFormat="false" ht="15" hidden="false" customHeight="false" outlineLevel="0" collapsed="false">
      <c r="A8897" s="0" t="s">
        <v>4521</v>
      </c>
      <c r="B8897" s="6" t="n">
        <v>42597</v>
      </c>
      <c r="C8897" s="7" t="s">
        <v>33</v>
      </c>
      <c r="D8897" s="7" t="s">
        <v>34</v>
      </c>
      <c r="E8897" s="7" t="s">
        <v>35</v>
      </c>
      <c r="F8897" s="0" t="n">
        <v>17.94</v>
      </c>
      <c r="G8897" s="0" t="n">
        <v>3.0498</v>
      </c>
      <c r="H8897" s="0" t="n">
        <v>0</v>
      </c>
      <c r="I8897" s="7" t="n">
        <f aca="false">YEAR(B8897)</f>
        <v>2016</v>
      </c>
      <c r="J8897" s="0" t="str">
        <f aca="false">I8897&amp;"-Q"&amp;ROUNDUP(MONTH(B8897)/3,0)</f>
        <v>2016-Q3</v>
      </c>
    </row>
    <row r="8898" customFormat="false" ht="15" hidden="false" customHeight="false" outlineLevel="0" collapsed="false">
      <c r="A8898" s="0" t="s">
        <v>4521</v>
      </c>
      <c r="B8898" s="6" t="n">
        <v>42597</v>
      </c>
      <c r="C8898" s="7" t="s">
        <v>33</v>
      </c>
      <c r="D8898" s="7" t="s">
        <v>34</v>
      </c>
      <c r="E8898" s="7" t="s">
        <v>39</v>
      </c>
      <c r="F8898" s="0" t="n">
        <v>165.6</v>
      </c>
      <c r="G8898" s="0" t="n">
        <v>10.35</v>
      </c>
      <c r="H8898" s="0" t="n">
        <v>0.2</v>
      </c>
      <c r="I8898" s="7" t="n">
        <f aca="false">YEAR(B8898)</f>
        <v>2016</v>
      </c>
      <c r="J8898" s="0" t="str">
        <f aca="false">I8898&amp;"-Q"&amp;ROUNDUP(MONTH(B8898)/3,0)</f>
        <v>2016-Q3</v>
      </c>
    </row>
    <row r="8899" customFormat="false" ht="15" hidden="false" customHeight="false" outlineLevel="0" collapsed="false">
      <c r="A8899" s="0" t="s">
        <v>4521</v>
      </c>
      <c r="B8899" s="6" t="n">
        <v>42597</v>
      </c>
      <c r="C8899" s="7" t="s">
        <v>33</v>
      </c>
      <c r="D8899" s="7" t="s">
        <v>34</v>
      </c>
      <c r="E8899" s="7" t="s">
        <v>35</v>
      </c>
      <c r="F8899" s="0" t="n">
        <v>37.52</v>
      </c>
      <c r="G8899" s="0" t="n">
        <v>18.0096</v>
      </c>
      <c r="H8899" s="0" t="n">
        <v>0</v>
      </c>
      <c r="I8899" s="7" t="n">
        <f aca="false">YEAR(B8899)</f>
        <v>2016</v>
      </c>
      <c r="J8899" s="0" t="str">
        <f aca="false">I8899&amp;"-Q"&amp;ROUNDUP(MONTH(B8899)/3,0)</f>
        <v>2016-Q3</v>
      </c>
    </row>
    <row r="8900" customFormat="false" ht="15" hidden="false" customHeight="false" outlineLevel="0" collapsed="false">
      <c r="A8900" s="0" t="s">
        <v>4522</v>
      </c>
      <c r="B8900" s="6" t="n">
        <v>42223</v>
      </c>
      <c r="C8900" s="7" t="s">
        <v>29</v>
      </c>
      <c r="D8900" s="7" t="s">
        <v>83</v>
      </c>
      <c r="E8900" s="7" t="s">
        <v>39</v>
      </c>
      <c r="F8900" s="0" t="n">
        <v>494.97</v>
      </c>
      <c r="G8900" s="0" t="n">
        <v>148.491</v>
      </c>
      <c r="H8900" s="0" t="n">
        <v>0</v>
      </c>
      <c r="I8900" s="7" t="n">
        <f aca="false">YEAR(B8900)</f>
        <v>2015</v>
      </c>
      <c r="J8900" s="0" t="str">
        <f aca="false">I8900&amp;"-Q"&amp;ROUNDUP(MONTH(B8900)/3,0)</f>
        <v>2015-Q3</v>
      </c>
    </row>
    <row r="8901" customFormat="false" ht="15" hidden="false" customHeight="false" outlineLevel="0" collapsed="false">
      <c r="A8901" s="0" t="s">
        <v>4522</v>
      </c>
      <c r="B8901" s="6" t="n">
        <v>42223</v>
      </c>
      <c r="C8901" s="7" t="s">
        <v>29</v>
      </c>
      <c r="D8901" s="7" t="s">
        <v>83</v>
      </c>
      <c r="E8901" s="7" t="s">
        <v>35</v>
      </c>
      <c r="F8901" s="0" t="n">
        <v>25.06</v>
      </c>
      <c r="G8901" s="0" t="n">
        <v>11.7782</v>
      </c>
      <c r="H8901" s="0" t="n">
        <v>0</v>
      </c>
      <c r="I8901" s="7" t="n">
        <f aca="false">YEAR(B8901)</f>
        <v>2015</v>
      </c>
      <c r="J8901" s="0" t="str">
        <f aca="false">I8901&amp;"-Q"&amp;ROUNDUP(MONTH(B8901)/3,0)</f>
        <v>2015-Q3</v>
      </c>
    </row>
    <row r="8902" customFormat="false" ht="15" hidden="false" customHeight="false" outlineLevel="0" collapsed="false">
      <c r="A8902" s="0" t="s">
        <v>4523</v>
      </c>
      <c r="B8902" s="6" t="n">
        <v>42521</v>
      </c>
      <c r="C8902" s="7" t="s">
        <v>45</v>
      </c>
      <c r="D8902" s="7" t="s">
        <v>64</v>
      </c>
      <c r="E8902" s="7" t="s">
        <v>31</v>
      </c>
      <c r="F8902" s="0" t="n">
        <v>32.064</v>
      </c>
      <c r="G8902" s="0" t="n">
        <v>-12.8256</v>
      </c>
      <c r="H8902" s="0" t="n">
        <v>0.6</v>
      </c>
      <c r="I8902" s="7" t="n">
        <f aca="false">YEAR(B8902)</f>
        <v>2016</v>
      </c>
      <c r="J8902" s="0" t="str">
        <f aca="false">I8902&amp;"-Q"&amp;ROUNDUP(MONTH(B8902)/3,0)</f>
        <v>2016-Q2</v>
      </c>
    </row>
    <row r="8903" customFormat="false" ht="15" hidden="false" customHeight="false" outlineLevel="0" collapsed="false">
      <c r="A8903" s="0" t="s">
        <v>4523</v>
      </c>
      <c r="B8903" s="6" t="n">
        <v>42521</v>
      </c>
      <c r="C8903" s="7" t="s">
        <v>45</v>
      </c>
      <c r="D8903" s="7" t="s">
        <v>64</v>
      </c>
      <c r="E8903" s="7" t="s">
        <v>35</v>
      </c>
      <c r="F8903" s="0" t="n">
        <v>18.496</v>
      </c>
      <c r="G8903" s="0" t="n">
        <v>6.7048</v>
      </c>
      <c r="H8903" s="0" t="n">
        <v>0.2</v>
      </c>
      <c r="I8903" s="7" t="n">
        <f aca="false">YEAR(B8903)</f>
        <v>2016</v>
      </c>
      <c r="J8903" s="0" t="str">
        <f aca="false">I8903&amp;"-Q"&amp;ROUNDUP(MONTH(B8903)/3,0)</f>
        <v>2016-Q2</v>
      </c>
    </row>
    <row r="8904" customFormat="false" ht="15" hidden="false" customHeight="false" outlineLevel="0" collapsed="false">
      <c r="A8904" s="0" t="s">
        <v>4523</v>
      </c>
      <c r="B8904" s="6" t="n">
        <v>42521</v>
      </c>
      <c r="C8904" s="7" t="s">
        <v>45</v>
      </c>
      <c r="D8904" s="7" t="s">
        <v>64</v>
      </c>
      <c r="E8904" s="7" t="s">
        <v>31</v>
      </c>
      <c r="F8904" s="0" t="n">
        <v>191.079</v>
      </c>
      <c r="G8904" s="0" t="n">
        <v>-38.2158</v>
      </c>
      <c r="H8904" s="0" t="n">
        <v>0.3</v>
      </c>
      <c r="I8904" s="7" t="n">
        <f aca="false">YEAR(B8904)</f>
        <v>2016</v>
      </c>
      <c r="J8904" s="0" t="str">
        <f aca="false">I8904&amp;"-Q"&amp;ROUNDUP(MONTH(B8904)/3,0)</f>
        <v>2016-Q2</v>
      </c>
    </row>
    <row r="8905" customFormat="false" ht="15" hidden="false" customHeight="false" outlineLevel="0" collapsed="false">
      <c r="A8905" s="0" t="s">
        <v>4523</v>
      </c>
      <c r="B8905" s="6" t="n">
        <v>42521</v>
      </c>
      <c r="C8905" s="7" t="s">
        <v>45</v>
      </c>
      <c r="D8905" s="7" t="s">
        <v>64</v>
      </c>
      <c r="E8905" s="7" t="s">
        <v>35</v>
      </c>
      <c r="F8905" s="0" t="n">
        <v>10.368</v>
      </c>
      <c r="G8905" s="0" t="n">
        <v>3.6288</v>
      </c>
      <c r="H8905" s="0" t="n">
        <v>0.2</v>
      </c>
      <c r="I8905" s="7" t="n">
        <f aca="false">YEAR(B8905)</f>
        <v>2016</v>
      </c>
      <c r="J8905" s="0" t="str">
        <f aca="false">I8905&amp;"-Q"&amp;ROUNDUP(MONTH(B8905)/3,0)</f>
        <v>2016-Q2</v>
      </c>
    </row>
    <row r="8906" customFormat="false" ht="15" hidden="false" customHeight="false" outlineLevel="0" collapsed="false">
      <c r="A8906" s="0" t="s">
        <v>4524</v>
      </c>
      <c r="B8906" s="6" t="n">
        <v>42552</v>
      </c>
      <c r="C8906" s="7" t="s">
        <v>55</v>
      </c>
      <c r="D8906" s="7" t="s">
        <v>76</v>
      </c>
      <c r="E8906" s="7" t="s">
        <v>35</v>
      </c>
      <c r="F8906" s="0" t="n">
        <v>30.53</v>
      </c>
      <c r="G8906" s="0" t="n">
        <v>14.0438</v>
      </c>
      <c r="H8906" s="0" t="n">
        <v>0</v>
      </c>
      <c r="I8906" s="7" t="n">
        <f aca="false">YEAR(B8906)</f>
        <v>2016</v>
      </c>
      <c r="J8906" s="0" t="str">
        <f aca="false">I8906&amp;"-Q"&amp;ROUNDUP(MONTH(B8906)/3,0)</f>
        <v>2016-Q3</v>
      </c>
    </row>
    <row r="8907" customFormat="false" ht="15" hidden="false" customHeight="false" outlineLevel="0" collapsed="false">
      <c r="A8907" s="0" t="s">
        <v>4524</v>
      </c>
      <c r="B8907" s="6" t="n">
        <v>42552</v>
      </c>
      <c r="C8907" s="7" t="s">
        <v>55</v>
      </c>
      <c r="D8907" s="7" t="s">
        <v>76</v>
      </c>
      <c r="E8907" s="7" t="s">
        <v>39</v>
      </c>
      <c r="F8907" s="0" t="n">
        <v>30.84</v>
      </c>
      <c r="G8907" s="0" t="n">
        <v>6.168</v>
      </c>
      <c r="H8907" s="0" t="n">
        <v>0</v>
      </c>
      <c r="I8907" s="7" t="n">
        <f aca="false">YEAR(B8907)</f>
        <v>2016</v>
      </c>
      <c r="J8907" s="0" t="str">
        <f aca="false">I8907&amp;"-Q"&amp;ROUNDUP(MONTH(B8907)/3,0)</f>
        <v>2016-Q3</v>
      </c>
    </row>
    <row r="8908" customFormat="false" ht="15" hidden="false" customHeight="false" outlineLevel="0" collapsed="false">
      <c r="A8908" s="0" t="s">
        <v>4524</v>
      </c>
      <c r="B8908" s="6" t="n">
        <v>42552</v>
      </c>
      <c r="C8908" s="7" t="s">
        <v>55</v>
      </c>
      <c r="D8908" s="7" t="s">
        <v>76</v>
      </c>
      <c r="E8908" s="7" t="s">
        <v>35</v>
      </c>
      <c r="F8908" s="0" t="n">
        <v>75.06</v>
      </c>
      <c r="G8908" s="0" t="n">
        <v>33.777</v>
      </c>
      <c r="H8908" s="0" t="n">
        <v>0</v>
      </c>
      <c r="I8908" s="7" t="n">
        <f aca="false">YEAR(B8908)</f>
        <v>2016</v>
      </c>
      <c r="J8908" s="0" t="str">
        <f aca="false">I8908&amp;"-Q"&amp;ROUNDUP(MONTH(B8908)/3,0)</f>
        <v>2016-Q3</v>
      </c>
    </row>
    <row r="8909" customFormat="false" ht="15" hidden="false" customHeight="false" outlineLevel="0" collapsed="false">
      <c r="A8909" s="0" t="s">
        <v>4525</v>
      </c>
      <c r="B8909" s="6" t="n">
        <v>42722</v>
      </c>
      <c r="C8909" s="7" t="s">
        <v>33</v>
      </c>
      <c r="D8909" s="7" t="s">
        <v>34</v>
      </c>
      <c r="E8909" s="7" t="s">
        <v>39</v>
      </c>
      <c r="F8909" s="0" t="n">
        <v>66.976</v>
      </c>
      <c r="G8909" s="0" t="n">
        <v>6.6976</v>
      </c>
      <c r="H8909" s="0" t="n">
        <v>0.2</v>
      </c>
      <c r="I8909" s="7" t="n">
        <f aca="false">YEAR(B8909)</f>
        <v>2016</v>
      </c>
      <c r="J8909" s="0" t="str">
        <f aca="false">I8909&amp;"-Q"&amp;ROUNDUP(MONTH(B8909)/3,0)</f>
        <v>2016-Q4</v>
      </c>
    </row>
    <row r="8910" customFormat="false" ht="15" hidden="false" customHeight="false" outlineLevel="0" collapsed="false">
      <c r="A8910" s="0" t="s">
        <v>4526</v>
      </c>
      <c r="B8910" s="6" t="n">
        <v>42030</v>
      </c>
      <c r="C8910" s="7" t="s">
        <v>33</v>
      </c>
      <c r="D8910" s="7" t="s">
        <v>34</v>
      </c>
      <c r="E8910" s="7" t="s">
        <v>35</v>
      </c>
      <c r="F8910" s="0" t="n">
        <v>182.72</v>
      </c>
      <c r="G8910" s="0" t="n">
        <v>84.0512</v>
      </c>
      <c r="H8910" s="0" t="n">
        <v>0</v>
      </c>
      <c r="I8910" s="7" t="n">
        <f aca="false">YEAR(B8910)</f>
        <v>2015</v>
      </c>
      <c r="J8910" s="0" t="str">
        <f aca="false">I8910&amp;"-Q"&amp;ROUNDUP(MONTH(B8910)/3,0)</f>
        <v>2015-Q1</v>
      </c>
    </row>
    <row r="8911" customFormat="false" ht="15" hidden="false" customHeight="false" outlineLevel="0" collapsed="false">
      <c r="A8911" s="0" t="s">
        <v>4527</v>
      </c>
      <c r="B8911" s="6" t="n">
        <v>43036</v>
      </c>
      <c r="C8911" s="7" t="s">
        <v>55</v>
      </c>
      <c r="D8911" s="7" t="s">
        <v>225</v>
      </c>
      <c r="E8911" s="7" t="s">
        <v>35</v>
      </c>
      <c r="F8911" s="0" t="n">
        <v>21.93</v>
      </c>
      <c r="G8911" s="0" t="n">
        <v>10.3071</v>
      </c>
      <c r="H8911" s="0" t="n">
        <v>0</v>
      </c>
      <c r="I8911" s="7" t="n">
        <f aca="false">YEAR(B8911)</f>
        <v>2017</v>
      </c>
      <c r="J8911" s="0" t="str">
        <f aca="false">I8911&amp;"-Q"&amp;ROUNDUP(MONTH(B8911)/3,0)</f>
        <v>2017-Q4</v>
      </c>
    </row>
    <row r="8912" customFormat="false" ht="15" hidden="false" customHeight="false" outlineLevel="0" collapsed="false">
      <c r="A8912" s="0" t="s">
        <v>4528</v>
      </c>
      <c r="B8912" s="6" t="n">
        <v>43043</v>
      </c>
      <c r="C8912" s="7" t="s">
        <v>29</v>
      </c>
      <c r="D8912" s="7" t="s">
        <v>87</v>
      </c>
      <c r="E8912" s="7" t="s">
        <v>39</v>
      </c>
      <c r="F8912" s="0" t="n">
        <v>95.976</v>
      </c>
      <c r="G8912" s="0" t="n">
        <v>15.5961</v>
      </c>
      <c r="H8912" s="0" t="n">
        <v>0.2</v>
      </c>
      <c r="I8912" s="7" t="n">
        <f aca="false">YEAR(B8912)</f>
        <v>2017</v>
      </c>
      <c r="J8912" s="0" t="str">
        <f aca="false">I8912&amp;"-Q"&amp;ROUNDUP(MONTH(B8912)/3,0)</f>
        <v>2017-Q4</v>
      </c>
    </row>
    <row r="8913" customFormat="false" ht="15" hidden="false" customHeight="false" outlineLevel="0" collapsed="false">
      <c r="A8913" s="0" t="s">
        <v>4528</v>
      </c>
      <c r="B8913" s="6" t="n">
        <v>43043</v>
      </c>
      <c r="C8913" s="7" t="s">
        <v>29</v>
      </c>
      <c r="D8913" s="7" t="s">
        <v>87</v>
      </c>
      <c r="E8913" s="7" t="s">
        <v>39</v>
      </c>
      <c r="F8913" s="0" t="n">
        <v>143.928</v>
      </c>
      <c r="G8913" s="0" t="n">
        <v>-32.3838</v>
      </c>
      <c r="H8913" s="0" t="n">
        <v>0.2</v>
      </c>
      <c r="I8913" s="7" t="n">
        <f aca="false">YEAR(B8913)</f>
        <v>2017</v>
      </c>
      <c r="J8913" s="0" t="str">
        <f aca="false">I8913&amp;"-Q"&amp;ROUNDUP(MONTH(B8913)/3,0)</f>
        <v>2017-Q4</v>
      </c>
    </row>
    <row r="8914" customFormat="false" ht="15" hidden="false" customHeight="false" outlineLevel="0" collapsed="false">
      <c r="A8914" s="0" t="s">
        <v>4528</v>
      </c>
      <c r="B8914" s="6" t="n">
        <v>43043</v>
      </c>
      <c r="C8914" s="7" t="s">
        <v>29</v>
      </c>
      <c r="D8914" s="7" t="s">
        <v>87</v>
      </c>
      <c r="E8914" s="7" t="s">
        <v>35</v>
      </c>
      <c r="F8914" s="0" t="n">
        <v>3.564</v>
      </c>
      <c r="G8914" s="0" t="n">
        <v>-2.97</v>
      </c>
      <c r="H8914" s="0" t="n">
        <v>0.7</v>
      </c>
      <c r="I8914" s="7" t="n">
        <f aca="false">YEAR(B8914)</f>
        <v>2017</v>
      </c>
      <c r="J8914" s="0" t="str">
        <f aca="false">I8914&amp;"-Q"&amp;ROUNDUP(MONTH(B8914)/3,0)</f>
        <v>2017-Q4</v>
      </c>
    </row>
    <row r="8915" customFormat="false" ht="15" hidden="false" customHeight="false" outlineLevel="0" collapsed="false">
      <c r="A8915" s="0" t="s">
        <v>4528</v>
      </c>
      <c r="B8915" s="6" t="n">
        <v>43043</v>
      </c>
      <c r="C8915" s="7" t="s">
        <v>29</v>
      </c>
      <c r="D8915" s="7" t="s">
        <v>87</v>
      </c>
      <c r="E8915" s="7" t="s">
        <v>35</v>
      </c>
      <c r="F8915" s="0" t="n">
        <v>4.928</v>
      </c>
      <c r="G8915" s="0" t="n">
        <v>1.7248</v>
      </c>
      <c r="H8915" s="0" t="n">
        <v>0.2</v>
      </c>
      <c r="I8915" s="7" t="n">
        <f aca="false">YEAR(B8915)</f>
        <v>2017</v>
      </c>
      <c r="J8915" s="0" t="str">
        <f aca="false">I8915&amp;"-Q"&amp;ROUNDUP(MONTH(B8915)/3,0)</f>
        <v>2017-Q4</v>
      </c>
    </row>
    <row r="8916" customFormat="false" ht="15" hidden="false" customHeight="false" outlineLevel="0" collapsed="false">
      <c r="A8916" s="0" t="s">
        <v>4529</v>
      </c>
      <c r="B8916" s="6" t="n">
        <v>42499</v>
      </c>
      <c r="C8916" s="7" t="s">
        <v>45</v>
      </c>
      <c r="D8916" s="7" t="s">
        <v>46</v>
      </c>
      <c r="E8916" s="7" t="s">
        <v>35</v>
      </c>
      <c r="F8916" s="0" t="n">
        <v>856.656</v>
      </c>
      <c r="G8916" s="0" t="n">
        <v>107.082</v>
      </c>
      <c r="H8916" s="0" t="n">
        <v>0.2</v>
      </c>
      <c r="I8916" s="7" t="n">
        <f aca="false">YEAR(B8916)</f>
        <v>2016</v>
      </c>
      <c r="J8916" s="0" t="str">
        <f aca="false">I8916&amp;"-Q"&amp;ROUNDUP(MONTH(B8916)/3,0)</f>
        <v>2016-Q2</v>
      </c>
    </row>
    <row r="8917" customFormat="false" ht="15" hidden="false" customHeight="false" outlineLevel="0" collapsed="false">
      <c r="A8917" s="0" t="s">
        <v>4529</v>
      </c>
      <c r="B8917" s="6" t="n">
        <v>42499</v>
      </c>
      <c r="C8917" s="7" t="s">
        <v>45</v>
      </c>
      <c r="D8917" s="7" t="s">
        <v>46</v>
      </c>
      <c r="E8917" s="7" t="s">
        <v>35</v>
      </c>
      <c r="F8917" s="0" t="n">
        <v>13.184</v>
      </c>
      <c r="G8917" s="0" t="n">
        <v>-20.4352</v>
      </c>
      <c r="H8917" s="0" t="n">
        <v>0.8</v>
      </c>
      <c r="I8917" s="7" t="n">
        <f aca="false">YEAR(B8917)</f>
        <v>2016</v>
      </c>
      <c r="J8917" s="0" t="str">
        <f aca="false">I8917&amp;"-Q"&amp;ROUNDUP(MONTH(B8917)/3,0)</f>
        <v>2016-Q2</v>
      </c>
    </row>
    <row r="8918" customFormat="false" ht="15" hidden="false" customHeight="false" outlineLevel="0" collapsed="false">
      <c r="A8918" s="0" t="s">
        <v>4529</v>
      </c>
      <c r="B8918" s="6" t="n">
        <v>42499</v>
      </c>
      <c r="C8918" s="7" t="s">
        <v>45</v>
      </c>
      <c r="D8918" s="7" t="s">
        <v>46</v>
      </c>
      <c r="E8918" s="7" t="s">
        <v>35</v>
      </c>
      <c r="F8918" s="0" t="n">
        <v>48.784</v>
      </c>
      <c r="G8918" s="0" t="n">
        <v>-131.7168</v>
      </c>
      <c r="H8918" s="0" t="n">
        <v>0.8</v>
      </c>
      <c r="I8918" s="7" t="n">
        <f aca="false">YEAR(B8918)</f>
        <v>2016</v>
      </c>
      <c r="J8918" s="0" t="str">
        <f aca="false">I8918&amp;"-Q"&amp;ROUNDUP(MONTH(B8918)/3,0)</f>
        <v>2016-Q2</v>
      </c>
    </row>
    <row r="8919" customFormat="false" ht="15" hidden="false" customHeight="false" outlineLevel="0" collapsed="false">
      <c r="A8919" s="0" t="s">
        <v>4529</v>
      </c>
      <c r="B8919" s="6" t="n">
        <v>42499</v>
      </c>
      <c r="C8919" s="7" t="s">
        <v>45</v>
      </c>
      <c r="D8919" s="7" t="s">
        <v>46</v>
      </c>
      <c r="E8919" s="7" t="s">
        <v>35</v>
      </c>
      <c r="F8919" s="0" t="n">
        <v>76.64</v>
      </c>
      <c r="G8919" s="0" t="n">
        <v>26.824</v>
      </c>
      <c r="H8919" s="0" t="n">
        <v>0.2</v>
      </c>
      <c r="I8919" s="7" t="n">
        <f aca="false">YEAR(B8919)</f>
        <v>2016</v>
      </c>
      <c r="J8919" s="0" t="str">
        <f aca="false">I8919&amp;"-Q"&amp;ROUNDUP(MONTH(B8919)/3,0)</f>
        <v>2016-Q2</v>
      </c>
    </row>
    <row r="8920" customFormat="false" ht="15" hidden="false" customHeight="false" outlineLevel="0" collapsed="false">
      <c r="A8920" s="0" t="s">
        <v>4529</v>
      </c>
      <c r="B8920" s="6" t="n">
        <v>42499</v>
      </c>
      <c r="C8920" s="7" t="s">
        <v>45</v>
      </c>
      <c r="D8920" s="7" t="s">
        <v>46</v>
      </c>
      <c r="E8920" s="7" t="s">
        <v>35</v>
      </c>
      <c r="F8920" s="0" t="n">
        <v>18.528</v>
      </c>
      <c r="G8920" s="0" t="n">
        <v>-27.792</v>
      </c>
      <c r="H8920" s="0" t="n">
        <v>0.8</v>
      </c>
      <c r="I8920" s="7" t="n">
        <f aca="false">YEAR(B8920)</f>
        <v>2016</v>
      </c>
      <c r="J8920" s="0" t="str">
        <f aca="false">I8920&amp;"-Q"&amp;ROUNDUP(MONTH(B8920)/3,0)</f>
        <v>2016-Q2</v>
      </c>
    </row>
    <row r="8921" customFormat="false" ht="15" hidden="false" customHeight="false" outlineLevel="0" collapsed="false">
      <c r="A8921" s="0" t="s">
        <v>4530</v>
      </c>
      <c r="B8921" s="6" t="n">
        <v>41731</v>
      </c>
      <c r="C8921" s="7" t="s">
        <v>29</v>
      </c>
      <c r="D8921" s="7" t="s">
        <v>83</v>
      </c>
      <c r="E8921" s="7" t="s">
        <v>31</v>
      </c>
      <c r="F8921" s="0" t="n">
        <v>177.68</v>
      </c>
      <c r="G8921" s="0" t="n">
        <v>46.1968</v>
      </c>
      <c r="H8921" s="0" t="n">
        <v>0</v>
      </c>
      <c r="I8921" s="7" t="n">
        <f aca="false">YEAR(B8921)</f>
        <v>2014</v>
      </c>
      <c r="J8921" s="0" t="str">
        <f aca="false">I8921&amp;"-Q"&amp;ROUNDUP(MONTH(B8921)/3,0)</f>
        <v>2014-Q2</v>
      </c>
    </row>
    <row r="8922" customFormat="false" ht="15" hidden="false" customHeight="false" outlineLevel="0" collapsed="false">
      <c r="A8922" s="0" t="s">
        <v>4531</v>
      </c>
      <c r="B8922" s="6" t="n">
        <v>41757</v>
      </c>
      <c r="C8922" s="7" t="s">
        <v>55</v>
      </c>
      <c r="D8922" s="7" t="s">
        <v>76</v>
      </c>
      <c r="E8922" s="7" t="s">
        <v>39</v>
      </c>
      <c r="F8922" s="0" t="n">
        <v>159.98</v>
      </c>
      <c r="G8922" s="0" t="n">
        <v>57.5928</v>
      </c>
      <c r="H8922" s="0" t="n">
        <v>0</v>
      </c>
      <c r="I8922" s="7" t="n">
        <f aca="false">YEAR(B8922)</f>
        <v>2014</v>
      </c>
      <c r="J8922" s="0" t="str">
        <f aca="false">I8922&amp;"-Q"&amp;ROUNDUP(MONTH(B8922)/3,0)</f>
        <v>2014-Q2</v>
      </c>
    </row>
    <row r="8923" customFormat="false" ht="15" hidden="false" customHeight="false" outlineLevel="0" collapsed="false">
      <c r="A8923" s="0" t="s">
        <v>4532</v>
      </c>
      <c r="B8923" s="6" t="n">
        <v>42647</v>
      </c>
      <c r="C8923" s="7" t="s">
        <v>29</v>
      </c>
      <c r="D8923" s="7" t="s">
        <v>37</v>
      </c>
      <c r="E8923" s="7" t="s">
        <v>39</v>
      </c>
      <c r="F8923" s="0" t="n">
        <v>52.68</v>
      </c>
      <c r="G8923" s="0" t="n">
        <v>19.755</v>
      </c>
      <c r="H8923" s="0" t="n">
        <v>0.2</v>
      </c>
      <c r="I8923" s="7" t="n">
        <f aca="false">YEAR(B8923)</f>
        <v>2016</v>
      </c>
      <c r="J8923" s="0" t="str">
        <f aca="false">I8923&amp;"-Q"&amp;ROUNDUP(MONTH(B8923)/3,0)</f>
        <v>2016-Q4</v>
      </c>
    </row>
    <row r="8924" customFormat="false" ht="15" hidden="false" customHeight="false" outlineLevel="0" collapsed="false">
      <c r="A8924" s="0" t="s">
        <v>4532</v>
      </c>
      <c r="B8924" s="6" t="n">
        <v>42647</v>
      </c>
      <c r="C8924" s="7" t="s">
        <v>29</v>
      </c>
      <c r="D8924" s="7" t="s">
        <v>37</v>
      </c>
      <c r="E8924" s="7" t="s">
        <v>31</v>
      </c>
      <c r="F8924" s="0" t="n">
        <v>11.568</v>
      </c>
      <c r="G8924" s="0" t="n">
        <v>2.6028</v>
      </c>
      <c r="H8924" s="0" t="n">
        <v>0.2</v>
      </c>
      <c r="I8924" s="7" t="n">
        <f aca="false">YEAR(B8924)</f>
        <v>2016</v>
      </c>
      <c r="J8924" s="0" t="str">
        <f aca="false">I8924&amp;"-Q"&amp;ROUNDUP(MONTH(B8924)/3,0)</f>
        <v>2016-Q4</v>
      </c>
    </row>
    <row r="8925" customFormat="false" ht="15" hidden="false" customHeight="false" outlineLevel="0" collapsed="false">
      <c r="A8925" s="0" t="s">
        <v>4533</v>
      </c>
      <c r="B8925" s="6" t="n">
        <v>42897</v>
      </c>
      <c r="C8925" s="7" t="s">
        <v>29</v>
      </c>
      <c r="D8925" s="7" t="s">
        <v>41</v>
      </c>
      <c r="E8925" s="7" t="s">
        <v>35</v>
      </c>
      <c r="F8925" s="0" t="n">
        <v>4.572</v>
      </c>
      <c r="G8925" s="0" t="n">
        <v>-3.81</v>
      </c>
      <c r="H8925" s="0" t="n">
        <v>0.7</v>
      </c>
      <c r="I8925" s="7" t="n">
        <f aca="false">YEAR(B8925)</f>
        <v>2017</v>
      </c>
      <c r="J8925" s="0" t="str">
        <f aca="false">I8925&amp;"-Q"&amp;ROUNDUP(MONTH(B8925)/3,0)</f>
        <v>2017-Q2</v>
      </c>
    </row>
    <row r="8926" customFormat="false" ht="15" hidden="false" customHeight="false" outlineLevel="0" collapsed="false">
      <c r="A8926" s="0" t="s">
        <v>4534</v>
      </c>
      <c r="B8926" s="6" t="n">
        <v>42399</v>
      </c>
      <c r="C8926" s="7" t="s">
        <v>45</v>
      </c>
      <c r="D8926" s="7" t="s">
        <v>64</v>
      </c>
      <c r="E8926" s="7" t="s">
        <v>39</v>
      </c>
      <c r="F8926" s="0" t="n">
        <v>1439.968</v>
      </c>
      <c r="G8926" s="0" t="n">
        <v>143.9968</v>
      </c>
      <c r="H8926" s="0" t="n">
        <v>0.2</v>
      </c>
      <c r="I8926" s="7" t="n">
        <f aca="false">YEAR(B8926)</f>
        <v>2016</v>
      </c>
      <c r="J8926" s="0" t="str">
        <f aca="false">I8926&amp;"-Q"&amp;ROUNDUP(MONTH(B8926)/3,0)</f>
        <v>2016-Q1</v>
      </c>
    </row>
    <row r="8927" customFormat="false" ht="15" hidden="false" customHeight="false" outlineLevel="0" collapsed="false">
      <c r="A8927" s="0" t="s">
        <v>4534</v>
      </c>
      <c r="B8927" s="6" t="n">
        <v>42399</v>
      </c>
      <c r="C8927" s="7" t="s">
        <v>45</v>
      </c>
      <c r="D8927" s="7" t="s">
        <v>64</v>
      </c>
      <c r="E8927" s="7" t="s">
        <v>35</v>
      </c>
      <c r="F8927" s="0" t="n">
        <v>1.728</v>
      </c>
      <c r="G8927" s="0" t="n">
        <v>-2.6784</v>
      </c>
      <c r="H8927" s="0" t="n">
        <v>0.8</v>
      </c>
      <c r="I8927" s="7" t="n">
        <f aca="false">YEAR(B8927)</f>
        <v>2016</v>
      </c>
      <c r="J8927" s="0" t="str">
        <f aca="false">I8927&amp;"-Q"&amp;ROUNDUP(MONTH(B8927)/3,0)</f>
        <v>2016-Q1</v>
      </c>
    </row>
    <row r="8928" customFormat="false" ht="15" hidden="false" customHeight="false" outlineLevel="0" collapsed="false">
      <c r="A8928" s="0" t="s">
        <v>4534</v>
      </c>
      <c r="B8928" s="6" t="n">
        <v>42399</v>
      </c>
      <c r="C8928" s="7" t="s">
        <v>45</v>
      </c>
      <c r="D8928" s="7" t="s">
        <v>64</v>
      </c>
      <c r="E8928" s="7" t="s">
        <v>31</v>
      </c>
      <c r="F8928" s="0" t="n">
        <v>626.1</v>
      </c>
      <c r="G8928" s="0" t="n">
        <v>-538.446</v>
      </c>
      <c r="H8928" s="0" t="n">
        <v>0.5</v>
      </c>
      <c r="I8928" s="7" t="n">
        <f aca="false">YEAR(B8928)</f>
        <v>2016</v>
      </c>
      <c r="J8928" s="0" t="str">
        <f aca="false">I8928&amp;"-Q"&amp;ROUNDUP(MONTH(B8928)/3,0)</f>
        <v>2016-Q1</v>
      </c>
    </row>
    <row r="8929" customFormat="false" ht="15" hidden="false" customHeight="false" outlineLevel="0" collapsed="false">
      <c r="A8929" s="0" t="s">
        <v>4535</v>
      </c>
      <c r="B8929" s="6" t="n">
        <v>42274</v>
      </c>
      <c r="C8929" s="7" t="s">
        <v>33</v>
      </c>
      <c r="D8929" s="7" t="s">
        <v>43</v>
      </c>
      <c r="E8929" s="7" t="s">
        <v>35</v>
      </c>
      <c r="F8929" s="0" t="n">
        <v>99.2</v>
      </c>
      <c r="G8929" s="0" t="n">
        <v>25.792</v>
      </c>
      <c r="H8929" s="0" t="n">
        <v>0</v>
      </c>
      <c r="I8929" s="7" t="n">
        <f aca="false">YEAR(B8929)</f>
        <v>2015</v>
      </c>
      <c r="J8929" s="0" t="str">
        <f aca="false">I8929&amp;"-Q"&amp;ROUNDUP(MONTH(B8929)/3,0)</f>
        <v>2015-Q3</v>
      </c>
    </row>
    <row r="8930" customFormat="false" ht="15" hidden="false" customHeight="false" outlineLevel="0" collapsed="false">
      <c r="A8930" s="0" t="s">
        <v>4536</v>
      </c>
      <c r="B8930" s="6" t="n">
        <v>42107</v>
      </c>
      <c r="C8930" s="7" t="s">
        <v>45</v>
      </c>
      <c r="D8930" s="7" t="s">
        <v>46</v>
      </c>
      <c r="E8930" s="7" t="s">
        <v>31</v>
      </c>
      <c r="F8930" s="0" t="n">
        <v>609.98</v>
      </c>
      <c r="G8930" s="0" t="n">
        <v>-113.282</v>
      </c>
      <c r="H8930" s="0" t="n">
        <v>0.3</v>
      </c>
      <c r="I8930" s="7" t="n">
        <f aca="false">YEAR(B8930)</f>
        <v>2015</v>
      </c>
      <c r="J8930" s="0" t="str">
        <f aca="false">I8930&amp;"-Q"&amp;ROUNDUP(MONTH(B8930)/3,0)</f>
        <v>2015-Q2</v>
      </c>
    </row>
    <row r="8931" customFormat="false" ht="15" hidden="false" customHeight="false" outlineLevel="0" collapsed="false">
      <c r="A8931" s="0" t="s">
        <v>4536</v>
      </c>
      <c r="B8931" s="6" t="n">
        <v>42107</v>
      </c>
      <c r="C8931" s="7" t="s">
        <v>45</v>
      </c>
      <c r="D8931" s="7" t="s">
        <v>46</v>
      </c>
      <c r="E8931" s="7" t="s">
        <v>31</v>
      </c>
      <c r="F8931" s="0" t="n">
        <v>211.372</v>
      </c>
      <c r="G8931" s="0" t="n">
        <v>-45.294</v>
      </c>
      <c r="H8931" s="0" t="n">
        <v>0.3</v>
      </c>
      <c r="I8931" s="7" t="n">
        <f aca="false">YEAR(B8931)</f>
        <v>2015</v>
      </c>
      <c r="J8931" s="0" t="str">
        <f aca="false">I8931&amp;"-Q"&amp;ROUNDUP(MONTH(B8931)/3,0)</f>
        <v>2015-Q2</v>
      </c>
    </row>
    <row r="8932" customFormat="false" ht="15" hidden="false" customHeight="false" outlineLevel="0" collapsed="false">
      <c r="A8932" s="0" t="s">
        <v>4536</v>
      </c>
      <c r="B8932" s="6" t="n">
        <v>42107</v>
      </c>
      <c r="C8932" s="7" t="s">
        <v>45</v>
      </c>
      <c r="D8932" s="7" t="s">
        <v>46</v>
      </c>
      <c r="E8932" s="7" t="s">
        <v>39</v>
      </c>
      <c r="F8932" s="0" t="n">
        <v>239.976</v>
      </c>
      <c r="G8932" s="0" t="n">
        <v>17.9982</v>
      </c>
      <c r="H8932" s="0" t="n">
        <v>0.2</v>
      </c>
      <c r="I8932" s="7" t="n">
        <f aca="false">YEAR(B8932)</f>
        <v>2015</v>
      </c>
      <c r="J8932" s="0" t="str">
        <f aca="false">I8932&amp;"-Q"&amp;ROUNDUP(MONTH(B8932)/3,0)</f>
        <v>2015-Q2</v>
      </c>
    </row>
    <row r="8933" customFormat="false" ht="15" hidden="false" customHeight="false" outlineLevel="0" collapsed="false">
      <c r="A8933" s="0" t="s">
        <v>4537</v>
      </c>
      <c r="B8933" s="6" t="n">
        <v>43087</v>
      </c>
      <c r="C8933" s="7" t="s">
        <v>45</v>
      </c>
      <c r="D8933" s="7" t="s">
        <v>48</v>
      </c>
      <c r="E8933" s="7" t="s">
        <v>31</v>
      </c>
      <c r="F8933" s="0" t="n">
        <v>99.95</v>
      </c>
      <c r="G8933" s="0" t="n">
        <v>22.9885</v>
      </c>
      <c r="H8933" s="0" t="n">
        <v>0</v>
      </c>
      <c r="I8933" s="7" t="n">
        <f aca="false">YEAR(B8933)</f>
        <v>2017</v>
      </c>
      <c r="J8933" s="0" t="str">
        <f aca="false">I8933&amp;"-Q"&amp;ROUNDUP(MONTH(B8933)/3,0)</f>
        <v>2017-Q4</v>
      </c>
    </row>
    <row r="8934" customFormat="false" ht="15" hidden="false" customHeight="false" outlineLevel="0" collapsed="false">
      <c r="A8934" s="0" t="s">
        <v>4537</v>
      </c>
      <c r="B8934" s="6" t="n">
        <v>43087</v>
      </c>
      <c r="C8934" s="7" t="s">
        <v>45</v>
      </c>
      <c r="D8934" s="7" t="s">
        <v>48</v>
      </c>
      <c r="E8934" s="7" t="s">
        <v>39</v>
      </c>
      <c r="F8934" s="0" t="n">
        <v>29.34</v>
      </c>
      <c r="G8934" s="0" t="n">
        <v>10.8558</v>
      </c>
      <c r="H8934" s="0" t="n">
        <v>0</v>
      </c>
      <c r="I8934" s="7" t="n">
        <f aca="false">YEAR(B8934)</f>
        <v>2017</v>
      </c>
      <c r="J8934" s="0" t="str">
        <f aca="false">I8934&amp;"-Q"&amp;ROUNDUP(MONTH(B8934)/3,0)</f>
        <v>2017-Q4</v>
      </c>
    </row>
    <row r="8935" customFormat="false" ht="15" hidden="false" customHeight="false" outlineLevel="0" collapsed="false">
      <c r="A8935" s="0" t="s">
        <v>4538</v>
      </c>
      <c r="B8935" s="6" t="n">
        <v>42443</v>
      </c>
      <c r="C8935" s="7" t="s">
        <v>45</v>
      </c>
      <c r="D8935" s="7" t="s">
        <v>48</v>
      </c>
      <c r="E8935" s="7" t="s">
        <v>31</v>
      </c>
      <c r="F8935" s="0" t="n">
        <v>16.74</v>
      </c>
      <c r="G8935" s="0" t="n">
        <v>4.3524</v>
      </c>
      <c r="H8935" s="0" t="n">
        <v>0</v>
      </c>
      <c r="I8935" s="7" t="n">
        <f aca="false">YEAR(B8935)</f>
        <v>2016</v>
      </c>
      <c r="J8935" s="0" t="str">
        <f aca="false">I8935&amp;"-Q"&amp;ROUNDUP(MONTH(B8935)/3,0)</f>
        <v>2016-Q1</v>
      </c>
    </row>
    <row r="8936" customFormat="false" ht="15" hidden="false" customHeight="false" outlineLevel="0" collapsed="false">
      <c r="A8936" s="0" t="s">
        <v>4539</v>
      </c>
      <c r="B8936" s="6" t="n">
        <v>42974</v>
      </c>
      <c r="C8936" s="7" t="s">
        <v>55</v>
      </c>
      <c r="D8936" s="7" t="s">
        <v>56</v>
      </c>
      <c r="E8936" s="7" t="s">
        <v>35</v>
      </c>
      <c r="F8936" s="0" t="n">
        <v>12.672</v>
      </c>
      <c r="G8936" s="0" t="n">
        <v>3.96</v>
      </c>
      <c r="H8936" s="0" t="n">
        <v>0.2</v>
      </c>
      <c r="I8936" s="7" t="n">
        <f aca="false">YEAR(B8936)</f>
        <v>2017</v>
      </c>
      <c r="J8936" s="0" t="str">
        <f aca="false">I8936&amp;"-Q"&amp;ROUNDUP(MONTH(B8936)/3,0)</f>
        <v>2017-Q3</v>
      </c>
    </row>
    <row r="8937" customFormat="false" ht="15" hidden="false" customHeight="false" outlineLevel="0" collapsed="false">
      <c r="A8937" s="0" t="s">
        <v>4539</v>
      </c>
      <c r="B8937" s="6" t="n">
        <v>42974</v>
      </c>
      <c r="C8937" s="7" t="s">
        <v>55</v>
      </c>
      <c r="D8937" s="7" t="s">
        <v>56</v>
      </c>
      <c r="E8937" s="7" t="s">
        <v>39</v>
      </c>
      <c r="F8937" s="0" t="n">
        <v>1119.888</v>
      </c>
      <c r="G8937" s="0" t="n">
        <v>209.979</v>
      </c>
      <c r="H8937" s="0" t="n">
        <v>0.2</v>
      </c>
      <c r="I8937" s="7" t="n">
        <f aca="false">YEAR(B8937)</f>
        <v>2017</v>
      </c>
      <c r="J8937" s="0" t="str">
        <f aca="false">I8937&amp;"-Q"&amp;ROUNDUP(MONTH(B8937)/3,0)</f>
        <v>2017-Q3</v>
      </c>
    </row>
    <row r="8938" customFormat="false" ht="15" hidden="false" customHeight="false" outlineLevel="0" collapsed="false">
      <c r="A8938" s="0" t="s">
        <v>4540</v>
      </c>
      <c r="B8938" s="6" t="n">
        <v>42355</v>
      </c>
      <c r="C8938" s="7" t="s">
        <v>33</v>
      </c>
      <c r="D8938" s="7" t="s">
        <v>34</v>
      </c>
      <c r="E8938" s="7" t="s">
        <v>35</v>
      </c>
      <c r="F8938" s="0" t="n">
        <v>204.85</v>
      </c>
      <c r="G8938" s="0" t="n">
        <v>53.261</v>
      </c>
      <c r="H8938" s="0" t="n">
        <v>0</v>
      </c>
      <c r="I8938" s="7" t="n">
        <f aca="false">YEAR(B8938)</f>
        <v>2015</v>
      </c>
      <c r="J8938" s="0" t="str">
        <f aca="false">I8938&amp;"-Q"&amp;ROUNDUP(MONTH(B8938)/3,0)</f>
        <v>2015-Q4</v>
      </c>
    </row>
    <row r="8939" customFormat="false" ht="15" hidden="false" customHeight="false" outlineLevel="0" collapsed="false">
      <c r="A8939" s="0" t="s">
        <v>4540</v>
      </c>
      <c r="B8939" s="6" t="n">
        <v>42355</v>
      </c>
      <c r="C8939" s="7" t="s">
        <v>33</v>
      </c>
      <c r="D8939" s="7" t="s">
        <v>34</v>
      </c>
      <c r="E8939" s="7" t="s">
        <v>39</v>
      </c>
      <c r="F8939" s="0" t="n">
        <v>135.984</v>
      </c>
      <c r="G8939" s="0" t="n">
        <v>16.998</v>
      </c>
      <c r="H8939" s="0" t="n">
        <v>0.2</v>
      </c>
      <c r="I8939" s="7" t="n">
        <f aca="false">YEAR(B8939)</f>
        <v>2015</v>
      </c>
      <c r="J8939" s="0" t="str">
        <f aca="false">I8939&amp;"-Q"&amp;ROUNDUP(MONTH(B8939)/3,0)</f>
        <v>2015-Q4</v>
      </c>
    </row>
    <row r="8940" customFormat="false" ht="15" hidden="false" customHeight="false" outlineLevel="0" collapsed="false">
      <c r="A8940" s="0" t="s">
        <v>4540</v>
      </c>
      <c r="B8940" s="6" t="n">
        <v>42355</v>
      </c>
      <c r="C8940" s="7" t="s">
        <v>33</v>
      </c>
      <c r="D8940" s="7" t="s">
        <v>34</v>
      </c>
      <c r="E8940" s="7" t="s">
        <v>35</v>
      </c>
      <c r="F8940" s="0" t="n">
        <v>16.4</v>
      </c>
      <c r="G8940" s="0" t="n">
        <v>7.052</v>
      </c>
      <c r="H8940" s="0" t="n">
        <v>0</v>
      </c>
      <c r="I8940" s="7" t="n">
        <f aca="false">YEAR(B8940)</f>
        <v>2015</v>
      </c>
      <c r="J8940" s="0" t="str">
        <f aca="false">I8940&amp;"-Q"&amp;ROUNDUP(MONTH(B8940)/3,0)</f>
        <v>2015-Q4</v>
      </c>
    </row>
    <row r="8941" customFormat="false" ht="15" hidden="false" customHeight="false" outlineLevel="0" collapsed="false">
      <c r="A8941" s="0" t="s">
        <v>4540</v>
      </c>
      <c r="B8941" s="6" t="n">
        <v>42355</v>
      </c>
      <c r="C8941" s="7" t="s">
        <v>33</v>
      </c>
      <c r="D8941" s="7" t="s">
        <v>34</v>
      </c>
      <c r="E8941" s="7" t="s">
        <v>35</v>
      </c>
      <c r="F8941" s="0" t="n">
        <v>92.96</v>
      </c>
      <c r="G8941" s="0" t="n">
        <v>31.374</v>
      </c>
      <c r="H8941" s="0" t="n">
        <v>0.2</v>
      </c>
      <c r="I8941" s="7" t="n">
        <f aca="false">YEAR(B8941)</f>
        <v>2015</v>
      </c>
      <c r="J8941" s="0" t="str">
        <f aca="false">I8941&amp;"-Q"&amp;ROUNDUP(MONTH(B8941)/3,0)</f>
        <v>2015-Q4</v>
      </c>
    </row>
    <row r="8942" customFormat="false" ht="15" hidden="false" customHeight="false" outlineLevel="0" collapsed="false">
      <c r="A8942" s="0" t="s">
        <v>4541</v>
      </c>
      <c r="B8942" s="6" t="n">
        <v>41873</v>
      </c>
      <c r="C8942" s="7" t="s">
        <v>29</v>
      </c>
      <c r="D8942" s="7" t="s">
        <v>37</v>
      </c>
      <c r="E8942" s="7" t="s">
        <v>35</v>
      </c>
      <c r="F8942" s="0" t="n">
        <v>7.632</v>
      </c>
      <c r="G8942" s="0" t="n">
        <v>-1.8126</v>
      </c>
      <c r="H8942" s="0" t="n">
        <v>0.2</v>
      </c>
      <c r="I8942" s="7" t="n">
        <f aca="false">YEAR(B8942)</f>
        <v>2014</v>
      </c>
      <c r="J8942" s="0" t="str">
        <f aca="false">I8942&amp;"-Q"&amp;ROUNDUP(MONTH(B8942)/3,0)</f>
        <v>2014-Q3</v>
      </c>
    </row>
    <row r="8943" customFormat="false" ht="15" hidden="false" customHeight="false" outlineLevel="0" collapsed="false">
      <c r="A8943" s="0" t="s">
        <v>4542</v>
      </c>
      <c r="B8943" s="6" t="n">
        <v>42677</v>
      </c>
      <c r="C8943" s="7" t="s">
        <v>33</v>
      </c>
      <c r="D8943" s="7" t="s">
        <v>102</v>
      </c>
      <c r="E8943" s="7" t="s">
        <v>35</v>
      </c>
      <c r="F8943" s="0" t="n">
        <v>4.158</v>
      </c>
      <c r="G8943" s="0" t="n">
        <v>-3.465</v>
      </c>
      <c r="H8943" s="0" t="n">
        <v>0.7</v>
      </c>
      <c r="I8943" s="7" t="n">
        <f aca="false">YEAR(B8943)</f>
        <v>2016</v>
      </c>
      <c r="J8943" s="0" t="str">
        <f aca="false">I8943&amp;"-Q"&amp;ROUNDUP(MONTH(B8943)/3,0)</f>
        <v>2016-Q4</v>
      </c>
    </row>
    <row r="8944" customFormat="false" ht="15" hidden="false" customHeight="false" outlineLevel="0" collapsed="false">
      <c r="A8944" s="0" t="s">
        <v>4542</v>
      </c>
      <c r="B8944" s="6" t="n">
        <v>42677</v>
      </c>
      <c r="C8944" s="7" t="s">
        <v>33</v>
      </c>
      <c r="D8944" s="7" t="s">
        <v>102</v>
      </c>
      <c r="E8944" s="7" t="s">
        <v>39</v>
      </c>
      <c r="F8944" s="0" t="n">
        <v>179.991</v>
      </c>
      <c r="G8944" s="0" t="n">
        <v>-251.9874</v>
      </c>
      <c r="H8944" s="0" t="n">
        <v>0.7</v>
      </c>
      <c r="I8944" s="7" t="n">
        <f aca="false">YEAR(B8944)</f>
        <v>2016</v>
      </c>
      <c r="J8944" s="0" t="str">
        <f aca="false">I8944&amp;"-Q"&amp;ROUNDUP(MONTH(B8944)/3,0)</f>
        <v>2016-Q4</v>
      </c>
    </row>
    <row r="8945" customFormat="false" ht="15" hidden="false" customHeight="false" outlineLevel="0" collapsed="false">
      <c r="A8945" s="0" t="s">
        <v>4543</v>
      </c>
      <c r="B8945" s="6" t="n">
        <v>43018</v>
      </c>
      <c r="C8945" s="7" t="s">
        <v>45</v>
      </c>
      <c r="D8945" s="7" t="s">
        <v>64</v>
      </c>
      <c r="E8945" s="7" t="s">
        <v>31</v>
      </c>
      <c r="F8945" s="0" t="n">
        <v>239.358</v>
      </c>
      <c r="G8945" s="0" t="n">
        <v>-47.8716</v>
      </c>
      <c r="H8945" s="0" t="n">
        <v>0.3</v>
      </c>
      <c r="I8945" s="7" t="n">
        <f aca="false">YEAR(B8945)</f>
        <v>2017</v>
      </c>
      <c r="J8945" s="0" t="str">
        <f aca="false">I8945&amp;"-Q"&amp;ROUNDUP(MONTH(B8945)/3,0)</f>
        <v>2017-Q4</v>
      </c>
    </row>
    <row r="8946" customFormat="false" ht="15" hidden="false" customHeight="false" outlineLevel="0" collapsed="false">
      <c r="A8946" s="0" t="s">
        <v>4544</v>
      </c>
      <c r="B8946" s="6" t="n">
        <v>41980</v>
      </c>
      <c r="C8946" s="7" t="s">
        <v>33</v>
      </c>
      <c r="D8946" s="7" t="s">
        <v>34</v>
      </c>
      <c r="E8946" s="7" t="s">
        <v>35</v>
      </c>
      <c r="F8946" s="0" t="n">
        <v>164.88</v>
      </c>
      <c r="G8946" s="0" t="n">
        <v>80.7912</v>
      </c>
      <c r="H8946" s="0" t="n">
        <v>0</v>
      </c>
      <c r="I8946" s="7" t="n">
        <f aca="false">YEAR(B8946)</f>
        <v>2014</v>
      </c>
      <c r="J8946" s="0" t="str">
        <f aca="false">I8946&amp;"-Q"&amp;ROUNDUP(MONTH(B8946)/3,0)</f>
        <v>2014-Q4</v>
      </c>
    </row>
    <row r="8947" customFormat="false" ht="15" hidden="false" customHeight="false" outlineLevel="0" collapsed="false">
      <c r="A8947" s="0" t="s">
        <v>4545</v>
      </c>
      <c r="B8947" s="6" t="n">
        <v>41958</v>
      </c>
      <c r="C8947" s="7" t="s">
        <v>33</v>
      </c>
      <c r="D8947" s="7" t="s">
        <v>34</v>
      </c>
      <c r="E8947" s="7" t="s">
        <v>35</v>
      </c>
      <c r="F8947" s="0" t="n">
        <v>10.95</v>
      </c>
      <c r="G8947" s="0" t="n">
        <v>3.285</v>
      </c>
      <c r="H8947" s="0" t="n">
        <v>0</v>
      </c>
      <c r="I8947" s="7" t="n">
        <f aca="false">YEAR(B8947)</f>
        <v>2014</v>
      </c>
      <c r="J8947" s="0" t="str">
        <f aca="false">I8947&amp;"-Q"&amp;ROUNDUP(MONTH(B8947)/3,0)</f>
        <v>2014-Q4</v>
      </c>
    </row>
    <row r="8948" customFormat="false" ht="15" hidden="false" customHeight="false" outlineLevel="0" collapsed="false">
      <c r="A8948" s="0" t="s">
        <v>4546</v>
      </c>
      <c r="B8948" s="6" t="n">
        <v>43093</v>
      </c>
      <c r="C8948" s="7" t="s">
        <v>55</v>
      </c>
      <c r="D8948" s="7" t="s">
        <v>225</v>
      </c>
      <c r="E8948" s="7" t="s">
        <v>35</v>
      </c>
      <c r="F8948" s="0" t="n">
        <v>19.44</v>
      </c>
      <c r="G8948" s="0" t="n">
        <v>9.3312</v>
      </c>
      <c r="H8948" s="0" t="n">
        <v>0</v>
      </c>
      <c r="I8948" s="7" t="n">
        <f aca="false">YEAR(B8948)</f>
        <v>2017</v>
      </c>
      <c r="J8948" s="0" t="str">
        <f aca="false">I8948&amp;"-Q"&amp;ROUNDUP(MONTH(B8948)/3,0)</f>
        <v>2017-Q4</v>
      </c>
    </row>
    <row r="8949" customFormat="false" ht="15" hidden="false" customHeight="false" outlineLevel="0" collapsed="false">
      <c r="A8949" s="0" t="s">
        <v>4546</v>
      </c>
      <c r="B8949" s="6" t="n">
        <v>43093</v>
      </c>
      <c r="C8949" s="7" t="s">
        <v>55</v>
      </c>
      <c r="D8949" s="7" t="s">
        <v>225</v>
      </c>
      <c r="E8949" s="7" t="s">
        <v>35</v>
      </c>
      <c r="F8949" s="0" t="n">
        <v>12.3</v>
      </c>
      <c r="G8949" s="0" t="n">
        <v>6.15</v>
      </c>
      <c r="H8949" s="0" t="n">
        <v>0</v>
      </c>
      <c r="I8949" s="7" t="n">
        <f aca="false">YEAR(B8949)</f>
        <v>2017</v>
      </c>
      <c r="J8949" s="0" t="str">
        <f aca="false">I8949&amp;"-Q"&amp;ROUNDUP(MONTH(B8949)/3,0)</f>
        <v>2017-Q4</v>
      </c>
    </row>
    <row r="8950" customFormat="false" ht="15" hidden="false" customHeight="false" outlineLevel="0" collapsed="false">
      <c r="A8950" s="0" t="s">
        <v>4547</v>
      </c>
      <c r="B8950" s="6" t="n">
        <v>41997</v>
      </c>
      <c r="C8950" s="7" t="s">
        <v>33</v>
      </c>
      <c r="D8950" s="7" t="s">
        <v>34</v>
      </c>
      <c r="E8950" s="7" t="s">
        <v>35</v>
      </c>
      <c r="F8950" s="0" t="n">
        <v>13.97</v>
      </c>
      <c r="G8950" s="0" t="n">
        <v>3.6322</v>
      </c>
      <c r="H8950" s="0" t="n">
        <v>0</v>
      </c>
      <c r="I8950" s="7" t="n">
        <f aca="false">YEAR(B8950)</f>
        <v>2014</v>
      </c>
      <c r="J8950" s="0" t="str">
        <f aca="false">I8950&amp;"-Q"&amp;ROUNDUP(MONTH(B8950)/3,0)</f>
        <v>2014-Q4</v>
      </c>
    </row>
    <row r="8951" customFormat="false" ht="15" hidden="false" customHeight="false" outlineLevel="0" collapsed="false">
      <c r="A8951" s="0" t="s">
        <v>4548</v>
      </c>
      <c r="B8951" s="6" t="n">
        <v>43091</v>
      </c>
      <c r="C8951" s="7" t="s">
        <v>29</v>
      </c>
      <c r="D8951" s="7" t="s">
        <v>87</v>
      </c>
      <c r="E8951" s="7" t="s">
        <v>31</v>
      </c>
      <c r="F8951" s="0" t="n">
        <v>934.956</v>
      </c>
      <c r="G8951" s="0" t="n">
        <v>-249.3216</v>
      </c>
      <c r="H8951" s="0" t="n">
        <v>0.4</v>
      </c>
      <c r="I8951" s="7" t="n">
        <f aca="false">YEAR(B8951)</f>
        <v>2017</v>
      </c>
      <c r="J8951" s="0" t="str">
        <f aca="false">I8951&amp;"-Q"&amp;ROUNDUP(MONTH(B8951)/3,0)</f>
        <v>2017-Q4</v>
      </c>
    </row>
    <row r="8952" customFormat="false" ht="15" hidden="false" customHeight="false" outlineLevel="0" collapsed="false">
      <c r="A8952" s="0" t="s">
        <v>4548</v>
      </c>
      <c r="B8952" s="6" t="n">
        <v>43091</v>
      </c>
      <c r="C8952" s="7" t="s">
        <v>29</v>
      </c>
      <c r="D8952" s="7" t="s">
        <v>87</v>
      </c>
      <c r="E8952" s="7" t="s">
        <v>39</v>
      </c>
      <c r="F8952" s="0" t="n">
        <v>46.864</v>
      </c>
      <c r="G8952" s="0" t="n">
        <v>7.6154</v>
      </c>
      <c r="H8952" s="0" t="n">
        <v>0.2</v>
      </c>
      <c r="I8952" s="7" t="n">
        <f aca="false">YEAR(B8952)</f>
        <v>2017</v>
      </c>
      <c r="J8952" s="0" t="str">
        <f aca="false">I8952&amp;"-Q"&amp;ROUNDUP(MONTH(B8952)/3,0)</f>
        <v>2017-Q4</v>
      </c>
    </row>
    <row r="8953" customFormat="false" ht="15" hidden="false" customHeight="false" outlineLevel="0" collapsed="false">
      <c r="A8953" s="0" t="s">
        <v>4548</v>
      </c>
      <c r="B8953" s="6" t="n">
        <v>43091</v>
      </c>
      <c r="C8953" s="7" t="s">
        <v>29</v>
      </c>
      <c r="D8953" s="7" t="s">
        <v>87</v>
      </c>
      <c r="E8953" s="7" t="s">
        <v>35</v>
      </c>
      <c r="F8953" s="0" t="n">
        <v>26.16</v>
      </c>
      <c r="G8953" s="0" t="n">
        <v>1.962</v>
      </c>
      <c r="H8953" s="0" t="n">
        <v>0.2</v>
      </c>
      <c r="I8953" s="7" t="n">
        <f aca="false">YEAR(B8953)</f>
        <v>2017</v>
      </c>
      <c r="J8953" s="0" t="str">
        <f aca="false">I8953&amp;"-Q"&amp;ROUNDUP(MONTH(B8953)/3,0)</f>
        <v>2017-Q4</v>
      </c>
    </row>
    <row r="8954" customFormat="false" ht="15" hidden="false" customHeight="false" outlineLevel="0" collapsed="false">
      <c r="A8954" s="0" t="s">
        <v>4548</v>
      </c>
      <c r="B8954" s="6" t="n">
        <v>43091</v>
      </c>
      <c r="C8954" s="7" t="s">
        <v>29</v>
      </c>
      <c r="D8954" s="7" t="s">
        <v>87</v>
      </c>
      <c r="E8954" s="7" t="s">
        <v>35</v>
      </c>
      <c r="F8954" s="0" t="n">
        <v>23.128</v>
      </c>
      <c r="G8954" s="0" t="n">
        <v>2.891</v>
      </c>
      <c r="H8954" s="0" t="n">
        <v>0.2</v>
      </c>
      <c r="I8954" s="7" t="n">
        <f aca="false">YEAR(B8954)</f>
        <v>2017</v>
      </c>
      <c r="J8954" s="0" t="str">
        <f aca="false">I8954&amp;"-Q"&amp;ROUNDUP(MONTH(B8954)/3,0)</f>
        <v>2017-Q4</v>
      </c>
    </row>
    <row r="8955" customFormat="false" ht="15" hidden="false" customHeight="false" outlineLevel="0" collapsed="false">
      <c r="A8955" s="0" t="s">
        <v>4548</v>
      </c>
      <c r="B8955" s="6" t="n">
        <v>43091</v>
      </c>
      <c r="C8955" s="7" t="s">
        <v>29</v>
      </c>
      <c r="D8955" s="7" t="s">
        <v>87</v>
      </c>
      <c r="E8955" s="7" t="s">
        <v>35</v>
      </c>
      <c r="F8955" s="0" t="n">
        <v>59.24</v>
      </c>
      <c r="G8955" s="0" t="n">
        <v>16.291</v>
      </c>
      <c r="H8955" s="0" t="n">
        <v>0.2</v>
      </c>
      <c r="I8955" s="7" t="n">
        <f aca="false">YEAR(B8955)</f>
        <v>2017</v>
      </c>
      <c r="J8955" s="0" t="str">
        <f aca="false">I8955&amp;"-Q"&amp;ROUNDUP(MONTH(B8955)/3,0)</f>
        <v>2017-Q4</v>
      </c>
    </row>
    <row r="8956" customFormat="false" ht="15" hidden="false" customHeight="false" outlineLevel="0" collapsed="false">
      <c r="A8956" s="0" t="s">
        <v>4549</v>
      </c>
      <c r="B8956" s="6" t="n">
        <v>41859</v>
      </c>
      <c r="C8956" s="7" t="s">
        <v>29</v>
      </c>
      <c r="D8956" s="7" t="s">
        <v>37</v>
      </c>
      <c r="E8956" s="7" t="s">
        <v>31</v>
      </c>
      <c r="F8956" s="0" t="n">
        <v>155.456</v>
      </c>
      <c r="G8956" s="0" t="n">
        <v>-7.7728</v>
      </c>
      <c r="H8956" s="0" t="n">
        <v>0.2</v>
      </c>
      <c r="I8956" s="7" t="n">
        <f aca="false">YEAR(B8956)</f>
        <v>2014</v>
      </c>
      <c r="J8956" s="0" t="str">
        <f aca="false">I8956&amp;"-Q"&amp;ROUNDUP(MONTH(B8956)/3,0)</f>
        <v>2014-Q3</v>
      </c>
    </row>
    <row r="8957" customFormat="false" ht="15" hidden="false" customHeight="false" outlineLevel="0" collapsed="false">
      <c r="A8957" s="0" t="s">
        <v>4550</v>
      </c>
      <c r="B8957" s="6" t="n">
        <v>41902</v>
      </c>
      <c r="C8957" s="7" t="s">
        <v>33</v>
      </c>
      <c r="D8957" s="7" t="s">
        <v>34</v>
      </c>
      <c r="E8957" s="7" t="s">
        <v>35</v>
      </c>
      <c r="F8957" s="0" t="n">
        <v>8.56</v>
      </c>
      <c r="G8957" s="0" t="n">
        <v>3.852</v>
      </c>
      <c r="H8957" s="0" t="n">
        <v>0</v>
      </c>
      <c r="I8957" s="7" t="n">
        <f aca="false">YEAR(B8957)</f>
        <v>2014</v>
      </c>
      <c r="J8957" s="0" t="str">
        <f aca="false">I8957&amp;"-Q"&amp;ROUNDUP(MONTH(B8957)/3,0)</f>
        <v>2014-Q3</v>
      </c>
    </row>
    <row r="8958" customFormat="false" ht="15" hidden="false" customHeight="false" outlineLevel="0" collapsed="false">
      <c r="A8958" s="0" t="s">
        <v>4551</v>
      </c>
      <c r="B8958" s="6" t="n">
        <v>43094</v>
      </c>
      <c r="C8958" s="7" t="s">
        <v>29</v>
      </c>
      <c r="D8958" s="7" t="s">
        <v>37</v>
      </c>
      <c r="E8958" s="7" t="s">
        <v>31</v>
      </c>
      <c r="F8958" s="0" t="n">
        <v>21</v>
      </c>
      <c r="G8958" s="0" t="n">
        <v>5.775</v>
      </c>
      <c r="H8958" s="0" t="n">
        <v>0.2</v>
      </c>
      <c r="I8958" s="7" t="n">
        <f aca="false">YEAR(B8958)</f>
        <v>2017</v>
      </c>
      <c r="J8958" s="0" t="str">
        <f aca="false">I8958&amp;"-Q"&amp;ROUNDUP(MONTH(B8958)/3,0)</f>
        <v>2017-Q4</v>
      </c>
    </row>
    <row r="8959" customFormat="false" ht="15" hidden="false" customHeight="false" outlineLevel="0" collapsed="false">
      <c r="A8959" s="0" t="s">
        <v>4551</v>
      </c>
      <c r="B8959" s="6" t="n">
        <v>43094</v>
      </c>
      <c r="C8959" s="7" t="s">
        <v>29</v>
      </c>
      <c r="D8959" s="7" t="s">
        <v>37</v>
      </c>
      <c r="E8959" s="7" t="s">
        <v>39</v>
      </c>
      <c r="F8959" s="0" t="n">
        <v>120</v>
      </c>
      <c r="G8959" s="0" t="n">
        <v>-7.2</v>
      </c>
      <c r="H8959" s="0" t="n">
        <v>0.5</v>
      </c>
      <c r="I8959" s="7" t="n">
        <f aca="false">YEAR(B8959)</f>
        <v>2017</v>
      </c>
      <c r="J8959" s="0" t="str">
        <f aca="false">I8959&amp;"-Q"&amp;ROUNDUP(MONTH(B8959)/3,0)</f>
        <v>2017-Q4</v>
      </c>
    </row>
    <row r="8960" customFormat="false" ht="15" hidden="false" customHeight="false" outlineLevel="0" collapsed="false">
      <c r="A8960" s="0" t="s">
        <v>4552</v>
      </c>
      <c r="B8960" s="6" t="n">
        <v>43064</v>
      </c>
      <c r="C8960" s="7" t="s">
        <v>45</v>
      </c>
      <c r="D8960" s="7" t="s">
        <v>46</v>
      </c>
      <c r="E8960" s="7" t="s">
        <v>39</v>
      </c>
      <c r="F8960" s="0" t="n">
        <v>299.96</v>
      </c>
      <c r="G8960" s="0" t="n">
        <v>37.495</v>
      </c>
      <c r="H8960" s="0" t="n">
        <v>0.2</v>
      </c>
      <c r="I8960" s="7" t="n">
        <f aca="false">YEAR(B8960)</f>
        <v>2017</v>
      </c>
      <c r="J8960" s="0" t="str">
        <f aca="false">I8960&amp;"-Q"&amp;ROUNDUP(MONTH(B8960)/3,0)</f>
        <v>2017-Q4</v>
      </c>
    </row>
    <row r="8961" customFormat="false" ht="15" hidden="false" customHeight="false" outlineLevel="0" collapsed="false">
      <c r="A8961" s="0" t="s">
        <v>4552</v>
      </c>
      <c r="B8961" s="6" t="n">
        <v>43064</v>
      </c>
      <c r="C8961" s="7" t="s">
        <v>45</v>
      </c>
      <c r="D8961" s="7" t="s">
        <v>46</v>
      </c>
      <c r="E8961" s="7" t="s">
        <v>35</v>
      </c>
      <c r="F8961" s="0" t="n">
        <v>67.84</v>
      </c>
      <c r="G8961" s="0" t="n">
        <v>-179.776</v>
      </c>
      <c r="H8961" s="0" t="n">
        <v>0.8</v>
      </c>
      <c r="I8961" s="7" t="n">
        <f aca="false">YEAR(B8961)</f>
        <v>2017</v>
      </c>
      <c r="J8961" s="0" t="str">
        <f aca="false">I8961&amp;"-Q"&amp;ROUNDUP(MONTH(B8961)/3,0)</f>
        <v>2017-Q4</v>
      </c>
    </row>
    <row r="8962" customFormat="false" ht="15" hidden="false" customHeight="false" outlineLevel="0" collapsed="false">
      <c r="A8962" s="0" t="s">
        <v>4552</v>
      </c>
      <c r="B8962" s="6" t="n">
        <v>43064</v>
      </c>
      <c r="C8962" s="7" t="s">
        <v>45</v>
      </c>
      <c r="D8962" s="7" t="s">
        <v>46</v>
      </c>
      <c r="E8962" s="7" t="s">
        <v>31</v>
      </c>
      <c r="F8962" s="0" t="n">
        <v>853.93</v>
      </c>
      <c r="G8962" s="0" t="n">
        <v>-24.398</v>
      </c>
      <c r="H8962" s="0" t="n">
        <v>0.3</v>
      </c>
      <c r="I8962" s="7" t="n">
        <f aca="false">YEAR(B8962)</f>
        <v>2017</v>
      </c>
      <c r="J8962" s="0" t="str">
        <f aca="false">I8962&amp;"-Q"&amp;ROUNDUP(MONTH(B8962)/3,0)</f>
        <v>2017-Q4</v>
      </c>
    </row>
    <row r="8963" customFormat="false" ht="15" hidden="false" customHeight="false" outlineLevel="0" collapsed="false">
      <c r="A8963" s="0" t="s">
        <v>4552</v>
      </c>
      <c r="B8963" s="6" t="n">
        <v>43064</v>
      </c>
      <c r="C8963" s="7" t="s">
        <v>45</v>
      </c>
      <c r="D8963" s="7" t="s">
        <v>46</v>
      </c>
      <c r="E8963" s="7" t="s">
        <v>35</v>
      </c>
      <c r="F8963" s="0" t="n">
        <v>18.688</v>
      </c>
      <c r="G8963" s="0" t="n">
        <v>3.7376</v>
      </c>
      <c r="H8963" s="0" t="n">
        <v>0.2</v>
      </c>
      <c r="I8963" s="7" t="n">
        <f aca="false">YEAR(B8963)</f>
        <v>2017</v>
      </c>
      <c r="J8963" s="0" t="str">
        <f aca="false">I8963&amp;"-Q"&amp;ROUNDUP(MONTH(B8963)/3,0)</f>
        <v>2017-Q4</v>
      </c>
    </row>
    <row r="8964" customFormat="false" ht="15" hidden="false" customHeight="false" outlineLevel="0" collapsed="false">
      <c r="A8964" s="0" t="s">
        <v>4553</v>
      </c>
      <c r="B8964" s="6" t="n">
        <v>42679</v>
      </c>
      <c r="C8964" s="7" t="s">
        <v>29</v>
      </c>
      <c r="D8964" s="7" t="s">
        <v>83</v>
      </c>
      <c r="E8964" s="7" t="s">
        <v>31</v>
      </c>
      <c r="F8964" s="0" t="n">
        <v>273.96</v>
      </c>
      <c r="G8964" s="0" t="n">
        <v>71.2296</v>
      </c>
      <c r="H8964" s="0" t="n">
        <v>0</v>
      </c>
      <c r="I8964" s="7" t="n">
        <f aca="false">YEAR(B8964)</f>
        <v>2016</v>
      </c>
      <c r="J8964" s="0" t="str">
        <f aca="false">I8964&amp;"-Q"&amp;ROUNDUP(MONTH(B8964)/3,0)</f>
        <v>2016-Q4</v>
      </c>
    </row>
    <row r="8965" customFormat="false" ht="15" hidden="false" customHeight="false" outlineLevel="0" collapsed="false">
      <c r="A8965" s="0" t="s">
        <v>4553</v>
      </c>
      <c r="B8965" s="6" t="n">
        <v>42679</v>
      </c>
      <c r="C8965" s="7" t="s">
        <v>29</v>
      </c>
      <c r="D8965" s="7" t="s">
        <v>83</v>
      </c>
      <c r="E8965" s="7" t="s">
        <v>39</v>
      </c>
      <c r="F8965" s="0" t="n">
        <v>89.97</v>
      </c>
      <c r="G8965" s="0" t="n">
        <v>18.8937</v>
      </c>
      <c r="H8965" s="0" t="n">
        <v>0</v>
      </c>
      <c r="I8965" s="7" t="n">
        <f aca="false">YEAR(B8965)</f>
        <v>2016</v>
      </c>
      <c r="J8965" s="0" t="str">
        <f aca="false">I8965&amp;"-Q"&amp;ROUNDUP(MONTH(B8965)/3,0)</f>
        <v>2016-Q4</v>
      </c>
    </row>
    <row r="8966" customFormat="false" ht="15" hidden="false" customHeight="false" outlineLevel="0" collapsed="false">
      <c r="A8966" s="0" t="s">
        <v>4553</v>
      </c>
      <c r="B8966" s="6" t="n">
        <v>42679</v>
      </c>
      <c r="C8966" s="7" t="s">
        <v>29</v>
      </c>
      <c r="D8966" s="7" t="s">
        <v>83</v>
      </c>
      <c r="E8966" s="7" t="s">
        <v>31</v>
      </c>
      <c r="F8966" s="0" t="n">
        <v>756.8</v>
      </c>
      <c r="G8966" s="0" t="n">
        <v>75.68</v>
      </c>
      <c r="H8966" s="0" t="n">
        <v>0</v>
      </c>
      <c r="I8966" s="7" t="n">
        <f aca="false">YEAR(B8966)</f>
        <v>2016</v>
      </c>
      <c r="J8966" s="0" t="str">
        <f aca="false">I8966&amp;"-Q"&amp;ROUNDUP(MONTH(B8966)/3,0)</f>
        <v>2016-Q4</v>
      </c>
    </row>
    <row r="8967" customFormat="false" ht="15" hidden="false" customHeight="false" outlineLevel="0" collapsed="false">
      <c r="A8967" s="0" t="s">
        <v>4554</v>
      </c>
      <c r="B8967" s="6" t="n">
        <v>43045</v>
      </c>
      <c r="C8967" s="7" t="s">
        <v>45</v>
      </c>
      <c r="D8967" s="7" t="s">
        <v>46</v>
      </c>
      <c r="E8967" s="7" t="s">
        <v>35</v>
      </c>
      <c r="F8967" s="0" t="n">
        <v>1.248</v>
      </c>
      <c r="G8967" s="0" t="n">
        <v>-1.9344</v>
      </c>
      <c r="H8967" s="0" t="n">
        <v>0.8</v>
      </c>
      <c r="I8967" s="7" t="n">
        <f aca="false">YEAR(B8967)</f>
        <v>2017</v>
      </c>
      <c r="J8967" s="0" t="str">
        <f aca="false">I8967&amp;"-Q"&amp;ROUNDUP(MONTH(B8967)/3,0)</f>
        <v>2017-Q4</v>
      </c>
    </row>
    <row r="8968" customFormat="false" ht="15" hidden="false" customHeight="false" outlineLevel="0" collapsed="false">
      <c r="A8968" s="0" t="s">
        <v>4555</v>
      </c>
      <c r="B8968" s="6" t="n">
        <v>42677</v>
      </c>
      <c r="C8968" s="7" t="s">
        <v>55</v>
      </c>
      <c r="D8968" s="7" t="s">
        <v>56</v>
      </c>
      <c r="E8968" s="7" t="s">
        <v>39</v>
      </c>
      <c r="F8968" s="0" t="n">
        <v>72</v>
      </c>
      <c r="G8968" s="0" t="n">
        <v>14.4</v>
      </c>
      <c r="H8968" s="0" t="n">
        <v>0.2</v>
      </c>
      <c r="I8968" s="7" t="n">
        <f aca="false">YEAR(B8968)</f>
        <v>2016</v>
      </c>
      <c r="J8968" s="0" t="str">
        <f aca="false">I8968&amp;"-Q"&amp;ROUNDUP(MONTH(B8968)/3,0)</f>
        <v>2016-Q4</v>
      </c>
    </row>
    <row r="8969" customFormat="false" ht="15" hidden="false" customHeight="false" outlineLevel="0" collapsed="false">
      <c r="A8969" s="0" t="s">
        <v>4555</v>
      </c>
      <c r="B8969" s="6" t="n">
        <v>42677</v>
      </c>
      <c r="C8969" s="7" t="s">
        <v>55</v>
      </c>
      <c r="D8969" s="7" t="s">
        <v>56</v>
      </c>
      <c r="E8969" s="7" t="s">
        <v>31</v>
      </c>
      <c r="F8969" s="0" t="n">
        <v>470.155</v>
      </c>
      <c r="G8969" s="0" t="n">
        <v>-13.433</v>
      </c>
      <c r="H8969" s="0" t="n">
        <v>0.3</v>
      </c>
      <c r="I8969" s="7" t="n">
        <f aca="false">YEAR(B8969)</f>
        <v>2016</v>
      </c>
      <c r="J8969" s="0" t="str">
        <f aca="false">I8969&amp;"-Q"&amp;ROUNDUP(MONTH(B8969)/3,0)</f>
        <v>2016-Q4</v>
      </c>
    </row>
    <row r="8970" customFormat="false" ht="15" hidden="false" customHeight="false" outlineLevel="0" collapsed="false">
      <c r="A8970" s="0" t="s">
        <v>4556</v>
      </c>
      <c r="B8970" s="6" t="n">
        <v>42003</v>
      </c>
      <c r="C8970" s="7" t="s">
        <v>29</v>
      </c>
      <c r="D8970" s="7" t="s">
        <v>87</v>
      </c>
      <c r="E8970" s="7" t="s">
        <v>35</v>
      </c>
      <c r="F8970" s="0" t="n">
        <v>39.128</v>
      </c>
      <c r="G8970" s="0" t="n">
        <v>-8.8038</v>
      </c>
      <c r="H8970" s="0" t="n">
        <v>0.2</v>
      </c>
      <c r="I8970" s="7" t="n">
        <f aca="false">YEAR(B8970)</f>
        <v>2014</v>
      </c>
      <c r="J8970" s="0" t="str">
        <f aca="false">I8970&amp;"-Q"&amp;ROUNDUP(MONTH(B8970)/3,0)</f>
        <v>2014-Q4</v>
      </c>
    </row>
    <row r="8971" customFormat="false" ht="15" hidden="false" customHeight="false" outlineLevel="0" collapsed="false">
      <c r="A8971" s="0" t="s">
        <v>4557</v>
      </c>
      <c r="B8971" s="6" t="n">
        <v>43071</v>
      </c>
      <c r="C8971" s="7" t="s">
        <v>55</v>
      </c>
      <c r="D8971" s="7" t="s">
        <v>116</v>
      </c>
      <c r="E8971" s="7" t="s">
        <v>35</v>
      </c>
      <c r="F8971" s="0" t="n">
        <v>19.728</v>
      </c>
      <c r="G8971" s="0" t="n">
        <v>1.7262</v>
      </c>
      <c r="H8971" s="0" t="n">
        <v>0.2</v>
      </c>
      <c r="I8971" s="7" t="n">
        <f aca="false">YEAR(B8971)</f>
        <v>2017</v>
      </c>
      <c r="J8971" s="0" t="str">
        <f aca="false">I8971&amp;"-Q"&amp;ROUNDUP(MONTH(B8971)/3,0)</f>
        <v>2017-Q4</v>
      </c>
    </row>
    <row r="8972" customFormat="false" ht="15" hidden="false" customHeight="false" outlineLevel="0" collapsed="false">
      <c r="A8972" s="0" t="s">
        <v>4557</v>
      </c>
      <c r="B8972" s="6" t="n">
        <v>43071</v>
      </c>
      <c r="C8972" s="7" t="s">
        <v>55</v>
      </c>
      <c r="D8972" s="7" t="s">
        <v>116</v>
      </c>
      <c r="E8972" s="7" t="s">
        <v>39</v>
      </c>
      <c r="F8972" s="0" t="n">
        <v>151.188</v>
      </c>
      <c r="G8972" s="0" t="n">
        <v>-25.198</v>
      </c>
      <c r="H8972" s="0" t="n">
        <v>0.4</v>
      </c>
      <c r="I8972" s="7" t="n">
        <f aca="false">YEAR(B8972)</f>
        <v>2017</v>
      </c>
      <c r="J8972" s="0" t="str">
        <f aca="false">I8972&amp;"-Q"&amp;ROUNDUP(MONTH(B8972)/3,0)</f>
        <v>2017-Q4</v>
      </c>
    </row>
    <row r="8973" customFormat="false" ht="15" hidden="false" customHeight="false" outlineLevel="0" collapsed="false">
      <c r="A8973" s="0" t="s">
        <v>4558</v>
      </c>
      <c r="B8973" s="6" t="n">
        <v>42818</v>
      </c>
      <c r="C8973" s="7" t="s">
        <v>55</v>
      </c>
      <c r="D8973" s="7" t="s">
        <v>76</v>
      </c>
      <c r="E8973" s="7" t="s">
        <v>31</v>
      </c>
      <c r="F8973" s="0" t="n">
        <v>271.764</v>
      </c>
      <c r="G8973" s="0" t="n">
        <v>60.392</v>
      </c>
      <c r="H8973" s="0" t="n">
        <v>0.1</v>
      </c>
      <c r="I8973" s="7" t="n">
        <f aca="false">YEAR(B8973)</f>
        <v>2017</v>
      </c>
      <c r="J8973" s="0" t="str">
        <f aca="false">I8973&amp;"-Q"&amp;ROUNDUP(MONTH(B8973)/3,0)</f>
        <v>2017-Q1</v>
      </c>
    </row>
    <row r="8974" customFormat="false" ht="15" hidden="false" customHeight="false" outlineLevel="0" collapsed="false">
      <c r="A8974" s="0" t="s">
        <v>4559</v>
      </c>
      <c r="B8974" s="6" t="n">
        <v>41962</v>
      </c>
      <c r="C8974" s="7" t="s">
        <v>55</v>
      </c>
      <c r="D8974" s="7" t="s">
        <v>56</v>
      </c>
      <c r="E8974" s="7" t="s">
        <v>39</v>
      </c>
      <c r="F8974" s="0" t="n">
        <v>47.496</v>
      </c>
      <c r="G8974" s="0" t="n">
        <v>-1.1874</v>
      </c>
      <c r="H8974" s="0" t="n">
        <v>0.2</v>
      </c>
      <c r="I8974" s="7" t="n">
        <f aca="false">YEAR(B8974)</f>
        <v>2014</v>
      </c>
      <c r="J8974" s="0" t="str">
        <f aca="false">I8974&amp;"-Q"&amp;ROUNDUP(MONTH(B8974)/3,0)</f>
        <v>2014-Q4</v>
      </c>
    </row>
    <row r="8975" customFormat="false" ht="15" hidden="false" customHeight="false" outlineLevel="0" collapsed="false">
      <c r="A8975" s="0" t="s">
        <v>4560</v>
      </c>
      <c r="B8975" s="6" t="n">
        <v>42850</v>
      </c>
      <c r="C8975" s="7" t="s">
        <v>33</v>
      </c>
      <c r="D8975" s="7" t="s">
        <v>34</v>
      </c>
      <c r="E8975" s="7" t="s">
        <v>31</v>
      </c>
      <c r="F8975" s="0" t="n">
        <v>344.981</v>
      </c>
      <c r="G8975" s="0" t="n">
        <v>28.4102</v>
      </c>
      <c r="H8975" s="0" t="n">
        <v>0.15</v>
      </c>
      <c r="I8975" s="7" t="n">
        <f aca="false">YEAR(B8975)</f>
        <v>2017</v>
      </c>
      <c r="J8975" s="0" t="str">
        <f aca="false">I8975&amp;"-Q"&amp;ROUNDUP(MONTH(B8975)/3,0)</f>
        <v>2017-Q2</v>
      </c>
    </row>
    <row r="8976" customFormat="false" ht="15" hidden="false" customHeight="false" outlineLevel="0" collapsed="false">
      <c r="A8976" s="0" t="s">
        <v>4561</v>
      </c>
      <c r="B8976" s="6" t="n">
        <v>43062</v>
      </c>
      <c r="C8976" s="7" t="s">
        <v>45</v>
      </c>
      <c r="D8976" s="7" t="s">
        <v>46</v>
      </c>
      <c r="E8976" s="7" t="s">
        <v>35</v>
      </c>
      <c r="F8976" s="0" t="n">
        <v>36.288</v>
      </c>
      <c r="G8976" s="0" t="n">
        <v>12.7008</v>
      </c>
      <c r="H8976" s="0" t="n">
        <v>0.2</v>
      </c>
      <c r="I8976" s="7" t="n">
        <f aca="false">YEAR(B8976)</f>
        <v>2017</v>
      </c>
      <c r="J8976" s="0" t="str">
        <f aca="false">I8976&amp;"-Q"&amp;ROUNDUP(MONTH(B8976)/3,0)</f>
        <v>2017-Q4</v>
      </c>
    </row>
    <row r="8977" customFormat="false" ht="15" hidden="false" customHeight="false" outlineLevel="0" collapsed="false">
      <c r="A8977" s="0" t="s">
        <v>4561</v>
      </c>
      <c r="B8977" s="6" t="n">
        <v>43062</v>
      </c>
      <c r="C8977" s="7" t="s">
        <v>45</v>
      </c>
      <c r="D8977" s="7" t="s">
        <v>46</v>
      </c>
      <c r="E8977" s="7" t="s">
        <v>35</v>
      </c>
      <c r="F8977" s="0" t="n">
        <v>78.304</v>
      </c>
      <c r="G8977" s="0" t="n">
        <v>29.364</v>
      </c>
      <c r="H8977" s="0" t="n">
        <v>0.2</v>
      </c>
      <c r="I8977" s="7" t="n">
        <f aca="false">YEAR(B8977)</f>
        <v>2017</v>
      </c>
      <c r="J8977" s="0" t="str">
        <f aca="false">I8977&amp;"-Q"&amp;ROUNDUP(MONTH(B8977)/3,0)</f>
        <v>2017-Q4</v>
      </c>
    </row>
    <row r="8978" customFormat="false" ht="15" hidden="false" customHeight="false" outlineLevel="0" collapsed="false">
      <c r="A8978" s="0" t="s">
        <v>4561</v>
      </c>
      <c r="B8978" s="6" t="n">
        <v>43062</v>
      </c>
      <c r="C8978" s="7" t="s">
        <v>45</v>
      </c>
      <c r="D8978" s="7" t="s">
        <v>46</v>
      </c>
      <c r="E8978" s="7" t="s">
        <v>31</v>
      </c>
      <c r="F8978" s="0" t="n">
        <v>127.785</v>
      </c>
      <c r="G8978" s="0" t="n">
        <v>-31.0335</v>
      </c>
      <c r="H8978" s="0" t="n">
        <v>0.3</v>
      </c>
      <c r="I8978" s="7" t="n">
        <f aca="false">YEAR(B8978)</f>
        <v>2017</v>
      </c>
      <c r="J8978" s="0" t="str">
        <f aca="false">I8978&amp;"-Q"&amp;ROUNDUP(MONTH(B8978)/3,0)</f>
        <v>2017-Q4</v>
      </c>
    </row>
    <row r="8979" customFormat="false" ht="15" hidden="false" customHeight="false" outlineLevel="0" collapsed="false">
      <c r="A8979" s="0" t="s">
        <v>4561</v>
      </c>
      <c r="B8979" s="6" t="n">
        <v>43062</v>
      </c>
      <c r="C8979" s="7" t="s">
        <v>45</v>
      </c>
      <c r="D8979" s="7" t="s">
        <v>46</v>
      </c>
      <c r="E8979" s="7" t="s">
        <v>35</v>
      </c>
      <c r="F8979" s="0" t="n">
        <v>6.104</v>
      </c>
      <c r="G8979" s="0" t="n">
        <v>-9.156</v>
      </c>
      <c r="H8979" s="0" t="n">
        <v>0.8</v>
      </c>
      <c r="I8979" s="7" t="n">
        <f aca="false">YEAR(B8979)</f>
        <v>2017</v>
      </c>
      <c r="J8979" s="0" t="str">
        <f aca="false">I8979&amp;"-Q"&amp;ROUNDUP(MONTH(B8979)/3,0)</f>
        <v>2017-Q4</v>
      </c>
    </row>
    <row r="8980" customFormat="false" ht="15" hidden="false" customHeight="false" outlineLevel="0" collapsed="false">
      <c r="A8980" s="0" t="s">
        <v>4562</v>
      </c>
      <c r="B8980" s="6" t="n">
        <v>41946</v>
      </c>
      <c r="C8980" s="7" t="s">
        <v>55</v>
      </c>
      <c r="D8980" s="7" t="s">
        <v>161</v>
      </c>
      <c r="E8980" s="7" t="s">
        <v>35</v>
      </c>
      <c r="F8980" s="0" t="n">
        <v>5.76</v>
      </c>
      <c r="G8980" s="0" t="n">
        <v>2.8224</v>
      </c>
      <c r="H8980" s="0" t="n">
        <v>0</v>
      </c>
      <c r="I8980" s="7" t="n">
        <f aca="false">YEAR(B8980)</f>
        <v>2014</v>
      </c>
      <c r="J8980" s="0" t="str">
        <f aca="false">I8980&amp;"-Q"&amp;ROUNDUP(MONTH(B8980)/3,0)</f>
        <v>2014-Q4</v>
      </c>
    </row>
    <row r="8981" customFormat="false" ht="15" hidden="false" customHeight="false" outlineLevel="0" collapsed="false">
      <c r="A8981" s="0" t="s">
        <v>4563</v>
      </c>
      <c r="B8981" s="6" t="n">
        <v>42296</v>
      </c>
      <c r="C8981" s="7" t="s">
        <v>45</v>
      </c>
      <c r="D8981" s="7" t="s">
        <v>46</v>
      </c>
      <c r="E8981" s="7" t="s">
        <v>35</v>
      </c>
      <c r="F8981" s="0" t="n">
        <v>1.72</v>
      </c>
      <c r="G8981" s="0" t="n">
        <v>-2.838</v>
      </c>
      <c r="H8981" s="0" t="n">
        <v>0.8</v>
      </c>
      <c r="I8981" s="7" t="n">
        <f aca="false">YEAR(B8981)</f>
        <v>2015</v>
      </c>
      <c r="J8981" s="0" t="str">
        <f aca="false">I8981&amp;"-Q"&amp;ROUNDUP(MONTH(B8981)/3,0)</f>
        <v>2015-Q4</v>
      </c>
    </row>
    <row r="8982" customFormat="false" ht="15" hidden="false" customHeight="false" outlineLevel="0" collapsed="false">
      <c r="A8982" s="0" t="s">
        <v>4564</v>
      </c>
      <c r="B8982" s="6" t="n">
        <v>41676</v>
      </c>
      <c r="C8982" s="7" t="s">
        <v>45</v>
      </c>
      <c r="D8982" s="7" t="s">
        <v>64</v>
      </c>
      <c r="E8982" s="7" t="s">
        <v>35</v>
      </c>
      <c r="F8982" s="0" t="n">
        <v>8.952</v>
      </c>
      <c r="G8982" s="0" t="n">
        <v>-14.7708</v>
      </c>
      <c r="H8982" s="0" t="n">
        <v>0.8</v>
      </c>
      <c r="I8982" s="7" t="n">
        <f aca="false">YEAR(B8982)</f>
        <v>2014</v>
      </c>
      <c r="J8982" s="0" t="str">
        <f aca="false">I8982&amp;"-Q"&amp;ROUNDUP(MONTH(B8982)/3,0)</f>
        <v>2014-Q1</v>
      </c>
    </row>
    <row r="8983" customFormat="false" ht="15" hidden="false" customHeight="false" outlineLevel="0" collapsed="false">
      <c r="A8983" s="0" t="s">
        <v>4565</v>
      </c>
      <c r="B8983" s="6" t="n">
        <v>42435</v>
      </c>
      <c r="C8983" s="7" t="s">
        <v>45</v>
      </c>
      <c r="D8983" s="7" t="s">
        <v>64</v>
      </c>
      <c r="E8983" s="7" t="s">
        <v>35</v>
      </c>
      <c r="F8983" s="0" t="n">
        <v>2.334</v>
      </c>
      <c r="G8983" s="0" t="n">
        <v>-6.3018</v>
      </c>
      <c r="H8983" s="0" t="n">
        <v>0.8</v>
      </c>
      <c r="I8983" s="7" t="n">
        <f aca="false">YEAR(B8983)</f>
        <v>2016</v>
      </c>
      <c r="J8983" s="0" t="str">
        <f aca="false">I8983&amp;"-Q"&amp;ROUNDUP(MONTH(B8983)/3,0)</f>
        <v>2016-Q1</v>
      </c>
    </row>
    <row r="8984" customFormat="false" ht="15" hidden="false" customHeight="false" outlineLevel="0" collapsed="false">
      <c r="A8984" s="0" t="s">
        <v>4565</v>
      </c>
      <c r="B8984" s="6" t="n">
        <v>42435</v>
      </c>
      <c r="C8984" s="7" t="s">
        <v>45</v>
      </c>
      <c r="D8984" s="7" t="s">
        <v>64</v>
      </c>
      <c r="E8984" s="7" t="s">
        <v>35</v>
      </c>
      <c r="F8984" s="0" t="n">
        <v>1.728</v>
      </c>
      <c r="G8984" s="0" t="n">
        <v>-2.7648</v>
      </c>
      <c r="H8984" s="0" t="n">
        <v>0.8</v>
      </c>
      <c r="I8984" s="7" t="n">
        <f aca="false">YEAR(B8984)</f>
        <v>2016</v>
      </c>
      <c r="J8984" s="0" t="str">
        <f aca="false">I8984&amp;"-Q"&amp;ROUNDUP(MONTH(B8984)/3,0)</f>
        <v>2016-Q1</v>
      </c>
    </row>
    <row r="8985" customFormat="false" ht="15" hidden="false" customHeight="false" outlineLevel="0" collapsed="false">
      <c r="A8985" s="0" t="s">
        <v>4565</v>
      </c>
      <c r="B8985" s="6" t="n">
        <v>42435</v>
      </c>
      <c r="C8985" s="7" t="s">
        <v>45</v>
      </c>
      <c r="D8985" s="7" t="s">
        <v>64</v>
      </c>
      <c r="E8985" s="7" t="s">
        <v>31</v>
      </c>
      <c r="F8985" s="0" t="n">
        <v>159.04</v>
      </c>
      <c r="G8985" s="0" t="n">
        <v>-194.824</v>
      </c>
      <c r="H8985" s="0" t="n">
        <v>0.6</v>
      </c>
      <c r="I8985" s="7" t="n">
        <f aca="false">YEAR(B8985)</f>
        <v>2016</v>
      </c>
      <c r="J8985" s="0" t="str">
        <f aca="false">I8985&amp;"-Q"&amp;ROUNDUP(MONTH(B8985)/3,0)</f>
        <v>2016-Q1</v>
      </c>
    </row>
    <row r="8986" customFormat="false" ht="15" hidden="false" customHeight="false" outlineLevel="0" collapsed="false">
      <c r="A8986" s="0" t="s">
        <v>4565</v>
      </c>
      <c r="B8986" s="6" t="n">
        <v>42435</v>
      </c>
      <c r="C8986" s="7" t="s">
        <v>45</v>
      </c>
      <c r="D8986" s="7" t="s">
        <v>64</v>
      </c>
      <c r="E8986" s="7" t="s">
        <v>31</v>
      </c>
      <c r="F8986" s="0" t="n">
        <v>145.98</v>
      </c>
      <c r="G8986" s="0" t="n">
        <v>-99.2664</v>
      </c>
      <c r="H8986" s="0" t="n">
        <v>0.5</v>
      </c>
      <c r="I8986" s="7" t="n">
        <f aca="false">YEAR(B8986)</f>
        <v>2016</v>
      </c>
      <c r="J8986" s="0" t="str">
        <f aca="false">I8986&amp;"-Q"&amp;ROUNDUP(MONTH(B8986)/3,0)</f>
        <v>2016-Q1</v>
      </c>
    </row>
    <row r="8987" customFormat="false" ht="15" hidden="false" customHeight="false" outlineLevel="0" collapsed="false">
      <c r="A8987" s="0" t="s">
        <v>4566</v>
      </c>
      <c r="B8987" s="6" t="n">
        <v>42341</v>
      </c>
      <c r="C8987" s="7" t="s">
        <v>29</v>
      </c>
      <c r="D8987" s="7" t="s">
        <v>41</v>
      </c>
      <c r="E8987" s="7" t="s">
        <v>31</v>
      </c>
      <c r="F8987" s="0" t="n">
        <v>77.952</v>
      </c>
      <c r="G8987" s="0" t="n">
        <v>12.6672</v>
      </c>
      <c r="H8987" s="0" t="n">
        <v>0.2</v>
      </c>
      <c r="I8987" s="7" t="n">
        <f aca="false">YEAR(B8987)</f>
        <v>2015</v>
      </c>
      <c r="J8987" s="0" t="str">
        <f aca="false">I8987&amp;"-Q"&amp;ROUNDUP(MONTH(B8987)/3,0)</f>
        <v>2015-Q4</v>
      </c>
    </row>
    <row r="8988" customFormat="false" ht="15" hidden="false" customHeight="false" outlineLevel="0" collapsed="false">
      <c r="A8988" s="0" t="s">
        <v>4566</v>
      </c>
      <c r="B8988" s="6" t="n">
        <v>42341</v>
      </c>
      <c r="C8988" s="7" t="s">
        <v>29</v>
      </c>
      <c r="D8988" s="7" t="s">
        <v>41</v>
      </c>
      <c r="E8988" s="7" t="s">
        <v>35</v>
      </c>
      <c r="F8988" s="0" t="n">
        <v>95.97</v>
      </c>
      <c r="G8988" s="0" t="n">
        <v>-73.577</v>
      </c>
      <c r="H8988" s="0" t="n">
        <v>0.7</v>
      </c>
      <c r="I8988" s="7" t="n">
        <f aca="false">YEAR(B8988)</f>
        <v>2015</v>
      </c>
      <c r="J8988" s="0" t="str">
        <f aca="false">I8988&amp;"-Q"&amp;ROUNDUP(MONTH(B8988)/3,0)</f>
        <v>2015-Q4</v>
      </c>
    </row>
    <row r="8989" customFormat="false" ht="15" hidden="false" customHeight="false" outlineLevel="0" collapsed="false">
      <c r="A8989" s="0" t="s">
        <v>4566</v>
      </c>
      <c r="B8989" s="6" t="n">
        <v>42341</v>
      </c>
      <c r="C8989" s="7" t="s">
        <v>29</v>
      </c>
      <c r="D8989" s="7" t="s">
        <v>41</v>
      </c>
      <c r="E8989" s="7" t="s">
        <v>39</v>
      </c>
      <c r="F8989" s="0" t="n">
        <v>105.584</v>
      </c>
      <c r="G8989" s="0" t="n">
        <v>9.2386</v>
      </c>
      <c r="H8989" s="0" t="n">
        <v>0.2</v>
      </c>
      <c r="I8989" s="7" t="n">
        <f aca="false">YEAR(B8989)</f>
        <v>2015</v>
      </c>
      <c r="J8989" s="0" t="str">
        <f aca="false">I8989&amp;"-Q"&amp;ROUNDUP(MONTH(B8989)/3,0)</f>
        <v>2015-Q4</v>
      </c>
    </row>
    <row r="8990" customFormat="false" ht="15" hidden="false" customHeight="false" outlineLevel="0" collapsed="false">
      <c r="A8990" s="0" t="s">
        <v>4566</v>
      </c>
      <c r="B8990" s="6" t="n">
        <v>42341</v>
      </c>
      <c r="C8990" s="7" t="s">
        <v>29</v>
      </c>
      <c r="D8990" s="7" t="s">
        <v>41</v>
      </c>
      <c r="E8990" s="7" t="s">
        <v>35</v>
      </c>
      <c r="F8990" s="0" t="n">
        <v>9.344</v>
      </c>
      <c r="G8990" s="0" t="n">
        <v>1.168</v>
      </c>
      <c r="H8990" s="0" t="n">
        <v>0.2</v>
      </c>
      <c r="I8990" s="7" t="n">
        <f aca="false">YEAR(B8990)</f>
        <v>2015</v>
      </c>
      <c r="J8990" s="0" t="str">
        <f aca="false">I8990&amp;"-Q"&amp;ROUNDUP(MONTH(B8990)/3,0)</f>
        <v>2015-Q4</v>
      </c>
    </row>
    <row r="8991" customFormat="false" ht="15" hidden="false" customHeight="false" outlineLevel="0" collapsed="false">
      <c r="A8991" s="0" t="s">
        <v>4567</v>
      </c>
      <c r="B8991" s="6" t="n">
        <v>42362</v>
      </c>
      <c r="C8991" s="7" t="s">
        <v>45</v>
      </c>
      <c r="D8991" s="7" t="s">
        <v>129</v>
      </c>
      <c r="E8991" s="7" t="s">
        <v>31</v>
      </c>
      <c r="F8991" s="0" t="n">
        <v>9.68</v>
      </c>
      <c r="G8991" s="0" t="n">
        <v>3.7752</v>
      </c>
      <c r="H8991" s="0" t="n">
        <v>0</v>
      </c>
      <c r="I8991" s="7" t="n">
        <f aca="false">YEAR(B8991)</f>
        <v>2015</v>
      </c>
      <c r="J8991" s="0" t="str">
        <f aca="false">I8991&amp;"-Q"&amp;ROUNDUP(MONTH(B8991)/3,0)</f>
        <v>2015-Q4</v>
      </c>
    </row>
    <row r="8992" customFormat="false" ht="15" hidden="false" customHeight="false" outlineLevel="0" collapsed="false">
      <c r="A8992" s="0" t="s">
        <v>4567</v>
      </c>
      <c r="B8992" s="6" t="n">
        <v>42362</v>
      </c>
      <c r="C8992" s="7" t="s">
        <v>45</v>
      </c>
      <c r="D8992" s="7" t="s">
        <v>129</v>
      </c>
      <c r="E8992" s="7" t="s">
        <v>39</v>
      </c>
      <c r="F8992" s="0" t="n">
        <v>4899.93</v>
      </c>
      <c r="G8992" s="0" t="n">
        <v>2302.9671</v>
      </c>
      <c r="H8992" s="0" t="n">
        <v>0</v>
      </c>
      <c r="I8992" s="7" t="n">
        <f aca="false">YEAR(B8992)</f>
        <v>2015</v>
      </c>
      <c r="J8992" s="0" t="str">
        <f aca="false">I8992&amp;"-Q"&amp;ROUNDUP(MONTH(B8992)/3,0)</f>
        <v>2015-Q4</v>
      </c>
    </row>
    <row r="8993" customFormat="false" ht="15" hidden="false" customHeight="false" outlineLevel="0" collapsed="false">
      <c r="A8993" s="0" t="s">
        <v>4568</v>
      </c>
      <c r="B8993" s="6" t="n">
        <v>43009</v>
      </c>
      <c r="C8993" s="7" t="s">
        <v>33</v>
      </c>
      <c r="D8993" s="7" t="s">
        <v>34</v>
      </c>
      <c r="E8993" s="7" t="s">
        <v>39</v>
      </c>
      <c r="F8993" s="0" t="n">
        <v>104.75</v>
      </c>
      <c r="G8993" s="0" t="n">
        <v>21.9975</v>
      </c>
      <c r="H8993" s="0" t="n">
        <v>0</v>
      </c>
      <c r="I8993" s="7" t="n">
        <f aca="false">YEAR(B8993)</f>
        <v>2017</v>
      </c>
      <c r="J8993" s="0" t="str">
        <f aca="false">I8993&amp;"-Q"&amp;ROUNDUP(MONTH(B8993)/3,0)</f>
        <v>2017-Q4</v>
      </c>
    </row>
    <row r="8994" customFormat="false" ht="15" hidden="false" customHeight="false" outlineLevel="0" collapsed="false">
      <c r="A8994" s="0" t="s">
        <v>4569</v>
      </c>
      <c r="B8994" s="6" t="n">
        <v>43024</v>
      </c>
      <c r="C8994" s="7" t="s">
        <v>29</v>
      </c>
      <c r="D8994" s="7" t="s">
        <v>87</v>
      </c>
      <c r="E8994" s="7" t="s">
        <v>39</v>
      </c>
      <c r="F8994" s="0" t="n">
        <v>18.528</v>
      </c>
      <c r="G8994" s="0" t="n">
        <v>4.4004</v>
      </c>
      <c r="H8994" s="0" t="n">
        <v>0.2</v>
      </c>
      <c r="I8994" s="7" t="n">
        <f aca="false">YEAR(B8994)</f>
        <v>2017</v>
      </c>
      <c r="J8994" s="0" t="str">
        <f aca="false">I8994&amp;"-Q"&amp;ROUNDUP(MONTH(B8994)/3,0)</f>
        <v>2017-Q4</v>
      </c>
    </row>
    <row r="8995" customFormat="false" ht="15" hidden="false" customHeight="false" outlineLevel="0" collapsed="false">
      <c r="A8995" s="0" t="s">
        <v>4569</v>
      </c>
      <c r="B8995" s="6" t="n">
        <v>43024</v>
      </c>
      <c r="C8995" s="7" t="s">
        <v>29</v>
      </c>
      <c r="D8995" s="7" t="s">
        <v>87</v>
      </c>
      <c r="E8995" s="7" t="s">
        <v>31</v>
      </c>
      <c r="F8995" s="0" t="n">
        <v>1875.258</v>
      </c>
      <c r="G8995" s="0" t="n">
        <v>-968.8833</v>
      </c>
      <c r="H8995" s="0" t="n">
        <v>0.4</v>
      </c>
      <c r="I8995" s="7" t="n">
        <f aca="false">YEAR(B8995)</f>
        <v>2017</v>
      </c>
      <c r="J8995" s="0" t="str">
        <f aca="false">I8995&amp;"-Q"&amp;ROUNDUP(MONTH(B8995)/3,0)</f>
        <v>2017-Q4</v>
      </c>
    </row>
    <row r="8996" customFormat="false" ht="15" hidden="false" customHeight="false" outlineLevel="0" collapsed="false">
      <c r="A8996" s="0" t="s">
        <v>4570</v>
      </c>
      <c r="B8996" s="6" t="n">
        <v>41866</v>
      </c>
      <c r="C8996" s="7" t="s">
        <v>29</v>
      </c>
      <c r="D8996" s="7" t="s">
        <v>37</v>
      </c>
      <c r="E8996" s="7" t="s">
        <v>35</v>
      </c>
      <c r="F8996" s="0" t="n">
        <v>91.36</v>
      </c>
      <c r="G8996" s="0" t="n">
        <v>29.692</v>
      </c>
      <c r="H8996" s="0" t="n">
        <v>0.2</v>
      </c>
      <c r="I8996" s="7" t="n">
        <f aca="false">YEAR(B8996)</f>
        <v>2014</v>
      </c>
      <c r="J8996" s="0" t="str">
        <f aca="false">I8996&amp;"-Q"&amp;ROUNDUP(MONTH(B8996)/3,0)</f>
        <v>2014-Q3</v>
      </c>
    </row>
    <row r="8997" customFormat="false" ht="15" hidden="false" customHeight="false" outlineLevel="0" collapsed="false">
      <c r="A8997" s="0" t="s">
        <v>4570</v>
      </c>
      <c r="B8997" s="6" t="n">
        <v>41866</v>
      </c>
      <c r="C8997" s="7" t="s">
        <v>29</v>
      </c>
      <c r="D8997" s="7" t="s">
        <v>37</v>
      </c>
      <c r="E8997" s="7" t="s">
        <v>35</v>
      </c>
      <c r="F8997" s="0" t="n">
        <v>152.24</v>
      </c>
      <c r="G8997" s="0" t="n">
        <v>17.127</v>
      </c>
      <c r="H8997" s="0" t="n">
        <v>0.2</v>
      </c>
      <c r="I8997" s="7" t="n">
        <f aca="false">YEAR(B8997)</f>
        <v>2014</v>
      </c>
      <c r="J8997" s="0" t="str">
        <f aca="false">I8997&amp;"-Q"&amp;ROUNDUP(MONTH(B8997)/3,0)</f>
        <v>2014-Q3</v>
      </c>
    </row>
    <row r="8998" customFormat="false" ht="15" hidden="false" customHeight="false" outlineLevel="0" collapsed="false">
      <c r="A8998" s="0" t="s">
        <v>4571</v>
      </c>
      <c r="B8998" s="6" t="n">
        <v>43050</v>
      </c>
      <c r="C8998" s="7" t="s">
        <v>45</v>
      </c>
      <c r="D8998" s="7" t="s">
        <v>46</v>
      </c>
      <c r="E8998" s="7" t="s">
        <v>39</v>
      </c>
      <c r="F8998" s="0" t="n">
        <v>35.184</v>
      </c>
      <c r="G8998" s="0" t="n">
        <v>12.3144</v>
      </c>
      <c r="H8998" s="0" t="n">
        <v>0.2</v>
      </c>
      <c r="I8998" s="7" t="n">
        <f aca="false">YEAR(B8998)</f>
        <v>2017</v>
      </c>
      <c r="J8998" s="0" t="str">
        <f aca="false">I8998&amp;"-Q"&amp;ROUNDUP(MONTH(B8998)/3,0)</f>
        <v>2017-Q4</v>
      </c>
    </row>
    <row r="8999" customFormat="false" ht="15" hidden="false" customHeight="false" outlineLevel="0" collapsed="false">
      <c r="A8999" s="0" t="s">
        <v>4572</v>
      </c>
      <c r="B8999" s="6" t="n">
        <v>42814</v>
      </c>
      <c r="C8999" s="7" t="s">
        <v>45</v>
      </c>
      <c r="D8999" s="7" t="s">
        <v>46</v>
      </c>
      <c r="E8999" s="7" t="s">
        <v>35</v>
      </c>
      <c r="F8999" s="0" t="n">
        <v>56.704</v>
      </c>
      <c r="G8999" s="0" t="n">
        <v>19.1376</v>
      </c>
      <c r="H8999" s="0" t="n">
        <v>0.2</v>
      </c>
      <c r="I8999" s="7" t="n">
        <f aca="false">YEAR(B8999)</f>
        <v>2017</v>
      </c>
      <c r="J8999" s="0" t="str">
        <f aca="false">I8999&amp;"-Q"&amp;ROUNDUP(MONTH(B8999)/3,0)</f>
        <v>2017-Q1</v>
      </c>
    </row>
    <row r="9000" customFormat="false" ht="15" hidden="false" customHeight="false" outlineLevel="0" collapsed="false">
      <c r="A9000" s="0" t="s">
        <v>4572</v>
      </c>
      <c r="B9000" s="6" t="n">
        <v>42814</v>
      </c>
      <c r="C9000" s="7" t="s">
        <v>45</v>
      </c>
      <c r="D9000" s="7" t="s">
        <v>46</v>
      </c>
      <c r="E9000" s="7" t="s">
        <v>35</v>
      </c>
      <c r="F9000" s="0" t="n">
        <v>274.064</v>
      </c>
      <c r="G9000" s="0" t="n">
        <v>102.774</v>
      </c>
      <c r="H9000" s="0" t="n">
        <v>0.2</v>
      </c>
      <c r="I9000" s="7" t="n">
        <f aca="false">YEAR(B9000)</f>
        <v>2017</v>
      </c>
      <c r="J9000" s="0" t="str">
        <f aca="false">I9000&amp;"-Q"&amp;ROUNDUP(MONTH(B9000)/3,0)</f>
        <v>2017-Q1</v>
      </c>
    </row>
    <row r="9001" customFormat="false" ht="15" hidden="false" customHeight="false" outlineLevel="0" collapsed="false">
      <c r="A9001" s="0" t="s">
        <v>4573</v>
      </c>
      <c r="B9001" s="6" t="n">
        <v>42868</v>
      </c>
      <c r="C9001" s="7" t="s">
        <v>55</v>
      </c>
      <c r="D9001" s="7" t="s">
        <v>56</v>
      </c>
      <c r="E9001" s="7" t="s">
        <v>31</v>
      </c>
      <c r="F9001" s="0" t="n">
        <v>458.43</v>
      </c>
      <c r="G9001" s="0" t="n">
        <v>-124.431</v>
      </c>
      <c r="H9001" s="0" t="n">
        <v>0.3</v>
      </c>
      <c r="I9001" s="7" t="n">
        <f aca="false">YEAR(B9001)</f>
        <v>2017</v>
      </c>
      <c r="J9001" s="0" t="str">
        <f aca="false">I9001&amp;"-Q"&amp;ROUNDUP(MONTH(B9001)/3,0)</f>
        <v>2017-Q2</v>
      </c>
    </row>
    <row r="9002" customFormat="false" ht="15" hidden="false" customHeight="false" outlineLevel="0" collapsed="false">
      <c r="A9002" s="0" t="s">
        <v>4574</v>
      </c>
      <c r="B9002" s="6" t="n">
        <v>41812</v>
      </c>
      <c r="C9002" s="7" t="s">
        <v>33</v>
      </c>
      <c r="D9002" s="7" t="s">
        <v>81</v>
      </c>
      <c r="E9002" s="7" t="s">
        <v>35</v>
      </c>
      <c r="F9002" s="0" t="n">
        <v>8.226</v>
      </c>
      <c r="G9002" s="0" t="n">
        <v>-6.0324</v>
      </c>
      <c r="H9002" s="0" t="n">
        <v>0.7</v>
      </c>
      <c r="I9002" s="7" t="n">
        <f aca="false">YEAR(B9002)</f>
        <v>2014</v>
      </c>
      <c r="J9002" s="0" t="str">
        <f aca="false">I9002&amp;"-Q"&amp;ROUNDUP(MONTH(B9002)/3,0)</f>
        <v>2014-Q2</v>
      </c>
    </row>
    <row r="9003" customFormat="false" ht="15" hidden="false" customHeight="false" outlineLevel="0" collapsed="false">
      <c r="A9003" s="0" t="s">
        <v>4575</v>
      </c>
      <c r="B9003" s="6" t="n">
        <v>41975</v>
      </c>
      <c r="C9003" s="7" t="s">
        <v>29</v>
      </c>
      <c r="D9003" s="7" t="s">
        <v>230</v>
      </c>
      <c r="E9003" s="7" t="s">
        <v>39</v>
      </c>
      <c r="F9003" s="0" t="n">
        <v>5.95</v>
      </c>
      <c r="G9003" s="0" t="n">
        <v>0.833</v>
      </c>
      <c r="H9003" s="0" t="n">
        <v>0</v>
      </c>
      <c r="I9003" s="7" t="n">
        <f aca="false">YEAR(B9003)</f>
        <v>2014</v>
      </c>
      <c r="J9003" s="0" t="str">
        <f aca="false">I9003&amp;"-Q"&amp;ROUNDUP(MONTH(B9003)/3,0)</f>
        <v>2014-Q4</v>
      </c>
    </row>
    <row r="9004" customFormat="false" ht="15" hidden="false" customHeight="false" outlineLevel="0" collapsed="false">
      <c r="A9004" s="0" t="s">
        <v>4575</v>
      </c>
      <c r="B9004" s="6" t="n">
        <v>41975</v>
      </c>
      <c r="C9004" s="7" t="s">
        <v>29</v>
      </c>
      <c r="D9004" s="7" t="s">
        <v>230</v>
      </c>
      <c r="E9004" s="7" t="s">
        <v>35</v>
      </c>
      <c r="F9004" s="0" t="n">
        <v>15.24</v>
      </c>
      <c r="G9004" s="0" t="n">
        <v>7.1628</v>
      </c>
      <c r="H9004" s="0" t="n">
        <v>0</v>
      </c>
      <c r="I9004" s="7" t="n">
        <f aca="false">YEAR(B9004)</f>
        <v>2014</v>
      </c>
      <c r="J9004" s="0" t="str">
        <f aca="false">I9004&amp;"-Q"&amp;ROUNDUP(MONTH(B9004)/3,0)</f>
        <v>2014-Q4</v>
      </c>
    </row>
    <row r="9005" customFormat="false" ht="15" hidden="false" customHeight="false" outlineLevel="0" collapsed="false">
      <c r="A9005" s="0" t="s">
        <v>4576</v>
      </c>
      <c r="B9005" s="6" t="n">
        <v>42099</v>
      </c>
      <c r="C9005" s="7" t="s">
        <v>33</v>
      </c>
      <c r="D9005" s="7" t="s">
        <v>43</v>
      </c>
      <c r="E9005" s="7" t="s">
        <v>39</v>
      </c>
      <c r="F9005" s="0" t="n">
        <v>239.94</v>
      </c>
      <c r="G9005" s="0" t="n">
        <v>26.3934</v>
      </c>
      <c r="H9005" s="0" t="n">
        <v>0</v>
      </c>
      <c r="I9005" s="7" t="n">
        <f aca="false">YEAR(B9005)</f>
        <v>2015</v>
      </c>
      <c r="J9005" s="0" t="str">
        <f aca="false">I9005&amp;"-Q"&amp;ROUNDUP(MONTH(B9005)/3,0)</f>
        <v>2015-Q2</v>
      </c>
    </row>
    <row r="9006" customFormat="false" ht="15" hidden="false" customHeight="false" outlineLevel="0" collapsed="false">
      <c r="A9006" s="0" t="s">
        <v>4576</v>
      </c>
      <c r="B9006" s="6" t="n">
        <v>42099</v>
      </c>
      <c r="C9006" s="7" t="s">
        <v>33</v>
      </c>
      <c r="D9006" s="7" t="s">
        <v>43</v>
      </c>
      <c r="E9006" s="7" t="s">
        <v>35</v>
      </c>
      <c r="F9006" s="0" t="n">
        <v>23.84</v>
      </c>
      <c r="G9006" s="0" t="n">
        <v>6.4368</v>
      </c>
      <c r="H9006" s="0" t="n">
        <v>0</v>
      </c>
      <c r="I9006" s="7" t="n">
        <f aca="false">YEAR(B9006)</f>
        <v>2015</v>
      </c>
      <c r="J9006" s="0" t="str">
        <f aca="false">I9006&amp;"-Q"&amp;ROUNDUP(MONTH(B9006)/3,0)</f>
        <v>2015-Q2</v>
      </c>
    </row>
    <row r="9007" customFormat="false" ht="15" hidden="false" customHeight="false" outlineLevel="0" collapsed="false">
      <c r="A9007" s="0" t="s">
        <v>4577</v>
      </c>
      <c r="B9007" s="6" t="n">
        <v>43057</v>
      </c>
      <c r="C9007" s="7" t="s">
        <v>45</v>
      </c>
      <c r="D9007" s="7" t="s">
        <v>48</v>
      </c>
      <c r="E9007" s="7" t="s">
        <v>35</v>
      </c>
      <c r="F9007" s="0" t="n">
        <v>92.52</v>
      </c>
      <c r="G9007" s="0" t="n">
        <v>24.9804</v>
      </c>
      <c r="H9007" s="0" t="n">
        <v>0</v>
      </c>
      <c r="I9007" s="7" t="n">
        <f aca="false">YEAR(B9007)</f>
        <v>2017</v>
      </c>
      <c r="J9007" s="0" t="str">
        <f aca="false">I9007&amp;"-Q"&amp;ROUNDUP(MONTH(B9007)/3,0)</f>
        <v>2017-Q4</v>
      </c>
    </row>
    <row r="9008" customFormat="false" ht="15" hidden="false" customHeight="false" outlineLevel="0" collapsed="false">
      <c r="A9008" s="0" t="s">
        <v>4577</v>
      </c>
      <c r="B9008" s="6" t="n">
        <v>43057</v>
      </c>
      <c r="C9008" s="7" t="s">
        <v>45</v>
      </c>
      <c r="D9008" s="7" t="s">
        <v>48</v>
      </c>
      <c r="E9008" s="7" t="s">
        <v>35</v>
      </c>
      <c r="F9008" s="0" t="n">
        <v>37.76</v>
      </c>
      <c r="G9008" s="0" t="n">
        <v>10.5728</v>
      </c>
      <c r="H9008" s="0" t="n">
        <v>0</v>
      </c>
      <c r="I9008" s="7" t="n">
        <f aca="false">YEAR(B9008)</f>
        <v>2017</v>
      </c>
      <c r="J9008" s="0" t="str">
        <f aca="false">I9008&amp;"-Q"&amp;ROUNDUP(MONTH(B9008)/3,0)</f>
        <v>2017-Q4</v>
      </c>
    </row>
    <row r="9009" customFormat="false" ht="15" hidden="false" customHeight="false" outlineLevel="0" collapsed="false">
      <c r="A9009" s="0" t="s">
        <v>4577</v>
      </c>
      <c r="B9009" s="6" t="n">
        <v>43057</v>
      </c>
      <c r="C9009" s="7" t="s">
        <v>45</v>
      </c>
      <c r="D9009" s="7" t="s">
        <v>48</v>
      </c>
      <c r="E9009" s="7" t="s">
        <v>35</v>
      </c>
      <c r="F9009" s="0" t="n">
        <v>7.38</v>
      </c>
      <c r="G9009" s="0" t="n">
        <v>3.4686</v>
      </c>
      <c r="H9009" s="0" t="n">
        <v>0</v>
      </c>
      <c r="I9009" s="7" t="n">
        <f aca="false">YEAR(B9009)</f>
        <v>2017</v>
      </c>
      <c r="J9009" s="0" t="str">
        <f aca="false">I9009&amp;"-Q"&amp;ROUNDUP(MONTH(B9009)/3,0)</f>
        <v>2017-Q4</v>
      </c>
    </row>
    <row r="9010" customFormat="false" ht="15" hidden="false" customHeight="false" outlineLevel="0" collapsed="false">
      <c r="A9010" s="0" t="s">
        <v>4577</v>
      </c>
      <c r="B9010" s="6" t="n">
        <v>43057</v>
      </c>
      <c r="C9010" s="7" t="s">
        <v>45</v>
      </c>
      <c r="D9010" s="7" t="s">
        <v>48</v>
      </c>
      <c r="E9010" s="7" t="s">
        <v>31</v>
      </c>
      <c r="F9010" s="0" t="n">
        <v>5.82</v>
      </c>
      <c r="G9010" s="0" t="n">
        <v>2.7354</v>
      </c>
      <c r="H9010" s="0" t="n">
        <v>0</v>
      </c>
      <c r="I9010" s="7" t="n">
        <f aca="false">YEAR(B9010)</f>
        <v>2017</v>
      </c>
      <c r="J9010" s="0" t="str">
        <f aca="false">I9010&amp;"-Q"&amp;ROUNDUP(MONTH(B9010)/3,0)</f>
        <v>2017-Q4</v>
      </c>
    </row>
    <row r="9011" customFormat="false" ht="15" hidden="false" customHeight="false" outlineLevel="0" collapsed="false">
      <c r="A9011" s="0" t="s">
        <v>4578</v>
      </c>
      <c r="B9011" s="6" t="n">
        <v>42928</v>
      </c>
      <c r="C9011" s="7" t="s">
        <v>55</v>
      </c>
      <c r="D9011" s="7" t="s">
        <v>116</v>
      </c>
      <c r="E9011" s="7" t="s">
        <v>35</v>
      </c>
      <c r="F9011" s="0" t="n">
        <v>3.816</v>
      </c>
      <c r="G9011" s="0" t="n">
        <v>1.1925</v>
      </c>
      <c r="H9011" s="0" t="n">
        <v>0.2</v>
      </c>
      <c r="I9011" s="7" t="n">
        <f aca="false">YEAR(B9011)</f>
        <v>2017</v>
      </c>
      <c r="J9011" s="0" t="str">
        <f aca="false">I9011&amp;"-Q"&amp;ROUNDUP(MONTH(B9011)/3,0)</f>
        <v>2017-Q3</v>
      </c>
    </row>
    <row r="9012" customFormat="false" ht="15" hidden="false" customHeight="false" outlineLevel="0" collapsed="false">
      <c r="A9012" s="0" t="s">
        <v>4579</v>
      </c>
      <c r="B9012" s="6" t="n">
        <v>42874</v>
      </c>
      <c r="C9012" s="7" t="s">
        <v>29</v>
      </c>
      <c r="D9012" s="7" t="s">
        <v>91</v>
      </c>
      <c r="E9012" s="7" t="s">
        <v>35</v>
      </c>
      <c r="F9012" s="0" t="n">
        <v>26.16</v>
      </c>
      <c r="G9012" s="0" t="n">
        <v>12.8184</v>
      </c>
      <c r="H9012" s="0" t="n">
        <v>0</v>
      </c>
      <c r="I9012" s="7" t="n">
        <f aca="false">YEAR(B9012)</f>
        <v>2017</v>
      </c>
      <c r="J9012" s="0" t="str">
        <f aca="false">I9012&amp;"-Q"&amp;ROUNDUP(MONTH(B9012)/3,0)</f>
        <v>2017-Q2</v>
      </c>
    </row>
    <row r="9013" customFormat="false" ht="15" hidden="false" customHeight="false" outlineLevel="0" collapsed="false">
      <c r="A9013" s="0" t="s">
        <v>4580</v>
      </c>
      <c r="B9013" s="6" t="n">
        <v>42358</v>
      </c>
      <c r="C9013" s="7" t="s">
        <v>45</v>
      </c>
      <c r="D9013" s="7" t="s">
        <v>46</v>
      </c>
      <c r="E9013" s="7" t="s">
        <v>39</v>
      </c>
      <c r="F9013" s="0" t="n">
        <v>100.8</v>
      </c>
      <c r="G9013" s="0" t="n">
        <v>21.42</v>
      </c>
      <c r="H9013" s="0" t="n">
        <v>0.2</v>
      </c>
      <c r="I9013" s="7" t="n">
        <f aca="false">YEAR(B9013)</f>
        <v>2015</v>
      </c>
      <c r="J9013" s="0" t="str">
        <f aca="false">I9013&amp;"-Q"&amp;ROUNDUP(MONTH(B9013)/3,0)</f>
        <v>2015-Q4</v>
      </c>
    </row>
    <row r="9014" customFormat="false" ht="15" hidden="false" customHeight="false" outlineLevel="0" collapsed="false">
      <c r="A9014" s="0" t="s">
        <v>4581</v>
      </c>
      <c r="B9014" s="6" t="n">
        <v>42421</v>
      </c>
      <c r="C9014" s="7" t="s">
        <v>55</v>
      </c>
      <c r="D9014" s="7" t="s">
        <v>76</v>
      </c>
      <c r="E9014" s="7" t="s">
        <v>31</v>
      </c>
      <c r="F9014" s="0" t="n">
        <v>135.8</v>
      </c>
      <c r="G9014" s="0" t="n">
        <v>66.542</v>
      </c>
      <c r="H9014" s="0" t="n">
        <v>0</v>
      </c>
      <c r="I9014" s="7" t="n">
        <f aca="false">YEAR(B9014)</f>
        <v>2016</v>
      </c>
      <c r="J9014" s="0" t="str">
        <f aca="false">I9014&amp;"-Q"&amp;ROUNDUP(MONTH(B9014)/3,0)</f>
        <v>2016-Q1</v>
      </c>
    </row>
    <row r="9015" customFormat="false" ht="15" hidden="false" customHeight="false" outlineLevel="0" collapsed="false">
      <c r="A9015" s="0" t="s">
        <v>4582</v>
      </c>
      <c r="B9015" s="6" t="n">
        <v>42812</v>
      </c>
      <c r="C9015" s="7" t="s">
        <v>33</v>
      </c>
      <c r="D9015" s="7" t="s">
        <v>34</v>
      </c>
      <c r="E9015" s="7" t="s">
        <v>35</v>
      </c>
      <c r="F9015" s="0" t="n">
        <v>13.9</v>
      </c>
      <c r="G9015" s="0" t="n">
        <v>3.753</v>
      </c>
      <c r="H9015" s="0" t="n">
        <v>0</v>
      </c>
      <c r="I9015" s="7" t="n">
        <f aca="false">YEAR(B9015)</f>
        <v>2017</v>
      </c>
      <c r="J9015" s="0" t="str">
        <f aca="false">I9015&amp;"-Q"&amp;ROUNDUP(MONTH(B9015)/3,0)</f>
        <v>2017-Q1</v>
      </c>
    </row>
    <row r="9016" customFormat="false" ht="15" hidden="false" customHeight="false" outlineLevel="0" collapsed="false">
      <c r="A9016" s="0" t="s">
        <v>4582</v>
      </c>
      <c r="B9016" s="6" t="n">
        <v>42812</v>
      </c>
      <c r="C9016" s="7" t="s">
        <v>33</v>
      </c>
      <c r="D9016" s="7" t="s">
        <v>34</v>
      </c>
      <c r="E9016" s="7" t="s">
        <v>35</v>
      </c>
      <c r="F9016" s="0" t="n">
        <v>19.4</v>
      </c>
      <c r="G9016" s="0" t="n">
        <v>9.312</v>
      </c>
      <c r="H9016" s="0" t="n">
        <v>0</v>
      </c>
      <c r="I9016" s="7" t="n">
        <f aca="false">YEAR(B9016)</f>
        <v>2017</v>
      </c>
      <c r="J9016" s="0" t="str">
        <f aca="false">I9016&amp;"-Q"&amp;ROUNDUP(MONTH(B9016)/3,0)</f>
        <v>2017-Q1</v>
      </c>
    </row>
    <row r="9017" customFormat="false" ht="15" hidden="false" customHeight="false" outlineLevel="0" collapsed="false">
      <c r="A9017" s="0" t="s">
        <v>4583</v>
      </c>
      <c r="B9017" s="6" t="n">
        <v>42721</v>
      </c>
      <c r="C9017" s="7" t="s">
        <v>33</v>
      </c>
      <c r="D9017" s="7" t="s">
        <v>142</v>
      </c>
      <c r="E9017" s="7" t="s">
        <v>35</v>
      </c>
      <c r="F9017" s="0" t="n">
        <v>13.488</v>
      </c>
      <c r="G9017" s="0" t="n">
        <v>4.3836</v>
      </c>
      <c r="H9017" s="0" t="n">
        <v>0.2</v>
      </c>
      <c r="I9017" s="7" t="n">
        <f aca="false">YEAR(B9017)</f>
        <v>2016</v>
      </c>
      <c r="J9017" s="0" t="str">
        <f aca="false">I9017&amp;"-Q"&amp;ROUNDUP(MONTH(B9017)/3,0)</f>
        <v>2016-Q4</v>
      </c>
    </row>
    <row r="9018" customFormat="false" ht="15" hidden="false" customHeight="false" outlineLevel="0" collapsed="false">
      <c r="A9018" s="0" t="s">
        <v>4583</v>
      </c>
      <c r="B9018" s="6" t="n">
        <v>42721</v>
      </c>
      <c r="C9018" s="7" t="s">
        <v>33</v>
      </c>
      <c r="D9018" s="7" t="s">
        <v>142</v>
      </c>
      <c r="E9018" s="7" t="s">
        <v>35</v>
      </c>
      <c r="F9018" s="0" t="n">
        <v>11.416</v>
      </c>
      <c r="G9018" s="0" t="n">
        <v>3.8529</v>
      </c>
      <c r="H9018" s="0" t="n">
        <v>0.2</v>
      </c>
      <c r="I9018" s="7" t="n">
        <f aca="false">YEAR(B9018)</f>
        <v>2016</v>
      </c>
      <c r="J9018" s="0" t="str">
        <f aca="false">I9018&amp;"-Q"&amp;ROUNDUP(MONTH(B9018)/3,0)</f>
        <v>2016-Q4</v>
      </c>
    </row>
    <row r="9019" customFormat="false" ht="15" hidden="false" customHeight="false" outlineLevel="0" collapsed="false">
      <c r="A9019" s="0" t="s">
        <v>4584</v>
      </c>
      <c r="B9019" s="6" t="n">
        <v>42455</v>
      </c>
      <c r="C9019" s="7" t="s">
        <v>33</v>
      </c>
      <c r="D9019" s="7" t="s">
        <v>1599</v>
      </c>
      <c r="E9019" s="7" t="s">
        <v>35</v>
      </c>
      <c r="F9019" s="0" t="n">
        <v>17.64</v>
      </c>
      <c r="G9019" s="0" t="n">
        <v>8.6436</v>
      </c>
      <c r="H9019" s="0" t="n">
        <v>0</v>
      </c>
      <c r="I9019" s="7" t="n">
        <f aca="false">YEAR(B9019)</f>
        <v>2016</v>
      </c>
      <c r="J9019" s="0" t="str">
        <f aca="false">I9019&amp;"-Q"&amp;ROUNDUP(MONTH(B9019)/3,0)</f>
        <v>2016-Q1</v>
      </c>
    </row>
    <row r="9020" customFormat="false" ht="15" hidden="false" customHeight="false" outlineLevel="0" collapsed="false">
      <c r="A9020" s="0" t="s">
        <v>4584</v>
      </c>
      <c r="B9020" s="6" t="n">
        <v>42455</v>
      </c>
      <c r="C9020" s="7" t="s">
        <v>33</v>
      </c>
      <c r="D9020" s="7" t="s">
        <v>1599</v>
      </c>
      <c r="E9020" s="7" t="s">
        <v>35</v>
      </c>
      <c r="F9020" s="0" t="n">
        <v>17.04</v>
      </c>
      <c r="G9020" s="0" t="n">
        <v>5.538</v>
      </c>
      <c r="H9020" s="0" t="n">
        <v>0.2</v>
      </c>
      <c r="I9020" s="7" t="n">
        <f aca="false">YEAR(B9020)</f>
        <v>2016</v>
      </c>
      <c r="J9020" s="0" t="str">
        <f aca="false">I9020&amp;"-Q"&amp;ROUNDUP(MONTH(B9020)/3,0)</f>
        <v>2016-Q1</v>
      </c>
    </row>
    <row r="9021" customFormat="false" ht="15" hidden="false" customHeight="false" outlineLevel="0" collapsed="false">
      <c r="A9021" s="0" t="s">
        <v>4585</v>
      </c>
      <c r="B9021" s="6" t="n">
        <v>41989</v>
      </c>
      <c r="C9021" s="7" t="s">
        <v>29</v>
      </c>
      <c r="D9021" s="7" t="s">
        <v>83</v>
      </c>
      <c r="E9021" s="7" t="s">
        <v>39</v>
      </c>
      <c r="F9021" s="0" t="n">
        <v>99.98</v>
      </c>
      <c r="G9021" s="0" t="n">
        <v>7.9984</v>
      </c>
      <c r="H9021" s="0" t="n">
        <v>0</v>
      </c>
      <c r="I9021" s="7" t="n">
        <f aca="false">YEAR(B9021)</f>
        <v>2014</v>
      </c>
      <c r="J9021" s="0" t="str">
        <f aca="false">I9021&amp;"-Q"&amp;ROUNDUP(MONTH(B9021)/3,0)</f>
        <v>2014-Q4</v>
      </c>
    </row>
    <row r="9022" customFormat="false" ht="15" hidden="false" customHeight="false" outlineLevel="0" collapsed="false">
      <c r="A9022" s="0" t="s">
        <v>4585</v>
      </c>
      <c r="B9022" s="6" t="n">
        <v>41989</v>
      </c>
      <c r="C9022" s="7" t="s">
        <v>29</v>
      </c>
      <c r="D9022" s="7" t="s">
        <v>83</v>
      </c>
      <c r="E9022" s="7" t="s">
        <v>31</v>
      </c>
      <c r="F9022" s="0" t="n">
        <v>29.46</v>
      </c>
      <c r="G9022" s="0" t="n">
        <v>9.7218</v>
      </c>
      <c r="H9022" s="0" t="n">
        <v>0</v>
      </c>
      <c r="I9022" s="7" t="n">
        <f aca="false">YEAR(B9022)</f>
        <v>2014</v>
      </c>
      <c r="J9022" s="0" t="str">
        <f aca="false">I9022&amp;"-Q"&amp;ROUNDUP(MONTH(B9022)/3,0)</f>
        <v>2014-Q4</v>
      </c>
    </row>
    <row r="9023" customFormat="false" ht="15" hidden="false" customHeight="false" outlineLevel="0" collapsed="false">
      <c r="A9023" s="0" t="s">
        <v>4586</v>
      </c>
      <c r="B9023" s="6" t="n">
        <v>42323</v>
      </c>
      <c r="C9023" s="7" t="s">
        <v>55</v>
      </c>
      <c r="D9023" s="7" t="s">
        <v>116</v>
      </c>
      <c r="E9023" s="7" t="s">
        <v>35</v>
      </c>
      <c r="F9023" s="0" t="n">
        <v>166.92</v>
      </c>
      <c r="G9023" s="0" t="n">
        <v>-116.844</v>
      </c>
      <c r="H9023" s="0" t="n">
        <v>0.7</v>
      </c>
      <c r="I9023" s="7" t="n">
        <f aca="false">YEAR(B9023)</f>
        <v>2015</v>
      </c>
      <c r="J9023" s="0" t="str">
        <f aca="false">I9023&amp;"-Q"&amp;ROUNDUP(MONTH(B9023)/3,0)</f>
        <v>2015-Q4</v>
      </c>
    </row>
    <row r="9024" customFormat="false" ht="15" hidden="false" customHeight="false" outlineLevel="0" collapsed="false">
      <c r="A9024" s="0" t="s">
        <v>4587</v>
      </c>
      <c r="B9024" s="6" t="n">
        <v>42604</v>
      </c>
      <c r="C9024" s="7" t="s">
        <v>33</v>
      </c>
      <c r="D9024" s="7" t="s">
        <v>109</v>
      </c>
      <c r="E9024" s="7" t="s">
        <v>31</v>
      </c>
      <c r="F9024" s="0" t="n">
        <v>98.328</v>
      </c>
      <c r="G9024" s="0" t="n">
        <v>9.8328</v>
      </c>
      <c r="H9024" s="0" t="n">
        <v>0.2</v>
      </c>
      <c r="I9024" s="7" t="n">
        <f aca="false">YEAR(B9024)</f>
        <v>2016</v>
      </c>
      <c r="J9024" s="0" t="str">
        <f aca="false">I9024&amp;"-Q"&amp;ROUNDUP(MONTH(B9024)/3,0)</f>
        <v>2016-Q3</v>
      </c>
    </row>
    <row r="9025" customFormat="false" ht="15" hidden="false" customHeight="false" outlineLevel="0" collapsed="false">
      <c r="A9025" s="0" t="s">
        <v>4588</v>
      </c>
      <c r="B9025" s="6" t="n">
        <v>42184</v>
      </c>
      <c r="C9025" s="7" t="s">
        <v>55</v>
      </c>
      <c r="D9025" s="7" t="s">
        <v>76</v>
      </c>
      <c r="E9025" s="7" t="s">
        <v>31</v>
      </c>
      <c r="F9025" s="0" t="n">
        <v>117.882</v>
      </c>
      <c r="G9025" s="0" t="n">
        <v>1.3098</v>
      </c>
      <c r="H9025" s="0" t="n">
        <v>0.1</v>
      </c>
      <c r="I9025" s="7" t="n">
        <f aca="false">YEAR(B9025)</f>
        <v>2015</v>
      </c>
      <c r="J9025" s="0" t="str">
        <f aca="false">I9025&amp;"-Q"&amp;ROUNDUP(MONTH(B9025)/3,0)</f>
        <v>2015-Q2</v>
      </c>
    </row>
    <row r="9026" customFormat="false" ht="15" hidden="false" customHeight="false" outlineLevel="0" collapsed="false">
      <c r="A9026" s="0" t="s">
        <v>4589</v>
      </c>
      <c r="B9026" s="6" t="n">
        <v>42547</v>
      </c>
      <c r="C9026" s="7" t="s">
        <v>55</v>
      </c>
      <c r="D9026" s="7" t="s">
        <v>76</v>
      </c>
      <c r="E9026" s="7" t="s">
        <v>39</v>
      </c>
      <c r="F9026" s="0" t="n">
        <v>20.97</v>
      </c>
      <c r="G9026" s="0" t="n">
        <v>9.0171</v>
      </c>
      <c r="H9026" s="0" t="n">
        <v>0</v>
      </c>
      <c r="I9026" s="7" t="n">
        <f aca="false">YEAR(B9026)</f>
        <v>2016</v>
      </c>
      <c r="J9026" s="0" t="str">
        <f aca="false">I9026&amp;"-Q"&amp;ROUNDUP(MONTH(B9026)/3,0)</f>
        <v>2016-Q2</v>
      </c>
    </row>
    <row r="9027" customFormat="false" ht="15" hidden="false" customHeight="false" outlineLevel="0" collapsed="false">
      <c r="A9027" s="0" t="s">
        <v>4589</v>
      </c>
      <c r="B9027" s="6" t="n">
        <v>42547</v>
      </c>
      <c r="C9027" s="7" t="s">
        <v>55</v>
      </c>
      <c r="D9027" s="7" t="s">
        <v>76</v>
      </c>
      <c r="E9027" s="7" t="s">
        <v>39</v>
      </c>
      <c r="F9027" s="0" t="n">
        <v>139.96</v>
      </c>
      <c r="G9027" s="0" t="n">
        <v>9.7972</v>
      </c>
      <c r="H9027" s="0" t="n">
        <v>0</v>
      </c>
      <c r="I9027" s="7" t="n">
        <f aca="false">YEAR(B9027)</f>
        <v>2016</v>
      </c>
      <c r="J9027" s="0" t="str">
        <f aca="false">I9027&amp;"-Q"&amp;ROUNDUP(MONTH(B9027)/3,0)</f>
        <v>2016-Q2</v>
      </c>
    </row>
    <row r="9028" customFormat="false" ht="15" hidden="false" customHeight="false" outlineLevel="0" collapsed="false">
      <c r="A9028" s="0" t="s">
        <v>4589</v>
      </c>
      <c r="B9028" s="6" t="n">
        <v>42547</v>
      </c>
      <c r="C9028" s="7" t="s">
        <v>55</v>
      </c>
      <c r="D9028" s="7" t="s">
        <v>76</v>
      </c>
      <c r="E9028" s="7" t="s">
        <v>31</v>
      </c>
      <c r="F9028" s="0" t="n">
        <v>37.74</v>
      </c>
      <c r="G9028" s="0" t="n">
        <v>12.8316</v>
      </c>
      <c r="H9028" s="0" t="n">
        <v>0</v>
      </c>
      <c r="I9028" s="7" t="n">
        <f aca="false">YEAR(B9028)</f>
        <v>2016</v>
      </c>
      <c r="J9028" s="0" t="str">
        <f aca="false">I9028&amp;"-Q"&amp;ROUNDUP(MONTH(B9028)/3,0)</f>
        <v>2016-Q2</v>
      </c>
    </row>
    <row r="9029" customFormat="false" ht="15" hidden="false" customHeight="false" outlineLevel="0" collapsed="false">
      <c r="A9029" s="0" t="s">
        <v>4590</v>
      </c>
      <c r="B9029" s="6" t="n">
        <v>42630</v>
      </c>
      <c r="C9029" s="7" t="s">
        <v>55</v>
      </c>
      <c r="D9029" s="7" t="s">
        <v>225</v>
      </c>
      <c r="E9029" s="7" t="s">
        <v>31</v>
      </c>
      <c r="F9029" s="0" t="n">
        <v>14.82</v>
      </c>
      <c r="G9029" s="0" t="n">
        <v>6.2244</v>
      </c>
      <c r="H9029" s="0" t="n">
        <v>0</v>
      </c>
      <c r="I9029" s="7" t="n">
        <f aca="false">YEAR(B9029)</f>
        <v>2016</v>
      </c>
      <c r="J9029" s="0" t="str">
        <f aca="false">I9029&amp;"-Q"&amp;ROUNDUP(MONTH(B9029)/3,0)</f>
        <v>2016-Q3</v>
      </c>
    </row>
    <row r="9030" customFormat="false" ht="15" hidden="false" customHeight="false" outlineLevel="0" collapsed="false">
      <c r="A9030" s="0" t="s">
        <v>4590</v>
      </c>
      <c r="B9030" s="6" t="n">
        <v>42630</v>
      </c>
      <c r="C9030" s="7" t="s">
        <v>55</v>
      </c>
      <c r="D9030" s="7" t="s">
        <v>225</v>
      </c>
      <c r="E9030" s="7" t="s">
        <v>31</v>
      </c>
      <c r="F9030" s="0" t="n">
        <v>191.82</v>
      </c>
      <c r="G9030" s="0" t="n">
        <v>61.3824</v>
      </c>
      <c r="H9030" s="0" t="n">
        <v>0</v>
      </c>
      <c r="I9030" s="7" t="n">
        <f aca="false">YEAR(B9030)</f>
        <v>2016</v>
      </c>
      <c r="J9030" s="0" t="str">
        <f aca="false">I9030&amp;"-Q"&amp;ROUNDUP(MONTH(B9030)/3,0)</f>
        <v>2016-Q3</v>
      </c>
    </row>
    <row r="9031" customFormat="false" ht="15" hidden="false" customHeight="false" outlineLevel="0" collapsed="false">
      <c r="A9031" s="0" t="s">
        <v>4591</v>
      </c>
      <c r="B9031" s="6" t="n">
        <v>41838</v>
      </c>
      <c r="C9031" s="7" t="s">
        <v>55</v>
      </c>
      <c r="D9031" s="7" t="s">
        <v>76</v>
      </c>
      <c r="E9031" s="7" t="s">
        <v>35</v>
      </c>
      <c r="F9031" s="0" t="n">
        <v>13.904</v>
      </c>
      <c r="G9031" s="0" t="n">
        <v>4.5188</v>
      </c>
      <c r="H9031" s="0" t="n">
        <v>0.2</v>
      </c>
      <c r="I9031" s="7" t="n">
        <f aca="false">YEAR(B9031)</f>
        <v>2014</v>
      </c>
      <c r="J9031" s="0" t="str">
        <f aca="false">I9031&amp;"-Q"&amp;ROUNDUP(MONTH(B9031)/3,0)</f>
        <v>2014-Q3</v>
      </c>
    </row>
    <row r="9032" customFormat="false" ht="15" hidden="false" customHeight="false" outlineLevel="0" collapsed="false">
      <c r="A9032" s="0" t="s">
        <v>4592</v>
      </c>
      <c r="B9032" s="6" t="n">
        <v>42979</v>
      </c>
      <c r="C9032" s="7" t="s">
        <v>33</v>
      </c>
      <c r="D9032" s="7" t="s">
        <v>43</v>
      </c>
      <c r="E9032" s="7" t="s">
        <v>35</v>
      </c>
      <c r="F9032" s="0" t="n">
        <v>314.6</v>
      </c>
      <c r="G9032" s="0" t="n">
        <v>103.818</v>
      </c>
      <c r="H9032" s="0" t="n">
        <v>0</v>
      </c>
      <c r="I9032" s="7" t="n">
        <f aca="false">YEAR(B9032)</f>
        <v>2017</v>
      </c>
      <c r="J9032" s="0" t="str">
        <f aca="false">I9032&amp;"-Q"&amp;ROUNDUP(MONTH(B9032)/3,0)</f>
        <v>2017-Q3</v>
      </c>
    </row>
    <row r="9033" customFormat="false" ht="15" hidden="false" customHeight="false" outlineLevel="0" collapsed="false">
      <c r="A9033" s="0" t="s">
        <v>4592</v>
      </c>
      <c r="B9033" s="6" t="n">
        <v>42979</v>
      </c>
      <c r="C9033" s="7" t="s">
        <v>33</v>
      </c>
      <c r="D9033" s="7" t="s">
        <v>43</v>
      </c>
      <c r="E9033" s="7" t="s">
        <v>31</v>
      </c>
      <c r="F9033" s="0" t="n">
        <v>283.56</v>
      </c>
      <c r="G9033" s="0" t="n">
        <v>45.3696</v>
      </c>
      <c r="H9033" s="0" t="n">
        <v>0</v>
      </c>
      <c r="I9033" s="7" t="n">
        <f aca="false">YEAR(B9033)</f>
        <v>2017</v>
      </c>
      <c r="J9033" s="0" t="str">
        <f aca="false">I9033&amp;"-Q"&amp;ROUNDUP(MONTH(B9033)/3,0)</f>
        <v>2017-Q3</v>
      </c>
    </row>
    <row r="9034" customFormat="false" ht="15" hidden="false" customHeight="false" outlineLevel="0" collapsed="false">
      <c r="A9034" s="0" t="s">
        <v>4593</v>
      </c>
      <c r="B9034" s="6" t="n">
        <v>42908</v>
      </c>
      <c r="C9034" s="7" t="s">
        <v>45</v>
      </c>
      <c r="D9034" s="7" t="s">
        <v>70</v>
      </c>
      <c r="E9034" s="7" t="s">
        <v>31</v>
      </c>
      <c r="F9034" s="0" t="n">
        <v>487.96</v>
      </c>
      <c r="G9034" s="0" t="n">
        <v>146.388</v>
      </c>
      <c r="H9034" s="0" t="n">
        <v>0</v>
      </c>
      <c r="I9034" s="7" t="n">
        <f aca="false">YEAR(B9034)</f>
        <v>2017</v>
      </c>
      <c r="J9034" s="0" t="str">
        <f aca="false">I9034&amp;"-Q"&amp;ROUNDUP(MONTH(B9034)/3,0)</f>
        <v>2017-Q2</v>
      </c>
    </row>
    <row r="9035" customFormat="false" ht="15" hidden="false" customHeight="false" outlineLevel="0" collapsed="false">
      <c r="A9035" s="0" t="s">
        <v>4594</v>
      </c>
      <c r="B9035" s="6" t="n">
        <v>41884</v>
      </c>
      <c r="C9035" s="7" t="s">
        <v>29</v>
      </c>
      <c r="D9035" s="7" t="s">
        <v>301</v>
      </c>
      <c r="E9035" s="7" t="s">
        <v>35</v>
      </c>
      <c r="F9035" s="0" t="n">
        <v>1793.98</v>
      </c>
      <c r="G9035" s="0" t="n">
        <v>843.1706</v>
      </c>
      <c r="H9035" s="0" t="n">
        <v>0</v>
      </c>
      <c r="I9035" s="7" t="n">
        <f aca="false">YEAR(B9035)</f>
        <v>2014</v>
      </c>
      <c r="J9035" s="0" t="str">
        <f aca="false">I9035&amp;"-Q"&amp;ROUNDUP(MONTH(B9035)/3,0)</f>
        <v>2014-Q3</v>
      </c>
    </row>
    <row r="9036" customFormat="false" ht="15" hidden="false" customHeight="false" outlineLevel="0" collapsed="false">
      <c r="A9036" s="0" t="s">
        <v>4595</v>
      </c>
      <c r="B9036" s="6" t="n">
        <v>42278</v>
      </c>
      <c r="C9036" s="7" t="s">
        <v>45</v>
      </c>
      <c r="D9036" s="7" t="s">
        <v>64</v>
      </c>
      <c r="E9036" s="7" t="s">
        <v>35</v>
      </c>
      <c r="F9036" s="0" t="n">
        <v>2.992</v>
      </c>
      <c r="G9036" s="0" t="n">
        <v>-4.488</v>
      </c>
      <c r="H9036" s="0" t="n">
        <v>0.8</v>
      </c>
      <c r="I9036" s="7" t="n">
        <f aca="false">YEAR(B9036)</f>
        <v>2015</v>
      </c>
      <c r="J9036" s="0" t="str">
        <f aca="false">I9036&amp;"-Q"&amp;ROUNDUP(MONTH(B9036)/3,0)</f>
        <v>2015-Q4</v>
      </c>
    </row>
    <row r="9037" customFormat="false" ht="15" hidden="false" customHeight="false" outlineLevel="0" collapsed="false">
      <c r="A9037" s="0" t="s">
        <v>4595</v>
      </c>
      <c r="B9037" s="6" t="n">
        <v>42278</v>
      </c>
      <c r="C9037" s="7" t="s">
        <v>45</v>
      </c>
      <c r="D9037" s="7" t="s">
        <v>64</v>
      </c>
      <c r="E9037" s="7" t="s">
        <v>39</v>
      </c>
      <c r="F9037" s="0" t="n">
        <v>108.768</v>
      </c>
      <c r="G9037" s="0" t="n">
        <v>2.7192</v>
      </c>
      <c r="H9037" s="0" t="n">
        <v>0.2</v>
      </c>
      <c r="I9037" s="7" t="n">
        <f aca="false">YEAR(B9037)</f>
        <v>2015</v>
      </c>
      <c r="J9037" s="0" t="str">
        <f aca="false">I9037&amp;"-Q"&amp;ROUNDUP(MONTH(B9037)/3,0)</f>
        <v>2015-Q4</v>
      </c>
    </row>
    <row r="9038" customFormat="false" ht="15" hidden="false" customHeight="false" outlineLevel="0" collapsed="false">
      <c r="A9038" s="0" t="s">
        <v>4596</v>
      </c>
      <c r="B9038" s="6" t="n">
        <v>42101</v>
      </c>
      <c r="C9038" s="7" t="s">
        <v>55</v>
      </c>
      <c r="D9038" s="7" t="s">
        <v>76</v>
      </c>
      <c r="E9038" s="7" t="s">
        <v>35</v>
      </c>
      <c r="F9038" s="0" t="n">
        <v>25.92</v>
      </c>
      <c r="G9038" s="0" t="n">
        <v>12.4416</v>
      </c>
      <c r="H9038" s="0" t="n">
        <v>0</v>
      </c>
      <c r="I9038" s="7" t="n">
        <f aca="false">YEAR(B9038)</f>
        <v>2015</v>
      </c>
      <c r="J9038" s="0" t="str">
        <f aca="false">I9038&amp;"-Q"&amp;ROUNDUP(MONTH(B9038)/3,0)</f>
        <v>2015-Q2</v>
      </c>
    </row>
    <row r="9039" customFormat="false" ht="15" hidden="false" customHeight="false" outlineLevel="0" collapsed="false">
      <c r="A9039" s="0" t="s">
        <v>4596</v>
      </c>
      <c r="B9039" s="6" t="n">
        <v>42101</v>
      </c>
      <c r="C9039" s="7" t="s">
        <v>55</v>
      </c>
      <c r="D9039" s="7" t="s">
        <v>76</v>
      </c>
      <c r="E9039" s="7" t="s">
        <v>35</v>
      </c>
      <c r="F9039" s="0" t="n">
        <v>22.58</v>
      </c>
      <c r="G9039" s="0" t="n">
        <v>5.8708</v>
      </c>
      <c r="H9039" s="0" t="n">
        <v>0</v>
      </c>
      <c r="I9039" s="7" t="n">
        <f aca="false">YEAR(B9039)</f>
        <v>2015</v>
      </c>
      <c r="J9039" s="0" t="str">
        <f aca="false">I9039&amp;"-Q"&amp;ROUNDUP(MONTH(B9039)/3,0)</f>
        <v>2015-Q2</v>
      </c>
    </row>
    <row r="9040" customFormat="false" ht="15" hidden="false" customHeight="false" outlineLevel="0" collapsed="false">
      <c r="A9040" s="0" t="s">
        <v>4597</v>
      </c>
      <c r="B9040" s="6" t="n">
        <v>43060</v>
      </c>
      <c r="C9040" s="7" t="s">
        <v>45</v>
      </c>
      <c r="D9040" s="7" t="s">
        <v>46</v>
      </c>
      <c r="E9040" s="7" t="s">
        <v>39</v>
      </c>
      <c r="F9040" s="0" t="n">
        <v>55.176</v>
      </c>
      <c r="G9040" s="0" t="n">
        <v>-12.4146</v>
      </c>
      <c r="H9040" s="0" t="n">
        <v>0.2</v>
      </c>
      <c r="I9040" s="7" t="n">
        <f aca="false">YEAR(B9040)</f>
        <v>2017</v>
      </c>
      <c r="J9040" s="0" t="str">
        <f aca="false">I9040&amp;"-Q"&amp;ROUNDUP(MONTH(B9040)/3,0)</f>
        <v>2017-Q4</v>
      </c>
    </row>
    <row r="9041" customFormat="false" ht="15" hidden="false" customHeight="false" outlineLevel="0" collapsed="false">
      <c r="A9041" s="0" t="s">
        <v>4598</v>
      </c>
      <c r="B9041" s="6" t="n">
        <v>42721</v>
      </c>
      <c r="C9041" s="7" t="s">
        <v>45</v>
      </c>
      <c r="D9041" s="7" t="s">
        <v>70</v>
      </c>
      <c r="E9041" s="7" t="s">
        <v>35</v>
      </c>
      <c r="F9041" s="0" t="n">
        <v>9892.74</v>
      </c>
      <c r="G9041" s="0" t="n">
        <v>4946.37</v>
      </c>
      <c r="H9041" s="0" t="n">
        <v>0</v>
      </c>
      <c r="I9041" s="7" t="n">
        <f aca="false">YEAR(B9041)</f>
        <v>2016</v>
      </c>
      <c r="J9041" s="0" t="str">
        <f aca="false">I9041&amp;"-Q"&amp;ROUNDUP(MONTH(B9041)/3,0)</f>
        <v>2016-Q4</v>
      </c>
    </row>
    <row r="9042" customFormat="false" ht="15" hidden="false" customHeight="false" outlineLevel="0" collapsed="false">
      <c r="A9042" s="0" t="s">
        <v>4599</v>
      </c>
      <c r="B9042" s="6" t="n">
        <v>41901</v>
      </c>
      <c r="C9042" s="7" t="s">
        <v>33</v>
      </c>
      <c r="D9042" s="7" t="s">
        <v>81</v>
      </c>
      <c r="E9042" s="7" t="s">
        <v>31</v>
      </c>
      <c r="F9042" s="0" t="n">
        <v>73.915</v>
      </c>
      <c r="G9042" s="0" t="n">
        <v>-45.8273</v>
      </c>
      <c r="H9042" s="0" t="n">
        <v>0.5</v>
      </c>
      <c r="I9042" s="7" t="n">
        <f aca="false">YEAR(B9042)</f>
        <v>2014</v>
      </c>
      <c r="J9042" s="0" t="str">
        <f aca="false">I9042&amp;"-Q"&amp;ROUNDUP(MONTH(B9042)/3,0)</f>
        <v>2014-Q3</v>
      </c>
    </row>
    <row r="9043" customFormat="false" ht="15" hidden="false" customHeight="false" outlineLevel="0" collapsed="false">
      <c r="A9043" s="0" t="s">
        <v>4600</v>
      </c>
      <c r="B9043" s="6" t="n">
        <v>41910</v>
      </c>
      <c r="C9043" s="7" t="s">
        <v>29</v>
      </c>
      <c r="D9043" s="7" t="s">
        <v>37</v>
      </c>
      <c r="E9043" s="7" t="s">
        <v>31</v>
      </c>
      <c r="F9043" s="0" t="n">
        <v>337.088</v>
      </c>
      <c r="G9043" s="0" t="n">
        <v>16.8544</v>
      </c>
      <c r="H9043" s="0" t="n">
        <v>0.2</v>
      </c>
      <c r="I9043" s="7" t="n">
        <f aca="false">YEAR(B9043)</f>
        <v>2014</v>
      </c>
      <c r="J9043" s="0" t="str">
        <f aca="false">I9043&amp;"-Q"&amp;ROUNDUP(MONTH(B9043)/3,0)</f>
        <v>2014-Q3</v>
      </c>
    </row>
    <row r="9044" customFormat="false" ht="15" hidden="false" customHeight="false" outlineLevel="0" collapsed="false">
      <c r="A9044" s="0" t="s">
        <v>4601</v>
      </c>
      <c r="B9044" s="6" t="n">
        <v>42269</v>
      </c>
      <c r="C9044" s="7" t="s">
        <v>33</v>
      </c>
      <c r="D9044" s="7" t="s">
        <v>34</v>
      </c>
      <c r="E9044" s="7" t="s">
        <v>35</v>
      </c>
      <c r="F9044" s="0" t="n">
        <v>61.44</v>
      </c>
      <c r="G9044" s="0" t="n">
        <v>16.5888</v>
      </c>
      <c r="H9044" s="0" t="n">
        <v>0</v>
      </c>
      <c r="I9044" s="7" t="n">
        <f aca="false">YEAR(B9044)</f>
        <v>2015</v>
      </c>
      <c r="J9044" s="0" t="str">
        <f aca="false">I9044&amp;"-Q"&amp;ROUNDUP(MONTH(B9044)/3,0)</f>
        <v>2015-Q3</v>
      </c>
    </row>
    <row r="9045" customFormat="false" ht="15" hidden="false" customHeight="false" outlineLevel="0" collapsed="false">
      <c r="A9045" s="0" t="s">
        <v>4602</v>
      </c>
      <c r="B9045" s="6" t="n">
        <v>42681</v>
      </c>
      <c r="C9045" s="7" t="s">
        <v>33</v>
      </c>
      <c r="D9045" s="7" t="s">
        <v>34</v>
      </c>
      <c r="E9045" s="7" t="s">
        <v>39</v>
      </c>
      <c r="F9045" s="0" t="n">
        <v>479.97</v>
      </c>
      <c r="G9045" s="0" t="n">
        <v>163.1898</v>
      </c>
      <c r="H9045" s="0" t="n">
        <v>0</v>
      </c>
      <c r="I9045" s="7" t="n">
        <f aca="false">YEAR(B9045)</f>
        <v>2016</v>
      </c>
      <c r="J9045" s="0" t="str">
        <f aca="false">I9045&amp;"-Q"&amp;ROUNDUP(MONTH(B9045)/3,0)</f>
        <v>2016-Q4</v>
      </c>
    </row>
    <row r="9046" customFormat="false" ht="15" hidden="false" customHeight="false" outlineLevel="0" collapsed="false">
      <c r="A9046" s="0" t="s">
        <v>4603</v>
      </c>
      <c r="B9046" s="6" t="n">
        <v>43085</v>
      </c>
      <c r="C9046" s="7" t="s">
        <v>33</v>
      </c>
      <c r="D9046" s="7" t="s">
        <v>34</v>
      </c>
      <c r="E9046" s="7" t="s">
        <v>35</v>
      </c>
      <c r="F9046" s="0" t="n">
        <v>5.984</v>
      </c>
      <c r="G9046" s="0" t="n">
        <v>2.244</v>
      </c>
      <c r="H9046" s="0" t="n">
        <v>0.2</v>
      </c>
      <c r="I9046" s="7" t="n">
        <f aca="false">YEAR(B9046)</f>
        <v>2017</v>
      </c>
      <c r="J9046" s="0" t="str">
        <f aca="false">I9046&amp;"-Q"&amp;ROUNDUP(MONTH(B9046)/3,0)</f>
        <v>2017-Q4</v>
      </c>
    </row>
    <row r="9047" customFormat="false" ht="15" hidden="false" customHeight="false" outlineLevel="0" collapsed="false">
      <c r="A9047" s="0" t="s">
        <v>4603</v>
      </c>
      <c r="B9047" s="6" t="n">
        <v>43085</v>
      </c>
      <c r="C9047" s="7" t="s">
        <v>33</v>
      </c>
      <c r="D9047" s="7" t="s">
        <v>34</v>
      </c>
      <c r="E9047" s="7" t="s">
        <v>39</v>
      </c>
      <c r="F9047" s="0" t="n">
        <v>189.95</v>
      </c>
      <c r="G9047" s="0" t="n">
        <v>45.588</v>
      </c>
      <c r="H9047" s="0" t="n">
        <v>0</v>
      </c>
      <c r="I9047" s="7" t="n">
        <f aca="false">YEAR(B9047)</f>
        <v>2017</v>
      </c>
      <c r="J9047" s="0" t="str">
        <f aca="false">I9047&amp;"-Q"&amp;ROUNDUP(MONTH(B9047)/3,0)</f>
        <v>2017-Q4</v>
      </c>
    </row>
    <row r="9048" customFormat="false" ht="15" hidden="false" customHeight="false" outlineLevel="0" collapsed="false">
      <c r="A9048" s="0" t="s">
        <v>4603</v>
      </c>
      <c r="B9048" s="6" t="n">
        <v>43085</v>
      </c>
      <c r="C9048" s="7" t="s">
        <v>33</v>
      </c>
      <c r="D9048" s="7" t="s">
        <v>34</v>
      </c>
      <c r="E9048" s="7" t="s">
        <v>39</v>
      </c>
      <c r="F9048" s="0" t="n">
        <v>149.95</v>
      </c>
      <c r="G9048" s="0" t="n">
        <v>31.4895</v>
      </c>
      <c r="H9048" s="0" t="n">
        <v>0</v>
      </c>
      <c r="I9048" s="7" t="n">
        <f aca="false">YEAR(B9048)</f>
        <v>2017</v>
      </c>
      <c r="J9048" s="0" t="str">
        <f aca="false">I9048&amp;"-Q"&amp;ROUNDUP(MONTH(B9048)/3,0)</f>
        <v>2017-Q4</v>
      </c>
    </row>
    <row r="9049" customFormat="false" ht="15" hidden="false" customHeight="false" outlineLevel="0" collapsed="false">
      <c r="A9049" s="0" t="s">
        <v>4603</v>
      </c>
      <c r="B9049" s="6" t="n">
        <v>43085</v>
      </c>
      <c r="C9049" s="7" t="s">
        <v>33</v>
      </c>
      <c r="D9049" s="7" t="s">
        <v>34</v>
      </c>
      <c r="E9049" s="7" t="s">
        <v>35</v>
      </c>
      <c r="F9049" s="0" t="n">
        <v>29.95</v>
      </c>
      <c r="G9049" s="0" t="n">
        <v>8.6855</v>
      </c>
      <c r="H9049" s="0" t="n">
        <v>0</v>
      </c>
      <c r="I9049" s="7" t="n">
        <f aca="false">YEAR(B9049)</f>
        <v>2017</v>
      </c>
      <c r="J9049" s="0" t="str">
        <f aca="false">I9049&amp;"-Q"&amp;ROUNDUP(MONTH(B9049)/3,0)</f>
        <v>2017-Q4</v>
      </c>
    </row>
    <row r="9050" customFormat="false" ht="15" hidden="false" customHeight="false" outlineLevel="0" collapsed="false">
      <c r="A9050" s="0" t="s">
        <v>4603</v>
      </c>
      <c r="B9050" s="6" t="n">
        <v>43085</v>
      </c>
      <c r="C9050" s="7" t="s">
        <v>33</v>
      </c>
      <c r="D9050" s="7" t="s">
        <v>34</v>
      </c>
      <c r="E9050" s="7" t="s">
        <v>35</v>
      </c>
      <c r="F9050" s="0" t="n">
        <v>44.4</v>
      </c>
      <c r="G9050" s="0" t="n">
        <v>22.2</v>
      </c>
      <c r="H9050" s="0" t="n">
        <v>0</v>
      </c>
      <c r="I9050" s="7" t="n">
        <f aca="false">YEAR(B9050)</f>
        <v>2017</v>
      </c>
      <c r="J9050" s="0" t="str">
        <f aca="false">I9050&amp;"-Q"&amp;ROUNDUP(MONTH(B9050)/3,0)</f>
        <v>2017-Q4</v>
      </c>
    </row>
    <row r="9051" customFormat="false" ht="15" hidden="false" customHeight="false" outlineLevel="0" collapsed="false">
      <c r="A9051" s="0" t="s">
        <v>4604</v>
      </c>
      <c r="B9051" s="6" t="n">
        <v>41903</v>
      </c>
      <c r="C9051" s="7" t="s">
        <v>55</v>
      </c>
      <c r="D9051" s="7" t="s">
        <v>76</v>
      </c>
      <c r="E9051" s="7" t="s">
        <v>35</v>
      </c>
      <c r="F9051" s="0" t="n">
        <v>66.03</v>
      </c>
      <c r="G9051" s="0" t="n">
        <v>17.1678</v>
      </c>
      <c r="H9051" s="0" t="n">
        <v>0</v>
      </c>
      <c r="I9051" s="7" t="n">
        <f aca="false">YEAR(B9051)</f>
        <v>2014</v>
      </c>
      <c r="J9051" s="0" t="str">
        <f aca="false">I9051&amp;"-Q"&amp;ROUNDUP(MONTH(B9051)/3,0)</f>
        <v>2014-Q3</v>
      </c>
    </row>
    <row r="9052" customFormat="false" ht="15" hidden="false" customHeight="false" outlineLevel="0" collapsed="false">
      <c r="A9052" s="0" t="s">
        <v>4605</v>
      </c>
      <c r="B9052" s="6" t="n">
        <v>42142</v>
      </c>
      <c r="C9052" s="7" t="s">
        <v>33</v>
      </c>
      <c r="D9052" s="7" t="s">
        <v>34</v>
      </c>
      <c r="E9052" s="7" t="s">
        <v>35</v>
      </c>
      <c r="F9052" s="0" t="n">
        <v>10.86</v>
      </c>
      <c r="G9052" s="0" t="n">
        <v>5.3214</v>
      </c>
      <c r="H9052" s="0" t="n">
        <v>0</v>
      </c>
      <c r="I9052" s="7" t="n">
        <f aca="false">YEAR(B9052)</f>
        <v>2015</v>
      </c>
      <c r="J9052" s="0" t="str">
        <f aca="false">I9052&amp;"-Q"&amp;ROUNDUP(MONTH(B9052)/3,0)</f>
        <v>2015-Q2</v>
      </c>
    </row>
    <row r="9053" customFormat="false" ht="15" hidden="false" customHeight="false" outlineLevel="0" collapsed="false">
      <c r="A9053" s="0" t="s">
        <v>4606</v>
      </c>
      <c r="B9053" s="6" t="n">
        <v>41724</v>
      </c>
      <c r="C9053" s="7" t="s">
        <v>33</v>
      </c>
      <c r="D9053" s="7" t="s">
        <v>34</v>
      </c>
      <c r="E9053" s="7" t="s">
        <v>35</v>
      </c>
      <c r="F9053" s="0" t="n">
        <v>3.36</v>
      </c>
      <c r="G9053" s="0" t="n">
        <v>0.84</v>
      </c>
      <c r="H9053" s="0" t="n">
        <v>0</v>
      </c>
      <c r="I9053" s="7" t="n">
        <f aca="false">YEAR(B9053)</f>
        <v>2014</v>
      </c>
      <c r="J9053" s="0" t="str">
        <f aca="false">I9053&amp;"-Q"&amp;ROUNDUP(MONTH(B9053)/3,0)</f>
        <v>2014-Q1</v>
      </c>
    </row>
    <row r="9054" customFormat="false" ht="15" hidden="false" customHeight="false" outlineLevel="0" collapsed="false">
      <c r="A9054" s="0" t="s">
        <v>4606</v>
      </c>
      <c r="B9054" s="6" t="n">
        <v>41724</v>
      </c>
      <c r="C9054" s="7" t="s">
        <v>33</v>
      </c>
      <c r="D9054" s="7" t="s">
        <v>34</v>
      </c>
      <c r="E9054" s="7" t="s">
        <v>35</v>
      </c>
      <c r="F9054" s="0" t="n">
        <v>27.936</v>
      </c>
      <c r="G9054" s="0" t="n">
        <v>9.4284</v>
      </c>
      <c r="H9054" s="0" t="n">
        <v>0.2</v>
      </c>
      <c r="I9054" s="7" t="n">
        <f aca="false">YEAR(B9054)</f>
        <v>2014</v>
      </c>
      <c r="J9054" s="0" t="str">
        <f aca="false">I9054&amp;"-Q"&amp;ROUNDUP(MONTH(B9054)/3,0)</f>
        <v>2014-Q1</v>
      </c>
    </row>
    <row r="9055" customFormat="false" ht="15" hidden="false" customHeight="false" outlineLevel="0" collapsed="false">
      <c r="A9055" s="0" t="s">
        <v>4606</v>
      </c>
      <c r="B9055" s="6" t="n">
        <v>41724</v>
      </c>
      <c r="C9055" s="7" t="s">
        <v>33</v>
      </c>
      <c r="D9055" s="7" t="s">
        <v>34</v>
      </c>
      <c r="E9055" s="7" t="s">
        <v>39</v>
      </c>
      <c r="F9055" s="0" t="n">
        <v>28.784</v>
      </c>
      <c r="G9055" s="0" t="n">
        <v>2.8784</v>
      </c>
      <c r="H9055" s="0" t="n">
        <v>0.2</v>
      </c>
      <c r="I9055" s="7" t="n">
        <f aca="false">YEAR(B9055)</f>
        <v>2014</v>
      </c>
      <c r="J9055" s="0" t="str">
        <f aca="false">I9055&amp;"-Q"&amp;ROUNDUP(MONTH(B9055)/3,0)</f>
        <v>2014-Q1</v>
      </c>
    </row>
    <row r="9056" customFormat="false" ht="15" hidden="false" customHeight="false" outlineLevel="0" collapsed="false">
      <c r="A9056" s="0" t="s">
        <v>4607</v>
      </c>
      <c r="B9056" s="6" t="n">
        <v>43000</v>
      </c>
      <c r="C9056" s="7" t="s">
        <v>33</v>
      </c>
      <c r="D9056" s="7" t="s">
        <v>34</v>
      </c>
      <c r="E9056" s="7" t="s">
        <v>35</v>
      </c>
      <c r="F9056" s="0" t="n">
        <v>21.96</v>
      </c>
      <c r="G9056" s="0" t="n">
        <v>6.1488</v>
      </c>
      <c r="H9056" s="0" t="n">
        <v>0</v>
      </c>
      <c r="I9056" s="7" t="n">
        <f aca="false">YEAR(B9056)</f>
        <v>2017</v>
      </c>
      <c r="J9056" s="0" t="str">
        <f aca="false">I9056&amp;"-Q"&amp;ROUNDUP(MONTH(B9056)/3,0)</f>
        <v>2017-Q3</v>
      </c>
    </row>
    <row r="9057" customFormat="false" ht="15" hidden="false" customHeight="false" outlineLevel="0" collapsed="false">
      <c r="A9057" s="0" t="s">
        <v>4608</v>
      </c>
      <c r="B9057" s="6" t="n">
        <v>42259</v>
      </c>
      <c r="C9057" s="7" t="s">
        <v>33</v>
      </c>
      <c r="D9057" s="7" t="s">
        <v>43</v>
      </c>
      <c r="E9057" s="7" t="s">
        <v>39</v>
      </c>
      <c r="F9057" s="0" t="n">
        <v>21.98</v>
      </c>
      <c r="G9057" s="0" t="n">
        <v>8.5722</v>
      </c>
      <c r="H9057" s="0" t="n">
        <v>0</v>
      </c>
      <c r="I9057" s="7" t="n">
        <f aca="false">YEAR(B9057)</f>
        <v>2015</v>
      </c>
      <c r="J9057" s="0" t="str">
        <f aca="false">I9057&amp;"-Q"&amp;ROUNDUP(MONTH(B9057)/3,0)</f>
        <v>2015-Q3</v>
      </c>
    </row>
    <row r="9058" customFormat="false" ht="15" hidden="false" customHeight="false" outlineLevel="0" collapsed="false">
      <c r="A9058" s="0" t="s">
        <v>4609</v>
      </c>
      <c r="B9058" s="6" t="n">
        <v>42310</v>
      </c>
      <c r="C9058" s="7" t="s">
        <v>55</v>
      </c>
      <c r="D9058" s="7" t="s">
        <v>76</v>
      </c>
      <c r="E9058" s="7" t="s">
        <v>31</v>
      </c>
      <c r="F9058" s="0" t="n">
        <v>2621.322</v>
      </c>
      <c r="G9058" s="0" t="n">
        <v>553.3902</v>
      </c>
      <c r="H9058" s="0" t="n">
        <v>0.1</v>
      </c>
      <c r="I9058" s="7" t="n">
        <f aca="false">YEAR(B9058)</f>
        <v>2015</v>
      </c>
      <c r="J9058" s="0" t="str">
        <f aca="false">I9058&amp;"-Q"&amp;ROUNDUP(MONTH(B9058)/3,0)</f>
        <v>2015-Q4</v>
      </c>
    </row>
    <row r="9059" customFormat="false" ht="15" hidden="false" customHeight="false" outlineLevel="0" collapsed="false">
      <c r="A9059" s="0" t="s">
        <v>4610</v>
      </c>
      <c r="B9059" s="6" t="n">
        <v>42297</v>
      </c>
      <c r="C9059" s="7" t="s">
        <v>33</v>
      </c>
      <c r="D9059" s="7" t="s">
        <v>34</v>
      </c>
      <c r="E9059" s="7" t="s">
        <v>31</v>
      </c>
      <c r="F9059" s="0" t="n">
        <v>74.76</v>
      </c>
      <c r="G9059" s="0" t="n">
        <v>23.9232</v>
      </c>
      <c r="H9059" s="0" t="n">
        <v>0</v>
      </c>
      <c r="I9059" s="7" t="n">
        <f aca="false">YEAR(B9059)</f>
        <v>2015</v>
      </c>
      <c r="J9059" s="0" t="str">
        <f aca="false">I9059&amp;"-Q"&amp;ROUNDUP(MONTH(B9059)/3,0)</f>
        <v>2015-Q4</v>
      </c>
    </row>
    <row r="9060" customFormat="false" ht="15" hidden="false" customHeight="false" outlineLevel="0" collapsed="false">
      <c r="A9060" s="0" t="s">
        <v>4610</v>
      </c>
      <c r="B9060" s="6" t="n">
        <v>42297</v>
      </c>
      <c r="C9060" s="7" t="s">
        <v>33</v>
      </c>
      <c r="D9060" s="7" t="s">
        <v>34</v>
      </c>
      <c r="E9060" s="7" t="s">
        <v>31</v>
      </c>
      <c r="F9060" s="0" t="n">
        <v>364.776</v>
      </c>
      <c r="G9060" s="0" t="n">
        <v>27.3582</v>
      </c>
      <c r="H9060" s="0" t="n">
        <v>0.2</v>
      </c>
      <c r="I9060" s="7" t="n">
        <f aca="false">YEAR(B9060)</f>
        <v>2015</v>
      </c>
      <c r="J9060" s="0" t="str">
        <f aca="false">I9060&amp;"-Q"&amp;ROUNDUP(MONTH(B9060)/3,0)</f>
        <v>2015-Q4</v>
      </c>
    </row>
    <row r="9061" customFormat="false" ht="15" hidden="false" customHeight="false" outlineLevel="0" collapsed="false">
      <c r="A9061" s="0" t="s">
        <v>4611</v>
      </c>
      <c r="B9061" s="6" t="n">
        <v>42535</v>
      </c>
      <c r="C9061" s="7" t="s">
        <v>33</v>
      </c>
      <c r="D9061" s="7" t="s">
        <v>43</v>
      </c>
      <c r="E9061" s="7" t="s">
        <v>31</v>
      </c>
      <c r="F9061" s="0" t="n">
        <v>1115.17</v>
      </c>
      <c r="G9061" s="0" t="n">
        <v>334.551</v>
      </c>
      <c r="H9061" s="0" t="n">
        <v>0</v>
      </c>
      <c r="I9061" s="7" t="n">
        <f aca="false">YEAR(B9061)</f>
        <v>2016</v>
      </c>
      <c r="J9061" s="0" t="str">
        <f aca="false">I9061&amp;"-Q"&amp;ROUNDUP(MONTH(B9061)/3,0)</f>
        <v>2016-Q2</v>
      </c>
    </row>
    <row r="9062" customFormat="false" ht="15" hidden="false" customHeight="false" outlineLevel="0" collapsed="false">
      <c r="A9062" s="0" t="s">
        <v>4612</v>
      </c>
      <c r="B9062" s="6" t="n">
        <v>42328</v>
      </c>
      <c r="C9062" s="7" t="s">
        <v>33</v>
      </c>
      <c r="D9062" s="7" t="s">
        <v>34</v>
      </c>
      <c r="E9062" s="7" t="s">
        <v>35</v>
      </c>
      <c r="F9062" s="0" t="n">
        <v>89.696</v>
      </c>
      <c r="G9062" s="0" t="n">
        <v>33.636</v>
      </c>
      <c r="H9062" s="0" t="n">
        <v>0.2</v>
      </c>
      <c r="I9062" s="7" t="n">
        <f aca="false">YEAR(B9062)</f>
        <v>2015</v>
      </c>
      <c r="J9062" s="0" t="str">
        <f aca="false">I9062&amp;"-Q"&amp;ROUNDUP(MONTH(B9062)/3,0)</f>
        <v>2015-Q4</v>
      </c>
    </row>
    <row r="9063" customFormat="false" ht="15" hidden="false" customHeight="false" outlineLevel="0" collapsed="false">
      <c r="A9063" s="0" t="s">
        <v>4612</v>
      </c>
      <c r="B9063" s="6" t="n">
        <v>42328</v>
      </c>
      <c r="C9063" s="7" t="s">
        <v>33</v>
      </c>
      <c r="D9063" s="7" t="s">
        <v>34</v>
      </c>
      <c r="E9063" s="7" t="s">
        <v>35</v>
      </c>
      <c r="F9063" s="0" t="n">
        <v>50.12</v>
      </c>
      <c r="G9063" s="0" t="n">
        <v>23.5564</v>
      </c>
      <c r="H9063" s="0" t="n">
        <v>0</v>
      </c>
      <c r="I9063" s="7" t="n">
        <f aca="false">YEAR(B9063)</f>
        <v>2015</v>
      </c>
      <c r="J9063" s="0" t="str">
        <f aca="false">I9063&amp;"-Q"&amp;ROUNDUP(MONTH(B9063)/3,0)</f>
        <v>2015-Q4</v>
      </c>
    </row>
    <row r="9064" customFormat="false" ht="15" hidden="false" customHeight="false" outlineLevel="0" collapsed="false">
      <c r="A9064" s="0" t="s">
        <v>4613</v>
      </c>
      <c r="B9064" s="6" t="n">
        <v>42428</v>
      </c>
      <c r="C9064" s="7" t="s">
        <v>55</v>
      </c>
      <c r="D9064" s="7" t="s">
        <v>76</v>
      </c>
      <c r="E9064" s="7" t="s">
        <v>35</v>
      </c>
      <c r="F9064" s="0" t="n">
        <v>36.48</v>
      </c>
      <c r="G9064" s="0" t="n">
        <v>18.24</v>
      </c>
      <c r="H9064" s="0" t="n">
        <v>0</v>
      </c>
      <c r="I9064" s="7" t="n">
        <f aca="false">YEAR(B9064)</f>
        <v>2016</v>
      </c>
      <c r="J9064" s="0" t="str">
        <f aca="false">I9064&amp;"-Q"&amp;ROUNDUP(MONTH(B9064)/3,0)</f>
        <v>2016-Q1</v>
      </c>
    </row>
    <row r="9065" customFormat="false" ht="15" hidden="false" customHeight="false" outlineLevel="0" collapsed="false">
      <c r="A9065" s="0" t="s">
        <v>4614</v>
      </c>
      <c r="B9065" s="6" t="n">
        <v>41926</v>
      </c>
      <c r="C9065" s="7" t="s">
        <v>45</v>
      </c>
      <c r="D9065" s="7" t="s">
        <v>64</v>
      </c>
      <c r="E9065" s="7" t="s">
        <v>35</v>
      </c>
      <c r="F9065" s="0" t="n">
        <v>322.192</v>
      </c>
      <c r="G9065" s="0" t="n">
        <v>100.685</v>
      </c>
      <c r="H9065" s="0" t="n">
        <v>0.2</v>
      </c>
      <c r="I9065" s="7" t="n">
        <f aca="false">YEAR(B9065)</f>
        <v>2014</v>
      </c>
      <c r="J9065" s="0" t="str">
        <f aca="false">I9065&amp;"-Q"&amp;ROUNDUP(MONTH(B9065)/3,0)</f>
        <v>2014-Q4</v>
      </c>
    </row>
    <row r="9066" customFormat="false" ht="15" hidden="false" customHeight="false" outlineLevel="0" collapsed="false">
      <c r="A9066" s="0" t="s">
        <v>4614</v>
      </c>
      <c r="B9066" s="6" t="n">
        <v>41926</v>
      </c>
      <c r="C9066" s="7" t="s">
        <v>45</v>
      </c>
      <c r="D9066" s="7" t="s">
        <v>64</v>
      </c>
      <c r="E9066" s="7" t="s">
        <v>35</v>
      </c>
      <c r="F9066" s="0" t="n">
        <v>2.946</v>
      </c>
      <c r="G9066" s="0" t="n">
        <v>-4.8609</v>
      </c>
      <c r="H9066" s="0" t="n">
        <v>0.8</v>
      </c>
      <c r="I9066" s="7" t="n">
        <f aca="false">YEAR(B9066)</f>
        <v>2014</v>
      </c>
      <c r="J9066" s="0" t="str">
        <f aca="false">I9066&amp;"-Q"&amp;ROUNDUP(MONTH(B9066)/3,0)</f>
        <v>2014-Q4</v>
      </c>
    </row>
    <row r="9067" customFormat="false" ht="15" hidden="false" customHeight="false" outlineLevel="0" collapsed="false">
      <c r="A9067" s="0" t="s">
        <v>4614</v>
      </c>
      <c r="B9067" s="6" t="n">
        <v>41926</v>
      </c>
      <c r="C9067" s="7" t="s">
        <v>45</v>
      </c>
      <c r="D9067" s="7" t="s">
        <v>64</v>
      </c>
      <c r="E9067" s="7" t="s">
        <v>35</v>
      </c>
      <c r="F9067" s="0" t="n">
        <v>19.136</v>
      </c>
      <c r="G9067" s="0" t="n">
        <v>6.9368</v>
      </c>
      <c r="H9067" s="0" t="n">
        <v>0.2</v>
      </c>
      <c r="I9067" s="7" t="n">
        <f aca="false">YEAR(B9067)</f>
        <v>2014</v>
      </c>
      <c r="J9067" s="0" t="str">
        <f aca="false">I9067&amp;"-Q"&amp;ROUNDUP(MONTH(B9067)/3,0)</f>
        <v>2014-Q4</v>
      </c>
    </row>
    <row r="9068" customFormat="false" ht="15" hidden="false" customHeight="false" outlineLevel="0" collapsed="false">
      <c r="A9068" s="0" t="s">
        <v>4615</v>
      </c>
      <c r="B9068" s="6" t="n">
        <v>42881</v>
      </c>
      <c r="C9068" s="7" t="s">
        <v>29</v>
      </c>
      <c r="D9068" s="7" t="s">
        <v>83</v>
      </c>
      <c r="E9068" s="7" t="s">
        <v>39</v>
      </c>
      <c r="F9068" s="0" t="n">
        <v>23.08</v>
      </c>
      <c r="G9068" s="0" t="n">
        <v>6.924</v>
      </c>
      <c r="H9068" s="0" t="n">
        <v>0</v>
      </c>
      <c r="I9068" s="7" t="n">
        <f aca="false">YEAR(B9068)</f>
        <v>2017</v>
      </c>
      <c r="J9068" s="0" t="str">
        <f aca="false">I9068&amp;"-Q"&amp;ROUNDUP(MONTH(B9068)/3,0)</f>
        <v>2017-Q2</v>
      </c>
    </row>
    <row r="9069" customFormat="false" ht="15" hidden="false" customHeight="false" outlineLevel="0" collapsed="false">
      <c r="A9069" s="0" t="s">
        <v>4616</v>
      </c>
      <c r="B9069" s="6" t="n">
        <v>42404</v>
      </c>
      <c r="C9069" s="7" t="s">
        <v>55</v>
      </c>
      <c r="D9069" s="7" t="s">
        <v>495</v>
      </c>
      <c r="E9069" s="7" t="s">
        <v>39</v>
      </c>
      <c r="F9069" s="0" t="n">
        <v>90.48</v>
      </c>
      <c r="G9069" s="0" t="n">
        <v>23.5248</v>
      </c>
      <c r="H9069" s="0" t="n">
        <v>0</v>
      </c>
      <c r="I9069" s="7" t="n">
        <f aca="false">YEAR(B9069)</f>
        <v>2016</v>
      </c>
      <c r="J9069" s="0" t="str">
        <f aca="false">I9069&amp;"-Q"&amp;ROUNDUP(MONTH(B9069)/3,0)</f>
        <v>2016-Q1</v>
      </c>
    </row>
    <row r="9070" customFormat="false" ht="15" hidden="false" customHeight="false" outlineLevel="0" collapsed="false">
      <c r="A9070" s="0" t="s">
        <v>4617</v>
      </c>
      <c r="B9070" s="6" t="n">
        <v>42615</v>
      </c>
      <c r="C9070" s="7" t="s">
        <v>33</v>
      </c>
      <c r="D9070" s="7" t="s">
        <v>43</v>
      </c>
      <c r="E9070" s="7" t="s">
        <v>31</v>
      </c>
      <c r="F9070" s="0" t="n">
        <v>215.976</v>
      </c>
      <c r="G9070" s="0" t="n">
        <v>-2.6997</v>
      </c>
      <c r="H9070" s="0" t="n">
        <v>0.2</v>
      </c>
      <c r="I9070" s="7" t="n">
        <f aca="false">YEAR(B9070)</f>
        <v>2016</v>
      </c>
      <c r="J9070" s="0" t="str">
        <f aca="false">I9070&amp;"-Q"&amp;ROUNDUP(MONTH(B9070)/3,0)</f>
        <v>2016-Q3</v>
      </c>
    </row>
    <row r="9071" customFormat="false" ht="15" hidden="false" customHeight="false" outlineLevel="0" collapsed="false">
      <c r="A9071" s="0" t="s">
        <v>4617</v>
      </c>
      <c r="B9071" s="6" t="n">
        <v>42615</v>
      </c>
      <c r="C9071" s="7" t="s">
        <v>33</v>
      </c>
      <c r="D9071" s="7" t="s">
        <v>43</v>
      </c>
      <c r="E9071" s="7" t="s">
        <v>35</v>
      </c>
      <c r="F9071" s="0" t="n">
        <v>65.94</v>
      </c>
      <c r="G9071" s="0" t="n">
        <v>30.9918</v>
      </c>
      <c r="H9071" s="0" t="n">
        <v>0</v>
      </c>
      <c r="I9071" s="7" t="n">
        <f aca="false">YEAR(B9071)</f>
        <v>2016</v>
      </c>
      <c r="J9071" s="0" t="str">
        <f aca="false">I9071&amp;"-Q"&amp;ROUNDUP(MONTH(B9071)/3,0)</f>
        <v>2016-Q3</v>
      </c>
    </row>
    <row r="9072" customFormat="false" ht="15" hidden="false" customHeight="false" outlineLevel="0" collapsed="false">
      <c r="A9072" s="0" t="s">
        <v>4618</v>
      </c>
      <c r="B9072" s="6" t="n">
        <v>43073</v>
      </c>
      <c r="C9072" s="7" t="s">
        <v>55</v>
      </c>
      <c r="D9072" s="7" t="s">
        <v>56</v>
      </c>
      <c r="E9072" s="7" t="s">
        <v>31</v>
      </c>
      <c r="F9072" s="0" t="n">
        <v>11.352</v>
      </c>
      <c r="G9072" s="0" t="n">
        <v>2.6961</v>
      </c>
      <c r="H9072" s="0" t="n">
        <v>0.2</v>
      </c>
      <c r="I9072" s="7" t="n">
        <f aca="false">YEAR(B9072)</f>
        <v>2017</v>
      </c>
      <c r="J9072" s="0" t="str">
        <f aca="false">I9072&amp;"-Q"&amp;ROUNDUP(MONTH(B9072)/3,0)</f>
        <v>2017-Q4</v>
      </c>
    </row>
    <row r="9073" customFormat="false" ht="15" hidden="false" customHeight="false" outlineLevel="0" collapsed="false">
      <c r="A9073" s="0" t="s">
        <v>4619</v>
      </c>
      <c r="B9073" s="6" t="n">
        <v>42167</v>
      </c>
      <c r="C9073" s="7" t="s">
        <v>45</v>
      </c>
      <c r="D9073" s="7" t="s">
        <v>74</v>
      </c>
      <c r="E9073" s="7" t="s">
        <v>35</v>
      </c>
      <c r="F9073" s="0" t="n">
        <v>24.56</v>
      </c>
      <c r="G9073" s="0" t="n">
        <v>6.8768</v>
      </c>
      <c r="H9073" s="0" t="n">
        <v>0</v>
      </c>
      <c r="I9073" s="7" t="n">
        <f aca="false">YEAR(B9073)</f>
        <v>2015</v>
      </c>
      <c r="J9073" s="0" t="str">
        <f aca="false">I9073&amp;"-Q"&amp;ROUNDUP(MONTH(B9073)/3,0)</f>
        <v>2015-Q2</v>
      </c>
    </row>
    <row r="9074" customFormat="false" ht="15" hidden="false" customHeight="false" outlineLevel="0" collapsed="false">
      <c r="A9074" s="0" t="s">
        <v>4620</v>
      </c>
      <c r="B9074" s="6" t="n">
        <v>42617</v>
      </c>
      <c r="C9074" s="7" t="s">
        <v>45</v>
      </c>
      <c r="D9074" s="7" t="s">
        <v>129</v>
      </c>
      <c r="E9074" s="7" t="s">
        <v>35</v>
      </c>
      <c r="F9074" s="0" t="n">
        <v>16.56</v>
      </c>
      <c r="G9074" s="0" t="n">
        <v>7.7832</v>
      </c>
      <c r="H9074" s="0" t="n">
        <v>0</v>
      </c>
      <c r="I9074" s="7" t="n">
        <f aca="false">YEAR(B9074)</f>
        <v>2016</v>
      </c>
      <c r="J9074" s="0" t="str">
        <f aca="false">I9074&amp;"-Q"&amp;ROUNDUP(MONTH(B9074)/3,0)</f>
        <v>2016-Q3</v>
      </c>
    </row>
    <row r="9075" customFormat="false" ht="15" hidden="false" customHeight="false" outlineLevel="0" collapsed="false">
      <c r="A9075" s="0" t="s">
        <v>4620</v>
      </c>
      <c r="B9075" s="6" t="n">
        <v>42617</v>
      </c>
      <c r="C9075" s="7" t="s">
        <v>45</v>
      </c>
      <c r="D9075" s="7" t="s">
        <v>129</v>
      </c>
      <c r="E9075" s="7" t="s">
        <v>39</v>
      </c>
      <c r="F9075" s="0" t="n">
        <v>279.95</v>
      </c>
      <c r="G9075" s="0" t="n">
        <v>67.188</v>
      </c>
      <c r="H9075" s="0" t="n">
        <v>0</v>
      </c>
      <c r="I9075" s="7" t="n">
        <f aca="false">YEAR(B9075)</f>
        <v>2016</v>
      </c>
      <c r="J9075" s="0" t="str">
        <f aca="false">I9075&amp;"-Q"&amp;ROUNDUP(MONTH(B9075)/3,0)</f>
        <v>2016-Q3</v>
      </c>
    </row>
    <row r="9076" customFormat="false" ht="15" hidden="false" customHeight="false" outlineLevel="0" collapsed="false">
      <c r="A9076" s="0" t="s">
        <v>4621</v>
      </c>
      <c r="B9076" s="6" t="n">
        <v>41750</v>
      </c>
      <c r="C9076" s="7" t="s">
        <v>29</v>
      </c>
      <c r="D9076" s="7" t="s">
        <v>30</v>
      </c>
      <c r="E9076" s="7" t="s">
        <v>35</v>
      </c>
      <c r="F9076" s="0" t="n">
        <v>828.84</v>
      </c>
      <c r="G9076" s="0" t="n">
        <v>0</v>
      </c>
      <c r="H9076" s="0" t="n">
        <v>0</v>
      </c>
      <c r="I9076" s="7" t="n">
        <f aca="false">YEAR(B9076)</f>
        <v>2014</v>
      </c>
      <c r="J9076" s="0" t="str">
        <f aca="false">I9076&amp;"-Q"&amp;ROUNDUP(MONTH(B9076)/3,0)</f>
        <v>2014-Q2</v>
      </c>
    </row>
    <row r="9077" customFormat="false" ht="15" hidden="false" customHeight="false" outlineLevel="0" collapsed="false">
      <c r="A9077" s="0" t="s">
        <v>4622</v>
      </c>
      <c r="B9077" s="6" t="n">
        <v>42313</v>
      </c>
      <c r="C9077" s="7" t="s">
        <v>55</v>
      </c>
      <c r="D9077" s="7" t="s">
        <v>116</v>
      </c>
      <c r="E9077" s="7" t="s">
        <v>35</v>
      </c>
      <c r="F9077" s="0" t="n">
        <v>7.218</v>
      </c>
      <c r="G9077" s="0" t="n">
        <v>-5.5338</v>
      </c>
      <c r="H9077" s="0" t="n">
        <v>0.7</v>
      </c>
      <c r="I9077" s="7" t="n">
        <f aca="false">YEAR(B9077)</f>
        <v>2015</v>
      </c>
      <c r="J9077" s="0" t="str">
        <f aca="false">I9077&amp;"-Q"&amp;ROUNDUP(MONTH(B9077)/3,0)</f>
        <v>2015-Q4</v>
      </c>
    </row>
    <row r="9078" customFormat="false" ht="15" hidden="false" customHeight="false" outlineLevel="0" collapsed="false">
      <c r="A9078" s="0" t="s">
        <v>4622</v>
      </c>
      <c r="B9078" s="6" t="n">
        <v>42313</v>
      </c>
      <c r="C9078" s="7" t="s">
        <v>55</v>
      </c>
      <c r="D9078" s="7" t="s">
        <v>116</v>
      </c>
      <c r="E9078" s="7" t="s">
        <v>35</v>
      </c>
      <c r="F9078" s="0" t="n">
        <v>27.2</v>
      </c>
      <c r="G9078" s="0" t="n">
        <v>2.04</v>
      </c>
      <c r="H9078" s="0" t="n">
        <v>0.2</v>
      </c>
      <c r="I9078" s="7" t="n">
        <f aca="false">YEAR(B9078)</f>
        <v>2015</v>
      </c>
      <c r="J9078" s="0" t="str">
        <f aca="false">I9078&amp;"-Q"&amp;ROUNDUP(MONTH(B9078)/3,0)</f>
        <v>2015-Q4</v>
      </c>
    </row>
    <row r="9079" customFormat="false" ht="15" hidden="false" customHeight="false" outlineLevel="0" collapsed="false">
      <c r="A9079" s="0" t="s">
        <v>4623</v>
      </c>
      <c r="B9079" s="6" t="n">
        <v>41946</v>
      </c>
      <c r="C9079" s="7" t="s">
        <v>45</v>
      </c>
      <c r="D9079" s="7" t="s">
        <v>53</v>
      </c>
      <c r="E9079" s="7" t="s">
        <v>39</v>
      </c>
      <c r="F9079" s="0" t="n">
        <v>89.97</v>
      </c>
      <c r="G9079" s="0" t="n">
        <v>18.8937</v>
      </c>
      <c r="H9079" s="0" t="n">
        <v>0</v>
      </c>
      <c r="I9079" s="7" t="n">
        <f aca="false">YEAR(B9079)</f>
        <v>2014</v>
      </c>
      <c r="J9079" s="0" t="str">
        <f aca="false">I9079&amp;"-Q"&amp;ROUNDUP(MONTH(B9079)/3,0)</f>
        <v>2014-Q4</v>
      </c>
    </row>
    <row r="9080" customFormat="false" ht="15" hidden="false" customHeight="false" outlineLevel="0" collapsed="false">
      <c r="A9080" s="0" t="s">
        <v>4624</v>
      </c>
      <c r="B9080" s="6" t="n">
        <v>42416</v>
      </c>
      <c r="C9080" s="7" t="s">
        <v>29</v>
      </c>
      <c r="D9080" s="7" t="s">
        <v>30</v>
      </c>
      <c r="E9080" s="7" t="s">
        <v>31</v>
      </c>
      <c r="F9080" s="0" t="n">
        <v>318.08</v>
      </c>
      <c r="G9080" s="0" t="n">
        <v>34.9888</v>
      </c>
      <c r="H9080" s="0" t="n">
        <v>0</v>
      </c>
      <c r="I9080" s="7" t="n">
        <f aca="false">YEAR(B9080)</f>
        <v>2016</v>
      </c>
      <c r="J9080" s="0" t="str">
        <f aca="false">I9080&amp;"-Q"&amp;ROUNDUP(MONTH(B9080)/3,0)</f>
        <v>2016-Q1</v>
      </c>
    </row>
    <row r="9081" customFormat="false" ht="15" hidden="false" customHeight="false" outlineLevel="0" collapsed="false">
      <c r="A9081" s="0" t="s">
        <v>4624</v>
      </c>
      <c r="B9081" s="6" t="n">
        <v>42416</v>
      </c>
      <c r="C9081" s="7" t="s">
        <v>29</v>
      </c>
      <c r="D9081" s="7" t="s">
        <v>30</v>
      </c>
      <c r="E9081" s="7" t="s">
        <v>35</v>
      </c>
      <c r="F9081" s="0" t="n">
        <v>5.8</v>
      </c>
      <c r="G9081" s="0" t="n">
        <v>2.61</v>
      </c>
      <c r="H9081" s="0" t="n">
        <v>0</v>
      </c>
      <c r="I9081" s="7" t="n">
        <f aca="false">YEAR(B9081)</f>
        <v>2016</v>
      </c>
      <c r="J9081" s="0" t="str">
        <f aca="false">I9081&amp;"-Q"&amp;ROUNDUP(MONTH(B9081)/3,0)</f>
        <v>2016-Q1</v>
      </c>
    </row>
    <row r="9082" customFormat="false" ht="15" hidden="false" customHeight="false" outlineLevel="0" collapsed="false">
      <c r="A9082" s="0" t="s">
        <v>4625</v>
      </c>
      <c r="B9082" s="6" t="n">
        <v>42989</v>
      </c>
      <c r="C9082" s="7" t="s">
        <v>33</v>
      </c>
      <c r="D9082" s="7" t="s">
        <v>34</v>
      </c>
      <c r="E9082" s="7" t="s">
        <v>39</v>
      </c>
      <c r="F9082" s="0" t="n">
        <v>143.952</v>
      </c>
      <c r="G9082" s="0" t="n">
        <v>17.994</v>
      </c>
      <c r="H9082" s="0" t="n">
        <v>0.2</v>
      </c>
      <c r="I9082" s="7" t="n">
        <f aca="false">YEAR(B9082)</f>
        <v>2017</v>
      </c>
      <c r="J9082" s="0" t="str">
        <f aca="false">I9082&amp;"-Q"&amp;ROUNDUP(MONTH(B9082)/3,0)</f>
        <v>2017-Q3</v>
      </c>
    </row>
    <row r="9083" customFormat="false" ht="15" hidden="false" customHeight="false" outlineLevel="0" collapsed="false">
      <c r="A9083" s="0" t="s">
        <v>4625</v>
      </c>
      <c r="B9083" s="6" t="n">
        <v>42989</v>
      </c>
      <c r="C9083" s="7" t="s">
        <v>33</v>
      </c>
      <c r="D9083" s="7" t="s">
        <v>34</v>
      </c>
      <c r="E9083" s="7" t="s">
        <v>35</v>
      </c>
      <c r="F9083" s="0" t="n">
        <v>19.44</v>
      </c>
      <c r="G9083" s="0" t="n">
        <v>9.3312</v>
      </c>
      <c r="H9083" s="0" t="n">
        <v>0</v>
      </c>
      <c r="I9083" s="7" t="n">
        <f aca="false">YEAR(B9083)</f>
        <v>2017</v>
      </c>
      <c r="J9083" s="0" t="str">
        <f aca="false">I9083&amp;"-Q"&amp;ROUNDUP(MONTH(B9083)/3,0)</f>
        <v>2017-Q3</v>
      </c>
    </row>
    <row r="9084" customFormat="false" ht="15" hidden="false" customHeight="false" outlineLevel="0" collapsed="false">
      <c r="A9084" s="0" t="s">
        <v>4626</v>
      </c>
      <c r="B9084" s="6" t="n">
        <v>43041</v>
      </c>
      <c r="C9084" s="7" t="s">
        <v>29</v>
      </c>
      <c r="D9084" s="7" t="s">
        <v>83</v>
      </c>
      <c r="E9084" s="7" t="s">
        <v>35</v>
      </c>
      <c r="F9084" s="0" t="n">
        <v>5.56</v>
      </c>
      <c r="G9084" s="0" t="n">
        <v>1.4456</v>
      </c>
      <c r="H9084" s="0" t="n">
        <v>0</v>
      </c>
      <c r="I9084" s="7" t="n">
        <f aca="false">YEAR(B9084)</f>
        <v>2017</v>
      </c>
      <c r="J9084" s="0" t="str">
        <f aca="false">I9084&amp;"-Q"&amp;ROUNDUP(MONTH(B9084)/3,0)</f>
        <v>2017-Q4</v>
      </c>
    </row>
    <row r="9085" customFormat="false" ht="15" hidden="false" customHeight="false" outlineLevel="0" collapsed="false">
      <c r="A9085" s="0" t="s">
        <v>4627</v>
      </c>
      <c r="B9085" s="6" t="n">
        <v>42041</v>
      </c>
      <c r="C9085" s="7" t="s">
        <v>29</v>
      </c>
      <c r="D9085" s="7" t="s">
        <v>83</v>
      </c>
      <c r="E9085" s="7" t="s">
        <v>35</v>
      </c>
      <c r="F9085" s="0" t="n">
        <v>146.73</v>
      </c>
      <c r="G9085" s="0" t="n">
        <v>2.9346</v>
      </c>
      <c r="H9085" s="0" t="n">
        <v>0</v>
      </c>
      <c r="I9085" s="7" t="n">
        <f aca="false">YEAR(B9085)</f>
        <v>2015</v>
      </c>
      <c r="J9085" s="0" t="str">
        <f aca="false">I9085&amp;"-Q"&amp;ROUNDUP(MONTH(B9085)/3,0)</f>
        <v>2015-Q1</v>
      </c>
    </row>
    <row r="9086" customFormat="false" ht="15" hidden="false" customHeight="false" outlineLevel="0" collapsed="false">
      <c r="A9086" s="0" t="s">
        <v>4627</v>
      </c>
      <c r="B9086" s="6" t="n">
        <v>42041</v>
      </c>
      <c r="C9086" s="7" t="s">
        <v>29</v>
      </c>
      <c r="D9086" s="7" t="s">
        <v>83</v>
      </c>
      <c r="E9086" s="7" t="s">
        <v>35</v>
      </c>
      <c r="F9086" s="0" t="n">
        <v>29.9</v>
      </c>
      <c r="G9086" s="0" t="n">
        <v>13.455</v>
      </c>
      <c r="H9086" s="0" t="n">
        <v>0</v>
      </c>
      <c r="I9086" s="7" t="n">
        <f aca="false">YEAR(B9086)</f>
        <v>2015</v>
      </c>
      <c r="J9086" s="0" t="str">
        <f aca="false">I9086&amp;"-Q"&amp;ROUNDUP(MONTH(B9086)/3,0)</f>
        <v>2015-Q1</v>
      </c>
    </row>
    <row r="9087" customFormat="false" ht="15" hidden="false" customHeight="false" outlineLevel="0" collapsed="false">
      <c r="A9087" s="0" t="s">
        <v>4628</v>
      </c>
      <c r="B9087" s="6" t="n">
        <v>42623</v>
      </c>
      <c r="C9087" s="7" t="s">
        <v>33</v>
      </c>
      <c r="D9087" s="7" t="s">
        <v>34</v>
      </c>
      <c r="E9087" s="7" t="s">
        <v>35</v>
      </c>
      <c r="F9087" s="0" t="n">
        <v>276.784</v>
      </c>
      <c r="G9087" s="0" t="n">
        <v>89.9548</v>
      </c>
      <c r="H9087" s="0" t="n">
        <v>0.2</v>
      </c>
      <c r="I9087" s="7" t="n">
        <f aca="false">YEAR(B9087)</f>
        <v>2016</v>
      </c>
      <c r="J9087" s="0" t="str">
        <f aca="false">I9087&amp;"-Q"&amp;ROUNDUP(MONTH(B9087)/3,0)</f>
        <v>2016-Q3</v>
      </c>
    </row>
    <row r="9088" customFormat="false" ht="15" hidden="false" customHeight="false" outlineLevel="0" collapsed="false">
      <c r="A9088" s="0" t="s">
        <v>4629</v>
      </c>
      <c r="B9088" s="6" t="n">
        <v>42639</v>
      </c>
      <c r="C9088" s="7" t="s">
        <v>45</v>
      </c>
      <c r="D9088" s="7" t="s">
        <v>46</v>
      </c>
      <c r="E9088" s="7" t="s">
        <v>35</v>
      </c>
      <c r="F9088" s="0" t="n">
        <v>93.032</v>
      </c>
      <c r="G9088" s="0" t="n">
        <v>-251.1864</v>
      </c>
      <c r="H9088" s="0" t="n">
        <v>0.8</v>
      </c>
      <c r="I9088" s="7" t="n">
        <f aca="false">YEAR(B9088)</f>
        <v>2016</v>
      </c>
      <c r="J9088" s="0" t="str">
        <f aca="false">I9088&amp;"-Q"&amp;ROUNDUP(MONTH(B9088)/3,0)</f>
        <v>2016-Q3</v>
      </c>
    </row>
    <row r="9089" customFormat="false" ht="15" hidden="false" customHeight="false" outlineLevel="0" collapsed="false">
      <c r="A9089" s="0" t="s">
        <v>4629</v>
      </c>
      <c r="B9089" s="6" t="n">
        <v>42639</v>
      </c>
      <c r="C9089" s="7" t="s">
        <v>45</v>
      </c>
      <c r="D9089" s="7" t="s">
        <v>46</v>
      </c>
      <c r="E9089" s="7" t="s">
        <v>31</v>
      </c>
      <c r="F9089" s="0" t="n">
        <v>454.965</v>
      </c>
      <c r="G9089" s="0" t="n">
        <v>-136.4895</v>
      </c>
      <c r="H9089" s="0" t="n">
        <v>0.3</v>
      </c>
      <c r="I9089" s="7" t="n">
        <f aca="false">YEAR(B9089)</f>
        <v>2016</v>
      </c>
      <c r="J9089" s="0" t="str">
        <f aca="false">I9089&amp;"-Q"&amp;ROUNDUP(MONTH(B9089)/3,0)</f>
        <v>2016-Q3</v>
      </c>
    </row>
    <row r="9090" customFormat="false" ht="15" hidden="false" customHeight="false" outlineLevel="0" collapsed="false">
      <c r="A9090" s="0" t="s">
        <v>4630</v>
      </c>
      <c r="B9090" s="6" t="n">
        <v>42353</v>
      </c>
      <c r="C9090" s="7" t="s">
        <v>29</v>
      </c>
      <c r="D9090" s="7" t="s">
        <v>41</v>
      </c>
      <c r="E9090" s="7" t="s">
        <v>39</v>
      </c>
      <c r="F9090" s="0" t="n">
        <v>246.168</v>
      </c>
      <c r="G9090" s="0" t="n">
        <v>21.5397</v>
      </c>
      <c r="H9090" s="0" t="n">
        <v>0.2</v>
      </c>
      <c r="I9090" s="7" t="n">
        <f aca="false">YEAR(B9090)</f>
        <v>2015</v>
      </c>
      <c r="J9090" s="0" t="str">
        <f aca="false">I9090&amp;"-Q"&amp;ROUNDUP(MONTH(B9090)/3,0)</f>
        <v>2015-Q4</v>
      </c>
    </row>
    <row r="9091" customFormat="false" ht="15" hidden="false" customHeight="false" outlineLevel="0" collapsed="false">
      <c r="A9091" s="0" t="s">
        <v>4631</v>
      </c>
      <c r="B9091" s="6" t="n">
        <v>42630</v>
      </c>
      <c r="C9091" s="7" t="s">
        <v>55</v>
      </c>
      <c r="D9091" s="7" t="s">
        <v>116</v>
      </c>
      <c r="E9091" s="7" t="s">
        <v>35</v>
      </c>
      <c r="F9091" s="0" t="n">
        <v>295.4</v>
      </c>
      <c r="G9091" s="0" t="n">
        <v>-62.7725</v>
      </c>
      <c r="H9091" s="0" t="n">
        <v>0.2</v>
      </c>
      <c r="I9091" s="7" t="n">
        <f aca="false">YEAR(B9091)</f>
        <v>2016</v>
      </c>
      <c r="J9091" s="0" t="str">
        <f aca="false">I9091&amp;"-Q"&amp;ROUNDUP(MONTH(B9091)/3,0)</f>
        <v>2016-Q3</v>
      </c>
    </row>
    <row r="9092" customFormat="false" ht="15" hidden="false" customHeight="false" outlineLevel="0" collapsed="false">
      <c r="A9092" s="0" t="s">
        <v>4632</v>
      </c>
      <c r="B9092" s="6" t="n">
        <v>43021</v>
      </c>
      <c r="C9092" s="7" t="s">
        <v>29</v>
      </c>
      <c r="D9092" s="7" t="s">
        <v>30</v>
      </c>
      <c r="E9092" s="7" t="s">
        <v>35</v>
      </c>
      <c r="F9092" s="0" t="n">
        <v>348.56</v>
      </c>
      <c r="G9092" s="0" t="n">
        <v>104.568</v>
      </c>
      <c r="H9092" s="0" t="n">
        <v>0</v>
      </c>
      <c r="I9092" s="7" t="n">
        <f aca="false">YEAR(B9092)</f>
        <v>2017</v>
      </c>
      <c r="J9092" s="0" t="str">
        <f aca="false">I9092&amp;"-Q"&amp;ROUNDUP(MONTH(B9092)/3,0)</f>
        <v>2017-Q4</v>
      </c>
    </row>
    <row r="9093" customFormat="false" ht="15" hidden="false" customHeight="false" outlineLevel="0" collapsed="false">
      <c r="A9093" s="0" t="s">
        <v>4633</v>
      </c>
      <c r="B9093" s="6" t="n">
        <v>42183</v>
      </c>
      <c r="C9093" s="7" t="s">
        <v>55</v>
      </c>
      <c r="D9093" s="7" t="s">
        <v>116</v>
      </c>
      <c r="E9093" s="7" t="s">
        <v>35</v>
      </c>
      <c r="F9093" s="0" t="n">
        <v>15.552</v>
      </c>
      <c r="G9093" s="0" t="n">
        <v>5.4432</v>
      </c>
      <c r="H9093" s="0" t="n">
        <v>0.2</v>
      </c>
      <c r="I9093" s="7" t="n">
        <f aca="false">YEAR(B9093)</f>
        <v>2015</v>
      </c>
      <c r="J9093" s="0" t="str">
        <f aca="false">I9093&amp;"-Q"&amp;ROUNDUP(MONTH(B9093)/3,0)</f>
        <v>2015-Q2</v>
      </c>
    </row>
    <row r="9094" customFormat="false" ht="15" hidden="false" customHeight="false" outlineLevel="0" collapsed="false">
      <c r="A9094" s="0" t="s">
        <v>4633</v>
      </c>
      <c r="B9094" s="6" t="n">
        <v>42183</v>
      </c>
      <c r="C9094" s="7" t="s">
        <v>55</v>
      </c>
      <c r="D9094" s="7" t="s">
        <v>116</v>
      </c>
      <c r="E9094" s="7" t="s">
        <v>31</v>
      </c>
      <c r="F9094" s="0" t="n">
        <v>482.94</v>
      </c>
      <c r="G9094" s="0" t="n">
        <v>-376.6932</v>
      </c>
      <c r="H9094" s="0" t="n">
        <v>0.5</v>
      </c>
      <c r="I9094" s="7" t="n">
        <f aca="false">YEAR(B9094)</f>
        <v>2015</v>
      </c>
      <c r="J9094" s="0" t="str">
        <f aca="false">I9094&amp;"-Q"&amp;ROUNDUP(MONTH(B9094)/3,0)</f>
        <v>2015-Q2</v>
      </c>
    </row>
    <row r="9095" customFormat="false" ht="15" hidden="false" customHeight="false" outlineLevel="0" collapsed="false">
      <c r="A9095" s="0" t="s">
        <v>4634</v>
      </c>
      <c r="B9095" s="6" t="n">
        <v>42156</v>
      </c>
      <c r="C9095" s="7" t="s">
        <v>45</v>
      </c>
      <c r="D9095" s="7" t="s">
        <v>70</v>
      </c>
      <c r="E9095" s="7" t="s">
        <v>39</v>
      </c>
      <c r="F9095" s="0" t="n">
        <v>299.98</v>
      </c>
      <c r="G9095" s="0" t="n">
        <v>83.9944</v>
      </c>
      <c r="H9095" s="0" t="n">
        <v>0</v>
      </c>
      <c r="I9095" s="7" t="n">
        <f aca="false">YEAR(B9095)</f>
        <v>2015</v>
      </c>
      <c r="J9095" s="0" t="str">
        <f aca="false">I9095&amp;"-Q"&amp;ROUNDUP(MONTH(B9095)/3,0)</f>
        <v>2015-Q2</v>
      </c>
    </row>
    <row r="9096" customFormat="false" ht="15" hidden="false" customHeight="false" outlineLevel="0" collapsed="false">
      <c r="A9096" s="0" t="s">
        <v>4634</v>
      </c>
      <c r="B9096" s="6" t="n">
        <v>42156</v>
      </c>
      <c r="C9096" s="7" t="s">
        <v>45</v>
      </c>
      <c r="D9096" s="7" t="s">
        <v>70</v>
      </c>
      <c r="E9096" s="7" t="s">
        <v>35</v>
      </c>
      <c r="F9096" s="0" t="n">
        <v>403.68</v>
      </c>
      <c r="G9096" s="0" t="n">
        <v>181.656</v>
      </c>
      <c r="H9096" s="0" t="n">
        <v>0</v>
      </c>
      <c r="I9096" s="7" t="n">
        <f aca="false">YEAR(B9096)</f>
        <v>2015</v>
      </c>
      <c r="J9096" s="0" t="str">
        <f aca="false">I9096&amp;"-Q"&amp;ROUNDUP(MONTH(B9096)/3,0)</f>
        <v>2015-Q2</v>
      </c>
    </row>
    <row r="9097" customFormat="false" ht="15" hidden="false" customHeight="false" outlineLevel="0" collapsed="false">
      <c r="A9097" s="0" t="s">
        <v>4634</v>
      </c>
      <c r="B9097" s="6" t="n">
        <v>42156</v>
      </c>
      <c r="C9097" s="7" t="s">
        <v>45</v>
      </c>
      <c r="D9097" s="7" t="s">
        <v>70</v>
      </c>
      <c r="E9097" s="7" t="s">
        <v>39</v>
      </c>
      <c r="F9097" s="0" t="n">
        <v>41.9</v>
      </c>
      <c r="G9097" s="0" t="n">
        <v>11.732</v>
      </c>
      <c r="H9097" s="0" t="n">
        <v>0</v>
      </c>
      <c r="I9097" s="7" t="n">
        <f aca="false">YEAR(B9097)</f>
        <v>2015</v>
      </c>
      <c r="J9097" s="0" t="str">
        <f aca="false">I9097&amp;"-Q"&amp;ROUNDUP(MONTH(B9097)/3,0)</f>
        <v>2015-Q2</v>
      </c>
    </row>
    <row r="9098" customFormat="false" ht="15" hidden="false" customHeight="false" outlineLevel="0" collapsed="false">
      <c r="A9098" s="0" t="s">
        <v>4634</v>
      </c>
      <c r="B9098" s="6" t="n">
        <v>42156</v>
      </c>
      <c r="C9098" s="7" t="s">
        <v>45</v>
      </c>
      <c r="D9098" s="7" t="s">
        <v>70</v>
      </c>
      <c r="E9098" s="7" t="s">
        <v>35</v>
      </c>
      <c r="F9098" s="0" t="n">
        <v>28.91</v>
      </c>
      <c r="G9098" s="0" t="n">
        <v>13.2986</v>
      </c>
      <c r="H9098" s="0" t="n">
        <v>0</v>
      </c>
      <c r="I9098" s="7" t="n">
        <f aca="false">YEAR(B9098)</f>
        <v>2015</v>
      </c>
      <c r="J9098" s="0" t="str">
        <f aca="false">I9098&amp;"-Q"&amp;ROUNDUP(MONTH(B9098)/3,0)</f>
        <v>2015-Q2</v>
      </c>
    </row>
    <row r="9099" customFormat="false" ht="15" hidden="false" customHeight="false" outlineLevel="0" collapsed="false">
      <c r="A9099" s="0" t="s">
        <v>4635</v>
      </c>
      <c r="B9099" s="6" t="n">
        <v>41741</v>
      </c>
      <c r="C9099" s="7" t="s">
        <v>45</v>
      </c>
      <c r="D9099" s="7" t="s">
        <v>74</v>
      </c>
      <c r="E9099" s="7" t="s">
        <v>35</v>
      </c>
      <c r="F9099" s="0" t="n">
        <v>32.4</v>
      </c>
      <c r="G9099" s="0" t="n">
        <v>15.552</v>
      </c>
      <c r="H9099" s="0" t="n">
        <v>0</v>
      </c>
      <c r="I9099" s="7" t="n">
        <f aca="false">YEAR(B9099)</f>
        <v>2014</v>
      </c>
      <c r="J9099" s="0" t="str">
        <f aca="false">I9099&amp;"-Q"&amp;ROUNDUP(MONTH(B9099)/3,0)</f>
        <v>2014-Q2</v>
      </c>
    </row>
    <row r="9100" customFormat="false" ht="15" hidden="false" customHeight="false" outlineLevel="0" collapsed="false">
      <c r="A9100" s="0" t="s">
        <v>4636</v>
      </c>
      <c r="B9100" s="6" t="n">
        <v>43020</v>
      </c>
      <c r="C9100" s="7" t="s">
        <v>45</v>
      </c>
      <c r="D9100" s="7" t="s">
        <v>46</v>
      </c>
      <c r="E9100" s="7" t="s">
        <v>39</v>
      </c>
      <c r="F9100" s="0" t="n">
        <v>369.544</v>
      </c>
      <c r="G9100" s="0" t="n">
        <v>27.7158</v>
      </c>
      <c r="H9100" s="0" t="n">
        <v>0.2</v>
      </c>
      <c r="I9100" s="7" t="n">
        <f aca="false">YEAR(B9100)</f>
        <v>2017</v>
      </c>
      <c r="J9100" s="0" t="str">
        <f aca="false">I9100&amp;"-Q"&amp;ROUNDUP(MONTH(B9100)/3,0)</f>
        <v>2017-Q4</v>
      </c>
    </row>
    <row r="9101" customFormat="false" ht="15" hidden="false" customHeight="false" outlineLevel="0" collapsed="false">
      <c r="A9101" s="0" t="s">
        <v>4636</v>
      </c>
      <c r="B9101" s="6" t="n">
        <v>43020</v>
      </c>
      <c r="C9101" s="7" t="s">
        <v>45</v>
      </c>
      <c r="D9101" s="7" t="s">
        <v>46</v>
      </c>
      <c r="E9101" s="7" t="s">
        <v>35</v>
      </c>
      <c r="F9101" s="0" t="n">
        <v>10.368</v>
      </c>
      <c r="G9101" s="0" t="n">
        <v>3.7584</v>
      </c>
      <c r="H9101" s="0" t="n">
        <v>0.2</v>
      </c>
      <c r="I9101" s="7" t="n">
        <f aca="false">YEAR(B9101)</f>
        <v>2017</v>
      </c>
      <c r="J9101" s="0" t="str">
        <f aca="false">I9101&amp;"-Q"&amp;ROUNDUP(MONTH(B9101)/3,0)</f>
        <v>2017-Q4</v>
      </c>
    </row>
    <row r="9102" customFormat="false" ht="15" hidden="false" customHeight="false" outlineLevel="0" collapsed="false">
      <c r="A9102" s="0" t="s">
        <v>4636</v>
      </c>
      <c r="B9102" s="6" t="n">
        <v>43020</v>
      </c>
      <c r="C9102" s="7" t="s">
        <v>45</v>
      </c>
      <c r="D9102" s="7" t="s">
        <v>46</v>
      </c>
      <c r="E9102" s="7" t="s">
        <v>39</v>
      </c>
      <c r="F9102" s="0" t="n">
        <v>791.88</v>
      </c>
      <c r="G9102" s="0" t="n">
        <v>128.6805</v>
      </c>
      <c r="H9102" s="0" t="n">
        <v>0.2</v>
      </c>
      <c r="I9102" s="7" t="n">
        <f aca="false">YEAR(B9102)</f>
        <v>2017</v>
      </c>
      <c r="J9102" s="0" t="str">
        <f aca="false">I9102&amp;"-Q"&amp;ROUNDUP(MONTH(B9102)/3,0)</f>
        <v>2017-Q4</v>
      </c>
    </row>
    <row r="9103" customFormat="false" ht="15" hidden="false" customHeight="false" outlineLevel="0" collapsed="false">
      <c r="A9103" s="0" t="s">
        <v>4637</v>
      </c>
      <c r="B9103" s="6" t="n">
        <v>42315</v>
      </c>
      <c r="C9103" s="7" t="s">
        <v>45</v>
      </c>
      <c r="D9103" s="7" t="s">
        <v>46</v>
      </c>
      <c r="E9103" s="7" t="s">
        <v>35</v>
      </c>
      <c r="F9103" s="0" t="n">
        <v>23.64</v>
      </c>
      <c r="G9103" s="0" t="n">
        <v>5.319</v>
      </c>
      <c r="H9103" s="0" t="n">
        <v>0.2</v>
      </c>
      <c r="I9103" s="7" t="n">
        <f aca="false">YEAR(B9103)</f>
        <v>2015</v>
      </c>
      <c r="J9103" s="0" t="str">
        <f aca="false">I9103&amp;"-Q"&amp;ROUNDUP(MONTH(B9103)/3,0)</f>
        <v>2015-Q4</v>
      </c>
    </row>
    <row r="9104" customFormat="false" ht="15" hidden="false" customHeight="false" outlineLevel="0" collapsed="false">
      <c r="A9104" s="0" t="s">
        <v>4637</v>
      </c>
      <c r="B9104" s="6" t="n">
        <v>42315</v>
      </c>
      <c r="C9104" s="7" t="s">
        <v>45</v>
      </c>
      <c r="D9104" s="7" t="s">
        <v>46</v>
      </c>
      <c r="E9104" s="7" t="s">
        <v>35</v>
      </c>
      <c r="F9104" s="0" t="n">
        <v>84.784</v>
      </c>
      <c r="G9104" s="0" t="n">
        <v>-16.9568</v>
      </c>
      <c r="H9104" s="0" t="n">
        <v>0.2</v>
      </c>
      <c r="I9104" s="7" t="n">
        <f aca="false">YEAR(B9104)</f>
        <v>2015</v>
      </c>
      <c r="J9104" s="0" t="str">
        <f aca="false">I9104&amp;"-Q"&amp;ROUNDUP(MONTH(B9104)/3,0)</f>
        <v>2015-Q4</v>
      </c>
    </row>
    <row r="9105" customFormat="false" ht="15" hidden="false" customHeight="false" outlineLevel="0" collapsed="false">
      <c r="A9105" s="0" t="s">
        <v>4637</v>
      </c>
      <c r="B9105" s="6" t="n">
        <v>42315</v>
      </c>
      <c r="C9105" s="7" t="s">
        <v>45</v>
      </c>
      <c r="D9105" s="7" t="s">
        <v>46</v>
      </c>
      <c r="E9105" s="7" t="s">
        <v>31</v>
      </c>
      <c r="F9105" s="0" t="n">
        <v>64.96</v>
      </c>
      <c r="G9105" s="0" t="n">
        <v>-84.448</v>
      </c>
      <c r="H9105" s="0" t="n">
        <v>0.6</v>
      </c>
      <c r="I9105" s="7" t="n">
        <f aca="false">YEAR(B9105)</f>
        <v>2015</v>
      </c>
      <c r="J9105" s="0" t="str">
        <f aca="false">I9105&amp;"-Q"&amp;ROUNDUP(MONTH(B9105)/3,0)</f>
        <v>2015-Q4</v>
      </c>
    </row>
    <row r="9106" customFormat="false" ht="15" hidden="false" customHeight="false" outlineLevel="0" collapsed="false">
      <c r="A9106" s="0" t="s">
        <v>4637</v>
      </c>
      <c r="B9106" s="6" t="n">
        <v>42315</v>
      </c>
      <c r="C9106" s="7" t="s">
        <v>45</v>
      </c>
      <c r="D9106" s="7" t="s">
        <v>46</v>
      </c>
      <c r="E9106" s="7" t="s">
        <v>35</v>
      </c>
      <c r="F9106" s="0" t="n">
        <v>32.06</v>
      </c>
      <c r="G9106" s="0" t="n">
        <v>-51.296</v>
      </c>
      <c r="H9106" s="0" t="n">
        <v>0.8</v>
      </c>
      <c r="I9106" s="7" t="n">
        <f aca="false">YEAR(B9106)</f>
        <v>2015</v>
      </c>
      <c r="J9106" s="0" t="str">
        <f aca="false">I9106&amp;"-Q"&amp;ROUNDUP(MONTH(B9106)/3,0)</f>
        <v>2015-Q4</v>
      </c>
    </row>
    <row r="9107" customFormat="false" ht="15" hidden="false" customHeight="false" outlineLevel="0" collapsed="false">
      <c r="A9107" s="0" t="s">
        <v>4637</v>
      </c>
      <c r="B9107" s="6" t="n">
        <v>42315</v>
      </c>
      <c r="C9107" s="7" t="s">
        <v>45</v>
      </c>
      <c r="D9107" s="7" t="s">
        <v>46</v>
      </c>
      <c r="E9107" s="7" t="s">
        <v>35</v>
      </c>
      <c r="F9107" s="0" t="n">
        <v>177.648</v>
      </c>
      <c r="G9107" s="0" t="n">
        <v>-28.8678</v>
      </c>
      <c r="H9107" s="0" t="n">
        <v>0.2</v>
      </c>
      <c r="I9107" s="7" t="n">
        <f aca="false">YEAR(B9107)</f>
        <v>2015</v>
      </c>
      <c r="J9107" s="0" t="str">
        <f aca="false">I9107&amp;"-Q"&amp;ROUNDUP(MONTH(B9107)/3,0)</f>
        <v>2015-Q4</v>
      </c>
    </row>
    <row r="9108" customFormat="false" ht="15" hidden="false" customHeight="false" outlineLevel="0" collapsed="false">
      <c r="A9108" s="0" t="s">
        <v>4637</v>
      </c>
      <c r="B9108" s="6" t="n">
        <v>42315</v>
      </c>
      <c r="C9108" s="7" t="s">
        <v>45</v>
      </c>
      <c r="D9108" s="7" t="s">
        <v>46</v>
      </c>
      <c r="E9108" s="7" t="s">
        <v>39</v>
      </c>
      <c r="F9108" s="0" t="n">
        <v>287.91</v>
      </c>
      <c r="G9108" s="0" t="n">
        <v>33.5895</v>
      </c>
      <c r="H9108" s="0" t="n">
        <v>0.4</v>
      </c>
      <c r="I9108" s="7" t="n">
        <f aca="false">YEAR(B9108)</f>
        <v>2015</v>
      </c>
      <c r="J9108" s="0" t="str">
        <f aca="false">I9108&amp;"-Q"&amp;ROUNDUP(MONTH(B9108)/3,0)</f>
        <v>2015-Q4</v>
      </c>
    </row>
    <row r="9109" customFormat="false" ht="15" hidden="false" customHeight="false" outlineLevel="0" collapsed="false">
      <c r="A9109" s="0" t="s">
        <v>4638</v>
      </c>
      <c r="B9109" s="6" t="n">
        <v>42149</v>
      </c>
      <c r="C9109" s="7" t="s">
        <v>45</v>
      </c>
      <c r="D9109" s="7" t="s">
        <v>46</v>
      </c>
      <c r="E9109" s="7" t="s">
        <v>35</v>
      </c>
      <c r="F9109" s="0" t="n">
        <v>22.368</v>
      </c>
      <c r="G9109" s="0" t="n">
        <v>1.6776</v>
      </c>
      <c r="H9109" s="0" t="n">
        <v>0.2</v>
      </c>
      <c r="I9109" s="7" t="n">
        <f aca="false">YEAR(B9109)</f>
        <v>2015</v>
      </c>
      <c r="J9109" s="0" t="str">
        <f aca="false">I9109&amp;"-Q"&amp;ROUNDUP(MONTH(B9109)/3,0)</f>
        <v>2015-Q2</v>
      </c>
    </row>
    <row r="9110" customFormat="false" ht="15" hidden="false" customHeight="false" outlineLevel="0" collapsed="false">
      <c r="A9110" s="0" t="s">
        <v>4638</v>
      </c>
      <c r="B9110" s="6" t="n">
        <v>42149</v>
      </c>
      <c r="C9110" s="7" t="s">
        <v>45</v>
      </c>
      <c r="D9110" s="7" t="s">
        <v>46</v>
      </c>
      <c r="E9110" s="7" t="s">
        <v>35</v>
      </c>
      <c r="F9110" s="0" t="n">
        <v>32.368</v>
      </c>
      <c r="G9110" s="0" t="n">
        <v>11.7334</v>
      </c>
      <c r="H9110" s="0" t="n">
        <v>0.2</v>
      </c>
      <c r="I9110" s="7" t="n">
        <f aca="false">YEAR(B9110)</f>
        <v>2015</v>
      </c>
      <c r="J9110" s="0" t="str">
        <f aca="false">I9110&amp;"-Q"&amp;ROUNDUP(MONTH(B9110)/3,0)</f>
        <v>2015-Q2</v>
      </c>
    </row>
    <row r="9111" customFormat="false" ht="15" hidden="false" customHeight="false" outlineLevel="0" collapsed="false">
      <c r="A9111" s="0" t="s">
        <v>4638</v>
      </c>
      <c r="B9111" s="6" t="n">
        <v>42149</v>
      </c>
      <c r="C9111" s="7" t="s">
        <v>45</v>
      </c>
      <c r="D9111" s="7" t="s">
        <v>46</v>
      </c>
      <c r="E9111" s="7" t="s">
        <v>39</v>
      </c>
      <c r="F9111" s="0" t="n">
        <v>207.984</v>
      </c>
      <c r="G9111" s="0" t="n">
        <v>36.3972</v>
      </c>
      <c r="H9111" s="0" t="n">
        <v>0.2</v>
      </c>
      <c r="I9111" s="7" t="n">
        <f aca="false">YEAR(B9111)</f>
        <v>2015</v>
      </c>
      <c r="J9111" s="0" t="str">
        <f aca="false">I9111&amp;"-Q"&amp;ROUNDUP(MONTH(B9111)/3,0)</f>
        <v>2015-Q2</v>
      </c>
    </row>
    <row r="9112" customFormat="false" ht="15" hidden="false" customHeight="false" outlineLevel="0" collapsed="false">
      <c r="A9112" s="0" t="s">
        <v>4639</v>
      </c>
      <c r="B9112" s="6" t="n">
        <v>41925</v>
      </c>
      <c r="C9112" s="7" t="s">
        <v>29</v>
      </c>
      <c r="D9112" s="7" t="s">
        <v>83</v>
      </c>
      <c r="E9112" s="7" t="s">
        <v>35</v>
      </c>
      <c r="F9112" s="0" t="n">
        <v>36.4</v>
      </c>
      <c r="G9112" s="0" t="n">
        <v>17.472</v>
      </c>
      <c r="H9112" s="0" t="n">
        <v>0</v>
      </c>
      <c r="I9112" s="7" t="n">
        <f aca="false">YEAR(B9112)</f>
        <v>2014</v>
      </c>
      <c r="J9112" s="0" t="str">
        <f aca="false">I9112&amp;"-Q"&amp;ROUNDUP(MONTH(B9112)/3,0)</f>
        <v>2014-Q4</v>
      </c>
    </row>
    <row r="9113" customFormat="false" ht="15" hidden="false" customHeight="false" outlineLevel="0" collapsed="false">
      <c r="A9113" s="0" t="s">
        <v>4639</v>
      </c>
      <c r="B9113" s="6" t="n">
        <v>41925</v>
      </c>
      <c r="C9113" s="7" t="s">
        <v>29</v>
      </c>
      <c r="D9113" s="7" t="s">
        <v>83</v>
      </c>
      <c r="E9113" s="7" t="s">
        <v>39</v>
      </c>
      <c r="F9113" s="0" t="n">
        <v>22.96</v>
      </c>
      <c r="G9113" s="0" t="n">
        <v>4.3624</v>
      </c>
      <c r="H9113" s="0" t="n">
        <v>0</v>
      </c>
      <c r="I9113" s="7" t="n">
        <f aca="false">YEAR(B9113)</f>
        <v>2014</v>
      </c>
      <c r="J9113" s="0" t="str">
        <f aca="false">I9113&amp;"-Q"&amp;ROUNDUP(MONTH(B9113)/3,0)</f>
        <v>2014-Q4</v>
      </c>
    </row>
    <row r="9114" customFormat="false" ht="15" hidden="false" customHeight="false" outlineLevel="0" collapsed="false">
      <c r="A9114" s="0" t="s">
        <v>4639</v>
      </c>
      <c r="B9114" s="6" t="n">
        <v>41925</v>
      </c>
      <c r="C9114" s="7" t="s">
        <v>29</v>
      </c>
      <c r="D9114" s="7" t="s">
        <v>83</v>
      </c>
      <c r="E9114" s="7" t="s">
        <v>35</v>
      </c>
      <c r="F9114" s="0" t="n">
        <v>315.2</v>
      </c>
      <c r="G9114" s="0" t="n">
        <v>6.304</v>
      </c>
      <c r="H9114" s="0" t="n">
        <v>0</v>
      </c>
      <c r="I9114" s="7" t="n">
        <f aca="false">YEAR(B9114)</f>
        <v>2014</v>
      </c>
      <c r="J9114" s="0" t="str">
        <f aca="false">I9114&amp;"-Q"&amp;ROUNDUP(MONTH(B9114)/3,0)</f>
        <v>2014-Q4</v>
      </c>
    </row>
    <row r="9115" customFormat="false" ht="15" hidden="false" customHeight="false" outlineLevel="0" collapsed="false">
      <c r="A9115" s="0" t="s">
        <v>4639</v>
      </c>
      <c r="B9115" s="6" t="n">
        <v>41925</v>
      </c>
      <c r="C9115" s="7" t="s">
        <v>29</v>
      </c>
      <c r="D9115" s="7" t="s">
        <v>83</v>
      </c>
      <c r="E9115" s="7" t="s">
        <v>35</v>
      </c>
      <c r="F9115" s="0" t="n">
        <v>15.18</v>
      </c>
      <c r="G9115" s="0" t="n">
        <v>7.1346</v>
      </c>
      <c r="H9115" s="0" t="n">
        <v>0</v>
      </c>
      <c r="I9115" s="7" t="n">
        <f aca="false">YEAR(B9115)</f>
        <v>2014</v>
      </c>
      <c r="J9115" s="0" t="str">
        <f aca="false">I9115&amp;"-Q"&amp;ROUNDUP(MONTH(B9115)/3,0)</f>
        <v>2014-Q4</v>
      </c>
    </row>
    <row r="9116" customFormat="false" ht="15" hidden="false" customHeight="false" outlineLevel="0" collapsed="false">
      <c r="A9116" s="0" t="s">
        <v>4640</v>
      </c>
      <c r="B9116" s="6" t="n">
        <v>42407</v>
      </c>
      <c r="C9116" s="7" t="s">
        <v>33</v>
      </c>
      <c r="D9116" s="7" t="s">
        <v>34</v>
      </c>
      <c r="E9116" s="7" t="s">
        <v>39</v>
      </c>
      <c r="F9116" s="0" t="n">
        <v>623.96</v>
      </c>
      <c r="G9116" s="0" t="n">
        <v>38.9975</v>
      </c>
      <c r="H9116" s="0" t="n">
        <v>0.2</v>
      </c>
      <c r="I9116" s="7" t="n">
        <f aca="false">YEAR(B9116)</f>
        <v>2016</v>
      </c>
      <c r="J9116" s="0" t="str">
        <f aca="false">I9116&amp;"-Q"&amp;ROUNDUP(MONTH(B9116)/3,0)</f>
        <v>2016-Q1</v>
      </c>
    </row>
    <row r="9117" customFormat="false" ht="15" hidden="false" customHeight="false" outlineLevel="0" collapsed="false">
      <c r="A9117" s="0" t="s">
        <v>4641</v>
      </c>
      <c r="B9117" s="6" t="n">
        <v>42754</v>
      </c>
      <c r="C9117" s="7" t="s">
        <v>55</v>
      </c>
      <c r="D9117" s="7" t="s">
        <v>56</v>
      </c>
      <c r="E9117" s="7" t="s">
        <v>39</v>
      </c>
      <c r="F9117" s="0" t="n">
        <v>429.6</v>
      </c>
      <c r="G9117" s="0" t="n">
        <v>-93.08</v>
      </c>
      <c r="H9117" s="0" t="n">
        <v>0.4</v>
      </c>
      <c r="I9117" s="7" t="n">
        <f aca="false">YEAR(B9117)</f>
        <v>2017</v>
      </c>
      <c r="J9117" s="0" t="str">
        <f aca="false">I9117&amp;"-Q"&amp;ROUNDUP(MONTH(B9117)/3,0)</f>
        <v>2017-Q1</v>
      </c>
    </row>
    <row r="9118" customFormat="false" ht="15" hidden="false" customHeight="false" outlineLevel="0" collapsed="false">
      <c r="A9118" s="0" t="s">
        <v>4641</v>
      </c>
      <c r="B9118" s="6" t="n">
        <v>42754</v>
      </c>
      <c r="C9118" s="7" t="s">
        <v>55</v>
      </c>
      <c r="D9118" s="7" t="s">
        <v>56</v>
      </c>
      <c r="E9118" s="7" t="s">
        <v>31</v>
      </c>
      <c r="F9118" s="0" t="n">
        <v>31.968</v>
      </c>
      <c r="G9118" s="0" t="n">
        <v>6.3936</v>
      </c>
      <c r="H9118" s="0" t="n">
        <v>0.2</v>
      </c>
      <c r="I9118" s="7" t="n">
        <f aca="false">YEAR(B9118)</f>
        <v>2017</v>
      </c>
      <c r="J9118" s="0" t="str">
        <f aca="false">I9118&amp;"-Q"&amp;ROUNDUP(MONTH(B9118)/3,0)</f>
        <v>2017-Q1</v>
      </c>
    </row>
    <row r="9119" customFormat="false" ht="15" hidden="false" customHeight="false" outlineLevel="0" collapsed="false">
      <c r="A9119" s="0" t="s">
        <v>4641</v>
      </c>
      <c r="B9119" s="6" t="n">
        <v>42754</v>
      </c>
      <c r="C9119" s="7" t="s">
        <v>55</v>
      </c>
      <c r="D9119" s="7" t="s">
        <v>56</v>
      </c>
      <c r="E9119" s="7" t="s">
        <v>31</v>
      </c>
      <c r="F9119" s="0" t="n">
        <v>887.271</v>
      </c>
      <c r="G9119" s="0" t="n">
        <v>-63.3765</v>
      </c>
      <c r="H9119" s="0" t="n">
        <v>0.3</v>
      </c>
      <c r="I9119" s="7" t="n">
        <f aca="false">YEAR(B9119)</f>
        <v>2017</v>
      </c>
      <c r="J9119" s="0" t="str">
        <f aca="false">I9119&amp;"-Q"&amp;ROUNDUP(MONTH(B9119)/3,0)</f>
        <v>2017-Q1</v>
      </c>
    </row>
    <row r="9120" customFormat="false" ht="15" hidden="false" customHeight="false" outlineLevel="0" collapsed="false">
      <c r="A9120" s="0" t="s">
        <v>4641</v>
      </c>
      <c r="B9120" s="6" t="n">
        <v>42754</v>
      </c>
      <c r="C9120" s="7" t="s">
        <v>55</v>
      </c>
      <c r="D9120" s="7" t="s">
        <v>56</v>
      </c>
      <c r="E9120" s="7" t="s">
        <v>35</v>
      </c>
      <c r="F9120" s="0" t="n">
        <v>21.696</v>
      </c>
      <c r="G9120" s="0" t="n">
        <v>7.0512</v>
      </c>
      <c r="H9120" s="0" t="n">
        <v>0.2</v>
      </c>
      <c r="I9120" s="7" t="n">
        <f aca="false">YEAR(B9120)</f>
        <v>2017</v>
      </c>
      <c r="J9120" s="0" t="str">
        <f aca="false">I9120&amp;"-Q"&amp;ROUNDUP(MONTH(B9120)/3,0)</f>
        <v>2017-Q1</v>
      </c>
    </row>
    <row r="9121" customFormat="false" ht="15" hidden="false" customHeight="false" outlineLevel="0" collapsed="false">
      <c r="A9121" s="0" t="s">
        <v>4642</v>
      </c>
      <c r="B9121" s="6" t="n">
        <v>42527</v>
      </c>
      <c r="C9121" s="7" t="s">
        <v>33</v>
      </c>
      <c r="D9121" s="7" t="s">
        <v>34</v>
      </c>
      <c r="E9121" s="7" t="s">
        <v>35</v>
      </c>
      <c r="F9121" s="0" t="n">
        <v>22.05</v>
      </c>
      <c r="G9121" s="0" t="n">
        <v>10.584</v>
      </c>
      <c r="H9121" s="0" t="n">
        <v>0</v>
      </c>
      <c r="I9121" s="7" t="n">
        <f aca="false">YEAR(B9121)</f>
        <v>2016</v>
      </c>
      <c r="J9121" s="0" t="str">
        <f aca="false">I9121&amp;"-Q"&amp;ROUNDUP(MONTH(B9121)/3,0)</f>
        <v>2016-Q2</v>
      </c>
    </row>
    <row r="9122" customFormat="false" ht="15" hidden="false" customHeight="false" outlineLevel="0" collapsed="false">
      <c r="A9122" s="0" t="s">
        <v>4642</v>
      </c>
      <c r="B9122" s="6" t="n">
        <v>42527</v>
      </c>
      <c r="C9122" s="7" t="s">
        <v>33</v>
      </c>
      <c r="D9122" s="7" t="s">
        <v>34</v>
      </c>
      <c r="E9122" s="7" t="s">
        <v>35</v>
      </c>
      <c r="F9122" s="0" t="n">
        <v>99.9</v>
      </c>
      <c r="G9122" s="0" t="n">
        <v>46.953</v>
      </c>
      <c r="H9122" s="0" t="n">
        <v>0</v>
      </c>
      <c r="I9122" s="7" t="n">
        <f aca="false">YEAR(B9122)</f>
        <v>2016</v>
      </c>
      <c r="J9122" s="0" t="str">
        <f aca="false">I9122&amp;"-Q"&amp;ROUNDUP(MONTH(B9122)/3,0)</f>
        <v>2016-Q2</v>
      </c>
    </row>
    <row r="9123" customFormat="false" ht="15" hidden="false" customHeight="false" outlineLevel="0" collapsed="false">
      <c r="A9123" s="0" t="s">
        <v>4643</v>
      </c>
      <c r="B9123" s="6" t="n">
        <v>42812</v>
      </c>
      <c r="C9123" s="7" t="s">
        <v>33</v>
      </c>
      <c r="D9123" s="7" t="s">
        <v>34</v>
      </c>
      <c r="E9123" s="7" t="s">
        <v>35</v>
      </c>
      <c r="F9123" s="0" t="n">
        <v>90.86</v>
      </c>
      <c r="G9123" s="0" t="n">
        <v>26.3494</v>
      </c>
      <c r="H9123" s="0" t="n">
        <v>0</v>
      </c>
      <c r="I9123" s="7" t="n">
        <f aca="false">YEAR(B9123)</f>
        <v>2017</v>
      </c>
      <c r="J9123" s="0" t="str">
        <f aca="false">I9123&amp;"-Q"&amp;ROUNDUP(MONTH(B9123)/3,0)</f>
        <v>2017-Q1</v>
      </c>
    </row>
    <row r="9124" customFormat="false" ht="15" hidden="false" customHeight="false" outlineLevel="0" collapsed="false">
      <c r="A9124" s="0" t="s">
        <v>4644</v>
      </c>
      <c r="B9124" s="6" t="n">
        <v>43063</v>
      </c>
      <c r="C9124" s="7" t="s">
        <v>33</v>
      </c>
      <c r="D9124" s="7" t="s">
        <v>34</v>
      </c>
      <c r="E9124" s="7" t="s">
        <v>35</v>
      </c>
      <c r="F9124" s="0" t="n">
        <v>7.78</v>
      </c>
      <c r="G9124" s="0" t="n">
        <v>3.501</v>
      </c>
      <c r="H9124" s="0" t="n">
        <v>0</v>
      </c>
      <c r="I9124" s="7" t="n">
        <f aca="false">YEAR(B9124)</f>
        <v>2017</v>
      </c>
      <c r="J9124" s="0" t="str">
        <f aca="false">I9124&amp;"-Q"&amp;ROUNDUP(MONTH(B9124)/3,0)</f>
        <v>2017-Q4</v>
      </c>
    </row>
    <row r="9125" customFormat="false" ht="15" hidden="false" customHeight="false" outlineLevel="0" collapsed="false">
      <c r="A9125" s="0" t="s">
        <v>4645</v>
      </c>
      <c r="B9125" s="6" t="n">
        <v>42700</v>
      </c>
      <c r="C9125" s="7" t="s">
        <v>55</v>
      </c>
      <c r="D9125" s="7" t="s">
        <v>56</v>
      </c>
      <c r="E9125" s="7" t="s">
        <v>35</v>
      </c>
      <c r="F9125" s="0" t="n">
        <v>78.759</v>
      </c>
      <c r="G9125" s="0" t="n">
        <v>-57.7566</v>
      </c>
      <c r="H9125" s="0" t="n">
        <v>0.7</v>
      </c>
      <c r="I9125" s="7" t="n">
        <f aca="false">YEAR(B9125)</f>
        <v>2016</v>
      </c>
      <c r="J9125" s="0" t="str">
        <f aca="false">I9125&amp;"-Q"&amp;ROUNDUP(MONTH(B9125)/3,0)</f>
        <v>2016-Q4</v>
      </c>
    </row>
    <row r="9126" customFormat="false" ht="15" hidden="false" customHeight="false" outlineLevel="0" collapsed="false">
      <c r="A9126" s="0" t="s">
        <v>4646</v>
      </c>
      <c r="B9126" s="6" t="n">
        <v>42600</v>
      </c>
      <c r="C9126" s="7" t="s">
        <v>45</v>
      </c>
      <c r="D9126" s="7" t="s">
        <v>46</v>
      </c>
      <c r="E9126" s="7" t="s">
        <v>31</v>
      </c>
      <c r="F9126" s="0" t="n">
        <v>9.552</v>
      </c>
      <c r="G9126" s="0" t="n">
        <v>-3.8208</v>
      </c>
      <c r="H9126" s="0" t="n">
        <v>0.6</v>
      </c>
      <c r="I9126" s="7" t="n">
        <f aca="false">YEAR(B9126)</f>
        <v>2016</v>
      </c>
      <c r="J9126" s="0" t="str">
        <f aca="false">I9126&amp;"-Q"&amp;ROUNDUP(MONTH(B9126)/3,0)</f>
        <v>2016-Q3</v>
      </c>
    </row>
    <row r="9127" customFormat="false" ht="15" hidden="false" customHeight="false" outlineLevel="0" collapsed="false">
      <c r="A9127" s="0" t="s">
        <v>4646</v>
      </c>
      <c r="B9127" s="6" t="n">
        <v>42600</v>
      </c>
      <c r="C9127" s="7" t="s">
        <v>45</v>
      </c>
      <c r="D9127" s="7" t="s">
        <v>46</v>
      </c>
      <c r="E9127" s="7" t="s">
        <v>31</v>
      </c>
      <c r="F9127" s="0" t="n">
        <v>5.344</v>
      </c>
      <c r="G9127" s="0" t="n">
        <v>-2.1376</v>
      </c>
      <c r="H9127" s="0" t="n">
        <v>0.6</v>
      </c>
      <c r="I9127" s="7" t="n">
        <f aca="false">YEAR(B9127)</f>
        <v>2016</v>
      </c>
      <c r="J9127" s="0" t="str">
        <f aca="false">I9127&amp;"-Q"&amp;ROUNDUP(MONTH(B9127)/3,0)</f>
        <v>2016-Q3</v>
      </c>
    </row>
    <row r="9128" customFormat="false" ht="15" hidden="false" customHeight="false" outlineLevel="0" collapsed="false">
      <c r="A9128" s="0" t="s">
        <v>4647</v>
      </c>
      <c r="B9128" s="6" t="n">
        <v>42336</v>
      </c>
      <c r="C9128" s="7" t="s">
        <v>33</v>
      </c>
      <c r="D9128" s="7" t="s">
        <v>142</v>
      </c>
      <c r="E9128" s="7" t="s">
        <v>35</v>
      </c>
      <c r="F9128" s="0" t="n">
        <v>8.28</v>
      </c>
      <c r="G9128" s="0" t="n">
        <v>3.4776</v>
      </c>
      <c r="H9128" s="0" t="n">
        <v>0</v>
      </c>
      <c r="I9128" s="7" t="n">
        <f aca="false">YEAR(B9128)</f>
        <v>2015</v>
      </c>
      <c r="J9128" s="0" t="str">
        <f aca="false">I9128&amp;"-Q"&amp;ROUNDUP(MONTH(B9128)/3,0)</f>
        <v>2015-Q4</v>
      </c>
    </row>
    <row r="9129" customFormat="false" ht="15" hidden="false" customHeight="false" outlineLevel="0" collapsed="false">
      <c r="A9129" s="0" t="s">
        <v>4648</v>
      </c>
      <c r="B9129" s="6" t="n">
        <v>42880</v>
      </c>
      <c r="C9129" s="7" t="s">
        <v>45</v>
      </c>
      <c r="D9129" s="7" t="s">
        <v>46</v>
      </c>
      <c r="E9129" s="7" t="s">
        <v>35</v>
      </c>
      <c r="F9129" s="0" t="n">
        <v>50.136</v>
      </c>
      <c r="G9129" s="0" t="n">
        <v>-11.2806</v>
      </c>
      <c r="H9129" s="0" t="n">
        <v>0.2</v>
      </c>
      <c r="I9129" s="7" t="n">
        <f aca="false">YEAR(B9129)</f>
        <v>2017</v>
      </c>
      <c r="J9129" s="0" t="str">
        <f aca="false">I9129&amp;"-Q"&amp;ROUNDUP(MONTH(B9129)/3,0)</f>
        <v>2017-Q2</v>
      </c>
    </row>
    <row r="9130" customFormat="false" ht="15" hidden="false" customHeight="false" outlineLevel="0" collapsed="false">
      <c r="A9130" s="0" t="s">
        <v>4649</v>
      </c>
      <c r="B9130" s="6" t="n">
        <v>42982</v>
      </c>
      <c r="C9130" s="7" t="s">
        <v>33</v>
      </c>
      <c r="D9130" s="7" t="s">
        <v>102</v>
      </c>
      <c r="E9130" s="7" t="s">
        <v>35</v>
      </c>
      <c r="F9130" s="0" t="n">
        <v>88.074</v>
      </c>
      <c r="G9130" s="0" t="n">
        <v>-58.716</v>
      </c>
      <c r="H9130" s="0" t="n">
        <v>0.7</v>
      </c>
      <c r="I9130" s="7" t="n">
        <f aca="false">YEAR(B9130)</f>
        <v>2017</v>
      </c>
      <c r="J9130" s="0" t="str">
        <f aca="false">I9130&amp;"-Q"&amp;ROUNDUP(MONTH(B9130)/3,0)</f>
        <v>2017-Q3</v>
      </c>
    </row>
    <row r="9131" customFormat="false" ht="15" hidden="false" customHeight="false" outlineLevel="0" collapsed="false">
      <c r="A9131" s="0" t="s">
        <v>4650</v>
      </c>
      <c r="B9131" s="6" t="n">
        <v>42453</v>
      </c>
      <c r="C9131" s="7" t="s">
        <v>55</v>
      </c>
      <c r="D9131" s="7" t="s">
        <v>116</v>
      </c>
      <c r="E9131" s="7" t="s">
        <v>31</v>
      </c>
      <c r="F9131" s="0" t="n">
        <v>301.47</v>
      </c>
      <c r="G9131" s="0" t="n">
        <v>-241.176</v>
      </c>
      <c r="H9131" s="0" t="n">
        <v>0.5</v>
      </c>
      <c r="I9131" s="7" t="n">
        <f aca="false">YEAR(B9131)</f>
        <v>2016</v>
      </c>
      <c r="J9131" s="0" t="str">
        <f aca="false">I9131&amp;"-Q"&amp;ROUNDUP(MONTH(B9131)/3,0)</f>
        <v>2016-Q1</v>
      </c>
    </row>
    <row r="9132" customFormat="false" ht="15" hidden="false" customHeight="false" outlineLevel="0" collapsed="false">
      <c r="A9132" s="0" t="s">
        <v>4650</v>
      </c>
      <c r="B9132" s="6" t="n">
        <v>42453</v>
      </c>
      <c r="C9132" s="7" t="s">
        <v>55</v>
      </c>
      <c r="D9132" s="7" t="s">
        <v>116</v>
      </c>
      <c r="E9132" s="7" t="s">
        <v>35</v>
      </c>
      <c r="F9132" s="0" t="n">
        <v>18.656</v>
      </c>
      <c r="G9132" s="0" t="n">
        <v>1.6324</v>
      </c>
      <c r="H9132" s="0" t="n">
        <v>0.2</v>
      </c>
      <c r="I9132" s="7" t="n">
        <f aca="false">YEAR(B9132)</f>
        <v>2016</v>
      </c>
      <c r="J9132" s="0" t="str">
        <f aca="false">I9132&amp;"-Q"&amp;ROUNDUP(MONTH(B9132)/3,0)</f>
        <v>2016-Q1</v>
      </c>
    </row>
    <row r="9133" customFormat="false" ht="15" hidden="false" customHeight="false" outlineLevel="0" collapsed="false">
      <c r="A9133" s="0" t="s">
        <v>4651</v>
      </c>
      <c r="B9133" s="6" t="n">
        <v>42883</v>
      </c>
      <c r="C9133" s="7" t="s">
        <v>55</v>
      </c>
      <c r="D9133" s="7" t="s">
        <v>495</v>
      </c>
      <c r="E9133" s="7" t="s">
        <v>31</v>
      </c>
      <c r="F9133" s="0" t="n">
        <v>27.46</v>
      </c>
      <c r="G9133" s="0" t="n">
        <v>9.8856</v>
      </c>
      <c r="H9133" s="0" t="n">
        <v>0</v>
      </c>
      <c r="I9133" s="7" t="n">
        <f aca="false">YEAR(B9133)</f>
        <v>2017</v>
      </c>
      <c r="J9133" s="0" t="str">
        <f aca="false">I9133&amp;"-Q"&amp;ROUNDUP(MONTH(B9133)/3,0)</f>
        <v>2017-Q2</v>
      </c>
    </row>
    <row r="9134" customFormat="false" ht="15" hidden="false" customHeight="false" outlineLevel="0" collapsed="false">
      <c r="A9134" s="0" t="s">
        <v>4651</v>
      </c>
      <c r="B9134" s="6" t="n">
        <v>42883</v>
      </c>
      <c r="C9134" s="7" t="s">
        <v>55</v>
      </c>
      <c r="D9134" s="7" t="s">
        <v>495</v>
      </c>
      <c r="E9134" s="7" t="s">
        <v>35</v>
      </c>
      <c r="F9134" s="0" t="n">
        <v>125.13</v>
      </c>
      <c r="G9134" s="0" t="n">
        <v>36.2877</v>
      </c>
      <c r="H9134" s="0" t="n">
        <v>0</v>
      </c>
      <c r="I9134" s="7" t="n">
        <f aca="false">YEAR(B9134)</f>
        <v>2017</v>
      </c>
      <c r="J9134" s="0" t="str">
        <f aca="false">I9134&amp;"-Q"&amp;ROUNDUP(MONTH(B9134)/3,0)</f>
        <v>2017-Q2</v>
      </c>
    </row>
    <row r="9135" customFormat="false" ht="15" hidden="false" customHeight="false" outlineLevel="0" collapsed="false">
      <c r="A9135" s="0" t="s">
        <v>4652</v>
      </c>
      <c r="B9135" s="6" t="n">
        <v>42247</v>
      </c>
      <c r="C9135" s="7" t="s">
        <v>33</v>
      </c>
      <c r="D9135" s="7" t="s">
        <v>34</v>
      </c>
      <c r="E9135" s="7" t="s">
        <v>39</v>
      </c>
      <c r="F9135" s="0" t="n">
        <v>555.96</v>
      </c>
      <c r="G9135" s="0" t="n">
        <v>41.697</v>
      </c>
      <c r="H9135" s="0" t="n">
        <v>0.2</v>
      </c>
      <c r="I9135" s="7" t="n">
        <f aca="false">YEAR(B9135)</f>
        <v>2015</v>
      </c>
      <c r="J9135" s="0" t="str">
        <f aca="false">I9135&amp;"-Q"&amp;ROUNDUP(MONTH(B9135)/3,0)</f>
        <v>2015-Q3</v>
      </c>
    </row>
    <row r="9136" customFormat="false" ht="15" hidden="false" customHeight="false" outlineLevel="0" collapsed="false">
      <c r="A9136" s="0" t="s">
        <v>4653</v>
      </c>
      <c r="B9136" s="6" t="n">
        <v>42472</v>
      </c>
      <c r="C9136" s="7" t="s">
        <v>29</v>
      </c>
      <c r="D9136" s="7" t="s">
        <v>41</v>
      </c>
      <c r="E9136" s="7" t="s">
        <v>35</v>
      </c>
      <c r="F9136" s="0" t="n">
        <v>129.552</v>
      </c>
      <c r="G9136" s="0" t="n">
        <v>-22.6716</v>
      </c>
      <c r="H9136" s="0" t="n">
        <v>0.2</v>
      </c>
      <c r="I9136" s="7" t="n">
        <f aca="false">YEAR(B9136)</f>
        <v>2016</v>
      </c>
      <c r="J9136" s="0" t="str">
        <f aca="false">I9136&amp;"-Q"&amp;ROUNDUP(MONTH(B9136)/3,0)</f>
        <v>2016-Q2</v>
      </c>
    </row>
    <row r="9137" customFormat="false" ht="15" hidden="false" customHeight="false" outlineLevel="0" collapsed="false">
      <c r="A9137" s="0" t="s">
        <v>4653</v>
      </c>
      <c r="B9137" s="6" t="n">
        <v>42472</v>
      </c>
      <c r="C9137" s="7" t="s">
        <v>29</v>
      </c>
      <c r="D9137" s="7" t="s">
        <v>41</v>
      </c>
      <c r="E9137" s="7" t="s">
        <v>35</v>
      </c>
      <c r="F9137" s="0" t="n">
        <v>51.984</v>
      </c>
      <c r="G9137" s="0" t="n">
        <v>-5.1984</v>
      </c>
      <c r="H9137" s="0" t="n">
        <v>0.2</v>
      </c>
      <c r="I9137" s="7" t="n">
        <f aca="false">YEAR(B9137)</f>
        <v>2016</v>
      </c>
      <c r="J9137" s="0" t="str">
        <f aca="false">I9137&amp;"-Q"&amp;ROUNDUP(MONTH(B9137)/3,0)</f>
        <v>2016-Q2</v>
      </c>
    </row>
    <row r="9138" customFormat="false" ht="15" hidden="false" customHeight="false" outlineLevel="0" collapsed="false">
      <c r="A9138" s="0" t="s">
        <v>4653</v>
      </c>
      <c r="B9138" s="6" t="n">
        <v>42472</v>
      </c>
      <c r="C9138" s="7" t="s">
        <v>29</v>
      </c>
      <c r="D9138" s="7" t="s">
        <v>41</v>
      </c>
      <c r="E9138" s="7" t="s">
        <v>35</v>
      </c>
      <c r="F9138" s="0" t="n">
        <v>10.272</v>
      </c>
      <c r="G9138" s="0" t="n">
        <v>3.4668</v>
      </c>
      <c r="H9138" s="0" t="n">
        <v>0.2</v>
      </c>
      <c r="I9138" s="7" t="n">
        <f aca="false">YEAR(B9138)</f>
        <v>2016</v>
      </c>
      <c r="J9138" s="0" t="str">
        <f aca="false">I9138&amp;"-Q"&amp;ROUNDUP(MONTH(B9138)/3,0)</f>
        <v>2016-Q2</v>
      </c>
    </row>
    <row r="9139" customFormat="false" ht="15" hidden="false" customHeight="false" outlineLevel="0" collapsed="false">
      <c r="A9139" s="0" t="s">
        <v>4654</v>
      </c>
      <c r="B9139" s="6" t="n">
        <v>41672</v>
      </c>
      <c r="C9139" s="7" t="s">
        <v>29</v>
      </c>
      <c r="D9139" s="7" t="s">
        <v>37</v>
      </c>
      <c r="E9139" s="7" t="s">
        <v>35</v>
      </c>
      <c r="F9139" s="0" t="n">
        <v>18.336</v>
      </c>
      <c r="G9139" s="0" t="n">
        <v>-12.224</v>
      </c>
      <c r="H9139" s="0" t="n">
        <v>0.7</v>
      </c>
      <c r="I9139" s="7" t="n">
        <f aca="false">YEAR(B9139)</f>
        <v>2014</v>
      </c>
      <c r="J9139" s="0" t="str">
        <f aca="false">I9139&amp;"-Q"&amp;ROUNDUP(MONTH(B9139)/3,0)</f>
        <v>2014-Q1</v>
      </c>
    </row>
    <row r="9140" customFormat="false" ht="15" hidden="false" customHeight="false" outlineLevel="0" collapsed="false">
      <c r="A9140" s="0" t="s">
        <v>4654</v>
      </c>
      <c r="B9140" s="6" t="n">
        <v>41672</v>
      </c>
      <c r="C9140" s="7" t="s">
        <v>29</v>
      </c>
      <c r="D9140" s="7" t="s">
        <v>37</v>
      </c>
      <c r="E9140" s="7" t="s">
        <v>39</v>
      </c>
      <c r="F9140" s="0" t="n">
        <v>180.96</v>
      </c>
      <c r="G9140" s="0" t="n">
        <v>13.572</v>
      </c>
      <c r="H9140" s="0" t="n">
        <v>0.2</v>
      </c>
      <c r="I9140" s="7" t="n">
        <f aca="false">YEAR(B9140)</f>
        <v>2014</v>
      </c>
      <c r="J9140" s="0" t="str">
        <f aca="false">I9140&amp;"-Q"&amp;ROUNDUP(MONTH(B9140)/3,0)</f>
        <v>2014-Q1</v>
      </c>
    </row>
    <row r="9141" customFormat="false" ht="15" hidden="false" customHeight="false" outlineLevel="0" collapsed="false">
      <c r="A9141" s="0" t="s">
        <v>4655</v>
      </c>
      <c r="B9141" s="6" t="n">
        <v>41884</v>
      </c>
      <c r="C9141" s="7" t="s">
        <v>45</v>
      </c>
      <c r="D9141" s="7" t="s">
        <v>64</v>
      </c>
      <c r="E9141" s="7" t="s">
        <v>39</v>
      </c>
      <c r="F9141" s="0" t="n">
        <v>475.944</v>
      </c>
      <c r="G9141" s="0" t="n">
        <v>95.1888</v>
      </c>
      <c r="H9141" s="0" t="n">
        <v>0.2</v>
      </c>
      <c r="I9141" s="7" t="n">
        <f aca="false">YEAR(B9141)</f>
        <v>2014</v>
      </c>
      <c r="J9141" s="0" t="str">
        <f aca="false">I9141&amp;"-Q"&amp;ROUNDUP(MONTH(B9141)/3,0)</f>
        <v>2014-Q3</v>
      </c>
    </row>
    <row r="9142" customFormat="false" ht="15" hidden="false" customHeight="false" outlineLevel="0" collapsed="false">
      <c r="A9142" s="0" t="s">
        <v>4656</v>
      </c>
      <c r="B9142" s="6" t="n">
        <v>43008</v>
      </c>
      <c r="C9142" s="7" t="s">
        <v>33</v>
      </c>
      <c r="D9142" s="7" t="s">
        <v>34</v>
      </c>
      <c r="E9142" s="7" t="s">
        <v>39</v>
      </c>
      <c r="F9142" s="0" t="n">
        <v>159.98</v>
      </c>
      <c r="G9142" s="0" t="n">
        <v>47.994</v>
      </c>
      <c r="H9142" s="0" t="n">
        <v>0</v>
      </c>
      <c r="I9142" s="7" t="n">
        <f aca="false">YEAR(B9142)</f>
        <v>2017</v>
      </c>
      <c r="J9142" s="0" t="str">
        <f aca="false">I9142&amp;"-Q"&amp;ROUNDUP(MONTH(B9142)/3,0)</f>
        <v>2017-Q3</v>
      </c>
    </row>
    <row r="9143" customFormat="false" ht="15" hidden="false" customHeight="false" outlineLevel="0" collapsed="false">
      <c r="A9143" s="0" t="s">
        <v>4657</v>
      </c>
      <c r="B9143" s="6" t="n">
        <v>42618</v>
      </c>
      <c r="C9143" s="7" t="s">
        <v>55</v>
      </c>
      <c r="D9143" s="7" t="s">
        <v>76</v>
      </c>
      <c r="E9143" s="7" t="s">
        <v>39</v>
      </c>
      <c r="F9143" s="0" t="n">
        <v>43.6</v>
      </c>
      <c r="G9143" s="0" t="n">
        <v>12.208</v>
      </c>
      <c r="H9143" s="0" t="n">
        <v>0</v>
      </c>
      <c r="I9143" s="7" t="n">
        <f aca="false">YEAR(B9143)</f>
        <v>2016</v>
      </c>
      <c r="J9143" s="0" t="str">
        <f aca="false">I9143&amp;"-Q"&amp;ROUNDUP(MONTH(B9143)/3,0)</f>
        <v>2016-Q3</v>
      </c>
    </row>
    <row r="9144" customFormat="false" ht="15" hidden="false" customHeight="false" outlineLevel="0" collapsed="false">
      <c r="A9144" s="0" t="s">
        <v>4658</v>
      </c>
      <c r="B9144" s="6" t="n">
        <v>42875</v>
      </c>
      <c r="C9144" s="7" t="s">
        <v>33</v>
      </c>
      <c r="D9144" s="7" t="s">
        <v>248</v>
      </c>
      <c r="E9144" s="7" t="s">
        <v>35</v>
      </c>
      <c r="F9144" s="0" t="n">
        <v>8.288</v>
      </c>
      <c r="G9144" s="0" t="n">
        <v>3.0044</v>
      </c>
      <c r="H9144" s="0" t="n">
        <v>0.2</v>
      </c>
      <c r="I9144" s="7" t="n">
        <f aca="false">YEAR(B9144)</f>
        <v>2017</v>
      </c>
      <c r="J9144" s="0" t="str">
        <f aca="false">I9144&amp;"-Q"&amp;ROUNDUP(MONTH(B9144)/3,0)</f>
        <v>2017-Q2</v>
      </c>
    </row>
    <row r="9145" customFormat="false" ht="15" hidden="false" customHeight="false" outlineLevel="0" collapsed="false">
      <c r="A9145" s="0" t="s">
        <v>4658</v>
      </c>
      <c r="B9145" s="6" t="n">
        <v>42875</v>
      </c>
      <c r="C9145" s="7" t="s">
        <v>33</v>
      </c>
      <c r="D9145" s="7" t="s">
        <v>248</v>
      </c>
      <c r="E9145" s="7" t="s">
        <v>39</v>
      </c>
      <c r="F9145" s="0" t="n">
        <v>1123.128</v>
      </c>
      <c r="G9145" s="0" t="n">
        <v>70.1955</v>
      </c>
      <c r="H9145" s="0" t="n">
        <v>0.2</v>
      </c>
      <c r="I9145" s="7" t="n">
        <f aca="false">YEAR(B9145)</f>
        <v>2017</v>
      </c>
      <c r="J9145" s="0" t="str">
        <f aca="false">I9145&amp;"-Q"&amp;ROUNDUP(MONTH(B9145)/3,0)</f>
        <v>2017-Q2</v>
      </c>
    </row>
    <row r="9146" customFormat="false" ht="15" hidden="false" customHeight="false" outlineLevel="0" collapsed="false">
      <c r="A9146" s="0" t="s">
        <v>4658</v>
      </c>
      <c r="B9146" s="6" t="n">
        <v>42875</v>
      </c>
      <c r="C9146" s="7" t="s">
        <v>33</v>
      </c>
      <c r="D9146" s="7" t="s">
        <v>248</v>
      </c>
      <c r="E9146" s="7" t="s">
        <v>35</v>
      </c>
      <c r="F9146" s="0" t="n">
        <v>64.9</v>
      </c>
      <c r="G9146" s="0" t="n">
        <v>18.821</v>
      </c>
      <c r="H9146" s="0" t="n">
        <v>0</v>
      </c>
      <c r="I9146" s="7" t="n">
        <f aca="false">YEAR(B9146)</f>
        <v>2017</v>
      </c>
      <c r="J9146" s="0" t="str">
        <f aca="false">I9146&amp;"-Q"&amp;ROUNDUP(MONTH(B9146)/3,0)</f>
        <v>2017-Q2</v>
      </c>
    </row>
    <row r="9147" customFormat="false" ht="15" hidden="false" customHeight="false" outlineLevel="0" collapsed="false">
      <c r="A9147" s="0" t="s">
        <v>4659</v>
      </c>
      <c r="B9147" s="6" t="n">
        <v>42267</v>
      </c>
      <c r="C9147" s="7" t="s">
        <v>45</v>
      </c>
      <c r="D9147" s="7" t="s">
        <v>64</v>
      </c>
      <c r="E9147" s="7" t="s">
        <v>35</v>
      </c>
      <c r="F9147" s="0" t="n">
        <v>2.808</v>
      </c>
      <c r="G9147" s="0" t="n">
        <v>-4.4928</v>
      </c>
      <c r="H9147" s="0" t="n">
        <v>0.8</v>
      </c>
      <c r="I9147" s="7" t="n">
        <f aca="false">YEAR(B9147)</f>
        <v>2015</v>
      </c>
      <c r="J9147" s="0" t="str">
        <f aca="false">I9147&amp;"-Q"&amp;ROUNDUP(MONTH(B9147)/3,0)</f>
        <v>2015-Q3</v>
      </c>
    </row>
    <row r="9148" customFormat="false" ht="15" hidden="false" customHeight="false" outlineLevel="0" collapsed="false">
      <c r="A9148" s="0" t="s">
        <v>4660</v>
      </c>
      <c r="B9148" s="6" t="n">
        <v>42392</v>
      </c>
      <c r="C9148" s="7" t="s">
        <v>55</v>
      </c>
      <c r="D9148" s="7" t="s">
        <v>1173</v>
      </c>
      <c r="E9148" s="7" t="s">
        <v>39</v>
      </c>
      <c r="F9148" s="0" t="n">
        <v>99.98</v>
      </c>
      <c r="G9148" s="0" t="n">
        <v>42.9914</v>
      </c>
      <c r="H9148" s="0" t="n">
        <v>0</v>
      </c>
      <c r="I9148" s="7" t="n">
        <f aca="false">YEAR(B9148)</f>
        <v>2016</v>
      </c>
      <c r="J9148" s="0" t="str">
        <f aca="false">I9148&amp;"-Q"&amp;ROUNDUP(MONTH(B9148)/3,0)</f>
        <v>2016-Q1</v>
      </c>
    </row>
    <row r="9149" customFormat="false" ht="15" hidden="false" customHeight="false" outlineLevel="0" collapsed="false">
      <c r="A9149" s="0" t="s">
        <v>4660</v>
      </c>
      <c r="B9149" s="6" t="n">
        <v>42392</v>
      </c>
      <c r="C9149" s="7" t="s">
        <v>55</v>
      </c>
      <c r="D9149" s="7" t="s">
        <v>1173</v>
      </c>
      <c r="E9149" s="7" t="s">
        <v>35</v>
      </c>
      <c r="F9149" s="0" t="n">
        <v>8.04</v>
      </c>
      <c r="G9149" s="0" t="n">
        <v>2.7336</v>
      </c>
      <c r="H9149" s="0" t="n">
        <v>0</v>
      </c>
      <c r="I9149" s="7" t="n">
        <f aca="false">YEAR(B9149)</f>
        <v>2016</v>
      </c>
      <c r="J9149" s="0" t="str">
        <f aca="false">I9149&amp;"-Q"&amp;ROUNDUP(MONTH(B9149)/3,0)</f>
        <v>2016-Q1</v>
      </c>
    </row>
    <row r="9150" customFormat="false" ht="15" hidden="false" customHeight="false" outlineLevel="0" collapsed="false">
      <c r="A9150" s="0" t="s">
        <v>4660</v>
      </c>
      <c r="B9150" s="6" t="n">
        <v>42392</v>
      </c>
      <c r="C9150" s="7" t="s">
        <v>55</v>
      </c>
      <c r="D9150" s="7" t="s">
        <v>1173</v>
      </c>
      <c r="E9150" s="7" t="s">
        <v>35</v>
      </c>
      <c r="F9150" s="0" t="n">
        <v>1564.29</v>
      </c>
      <c r="G9150" s="0" t="n">
        <v>406.7154</v>
      </c>
      <c r="H9150" s="0" t="n">
        <v>0</v>
      </c>
      <c r="I9150" s="7" t="n">
        <f aca="false">YEAR(B9150)</f>
        <v>2016</v>
      </c>
      <c r="J9150" s="0" t="str">
        <f aca="false">I9150&amp;"-Q"&amp;ROUNDUP(MONTH(B9150)/3,0)</f>
        <v>2016-Q1</v>
      </c>
    </row>
    <row r="9151" customFormat="false" ht="15" hidden="false" customHeight="false" outlineLevel="0" collapsed="false">
      <c r="A9151" s="0" t="s">
        <v>4661</v>
      </c>
      <c r="B9151" s="6" t="n">
        <v>41791</v>
      </c>
      <c r="C9151" s="7" t="s">
        <v>45</v>
      </c>
      <c r="D9151" s="7" t="s">
        <v>70</v>
      </c>
      <c r="E9151" s="7" t="s">
        <v>35</v>
      </c>
      <c r="F9151" s="0" t="n">
        <v>138.56</v>
      </c>
      <c r="G9151" s="0" t="n">
        <v>66.5088</v>
      </c>
      <c r="H9151" s="0" t="n">
        <v>0</v>
      </c>
      <c r="I9151" s="7" t="n">
        <f aca="false">YEAR(B9151)</f>
        <v>2014</v>
      </c>
      <c r="J9151" s="0" t="str">
        <f aca="false">I9151&amp;"-Q"&amp;ROUNDUP(MONTH(B9151)/3,0)</f>
        <v>2014-Q2</v>
      </c>
    </row>
    <row r="9152" customFormat="false" ht="15" hidden="false" customHeight="false" outlineLevel="0" collapsed="false">
      <c r="A9152" s="0" t="s">
        <v>4661</v>
      </c>
      <c r="B9152" s="6" t="n">
        <v>41791</v>
      </c>
      <c r="C9152" s="7" t="s">
        <v>45</v>
      </c>
      <c r="D9152" s="7" t="s">
        <v>70</v>
      </c>
      <c r="E9152" s="7" t="s">
        <v>35</v>
      </c>
      <c r="F9152" s="0" t="n">
        <v>65.52</v>
      </c>
      <c r="G9152" s="0" t="n">
        <v>12.376</v>
      </c>
      <c r="H9152" s="0" t="n">
        <v>0.1</v>
      </c>
      <c r="I9152" s="7" t="n">
        <f aca="false">YEAR(B9152)</f>
        <v>2014</v>
      </c>
      <c r="J9152" s="0" t="str">
        <f aca="false">I9152&amp;"-Q"&amp;ROUNDUP(MONTH(B9152)/3,0)</f>
        <v>2014-Q2</v>
      </c>
    </row>
    <row r="9153" customFormat="false" ht="15" hidden="false" customHeight="false" outlineLevel="0" collapsed="false">
      <c r="A9153" s="0" t="s">
        <v>4662</v>
      </c>
      <c r="B9153" s="6" t="n">
        <v>42271</v>
      </c>
      <c r="C9153" s="7" t="s">
        <v>33</v>
      </c>
      <c r="D9153" s="7" t="s">
        <v>81</v>
      </c>
      <c r="E9153" s="7" t="s">
        <v>35</v>
      </c>
      <c r="F9153" s="0" t="n">
        <v>14.576</v>
      </c>
      <c r="G9153" s="0" t="n">
        <v>2.3686</v>
      </c>
      <c r="H9153" s="0" t="n">
        <v>0.2</v>
      </c>
      <c r="I9153" s="7" t="n">
        <f aca="false">YEAR(B9153)</f>
        <v>2015</v>
      </c>
      <c r="J9153" s="0" t="str">
        <f aca="false">I9153&amp;"-Q"&amp;ROUNDUP(MONTH(B9153)/3,0)</f>
        <v>2015-Q3</v>
      </c>
    </row>
    <row r="9154" customFormat="false" ht="15" hidden="false" customHeight="false" outlineLevel="0" collapsed="false">
      <c r="A9154" s="0" t="s">
        <v>4662</v>
      </c>
      <c r="B9154" s="6" t="n">
        <v>42271</v>
      </c>
      <c r="C9154" s="7" t="s">
        <v>33</v>
      </c>
      <c r="D9154" s="7" t="s">
        <v>81</v>
      </c>
      <c r="E9154" s="7" t="s">
        <v>39</v>
      </c>
      <c r="F9154" s="0" t="n">
        <v>23.2</v>
      </c>
      <c r="G9154" s="0" t="n">
        <v>1.45</v>
      </c>
      <c r="H9154" s="0" t="n">
        <v>0.2</v>
      </c>
      <c r="I9154" s="7" t="n">
        <f aca="false">YEAR(B9154)</f>
        <v>2015</v>
      </c>
      <c r="J9154" s="0" t="str">
        <f aca="false">I9154&amp;"-Q"&amp;ROUNDUP(MONTH(B9154)/3,0)</f>
        <v>2015-Q3</v>
      </c>
    </row>
    <row r="9155" customFormat="false" ht="15" hidden="false" customHeight="false" outlineLevel="0" collapsed="false">
      <c r="A9155" s="0" t="s">
        <v>4662</v>
      </c>
      <c r="B9155" s="6" t="n">
        <v>42271</v>
      </c>
      <c r="C9155" s="7" t="s">
        <v>33</v>
      </c>
      <c r="D9155" s="7" t="s">
        <v>81</v>
      </c>
      <c r="E9155" s="7" t="s">
        <v>35</v>
      </c>
      <c r="F9155" s="0" t="n">
        <v>16.464</v>
      </c>
      <c r="G9155" s="0" t="n">
        <v>1.8522</v>
      </c>
      <c r="H9155" s="0" t="n">
        <v>0.2</v>
      </c>
      <c r="I9155" s="7" t="n">
        <f aca="false">YEAR(B9155)</f>
        <v>2015</v>
      </c>
      <c r="J9155" s="0" t="str">
        <f aca="false">I9155&amp;"-Q"&amp;ROUNDUP(MONTH(B9155)/3,0)</f>
        <v>2015-Q3</v>
      </c>
    </row>
    <row r="9156" customFormat="false" ht="15" hidden="false" customHeight="false" outlineLevel="0" collapsed="false">
      <c r="A9156" s="0" t="s">
        <v>4663</v>
      </c>
      <c r="B9156" s="6" t="n">
        <v>42583</v>
      </c>
      <c r="C9156" s="7" t="s">
        <v>55</v>
      </c>
      <c r="D9156" s="7" t="s">
        <v>56</v>
      </c>
      <c r="E9156" s="7" t="s">
        <v>31</v>
      </c>
      <c r="F9156" s="0" t="n">
        <v>19.312</v>
      </c>
      <c r="G9156" s="0" t="n">
        <v>3.1382</v>
      </c>
      <c r="H9156" s="0" t="n">
        <v>0.2</v>
      </c>
      <c r="I9156" s="7" t="n">
        <f aca="false">YEAR(B9156)</f>
        <v>2016</v>
      </c>
      <c r="J9156" s="0" t="str">
        <f aca="false">I9156&amp;"-Q"&amp;ROUNDUP(MONTH(B9156)/3,0)</f>
        <v>2016-Q3</v>
      </c>
    </row>
    <row r="9157" customFormat="false" ht="15" hidden="false" customHeight="false" outlineLevel="0" collapsed="false">
      <c r="A9157" s="0" t="s">
        <v>4664</v>
      </c>
      <c r="B9157" s="6" t="n">
        <v>41662</v>
      </c>
      <c r="C9157" s="7" t="s">
        <v>33</v>
      </c>
      <c r="D9157" s="7" t="s">
        <v>248</v>
      </c>
      <c r="E9157" s="7" t="s">
        <v>35</v>
      </c>
      <c r="F9157" s="0" t="n">
        <v>40.08</v>
      </c>
      <c r="G9157" s="0" t="n">
        <v>19.2384</v>
      </c>
      <c r="H9157" s="0" t="n">
        <v>0</v>
      </c>
      <c r="I9157" s="7" t="n">
        <f aca="false">YEAR(B9157)</f>
        <v>2014</v>
      </c>
      <c r="J9157" s="0" t="str">
        <f aca="false">I9157&amp;"-Q"&amp;ROUNDUP(MONTH(B9157)/3,0)</f>
        <v>2014-Q1</v>
      </c>
    </row>
    <row r="9158" customFormat="false" ht="15" hidden="false" customHeight="false" outlineLevel="0" collapsed="false">
      <c r="A9158" s="0" t="s">
        <v>4665</v>
      </c>
      <c r="B9158" s="6" t="n">
        <v>41855</v>
      </c>
      <c r="C9158" s="7" t="s">
        <v>55</v>
      </c>
      <c r="D9158" s="7" t="s">
        <v>1184</v>
      </c>
      <c r="E9158" s="7" t="s">
        <v>35</v>
      </c>
      <c r="F9158" s="0" t="n">
        <v>101.96</v>
      </c>
      <c r="G9158" s="0" t="n">
        <v>27.5292</v>
      </c>
      <c r="H9158" s="0" t="n">
        <v>0</v>
      </c>
      <c r="I9158" s="7" t="n">
        <f aca="false">YEAR(B9158)</f>
        <v>2014</v>
      </c>
      <c r="J9158" s="0" t="str">
        <f aca="false">I9158&amp;"-Q"&amp;ROUNDUP(MONTH(B9158)/3,0)</f>
        <v>2014-Q3</v>
      </c>
    </row>
    <row r="9159" customFormat="false" ht="15" hidden="false" customHeight="false" outlineLevel="0" collapsed="false">
      <c r="A9159" s="0" t="s">
        <v>4665</v>
      </c>
      <c r="B9159" s="6" t="n">
        <v>41855</v>
      </c>
      <c r="C9159" s="7" t="s">
        <v>55</v>
      </c>
      <c r="D9159" s="7" t="s">
        <v>1184</v>
      </c>
      <c r="E9159" s="7" t="s">
        <v>35</v>
      </c>
      <c r="F9159" s="0" t="n">
        <v>259.74</v>
      </c>
      <c r="G9159" s="0" t="n">
        <v>124.6752</v>
      </c>
      <c r="H9159" s="0" t="n">
        <v>0</v>
      </c>
      <c r="I9159" s="7" t="n">
        <f aca="false">YEAR(B9159)</f>
        <v>2014</v>
      </c>
      <c r="J9159" s="0" t="str">
        <f aca="false">I9159&amp;"-Q"&amp;ROUNDUP(MONTH(B9159)/3,0)</f>
        <v>2014-Q3</v>
      </c>
    </row>
    <row r="9160" customFormat="false" ht="15" hidden="false" customHeight="false" outlineLevel="0" collapsed="false">
      <c r="A9160" s="0" t="s">
        <v>4665</v>
      </c>
      <c r="B9160" s="6" t="n">
        <v>41855</v>
      </c>
      <c r="C9160" s="7" t="s">
        <v>55</v>
      </c>
      <c r="D9160" s="7" t="s">
        <v>1184</v>
      </c>
      <c r="E9160" s="7" t="s">
        <v>39</v>
      </c>
      <c r="F9160" s="0" t="n">
        <v>255.42</v>
      </c>
      <c r="G9160" s="0" t="n">
        <v>104.7222</v>
      </c>
      <c r="H9160" s="0" t="n">
        <v>0</v>
      </c>
      <c r="I9160" s="7" t="n">
        <f aca="false">YEAR(B9160)</f>
        <v>2014</v>
      </c>
      <c r="J9160" s="0" t="str">
        <f aca="false">I9160&amp;"-Q"&amp;ROUNDUP(MONTH(B9160)/3,0)</f>
        <v>2014-Q3</v>
      </c>
    </row>
    <row r="9161" customFormat="false" ht="15" hidden="false" customHeight="false" outlineLevel="0" collapsed="false">
      <c r="A9161" s="0" t="s">
        <v>4666</v>
      </c>
      <c r="B9161" s="6" t="n">
        <v>42591</v>
      </c>
      <c r="C9161" s="7" t="s">
        <v>29</v>
      </c>
      <c r="D9161" s="7" t="s">
        <v>87</v>
      </c>
      <c r="E9161" s="7" t="s">
        <v>35</v>
      </c>
      <c r="F9161" s="0" t="n">
        <v>4.338</v>
      </c>
      <c r="G9161" s="0" t="n">
        <v>-3.0366</v>
      </c>
      <c r="H9161" s="0" t="n">
        <v>0.7</v>
      </c>
      <c r="I9161" s="7" t="n">
        <f aca="false">YEAR(B9161)</f>
        <v>2016</v>
      </c>
      <c r="J9161" s="0" t="str">
        <f aca="false">I9161&amp;"-Q"&amp;ROUNDUP(MONTH(B9161)/3,0)</f>
        <v>2016-Q3</v>
      </c>
    </row>
    <row r="9162" customFormat="false" ht="15" hidden="false" customHeight="false" outlineLevel="0" collapsed="false">
      <c r="A9162" s="0" t="s">
        <v>4666</v>
      </c>
      <c r="B9162" s="6" t="n">
        <v>42591</v>
      </c>
      <c r="C9162" s="7" t="s">
        <v>29</v>
      </c>
      <c r="D9162" s="7" t="s">
        <v>87</v>
      </c>
      <c r="E9162" s="7" t="s">
        <v>35</v>
      </c>
      <c r="F9162" s="0" t="n">
        <v>11.88</v>
      </c>
      <c r="G9162" s="0" t="n">
        <v>-7.92</v>
      </c>
      <c r="H9162" s="0" t="n">
        <v>0.7</v>
      </c>
      <c r="I9162" s="7" t="n">
        <f aca="false">YEAR(B9162)</f>
        <v>2016</v>
      </c>
      <c r="J9162" s="0" t="str">
        <f aca="false">I9162&amp;"-Q"&amp;ROUNDUP(MONTH(B9162)/3,0)</f>
        <v>2016-Q3</v>
      </c>
    </row>
    <row r="9163" customFormat="false" ht="15" hidden="false" customHeight="false" outlineLevel="0" collapsed="false">
      <c r="A9163" s="0" t="s">
        <v>4667</v>
      </c>
      <c r="B9163" s="6" t="n">
        <v>42712</v>
      </c>
      <c r="C9163" s="7" t="s">
        <v>45</v>
      </c>
      <c r="D9163" s="7" t="s">
        <v>48</v>
      </c>
      <c r="E9163" s="7" t="s">
        <v>31</v>
      </c>
      <c r="F9163" s="0" t="n">
        <v>405.86</v>
      </c>
      <c r="G9163" s="0" t="n">
        <v>32.4688</v>
      </c>
      <c r="H9163" s="0" t="n">
        <v>0</v>
      </c>
      <c r="I9163" s="7" t="n">
        <f aca="false">YEAR(B9163)</f>
        <v>2016</v>
      </c>
      <c r="J9163" s="0" t="str">
        <f aca="false">I9163&amp;"-Q"&amp;ROUNDUP(MONTH(B9163)/3,0)</f>
        <v>2016-Q4</v>
      </c>
    </row>
    <row r="9164" customFormat="false" ht="15" hidden="false" customHeight="false" outlineLevel="0" collapsed="false">
      <c r="A9164" s="0" t="s">
        <v>4667</v>
      </c>
      <c r="B9164" s="6" t="n">
        <v>42712</v>
      </c>
      <c r="C9164" s="7" t="s">
        <v>45</v>
      </c>
      <c r="D9164" s="7" t="s">
        <v>48</v>
      </c>
      <c r="E9164" s="7" t="s">
        <v>31</v>
      </c>
      <c r="F9164" s="0" t="n">
        <v>680.01</v>
      </c>
      <c r="G9164" s="0" t="n">
        <v>176.8026</v>
      </c>
      <c r="H9164" s="0" t="n">
        <v>0</v>
      </c>
      <c r="I9164" s="7" t="n">
        <f aca="false">YEAR(B9164)</f>
        <v>2016</v>
      </c>
      <c r="J9164" s="0" t="str">
        <f aca="false">I9164&amp;"-Q"&amp;ROUNDUP(MONTH(B9164)/3,0)</f>
        <v>2016-Q4</v>
      </c>
    </row>
    <row r="9165" customFormat="false" ht="15" hidden="false" customHeight="false" outlineLevel="0" collapsed="false">
      <c r="A9165" s="0" t="s">
        <v>4668</v>
      </c>
      <c r="B9165" s="6" t="n">
        <v>42163</v>
      </c>
      <c r="C9165" s="7" t="s">
        <v>45</v>
      </c>
      <c r="D9165" s="7" t="s">
        <v>64</v>
      </c>
      <c r="E9165" s="7" t="s">
        <v>39</v>
      </c>
      <c r="F9165" s="0" t="n">
        <v>2.376</v>
      </c>
      <c r="G9165" s="0" t="n">
        <v>0.7425</v>
      </c>
      <c r="H9165" s="0" t="n">
        <v>0.2</v>
      </c>
      <c r="I9165" s="7" t="n">
        <f aca="false">YEAR(B9165)</f>
        <v>2015</v>
      </c>
      <c r="J9165" s="0" t="str">
        <f aca="false">I9165&amp;"-Q"&amp;ROUNDUP(MONTH(B9165)/3,0)</f>
        <v>2015-Q2</v>
      </c>
    </row>
    <row r="9166" customFormat="false" ht="15" hidden="false" customHeight="false" outlineLevel="0" collapsed="false">
      <c r="A9166" s="0" t="s">
        <v>4668</v>
      </c>
      <c r="B9166" s="6" t="n">
        <v>42163</v>
      </c>
      <c r="C9166" s="7" t="s">
        <v>45</v>
      </c>
      <c r="D9166" s="7" t="s">
        <v>64</v>
      </c>
      <c r="E9166" s="7" t="s">
        <v>35</v>
      </c>
      <c r="F9166" s="0" t="n">
        <v>143.128</v>
      </c>
      <c r="G9166" s="0" t="n">
        <v>-393.602</v>
      </c>
      <c r="H9166" s="0" t="n">
        <v>0.8</v>
      </c>
      <c r="I9166" s="7" t="n">
        <f aca="false">YEAR(B9166)</f>
        <v>2015</v>
      </c>
      <c r="J9166" s="0" t="str">
        <f aca="false">I9166&amp;"-Q"&amp;ROUNDUP(MONTH(B9166)/3,0)</f>
        <v>2015-Q2</v>
      </c>
    </row>
    <row r="9167" customFormat="false" ht="15" hidden="false" customHeight="false" outlineLevel="0" collapsed="false">
      <c r="A9167" s="0" t="s">
        <v>4669</v>
      </c>
      <c r="B9167" s="6" t="n">
        <v>42545</v>
      </c>
      <c r="C9167" s="7" t="s">
        <v>33</v>
      </c>
      <c r="D9167" s="7" t="s">
        <v>34</v>
      </c>
      <c r="E9167" s="7" t="s">
        <v>39</v>
      </c>
      <c r="F9167" s="0" t="n">
        <v>4476.8</v>
      </c>
      <c r="G9167" s="0" t="n">
        <v>503.64</v>
      </c>
      <c r="H9167" s="0" t="n">
        <v>0.2</v>
      </c>
      <c r="I9167" s="7" t="n">
        <f aca="false">YEAR(B9167)</f>
        <v>2016</v>
      </c>
      <c r="J9167" s="0" t="str">
        <f aca="false">I9167&amp;"-Q"&amp;ROUNDUP(MONTH(B9167)/3,0)</f>
        <v>2016-Q2</v>
      </c>
    </row>
    <row r="9168" customFormat="false" ht="15" hidden="false" customHeight="false" outlineLevel="0" collapsed="false">
      <c r="A9168" s="0" t="s">
        <v>4669</v>
      </c>
      <c r="B9168" s="6" t="n">
        <v>42545</v>
      </c>
      <c r="C9168" s="7" t="s">
        <v>33</v>
      </c>
      <c r="D9168" s="7" t="s">
        <v>34</v>
      </c>
      <c r="E9168" s="7" t="s">
        <v>35</v>
      </c>
      <c r="F9168" s="0" t="n">
        <v>104.85</v>
      </c>
      <c r="G9168" s="0" t="n">
        <v>50.328</v>
      </c>
      <c r="H9168" s="0" t="n">
        <v>0</v>
      </c>
      <c r="I9168" s="7" t="n">
        <f aca="false">YEAR(B9168)</f>
        <v>2016</v>
      </c>
      <c r="J9168" s="0" t="str">
        <f aca="false">I9168&amp;"-Q"&amp;ROUNDUP(MONTH(B9168)/3,0)</f>
        <v>2016-Q2</v>
      </c>
    </row>
    <row r="9169" customFormat="false" ht="15" hidden="false" customHeight="false" outlineLevel="0" collapsed="false">
      <c r="A9169" s="0" t="s">
        <v>4669</v>
      </c>
      <c r="B9169" s="6" t="n">
        <v>42545</v>
      </c>
      <c r="C9169" s="7" t="s">
        <v>33</v>
      </c>
      <c r="D9169" s="7" t="s">
        <v>34</v>
      </c>
      <c r="E9169" s="7" t="s">
        <v>35</v>
      </c>
      <c r="F9169" s="0" t="n">
        <v>241.44</v>
      </c>
      <c r="G9169" s="0" t="n">
        <v>72.432</v>
      </c>
      <c r="H9169" s="0" t="n">
        <v>0</v>
      </c>
      <c r="I9169" s="7" t="n">
        <f aca="false">YEAR(B9169)</f>
        <v>2016</v>
      </c>
      <c r="J9169" s="0" t="str">
        <f aca="false">I9169&amp;"-Q"&amp;ROUNDUP(MONTH(B9169)/3,0)</f>
        <v>2016-Q2</v>
      </c>
    </row>
    <row r="9170" customFormat="false" ht="15" hidden="false" customHeight="false" outlineLevel="0" collapsed="false">
      <c r="A9170" s="0" t="s">
        <v>4670</v>
      </c>
      <c r="B9170" s="6" t="n">
        <v>42444</v>
      </c>
      <c r="C9170" s="7" t="s">
        <v>29</v>
      </c>
      <c r="D9170" s="7" t="s">
        <v>265</v>
      </c>
      <c r="E9170" s="7" t="s">
        <v>35</v>
      </c>
      <c r="F9170" s="0" t="n">
        <v>319.76</v>
      </c>
      <c r="G9170" s="0" t="n">
        <v>147.0896</v>
      </c>
      <c r="H9170" s="0" t="n">
        <v>0</v>
      </c>
      <c r="I9170" s="7" t="n">
        <f aca="false">YEAR(B9170)</f>
        <v>2016</v>
      </c>
      <c r="J9170" s="0" t="str">
        <f aca="false">I9170&amp;"-Q"&amp;ROUNDUP(MONTH(B9170)/3,0)</f>
        <v>2016-Q1</v>
      </c>
    </row>
    <row r="9171" customFormat="false" ht="15" hidden="false" customHeight="false" outlineLevel="0" collapsed="false">
      <c r="A9171" s="0" t="s">
        <v>4670</v>
      </c>
      <c r="B9171" s="6" t="n">
        <v>42444</v>
      </c>
      <c r="C9171" s="7" t="s">
        <v>29</v>
      </c>
      <c r="D9171" s="7" t="s">
        <v>265</v>
      </c>
      <c r="E9171" s="7" t="s">
        <v>35</v>
      </c>
      <c r="F9171" s="0" t="n">
        <v>45.68</v>
      </c>
      <c r="G9171" s="0" t="n">
        <v>21.0128</v>
      </c>
      <c r="H9171" s="0" t="n">
        <v>0</v>
      </c>
      <c r="I9171" s="7" t="n">
        <f aca="false">YEAR(B9171)</f>
        <v>2016</v>
      </c>
      <c r="J9171" s="0" t="str">
        <f aca="false">I9171&amp;"-Q"&amp;ROUNDUP(MONTH(B9171)/3,0)</f>
        <v>2016-Q1</v>
      </c>
    </row>
    <row r="9172" customFormat="false" ht="15" hidden="false" customHeight="false" outlineLevel="0" collapsed="false">
      <c r="A9172" s="0" t="s">
        <v>4671</v>
      </c>
      <c r="B9172" s="6" t="n">
        <v>42705</v>
      </c>
      <c r="C9172" s="7" t="s">
        <v>33</v>
      </c>
      <c r="D9172" s="7" t="s">
        <v>34</v>
      </c>
      <c r="E9172" s="7" t="s">
        <v>31</v>
      </c>
      <c r="F9172" s="0" t="n">
        <v>31.96</v>
      </c>
      <c r="G9172" s="0" t="n">
        <v>1.598</v>
      </c>
      <c r="H9172" s="0" t="n">
        <v>0</v>
      </c>
      <c r="I9172" s="7" t="n">
        <f aca="false">YEAR(B9172)</f>
        <v>2016</v>
      </c>
      <c r="J9172" s="0" t="str">
        <f aca="false">I9172&amp;"-Q"&amp;ROUNDUP(MONTH(B9172)/3,0)</f>
        <v>2016-Q4</v>
      </c>
    </row>
    <row r="9173" customFormat="false" ht="15" hidden="false" customHeight="false" outlineLevel="0" collapsed="false">
      <c r="A9173" s="0" t="s">
        <v>4671</v>
      </c>
      <c r="B9173" s="6" t="n">
        <v>42705</v>
      </c>
      <c r="C9173" s="7" t="s">
        <v>33</v>
      </c>
      <c r="D9173" s="7" t="s">
        <v>34</v>
      </c>
      <c r="E9173" s="7" t="s">
        <v>35</v>
      </c>
      <c r="F9173" s="0" t="n">
        <v>47.9</v>
      </c>
      <c r="G9173" s="0" t="n">
        <v>22.992</v>
      </c>
      <c r="H9173" s="0" t="n">
        <v>0</v>
      </c>
      <c r="I9173" s="7" t="n">
        <f aca="false">YEAR(B9173)</f>
        <v>2016</v>
      </c>
      <c r="J9173" s="0" t="str">
        <f aca="false">I9173&amp;"-Q"&amp;ROUNDUP(MONTH(B9173)/3,0)</f>
        <v>2016-Q4</v>
      </c>
    </row>
    <row r="9174" customFormat="false" ht="15" hidden="false" customHeight="false" outlineLevel="0" collapsed="false">
      <c r="A9174" s="0" t="s">
        <v>4671</v>
      </c>
      <c r="B9174" s="6" t="n">
        <v>42705</v>
      </c>
      <c r="C9174" s="7" t="s">
        <v>33</v>
      </c>
      <c r="D9174" s="7" t="s">
        <v>34</v>
      </c>
      <c r="E9174" s="7" t="s">
        <v>35</v>
      </c>
      <c r="F9174" s="0" t="n">
        <v>1112.94</v>
      </c>
      <c r="G9174" s="0" t="n">
        <v>222.588</v>
      </c>
      <c r="H9174" s="0" t="n">
        <v>0</v>
      </c>
      <c r="I9174" s="7" t="n">
        <f aca="false">YEAR(B9174)</f>
        <v>2016</v>
      </c>
      <c r="J9174" s="0" t="str">
        <f aca="false">I9174&amp;"-Q"&amp;ROUNDUP(MONTH(B9174)/3,0)</f>
        <v>2016-Q4</v>
      </c>
    </row>
    <row r="9175" customFormat="false" ht="15" hidden="false" customHeight="false" outlineLevel="0" collapsed="false">
      <c r="A9175" s="0" t="s">
        <v>4671</v>
      </c>
      <c r="B9175" s="6" t="n">
        <v>42705</v>
      </c>
      <c r="C9175" s="7" t="s">
        <v>33</v>
      </c>
      <c r="D9175" s="7" t="s">
        <v>34</v>
      </c>
      <c r="E9175" s="7" t="s">
        <v>35</v>
      </c>
      <c r="F9175" s="0" t="n">
        <v>22.92</v>
      </c>
      <c r="G9175" s="0" t="n">
        <v>11.2308</v>
      </c>
      <c r="H9175" s="0" t="n">
        <v>0</v>
      </c>
      <c r="I9175" s="7" t="n">
        <f aca="false">YEAR(B9175)</f>
        <v>2016</v>
      </c>
      <c r="J9175" s="0" t="str">
        <f aca="false">I9175&amp;"-Q"&amp;ROUNDUP(MONTH(B9175)/3,0)</f>
        <v>2016-Q4</v>
      </c>
    </row>
    <row r="9176" customFormat="false" ht="15" hidden="false" customHeight="false" outlineLevel="0" collapsed="false">
      <c r="A9176" s="0" t="s">
        <v>4672</v>
      </c>
      <c r="B9176" s="6" t="n">
        <v>42898</v>
      </c>
      <c r="C9176" s="7" t="s">
        <v>33</v>
      </c>
      <c r="D9176" s="7" t="s">
        <v>43</v>
      </c>
      <c r="E9176" s="7" t="s">
        <v>39</v>
      </c>
      <c r="F9176" s="0" t="n">
        <v>71.976</v>
      </c>
      <c r="G9176" s="0" t="n">
        <v>8.997</v>
      </c>
      <c r="H9176" s="0" t="n">
        <v>0.2</v>
      </c>
      <c r="I9176" s="7" t="n">
        <f aca="false">YEAR(B9176)</f>
        <v>2017</v>
      </c>
      <c r="J9176" s="0" t="str">
        <f aca="false">I9176&amp;"-Q"&amp;ROUNDUP(MONTH(B9176)/3,0)</f>
        <v>2017-Q2</v>
      </c>
    </row>
    <row r="9177" customFormat="false" ht="15" hidden="false" customHeight="false" outlineLevel="0" collapsed="false">
      <c r="A9177" s="0" t="s">
        <v>4672</v>
      </c>
      <c r="B9177" s="6" t="n">
        <v>42898</v>
      </c>
      <c r="C9177" s="7" t="s">
        <v>33</v>
      </c>
      <c r="D9177" s="7" t="s">
        <v>43</v>
      </c>
      <c r="E9177" s="7" t="s">
        <v>35</v>
      </c>
      <c r="F9177" s="0" t="n">
        <v>19.44</v>
      </c>
      <c r="G9177" s="0" t="n">
        <v>9.3312</v>
      </c>
      <c r="H9177" s="0" t="n">
        <v>0</v>
      </c>
      <c r="I9177" s="7" t="n">
        <f aca="false">YEAR(B9177)</f>
        <v>2017</v>
      </c>
      <c r="J9177" s="0" t="str">
        <f aca="false">I9177&amp;"-Q"&amp;ROUNDUP(MONTH(B9177)/3,0)</f>
        <v>2017-Q2</v>
      </c>
    </row>
    <row r="9178" customFormat="false" ht="15" hidden="false" customHeight="false" outlineLevel="0" collapsed="false">
      <c r="A9178" s="0" t="s">
        <v>4673</v>
      </c>
      <c r="B9178" s="6" t="n">
        <v>42448</v>
      </c>
      <c r="C9178" s="7" t="s">
        <v>29</v>
      </c>
      <c r="D9178" s="7" t="s">
        <v>87</v>
      </c>
      <c r="E9178" s="7" t="s">
        <v>35</v>
      </c>
      <c r="F9178" s="0" t="n">
        <v>31.086</v>
      </c>
      <c r="G9178" s="0" t="n">
        <v>-20.724</v>
      </c>
      <c r="H9178" s="0" t="n">
        <v>0.7</v>
      </c>
      <c r="I9178" s="7" t="n">
        <f aca="false">YEAR(B9178)</f>
        <v>2016</v>
      </c>
      <c r="J9178" s="0" t="str">
        <f aca="false">I9178&amp;"-Q"&amp;ROUNDUP(MONTH(B9178)/3,0)</f>
        <v>2016-Q1</v>
      </c>
    </row>
    <row r="9179" customFormat="false" ht="15" hidden="false" customHeight="false" outlineLevel="0" collapsed="false">
      <c r="A9179" s="0" t="s">
        <v>4674</v>
      </c>
      <c r="B9179" s="6" t="n">
        <v>42688</v>
      </c>
      <c r="C9179" s="7" t="s">
        <v>55</v>
      </c>
      <c r="D9179" s="7" t="s">
        <v>76</v>
      </c>
      <c r="E9179" s="7" t="s">
        <v>39</v>
      </c>
      <c r="F9179" s="0" t="n">
        <v>13.98</v>
      </c>
      <c r="G9179" s="0" t="n">
        <v>3.9144</v>
      </c>
      <c r="H9179" s="0" t="n">
        <v>0</v>
      </c>
      <c r="I9179" s="7" t="n">
        <f aca="false">YEAR(B9179)</f>
        <v>2016</v>
      </c>
      <c r="J9179" s="0" t="str">
        <f aca="false">I9179&amp;"-Q"&amp;ROUNDUP(MONTH(B9179)/3,0)</f>
        <v>2016-Q4</v>
      </c>
    </row>
    <row r="9180" customFormat="false" ht="15" hidden="false" customHeight="false" outlineLevel="0" collapsed="false">
      <c r="A9180" s="0" t="s">
        <v>4674</v>
      </c>
      <c r="B9180" s="6" t="n">
        <v>42688</v>
      </c>
      <c r="C9180" s="7" t="s">
        <v>55</v>
      </c>
      <c r="D9180" s="7" t="s">
        <v>76</v>
      </c>
      <c r="E9180" s="7" t="s">
        <v>35</v>
      </c>
      <c r="F9180" s="0" t="n">
        <v>23.65</v>
      </c>
      <c r="G9180" s="0" t="n">
        <v>6.149</v>
      </c>
      <c r="H9180" s="0" t="n">
        <v>0</v>
      </c>
      <c r="I9180" s="7" t="n">
        <f aca="false">YEAR(B9180)</f>
        <v>2016</v>
      </c>
      <c r="J9180" s="0" t="str">
        <f aca="false">I9180&amp;"-Q"&amp;ROUNDUP(MONTH(B9180)/3,0)</f>
        <v>2016-Q4</v>
      </c>
    </row>
    <row r="9181" customFormat="false" ht="15" hidden="false" customHeight="false" outlineLevel="0" collapsed="false">
      <c r="A9181" s="0" t="s">
        <v>4675</v>
      </c>
      <c r="B9181" s="6" t="n">
        <v>42954</v>
      </c>
      <c r="C9181" s="7" t="s">
        <v>33</v>
      </c>
      <c r="D9181" s="7" t="s">
        <v>34</v>
      </c>
      <c r="E9181" s="7" t="s">
        <v>39</v>
      </c>
      <c r="F9181" s="0" t="n">
        <v>707.88</v>
      </c>
      <c r="G9181" s="0" t="n">
        <v>44.2425</v>
      </c>
      <c r="H9181" s="0" t="n">
        <v>0.2</v>
      </c>
      <c r="I9181" s="7" t="n">
        <f aca="false">YEAR(B9181)</f>
        <v>2017</v>
      </c>
      <c r="J9181" s="0" t="str">
        <f aca="false">I9181&amp;"-Q"&amp;ROUNDUP(MONTH(B9181)/3,0)</f>
        <v>2017-Q3</v>
      </c>
    </row>
    <row r="9182" customFormat="false" ht="15" hidden="false" customHeight="false" outlineLevel="0" collapsed="false">
      <c r="A9182" s="0" t="s">
        <v>4675</v>
      </c>
      <c r="B9182" s="6" t="n">
        <v>42954</v>
      </c>
      <c r="C9182" s="7" t="s">
        <v>33</v>
      </c>
      <c r="D9182" s="7" t="s">
        <v>34</v>
      </c>
      <c r="E9182" s="7" t="s">
        <v>35</v>
      </c>
      <c r="F9182" s="0" t="n">
        <v>11.952</v>
      </c>
      <c r="G9182" s="0" t="n">
        <v>4.1832</v>
      </c>
      <c r="H9182" s="0" t="n">
        <v>0.2</v>
      </c>
      <c r="I9182" s="7" t="n">
        <f aca="false">YEAR(B9182)</f>
        <v>2017</v>
      </c>
      <c r="J9182" s="0" t="str">
        <f aca="false">I9182&amp;"-Q"&amp;ROUNDUP(MONTH(B9182)/3,0)</f>
        <v>2017-Q3</v>
      </c>
    </row>
    <row r="9183" customFormat="false" ht="15" hidden="false" customHeight="false" outlineLevel="0" collapsed="false">
      <c r="A9183" s="0" t="s">
        <v>4675</v>
      </c>
      <c r="B9183" s="6" t="n">
        <v>42954</v>
      </c>
      <c r="C9183" s="7" t="s">
        <v>33</v>
      </c>
      <c r="D9183" s="7" t="s">
        <v>34</v>
      </c>
      <c r="E9183" s="7" t="s">
        <v>35</v>
      </c>
      <c r="F9183" s="0" t="n">
        <v>31.128</v>
      </c>
      <c r="G9183" s="0" t="n">
        <v>11.673</v>
      </c>
      <c r="H9183" s="0" t="n">
        <v>0.2</v>
      </c>
      <c r="I9183" s="7" t="n">
        <f aca="false">YEAR(B9183)</f>
        <v>2017</v>
      </c>
      <c r="J9183" s="0" t="str">
        <f aca="false">I9183&amp;"-Q"&amp;ROUNDUP(MONTH(B9183)/3,0)</f>
        <v>2017-Q3</v>
      </c>
    </row>
    <row r="9184" customFormat="false" ht="15" hidden="false" customHeight="false" outlineLevel="0" collapsed="false">
      <c r="A9184" s="0" t="s">
        <v>4675</v>
      </c>
      <c r="B9184" s="6" t="n">
        <v>42954</v>
      </c>
      <c r="C9184" s="7" t="s">
        <v>33</v>
      </c>
      <c r="D9184" s="7" t="s">
        <v>34</v>
      </c>
      <c r="E9184" s="7" t="s">
        <v>39</v>
      </c>
      <c r="F9184" s="0" t="n">
        <v>55.76</v>
      </c>
      <c r="G9184" s="0" t="n">
        <v>7.8064</v>
      </c>
      <c r="H9184" s="0" t="n">
        <v>0</v>
      </c>
      <c r="I9184" s="7" t="n">
        <f aca="false">YEAR(B9184)</f>
        <v>2017</v>
      </c>
      <c r="J9184" s="0" t="str">
        <f aca="false">I9184&amp;"-Q"&amp;ROUNDUP(MONTH(B9184)/3,0)</f>
        <v>2017-Q3</v>
      </c>
    </row>
    <row r="9185" customFormat="false" ht="15" hidden="false" customHeight="false" outlineLevel="0" collapsed="false">
      <c r="A9185" s="0" t="s">
        <v>4675</v>
      </c>
      <c r="B9185" s="6" t="n">
        <v>42954</v>
      </c>
      <c r="C9185" s="7" t="s">
        <v>33</v>
      </c>
      <c r="D9185" s="7" t="s">
        <v>34</v>
      </c>
      <c r="E9185" s="7" t="s">
        <v>35</v>
      </c>
      <c r="F9185" s="0" t="n">
        <v>24.56</v>
      </c>
      <c r="G9185" s="0" t="n">
        <v>11.5432</v>
      </c>
      <c r="H9185" s="0" t="n">
        <v>0</v>
      </c>
      <c r="I9185" s="7" t="n">
        <f aca="false">YEAR(B9185)</f>
        <v>2017</v>
      </c>
      <c r="J9185" s="0" t="str">
        <f aca="false">I9185&amp;"-Q"&amp;ROUNDUP(MONTH(B9185)/3,0)</f>
        <v>2017-Q3</v>
      </c>
    </row>
    <row r="9186" customFormat="false" ht="15" hidden="false" customHeight="false" outlineLevel="0" collapsed="false">
      <c r="A9186" s="0" t="s">
        <v>4675</v>
      </c>
      <c r="B9186" s="6" t="n">
        <v>42954</v>
      </c>
      <c r="C9186" s="7" t="s">
        <v>33</v>
      </c>
      <c r="D9186" s="7" t="s">
        <v>34</v>
      </c>
      <c r="E9186" s="7" t="s">
        <v>31</v>
      </c>
      <c r="F9186" s="0" t="n">
        <v>51.75</v>
      </c>
      <c r="G9186" s="0" t="n">
        <v>15.525</v>
      </c>
      <c r="H9186" s="0" t="n">
        <v>0</v>
      </c>
      <c r="I9186" s="7" t="n">
        <f aca="false">YEAR(B9186)</f>
        <v>2017</v>
      </c>
      <c r="J9186" s="0" t="str">
        <f aca="false">I9186&amp;"-Q"&amp;ROUNDUP(MONTH(B9186)/3,0)</f>
        <v>2017-Q3</v>
      </c>
    </row>
    <row r="9187" customFormat="false" ht="15" hidden="false" customHeight="false" outlineLevel="0" collapsed="false">
      <c r="A9187" s="0" t="s">
        <v>4675</v>
      </c>
      <c r="B9187" s="6" t="n">
        <v>42954</v>
      </c>
      <c r="C9187" s="7" t="s">
        <v>33</v>
      </c>
      <c r="D9187" s="7" t="s">
        <v>34</v>
      </c>
      <c r="E9187" s="7" t="s">
        <v>31</v>
      </c>
      <c r="F9187" s="0" t="n">
        <v>207.184</v>
      </c>
      <c r="G9187" s="0" t="n">
        <v>25.898</v>
      </c>
      <c r="H9187" s="0" t="n">
        <v>0.2</v>
      </c>
      <c r="I9187" s="7" t="n">
        <f aca="false">YEAR(B9187)</f>
        <v>2017</v>
      </c>
      <c r="J9187" s="0" t="str">
        <f aca="false">I9187&amp;"-Q"&amp;ROUNDUP(MONTH(B9187)/3,0)</f>
        <v>2017-Q3</v>
      </c>
    </row>
    <row r="9188" customFormat="false" ht="15" hidden="false" customHeight="false" outlineLevel="0" collapsed="false">
      <c r="A9188" s="0" t="s">
        <v>4675</v>
      </c>
      <c r="B9188" s="6" t="n">
        <v>42954</v>
      </c>
      <c r="C9188" s="7" t="s">
        <v>33</v>
      </c>
      <c r="D9188" s="7" t="s">
        <v>34</v>
      </c>
      <c r="E9188" s="7" t="s">
        <v>35</v>
      </c>
      <c r="F9188" s="0" t="n">
        <v>1473.1</v>
      </c>
      <c r="G9188" s="0" t="n">
        <v>412.468</v>
      </c>
      <c r="H9188" s="0" t="n">
        <v>0</v>
      </c>
      <c r="I9188" s="7" t="n">
        <f aca="false">YEAR(B9188)</f>
        <v>2017</v>
      </c>
      <c r="J9188" s="0" t="str">
        <f aca="false">I9188&amp;"-Q"&amp;ROUNDUP(MONTH(B9188)/3,0)</f>
        <v>2017-Q3</v>
      </c>
    </row>
    <row r="9189" customFormat="false" ht="15" hidden="false" customHeight="false" outlineLevel="0" collapsed="false">
      <c r="A9189" s="0" t="s">
        <v>4676</v>
      </c>
      <c r="B9189" s="6" t="n">
        <v>42237</v>
      </c>
      <c r="C9189" s="7" t="s">
        <v>55</v>
      </c>
      <c r="D9189" s="7" t="s">
        <v>56</v>
      </c>
      <c r="E9189" s="7" t="s">
        <v>35</v>
      </c>
      <c r="F9189" s="0" t="n">
        <v>3.488</v>
      </c>
      <c r="G9189" s="0" t="n">
        <v>-0.6976</v>
      </c>
      <c r="H9189" s="0" t="n">
        <v>0.2</v>
      </c>
      <c r="I9189" s="7" t="n">
        <f aca="false">YEAR(B9189)</f>
        <v>2015</v>
      </c>
      <c r="J9189" s="0" t="str">
        <f aca="false">I9189&amp;"-Q"&amp;ROUNDUP(MONTH(B9189)/3,0)</f>
        <v>2015-Q3</v>
      </c>
    </row>
    <row r="9190" customFormat="false" ht="15" hidden="false" customHeight="false" outlineLevel="0" collapsed="false">
      <c r="A9190" s="0" t="s">
        <v>4676</v>
      </c>
      <c r="B9190" s="6" t="n">
        <v>42237</v>
      </c>
      <c r="C9190" s="7" t="s">
        <v>55</v>
      </c>
      <c r="D9190" s="7" t="s">
        <v>56</v>
      </c>
      <c r="E9190" s="7" t="s">
        <v>39</v>
      </c>
      <c r="F9190" s="0" t="n">
        <v>21.728</v>
      </c>
      <c r="G9190" s="0" t="n">
        <v>3.8024</v>
      </c>
      <c r="H9190" s="0" t="n">
        <v>0.2</v>
      </c>
      <c r="I9190" s="7" t="n">
        <f aca="false">YEAR(B9190)</f>
        <v>2015</v>
      </c>
      <c r="J9190" s="0" t="str">
        <f aca="false">I9190&amp;"-Q"&amp;ROUNDUP(MONTH(B9190)/3,0)</f>
        <v>2015-Q3</v>
      </c>
    </row>
    <row r="9191" customFormat="false" ht="15" hidden="false" customHeight="false" outlineLevel="0" collapsed="false">
      <c r="A9191" s="0" t="s">
        <v>4676</v>
      </c>
      <c r="B9191" s="6" t="n">
        <v>42237</v>
      </c>
      <c r="C9191" s="7" t="s">
        <v>55</v>
      </c>
      <c r="D9191" s="7" t="s">
        <v>56</v>
      </c>
      <c r="E9191" s="7" t="s">
        <v>35</v>
      </c>
      <c r="F9191" s="0" t="n">
        <v>663.072</v>
      </c>
      <c r="G9191" s="0" t="n">
        <v>-165.768</v>
      </c>
      <c r="H9191" s="0" t="n">
        <v>0.2</v>
      </c>
      <c r="I9191" s="7" t="n">
        <f aca="false">YEAR(B9191)</f>
        <v>2015</v>
      </c>
      <c r="J9191" s="0" t="str">
        <f aca="false">I9191&amp;"-Q"&amp;ROUNDUP(MONTH(B9191)/3,0)</f>
        <v>2015-Q3</v>
      </c>
    </row>
    <row r="9192" customFormat="false" ht="15" hidden="false" customHeight="false" outlineLevel="0" collapsed="false">
      <c r="A9192" s="0" t="s">
        <v>4676</v>
      </c>
      <c r="B9192" s="6" t="n">
        <v>42237</v>
      </c>
      <c r="C9192" s="7" t="s">
        <v>55</v>
      </c>
      <c r="D9192" s="7" t="s">
        <v>56</v>
      </c>
      <c r="E9192" s="7" t="s">
        <v>35</v>
      </c>
      <c r="F9192" s="0" t="n">
        <v>99.588</v>
      </c>
      <c r="G9192" s="0" t="n">
        <v>-82.99</v>
      </c>
      <c r="H9192" s="0" t="n">
        <v>0.7</v>
      </c>
      <c r="I9192" s="7" t="n">
        <f aca="false">YEAR(B9192)</f>
        <v>2015</v>
      </c>
      <c r="J9192" s="0" t="str">
        <f aca="false">I9192&amp;"-Q"&amp;ROUNDUP(MONTH(B9192)/3,0)</f>
        <v>2015-Q3</v>
      </c>
    </row>
    <row r="9193" customFormat="false" ht="15" hidden="false" customHeight="false" outlineLevel="0" collapsed="false">
      <c r="A9193" s="0" t="s">
        <v>4676</v>
      </c>
      <c r="B9193" s="6" t="n">
        <v>42237</v>
      </c>
      <c r="C9193" s="7" t="s">
        <v>55</v>
      </c>
      <c r="D9193" s="7" t="s">
        <v>56</v>
      </c>
      <c r="E9193" s="7" t="s">
        <v>35</v>
      </c>
      <c r="F9193" s="0" t="n">
        <v>49.568</v>
      </c>
      <c r="G9193" s="0" t="n">
        <v>15.49</v>
      </c>
      <c r="H9193" s="0" t="n">
        <v>0.2</v>
      </c>
      <c r="I9193" s="7" t="n">
        <f aca="false">YEAR(B9193)</f>
        <v>2015</v>
      </c>
      <c r="J9193" s="0" t="str">
        <f aca="false">I9193&amp;"-Q"&amp;ROUNDUP(MONTH(B9193)/3,0)</f>
        <v>2015-Q3</v>
      </c>
    </row>
    <row r="9194" customFormat="false" ht="15" hidden="false" customHeight="false" outlineLevel="0" collapsed="false">
      <c r="A9194" s="0" t="s">
        <v>4677</v>
      </c>
      <c r="B9194" s="6" t="n">
        <v>42310</v>
      </c>
      <c r="C9194" s="7" t="s">
        <v>45</v>
      </c>
      <c r="D9194" s="7" t="s">
        <v>46</v>
      </c>
      <c r="E9194" s="7" t="s">
        <v>35</v>
      </c>
      <c r="F9194" s="0" t="n">
        <v>29.372</v>
      </c>
      <c r="G9194" s="0" t="n">
        <v>-46.9952</v>
      </c>
      <c r="H9194" s="0" t="n">
        <v>0.8</v>
      </c>
      <c r="I9194" s="7" t="n">
        <f aca="false">YEAR(B9194)</f>
        <v>2015</v>
      </c>
      <c r="J9194" s="0" t="str">
        <f aca="false">I9194&amp;"-Q"&amp;ROUNDUP(MONTH(B9194)/3,0)</f>
        <v>2015-Q4</v>
      </c>
    </row>
    <row r="9195" customFormat="false" ht="15" hidden="false" customHeight="false" outlineLevel="0" collapsed="false">
      <c r="A9195" s="0" t="s">
        <v>4677</v>
      </c>
      <c r="B9195" s="6" t="n">
        <v>42310</v>
      </c>
      <c r="C9195" s="7" t="s">
        <v>45</v>
      </c>
      <c r="D9195" s="7" t="s">
        <v>46</v>
      </c>
      <c r="E9195" s="7" t="s">
        <v>39</v>
      </c>
      <c r="F9195" s="0" t="n">
        <v>344.704</v>
      </c>
      <c r="G9195" s="0" t="n">
        <v>38.7792</v>
      </c>
      <c r="H9195" s="0" t="n">
        <v>0.2</v>
      </c>
      <c r="I9195" s="7" t="n">
        <f aca="false">YEAR(B9195)</f>
        <v>2015</v>
      </c>
      <c r="J9195" s="0" t="str">
        <f aca="false">I9195&amp;"-Q"&amp;ROUNDUP(MONTH(B9195)/3,0)</f>
        <v>2015-Q4</v>
      </c>
    </row>
    <row r="9196" customFormat="false" ht="15" hidden="false" customHeight="false" outlineLevel="0" collapsed="false">
      <c r="A9196" s="0" t="s">
        <v>4678</v>
      </c>
      <c r="B9196" s="6" t="n">
        <v>41973</v>
      </c>
      <c r="C9196" s="7" t="s">
        <v>33</v>
      </c>
      <c r="D9196" s="7" t="s">
        <v>81</v>
      </c>
      <c r="E9196" s="7" t="s">
        <v>35</v>
      </c>
      <c r="F9196" s="0" t="n">
        <v>47.992</v>
      </c>
      <c r="G9196" s="0" t="n">
        <v>3.5994</v>
      </c>
      <c r="H9196" s="0" t="n">
        <v>0.2</v>
      </c>
      <c r="I9196" s="7" t="n">
        <f aca="false">YEAR(B9196)</f>
        <v>2014</v>
      </c>
      <c r="J9196" s="0" t="str">
        <f aca="false">I9196&amp;"-Q"&amp;ROUNDUP(MONTH(B9196)/3,0)</f>
        <v>2014-Q4</v>
      </c>
    </row>
    <row r="9197" customFormat="false" ht="15" hidden="false" customHeight="false" outlineLevel="0" collapsed="false">
      <c r="A9197" s="0" t="s">
        <v>4678</v>
      </c>
      <c r="B9197" s="6" t="n">
        <v>41973</v>
      </c>
      <c r="C9197" s="7" t="s">
        <v>33</v>
      </c>
      <c r="D9197" s="7" t="s">
        <v>81</v>
      </c>
      <c r="E9197" s="7" t="s">
        <v>39</v>
      </c>
      <c r="F9197" s="0" t="n">
        <v>102.24</v>
      </c>
      <c r="G9197" s="0" t="n">
        <v>-16.614</v>
      </c>
      <c r="H9197" s="0" t="n">
        <v>0.2</v>
      </c>
      <c r="I9197" s="7" t="n">
        <f aca="false">YEAR(B9197)</f>
        <v>2014</v>
      </c>
      <c r="J9197" s="0" t="str">
        <f aca="false">I9197&amp;"-Q"&amp;ROUNDUP(MONTH(B9197)/3,0)</f>
        <v>2014-Q4</v>
      </c>
    </row>
    <row r="9198" customFormat="false" ht="15" hidden="false" customHeight="false" outlineLevel="0" collapsed="false">
      <c r="A9198" s="0" t="s">
        <v>4679</v>
      </c>
      <c r="B9198" s="6" t="n">
        <v>41769</v>
      </c>
      <c r="C9198" s="7" t="s">
        <v>33</v>
      </c>
      <c r="D9198" s="7" t="s">
        <v>34</v>
      </c>
      <c r="E9198" s="7" t="s">
        <v>35</v>
      </c>
      <c r="F9198" s="0" t="n">
        <v>39.96</v>
      </c>
      <c r="G9198" s="0" t="n">
        <v>19.1808</v>
      </c>
      <c r="H9198" s="0" t="n">
        <v>0</v>
      </c>
      <c r="I9198" s="7" t="n">
        <f aca="false">YEAR(B9198)</f>
        <v>2014</v>
      </c>
      <c r="J9198" s="0" t="str">
        <f aca="false">I9198&amp;"-Q"&amp;ROUNDUP(MONTH(B9198)/3,0)</f>
        <v>2014-Q2</v>
      </c>
    </row>
    <row r="9199" customFormat="false" ht="15" hidden="false" customHeight="false" outlineLevel="0" collapsed="false">
      <c r="A9199" s="0" t="s">
        <v>4679</v>
      </c>
      <c r="B9199" s="6" t="n">
        <v>41769</v>
      </c>
      <c r="C9199" s="7" t="s">
        <v>33</v>
      </c>
      <c r="D9199" s="7" t="s">
        <v>34</v>
      </c>
      <c r="E9199" s="7" t="s">
        <v>39</v>
      </c>
      <c r="F9199" s="0" t="n">
        <v>1432</v>
      </c>
      <c r="G9199" s="0" t="n">
        <v>125.3</v>
      </c>
      <c r="H9199" s="0" t="n">
        <v>0.2</v>
      </c>
      <c r="I9199" s="7" t="n">
        <f aca="false">YEAR(B9199)</f>
        <v>2014</v>
      </c>
      <c r="J9199" s="0" t="str">
        <f aca="false">I9199&amp;"-Q"&amp;ROUNDUP(MONTH(B9199)/3,0)</f>
        <v>2014-Q2</v>
      </c>
    </row>
    <row r="9200" customFormat="false" ht="15" hidden="false" customHeight="false" outlineLevel="0" collapsed="false">
      <c r="A9200" s="0" t="s">
        <v>4679</v>
      </c>
      <c r="B9200" s="6" t="n">
        <v>41769</v>
      </c>
      <c r="C9200" s="7" t="s">
        <v>33</v>
      </c>
      <c r="D9200" s="7" t="s">
        <v>34</v>
      </c>
      <c r="E9200" s="7" t="s">
        <v>35</v>
      </c>
      <c r="F9200" s="0" t="n">
        <v>41.04</v>
      </c>
      <c r="G9200" s="0" t="n">
        <v>11.0808</v>
      </c>
      <c r="H9200" s="0" t="n">
        <v>0</v>
      </c>
      <c r="I9200" s="7" t="n">
        <f aca="false">YEAR(B9200)</f>
        <v>2014</v>
      </c>
      <c r="J9200" s="0" t="str">
        <f aca="false">I9200&amp;"-Q"&amp;ROUNDUP(MONTH(B9200)/3,0)</f>
        <v>2014-Q2</v>
      </c>
    </row>
    <row r="9201" customFormat="false" ht="15" hidden="false" customHeight="false" outlineLevel="0" collapsed="false">
      <c r="A9201" s="0" t="s">
        <v>4679</v>
      </c>
      <c r="B9201" s="6" t="n">
        <v>41769</v>
      </c>
      <c r="C9201" s="7" t="s">
        <v>33</v>
      </c>
      <c r="D9201" s="7" t="s">
        <v>34</v>
      </c>
      <c r="E9201" s="7" t="s">
        <v>31</v>
      </c>
      <c r="F9201" s="0" t="n">
        <v>256.784</v>
      </c>
      <c r="G9201" s="0" t="n">
        <v>32.098</v>
      </c>
      <c r="H9201" s="0" t="n">
        <v>0.2</v>
      </c>
      <c r="I9201" s="7" t="n">
        <f aca="false">YEAR(B9201)</f>
        <v>2014</v>
      </c>
      <c r="J9201" s="0" t="str">
        <f aca="false">I9201&amp;"-Q"&amp;ROUNDUP(MONTH(B9201)/3,0)</f>
        <v>2014-Q2</v>
      </c>
    </row>
    <row r="9202" customFormat="false" ht="15" hidden="false" customHeight="false" outlineLevel="0" collapsed="false">
      <c r="A9202" s="0" t="s">
        <v>4680</v>
      </c>
      <c r="B9202" s="6" t="n">
        <v>42660</v>
      </c>
      <c r="C9202" s="7" t="s">
        <v>55</v>
      </c>
      <c r="D9202" s="7" t="s">
        <v>161</v>
      </c>
      <c r="E9202" s="7" t="s">
        <v>31</v>
      </c>
      <c r="F9202" s="0" t="n">
        <v>120.98</v>
      </c>
      <c r="G9202" s="0" t="n">
        <v>12.098</v>
      </c>
      <c r="H9202" s="0" t="n">
        <v>0</v>
      </c>
      <c r="I9202" s="7" t="n">
        <f aca="false">YEAR(B9202)</f>
        <v>2016</v>
      </c>
      <c r="J9202" s="0" t="str">
        <f aca="false">I9202&amp;"-Q"&amp;ROUNDUP(MONTH(B9202)/3,0)</f>
        <v>2016-Q4</v>
      </c>
    </row>
    <row r="9203" customFormat="false" ht="15" hidden="false" customHeight="false" outlineLevel="0" collapsed="false">
      <c r="A9203" s="0" t="s">
        <v>4680</v>
      </c>
      <c r="B9203" s="6" t="n">
        <v>42660</v>
      </c>
      <c r="C9203" s="7" t="s">
        <v>55</v>
      </c>
      <c r="D9203" s="7" t="s">
        <v>161</v>
      </c>
      <c r="E9203" s="7" t="s">
        <v>35</v>
      </c>
      <c r="F9203" s="0" t="n">
        <v>315.98</v>
      </c>
      <c r="G9203" s="0" t="n">
        <v>148.5106</v>
      </c>
      <c r="H9203" s="0" t="n">
        <v>0</v>
      </c>
      <c r="I9203" s="7" t="n">
        <f aca="false">YEAR(B9203)</f>
        <v>2016</v>
      </c>
      <c r="J9203" s="0" t="str">
        <f aca="false">I9203&amp;"-Q"&amp;ROUNDUP(MONTH(B9203)/3,0)</f>
        <v>2016-Q4</v>
      </c>
    </row>
    <row r="9204" customFormat="false" ht="15" hidden="false" customHeight="false" outlineLevel="0" collapsed="false">
      <c r="A9204" s="0" t="s">
        <v>4681</v>
      </c>
      <c r="B9204" s="6" t="n">
        <v>42673</v>
      </c>
      <c r="C9204" s="7" t="s">
        <v>55</v>
      </c>
      <c r="D9204" s="7" t="s">
        <v>76</v>
      </c>
      <c r="E9204" s="7" t="s">
        <v>35</v>
      </c>
      <c r="F9204" s="0" t="n">
        <v>28.752</v>
      </c>
      <c r="G9204" s="0" t="n">
        <v>10.0632</v>
      </c>
      <c r="H9204" s="0" t="n">
        <v>0.2</v>
      </c>
      <c r="I9204" s="7" t="n">
        <f aca="false">YEAR(B9204)</f>
        <v>2016</v>
      </c>
      <c r="J9204" s="0" t="str">
        <f aca="false">I9204&amp;"-Q"&amp;ROUNDUP(MONTH(B9204)/3,0)</f>
        <v>2016-Q4</v>
      </c>
    </row>
    <row r="9205" customFormat="false" ht="15" hidden="false" customHeight="false" outlineLevel="0" collapsed="false">
      <c r="A9205" s="0" t="s">
        <v>4681</v>
      </c>
      <c r="B9205" s="6" t="n">
        <v>42673</v>
      </c>
      <c r="C9205" s="7" t="s">
        <v>55</v>
      </c>
      <c r="D9205" s="7" t="s">
        <v>76</v>
      </c>
      <c r="E9205" s="7" t="s">
        <v>35</v>
      </c>
      <c r="F9205" s="0" t="n">
        <v>114.95</v>
      </c>
      <c r="G9205" s="0" t="n">
        <v>32.186</v>
      </c>
      <c r="H9205" s="0" t="n">
        <v>0</v>
      </c>
      <c r="I9205" s="7" t="n">
        <f aca="false">YEAR(B9205)</f>
        <v>2016</v>
      </c>
      <c r="J9205" s="0" t="str">
        <f aca="false">I9205&amp;"-Q"&amp;ROUNDUP(MONTH(B9205)/3,0)</f>
        <v>2016-Q4</v>
      </c>
    </row>
    <row r="9206" customFormat="false" ht="15" hidden="false" customHeight="false" outlineLevel="0" collapsed="false">
      <c r="A9206" s="0" t="s">
        <v>4682</v>
      </c>
      <c r="B9206" s="6" t="n">
        <v>42705</v>
      </c>
      <c r="C9206" s="7" t="s">
        <v>33</v>
      </c>
      <c r="D9206" s="7" t="s">
        <v>34</v>
      </c>
      <c r="E9206" s="7" t="s">
        <v>35</v>
      </c>
      <c r="F9206" s="0" t="n">
        <v>23.04</v>
      </c>
      <c r="G9206" s="0" t="n">
        <v>6.912</v>
      </c>
      <c r="H9206" s="0" t="n">
        <v>0</v>
      </c>
      <c r="I9206" s="7" t="n">
        <f aca="false">YEAR(B9206)</f>
        <v>2016</v>
      </c>
      <c r="J9206" s="0" t="str">
        <f aca="false">I9206&amp;"-Q"&amp;ROUNDUP(MONTH(B9206)/3,0)</f>
        <v>2016-Q4</v>
      </c>
    </row>
    <row r="9207" customFormat="false" ht="15" hidden="false" customHeight="false" outlineLevel="0" collapsed="false">
      <c r="A9207" s="0" t="s">
        <v>4683</v>
      </c>
      <c r="B9207" s="6" t="n">
        <v>42481</v>
      </c>
      <c r="C9207" s="7" t="s">
        <v>55</v>
      </c>
      <c r="D9207" s="7" t="s">
        <v>154</v>
      </c>
      <c r="E9207" s="7" t="s">
        <v>35</v>
      </c>
      <c r="F9207" s="0" t="n">
        <v>15.48</v>
      </c>
      <c r="G9207" s="0" t="n">
        <v>4.4892</v>
      </c>
      <c r="H9207" s="0" t="n">
        <v>0</v>
      </c>
      <c r="I9207" s="7" t="n">
        <f aca="false">YEAR(B9207)</f>
        <v>2016</v>
      </c>
      <c r="J9207" s="0" t="str">
        <f aca="false">I9207&amp;"-Q"&amp;ROUNDUP(MONTH(B9207)/3,0)</f>
        <v>2016-Q2</v>
      </c>
    </row>
    <row r="9208" customFormat="false" ht="15" hidden="false" customHeight="false" outlineLevel="0" collapsed="false">
      <c r="A9208" s="0" t="s">
        <v>4683</v>
      </c>
      <c r="B9208" s="6" t="n">
        <v>42481</v>
      </c>
      <c r="C9208" s="7" t="s">
        <v>55</v>
      </c>
      <c r="D9208" s="7" t="s">
        <v>154</v>
      </c>
      <c r="E9208" s="7" t="s">
        <v>35</v>
      </c>
      <c r="F9208" s="0" t="n">
        <v>51.84</v>
      </c>
      <c r="G9208" s="0" t="n">
        <v>24.8832</v>
      </c>
      <c r="H9208" s="0" t="n">
        <v>0</v>
      </c>
      <c r="I9208" s="7" t="n">
        <f aca="false">YEAR(B9208)</f>
        <v>2016</v>
      </c>
      <c r="J9208" s="0" t="str">
        <f aca="false">I9208&amp;"-Q"&amp;ROUNDUP(MONTH(B9208)/3,0)</f>
        <v>2016-Q2</v>
      </c>
    </row>
    <row r="9209" customFormat="false" ht="15" hidden="false" customHeight="false" outlineLevel="0" collapsed="false">
      <c r="A9209" s="0" t="s">
        <v>4684</v>
      </c>
      <c r="B9209" s="6" t="n">
        <v>42950</v>
      </c>
      <c r="C9209" s="7" t="s">
        <v>45</v>
      </c>
      <c r="D9209" s="7" t="s">
        <v>64</v>
      </c>
      <c r="E9209" s="7" t="s">
        <v>39</v>
      </c>
      <c r="F9209" s="0" t="n">
        <v>39.816</v>
      </c>
      <c r="G9209" s="0" t="n">
        <v>7.4655</v>
      </c>
      <c r="H9209" s="0" t="n">
        <v>0.2</v>
      </c>
      <c r="I9209" s="7" t="n">
        <f aca="false">YEAR(B9209)</f>
        <v>2017</v>
      </c>
      <c r="J9209" s="0" t="str">
        <f aca="false">I9209&amp;"-Q"&amp;ROUNDUP(MONTH(B9209)/3,0)</f>
        <v>2017-Q3</v>
      </c>
    </row>
    <row r="9210" customFormat="false" ht="15" hidden="false" customHeight="false" outlineLevel="0" collapsed="false">
      <c r="A9210" s="0" t="s">
        <v>4685</v>
      </c>
      <c r="B9210" s="6" t="n">
        <v>42950</v>
      </c>
      <c r="C9210" s="7" t="s">
        <v>33</v>
      </c>
      <c r="D9210" s="7" t="s">
        <v>43</v>
      </c>
      <c r="E9210" s="7" t="s">
        <v>35</v>
      </c>
      <c r="F9210" s="0" t="n">
        <v>16.06</v>
      </c>
      <c r="G9210" s="0" t="n">
        <v>4.1756</v>
      </c>
      <c r="H9210" s="0" t="n">
        <v>0</v>
      </c>
      <c r="I9210" s="7" t="n">
        <f aca="false">YEAR(B9210)</f>
        <v>2017</v>
      </c>
      <c r="J9210" s="0" t="str">
        <f aca="false">I9210&amp;"-Q"&amp;ROUNDUP(MONTH(B9210)/3,0)</f>
        <v>2017-Q3</v>
      </c>
    </row>
    <row r="9211" customFormat="false" ht="15" hidden="false" customHeight="false" outlineLevel="0" collapsed="false">
      <c r="A9211" s="0" t="s">
        <v>4686</v>
      </c>
      <c r="B9211" s="6" t="n">
        <v>43080</v>
      </c>
      <c r="C9211" s="7" t="s">
        <v>45</v>
      </c>
      <c r="D9211" s="7" t="s">
        <v>114</v>
      </c>
      <c r="E9211" s="7" t="s">
        <v>35</v>
      </c>
      <c r="F9211" s="0" t="n">
        <v>7.28</v>
      </c>
      <c r="G9211" s="0" t="n">
        <v>3.4944</v>
      </c>
      <c r="H9211" s="0" t="n">
        <v>0</v>
      </c>
      <c r="I9211" s="7" t="n">
        <f aca="false">YEAR(B9211)</f>
        <v>2017</v>
      </c>
      <c r="J9211" s="0" t="str">
        <f aca="false">I9211&amp;"-Q"&amp;ROUNDUP(MONTH(B9211)/3,0)</f>
        <v>2017-Q4</v>
      </c>
    </row>
    <row r="9212" customFormat="false" ht="15" hidden="false" customHeight="false" outlineLevel="0" collapsed="false">
      <c r="A9212" s="0" t="s">
        <v>4686</v>
      </c>
      <c r="B9212" s="6" t="n">
        <v>43080</v>
      </c>
      <c r="C9212" s="7" t="s">
        <v>45</v>
      </c>
      <c r="D9212" s="7" t="s">
        <v>114</v>
      </c>
      <c r="E9212" s="7" t="s">
        <v>35</v>
      </c>
      <c r="F9212" s="0" t="n">
        <v>5.4</v>
      </c>
      <c r="G9212" s="0" t="n">
        <v>2.592</v>
      </c>
      <c r="H9212" s="0" t="n">
        <v>0</v>
      </c>
      <c r="I9212" s="7" t="n">
        <f aca="false">YEAR(B9212)</f>
        <v>2017</v>
      </c>
      <c r="J9212" s="0" t="str">
        <f aca="false">I9212&amp;"-Q"&amp;ROUNDUP(MONTH(B9212)/3,0)</f>
        <v>2017-Q4</v>
      </c>
    </row>
    <row r="9213" customFormat="false" ht="15" hidden="false" customHeight="false" outlineLevel="0" collapsed="false">
      <c r="A9213" s="0" t="s">
        <v>4687</v>
      </c>
      <c r="B9213" s="6" t="n">
        <v>42077</v>
      </c>
      <c r="C9213" s="7" t="s">
        <v>33</v>
      </c>
      <c r="D9213" s="7" t="s">
        <v>34</v>
      </c>
      <c r="E9213" s="7" t="s">
        <v>35</v>
      </c>
      <c r="F9213" s="0" t="n">
        <v>19.44</v>
      </c>
      <c r="G9213" s="0" t="n">
        <v>9.3312</v>
      </c>
      <c r="H9213" s="0" t="n">
        <v>0</v>
      </c>
      <c r="I9213" s="7" t="n">
        <f aca="false">YEAR(B9213)</f>
        <v>2015</v>
      </c>
      <c r="J9213" s="0" t="str">
        <f aca="false">I9213&amp;"-Q"&amp;ROUNDUP(MONTH(B9213)/3,0)</f>
        <v>2015-Q1</v>
      </c>
    </row>
    <row r="9214" customFormat="false" ht="15" hidden="false" customHeight="false" outlineLevel="0" collapsed="false">
      <c r="A9214" s="0" t="s">
        <v>4688</v>
      </c>
      <c r="B9214" s="6" t="n">
        <v>41981</v>
      </c>
      <c r="C9214" s="7" t="s">
        <v>33</v>
      </c>
      <c r="D9214" s="7" t="s">
        <v>34</v>
      </c>
      <c r="E9214" s="7" t="s">
        <v>31</v>
      </c>
      <c r="F9214" s="0" t="n">
        <v>39.88</v>
      </c>
      <c r="G9214" s="0" t="n">
        <v>11.1664</v>
      </c>
      <c r="H9214" s="0" t="n">
        <v>0</v>
      </c>
      <c r="I9214" s="7" t="n">
        <f aca="false">YEAR(B9214)</f>
        <v>2014</v>
      </c>
      <c r="J9214" s="0" t="str">
        <f aca="false">I9214&amp;"-Q"&amp;ROUNDUP(MONTH(B9214)/3,0)</f>
        <v>2014-Q4</v>
      </c>
    </row>
    <row r="9215" customFormat="false" ht="15" hidden="false" customHeight="false" outlineLevel="0" collapsed="false">
      <c r="A9215" s="0" t="s">
        <v>4688</v>
      </c>
      <c r="B9215" s="6" t="n">
        <v>41981</v>
      </c>
      <c r="C9215" s="7" t="s">
        <v>33</v>
      </c>
      <c r="D9215" s="7" t="s">
        <v>34</v>
      </c>
      <c r="E9215" s="7" t="s">
        <v>31</v>
      </c>
      <c r="F9215" s="0" t="n">
        <v>79.44</v>
      </c>
      <c r="G9215" s="0" t="n">
        <v>28.5984</v>
      </c>
      <c r="H9215" s="0" t="n">
        <v>0</v>
      </c>
      <c r="I9215" s="7" t="n">
        <f aca="false">YEAR(B9215)</f>
        <v>2014</v>
      </c>
      <c r="J9215" s="0" t="str">
        <f aca="false">I9215&amp;"-Q"&amp;ROUNDUP(MONTH(B9215)/3,0)</f>
        <v>2014-Q4</v>
      </c>
    </row>
    <row r="9216" customFormat="false" ht="15" hidden="false" customHeight="false" outlineLevel="0" collapsed="false">
      <c r="A9216" s="0" t="s">
        <v>4689</v>
      </c>
      <c r="B9216" s="6" t="n">
        <v>43008</v>
      </c>
      <c r="C9216" s="7" t="s">
        <v>55</v>
      </c>
      <c r="D9216" s="7" t="s">
        <v>56</v>
      </c>
      <c r="E9216" s="7" t="s">
        <v>35</v>
      </c>
      <c r="F9216" s="0" t="n">
        <v>20.664</v>
      </c>
      <c r="G9216" s="0" t="n">
        <v>6.9741</v>
      </c>
      <c r="H9216" s="0" t="n">
        <v>0.2</v>
      </c>
      <c r="I9216" s="7" t="n">
        <f aca="false">YEAR(B9216)</f>
        <v>2017</v>
      </c>
      <c r="J9216" s="0" t="str">
        <f aca="false">I9216&amp;"-Q"&amp;ROUNDUP(MONTH(B9216)/3,0)</f>
        <v>2017-Q3</v>
      </c>
    </row>
    <row r="9217" customFormat="false" ht="15" hidden="false" customHeight="false" outlineLevel="0" collapsed="false">
      <c r="A9217" s="0" t="s">
        <v>4690</v>
      </c>
      <c r="B9217" s="6" t="n">
        <v>42695</v>
      </c>
      <c r="C9217" s="7" t="s">
        <v>33</v>
      </c>
      <c r="D9217" s="7" t="s">
        <v>34</v>
      </c>
      <c r="E9217" s="7" t="s">
        <v>35</v>
      </c>
      <c r="F9217" s="0" t="n">
        <v>32.4</v>
      </c>
      <c r="G9217" s="0" t="n">
        <v>15.552</v>
      </c>
      <c r="H9217" s="0" t="n">
        <v>0</v>
      </c>
      <c r="I9217" s="7" t="n">
        <f aca="false">YEAR(B9217)</f>
        <v>2016</v>
      </c>
      <c r="J9217" s="0" t="str">
        <f aca="false">I9217&amp;"-Q"&amp;ROUNDUP(MONTH(B9217)/3,0)</f>
        <v>2016-Q4</v>
      </c>
    </row>
    <row r="9218" customFormat="false" ht="15" hidden="false" customHeight="false" outlineLevel="0" collapsed="false">
      <c r="A9218" s="0" t="s">
        <v>4691</v>
      </c>
      <c r="B9218" s="6" t="n">
        <v>43063</v>
      </c>
      <c r="C9218" s="7" t="s">
        <v>45</v>
      </c>
      <c r="D9218" s="7" t="s">
        <v>46</v>
      </c>
      <c r="E9218" s="7" t="s">
        <v>35</v>
      </c>
      <c r="F9218" s="0" t="n">
        <v>13.762</v>
      </c>
      <c r="G9218" s="0" t="n">
        <v>-24.7716</v>
      </c>
      <c r="H9218" s="0" t="n">
        <v>0.8</v>
      </c>
      <c r="I9218" s="7" t="n">
        <f aca="false">YEAR(B9218)</f>
        <v>2017</v>
      </c>
      <c r="J9218" s="0" t="str">
        <f aca="false">I9218&amp;"-Q"&amp;ROUNDUP(MONTH(B9218)/3,0)</f>
        <v>2017-Q4</v>
      </c>
    </row>
    <row r="9219" customFormat="false" ht="15" hidden="false" customHeight="false" outlineLevel="0" collapsed="false">
      <c r="A9219" s="0" t="s">
        <v>4692</v>
      </c>
      <c r="B9219" s="6" t="n">
        <v>43053</v>
      </c>
      <c r="C9219" s="7" t="s">
        <v>45</v>
      </c>
      <c r="D9219" s="7" t="s">
        <v>68</v>
      </c>
      <c r="E9219" s="7" t="s">
        <v>35</v>
      </c>
      <c r="F9219" s="0" t="n">
        <v>15.28</v>
      </c>
      <c r="G9219" s="0" t="n">
        <v>7.4872</v>
      </c>
      <c r="H9219" s="0" t="n">
        <v>0</v>
      </c>
      <c r="I9219" s="7" t="n">
        <f aca="false">YEAR(B9219)</f>
        <v>2017</v>
      </c>
      <c r="J9219" s="0" t="str">
        <f aca="false">I9219&amp;"-Q"&amp;ROUNDUP(MONTH(B9219)/3,0)</f>
        <v>2017-Q4</v>
      </c>
    </row>
    <row r="9220" customFormat="false" ht="15" hidden="false" customHeight="false" outlineLevel="0" collapsed="false">
      <c r="A9220" s="0" t="s">
        <v>4693</v>
      </c>
      <c r="B9220" s="6" t="n">
        <v>42232</v>
      </c>
      <c r="C9220" s="7" t="s">
        <v>55</v>
      </c>
      <c r="D9220" s="7" t="s">
        <v>56</v>
      </c>
      <c r="E9220" s="7" t="s">
        <v>35</v>
      </c>
      <c r="F9220" s="0" t="n">
        <v>44.688</v>
      </c>
      <c r="G9220" s="0" t="n">
        <v>3.3516</v>
      </c>
      <c r="H9220" s="0" t="n">
        <v>0.2</v>
      </c>
      <c r="I9220" s="7" t="n">
        <f aca="false">YEAR(B9220)</f>
        <v>2015</v>
      </c>
      <c r="J9220" s="0" t="str">
        <f aca="false">I9220&amp;"-Q"&amp;ROUNDUP(MONTH(B9220)/3,0)</f>
        <v>2015-Q3</v>
      </c>
    </row>
    <row r="9221" customFormat="false" ht="15" hidden="false" customHeight="false" outlineLevel="0" collapsed="false">
      <c r="A9221" s="0" t="s">
        <v>4693</v>
      </c>
      <c r="B9221" s="6" t="n">
        <v>42232</v>
      </c>
      <c r="C9221" s="7" t="s">
        <v>55</v>
      </c>
      <c r="D9221" s="7" t="s">
        <v>56</v>
      </c>
      <c r="E9221" s="7" t="s">
        <v>31</v>
      </c>
      <c r="F9221" s="0" t="n">
        <v>301.47</v>
      </c>
      <c r="G9221" s="0" t="n">
        <v>-204.9996</v>
      </c>
      <c r="H9221" s="0" t="n">
        <v>0.5</v>
      </c>
      <c r="I9221" s="7" t="n">
        <f aca="false">YEAR(B9221)</f>
        <v>2015</v>
      </c>
      <c r="J9221" s="0" t="str">
        <f aca="false">I9221&amp;"-Q"&amp;ROUNDUP(MONTH(B9221)/3,0)</f>
        <v>2015-Q3</v>
      </c>
    </row>
    <row r="9222" customFormat="false" ht="15" hidden="false" customHeight="false" outlineLevel="0" collapsed="false">
      <c r="A9222" s="0" t="s">
        <v>4694</v>
      </c>
      <c r="B9222" s="6" t="n">
        <v>43021</v>
      </c>
      <c r="C9222" s="7" t="s">
        <v>29</v>
      </c>
      <c r="D9222" s="7" t="s">
        <v>152</v>
      </c>
      <c r="E9222" s="7" t="s">
        <v>35</v>
      </c>
      <c r="F9222" s="0" t="n">
        <v>11.07</v>
      </c>
      <c r="G9222" s="0" t="n">
        <v>5.2029</v>
      </c>
      <c r="H9222" s="0" t="n">
        <v>0</v>
      </c>
      <c r="I9222" s="7" t="n">
        <f aca="false">YEAR(B9222)</f>
        <v>2017</v>
      </c>
      <c r="J9222" s="0" t="str">
        <f aca="false">I9222&amp;"-Q"&amp;ROUNDUP(MONTH(B9222)/3,0)</f>
        <v>2017-Q4</v>
      </c>
    </row>
    <row r="9223" customFormat="false" ht="15" hidden="false" customHeight="false" outlineLevel="0" collapsed="false">
      <c r="A9223" s="0" t="s">
        <v>4694</v>
      </c>
      <c r="B9223" s="6" t="n">
        <v>43021</v>
      </c>
      <c r="C9223" s="7" t="s">
        <v>29</v>
      </c>
      <c r="D9223" s="7" t="s">
        <v>152</v>
      </c>
      <c r="E9223" s="7" t="s">
        <v>31</v>
      </c>
      <c r="F9223" s="0" t="n">
        <v>1504.52</v>
      </c>
      <c r="G9223" s="0" t="n">
        <v>346.0396</v>
      </c>
      <c r="H9223" s="0" t="n">
        <v>0</v>
      </c>
      <c r="I9223" s="7" t="n">
        <f aca="false">YEAR(B9223)</f>
        <v>2017</v>
      </c>
      <c r="J9223" s="0" t="str">
        <f aca="false">I9223&amp;"-Q"&amp;ROUNDUP(MONTH(B9223)/3,0)</f>
        <v>2017-Q4</v>
      </c>
    </row>
    <row r="9224" customFormat="false" ht="15" hidden="false" customHeight="false" outlineLevel="0" collapsed="false">
      <c r="A9224" s="0" t="s">
        <v>4694</v>
      </c>
      <c r="B9224" s="6" t="n">
        <v>43021</v>
      </c>
      <c r="C9224" s="7" t="s">
        <v>29</v>
      </c>
      <c r="D9224" s="7" t="s">
        <v>152</v>
      </c>
      <c r="E9224" s="7" t="s">
        <v>35</v>
      </c>
      <c r="F9224" s="0" t="n">
        <v>25.92</v>
      </c>
      <c r="G9224" s="0" t="n">
        <v>12.4416</v>
      </c>
      <c r="H9224" s="0" t="n">
        <v>0</v>
      </c>
      <c r="I9224" s="7" t="n">
        <f aca="false">YEAR(B9224)</f>
        <v>2017</v>
      </c>
      <c r="J9224" s="0" t="str">
        <f aca="false">I9224&amp;"-Q"&amp;ROUNDUP(MONTH(B9224)/3,0)</f>
        <v>2017-Q4</v>
      </c>
    </row>
    <row r="9225" customFormat="false" ht="15" hidden="false" customHeight="false" outlineLevel="0" collapsed="false">
      <c r="A9225" s="0" t="s">
        <v>4695</v>
      </c>
      <c r="B9225" s="6" t="n">
        <v>43043</v>
      </c>
      <c r="C9225" s="7" t="s">
        <v>45</v>
      </c>
      <c r="D9225" s="7" t="s">
        <v>46</v>
      </c>
      <c r="E9225" s="7" t="s">
        <v>35</v>
      </c>
      <c r="F9225" s="0" t="n">
        <v>7.536</v>
      </c>
      <c r="G9225" s="0" t="n">
        <v>-13.188</v>
      </c>
      <c r="H9225" s="0" t="n">
        <v>0.8</v>
      </c>
      <c r="I9225" s="7" t="n">
        <f aca="false">YEAR(B9225)</f>
        <v>2017</v>
      </c>
      <c r="J9225" s="0" t="str">
        <f aca="false">I9225&amp;"-Q"&amp;ROUNDUP(MONTH(B9225)/3,0)</f>
        <v>2017-Q4</v>
      </c>
    </row>
    <row r="9226" customFormat="false" ht="15" hidden="false" customHeight="false" outlineLevel="0" collapsed="false">
      <c r="A9226" s="0" t="s">
        <v>4695</v>
      </c>
      <c r="B9226" s="6" t="n">
        <v>43043</v>
      </c>
      <c r="C9226" s="7" t="s">
        <v>45</v>
      </c>
      <c r="D9226" s="7" t="s">
        <v>46</v>
      </c>
      <c r="E9226" s="7" t="s">
        <v>35</v>
      </c>
      <c r="F9226" s="0" t="n">
        <v>1.408</v>
      </c>
      <c r="G9226" s="0" t="n">
        <v>-2.3232</v>
      </c>
      <c r="H9226" s="0" t="n">
        <v>0.8</v>
      </c>
      <c r="I9226" s="7" t="n">
        <f aca="false">YEAR(B9226)</f>
        <v>2017</v>
      </c>
      <c r="J9226" s="0" t="str">
        <f aca="false">I9226&amp;"-Q"&amp;ROUNDUP(MONTH(B9226)/3,0)</f>
        <v>2017-Q4</v>
      </c>
    </row>
    <row r="9227" customFormat="false" ht="15" hidden="false" customHeight="false" outlineLevel="0" collapsed="false">
      <c r="A9227" s="0" t="s">
        <v>4695</v>
      </c>
      <c r="B9227" s="6" t="n">
        <v>43043</v>
      </c>
      <c r="C9227" s="7" t="s">
        <v>45</v>
      </c>
      <c r="D9227" s="7" t="s">
        <v>46</v>
      </c>
      <c r="E9227" s="7" t="s">
        <v>35</v>
      </c>
      <c r="F9227" s="0" t="n">
        <v>4.144</v>
      </c>
      <c r="G9227" s="0" t="n">
        <v>-6.4232</v>
      </c>
      <c r="H9227" s="0" t="n">
        <v>0.8</v>
      </c>
      <c r="I9227" s="7" t="n">
        <f aca="false">YEAR(B9227)</f>
        <v>2017</v>
      </c>
      <c r="J9227" s="0" t="str">
        <f aca="false">I9227&amp;"-Q"&amp;ROUNDUP(MONTH(B9227)/3,0)</f>
        <v>2017-Q4</v>
      </c>
    </row>
    <row r="9228" customFormat="false" ht="15" hidden="false" customHeight="false" outlineLevel="0" collapsed="false">
      <c r="A9228" s="0" t="s">
        <v>4695</v>
      </c>
      <c r="B9228" s="6" t="n">
        <v>43043</v>
      </c>
      <c r="C9228" s="7" t="s">
        <v>45</v>
      </c>
      <c r="D9228" s="7" t="s">
        <v>46</v>
      </c>
      <c r="E9228" s="7" t="s">
        <v>35</v>
      </c>
      <c r="F9228" s="0" t="n">
        <v>52.752</v>
      </c>
      <c r="G9228" s="0" t="n">
        <v>-12.5286</v>
      </c>
      <c r="H9228" s="0" t="n">
        <v>0.2</v>
      </c>
      <c r="I9228" s="7" t="n">
        <f aca="false">YEAR(B9228)</f>
        <v>2017</v>
      </c>
      <c r="J9228" s="0" t="str">
        <f aca="false">I9228&amp;"-Q"&amp;ROUNDUP(MONTH(B9228)/3,0)</f>
        <v>2017-Q4</v>
      </c>
    </row>
    <row r="9229" customFormat="false" ht="15" hidden="false" customHeight="false" outlineLevel="0" collapsed="false">
      <c r="A9229" s="0" t="s">
        <v>4696</v>
      </c>
      <c r="B9229" s="6" t="n">
        <v>42813</v>
      </c>
      <c r="C9229" s="7" t="s">
        <v>33</v>
      </c>
      <c r="D9229" s="7" t="s">
        <v>34</v>
      </c>
      <c r="E9229" s="7" t="s">
        <v>35</v>
      </c>
      <c r="F9229" s="0" t="n">
        <v>381.36</v>
      </c>
      <c r="G9229" s="0" t="n">
        <v>106.7808</v>
      </c>
      <c r="H9229" s="0" t="n">
        <v>0</v>
      </c>
      <c r="I9229" s="7" t="n">
        <f aca="false">YEAR(B9229)</f>
        <v>2017</v>
      </c>
      <c r="J9229" s="0" t="str">
        <f aca="false">I9229&amp;"-Q"&amp;ROUNDUP(MONTH(B9229)/3,0)</f>
        <v>2017-Q1</v>
      </c>
    </row>
    <row r="9230" customFormat="false" ht="15" hidden="false" customHeight="false" outlineLevel="0" collapsed="false">
      <c r="A9230" s="0" t="s">
        <v>4697</v>
      </c>
      <c r="B9230" s="6" t="n">
        <v>41946</v>
      </c>
      <c r="C9230" s="7" t="s">
        <v>33</v>
      </c>
      <c r="D9230" s="7" t="s">
        <v>34</v>
      </c>
      <c r="E9230" s="7" t="s">
        <v>35</v>
      </c>
      <c r="F9230" s="0" t="n">
        <v>6.72</v>
      </c>
      <c r="G9230" s="0" t="n">
        <v>3.36</v>
      </c>
      <c r="H9230" s="0" t="n">
        <v>0</v>
      </c>
      <c r="I9230" s="7" t="n">
        <f aca="false">YEAR(B9230)</f>
        <v>2014</v>
      </c>
      <c r="J9230" s="0" t="str">
        <f aca="false">I9230&amp;"-Q"&amp;ROUNDUP(MONTH(B9230)/3,0)</f>
        <v>2014-Q4</v>
      </c>
    </row>
    <row r="9231" customFormat="false" ht="15" hidden="false" customHeight="false" outlineLevel="0" collapsed="false">
      <c r="A9231" s="0" t="s">
        <v>4698</v>
      </c>
      <c r="B9231" s="6" t="n">
        <v>42939</v>
      </c>
      <c r="C9231" s="7" t="s">
        <v>33</v>
      </c>
      <c r="D9231" s="7" t="s">
        <v>34</v>
      </c>
      <c r="E9231" s="7" t="s">
        <v>35</v>
      </c>
      <c r="F9231" s="0" t="n">
        <v>15.192</v>
      </c>
      <c r="G9231" s="0" t="n">
        <v>5.5071</v>
      </c>
      <c r="H9231" s="0" t="n">
        <v>0.2</v>
      </c>
      <c r="I9231" s="7" t="n">
        <f aca="false">YEAR(B9231)</f>
        <v>2017</v>
      </c>
      <c r="J9231" s="0" t="str">
        <f aca="false">I9231&amp;"-Q"&amp;ROUNDUP(MONTH(B9231)/3,0)</f>
        <v>2017-Q3</v>
      </c>
    </row>
    <row r="9232" customFormat="false" ht="15" hidden="false" customHeight="false" outlineLevel="0" collapsed="false">
      <c r="A9232" s="0" t="s">
        <v>4698</v>
      </c>
      <c r="B9232" s="6" t="n">
        <v>42939</v>
      </c>
      <c r="C9232" s="7" t="s">
        <v>33</v>
      </c>
      <c r="D9232" s="7" t="s">
        <v>34</v>
      </c>
      <c r="E9232" s="7" t="s">
        <v>35</v>
      </c>
      <c r="F9232" s="0" t="n">
        <v>58.32</v>
      </c>
      <c r="G9232" s="0" t="n">
        <v>27.9936</v>
      </c>
      <c r="H9232" s="0" t="n">
        <v>0</v>
      </c>
      <c r="I9232" s="7" t="n">
        <f aca="false">YEAR(B9232)</f>
        <v>2017</v>
      </c>
      <c r="J9232" s="0" t="str">
        <f aca="false">I9232&amp;"-Q"&amp;ROUNDUP(MONTH(B9232)/3,0)</f>
        <v>2017-Q3</v>
      </c>
    </row>
    <row r="9233" customFormat="false" ht="15" hidden="false" customHeight="false" outlineLevel="0" collapsed="false">
      <c r="A9233" s="0" t="s">
        <v>4699</v>
      </c>
      <c r="B9233" s="6" t="n">
        <v>42000</v>
      </c>
      <c r="C9233" s="7" t="s">
        <v>33</v>
      </c>
      <c r="D9233" s="7" t="s">
        <v>81</v>
      </c>
      <c r="E9233" s="7" t="s">
        <v>35</v>
      </c>
      <c r="F9233" s="0" t="n">
        <v>946.764</v>
      </c>
      <c r="G9233" s="0" t="n">
        <v>-694.2936</v>
      </c>
      <c r="H9233" s="0" t="n">
        <v>0.7</v>
      </c>
      <c r="I9233" s="7" t="n">
        <f aca="false">YEAR(B9233)</f>
        <v>2014</v>
      </c>
      <c r="J9233" s="0" t="str">
        <f aca="false">I9233&amp;"-Q"&amp;ROUNDUP(MONTH(B9233)/3,0)</f>
        <v>2014-Q4</v>
      </c>
    </row>
    <row r="9234" customFormat="false" ht="15" hidden="false" customHeight="false" outlineLevel="0" collapsed="false">
      <c r="A9234" s="0" t="s">
        <v>4700</v>
      </c>
      <c r="B9234" s="6" t="n">
        <v>42615</v>
      </c>
      <c r="C9234" s="7" t="s">
        <v>33</v>
      </c>
      <c r="D9234" s="7" t="s">
        <v>34</v>
      </c>
      <c r="E9234" s="7" t="s">
        <v>31</v>
      </c>
      <c r="F9234" s="0" t="n">
        <v>94.68</v>
      </c>
      <c r="G9234" s="0" t="n">
        <v>31.2444</v>
      </c>
      <c r="H9234" s="0" t="n">
        <v>0</v>
      </c>
      <c r="I9234" s="7" t="n">
        <f aca="false">YEAR(B9234)</f>
        <v>2016</v>
      </c>
      <c r="J9234" s="0" t="str">
        <f aca="false">I9234&amp;"-Q"&amp;ROUNDUP(MONTH(B9234)/3,0)</f>
        <v>2016-Q3</v>
      </c>
    </row>
    <row r="9235" customFormat="false" ht="15" hidden="false" customHeight="false" outlineLevel="0" collapsed="false">
      <c r="A9235" s="0" t="s">
        <v>4700</v>
      </c>
      <c r="B9235" s="6" t="n">
        <v>42615</v>
      </c>
      <c r="C9235" s="7" t="s">
        <v>33</v>
      </c>
      <c r="D9235" s="7" t="s">
        <v>34</v>
      </c>
      <c r="E9235" s="7" t="s">
        <v>35</v>
      </c>
      <c r="F9235" s="0" t="n">
        <v>23.67</v>
      </c>
      <c r="G9235" s="0" t="n">
        <v>0.9468</v>
      </c>
      <c r="H9235" s="0" t="n">
        <v>0</v>
      </c>
      <c r="I9235" s="7" t="n">
        <f aca="false">YEAR(B9235)</f>
        <v>2016</v>
      </c>
      <c r="J9235" s="0" t="str">
        <f aca="false">I9235&amp;"-Q"&amp;ROUNDUP(MONTH(B9235)/3,0)</f>
        <v>2016-Q3</v>
      </c>
    </row>
    <row r="9236" customFormat="false" ht="15" hidden="false" customHeight="false" outlineLevel="0" collapsed="false">
      <c r="A9236" s="0" t="s">
        <v>4700</v>
      </c>
      <c r="B9236" s="6" t="n">
        <v>42615</v>
      </c>
      <c r="C9236" s="7" t="s">
        <v>33</v>
      </c>
      <c r="D9236" s="7" t="s">
        <v>34</v>
      </c>
      <c r="E9236" s="7" t="s">
        <v>39</v>
      </c>
      <c r="F9236" s="0" t="n">
        <v>1091.168</v>
      </c>
      <c r="G9236" s="0" t="n">
        <v>68.198</v>
      </c>
      <c r="H9236" s="0" t="n">
        <v>0.2</v>
      </c>
      <c r="I9236" s="7" t="n">
        <f aca="false">YEAR(B9236)</f>
        <v>2016</v>
      </c>
      <c r="J9236" s="0" t="str">
        <f aca="false">I9236&amp;"-Q"&amp;ROUNDUP(MONTH(B9236)/3,0)</f>
        <v>2016-Q3</v>
      </c>
    </row>
    <row r="9237" customFormat="false" ht="15" hidden="false" customHeight="false" outlineLevel="0" collapsed="false">
      <c r="A9237" s="0" t="s">
        <v>4700</v>
      </c>
      <c r="B9237" s="6" t="n">
        <v>42615</v>
      </c>
      <c r="C9237" s="7" t="s">
        <v>33</v>
      </c>
      <c r="D9237" s="7" t="s">
        <v>34</v>
      </c>
      <c r="E9237" s="7" t="s">
        <v>35</v>
      </c>
      <c r="F9237" s="0" t="n">
        <v>18.69</v>
      </c>
      <c r="G9237" s="0" t="n">
        <v>5.2332</v>
      </c>
      <c r="H9237" s="0" t="n">
        <v>0</v>
      </c>
      <c r="I9237" s="7" t="n">
        <f aca="false">YEAR(B9237)</f>
        <v>2016</v>
      </c>
      <c r="J9237" s="0" t="str">
        <f aca="false">I9237&amp;"-Q"&amp;ROUNDUP(MONTH(B9237)/3,0)</f>
        <v>2016-Q3</v>
      </c>
    </row>
    <row r="9238" customFormat="false" ht="15" hidden="false" customHeight="false" outlineLevel="0" collapsed="false">
      <c r="A9238" s="0" t="s">
        <v>4700</v>
      </c>
      <c r="B9238" s="6" t="n">
        <v>42615</v>
      </c>
      <c r="C9238" s="7" t="s">
        <v>33</v>
      </c>
      <c r="D9238" s="7" t="s">
        <v>34</v>
      </c>
      <c r="E9238" s="7" t="s">
        <v>31</v>
      </c>
      <c r="F9238" s="0" t="n">
        <v>568.728</v>
      </c>
      <c r="G9238" s="0" t="n">
        <v>28.4364</v>
      </c>
      <c r="H9238" s="0" t="n">
        <v>0.2</v>
      </c>
      <c r="I9238" s="7" t="n">
        <f aca="false">YEAR(B9238)</f>
        <v>2016</v>
      </c>
      <c r="J9238" s="0" t="str">
        <f aca="false">I9238&amp;"-Q"&amp;ROUNDUP(MONTH(B9238)/3,0)</f>
        <v>2016-Q3</v>
      </c>
    </row>
    <row r="9239" customFormat="false" ht="15" hidden="false" customHeight="false" outlineLevel="0" collapsed="false">
      <c r="A9239" s="0" t="s">
        <v>4700</v>
      </c>
      <c r="B9239" s="6" t="n">
        <v>42615</v>
      </c>
      <c r="C9239" s="7" t="s">
        <v>33</v>
      </c>
      <c r="D9239" s="7" t="s">
        <v>34</v>
      </c>
      <c r="E9239" s="7" t="s">
        <v>35</v>
      </c>
      <c r="F9239" s="0" t="n">
        <v>7.312</v>
      </c>
      <c r="G9239" s="0" t="n">
        <v>2.5592</v>
      </c>
      <c r="H9239" s="0" t="n">
        <v>0.2</v>
      </c>
      <c r="I9239" s="7" t="n">
        <f aca="false">YEAR(B9239)</f>
        <v>2016</v>
      </c>
      <c r="J9239" s="0" t="str">
        <f aca="false">I9239&amp;"-Q"&amp;ROUNDUP(MONTH(B9239)/3,0)</f>
        <v>2016-Q3</v>
      </c>
    </row>
    <row r="9240" customFormat="false" ht="15" hidden="false" customHeight="false" outlineLevel="0" collapsed="false">
      <c r="A9240" s="0" t="s">
        <v>4701</v>
      </c>
      <c r="B9240" s="6" t="n">
        <v>42777</v>
      </c>
      <c r="C9240" s="7" t="s">
        <v>55</v>
      </c>
      <c r="D9240" s="7" t="s">
        <v>116</v>
      </c>
      <c r="E9240" s="7" t="s">
        <v>31</v>
      </c>
      <c r="F9240" s="0" t="n">
        <v>147.568</v>
      </c>
      <c r="G9240" s="0" t="n">
        <v>-3.6892</v>
      </c>
      <c r="H9240" s="0" t="n">
        <v>0.2</v>
      </c>
      <c r="I9240" s="7" t="n">
        <f aca="false">YEAR(B9240)</f>
        <v>2017</v>
      </c>
      <c r="J9240" s="0" t="str">
        <f aca="false">I9240&amp;"-Q"&amp;ROUNDUP(MONTH(B9240)/3,0)</f>
        <v>2017-Q1</v>
      </c>
    </row>
    <row r="9241" customFormat="false" ht="15" hidden="false" customHeight="false" outlineLevel="0" collapsed="false">
      <c r="A9241" s="0" t="s">
        <v>4702</v>
      </c>
      <c r="B9241" s="6" t="n">
        <v>43035</v>
      </c>
      <c r="C9241" s="7" t="s">
        <v>29</v>
      </c>
      <c r="D9241" s="7" t="s">
        <v>37</v>
      </c>
      <c r="E9241" s="7" t="s">
        <v>35</v>
      </c>
      <c r="F9241" s="0" t="n">
        <v>56.784</v>
      </c>
      <c r="G9241" s="0" t="n">
        <v>20.5842</v>
      </c>
      <c r="H9241" s="0" t="n">
        <v>0.2</v>
      </c>
      <c r="I9241" s="7" t="n">
        <f aca="false">YEAR(B9241)</f>
        <v>2017</v>
      </c>
      <c r="J9241" s="0" t="str">
        <f aca="false">I9241&amp;"-Q"&amp;ROUNDUP(MONTH(B9241)/3,0)</f>
        <v>2017-Q4</v>
      </c>
    </row>
    <row r="9242" customFormat="false" ht="15" hidden="false" customHeight="false" outlineLevel="0" collapsed="false">
      <c r="A9242" s="0" t="s">
        <v>4702</v>
      </c>
      <c r="B9242" s="6" t="n">
        <v>43035</v>
      </c>
      <c r="C9242" s="7" t="s">
        <v>29</v>
      </c>
      <c r="D9242" s="7" t="s">
        <v>37</v>
      </c>
      <c r="E9242" s="7" t="s">
        <v>35</v>
      </c>
      <c r="F9242" s="0" t="n">
        <v>5.607</v>
      </c>
      <c r="G9242" s="0" t="n">
        <v>-3.9249</v>
      </c>
      <c r="H9242" s="0" t="n">
        <v>0.7</v>
      </c>
      <c r="I9242" s="7" t="n">
        <f aca="false">YEAR(B9242)</f>
        <v>2017</v>
      </c>
      <c r="J9242" s="0" t="str">
        <f aca="false">I9242&amp;"-Q"&amp;ROUNDUP(MONTH(B9242)/3,0)</f>
        <v>2017-Q4</v>
      </c>
    </row>
    <row r="9243" customFormat="false" ht="15" hidden="false" customHeight="false" outlineLevel="0" collapsed="false">
      <c r="A9243" s="0" t="s">
        <v>4702</v>
      </c>
      <c r="B9243" s="6" t="n">
        <v>43035</v>
      </c>
      <c r="C9243" s="7" t="s">
        <v>29</v>
      </c>
      <c r="D9243" s="7" t="s">
        <v>37</v>
      </c>
      <c r="E9243" s="7" t="s">
        <v>35</v>
      </c>
      <c r="F9243" s="0" t="n">
        <v>6.576</v>
      </c>
      <c r="G9243" s="0" t="n">
        <v>0.5754</v>
      </c>
      <c r="H9243" s="0" t="n">
        <v>0.2</v>
      </c>
      <c r="I9243" s="7" t="n">
        <f aca="false">YEAR(B9243)</f>
        <v>2017</v>
      </c>
      <c r="J9243" s="0" t="str">
        <f aca="false">I9243&amp;"-Q"&amp;ROUNDUP(MONTH(B9243)/3,0)</f>
        <v>2017-Q4</v>
      </c>
    </row>
    <row r="9244" customFormat="false" ht="15" hidden="false" customHeight="false" outlineLevel="0" collapsed="false">
      <c r="A9244" s="0" t="s">
        <v>4703</v>
      </c>
      <c r="B9244" s="6" t="n">
        <v>41829</v>
      </c>
      <c r="C9244" s="7" t="s">
        <v>33</v>
      </c>
      <c r="D9244" s="7" t="s">
        <v>34</v>
      </c>
      <c r="E9244" s="7" t="s">
        <v>35</v>
      </c>
      <c r="F9244" s="0" t="n">
        <v>14.304</v>
      </c>
      <c r="G9244" s="0" t="n">
        <v>4.6488</v>
      </c>
      <c r="H9244" s="0" t="n">
        <v>0.2</v>
      </c>
      <c r="I9244" s="7" t="n">
        <f aca="false">YEAR(B9244)</f>
        <v>2014</v>
      </c>
      <c r="J9244" s="0" t="str">
        <f aca="false">I9244&amp;"-Q"&amp;ROUNDUP(MONTH(B9244)/3,0)</f>
        <v>2014-Q3</v>
      </c>
    </row>
    <row r="9245" customFormat="false" ht="15" hidden="false" customHeight="false" outlineLevel="0" collapsed="false">
      <c r="A9245" s="0" t="s">
        <v>4703</v>
      </c>
      <c r="B9245" s="6" t="n">
        <v>41829</v>
      </c>
      <c r="C9245" s="7" t="s">
        <v>33</v>
      </c>
      <c r="D9245" s="7" t="s">
        <v>34</v>
      </c>
      <c r="E9245" s="7" t="s">
        <v>31</v>
      </c>
      <c r="F9245" s="0" t="n">
        <v>119.833</v>
      </c>
      <c r="G9245" s="0" t="n">
        <v>7.049</v>
      </c>
      <c r="H9245" s="0" t="n">
        <v>0.15</v>
      </c>
      <c r="I9245" s="7" t="n">
        <f aca="false">YEAR(B9245)</f>
        <v>2014</v>
      </c>
      <c r="J9245" s="0" t="str">
        <f aca="false">I9245&amp;"-Q"&amp;ROUNDUP(MONTH(B9245)/3,0)</f>
        <v>2014-Q3</v>
      </c>
    </row>
    <row r="9246" customFormat="false" ht="15" hidden="false" customHeight="false" outlineLevel="0" collapsed="false">
      <c r="A9246" s="0" t="s">
        <v>4703</v>
      </c>
      <c r="B9246" s="6" t="n">
        <v>41829</v>
      </c>
      <c r="C9246" s="7" t="s">
        <v>33</v>
      </c>
      <c r="D9246" s="7" t="s">
        <v>34</v>
      </c>
      <c r="E9246" s="7" t="s">
        <v>35</v>
      </c>
      <c r="F9246" s="0" t="n">
        <v>5.56</v>
      </c>
      <c r="G9246" s="0" t="n">
        <v>2.224</v>
      </c>
      <c r="H9246" s="0" t="n">
        <v>0</v>
      </c>
      <c r="I9246" s="7" t="n">
        <f aca="false">YEAR(B9246)</f>
        <v>2014</v>
      </c>
      <c r="J9246" s="0" t="str">
        <f aca="false">I9246&amp;"-Q"&amp;ROUNDUP(MONTH(B9246)/3,0)</f>
        <v>2014-Q3</v>
      </c>
    </row>
    <row r="9247" customFormat="false" ht="15" hidden="false" customHeight="false" outlineLevel="0" collapsed="false">
      <c r="A9247" s="0" t="s">
        <v>4703</v>
      </c>
      <c r="B9247" s="6" t="n">
        <v>41829</v>
      </c>
      <c r="C9247" s="7" t="s">
        <v>33</v>
      </c>
      <c r="D9247" s="7" t="s">
        <v>34</v>
      </c>
      <c r="E9247" s="7" t="s">
        <v>35</v>
      </c>
      <c r="F9247" s="0" t="n">
        <v>32.4</v>
      </c>
      <c r="G9247" s="0" t="n">
        <v>15.552</v>
      </c>
      <c r="H9247" s="0" t="n">
        <v>0</v>
      </c>
      <c r="I9247" s="7" t="n">
        <f aca="false">YEAR(B9247)</f>
        <v>2014</v>
      </c>
      <c r="J9247" s="0" t="str">
        <f aca="false">I9247&amp;"-Q"&amp;ROUNDUP(MONTH(B9247)/3,0)</f>
        <v>2014-Q3</v>
      </c>
    </row>
    <row r="9248" customFormat="false" ht="15" hidden="false" customHeight="false" outlineLevel="0" collapsed="false">
      <c r="A9248" s="0" t="s">
        <v>4704</v>
      </c>
      <c r="B9248" s="6" t="n">
        <v>42877</v>
      </c>
      <c r="C9248" s="7" t="s">
        <v>33</v>
      </c>
      <c r="D9248" s="7" t="s">
        <v>34</v>
      </c>
      <c r="E9248" s="7" t="s">
        <v>35</v>
      </c>
      <c r="F9248" s="0" t="n">
        <v>9.84</v>
      </c>
      <c r="G9248" s="0" t="n">
        <v>2.8536</v>
      </c>
      <c r="H9248" s="0" t="n">
        <v>0</v>
      </c>
      <c r="I9248" s="7" t="n">
        <f aca="false">YEAR(B9248)</f>
        <v>2017</v>
      </c>
      <c r="J9248" s="0" t="str">
        <f aca="false">I9248&amp;"-Q"&amp;ROUNDUP(MONTH(B9248)/3,0)</f>
        <v>2017-Q2</v>
      </c>
    </row>
    <row r="9249" customFormat="false" ht="15" hidden="false" customHeight="false" outlineLevel="0" collapsed="false">
      <c r="A9249" s="0" t="s">
        <v>4704</v>
      </c>
      <c r="B9249" s="6" t="n">
        <v>42877</v>
      </c>
      <c r="C9249" s="7" t="s">
        <v>33</v>
      </c>
      <c r="D9249" s="7" t="s">
        <v>34</v>
      </c>
      <c r="E9249" s="7" t="s">
        <v>35</v>
      </c>
      <c r="F9249" s="0" t="n">
        <v>2.78</v>
      </c>
      <c r="G9249" s="0" t="n">
        <v>0.7228</v>
      </c>
      <c r="H9249" s="0" t="n">
        <v>0</v>
      </c>
      <c r="I9249" s="7" t="n">
        <f aca="false">YEAR(B9249)</f>
        <v>2017</v>
      </c>
      <c r="J9249" s="0" t="str">
        <f aca="false">I9249&amp;"-Q"&amp;ROUNDUP(MONTH(B9249)/3,0)</f>
        <v>2017-Q2</v>
      </c>
    </row>
    <row r="9250" customFormat="false" ht="15" hidden="false" customHeight="false" outlineLevel="0" collapsed="false">
      <c r="A9250" s="0" t="s">
        <v>4705</v>
      </c>
      <c r="B9250" s="6" t="n">
        <v>42684</v>
      </c>
      <c r="C9250" s="7" t="s">
        <v>55</v>
      </c>
      <c r="D9250" s="7" t="s">
        <v>76</v>
      </c>
      <c r="E9250" s="7" t="s">
        <v>35</v>
      </c>
      <c r="F9250" s="0" t="n">
        <v>3.64</v>
      </c>
      <c r="G9250" s="0" t="n">
        <v>1.365</v>
      </c>
      <c r="H9250" s="0" t="n">
        <v>0.2</v>
      </c>
      <c r="I9250" s="7" t="n">
        <f aca="false">YEAR(B9250)</f>
        <v>2016</v>
      </c>
      <c r="J9250" s="0" t="str">
        <f aca="false">I9250&amp;"-Q"&amp;ROUNDUP(MONTH(B9250)/3,0)</f>
        <v>2016-Q4</v>
      </c>
    </row>
    <row r="9251" customFormat="false" ht="15" hidden="false" customHeight="false" outlineLevel="0" collapsed="false">
      <c r="A9251" s="0" t="s">
        <v>4705</v>
      </c>
      <c r="B9251" s="6" t="n">
        <v>42684</v>
      </c>
      <c r="C9251" s="7" t="s">
        <v>55</v>
      </c>
      <c r="D9251" s="7" t="s">
        <v>76</v>
      </c>
      <c r="E9251" s="7" t="s">
        <v>39</v>
      </c>
      <c r="F9251" s="0" t="n">
        <v>881.93</v>
      </c>
      <c r="G9251" s="0" t="n">
        <v>220.4825</v>
      </c>
      <c r="H9251" s="0" t="n">
        <v>0</v>
      </c>
      <c r="I9251" s="7" t="n">
        <f aca="false">YEAR(B9251)</f>
        <v>2016</v>
      </c>
      <c r="J9251" s="0" t="str">
        <f aca="false">I9251&amp;"-Q"&amp;ROUNDUP(MONTH(B9251)/3,0)</f>
        <v>2016-Q4</v>
      </c>
    </row>
    <row r="9252" customFormat="false" ht="15" hidden="false" customHeight="false" outlineLevel="0" collapsed="false">
      <c r="A9252" s="0" t="s">
        <v>4706</v>
      </c>
      <c r="B9252" s="6" t="n">
        <v>42706</v>
      </c>
      <c r="C9252" s="7" t="s">
        <v>45</v>
      </c>
      <c r="D9252" s="7" t="s">
        <v>114</v>
      </c>
      <c r="E9252" s="7" t="s">
        <v>35</v>
      </c>
      <c r="F9252" s="0" t="n">
        <v>115.84</v>
      </c>
      <c r="G9252" s="0" t="n">
        <v>54.4448</v>
      </c>
      <c r="H9252" s="0" t="n">
        <v>0</v>
      </c>
      <c r="I9252" s="7" t="n">
        <f aca="false">YEAR(B9252)</f>
        <v>2016</v>
      </c>
      <c r="J9252" s="0" t="str">
        <f aca="false">I9252&amp;"-Q"&amp;ROUNDUP(MONTH(B9252)/3,0)</f>
        <v>2016-Q4</v>
      </c>
    </row>
    <row r="9253" customFormat="false" ht="15" hidden="false" customHeight="false" outlineLevel="0" collapsed="false">
      <c r="A9253" s="0" t="s">
        <v>4707</v>
      </c>
      <c r="B9253" s="6" t="n">
        <v>42796</v>
      </c>
      <c r="C9253" s="7" t="s">
        <v>33</v>
      </c>
      <c r="D9253" s="7" t="s">
        <v>34</v>
      </c>
      <c r="E9253" s="7" t="s">
        <v>35</v>
      </c>
      <c r="F9253" s="0" t="n">
        <v>107.648</v>
      </c>
      <c r="G9253" s="0" t="n">
        <v>33.64</v>
      </c>
      <c r="H9253" s="0" t="n">
        <v>0.2</v>
      </c>
      <c r="I9253" s="7" t="n">
        <f aca="false">YEAR(B9253)</f>
        <v>2017</v>
      </c>
      <c r="J9253" s="0" t="str">
        <f aca="false">I9253&amp;"-Q"&amp;ROUNDUP(MONTH(B9253)/3,0)</f>
        <v>2017-Q1</v>
      </c>
    </row>
    <row r="9254" customFormat="false" ht="15" hidden="false" customHeight="false" outlineLevel="0" collapsed="false">
      <c r="A9254" s="0" t="s">
        <v>4708</v>
      </c>
      <c r="B9254" s="6" t="n">
        <v>43001</v>
      </c>
      <c r="C9254" s="7" t="s">
        <v>29</v>
      </c>
      <c r="D9254" s="7" t="s">
        <v>301</v>
      </c>
      <c r="E9254" s="7" t="s">
        <v>39</v>
      </c>
      <c r="F9254" s="0" t="n">
        <v>199.95</v>
      </c>
      <c r="G9254" s="0" t="n">
        <v>63.984</v>
      </c>
      <c r="H9254" s="0" t="n">
        <v>0</v>
      </c>
      <c r="I9254" s="7" t="n">
        <f aca="false">YEAR(B9254)</f>
        <v>2017</v>
      </c>
      <c r="J9254" s="0" t="str">
        <f aca="false">I9254&amp;"-Q"&amp;ROUNDUP(MONTH(B9254)/3,0)</f>
        <v>2017-Q3</v>
      </c>
    </row>
    <row r="9255" customFormat="false" ht="15" hidden="false" customHeight="false" outlineLevel="0" collapsed="false">
      <c r="A9255" s="0" t="s">
        <v>4708</v>
      </c>
      <c r="B9255" s="6" t="n">
        <v>43001</v>
      </c>
      <c r="C9255" s="7" t="s">
        <v>29</v>
      </c>
      <c r="D9255" s="7" t="s">
        <v>301</v>
      </c>
      <c r="E9255" s="7" t="s">
        <v>35</v>
      </c>
      <c r="F9255" s="0" t="n">
        <v>12.96</v>
      </c>
      <c r="G9255" s="0" t="n">
        <v>6.2208</v>
      </c>
      <c r="H9255" s="0" t="n">
        <v>0</v>
      </c>
      <c r="I9255" s="7" t="n">
        <f aca="false">YEAR(B9255)</f>
        <v>2017</v>
      </c>
      <c r="J9255" s="0" t="str">
        <f aca="false">I9255&amp;"-Q"&amp;ROUNDUP(MONTH(B9255)/3,0)</f>
        <v>2017-Q3</v>
      </c>
    </row>
    <row r="9256" customFormat="false" ht="15" hidden="false" customHeight="false" outlineLevel="0" collapsed="false">
      <c r="A9256" s="0" t="s">
        <v>4709</v>
      </c>
      <c r="B9256" s="6" t="n">
        <v>41681</v>
      </c>
      <c r="C9256" s="7" t="s">
        <v>45</v>
      </c>
      <c r="D9256" s="7" t="s">
        <v>129</v>
      </c>
      <c r="E9256" s="7" t="s">
        <v>31</v>
      </c>
      <c r="F9256" s="0" t="n">
        <v>60.89</v>
      </c>
      <c r="G9256" s="0" t="n">
        <v>15.2225</v>
      </c>
      <c r="H9256" s="0" t="n">
        <v>0</v>
      </c>
      <c r="I9256" s="7" t="n">
        <f aca="false">YEAR(B9256)</f>
        <v>2014</v>
      </c>
      <c r="J9256" s="0" t="str">
        <f aca="false">I9256&amp;"-Q"&amp;ROUNDUP(MONTH(B9256)/3,0)</f>
        <v>2014-Q1</v>
      </c>
    </row>
    <row r="9257" customFormat="false" ht="15" hidden="false" customHeight="false" outlineLevel="0" collapsed="false">
      <c r="A9257" s="0" t="s">
        <v>4709</v>
      </c>
      <c r="B9257" s="6" t="n">
        <v>41681</v>
      </c>
      <c r="C9257" s="7" t="s">
        <v>45</v>
      </c>
      <c r="D9257" s="7" t="s">
        <v>129</v>
      </c>
      <c r="E9257" s="7" t="s">
        <v>35</v>
      </c>
      <c r="F9257" s="0" t="n">
        <v>14.94</v>
      </c>
      <c r="G9257" s="0" t="n">
        <v>6.8724</v>
      </c>
      <c r="H9257" s="0" t="n">
        <v>0</v>
      </c>
      <c r="I9257" s="7" t="n">
        <f aca="false">YEAR(B9257)</f>
        <v>2014</v>
      </c>
      <c r="J9257" s="0" t="str">
        <f aca="false">I9257&amp;"-Q"&amp;ROUNDUP(MONTH(B9257)/3,0)</f>
        <v>2014-Q1</v>
      </c>
    </row>
    <row r="9258" customFormat="false" ht="15" hidden="false" customHeight="false" outlineLevel="0" collapsed="false">
      <c r="A9258" s="0" t="s">
        <v>4709</v>
      </c>
      <c r="B9258" s="6" t="n">
        <v>41681</v>
      </c>
      <c r="C9258" s="7" t="s">
        <v>45</v>
      </c>
      <c r="D9258" s="7" t="s">
        <v>129</v>
      </c>
      <c r="E9258" s="7" t="s">
        <v>35</v>
      </c>
      <c r="F9258" s="0" t="n">
        <v>9.64</v>
      </c>
      <c r="G9258" s="0" t="n">
        <v>4.4344</v>
      </c>
      <c r="H9258" s="0" t="n">
        <v>0</v>
      </c>
      <c r="I9258" s="7" t="n">
        <f aca="false">YEAR(B9258)</f>
        <v>2014</v>
      </c>
      <c r="J9258" s="0" t="str">
        <f aca="false">I9258&amp;"-Q"&amp;ROUNDUP(MONTH(B9258)/3,0)</f>
        <v>2014-Q1</v>
      </c>
    </row>
    <row r="9259" customFormat="false" ht="15" hidden="false" customHeight="false" outlineLevel="0" collapsed="false">
      <c r="A9259" s="0" t="s">
        <v>4709</v>
      </c>
      <c r="B9259" s="6" t="n">
        <v>41681</v>
      </c>
      <c r="C9259" s="7" t="s">
        <v>45</v>
      </c>
      <c r="D9259" s="7" t="s">
        <v>129</v>
      </c>
      <c r="E9259" s="7" t="s">
        <v>31</v>
      </c>
      <c r="F9259" s="0" t="n">
        <v>332.94</v>
      </c>
      <c r="G9259" s="0" t="n">
        <v>53.2704</v>
      </c>
      <c r="H9259" s="0" t="n">
        <v>0</v>
      </c>
      <c r="I9259" s="7" t="n">
        <f aca="false">YEAR(B9259)</f>
        <v>2014</v>
      </c>
      <c r="J9259" s="0" t="str">
        <f aca="false">I9259&amp;"-Q"&amp;ROUNDUP(MONTH(B9259)/3,0)</f>
        <v>2014-Q1</v>
      </c>
    </row>
    <row r="9260" customFormat="false" ht="15" hidden="false" customHeight="false" outlineLevel="0" collapsed="false">
      <c r="A9260" s="0" t="s">
        <v>4709</v>
      </c>
      <c r="B9260" s="6" t="n">
        <v>41681</v>
      </c>
      <c r="C9260" s="7" t="s">
        <v>45</v>
      </c>
      <c r="D9260" s="7" t="s">
        <v>129</v>
      </c>
      <c r="E9260" s="7" t="s">
        <v>35</v>
      </c>
      <c r="F9260" s="0" t="n">
        <v>51.9</v>
      </c>
      <c r="G9260" s="0" t="n">
        <v>24.393</v>
      </c>
      <c r="H9260" s="0" t="n">
        <v>0</v>
      </c>
      <c r="I9260" s="7" t="n">
        <f aca="false">YEAR(B9260)</f>
        <v>2014</v>
      </c>
      <c r="J9260" s="0" t="str">
        <f aca="false">I9260&amp;"-Q"&amp;ROUNDUP(MONTH(B9260)/3,0)</f>
        <v>2014-Q1</v>
      </c>
    </row>
    <row r="9261" customFormat="false" ht="15" hidden="false" customHeight="false" outlineLevel="0" collapsed="false">
      <c r="A9261" s="0" t="s">
        <v>4709</v>
      </c>
      <c r="B9261" s="6" t="n">
        <v>41681</v>
      </c>
      <c r="C9261" s="7" t="s">
        <v>45</v>
      </c>
      <c r="D9261" s="7" t="s">
        <v>129</v>
      </c>
      <c r="E9261" s="7" t="s">
        <v>35</v>
      </c>
      <c r="F9261" s="0" t="n">
        <v>64.96</v>
      </c>
      <c r="G9261" s="0" t="n">
        <v>2.5984</v>
      </c>
      <c r="H9261" s="0" t="n">
        <v>0</v>
      </c>
      <c r="I9261" s="7" t="n">
        <f aca="false">YEAR(B9261)</f>
        <v>2014</v>
      </c>
      <c r="J9261" s="0" t="str">
        <f aca="false">I9261&amp;"-Q"&amp;ROUNDUP(MONTH(B9261)/3,0)</f>
        <v>2014-Q1</v>
      </c>
    </row>
    <row r="9262" customFormat="false" ht="15" hidden="false" customHeight="false" outlineLevel="0" collapsed="false">
      <c r="A9262" s="0" t="s">
        <v>4710</v>
      </c>
      <c r="B9262" s="6" t="n">
        <v>43050</v>
      </c>
      <c r="C9262" s="7" t="s">
        <v>45</v>
      </c>
      <c r="D9262" s="7" t="s">
        <v>1218</v>
      </c>
      <c r="E9262" s="7" t="s">
        <v>35</v>
      </c>
      <c r="F9262" s="0" t="n">
        <v>25.5</v>
      </c>
      <c r="G9262" s="0" t="n">
        <v>6.63</v>
      </c>
      <c r="H9262" s="0" t="n">
        <v>0</v>
      </c>
      <c r="I9262" s="7" t="n">
        <f aca="false">YEAR(B9262)</f>
        <v>2017</v>
      </c>
      <c r="J9262" s="0" t="str">
        <f aca="false">I9262&amp;"-Q"&amp;ROUNDUP(MONTH(B9262)/3,0)</f>
        <v>2017-Q4</v>
      </c>
    </row>
    <row r="9263" customFormat="false" ht="15" hidden="false" customHeight="false" outlineLevel="0" collapsed="false">
      <c r="A9263" s="0" t="s">
        <v>4711</v>
      </c>
      <c r="B9263" s="6" t="n">
        <v>42980</v>
      </c>
      <c r="C9263" s="7" t="s">
        <v>33</v>
      </c>
      <c r="D9263" s="7" t="s">
        <v>43</v>
      </c>
      <c r="E9263" s="7" t="s">
        <v>31</v>
      </c>
      <c r="F9263" s="0" t="n">
        <v>215.976</v>
      </c>
      <c r="G9263" s="0" t="n">
        <v>-2.6997</v>
      </c>
      <c r="H9263" s="0" t="n">
        <v>0.2</v>
      </c>
      <c r="I9263" s="7" t="n">
        <f aca="false">YEAR(B9263)</f>
        <v>2017</v>
      </c>
      <c r="J9263" s="0" t="str">
        <f aca="false">I9263&amp;"-Q"&amp;ROUNDUP(MONTH(B9263)/3,0)</f>
        <v>2017-Q3</v>
      </c>
    </row>
    <row r="9264" customFormat="false" ht="15" hidden="false" customHeight="false" outlineLevel="0" collapsed="false">
      <c r="A9264" s="0" t="s">
        <v>4712</v>
      </c>
      <c r="B9264" s="6" t="n">
        <v>42286</v>
      </c>
      <c r="C9264" s="7" t="s">
        <v>45</v>
      </c>
      <c r="D9264" s="7" t="s">
        <v>70</v>
      </c>
      <c r="E9264" s="7" t="s">
        <v>31</v>
      </c>
      <c r="F9264" s="0" t="n">
        <v>389.97</v>
      </c>
      <c r="G9264" s="0" t="n">
        <v>35.0973</v>
      </c>
      <c r="H9264" s="0" t="n">
        <v>0</v>
      </c>
      <c r="I9264" s="7" t="n">
        <f aca="false">YEAR(B9264)</f>
        <v>2015</v>
      </c>
      <c r="J9264" s="0" t="str">
        <f aca="false">I9264&amp;"-Q"&amp;ROUNDUP(MONTH(B9264)/3,0)</f>
        <v>2015-Q4</v>
      </c>
    </row>
    <row r="9265" customFormat="false" ht="15" hidden="false" customHeight="false" outlineLevel="0" collapsed="false">
      <c r="A9265" s="0" t="s">
        <v>4712</v>
      </c>
      <c r="B9265" s="6" t="n">
        <v>42286</v>
      </c>
      <c r="C9265" s="7" t="s">
        <v>45</v>
      </c>
      <c r="D9265" s="7" t="s">
        <v>70</v>
      </c>
      <c r="E9265" s="7" t="s">
        <v>35</v>
      </c>
      <c r="F9265" s="0" t="n">
        <v>269.91</v>
      </c>
      <c r="G9265" s="0" t="n">
        <v>53.982</v>
      </c>
      <c r="H9265" s="0" t="n">
        <v>0.1</v>
      </c>
      <c r="I9265" s="7" t="n">
        <f aca="false">YEAR(B9265)</f>
        <v>2015</v>
      </c>
      <c r="J9265" s="0" t="str">
        <f aca="false">I9265&amp;"-Q"&amp;ROUNDUP(MONTH(B9265)/3,0)</f>
        <v>2015-Q4</v>
      </c>
    </row>
    <row r="9266" customFormat="false" ht="15" hidden="false" customHeight="false" outlineLevel="0" collapsed="false">
      <c r="A9266" s="0" t="s">
        <v>4713</v>
      </c>
      <c r="B9266" s="6" t="n">
        <v>43063</v>
      </c>
      <c r="C9266" s="7" t="s">
        <v>29</v>
      </c>
      <c r="D9266" s="7" t="s">
        <v>87</v>
      </c>
      <c r="E9266" s="7" t="s">
        <v>35</v>
      </c>
      <c r="F9266" s="0" t="n">
        <v>11.673</v>
      </c>
      <c r="G9266" s="0" t="n">
        <v>-7.782</v>
      </c>
      <c r="H9266" s="0" t="n">
        <v>0.7</v>
      </c>
      <c r="I9266" s="7" t="n">
        <f aca="false">YEAR(B9266)</f>
        <v>2017</v>
      </c>
      <c r="J9266" s="0" t="str">
        <f aca="false">I9266&amp;"-Q"&amp;ROUNDUP(MONTH(B9266)/3,0)</f>
        <v>2017-Q4</v>
      </c>
    </row>
    <row r="9267" customFormat="false" ht="15" hidden="false" customHeight="false" outlineLevel="0" collapsed="false">
      <c r="A9267" s="0" t="s">
        <v>4713</v>
      </c>
      <c r="B9267" s="6" t="n">
        <v>43063</v>
      </c>
      <c r="C9267" s="7" t="s">
        <v>29</v>
      </c>
      <c r="D9267" s="7" t="s">
        <v>87</v>
      </c>
      <c r="E9267" s="7" t="s">
        <v>35</v>
      </c>
      <c r="F9267" s="0" t="n">
        <v>64.848</v>
      </c>
      <c r="G9267" s="0" t="n">
        <v>24.318</v>
      </c>
      <c r="H9267" s="0" t="n">
        <v>0.2</v>
      </c>
      <c r="I9267" s="7" t="n">
        <f aca="false">YEAR(B9267)</f>
        <v>2017</v>
      </c>
      <c r="J9267" s="0" t="str">
        <f aca="false">I9267&amp;"-Q"&amp;ROUNDUP(MONTH(B9267)/3,0)</f>
        <v>2017-Q4</v>
      </c>
    </row>
    <row r="9268" customFormat="false" ht="15" hidden="false" customHeight="false" outlineLevel="0" collapsed="false">
      <c r="A9268" s="0" t="s">
        <v>4714</v>
      </c>
      <c r="B9268" s="6" t="n">
        <v>41678</v>
      </c>
      <c r="C9268" s="7" t="s">
        <v>33</v>
      </c>
      <c r="D9268" s="7" t="s">
        <v>248</v>
      </c>
      <c r="E9268" s="7" t="s">
        <v>31</v>
      </c>
      <c r="F9268" s="0" t="n">
        <v>14.56</v>
      </c>
      <c r="G9268" s="0" t="n">
        <v>5.5328</v>
      </c>
      <c r="H9268" s="0" t="n">
        <v>0</v>
      </c>
      <c r="I9268" s="7" t="n">
        <f aca="false">YEAR(B9268)</f>
        <v>2014</v>
      </c>
      <c r="J9268" s="0" t="str">
        <f aca="false">I9268&amp;"-Q"&amp;ROUNDUP(MONTH(B9268)/3,0)</f>
        <v>2014-Q1</v>
      </c>
    </row>
    <row r="9269" customFormat="false" ht="15" hidden="false" customHeight="false" outlineLevel="0" collapsed="false">
      <c r="A9269" s="0" t="s">
        <v>4715</v>
      </c>
      <c r="B9269" s="6" t="n">
        <v>42272</v>
      </c>
      <c r="C9269" s="7" t="s">
        <v>55</v>
      </c>
      <c r="D9269" s="7" t="s">
        <v>76</v>
      </c>
      <c r="E9269" s="7" t="s">
        <v>31</v>
      </c>
      <c r="F9269" s="0" t="n">
        <v>102.582</v>
      </c>
      <c r="G9269" s="0" t="n">
        <v>6.8388</v>
      </c>
      <c r="H9269" s="0" t="n">
        <v>0.1</v>
      </c>
      <c r="I9269" s="7" t="n">
        <f aca="false">YEAR(B9269)</f>
        <v>2015</v>
      </c>
      <c r="J9269" s="0" t="str">
        <f aca="false">I9269&amp;"-Q"&amp;ROUNDUP(MONTH(B9269)/3,0)</f>
        <v>2015-Q3</v>
      </c>
    </row>
    <row r="9270" customFormat="false" ht="15" hidden="false" customHeight="false" outlineLevel="0" collapsed="false">
      <c r="A9270" s="0" t="s">
        <v>4715</v>
      </c>
      <c r="B9270" s="6" t="n">
        <v>42272</v>
      </c>
      <c r="C9270" s="7" t="s">
        <v>55</v>
      </c>
      <c r="D9270" s="7" t="s">
        <v>76</v>
      </c>
      <c r="E9270" s="7" t="s">
        <v>35</v>
      </c>
      <c r="F9270" s="0" t="n">
        <v>20.04</v>
      </c>
      <c r="G9270" s="0" t="n">
        <v>9.6192</v>
      </c>
      <c r="H9270" s="0" t="n">
        <v>0</v>
      </c>
      <c r="I9270" s="7" t="n">
        <f aca="false">YEAR(B9270)</f>
        <v>2015</v>
      </c>
      <c r="J9270" s="0" t="str">
        <f aca="false">I9270&amp;"-Q"&amp;ROUNDUP(MONTH(B9270)/3,0)</f>
        <v>2015-Q3</v>
      </c>
    </row>
    <row r="9271" customFormat="false" ht="15" hidden="false" customHeight="false" outlineLevel="0" collapsed="false">
      <c r="A9271" s="0" t="s">
        <v>4716</v>
      </c>
      <c r="B9271" s="6" t="n">
        <v>42968</v>
      </c>
      <c r="C9271" s="7" t="s">
        <v>55</v>
      </c>
      <c r="D9271" s="7" t="s">
        <v>76</v>
      </c>
      <c r="E9271" s="7" t="s">
        <v>35</v>
      </c>
      <c r="F9271" s="0" t="n">
        <v>32.088</v>
      </c>
      <c r="G9271" s="0" t="n">
        <v>11.2308</v>
      </c>
      <c r="H9271" s="0" t="n">
        <v>0.2</v>
      </c>
      <c r="I9271" s="7" t="n">
        <f aca="false">YEAR(B9271)</f>
        <v>2017</v>
      </c>
      <c r="J9271" s="0" t="str">
        <f aca="false">I9271&amp;"-Q"&amp;ROUNDUP(MONTH(B9271)/3,0)</f>
        <v>2017-Q3</v>
      </c>
    </row>
    <row r="9272" customFormat="false" ht="15" hidden="false" customHeight="false" outlineLevel="0" collapsed="false">
      <c r="A9272" s="0" t="s">
        <v>4716</v>
      </c>
      <c r="B9272" s="6" t="n">
        <v>42968</v>
      </c>
      <c r="C9272" s="7" t="s">
        <v>55</v>
      </c>
      <c r="D9272" s="7" t="s">
        <v>76</v>
      </c>
      <c r="E9272" s="7" t="s">
        <v>35</v>
      </c>
      <c r="F9272" s="0" t="n">
        <v>4305.552</v>
      </c>
      <c r="G9272" s="0" t="n">
        <v>1453.1238</v>
      </c>
      <c r="H9272" s="0" t="n">
        <v>0.2</v>
      </c>
      <c r="I9272" s="7" t="n">
        <f aca="false">YEAR(B9272)</f>
        <v>2017</v>
      </c>
      <c r="J9272" s="0" t="str">
        <f aca="false">I9272&amp;"-Q"&amp;ROUNDUP(MONTH(B9272)/3,0)</f>
        <v>2017-Q3</v>
      </c>
    </row>
    <row r="9273" customFormat="false" ht="15" hidden="false" customHeight="false" outlineLevel="0" collapsed="false">
      <c r="A9273" s="0" t="s">
        <v>4717</v>
      </c>
      <c r="B9273" s="6" t="n">
        <v>42502</v>
      </c>
      <c r="C9273" s="7" t="s">
        <v>55</v>
      </c>
      <c r="D9273" s="7" t="s">
        <v>76</v>
      </c>
      <c r="E9273" s="7" t="s">
        <v>31</v>
      </c>
      <c r="F9273" s="0" t="n">
        <v>10.02</v>
      </c>
      <c r="G9273" s="0" t="n">
        <v>4.4088</v>
      </c>
      <c r="H9273" s="0" t="n">
        <v>0</v>
      </c>
      <c r="I9273" s="7" t="n">
        <f aca="false">YEAR(B9273)</f>
        <v>2016</v>
      </c>
      <c r="J9273" s="0" t="str">
        <f aca="false">I9273&amp;"-Q"&amp;ROUNDUP(MONTH(B9273)/3,0)</f>
        <v>2016-Q2</v>
      </c>
    </row>
    <row r="9274" customFormat="false" ht="15" hidden="false" customHeight="false" outlineLevel="0" collapsed="false">
      <c r="A9274" s="0" t="s">
        <v>4717</v>
      </c>
      <c r="B9274" s="6" t="n">
        <v>42502</v>
      </c>
      <c r="C9274" s="7" t="s">
        <v>55</v>
      </c>
      <c r="D9274" s="7" t="s">
        <v>76</v>
      </c>
      <c r="E9274" s="7" t="s">
        <v>39</v>
      </c>
      <c r="F9274" s="0" t="n">
        <v>631.96</v>
      </c>
      <c r="G9274" s="0" t="n">
        <v>303.3408</v>
      </c>
      <c r="H9274" s="0" t="n">
        <v>0</v>
      </c>
      <c r="I9274" s="7" t="n">
        <f aca="false">YEAR(B9274)</f>
        <v>2016</v>
      </c>
      <c r="J9274" s="0" t="str">
        <f aca="false">I9274&amp;"-Q"&amp;ROUNDUP(MONTH(B9274)/3,0)</f>
        <v>2016-Q2</v>
      </c>
    </row>
    <row r="9275" customFormat="false" ht="15" hidden="false" customHeight="false" outlineLevel="0" collapsed="false">
      <c r="A9275" s="0" t="s">
        <v>4718</v>
      </c>
      <c r="B9275" s="6" t="n">
        <v>42980</v>
      </c>
      <c r="C9275" s="7" t="s">
        <v>29</v>
      </c>
      <c r="D9275" s="7" t="s">
        <v>30</v>
      </c>
      <c r="E9275" s="7" t="s">
        <v>35</v>
      </c>
      <c r="F9275" s="0" t="n">
        <v>1577.94</v>
      </c>
      <c r="G9275" s="0" t="n">
        <v>757.4112</v>
      </c>
      <c r="H9275" s="0" t="n">
        <v>0</v>
      </c>
      <c r="I9275" s="7" t="n">
        <f aca="false">YEAR(B9275)</f>
        <v>2017</v>
      </c>
      <c r="J9275" s="0" t="str">
        <f aca="false">I9275&amp;"-Q"&amp;ROUNDUP(MONTH(B9275)/3,0)</f>
        <v>2017-Q3</v>
      </c>
    </row>
    <row r="9276" customFormat="false" ht="15" hidden="false" customHeight="false" outlineLevel="0" collapsed="false">
      <c r="A9276" s="0" t="s">
        <v>4719</v>
      </c>
      <c r="B9276" s="6" t="n">
        <v>41922</v>
      </c>
      <c r="C9276" s="7" t="s">
        <v>33</v>
      </c>
      <c r="D9276" s="7" t="s">
        <v>142</v>
      </c>
      <c r="E9276" s="7" t="s">
        <v>35</v>
      </c>
      <c r="F9276" s="0" t="n">
        <v>255.85</v>
      </c>
      <c r="G9276" s="0" t="n">
        <v>112.574</v>
      </c>
      <c r="H9276" s="0" t="n">
        <v>0</v>
      </c>
      <c r="I9276" s="7" t="n">
        <f aca="false">YEAR(B9276)</f>
        <v>2014</v>
      </c>
      <c r="J9276" s="0" t="str">
        <f aca="false">I9276&amp;"-Q"&amp;ROUNDUP(MONTH(B9276)/3,0)</f>
        <v>2014-Q4</v>
      </c>
    </row>
    <row r="9277" customFormat="false" ht="15" hidden="false" customHeight="false" outlineLevel="0" collapsed="false">
      <c r="A9277" s="0" t="s">
        <v>4720</v>
      </c>
      <c r="B9277" s="6" t="n">
        <v>42516</v>
      </c>
      <c r="C9277" s="7" t="s">
        <v>29</v>
      </c>
      <c r="D9277" s="7" t="s">
        <v>37</v>
      </c>
      <c r="E9277" s="7" t="s">
        <v>35</v>
      </c>
      <c r="F9277" s="0" t="n">
        <v>184.704</v>
      </c>
      <c r="G9277" s="0" t="n">
        <v>13.8528</v>
      </c>
      <c r="H9277" s="0" t="n">
        <v>0.2</v>
      </c>
      <c r="I9277" s="7" t="n">
        <f aca="false">YEAR(B9277)</f>
        <v>2016</v>
      </c>
      <c r="J9277" s="0" t="str">
        <f aca="false">I9277&amp;"-Q"&amp;ROUNDUP(MONTH(B9277)/3,0)</f>
        <v>2016-Q2</v>
      </c>
    </row>
    <row r="9278" customFormat="false" ht="15" hidden="false" customHeight="false" outlineLevel="0" collapsed="false">
      <c r="A9278" s="0" t="s">
        <v>4720</v>
      </c>
      <c r="B9278" s="6" t="n">
        <v>42516</v>
      </c>
      <c r="C9278" s="7" t="s">
        <v>29</v>
      </c>
      <c r="D9278" s="7" t="s">
        <v>37</v>
      </c>
      <c r="E9278" s="7" t="s">
        <v>39</v>
      </c>
      <c r="F9278" s="0" t="n">
        <v>47.92</v>
      </c>
      <c r="G9278" s="0" t="n">
        <v>11.98</v>
      </c>
      <c r="H9278" s="0" t="n">
        <v>0.2</v>
      </c>
      <c r="I9278" s="7" t="n">
        <f aca="false">YEAR(B9278)</f>
        <v>2016</v>
      </c>
      <c r="J9278" s="0" t="str">
        <f aca="false">I9278&amp;"-Q"&amp;ROUNDUP(MONTH(B9278)/3,0)</f>
        <v>2016-Q2</v>
      </c>
    </row>
    <row r="9279" customFormat="false" ht="15" hidden="false" customHeight="false" outlineLevel="0" collapsed="false">
      <c r="A9279" s="0" t="s">
        <v>4721</v>
      </c>
      <c r="B9279" s="6" t="n">
        <v>43070</v>
      </c>
      <c r="C9279" s="7" t="s">
        <v>55</v>
      </c>
      <c r="D9279" s="7" t="s">
        <v>56</v>
      </c>
      <c r="E9279" s="7" t="s">
        <v>35</v>
      </c>
      <c r="F9279" s="0" t="n">
        <v>15.936</v>
      </c>
      <c r="G9279" s="0" t="n">
        <v>5.1792</v>
      </c>
      <c r="H9279" s="0" t="n">
        <v>0.2</v>
      </c>
      <c r="I9279" s="7" t="n">
        <f aca="false">YEAR(B9279)</f>
        <v>2017</v>
      </c>
      <c r="J9279" s="0" t="str">
        <f aca="false">I9279&amp;"-Q"&amp;ROUNDUP(MONTH(B9279)/3,0)</f>
        <v>2017-Q4</v>
      </c>
    </row>
    <row r="9280" customFormat="false" ht="15" hidden="false" customHeight="false" outlineLevel="0" collapsed="false">
      <c r="A9280" s="0" t="s">
        <v>4721</v>
      </c>
      <c r="B9280" s="6" t="n">
        <v>43070</v>
      </c>
      <c r="C9280" s="7" t="s">
        <v>55</v>
      </c>
      <c r="D9280" s="7" t="s">
        <v>56</v>
      </c>
      <c r="E9280" s="7" t="s">
        <v>35</v>
      </c>
      <c r="F9280" s="0" t="n">
        <v>8.001</v>
      </c>
      <c r="G9280" s="0" t="n">
        <v>-5.6007</v>
      </c>
      <c r="H9280" s="0" t="n">
        <v>0.7</v>
      </c>
      <c r="I9280" s="7" t="n">
        <f aca="false">YEAR(B9280)</f>
        <v>2017</v>
      </c>
      <c r="J9280" s="0" t="str">
        <f aca="false">I9280&amp;"-Q"&amp;ROUNDUP(MONTH(B9280)/3,0)</f>
        <v>2017-Q4</v>
      </c>
    </row>
    <row r="9281" customFormat="false" ht="15" hidden="false" customHeight="false" outlineLevel="0" collapsed="false">
      <c r="A9281" s="0" t="s">
        <v>4721</v>
      </c>
      <c r="B9281" s="6" t="n">
        <v>43070</v>
      </c>
      <c r="C9281" s="7" t="s">
        <v>55</v>
      </c>
      <c r="D9281" s="7" t="s">
        <v>56</v>
      </c>
      <c r="E9281" s="7" t="s">
        <v>31</v>
      </c>
      <c r="F9281" s="0" t="n">
        <v>398.972</v>
      </c>
      <c r="G9281" s="0" t="n">
        <v>-28.498</v>
      </c>
      <c r="H9281" s="0" t="n">
        <v>0.3</v>
      </c>
      <c r="I9281" s="7" t="n">
        <f aca="false">YEAR(B9281)</f>
        <v>2017</v>
      </c>
      <c r="J9281" s="0" t="str">
        <f aca="false">I9281&amp;"-Q"&amp;ROUNDUP(MONTH(B9281)/3,0)</f>
        <v>2017-Q4</v>
      </c>
    </row>
    <row r="9282" customFormat="false" ht="15" hidden="false" customHeight="false" outlineLevel="0" collapsed="false">
      <c r="A9282" s="0" t="s">
        <v>4722</v>
      </c>
      <c r="B9282" s="6" t="n">
        <v>42633</v>
      </c>
      <c r="C9282" s="7" t="s">
        <v>33</v>
      </c>
      <c r="D9282" s="7" t="s">
        <v>43</v>
      </c>
      <c r="E9282" s="7" t="s">
        <v>31</v>
      </c>
      <c r="F9282" s="0" t="n">
        <v>163.88</v>
      </c>
      <c r="G9282" s="0" t="n">
        <v>40.97</v>
      </c>
      <c r="H9282" s="0" t="n">
        <v>0</v>
      </c>
      <c r="I9282" s="7" t="n">
        <f aca="false">YEAR(B9282)</f>
        <v>2016</v>
      </c>
      <c r="J9282" s="0" t="str">
        <f aca="false">I9282&amp;"-Q"&amp;ROUNDUP(MONTH(B9282)/3,0)</f>
        <v>2016-Q3</v>
      </c>
    </row>
    <row r="9283" customFormat="false" ht="15" hidden="false" customHeight="false" outlineLevel="0" collapsed="false">
      <c r="A9283" s="0" t="s">
        <v>4723</v>
      </c>
      <c r="B9283" s="6" t="n">
        <v>42989</v>
      </c>
      <c r="C9283" s="7" t="s">
        <v>29</v>
      </c>
      <c r="D9283" s="7" t="s">
        <v>83</v>
      </c>
      <c r="E9283" s="7" t="s">
        <v>35</v>
      </c>
      <c r="F9283" s="0" t="n">
        <v>67.9</v>
      </c>
      <c r="G9283" s="0" t="n">
        <v>20.37</v>
      </c>
      <c r="H9283" s="0" t="n">
        <v>0</v>
      </c>
      <c r="I9283" s="7" t="n">
        <f aca="false">YEAR(B9283)</f>
        <v>2017</v>
      </c>
      <c r="J9283" s="0" t="str">
        <f aca="false">I9283&amp;"-Q"&amp;ROUNDUP(MONTH(B9283)/3,0)</f>
        <v>2017-Q3</v>
      </c>
    </row>
    <row r="9284" customFormat="false" ht="15" hidden="false" customHeight="false" outlineLevel="0" collapsed="false">
      <c r="A9284" s="0" t="s">
        <v>4724</v>
      </c>
      <c r="B9284" s="6" t="n">
        <v>42734</v>
      </c>
      <c r="C9284" s="7" t="s">
        <v>29</v>
      </c>
      <c r="D9284" s="7" t="s">
        <v>37</v>
      </c>
      <c r="E9284" s="7" t="s">
        <v>35</v>
      </c>
      <c r="F9284" s="0" t="n">
        <v>72.224</v>
      </c>
      <c r="G9284" s="0" t="n">
        <v>25.2784</v>
      </c>
      <c r="H9284" s="0" t="n">
        <v>0.2</v>
      </c>
      <c r="I9284" s="7" t="n">
        <f aca="false">YEAR(B9284)</f>
        <v>2016</v>
      </c>
      <c r="J9284" s="0" t="str">
        <f aca="false">I9284&amp;"-Q"&amp;ROUNDUP(MONTH(B9284)/3,0)</f>
        <v>2016-Q4</v>
      </c>
    </row>
    <row r="9285" customFormat="false" ht="15" hidden="false" customHeight="false" outlineLevel="0" collapsed="false">
      <c r="A9285" s="0" t="s">
        <v>4725</v>
      </c>
      <c r="B9285" s="6" t="n">
        <v>42980</v>
      </c>
      <c r="C9285" s="7" t="s">
        <v>33</v>
      </c>
      <c r="D9285" s="7" t="s">
        <v>109</v>
      </c>
      <c r="E9285" s="7" t="s">
        <v>35</v>
      </c>
      <c r="F9285" s="0" t="n">
        <v>11.696</v>
      </c>
      <c r="G9285" s="0" t="n">
        <v>3.9474</v>
      </c>
      <c r="H9285" s="0" t="n">
        <v>0.2</v>
      </c>
      <c r="I9285" s="7" t="n">
        <f aca="false">YEAR(B9285)</f>
        <v>2017</v>
      </c>
      <c r="J9285" s="0" t="str">
        <f aca="false">I9285&amp;"-Q"&amp;ROUNDUP(MONTH(B9285)/3,0)</f>
        <v>2017-Q3</v>
      </c>
    </row>
    <row r="9286" customFormat="false" ht="15" hidden="false" customHeight="false" outlineLevel="0" collapsed="false">
      <c r="A9286" s="0" t="s">
        <v>4726</v>
      </c>
      <c r="B9286" s="6" t="n">
        <v>41961</v>
      </c>
      <c r="C9286" s="7" t="s">
        <v>45</v>
      </c>
      <c r="D9286" s="7" t="s">
        <v>48</v>
      </c>
      <c r="E9286" s="7" t="s">
        <v>31</v>
      </c>
      <c r="F9286" s="0" t="n">
        <v>392.94</v>
      </c>
      <c r="G9286" s="0" t="n">
        <v>43.2234</v>
      </c>
      <c r="H9286" s="0" t="n">
        <v>0</v>
      </c>
      <c r="I9286" s="7" t="n">
        <f aca="false">YEAR(B9286)</f>
        <v>2014</v>
      </c>
      <c r="J9286" s="0" t="str">
        <f aca="false">I9286&amp;"-Q"&amp;ROUNDUP(MONTH(B9286)/3,0)</f>
        <v>2014-Q4</v>
      </c>
    </row>
    <row r="9287" customFormat="false" ht="15" hidden="false" customHeight="false" outlineLevel="0" collapsed="false">
      <c r="A9287" s="0" t="s">
        <v>4727</v>
      </c>
      <c r="B9287" s="6" t="n">
        <v>42329</v>
      </c>
      <c r="C9287" s="7" t="s">
        <v>29</v>
      </c>
      <c r="D9287" s="7" t="s">
        <v>41</v>
      </c>
      <c r="E9287" s="7" t="s">
        <v>31</v>
      </c>
      <c r="F9287" s="0" t="n">
        <v>18.176</v>
      </c>
      <c r="G9287" s="0" t="n">
        <v>4.7712</v>
      </c>
      <c r="H9287" s="0" t="n">
        <v>0.2</v>
      </c>
      <c r="I9287" s="7" t="n">
        <f aca="false">YEAR(B9287)</f>
        <v>2015</v>
      </c>
      <c r="J9287" s="0" t="str">
        <f aca="false">I9287&amp;"-Q"&amp;ROUNDUP(MONTH(B9287)/3,0)</f>
        <v>2015-Q4</v>
      </c>
    </row>
    <row r="9288" customFormat="false" ht="15" hidden="false" customHeight="false" outlineLevel="0" collapsed="false">
      <c r="A9288" s="0" t="s">
        <v>4728</v>
      </c>
      <c r="B9288" s="6" t="n">
        <v>42905</v>
      </c>
      <c r="C9288" s="7" t="s">
        <v>45</v>
      </c>
      <c r="D9288" s="7" t="s">
        <v>46</v>
      </c>
      <c r="E9288" s="7" t="s">
        <v>35</v>
      </c>
      <c r="F9288" s="0" t="n">
        <v>6.888</v>
      </c>
      <c r="G9288" s="0" t="n">
        <v>-11.0208</v>
      </c>
      <c r="H9288" s="0" t="n">
        <v>0.8</v>
      </c>
      <c r="I9288" s="7" t="n">
        <f aca="false">YEAR(B9288)</f>
        <v>2017</v>
      </c>
      <c r="J9288" s="0" t="str">
        <f aca="false">I9288&amp;"-Q"&amp;ROUNDUP(MONTH(B9288)/3,0)</f>
        <v>2017-Q2</v>
      </c>
    </row>
    <row r="9289" customFormat="false" ht="15" hidden="false" customHeight="false" outlineLevel="0" collapsed="false">
      <c r="A9289" s="0" t="s">
        <v>4728</v>
      </c>
      <c r="B9289" s="6" t="n">
        <v>42905</v>
      </c>
      <c r="C9289" s="7" t="s">
        <v>45</v>
      </c>
      <c r="D9289" s="7" t="s">
        <v>46</v>
      </c>
      <c r="E9289" s="7" t="s">
        <v>31</v>
      </c>
      <c r="F9289" s="0" t="n">
        <v>457.485</v>
      </c>
      <c r="G9289" s="0" t="n">
        <v>-84.9615</v>
      </c>
      <c r="H9289" s="0" t="n">
        <v>0.3</v>
      </c>
      <c r="I9289" s="7" t="n">
        <f aca="false">YEAR(B9289)</f>
        <v>2017</v>
      </c>
      <c r="J9289" s="0" t="str">
        <f aca="false">I9289&amp;"-Q"&amp;ROUNDUP(MONTH(B9289)/3,0)</f>
        <v>2017-Q2</v>
      </c>
    </row>
    <row r="9290" customFormat="false" ht="15" hidden="false" customHeight="false" outlineLevel="0" collapsed="false">
      <c r="A9290" s="0" t="s">
        <v>4729</v>
      </c>
      <c r="B9290" s="6" t="n">
        <v>43069</v>
      </c>
      <c r="C9290" s="7" t="s">
        <v>55</v>
      </c>
      <c r="D9290" s="7" t="s">
        <v>56</v>
      </c>
      <c r="E9290" s="7" t="s">
        <v>31</v>
      </c>
      <c r="F9290" s="0" t="n">
        <v>1079.316</v>
      </c>
      <c r="G9290" s="0" t="n">
        <v>-15.4188</v>
      </c>
      <c r="H9290" s="0" t="n">
        <v>0.3</v>
      </c>
      <c r="I9290" s="7" t="n">
        <f aca="false">YEAR(B9290)</f>
        <v>2017</v>
      </c>
      <c r="J9290" s="0" t="str">
        <f aca="false">I9290&amp;"-Q"&amp;ROUNDUP(MONTH(B9290)/3,0)</f>
        <v>2017-Q4</v>
      </c>
    </row>
    <row r="9291" customFormat="false" ht="15" hidden="false" customHeight="false" outlineLevel="0" collapsed="false">
      <c r="A9291" s="0" t="s">
        <v>4730</v>
      </c>
      <c r="B9291" s="6" t="n">
        <v>41752</v>
      </c>
      <c r="C9291" s="7" t="s">
        <v>33</v>
      </c>
      <c r="D9291" s="7" t="s">
        <v>34</v>
      </c>
      <c r="E9291" s="7" t="s">
        <v>35</v>
      </c>
      <c r="F9291" s="0" t="n">
        <v>48.91</v>
      </c>
      <c r="G9291" s="0" t="n">
        <v>22.9877</v>
      </c>
      <c r="H9291" s="0" t="n">
        <v>0</v>
      </c>
      <c r="I9291" s="7" t="n">
        <f aca="false">YEAR(B9291)</f>
        <v>2014</v>
      </c>
      <c r="J9291" s="0" t="str">
        <f aca="false">I9291&amp;"-Q"&amp;ROUNDUP(MONTH(B9291)/3,0)</f>
        <v>2014-Q2</v>
      </c>
    </row>
    <row r="9292" customFormat="false" ht="15" hidden="false" customHeight="false" outlineLevel="0" collapsed="false">
      <c r="A9292" s="0" t="s">
        <v>4731</v>
      </c>
      <c r="B9292" s="6" t="n">
        <v>41905</v>
      </c>
      <c r="C9292" s="7" t="s">
        <v>55</v>
      </c>
      <c r="D9292" s="7" t="s">
        <v>72</v>
      </c>
      <c r="E9292" s="7" t="s">
        <v>35</v>
      </c>
      <c r="F9292" s="0" t="n">
        <v>9.84</v>
      </c>
      <c r="G9292" s="0" t="n">
        <v>2.8536</v>
      </c>
      <c r="H9292" s="0" t="n">
        <v>0</v>
      </c>
      <c r="I9292" s="7" t="n">
        <f aca="false">YEAR(B9292)</f>
        <v>2014</v>
      </c>
      <c r="J9292" s="0" t="str">
        <f aca="false">I9292&amp;"-Q"&amp;ROUNDUP(MONTH(B9292)/3,0)</f>
        <v>2014-Q3</v>
      </c>
    </row>
    <row r="9293" customFormat="false" ht="15" hidden="false" customHeight="false" outlineLevel="0" collapsed="false">
      <c r="A9293" s="0" t="s">
        <v>4731</v>
      </c>
      <c r="B9293" s="6" t="n">
        <v>41905</v>
      </c>
      <c r="C9293" s="7" t="s">
        <v>55</v>
      </c>
      <c r="D9293" s="7" t="s">
        <v>72</v>
      </c>
      <c r="E9293" s="7" t="s">
        <v>35</v>
      </c>
      <c r="F9293" s="0" t="n">
        <v>34.5</v>
      </c>
      <c r="G9293" s="0" t="n">
        <v>15.525</v>
      </c>
      <c r="H9293" s="0" t="n">
        <v>0</v>
      </c>
      <c r="I9293" s="7" t="n">
        <f aca="false">YEAR(B9293)</f>
        <v>2014</v>
      </c>
      <c r="J9293" s="0" t="str">
        <f aca="false">I9293&amp;"-Q"&amp;ROUNDUP(MONTH(B9293)/3,0)</f>
        <v>2014-Q3</v>
      </c>
    </row>
    <row r="9294" customFormat="false" ht="15" hidden="false" customHeight="false" outlineLevel="0" collapsed="false">
      <c r="A9294" s="0" t="s">
        <v>4732</v>
      </c>
      <c r="B9294" s="6" t="n">
        <v>42796</v>
      </c>
      <c r="C9294" s="7" t="s">
        <v>45</v>
      </c>
      <c r="D9294" s="7" t="s">
        <v>46</v>
      </c>
      <c r="E9294" s="7" t="s">
        <v>35</v>
      </c>
      <c r="F9294" s="0" t="n">
        <v>0.556</v>
      </c>
      <c r="G9294" s="0" t="n">
        <v>-0.9452</v>
      </c>
      <c r="H9294" s="0" t="n">
        <v>0.8</v>
      </c>
      <c r="I9294" s="7" t="n">
        <f aca="false">YEAR(B9294)</f>
        <v>2017</v>
      </c>
      <c r="J9294" s="0" t="str">
        <f aca="false">I9294&amp;"-Q"&amp;ROUNDUP(MONTH(B9294)/3,0)</f>
        <v>2017-Q1</v>
      </c>
    </row>
    <row r="9295" customFormat="false" ht="15" hidden="false" customHeight="false" outlineLevel="0" collapsed="false">
      <c r="A9295" s="0" t="s">
        <v>4733</v>
      </c>
      <c r="B9295" s="6" t="n">
        <v>43056</v>
      </c>
      <c r="C9295" s="7" t="s">
        <v>55</v>
      </c>
      <c r="D9295" s="7" t="s">
        <v>495</v>
      </c>
      <c r="E9295" s="7" t="s">
        <v>35</v>
      </c>
      <c r="F9295" s="0" t="n">
        <v>43.8</v>
      </c>
      <c r="G9295" s="0" t="n">
        <v>20.586</v>
      </c>
      <c r="H9295" s="0" t="n">
        <v>0</v>
      </c>
      <c r="I9295" s="7" t="n">
        <f aca="false">YEAR(B9295)</f>
        <v>2017</v>
      </c>
      <c r="J9295" s="0" t="str">
        <f aca="false">I9295&amp;"-Q"&amp;ROUNDUP(MONTH(B9295)/3,0)</f>
        <v>2017-Q4</v>
      </c>
    </row>
    <row r="9296" customFormat="false" ht="15" hidden="false" customHeight="false" outlineLevel="0" collapsed="false">
      <c r="A9296" s="0" t="s">
        <v>4734</v>
      </c>
      <c r="B9296" s="6" t="n">
        <v>42883</v>
      </c>
      <c r="C9296" s="7" t="s">
        <v>55</v>
      </c>
      <c r="D9296" s="7" t="s">
        <v>116</v>
      </c>
      <c r="E9296" s="7" t="s">
        <v>35</v>
      </c>
      <c r="F9296" s="0" t="n">
        <v>13.872</v>
      </c>
      <c r="G9296" s="0" t="n">
        <v>5.0286</v>
      </c>
      <c r="H9296" s="0" t="n">
        <v>0.2</v>
      </c>
      <c r="I9296" s="7" t="n">
        <f aca="false">YEAR(B9296)</f>
        <v>2017</v>
      </c>
      <c r="J9296" s="0" t="str">
        <f aca="false">I9296&amp;"-Q"&amp;ROUNDUP(MONTH(B9296)/3,0)</f>
        <v>2017-Q2</v>
      </c>
    </row>
    <row r="9297" customFormat="false" ht="15" hidden="false" customHeight="false" outlineLevel="0" collapsed="false">
      <c r="A9297" s="0" t="s">
        <v>4734</v>
      </c>
      <c r="B9297" s="6" t="n">
        <v>42883</v>
      </c>
      <c r="C9297" s="7" t="s">
        <v>55</v>
      </c>
      <c r="D9297" s="7" t="s">
        <v>116</v>
      </c>
      <c r="E9297" s="7" t="s">
        <v>31</v>
      </c>
      <c r="F9297" s="0" t="n">
        <v>115.96</v>
      </c>
      <c r="G9297" s="0" t="n">
        <v>-64.9376</v>
      </c>
      <c r="H9297" s="0" t="n">
        <v>0.5</v>
      </c>
      <c r="I9297" s="7" t="n">
        <f aca="false">YEAR(B9297)</f>
        <v>2017</v>
      </c>
      <c r="J9297" s="0" t="str">
        <f aca="false">I9297&amp;"-Q"&amp;ROUNDUP(MONTH(B9297)/3,0)</f>
        <v>2017-Q2</v>
      </c>
    </row>
    <row r="9298" customFormat="false" ht="15" hidden="false" customHeight="false" outlineLevel="0" collapsed="false">
      <c r="A9298" s="0" t="s">
        <v>4735</v>
      </c>
      <c r="B9298" s="6" t="n">
        <v>42112</v>
      </c>
      <c r="C9298" s="7" t="s">
        <v>45</v>
      </c>
      <c r="D9298" s="7" t="s">
        <v>46</v>
      </c>
      <c r="E9298" s="7" t="s">
        <v>39</v>
      </c>
      <c r="F9298" s="0" t="n">
        <v>41.424</v>
      </c>
      <c r="G9298" s="0" t="n">
        <v>8.2848</v>
      </c>
      <c r="H9298" s="0" t="n">
        <v>0.2</v>
      </c>
      <c r="I9298" s="7" t="n">
        <f aca="false">YEAR(B9298)</f>
        <v>2015</v>
      </c>
      <c r="J9298" s="0" t="str">
        <f aca="false">I9298&amp;"-Q"&amp;ROUNDUP(MONTH(B9298)/3,0)</f>
        <v>2015-Q2</v>
      </c>
    </row>
    <row r="9299" customFormat="false" ht="15" hidden="false" customHeight="false" outlineLevel="0" collapsed="false">
      <c r="A9299" s="0" t="s">
        <v>4735</v>
      </c>
      <c r="B9299" s="6" t="n">
        <v>42112</v>
      </c>
      <c r="C9299" s="7" t="s">
        <v>45</v>
      </c>
      <c r="D9299" s="7" t="s">
        <v>46</v>
      </c>
      <c r="E9299" s="7" t="s">
        <v>39</v>
      </c>
      <c r="F9299" s="0" t="n">
        <v>244.768</v>
      </c>
      <c r="G9299" s="0" t="n">
        <v>24.4768</v>
      </c>
      <c r="H9299" s="0" t="n">
        <v>0.2</v>
      </c>
      <c r="I9299" s="7" t="n">
        <f aca="false">YEAR(B9299)</f>
        <v>2015</v>
      </c>
      <c r="J9299" s="0" t="str">
        <f aca="false">I9299&amp;"-Q"&amp;ROUNDUP(MONTH(B9299)/3,0)</f>
        <v>2015-Q2</v>
      </c>
    </row>
    <row r="9300" customFormat="false" ht="15" hidden="false" customHeight="false" outlineLevel="0" collapsed="false">
      <c r="A9300" s="0" t="s">
        <v>4735</v>
      </c>
      <c r="B9300" s="6" t="n">
        <v>42112</v>
      </c>
      <c r="C9300" s="7" t="s">
        <v>45</v>
      </c>
      <c r="D9300" s="7" t="s">
        <v>46</v>
      </c>
      <c r="E9300" s="7" t="s">
        <v>35</v>
      </c>
      <c r="F9300" s="0" t="n">
        <v>74.352</v>
      </c>
      <c r="G9300" s="0" t="n">
        <v>6.5058</v>
      </c>
      <c r="H9300" s="0" t="n">
        <v>0.2</v>
      </c>
      <c r="I9300" s="7" t="n">
        <f aca="false">YEAR(B9300)</f>
        <v>2015</v>
      </c>
      <c r="J9300" s="0" t="str">
        <f aca="false">I9300&amp;"-Q"&amp;ROUNDUP(MONTH(B9300)/3,0)</f>
        <v>2015-Q2</v>
      </c>
    </row>
    <row r="9301" customFormat="false" ht="15" hidden="false" customHeight="false" outlineLevel="0" collapsed="false">
      <c r="A9301" s="0" t="s">
        <v>4735</v>
      </c>
      <c r="B9301" s="6" t="n">
        <v>42112</v>
      </c>
      <c r="C9301" s="7" t="s">
        <v>45</v>
      </c>
      <c r="D9301" s="7" t="s">
        <v>46</v>
      </c>
      <c r="E9301" s="7" t="s">
        <v>35</v>
      </c>
      <c r="F9301" s="0" t="n">
        <v>4.312</v>
      </c>
      <c r="G9301" s="0" t="n">
        <v>-6.8992</v>
      </c>
      <c r="H9301" s="0" t="n">
        <v>0.8</v>
      </c>
      <c r="I9301" s="7" t="n">
        <f aca="false">YEAR(B9301)</f>
        <v>2015</v>
      </c>
      <c r="J9301" s="0" t="str">
        <f aca="false">I9301&amp;"-Q"&amp;ROUNDUP(MONTH(B9301)/3,0)</f>
        <v>2015-Q2</v>
      </c>
    </row>
    <row r="9302" customFormat="false" ht="15" hidden="false" customHeight="false" outlineLevel="0" collapsed="false">
      <c r="A9302" s="0" t="s">
        <v>4735</v>
      </c>
      <c r="B9302" s="6" t="n">
        <v>42112</v>
      </c>
      <c r="C9302" s="7" t="s">
        <v>45</v>
      </c>
      <c r="D9302" s="7" t="s">
        <v>46</v>
      </c>
      <c r="E9302" s="7" t="s">
        <v>31</v>
      </c>
      <c r="F9302" s="0" t="n">
        <v>56.686</v>
      </c>
      <c r="G9302" s="0" t="n">
        <v>-20.245</v>
      </c>
      <c r="H9302" s="0" t="n">
        <v>0.3</v>
      </c>
      <c r="I9302" s="7" t="n">
        <f aca="false">YEAR(B9302)</f>
        <v>2015</v>
      </c>
      <c r="J9302" s="0" t="str">
        <f aca="false">I9302&amp;"-Q"&amp;ROUNDUP(MONTH(B9302)/3,0)</f>
        <v>2015-Q2</v>
      </c>
    </row>
    <row r="9303" customFormat="false" ht="15" hidden="false" customHeight="false" outlineLevel="0" collapsed="false">
      <c r="A9303" s="0" t="s">
        <v>4735</v>
      </c>
      <c r="B9303" s="6" t="n">
        <v>42112</v>
      </c>
      <c r="C9303" s="7" t="s">
        <v>45</v>
      </c>
      <c r="D9303" s="7" t="s">
        <v>46</v>
      </c>
      <c r="E9303" s="7" t="s">
        <v>39</v>
      </c>
      <c r="F9303" s="0" t="n">
        <v>97.968</v>
      </c>
      <c r="G9303" s="0" t="n">
        <v>6.123</v>
      </c>
      <c r="H9303" s="0" t="n">
        <v>0.2</v>
      </c>
      <c r="I9303" s="7" t="n">
        <f aca="false">YEAR(B9303)</f>
        <v>2015</v>
      </c>
      <c r="J9303" s="0" t="str">
        <f aca="false">I9303&amp;"-Q"&amp;ROUNDUP(MONTH(B9303)/3,0)</f>
        <v>2015-Q2</v>
      </c>
    </row>
    <row r="9304" customFormat="false" ht="15" hidden="false" customHeight="false" outlineLevel="0" collapsed="false">
      <c r="A9304" s="0" t="s">
        <v>4735</v>
      </c>
      <c r="B9304" s="6" t="n">
        <v>42112</v>
      </c>
      <c r="C9304" s="7" t="s">
        <v>45</v>
      </c>
      <c r="D9304" s="7" t="s">
        <v>46</v>
      </c>
      <c r="E9304" s="7" t="s">
        <v>35</v>
      </c>
      <c r="F9304" s="0" t="n">
        <v>7.872</v>
      </c>
      <c r="G9304" s="0" t="n">
        <v>0.8856</v>
      </c>
      <c r="H9304" s="0" t="n">
        <v>0.2</v>
      </c>
      <c r="I9304" s="7" t="n">
        <f aca="false">YEAR(B9304)</f>
        <v>2015</v>
      </c>
      <c r="J9304" s="0" t="str">
        <f aca="false">I9304&amp;"-Q"&amp;ROUNDUP(MONTH(B9304)/3,0)</f>
        <v>2015-Q2</v>
      </c>
    </row>
    <row r="9305" customFormat="false" ht="15" hidden="false" customHeight="false" outlineLevel="0" collapsed="false">
      <c r="A9305" s="0" t="s">
        <v>4735</v>
      </c>
      <c r="B9305" s="6" t="n">
        <v>42112</v>
      </c>
      <c r="C9305" s="7" t="s">
        <v>45</v>
      </c>
      <c r="D9305" s="7" t="s">
        <v>46</v>
      </c>
      <c r="E9305" s="7" t="s">
        <v>35</v>
      </c>
      <c r="F9305" s="0" t="n">
        <v>15.552</v>
      </c>
      <c r="G9305" s="0" t="n">
        <v>5.4432</v>
      </c>
      <c r="H9305" s="0" t="n">
        <v>0.2</v>
      </c>
      <c r="I9305" s="7" t="n">
        <f aca="false">YEAR(B9305)</f>
        <v>2015</v>
      </c>
      <c r="J9305" s="0" t="str">
        <f aca="false">I9305&amp;"-Q"&amp;ROUNDUP(MONTH(B9305)/3,0)</f>
        <v>2015-Q2</v>
      </c>
    </row>
    <row r="9306" customFormat="false" ht="15" hidden="false" customHeight="false" outlineLevel="0" collapsed="false">
      <c r="A9306" s="0" t="s">
        <v>4735</v>
      </c>
      <c r="B9306" s="6" t="n">
        <v>42112</v>
      </c>
      <c r="C9306" s="7" t="s">
        <v>45</v>
      </c>
      <c r="D9306" s="7" t="s">
        <v>46</v>
      </c>
      <c r="E9306" s="7" t="s">
        <v>35</v>
      </c>
      <c r="F9306" s="0" t="n">
        <v>1.476</v>
      </c>
      <c r="G9306" s="0" t="n">
        <v>-2.2878</v>
      </c>
      <c r="H9306" s="0" t="n">
        <v>0.8</v>
      </c>
      <c r="I9306" s="7" t="n">
        <f aca="false">YEAR(B9306)</f>
        <v>2015</v>
      </c>
      <c r="J9306" s="0" t="str">
        <f aca="false">I9306&amp;"-Q"&amp;ROUNDUP(MONTH(B9306)/3,0)</f>
        <v>2015-Q2</v>
      </c>
    </row>
    <row r="9307" customFormat="false" ht="15" hidden="false" customHeight="false" outlineLevel="0" collapsed="false">
      <c r="A9307" s="0" t="s">
        <v>4736</v>
      </c>
      <c r="B9307" s="6" t="n">
        <v>42266</v>
      </c>
      <c r="C9307" s="7" t="s">
        <v>33</v>
      </c>
      <c r="D9307" s="7" t="s">
        <v>142</v>
      </c>
      <c r="E9307" s="7" t="s">
        <v>35</v>
      </c>
      <c r="F9307" s="0" t="n">
        <v>8.4</v>
      </c>
      <c r="G9307" s="0" t="n">
        <v>2.184</v>
      </c>
      <c r="H9307" s="0" t="n">
        <v>0</v>
      </c>
      <c r="I9307" s="7" t="n">
        <f aca="false">YEAR(B9307)</f>
        <v>2015</v>
      </c>
      <c r="J9307" s="0" t="str">
        <f aca="false">I9307&amp;"-Q"&amp;ROUNDUP(MONTH(B9307)/3,0)</f>
        <v>2015-Q3</v>
      </c>
    </row>
    <row r="9308" customFormat="false" ht="15" hidden="false" customHeight="false" outlineLevel="0" collapsed="false">
      <c r="A9308" s="0" t="s">
        <v>4737</v>
      </c>
      <c r="B9308" s="6" t="n">
        <v>41723</v>
      </c>
      <c r="C9308" s="7" t="s">
        <v>33</v>
      </c>
      <c r="D9308" s="7" t="s">
        <v>34</v>
      </c>
      <c r="E9308" s="7" t="s">
        <v>35</v>
      </c>
      <c r="F9308" s="0" t="n">
        <v>6.56</v>
      </c>
      <c r="G9308" s="0" t="n">
        <v>1.9024</v>
      </c>
      <c r="H9308" s="0" t="n">
        <v>0</v>
      </c>
      <c r="I9308" s="7" t="n">
        <f aca="false">YEAR(B9308)</f>
        <v>2014</v>
      </c>
      <c r="J9308" s="0" t="str">
        <f aca="false">I9308&amp;"-Q"&amp;ROUNDUP(MONTH(B9308)/3,0)</f>
        <v>2014-Q1</v>
      </c>
    </row>
    <row r="9309" customFormat="false" ht="15" hidden="false" customHeight="false" outlineLevel="0" collapsed="false">
      <c r="A9309" s="0" t="s">
        <v>4737</v>
      </c>
      <c r="B9309" s="6" t="n">
        <v>41723</v>
      </c>
      <c r="C9309" s="7" t="s">
        <v>33</v>
      </c>
      <c r="D9309" s="7" t="s">
        <v>34</v>
      </c>
      <c r="E9309" s="7" t="s">
        <v>35</v>
      </c>
      <c r="F9309" s="0" t="n">
        <v>14.88</v>
      </c>
      <c r="G9309" s="0" t="n">
        <v>3.72</v>
      </c>
      <c r="H9309" s="0" t="n">
        <v>0</v>
      </c>
      <c r="I9309" s="7" t="n">
        <f aca="false">YEAR(B9309)</f>
        <v>2014</v>
      </c>
      <c r="J9309" s="0" t="str">
        <f aca="false">I9309&amp;"-Q"&amp;ROUNDUP(MONTH(B9309)/3,0)</f>
        <v>2014-Q1</v>
      </c>
    </row>
    <row r="9310" customFormat="false" ht="15" hidden="false" customHeight="false" outlineLevel="0" collapsed="false">
      <c r="A9310" s="0" t="s">
        <v>4737</v>
      </c>
      <c r="B9310" s="6" t="n">
        <v>41723</v>
      </c>
      <c r="C9310" s="7" t="s">
        <v>33</v>
      </c>
      <c r="D9310" s="7" t="s">
        <v>34</v>
      </c>
      <c r="E9310" s="7" t="s">
        <v>39</v>
      </c>
      <c r="F9310" s="0" t="n">
        <v>45.48</v>
      </c>
      <c r="G9310" s="0" t="n">
        <v>15.918</v>
      </c>
      <c r="H9310" s="0" t="n">
        <v>0</v>
      </c>
      <c r="I9310" s="7" t="n">
        <f aca="false">YEAR(B9310)</f>
        <v>2014</v>
      </c>
      <c r="J9310" s="0" t="str">
        <f aca="false">I9310&amp;"-Q"&amp;ROUNDUP(MONTH(B9310)/3,0)</f>
        <v>2014-Q1</v>
      </c>
    </row>
    <row r="9311" customFormat="false" ht="15" hidden="false" customHeight="false" outlineLevel="0" collapsed="false">
      <c r="A9311" s="0" t="s">
        <v>4737</v>
      </c>
      <c r="B9311" s="6" t="n">
        <v>41723</v>
      </c>
      <c r="C9311" s="7" t="s">
        <v>33</v>
      </c>
      <c r="D9311" s="7" t="s">
        <v>34</v>
      </c>
      <c r="E9311" s="7" t="s">
        <v>35</v>
      </c>
      <c r="F9311" s="0" t="n">
        <v>25.44</v>
      </c>
      <c r="G9311" s="0" t="n">
        <v>9.9216</v>
      </c>
      <c r="H9311" s="0" t="n">
        <v>0</v>
      </c>
      <c r="I9311" s="7" t="n">
        <f aca="false">YEAR(B9311)</f>
        <v>2014</v>
      </c>
      <c r="J9311" s="0" t="str">
        <f aca="false">I9311&amp;"-Q"&amp;ROUNDUP(MONTH(B9311)/3,0)</f>
        <v>2014-Q1</v>
      </c>
    </row>
    <row r="9312" customFormat="false" ht="15" hidden="false" customHeight="false" outlineLevel="0" collapsed="false">
      <c r="A9312" s="0" t="s">
        <v>4738</v>
      </c>
      <c r="B9312" s="6" t="n">
        <v>42608</v>
      </c>
      <c r="C9312" s="7" t="s">
        <v>55</v>
      </c>
      <c r="D9312" s="7" t="s">
        <v>76</v>
      </c>
      <c r="E9312" s="7" t="s">
        <v>35</v>
      </c>
      <c r="F9312" s="0" t="n">
        <v>146.688</v>
      </c>
      <c r="G9312" s="0" t="n">
        <v>45.84</v>
      </c>
      <c r="H9312" s="0" t="n">
        <v>0.2</v>
      </c>
      <c r="I9312" s="7" t="n">
        <f aca="false">YEAR(B9312)</f>
        <v>2016</v>
      </c>
      <c r="J9312" s="0" t="str">
        <f aca="false">I9312&amp;"-Q"&amp;ROUNDUP(MONTH(B9312)/3,0)</f>
        <v>2016-Q3</v>
      </c>
    </row>
    <row r="9313" customFormat="false" ht="15" hidden="false" customHeight="false" outlineLevel="0" collapsed="false">
      <c r="A9313" s="0" t="s">
        <v>4739</v>
      </c>
      <c r="B9313" s="6" t="n">
        <v>42800</v>
      </c>
      <c r="C9313" s="7" t="s">
        <v>45</v>
      </c>
      <c r="D9313" s="7" t="s">
        <v>46</v>
      </c>
      <c r="E9313" s="7" t="s">
        <v>35</v>
      </c>
      <c r="F9313" s="0" t="n">
        <v>4.928</v>
      </c>
      <c r="G9313" s="0" t="n">
        <v>1.7248</v>
      </c>
      <c r="H9313" s="0" t="n">
        <v>0.2</v>
      </c>
      <c r="I9313" s="7" t="n">
        <f aca="false">YEAR(B9313)</f>
        <v>2017</v>
      </c>
      <c r="J9313" s="0" t="str">
        <f aca="false">I9313&amp;"-Q"&amp;ROUNDUP(MONTH(B9313)/3,0)</f>
        <v>2017-Q1</v>
      </c>
    </row>
    <row r="9314" customFormat="false" ht="15" hidden="false" customHeight="false" outlineLevel="0" collapsed="false">
      <c r="A9314" s="0" t="s">
        <v>4739</v>
      </c>
      <c r="B9314" s="6" t="n">
        <v>42800</v>
      </c>
      <c r="C9314" s="7" t="s">
        <v>45</v>
      </c>
      <c r="D9314" s="7" t="s">
        <v>46</v>
      </c>
      <c r="E9314" s="7" t="s">
        <v>35</v>
      </c>
      <c r="F9314" s="0" t="n">
        <v>63.488</v>
      </c>
      <c r="G9314" s="0" t="n">
        <v>4.7616</v>
      </c>
      <c r="H9314" s="0" t="n">
        <v>0.2</v>
      </c>
      <c r="I9314" s="7" t="n">
        <f aca="false">YEAR(B9314)</f>
        <v>2017</v>
      </c>
      <c r="J9314" s="0" t="str">
        <f aca="false">I9314&amp;"-Q"&amp;ROUNDUP(MONTH(B9314)/3,0)</f>
        <v>2017-Q1</v>
      </c>
    </row>
    <row r="9315" customFormat="false" ht="15" hidden="false" customHeight="false" outlineLevel="0" collapsed="false">
      <c r="A9315" s="0" t="s">
        <v>4740</v>
      </c>
      <c r="B9315" s="6" t="n">
        <v>42319</v>
      </c>
      <c r="C9315" s="7" t="s">
        <v>45</v>
      </c>
      <c r="D9315" s="7" t="s">
        <v>70</v>
      </c>
      <c r="E9315" s="7" t="s">
        <v>35</v>
      </c>
      <c r="F9315" s="0" t="n">
        <v>418.32</v>
      </c>
      <c r="G9315" s="0" t="n">
        <v>117.1296</v>
      </c>
      <c r="H9315" s="0" t="n">
        <v>0</v>
      </c>
      <c r="I9315" s="7" t="n">
        <f aca="false">YEAR(B9315)</f>
        <v>2015</v>
      </c>
      <c r="J9315" s="0" t="str">
        <f aca="false">I9315&amp;"-Q"&amp;ROUNDUP(MONTH(B9315)/3,0)</f>
        <v>2015-Q4</v>
      </c>
    </row>
    <row r="9316" customFormat="false" ht="15" hidden="false" customHeight="false" outlineLevel="0" collapsed="false">
      <c r="A9316" s="0" t="s">
        <v>4740</v>
      </c>
      <c r="B9316" s="6" t="n">
        <v>42319</v>
      </c>
      <c r="C9316" s="7" t="s">
        <v>45</v>
      </c>
      <c r="D9316" s="7" t="s">
        <v>70</v>
      </c>
      <c r="E9316" s="7" t="s">
        <v>35</v>
      </c>
      <c r="F9316" s="0" t="n">
        <v>123.858</v>
      </c>
      <c r="G9316" s="0" t="n">
        <v>46.7908</v>
      </c>
      <c r="H9316" s="0" t="n">
        <v>0.1</v>
      </c>
      <c r="I9316" s="7" t="n">
        <f aca="false">YEAR(B9316)</f>
        <v>2015</v>
      </c>
      <c r="J9316" s="0" t="str">
        <f aca="false">I9316&amp;"-Q"&amp;ROUNDUP(MONTH(B9316)/3,0)</f>
        <v>2015-Q4</v>
      </c>
    </row>
    <row r="9317" customFormat="false" ht="15" hidden="false" customHeight="false" outlineLevel="0" collapsed="false">
      <c r="A9317" s="0" t="s">
        <v>4741</v>
      </c>
      <c r="B9317" s="6" t="n">
        <v>42465</v>
      </c>
      <c r="C9317" s="7" t="s">
        <v>55</v>
      </c>
      <c r="D9317" s="7" t="s">
        <v>56</v>
      </c>
      <c r="E9317" s="7" t="s">
        <v>39</v>
      </c>
      <c r="F9317" s="0" t="n">
        <v>118.782</v>
      </c>
      <c r="G9317" s="0" t="n">
        <v>-27.7158</v>
      </c>
      <c r="H9317" s="0" t="n">
        <v>0.4</v>
      </c>
      <c r="I9317" s="7" t="n">
        <f aca="false">YEAR(B9317)</f>
        <v>2016</v>
      </c>
      <c r="J9317" s="0" t="str">
        <f aca="false">I9317&amp;"-Q"&amp;ROUNDUP(MONTH(B9317)/3,0)</f>
        <v>2016-Q2</v>
      </c>
    </row>
    <row r="9318" customFormat="false" ht="15" hidden="false" customHeight="false" outlineLevel="0" collapsed="false">
      <c r="A9318" s="0" t="s">
        <v>4741</v>
      </c>
      <c r="B9318" s="6" t="n">
        <v>42465</v>
      </c>
      <c r="C9318" s="7" t="s">
        <v>55</v>
      </c>
      <c r="D9318" s="7" t="s">
        <v>56</v>
      </c>
      <c r="E9318" s="7" t="s">
        <v>35</v>
      </c>
      <c r="F9318" s="0" t="n">
        <v>769.184</v>
      </c>
      <c r="G9318" s="0" t="n">
        <v>-163.4516</v>
      </c>
      <c r="H9318" s="0" t="n">
        <v>0.2</v>
      </c>
      <c r="I9318" s="7" t="n">
        <f aca="false">YEAR(B9318)</f>
        <v>2016</v>
      </c>
      <c r="J9318" s="0" t="str">
        <f aca="false">I9318&amp;"-Q"&amp;ROUNDUP(MONTH(B9318)/3,0)</f>
        <v>2016-Q2</v>
      </c>
    </row>
    <row r="9319" customFormat="false" ht="15" hidden="false" customHeight="false" outlineLevel="0" collapsed="false">
      <c r="A9319" s="0" t="s">
        <v>4742</v>
      </c>
      <c r="B9319" s="6" t="n">
        <v>42787</v>
      </c>
      <c r="C9319" s="7" t="s">
        <v>45</v>
      </c>
      <c r="D9319" s="7" t="s">
        <v>46</v>
      </c>
      <c r="E9319" s="7" t="s">
        <v>39</v>
      </c>
      <c r="F9319" s="0" t="n">
        <v>47.904</v>
      </c>
      <c r="G9319" s="0" t="n">
        <v>-2.994</v>
      </c>
      <c r="H9319" s="0" t="n">
        <v>0.2</v>
      </c>
      <c r="I9319" s="7" t="n">
        <f aca="false">YEAR(B9319)</f>
        <v>2017</v>
      </c>
      <c r="J9319" s="0" t="str">
        <f aca="false">I9319&amp;"-Q"&amp;ROUNDUP(MONTH(B9319)/3,0)</f>
        <v>2017-Q1</v>
      </c>
    </row>
    <row r="9320" customFormat="false" ht="15" hidden="false" customHeight="false" outlineLevel="0" collapsed="false">
      <c r="A9320" s="0" t="s">
        <v>4743</v>
      </c>
      <c r="B9320" s="6" t="n">
        <v>42936</v>
      </c>
      <c r="C9320" s="7" t="s">
        <v>55</v>
      </c>
      <c r="D9320" s="7" t="s">
        <v>76</v>
      </c>
      <c r="E9320" s="7" t="s">
        <v>35</v>
      </c>
      <c r="F9320" s="0" t="n">
        <v>13.36</v>
      </c>
      <c r="G9320" s="0" t="n">
        <v>6.4128</v>
      </c>
      <c r="H9320" s="0" t="n">
        <v>0</v>
      </c>
      <c r="I9320" s="7" t="n">
        <f aca="false">YEAR(B9320)</f>
        <v>2017</v>
      </c>
      <c r="J9320" s="0" t="str">
        <f aca="false">I9320&amp;"-Q"&amp;ROUNDUP(MONTH(B9320)/3,0)</f>
        <v>2017-Q3</v>
      </c>
    </row>
    <row r="9321" customFormat="false" ht="15" hidden="false" customHeight="false" outlineLevel="0" collapsed="false">
      <c r="A9321" s="0" t="s">
        <v>4743</v>
      </c>
      <c r="B9321" s="6" t="n">
        <v>42936</v>
      </c>
      <c r="C9321" s="7" t="s">
        <v>55</v>
      </c>
      <c r="D9321" s="7" t="s">
        <v>76</v>
      </c>
      <c r="E9321" s="7" t="s">
        <v>31</v>
      </c>
      <c r="F9321" s="0" t="n">
        <v>163.764</v>
      </c>
      <c r="G9321" s="0" t="n">
        <v>25.4744</v>
      </c>
      <c r="H9321" s="0" t="n">
        <v>0.1</v>
      </c>
      <c r="I9321" s="7" t="n">
        <f aca="false">YEAR(B9321)</f>
        <v>2017</v>
      </c>
      <c r="J9321" s="0" t="str">
        <f aca="false">I9321&amp;"-Q"&amp;ROUNDUP(MONTH(B9321)/3,0)</f>
        <v>2017-Q3</v>
      </c>
    </row>
    <row r="9322" customFormat="false" ht="15" hidden="false" customHeight="false" outlineLevel="0" collapsed="false">
      <c r="A9322" s="0" t="s">
        <v>4743</v>
      </c>
      <c r="B9322" s="6" t="n">
        <v>42936</v>
      </c>
      <c r="C9322" s="7" t="s">
        <v>55</v>
      </c>
      <c r="D9322" s="7" t="s">
        <v>76</v>
      </c>
      <c r="E9322" s="7" t="s">
        <v>31</v>
      </c>
      <c r="F9322" s="0" t="n">
        <v>183.92</v>
      </c>
      <c r="G9322" s="0" t="n">
        <v>31.2664</v>
      </c>
      <c r="H9322" s="0" t="n">
        <v>0</v>
      </c>
      <c r="I9322" s="7" t="n">
        <f aca="false">YEAR(B9322)</f>
        <v>2017</v>
      </c>
      <c r="J9322" s="0" t="str">
        <f aca="false">I9322&amp;"-Q"&amp;ROUNDUP(MONTH(B9322)/3,0)</f>
        <v>2017-Q3</v>
      </c>
    </row>
    <row r="9323" customFormat="false" ht="15" hidden="false" customHeight="false" outlineLevel="0" collapsed="false">
      <c r="A9323" s="0" t="s">
        <v>4744</v>
      </c>
      <c r="B9323" s="6" t="n">
        <v>42678</v>
      </c>
      <c r="C9323" s="7" t="s">
        <v>45</v>
      </c>
      <c r="D9323" s="7" t="s">
        <v>46</v>
      </c>
      <c r="E9323" s="7" t="s">
        <v>31</v>
      </c>
      <c r="F9323" s="0" t="n">
        <v>11.376</v>
      </c>
      <c r="G9323" s="0" t="n">
        <v>-5.688</v>
      </c>
      <c r="H9323" s="0" t="n">
        <v>0.6</v>
      </c>
      <c r="I9323" s="7" t="n">
        <f aca="false">YEAR(B9323)</f>
        <v>2016</v>
      </c>
      <c r="J9323" s="0" t="str">
        <f aca="false">I9323&amp;"-Q"&amp;ROUNDUP(MONTH(B9323)/3,0)</f>
        <v>2016-Q4</v>
      </c>
    </row>
    <row r="9324" customFormat="false" ht="15" hidden="false" customHeight="false" outlineLevel="0" collapsed="false">
      <c r="A9324" s="0" t="s">
        <v>4744</v>
      </c>
      <c r="B9324" s="6" t="n">
        <v>42678</v>
      </c>
      <c r="C9324" s="7" t="s">
        <v>45</v>
      </c>
      <c r="D9324" s="7" t="s">
        <v>46</v>
      </c>
      <c r="E9324" s="7" t="s">
        <v>31</v>
      </c>
      <c r="F9324" s="0" t="n">
        <v>66.112</v>
      </c>
      <c r="G9324" s="0" t="n">
        <v>-84.2928</v>
      </c>
      <c r="H9324" s="0" t="n">
        <v>0.6</v>
      </c>
      <c r="I9324" s="7" t="n">
        <f aca="false">YEAR(B9324)</f>
        <v>2016</v>
      </c>
      <c r="J9324" s="0" t="str">
        <f aca="false">I9324&amp;"-Q"&amp;ROUNDUP(MONTH(B9324)/3,0)</f>
        <v>2016-Q4</v>
      </c>
    </row>
    <row r="9325" customFormat="false" ht="15" hidden="false" customHeight="false" outlineLevel="0" collapsed="false">
      <c r="A9325" s="0" t="s">
        <v>4745</v>
      </c>
      <c r="B9325" s="6" t="n">
        <v>43001</v>
      </c>
      <c r="C9325" s="7" t="s">
        <v>33</v>
      </c>
      <c r="D9325" s="7" t="s">
        <v>34</v>
      </c>
      <c r="E9325" s="7" t="s">
        <v>35</v>
      </c>
      <c r="F9325" s="0" t="n">
        <v>211.04</v>
      </c>
      <c r="G9325" s="0" t="n">
        <v>97.0784</v>
      </c>
      <c r="H9325" s="0" t="n">
        <v>0</v>
      </c>
      <c r="I9325" s="7" t="n">
        <f aca="false">YEAR(B9325)</f>
        <v>2017</v>
      </c>
      <c r="J9325" s="0" t="str">
        <f aca="false">I9325&amp;"-Q"&amp;ROUNDUP(MONTH(B9325)/3,0)</f>
        <v>2017-Q3</v>
      </c>
    </row>
    <row r="9326" customFormat="false" ht="15" hidden="false" customHeight="false" outlineLevel="0" collapsed="false">
      <c r="A9326" s="0" t="s">
        <v>4745</v>
      </c>
      <c r="B9326" s="6" t="n">
        <v>43001</v>
      </c>
      <c r="C9326" s="7" t="s">
        <v>33</v>
      </c>
      <c r="D9326" s="7" t="s">
        <v>34</v>
      </c>
      <c r="E9326" s="7" t="s">
        <v>31</v>
      </c>
      <c r="F9326" s="0" t="n">
        <v>594.816</v>
      </c>
      <c r="G9326" s="0" t="n">
        <v>59.4816</v>
      </c>
      <c r="H9326" s="0" t="n">
        <v>0.2</v>
      </c>
      <c r="I9326" s="7" t="n">
        <f aca="false">YEAR(B9326)</f>
        <v>2017</v>
      </c>
      <c r="J9326" s="0" t="str">
        <f aca="false">I9326&amp;"-Q"&amp;ROUNDUP(MONTH(B9326)/3,0)</f>
        <v>2017-Q3</v>
      </c>
    </row>
    <row r="9327" customFormat="false" ht="15" hidden="false" customHeight="false" outlineLevel="0" collapsed="false">
      <c r="A9327" s="0" t="s">
        <v>4745</v>
      </c>
      <c r="B9327" s="6" t="n">
        <v>43001</v>
      </c>
      <c r="C9327" s="7" t="s">
        <v>33</v>
      </c>
      <c r="D9327" s="7" t="s">
        <v>34</v>
      </c>
      <c r="E9327" s="7" t="s">
        <v>35</v>
      </c>
      <c r="F9327" s="0" t="n">
        <v>72.96</v>
      </c>
      <c r="G9327" s="0" t="n">
        <v>23.712</v>
      </c>
      <c r="H9327" s="0" t="n">
        <v>0.2</v>
      </c>
      <c r="I9327" s="7" t="n">
        <f aca="false">YEAR(B9327)</f>
        <v>2017</v>
      </c>
      <c r="J9327" s="0" t="str">
        <f aca="false">I9327&amp;"-Q"&amp;ROUNDUP(MONTH(B9327)/3,0)</f>
        <v>2017-Q3</v>
      </c>
    </row>
    <row r="9328" customFormat="false" ht="15" hidden="false" customHeight="false" outlineLevel="0" collapsed="false">
      <c r="A9328" s="0" t="s">
        <v>4746</v>
      </c>
      <c r="B9328" s="6" t="n">
        <v>42985</v>
      </c>
      <c r="C9328" s="7" t="s">
        <v>33</v>
      </c>
      <c r="D9328" s="7" t="s">
        <v>43</v>
      </c>
      <c r="E9328" s="7" t="s">
        <v>31</v>
      </c>
      <c r="F9328" s="0" t="n">
        <v>80.96</v>
      </c>
      <c r="G9328" s="0" t="n">
        <v>34.8128</v>
      </c>
      <c r="H9328" s="0" t="n">
        <v>0</v>
      </c>
      <c r="I9328" s="7" t="n">
        <f aca="false">YEAR(B9328)</f>
        <v>2017</v>
      </c>
      <c r="J9328" s="0" t="str">
        <f aca="false">I9328&amp;"-Q"&amp;ROUNDUP(MONTH(B9328)/3,0)</f>
        <v>2017-Q3</v>
      </c>
    </row>
    <row r="9329" customFormat="false" ht="15" hidden="false" customHeight="false" outlineLevel="0" collapsed="false">
      <c r="A9329" s="0" t="s">
        <v>4746</v>
      </c>
      <c r="B9329" s="6" t="n">
        <v>42985</v>
      </c>
      <c r="C9329" s="7" t="s">
        <v>33</v>
      </c>
      <c r="D9329" s="7" t="s">
        <v>43</v>
      </c>
      <c r="E9329" s="7" t="s">
        <v>39</v>
      </c>
      <c r="F9329" s="0" t="n">
        <v>455.712</v>
      </c>
      <c r="G9329" s="0" t="n">
        <v>34.1784</v>
      </c>
      <c r="H9329" s="0" t="n">
        <v>0.2</v>
      </c>
      <c r="I9329" s="7" t="n">
        <f aca="false">YEAR(B9329)</f>
        <v>2017</v>
      </c>
      <c r="J9329" s="0" t="str">
        <f aca="false">I9329&amp;"-Q"&amp;ROUNDUP(MONTH(B9329)/3,0)</f>
        <v>2017-Q3</v>
      </c>
    </row>
    <row r="9330" customFormat="false" ht="15" hidden="false" customHeight="false" outlineLevel="0" collapsed="false">
      <c r="A9330" s="0" t="s">
        <v>4746</v>
      </c>
      <c r="B9330" s="6" t="n">
        <v>42985</v>
      </c>
      <c r="C9330" s="7" t="s">
        <v>33</v>
      </c>
      <c r="D9330" s="7" t="s">
        <v>43</v>
      </c>
      <c r="E9330" s="7" t="s">
        <v>35</v>
      </c>
      <c r="F9330" s="0" t="n">
        <v>25.98</v>
      </c>
      <c r="G9330" s="0" t="n">
        <v>7.2744</v>
      </c>
      <c r="H9330" s="0" t="n">
        <v>0</v>
      </c>
      <c r="I9330" s="7" t="n">
        <f aca="false">YEAR(B9330)</f>
        <v>2017</v>
      </c>
      <c r="J9330" s="0" t="str">
        <f aca="false">I9330&amp;"-Q"&amp;ROUNDUP(MONTH(B9330)/3,0)</f>
        <v>2017-Q3</v>
      </c>
    </row>
    <row r="9331" customFormat="false" ht="15" hidden="false" customHeight="false" outlineLevel="0" collapsed="false">
      <c r="A9331" s="0" t="s">
        <v>4747</v>
      </c>
      <c r="B9331" s="6" t="n">
        <v>42336</v>
      </c>
      <c r="C9331" s="7" t="s">
        <v>33</v>
      </c>
      <c r="D9331" s="7" t="s">
        <v>34</v>
      </c>
      <c r="E9331" s="7" t="s">
        <v>35</v>
      </c>
      <c r="F9331" s="0" t="n">
        <v>45.28</v>
      </c>
      <c r="G9331" s="0" t="n">
        <v>15.3952</v>
      </c>
      <c r="H9331" s="0" t="n">
        <v>0</v>
      </c>
      <c r="I9331" s="7" t="n">
        <f aca="false">YEAR(B9331)</f>
        <v>2015</v>
      </c>
      <c r="J9331" s="0" t="str">
        <f aca="false">I9331&amp;"-Q"&amp;ROUNDUP(MONTH(B9331)/3,0)</f>
        <v>2015-Q4</v>
      </c>
    </row>
    <row r="9332" customFormat="false" ht="15" hidden="false" customHeight="false" outlineLevel="0" collapsed="false">
      <c r="A9332" s="0" t="s">
        <v>4748</v>
      </c>
      <c r="B9332" s="6" t="n">
        <v>42320</v>
      </c>
      <c r="C9332" s="7" t="s">
        <v>55</v>
      </c>
      <c r="D9332" s="7" t="s">
        <v>76</v>
      </c>
      <c r="E9332" s="7" t="s">
        <v>35</v>
      </c>
      <c r="F9332" s="0" t="n">
        <v>15.56</v>
      </c>
      <c r="G9332" s="0" t="n">
        <v>7.3132</v>
      </c>
      <c r="H9332" s="0" t="n">
        <v>0</v>
      </c>
      <c r="I9332" s="7" t="n">
        <f aca="false">YEAR(B9332)</f>
        <v>2015</v>
      </c>
      <c r="J9332" s="0" t="str">
        <f aca="false">I9332&amp;"-Q"&amp;ROUNDUP(MONTH(B9332)/3,0)</f>
        <v>2015-Q4</v>
      </c>
    </row>
    <row r="9333" customFormat="false" ht="15" hidden="false" customHeight="false" outlineLevel="0" collapsed="false">
      <c r="A9333" s="0" t="s">
        <v>4749</v>
      </c>
      <c r="B9333" s="6" t="n">
        <v>42642</v>
      </c>
      <c r="C9333" s="7" t="s">
        <v>33</v>
      </c>
      <c r="D9333" s="7" t="s">
        <v>102</v>
      </c>
      <c r="E9333" s="7" t="s">
        <v>39</v>
      </c>
      <c r="F9333" s="0" t="n">
        <v>859.2</v>
      </c>
      <c r="G9333" s="0" t="n">
        <v>75.18</v>
      </c>
      <c r="H9333" s="0" t="n">
        <v>0.2</v>
      </c>
      <c r="I9333" s="7" t="n">
        <f aca="false">YEAR(B9333)</f>
        <v>2016</v>
      </c>
      <c r="J9333" s="0" t="str">
        <f aca="false">I9333&amp;"-Q"&amp;ROUNDUP(MONTH(B9333)/3,0)</f>
        <v>2016-Q3</v>
      </c>
    </row>
    <row r="9334" customFormat="false" ht="15" hidden="false" customHeight="false" outlineLevel="0" collapsed="false">
      <c r="A9334" s="0" t="s">
        <v>4750</v>
      </c>
      <c r="B9334" s="6" t="n">
        <v>42989</v>
      </c>
      <c r="C9334" s="7" t="s">
        <v>29</v>
      </c>
      <c r="D9334" s="7" t="s">
        <v>30</v>
      </c>
      <c r="E9334" s="7" t="s">
        <v>35</v>
      </c>
      <c r="F9334" s="0" t="n">
        <v>195.68</v>
      </c>
      <c r="G9334" s="0" t="n">
        <v>50.8768</v>
      </c>
      <c r="H9334" s="0" t="n">
        <v>0</v>
      </c>
      <c r="I9334" s="7" t="n">
        <f aca="false">YEAR(B9334)</f>
        <v>2017</v>
      </c>
      <c r="J9334" s="0" t="str">
        <f aca="false">I9334&amp;"-Q"&amp;ROUNDUP(MONTH(B9334)/3,0)</f>
        <v>2017-Q3</v>
      </c>
    </row>
    <row r="9335" customFormat="false" ht="15" hidden="false" customHeight="false" outlineLevel="0" collapsed="false">
      <c r="A9335" s="0" t="s">
        <v>4750</v>
      </c>
      <c r="B9335" s="6" t="n">
        <v>42989</v>
      </c>
      <c r="C9335" s="7" t="s">
        <v>29</v>
      </c>
      <c r="D9335" s="7" t="s">
        <v>30</v>
      </c>
      <c r="E9335" s="7" t="s">
        <v>35</v>
      </c>
      <c r="F9335" s="0" t="n">
        <v>14.2</v>
      </c>
      <c r="G9335" s="0" t="n">
        <v>6.674</v>
      </c>
      <c r="H9335" s="0" t="n">
        <v>0</v>
      </c>
      <c r="I9335" s="7" t="n">
        <f aca="false">YEAR(B9335)</f>
        <v>2017</v>
      </c>
      <c r="J9335" s="0" t="str">
        <f aca="false">I9335&amp;"-Q"&amp;ROUNDUP(MONTH(B9335)/3,0)</f>
        <v>2017-Q3</v>
      </c>
    </row>
    <row r="9336" customFormat="false" ht="15" hidden="false" customHeight="false" outlineLevel="0" collapsed="false">
      <c r="A9336" s="0" t="s">
        <v>4751</v>
      </c>
      <c r="B9336" s="6" t="n">
        <v>42856</v>
      </c>
      <c r="C9336" s="7" t="s">
        <v>29</v>
      </c>
      <c r="D9336" s="7" t="s">
        <v>37</v>
      </c>
      <c r="E9336" s="7" t="s">
        <v>31</v>
      </c>
      <c r="F9336" s="0" t="n">
        <v>314.352</v>
      </c>
      <c r="G9336" s="0" t="n">
        <v>-15.7176</v>
      </c>
      <c r="H9336" s="0" t="n">
        <v>0.2</v>
      </c>
      <c r="I9336" s="7" t="n">
        <f aca="false">YEAR(B9336)</f>
        <v>2017</v>
      </c>
      <c r="J9336" s="0" t="str">
        <f aca="false">I9336&amp;"-Q"&amp;ROUNDUP(MONTH(B9336)/3,0)</f>
        <v>2017-Q2</v>
      </c>
    </row>
    <row r="9337" customFormat="false" ht="15" hidden="false" customHeight="false" outlineLevel="0" collapsed="false">
      <c r="A9337" s="0" t="s">
        <v>4751</v>
      </c>
      <c r="B9337" s="6" t="n">
        <v>42856</v>
      </c>
      <c r="C9337" s="7" t="s">
        <v>29</v>
      </c>
      <c r="D9337" s="7" t="s">
        <v>37</v>
      </c>
      <c r="E9337" s="7" t="s">
        <v>35</v>
      </c>
      <c r="F9337" s="0" t="n">
        <v>4.608</v>
      </c>
      <c r="G9337" s="0" t="n">
        <v>1.4976</v>
      </c>
      <c r="H9337" s="0" t="n">
        <v>0.2</v>
      </c>
      <c r="I9337" s="7" t="n">
        <f aca="false">YEAR(B9337)</f>
        <v>2017</v>
      </c>
      <c r="J9337" s="0" t="str">
        <f aca="false">I9337&amp;"-Q"&amp;ROUNDUP(MONTH(B9337)/3,0)</f>
        <v>2017-Q2</v>
      </c>
    </row>
    <row r="9338" customFormat="false" ht="15" hidden="false" customHeight="false" outlineLevel="0" collapsed="false">
      <c r="A9338" s="0" t="s">
        <v>4752</v>
      </c>
      <c r="B9338" s="6" t="n">
        <v>42994</v>
      </c>
      <c r="C9338" s="7" t="s">
        <v>33</v>
      </c>
      <c r="D9338" s="7" t="s">
        <v>34</v>
      </c>
      <c r="E9338" s="7" t="s">
        <v>35</v>
      </c>
      <c r="F9338" s="0" t="n">
        <v>17.9</v>
      </c>
      <c r="G9338" s="0" t="n">
        <v>8.771</v>
      </c>
      <c r="H9338" s="0" t="n">
        <v>0</v>
      </c>
      <c r="I9338" s="7" t="n">
        <f aca="false">YEAR(B9338)</f>
        <v>2017</v>
      </c>
      <c r="J9338" s="0" t="str">
        <f aca="false">I9338&amp;"-Q"&amp;ROUNDUP(MONTH(B9338)/3,0)</f>
        <v>2017-Q3</v>
      </c>
    </row>
    <row r="9339" customFormat="false" ht="15" hidden="false" customHeight="false" outlineLevel="0" collapsed="false">
      <c r="A9339" s="0" t="s">
        <v>4753</v>
      </c>
      <c r="B9339" s="6" t="n">
        <v>41931</v>
      </c>
      <c r="C9339" s="7" t="s">
        <v>33</v>
      </c>
      <c r="D9339" s="7" t="s">
        <v>34</v>
      </c>
      <c r="E9339" s="7" t="s">
        <v>35</v>
      </c>
      <c r="F9339" s="0" t="n">
        <v>2.992</v>
      </c>
      <c r="G9339" s="0" t="n">
        <v>1.122</v>
      </c>
      <c r="H9339" s="0" t="n">
        <v>0.2</v>
      </c>
      <c r="I9339" s="7" t="n">
        <f aca="false">YEAR(B9339)</f>
        <v>2014</v>
      </c>
      <c r="J9339" s="0" t="str">
        <f aca="false">I9339&amp;"-Q"&amp;ROUNDUP(MONTH(B9339)/3,0)</f>
        <v>2014-Q4</v>
      </c>
    </row>
    <row r="9340" customFormat="false" ht="15" hidden="false" customHeight="false" outlineLevel="0" collapsed="false">
      <c r="A9340" s="0" t="s">
        <v>4753</v>
      </c>
      <c r="B9340" s="6" t="n">
        <v>41931</v>
      </c>
      <c r="C9340" s="7" t="s">
        <v>33</v>
      </c>
      <c r="D9340" s="7" t="s">
        <v>34</v>
      </c>
      <c r="E9340" s="7" t="s">
        <v>35</v>
      </c>
      <c r="F9340" s="0" t="n">
        <v>20.064</v>
      </c>
      <c r="G9340" s="0" t="n">
        <v>7.0224</v>
      </c>
      <c r="H9340" s="0" t="n">
        <v>0.2</v>
      </c>
      <c r="I9340" s="7" t="n">
        <f aca="false">YEAR(B9340)</f>
        <v>2014</v>
      </c>
      <c r="J9340" s="0" t="str">
        <f aca="false">I9340&amp;"-Q"&amp;ROUNDUP(MONTH(B9340)/3,0)</f>
        <v>2014-Q4</v>
      </c>
    </row>
    <row r="9341" customFormat="false" ht="15" hidden="false" customHeight="false" outlineLevel="0" collapsed="false">
      <c r="A9341" s="0" t="s">
        <v>4753</v>
      </c>
      <c r="B9341" s="6" t="n">
        <v>41931</v>
      </c>
      <c r="C9341" s="7" t="s">
        <v>33</v>
      </c>
      <c r="D9341" s="7" t="s">
        <v>34</v>
      </c>
      <c r="E9341" s="7" t="s">
        <v>35</v>
      </c>
      <c r="F9341" s="0" t="n">
        <v>146.73</v>
      </c>
      <c r="G9341" s="0" t="n">
        <v>68.9631</v>
      </c>
      <c r="H9341" s="0" t="n">
        <v>0</v>
      </c>
      <c r="I9341" s="7" t="n">
        <f aca="false">YEAR(B9341)</f>
        <v>2014</v>
      </c>
      <c r="J9341" s="0" t="str">
        <f aca="false">I9341&amp;"-Q"&amp;ROUNDUP(MONTH(B9341)/3,0)</f>
        <v>2014-Q4</v>
      </c>
    </row>
    <row r="9342" customFormat="false" ht="15" hidden="false" customHeight="false" outlineLevel="0" collapsed="false">
      <c r="A9342" s="0" t="s">
        <v>4753</v>
      </c>
      <c r="B9342" s="6" t="n">
        <v>41931</v>
      </c>
      <c r="C9342" s="7" t="s">
        <v>33</v>
      </c>
      <c r="D9342" s="7" t="s">
        <v>34</v>
      </c>
      <c r="E9342" s="7" t="s">
        <v>35</v>
      </c>
      <c r="F9342" s="0" t="n">
        <v>18.75</v>
      </c>
      <c r="G9342" s="0" t="n">
        <v>9</v>
      </c>
      <c r="H9342" s="0" t="n">
        <v>0</v>
      </c>
      <c r="I9342" s="7" t="n">
        <f aca="false">YEAR(B9342)</f>
        <v>2014</v>
      </c>
      <c r="J9342" s="0" t="str">
        <f aca="false">I9342&amp;"-Q"&amp;ROUNDUP(MONTH(B9342)/3,0)</f>
        <v>2014-Q4</v>
      </c>
    </row>
    <row r="9343" customFormat="false" ht="15" hidden="false" customHeight="false" outlineLevel="0" collapsed="false">
      <c r="A9343" s="0" t="s">
        <v>4753</v>
      </c>
      <c r="B9343" s="6" t="n">
        <v>41931</v>
      </c>
      <c r="C9343" s="7" t="s">
        <v>33</v>
      </c>
      <c r="D9343" s="7" t="s">
        <v>34</v>
      </c>
      <c r="E9343" s="7" t="s">
        <v>39</v>
      </c>
      <c r="F9343" s="0" t="n">
        <v>117.576</v>
      </c>
      <c r="G9343" s="0" t="n">
        <v>11.7576</v>
      </c>
      <c r="H9343" s="0" t="n">
        <v>0.2</v>
      </c>
      <c r="I9343" s="7" t="n">
        <f aca="false">YEAR(B9343)</f>
        <v>2014</v>
      </c>
      <c r="J9343" s="0" t="str">
        <f aca="false">I9343&amp;"-Q"&amp;ROUNDUP(MONTH(B9343)/3,0)</f>
        <v>2014-Q4</v>
      </c>
    </row>
    <row r="9344" customFormat="false" ht="15" hidden="false" customHeight="false" outlineLevel="0" collapsed="false">
      <c r="A9344" s="0" t="s">
        <v>4754</v>
      </c>
      <c r="B9344" s="6" t="n">
        <v>42442</v>
      </c>
      <c r="C9344" s="7" t="s">
        <v>33</v>
      </c>
      <c r="D9344" s="7" t="s">
        <v>34</v>
      </c>
      <c r="E9344" s="7" t="s">
        <v>35</v>
      </c>
      <c r="F9344" s="0" t="n">
        <v>51.184</v>
      </c>
      <c r="G9344" s="0" t="n">
        <v>19.194</v>
      </c>
      <c r="H9344" s="0" t="n">
        <v>0.2</v>
      </c>
      <c r="I9344" s="7" t="n">
        <f aca="false">YEAR(B9344)</f>
        <v>2016</v>
      </c>
      <c r="J9344" s="0" t="str">
        <f aca="false">I9344&amp;"-Q"&amp;ROUNDUP(MONTH(B9344)/3,0)</f>
        <v>2016-Q1</v>
      </c>
    </row>
    <row r="9345" customFormat="false" ht="15" hidden="false" customHeight="false" outlineLevel="0" collapsed="false">
      <c r="A9345" s="0" t="s">
        <v>4755</v>
      </c>
      <c r="B9345" s="6" t="n">
        <v>42783</v>
      </c>
      <c r="C9345" s="7" t="s">
        <v>55</v>
      </c>
      <c r="D9345" s="7" t="s">
        <v>116</v>
      </c>
      <c r="E9345" s="7" t="s">
        <v>31</v>
      </c>
      <c r="F9345" s="0" t="n">
        <v>455.97</v>
      </c>
      <c r="G9345" s="0" t="n">
        <v>-106.393</v>
      </c>
      <c r="H9345" s="0" t="n">
        <v>0.4</v>
      </c>
      <c r="I9345" s="7" t="n">
        <f aca="false">YEAR(B9345)</f>
        <v>2017</v>
      </c>
      <c r="J9345" s="0" t="str">
        <f aca="false">I9345&amp;"-Q"&amp;ROUNDUP(MONTH(B9345)/3,0)</f>
        <v>2017-Q1</v>
      </c>
    </row>
    <row r="9346" customFormat="false" ht="15" hidden="false" customHeight="false" outlineLevel="0" collapsed="false">
      <c r="A9346" s="0" t="s">
        <v>4755</v>
      </c>
      <c r="B9346" s="6" t="n">
        <v>42783</v>
      </c>
      <c r="C9346" s="7" t="s">
        <v>55</v>
      </c>
      <c r="D9346" s="7" t="s">
        <v>116</v>
      </c>
      <c r="E9346" s="7" t="s">
        <v>35</v>
      </c>
      <c r="F9346" s="0" t="n">
        <v>5.715</v>
      </c>
      <c r="G9346" s="0" t="n">
        <v>-4.7625</v>
      </c>
      <c r="H9346" s="0" t="n">
        <v>0.7</v>
      </c>
      <c r="I9346" s="7" t="n">
        <f aca="false">YEAR(B9346)</f>
        <v>2017</v>
      </c>
      <c r="J9346" s="0" t="str">
        <f aca="false">I9346&amp;"-Q"&amp;ROUNDUP(MONTH(B9346)/3,0)</f>
        <v>2017-Q1</v>
      </c>
    </row>
    <row r="9347" customFormat="false" ht="15" hidden="false" customHeight="false" outlineLevel="0" collapsed="false">
      <c r="A9347" s="0" t="s">
        <v>4755</v>
      </c>
      <c r="B9347" s="6" t="n">
        <v>42783</v>
      </c>
      <c r="C9347" s="7" t="s">
        <v>55</v>
      </c>
      <c r="D9347" s="7" t="s">
        <v>116</v>
      </c>
      <c r="E9347" s="7" t="s">
        <v>39</v>
      </c>
      <c r="F9347" s="0" t="n">
        <v>57.594</v>
      </c>
      <c r="G9347" s="0" t="n">
        <v>-11.5188</v>
      </c>
      <c r="H9347" s="0" t="n">
        <v>0.4</v>
      </c>
      <c r="I9347" s="7" t="n">
        <f aca="false">YEAR(B9347)</f>
        <v>2017</v>
      </c>
      <c r="J9347" s="0" t="str">
        <f aca="false">I9347&amp;"-Q"&amp;ROUNDUP(MONTH(B9347)/3,0)</f>
        <v>2017-Q1</v>
      </c>
    </row>
    <row r="9348" customFormat="false" ht="15" hidden="false" customHeight="false" outlineLevel="0" collapsed="false">
      <c r="A9348" s="0" t="s">
        <v>4755</v>
      </c>
      <c r="B9348" s="6" t="n">
        <v>42783</v>
      </c>
      <c r="C9348" s="7" t="s">
        <v>55</v>
      </c>
      <c r="D9348" s="7" t="s">
        <v>116</v>
      </c>
      <c r="E9348" s="7" t="s">
        <v>31</v>
      </c>
      <c r="F9348" s="0" t="n">
        <v>30.144</v>
      </c>
      <c r="G9348" s="0" t="n">
        <v>8.2896</v>
      </c>
      <c r="H9348" s="0" t="n">
        <v>0.2</v>
      </c>
      <c r="I9348" s="7" t="n">
        <f aca="false">YEAR(B9348)</f>
        <v>2017</v>
      </c>
      <c r="J9348" s="0" t="str">
        <f aca="false">I9348&amp;"-Q"&amp;ROUNDUP(MONTH(B9348)/3,0)</f>
        <v>2017-Q1</v>
      </c>
    </row>
    <row r="9349" customFormat="false" ht="15" hidden="false" customHeight="false" outlineLevel="0" collapsed="false">
      <c r="A9349" s="0" t="s">
        <v>4755</v>
      </c>
      <c r="B9349" s="6" t="n">
        <v>42783</v>
      </c>
      <c r="C9349" s="7" t="s">
        <v>55</v>
      </c>
      <c r="D9349" s="7" t="s">
        <v>116</v>
      </c>
      <c r="E9349" s="7" t="s">
        <v>31</v>
      </c>
      <c r="F9349" s="0" t="n">
        <v>899.43</v>
      </c>
      <c r="G9349" s="0" t="n">
        <v>-12.849</v>
      </c>
      <c r="H9349" s="0" t="n">
        <v>0.3</v>
      </c>
      <c r="I9349" s="7" t="n">
        <f aca="false">YEAR(B9349)</f>
        <v>2017</v>
      </c>
      <c r="J9349" s="0" t="str">
        <f aca="false">I9349&amp;"-Q"&amp;ROUNDUP(MONTH(B9349)/3,0)</f>
        <v>2017-Q1</v>
      </c>
    </row>
    <row r="9350" customFormat="false" ht="15" hidden="false" customHeight="false" outlineLevel="0" collapsed="false">
      <c r="A9350" s="0" t="s">
        <v>4756</v>
      </c>
      <c r="B9350" s="6" t="n">
        <v>42726</v>
      </c>
      <c r="C9350" s="7" t="s">
        <v>33</v>
      </c>
      <c r="D9350" s="7" t="s">
        <v>34</v>
      </c>
      <c r="E9350" s="7" t="s">
        <v>31</v>
      </c>
      <c r="F9350" s="0" t="n">
        <v>842.72</v>
      </c>
      <c r="G9350" s="0" t="n">
        <v>202.2528</v>
      </c>
      <c r="H9350" s="0" t="n">
        <v>0</v>
      </c>
      <c r="I9350" s="7" t="n">
        <f aca="false">YEAR(B9350)</f>
        <v>2016</v>
      </c>
      <c r="J9350" s="0" t="str">
        <f aca="false">I9350&amp;"-Q"&amp;ROUNDUP(MONTH(B9350)/3,0)</f>
        <v>2016-Q4</v>
      </c>
    </row>
    <row r="9351" customFormat="false" ht="15" hidden="false" customHeight="false" outlineLevel="0" collapsed="false">
      <c r="A9351" s="0" t="s">
        <v>4756</v>
      </c>
      <c r="B9351" s="6" t="n">
        <v>42726</v>
      </c>
      <c r="C9351" s="7" t="s">
        <v>33</v>
      </c>
      <c r="D9351" s="7" t="s">
        <v>34</v>
      </c>
      <c r="E9351" s="7" t="s">
        <v>31</v>
      </c>
      <c r="F9351" s="0" t="n">
        <v>41.96</v>
      </c>
      <c r="G9351" s="0" t="n">
        <v>10.9096</v>
      </c>
      <c r="H9351" s="0" t="n">
        <v>0</v>
      </c>
      <c r="I9351" s="7" t="n">
        <f aca="false">YEAR(B9351)</f>
        <v>2016</v>
      </c>
      <c r="J9351" s="0" t="str">
        <f aca="false">I9351&amp;"-Q"&amp;ROUNDUP(MONTH(B9351)/3,0)</f>
        <v>2016-Q4</v>
      </c>
    </row>
    <row r="9352" customFormat="false" ht="15" hidden="false" customHeight="false" outlineLevel="0" collapsed="false">
      <c r="A9352" s="0" t="s">
        <v>4757</v>
      </c>
      <c r="B9352" s="6" t="n">
        <v>42636</v>
      </c>
      <c r="C9352" s="7" t="s">
        <v>33</v>
      </c>
      <c r="D9352" s="7" t="s">
        <v>43</v>
      </c>
      <c r="E9352" s="7" t="s">
        <v>35</v>
      </c>
      <c r="F9352" s="0" t="n">
        <v>13.216</v>
      </c>
      <c r="G9352" s="0" t="n">
        <v>4.4604</v>
      </c>
      <c r="H9352" s="0" t="n">
        <v>0.2</v>
      </c>
      <c r="I9352" s="7" t="n">
        <f aca="false">YEAR(B9352)</f>
        <v>2016</v>
      </c>
      <c r="J9352" s="0" t="str">
        <f aca="false">I9352&amp;"-Q"&amp;ROUNDUP(MONTH(B9352)/3,0)</f>
        <v>2016-Q3</v>
      </c>
    </row>
    <row r="9353" customFormat="false" ht="15" hidden="false" customHeight="false" outlineLevel="0" collapsed="false">
      <c r="A9353" s="0" t="s">
        <v>4757</v>
      </c>
      <c r="B9353" s="6" t="n">
        <v>42636</v>
      </c>
      <c r="C9353" s="7" t="s">
        <v>33</v>
      </c>
      <c r="D9353" s="7" t="s">
        <v>43</v>
      </c>
      <c r="E9353" s="7" t="s">
        <v>31</v>
      </c>
      <c r="F9353" s="0" t="n">
        <v>184.752</v>
      </c>
      <c r="G9353" s="0" t="n">
        <v>-20.7846</v>
      </c>
      <c r="H9353" s="0" t="n">
        <v>0.2</v>
      </c>
      <c r="I9353" s="7" t="n">
        <f aca="false">YEAR(B9353)</f>
        <v>2016</v>
      </c>
      <c r="J9353" s="0" t="str">
        <f aca="false">I9353&amp;"-Q"&amp;ROUNDUP(MONTH(B9353)/3,0)</f>
        <v>2016-Q3</v>
      </c>
    </row>
    <row r="9354" customFormat="false" ht="15" hidden="false" customHeight="false" outlineLevel="0" collapsed="false">
      <c r="A9354" s="0" t="s">
        <v>4758</v>
      </c>
      <c r="B9354" s="6" t="n">
        <v>43002</v>
      </c>
      <c r="C9354" s="7" t="s">
        <v>45</v>
      </c>
      <c r="D9354" s="7" t="s">
        <v>64</v>
      </c>
      <c r="E9354" s="7" t="s">
        <v>31</v>
      </c>
      <c r="F9354" s="0" t="n">
        <v>520.464</v>
      </c>
      <c r="G9354" s="0" t="n">
        <v>-14.8704</v>
      </c>
      <c r="H9354" s="0" t="n">
        <v>0.3</v>
      </c>
      <c r="I9354" s="7" t="n">
        <f aca="false">YEAR(B9354)</f>
        <v>2017</v>
      </c>
      <c r="J9354" s="0" t="str">
        <f aca="false">I9354&amp;"-Q"&amp;ROUNDUP(MONTH(B9354)/3,0)</f>
        <v>2017-Q3</v>
      </c>
    </row>
    <row r="9355" customFormat="false" ht="15" hidden="false" customHeight="false" outlineLevel="0" collapsed="false">
      <c r="A9355" s="0" t="s">
        <v>4758</v>
      </c>
      <c r="B9355" s="6" t="n">
        <v>43002</v>
      </c>
      <c r="C9355" s="7" t="s">
        <v>45</v>
      </c>
      <c r="D9355" s="7" t="s">
        <v>64</v>
      </c>
      <c r="E9355" s="7" t="s">
        <v>35</v>
      </c>
      <c r="F9355" s="0" t="n">
        <v>11.424</v>
      </c>
      <c r="G9355" s="0" t="n">
        <v>3.7128</v>
      </c>
      <c r="H9355" s="0" t="n">
        <v>0.2</v>
      </c>
      <c r="I9355" s="7" t="n">
        <f aca="false">YEAR(B9355)</f>
        <v>2017</v>
      </c>
      <c r="J9355" s="0" t="str">
        <f aca="false">I9355&amp;"-Q"&amp;ROUNDUP(MONTH(B9355)/3,0)</f>
        <v>2017-Q3</v>
      </c>
    </row>
    <row r="9356" customFormat="false" ht="15" hidden="false" customHeight="false" outlineLevel="0" collapsed="false">
      <c r="A9356" s="0" t="s">
        <v>4759</v>
      </c>
      <c r="B9356" s="6" t="n">
        <v>42339</v>
      </c>
      <c r="C9356" s="7" t="s">
        <v>45</v>
      </c>
      <c r="D9356" s="7" t="s">
        <v>70</v>
      </c>
      <c r="E9356" s="7" t="s">
        <v>35</v>
      </c>
      <c r="F9356" s="0" t="n">
        <v>19.44</v>
      </c>
      <c r="G9356" s="0" t="n">
        <v>9.3312</v>
      </c>
      <c r="H9356" s="0" t="n">
        <v>0</v>
      </c>
      <c r="I9356" s="7" t="n">
        <f aca="false">YEAR(B9356)</f>
        <v>2015</v>
      </c>
      <c r="J9356" s="0" t="str">
        <f aca="false">I9356&amp;"-Q"&amp;ROUNDUP(MONTH(B9356)/3,0)</f>
        <v>2015-Q4</v>
      </c>
    </row>
    <row r="9357" customFormat="false" ht="15" hidden="false" customHeight="false" outlineLevel="0" collapsed="false">
      <c r="A9357" s="0" t="s">
        <v>4759</v>
      </c>
      <c r="B9357" s="6" t="n">
        <v>42339</v>
      </c>
      <c r="C9357" s="7" t="s">
        <v>45</v>
      </c>
      <c r="D9357" s="7" t="s">
        <v>70</v>
      </c>
      <c r="E9357" s="7" t="s">
        <v>35</v>
      </c>
      <c r="F9357" s="0" t="n">
        <v>3.64</v>
      </c>
      <c r="G9357" s="0" t="n">
        <v>1.0192</v>
      </c>
      <c r="H9357" s="0" t="n">
        <v>0</v>
      </c>
      <c r="I9357" s="7" t="n">
        <f aca="false">YEAR(B9357)</f>
        <v>2015</v>
      </c>
      <c r="J9357" s="0" t="str">
        <f aca="false">I9357&amp;"-Q"&amp;ROUNDUP(MONTH(B9357)/3,0)</f>
        <v>2015-Q4</v>
      </c>
    </row>
    <row r="9358" customFormat="false" ht="15" hidden="false" customHeight="false" outlineLevel="0" collapsed="false">
      <c r="A9358" s="0" t="s">
        <v>4759</v>
      </c>
      <c r="B9358" s="6" t="n">
        <v>42339</v>
      </c>
      <c r="C9358" s="7" t="s">
        <v>45</v>
      </c>
      <c r="D9358" s="7" t="s">
        <v>70</v>
      </c>
      <c r="E9358" s="7" t="s">
        <v>35</v>
      </c>
      <c r="F9358" s="0" t="n">
        <v>18.54</v>
      </c>
      <c r="G9358" s="0" t="n">
        <v>8.7138</v>
      </c>
      <c r="H9358" s="0" t="n">
        <v>0</v>
      </c>
      <c r="I9358" s="7" t="n">
        <f aca="false">YEAR(B9358)</f>
        <v>2015</v>
      </c>
      <c r="J9358" s="0" t="str">
        <f aca="false">I9358&amp;"-Q"&amp;ROUNDUP(MONTH(B9358)/3,0)</f>
        <v>2015-Q4</v>
      </c>
    </row>
    <row r="9359" customFormat="false" ht="15" hidden="false" customHeight="false" outlineLevel="0" collapsed="false">
      <c r="A9359" s="0" t="s">
        <v>4760</v>
      </c>
      <c r="B9359" s="6" t="n">
        <v>42394</v>
      </c>
      <c r="C9359" s="7" t="s">
        <v>55</v>
      </c>
      <c r="D9359" s="7" t="s">
        <v>76</v>
      </c>
      <c r="E9359" s="7" t="s">
        <v>35</v>
      </c>
      <c r="F9359" s="0" t="n">
        <v>43.12</v>
      </c>
      <c r="G9359" s="0" t="n">
        <v>15.092</v>
      </c>
      <c r="H9359" s="0" t="n">
        <v>0.2</v>
      </c>
      <c r="I9359" s="7" t="n">
        <f aca="false">YEAR(B9359)</f>
        <v>2016</v>
      </c>
      <c r="J9359" s="0" t="str">
        <f aca="false">I9359&amp;"-Q"&amp;ROUNDUP(MONTH(B9359)/3,0)</f>
        <v>2016-Q1</v>
      </c>
    </row>
    <row r="9360" customFormat="false" ht="15" hidden="false" customHeight="false" outlineLevel="0" collapsed="false">
      <c r="A9360" s="0" t="s">
        <v>4760</v>
      </c>
      <c r="B9360" s="6" t="n">
        <v>42394</v>
      </c>
      <c r="C9360" s="7" t="s">
        <v>55</v>
      </c>
      <c r="D9360" s="7" t="s">
        <v>76</v>
      </c>
      <c r="E9360" s="7" t="s">
        <v>31</v>
      </c>
      <c r="F9360" s="0" t="n">
        <v>313.722</v>
      </c>
      <c r="G9360" s="0" t="n">
        <v>-99.3453</v>
      </c>
      <c r="H9360" s="0" t="n">
        <v>0.4</v>
      </c>
      <c r="I9360" s="7" t="n">
        <f aca="false">YEAR(B9360)</f>
        <v>2016</v>
      </c>
      <c r="J9360" s="0" t="str">
        <f aca="false">I9360&amp;"-Q"&amp;ROUNDUP(MONTH(B9360)/3,0)</f>
        <v>2016-Q1</v>
      </c>
    </row>
    <row r="9361" customFormat="false" ht="15" hidden="false" customHeight="false" outlineLevel="0" collapsed="false">
      <c r="A9361" s="0" t="s">
        <v>4760</v>
      </c>
      <c r="B9361" s="6" t="n">
        <v>42394</v>
      </c>
      <c r="C9361" s="7" t="s">
        <v>55</v>
      </c>
      <c r="D9361" s="7" t="s">
        <v>76</v>
      </c>
      <c r="E9361" s="7" t="s">
        <v>31</v>
      </c>
      <c r="F9361" s="0" t="n">
        <v>45.98</v>
      </c>
      <c r="G9361" s="0" t="n">
        <v>7.8166</v>
      </c>
      <c r="H9361" s="0" t="n">
        <v>0</v>
      </c>
      <c r="I9361" s="7" t="n">
        <f aca="false">YEAR(B9361)</f>
        <v>2016</v>
      </c>
      <c r="J9361" s="0" t="str">
        <f aca="false">I9361&amp;"-Q"&amp;ROUNDUP(MONTH(B9361)/3,0)</f>
        <v>2016-Q1</v>
      </c>
    </row>
    <row r="9362" customFormat="false" ht="15" hidden="false" customHeight="false" outlineLevel="0" collapsed="false">
      <c r="A9362" s="0" t="s">
        <v>4760</v>
      </c>
      <c r="B9362" s="6" t="n">
        <v>42394</v>
      </c>
      <c r="C9362" s="7" t="s">
        <v>55</v>
      </c>
      <c r="D9362" s="7" t="s">
        <v>76</v>
      </c>
      <c r="E9362" s="7" t="s">
        <v>35</v>
      </c>
      <c r="F9362" s="0" t="n">
        <v>428.68</v>
      </c>
      <c r="G9362" s="0" t="n">
        <v>0</v>
      </c>
      <c r="H9362" s="0" t="n">
        <v>0</v>
      </c>
      <c r="I9362" s="7" t="n">
        <f aca="false">YEAR(B9362)</f>
        <v>2016</v>
      </c>
      <c r="J9362" s="0" t="str">
        <f aca="false">I9362&amp;"-Q"&amp;ROUNDUP(MONTH(B9362)/3,0)</f>
        <v>2016-Q1</v>
      </c>
    </row>
    <row r="9363" customFormat="false" ht="15" hidden="false" customHeight="false" outlineLevel="0" collapsed="false">
      <c r="A9363" s="0" t="s">
        <v>4761</v>
      </c>
      <c r="B9363" s="6" t="n">
        <v>42815</v>
      </c>
      <c r="C9363" s="7" t="s">
        <v>33</v>
      </c>
      <c r="D9363" s="7" t="s">
        <v>43</v>
      </c>
      <c r="E9363" s="7" t="s">
        <v>35</v>
      </c>
      <c r="F9363" s="0" t="n">
        <v>30.576</v>
      </c>
      <c r="G9363" s="0" t="n">
        <v>10.3194</v>
      </c>
      <c r="H9363" s="0" t="n">
        <v>0.2</v>
      </c>
      <c r="I9363" s="7" t="n">
        <f aca="false">YEAR(B9363)</f>
        <v>2017</v>
      </c>
      <c r="J9363" s="0" t="str">
        <f aca="false">I9363&amp;"-Q"&amp;ROUNDUP(MONTH(B9363)/3,0)</f>
        <v>2017-Q1</v>
      </c>
    </row>
    <row r="9364" customFormat="false" ht="15" hidden="false" customHeight="false" outlineLevel="0" collapsed="false">
      <c r="A9364" s="0" t="s">
        <v>4761</v>
      </c>
      <c r="B9364" s="6" t="n">
        <v>42815</v>
      </c>
      <c r="C9364" s="7" t="s">
        <v>33</v>
      </c>
      <c r="D9364" s="7" t="s">
        <v>43</v>
      </c>
      <c r="E9364" s="7" t="s">
        <v>35</v>
      </c>
      <c r="F9364" s="0" t="n">
        <v>13.02</v>
      </c>
      <c r="G9364" s="0" t="n">
        <v>0.3906</v>
      </c>
      <c r="H9364" s="0" t="n">
        <v>0</v>
      </c>
      <c r="I9364" s="7" t="n">
        <f aca="false">YEAR(B9364)</f>
        <v>2017</v>
      </c>
      <c r="J9364" s="0" t="str">
        <f aca="false">I9364&amp;"-Q"&amp;ROUNDUP(MONTH(B9364)/3,0)</f>
        <v>2017-Q1</v>
      </c>
    </row>
    <row r="9365" customFormat="false" ht="15" hidden="false" customHeight="false" outlineLevel="0" collapsed="false">
      <c r="A9365" s="0" t="s">
        <v>4761</v>
      </c>
      <c r="B9365" s="6" t="n">
        <v>42815</v>
      </c>
      <c r="C9365" s="7" t="s">
        <v>33</v>
      </c>
      <c r="D9365" s="7" t="s">
        <v>43</v>
      </c>
      <c r="E9365" s="7" t="s">
        <v>31</v>
      </c>
      <c r="F9365" s="0" t="n">
        <v>22.14</v>
      </c>
      <c r="G9365" s="0" t="n">
        <v>6.4206</v>
      </c>
      <c r="H9365" s="0" t="n">
        <v>0</v>
      </c>
      <c r="I9365" s="7" t="n">
        <f aca="false">YEAR(B9365)</f>
        <v>2017</v>
      </c>
      <c r="J9365" s="0" t="str">
        <f aca="false">I9365&amp;"-Q"&amp;ROUNDUP(MONTH(B9365)/3,0)</f>
        <v>2017-Q1</v>
      </c>
    </row>
    <row r="9366" customFormat="false" ht="15" hidden="false" customHeight="false" outlineLevel="0" collapsed="false">
      <c r="A9366" s="0" t="s">
        <v>4761</v>
      </c>
      <c r="B9366" s="6" t="n">
        <v>42815</v>
      </c>
      <c r="C9366" s="7" t="s">
        <v>33</v>
      </c>
      <c r="D9366" s="7" t="s">
        <v>43</v>
      </c>
      <c r="E9366" s="7" t="s">
        <v>35</v>
      </c>
      <c r="F9366" s="0" t="n">
        <v>359.32</v>
      </c>
      <c r="G9366" s="0" t="n">
        <v>7.1864</v>
      </c>
      <c r="H9366" s="0" t="n">
        <v>0</v>
      </c>
      <c r="I9366" s="7" t="n">
        <f aca="false">YEAR(B9366)</f>
        <v>2017</v>
      </c>
      <c r="J9366" s="0" t="str">
        <f aca="false">I9366&amp;"-Q"&amp;ROUNDUP(MONTH(B9366)/3,0)</f>
        <v>2017-Q1</v>
      </c>
    </row>
    <row r="9367" customFormat="false" ht="15" hidden="false" customHeight="false" outlineLevel="0" collapsed="false">
      <c r="A9367" s="0" t="s">
        <v>4762</v>
      </c>
      <c r="B9367" s="6" t="n">
        <v>41873</v>
      </c>
      <c r="C9367" s="7" t="s">
        <v>45</v>
      </c>
      <c r="D9367" s="7" t="s">
        <v>129</v>
      </c>
      <c r="E9367" s="7" t="s">
        <v>35</v>
      </c>
      <c r="F9367" s="0" t="n">
        <v>11.56</v>
      </c>
      <c r="G9367" s="0" t="n">
        <v>5.6644</v>
      </c>
      <c r="H9367" s="0" t="n">
        <v>0</v>
      </c>
      <c r="I9367" s="7" t="n">
        <f aca="false">YEAR(B9367)</f>
        <v>2014</v>
      </c>
      <c r="J9367" s="0" t="str">
        <f aca="false">I9367&amp;"-Q"&amp;ROUNDUP(MONTH(B9367)/3,0)</f>
        <v>2014-Q3</v>
      </c>
    </row>
    <row r="9368" customFormat="false" ht="15" hidden="false" customHeight="false" outlineLevel="0" collapsed="false">
      <c r="A9368" s="0" t="s">
        <v>4763</v>
      </c>
      <c r="B9368" s="6" t="n">
        <v>41798</v>
      </c>
      <c r="C9368" s="7" t="s">
        <v>55</v>
      </c>
      <c r="D9368" s="7" t="s">
        <v>76</v>
      </c>
      <c r="E9368" s="7" t="s">
        <v>35</v>
      </c>
      <c r="F9368" s="0" t="n">
        <v>68.48</v>
      </c>
      <c r="G9368" s="0" t="n">
        <v>25.68</v>
      </c>
      <c r="H9368" s="0" t="n">
        <v>0.2</v>
      </c>
      <c r="I9368" s="7" t="n">
        <f aca="false">YEAR(B9368)</f>
        <v>2014</v>
      </c>
      <c r="J9368" s="0" t="str">
        <f aca="false">I9368&amp;"-Q"&amp;ROUNDUP(MONTH(B9368)/3,0)</f>
        <v>2014-Q2</v>
      </c>
    </row>
    <row r="9369" customFormat="false" ht="15" hidden="false" customHeight="false" outlineLevel="0" collapsed="false">
      <c r="A9369" s="0" t="s">
        <v>4763</v>
      </c>
      <c r="B9369" s="6" t="n">
        <v>41798</v>
      </c>
      <c r="C9369" s="7" t="s">
        <v>55</v>
      </c>
      <c r="D9369" s="7" t="s">
        <v>76</v>
      </c>
      <c r="E9369" s="7" t="s">
        <v>35</v>
      </c>
      <c r="F9369" s="0" t="n">
        <v>1676.88</v>
      </c>
      <c r="G9369" s="0" t="n">
        <v>83.844</v>
      </c>
      <c r="H9369" s="0" t="n">
        <v>0</v>
      </c>
      <c r="I9369" s="7" t="n">
        <f aca="false">YEAR(B9369)</f>
        <v>2014</v>
      </c>
      <c r="J9369" s="0" t="str">
        <f aca="false">I9369&amp;"-Q"&amp;ROUNDUP(MONTH(B9369)/3,0)</f>
        <v>2014-Q2</v>
      </c>
    </row>
    <row r="9370" customFormat="false" ht="15" hidden="false" customHeight="false" outlineLevel="0" collapsed="false">
      <c r="A9370" s="0" t="s">
        <v>4764</v>
      </c>
      <c r="B9370" s="6" t="n">
        <v>42467</v>
      </c>
      <c r="C9370" s="7" t="s">
        <v>55</v>
      </c>
      <c r="D9370" s="7" t="s">
        <v>161</v>
      </c>
      <c r="E9370" s="7" t="s">
        <v>35</v>
      </c>
      <c r="F9370" s="0" t="n">
        <v>37.94</v>
      </c>
      <c r="G9370" s="0" t="n">
        <v>18.2112</v>
      </c>
      <c r="H9370" s="0" t="n">
        <v>0</v>
      </c>
      <c r="I9370" s="7" t="n">
        <f aca="false">YEAR(B9370)</f>
        <v>2016</v>
      </c>
      <c r="J9370" s="0" t="str">
        <f aca="false">I9370&amp;"-Q"&amp;ROUNDUP(MONTH(B9370)/3,0)</f>
        <v>2016-Q2</v>
      </c>
    </row>
    <row r="9371" customFormat="false" ht="15" hidden="false" customHeight="false" outlineLevel="0" collapsed="false">
      <c r="A9371" s="0" t="s">
        <v>4765</v>
      </c>
      <c r="B9371" s="6" t="n">
        <v>43046</v>
      </c>
      <c r="C9371" s="7" t="s">
        <v>55</v>
      </c>
      <c r="D9371" s="7" t="s">
        <v>495</v>
      </c>
      <c r="E9371" s="7" t="s">
        <v>31</v>
      </c>
      <c r="F9371" s="0" t="n">
        <v>272.97</v>
      </c>
      <c r="G9371" s="0" t="n">
        <v>43.6752</v>
      </c>
      <c r="H9371" s="0" t="n">
        <v>0</v>
      </c>
      <c r="I9371" s="7" t="n">
        <f aca="false">YEAR(B9371)</f>
        <v>2017</v>
      </c>
      <c r="J9371" s="0" t="str">
        <f aca="false">I9371&amp;"-Q"&amp;ROUNDUP(MONTH(B9371)/3,0)</f>
        <v>2017-Q4</v>
      </c>
    </row>
    <row r="9372" customFormat="false" ht="15" hidden="false" customHeight="false" outlineLevel="0" collapsed="false">
      <c r="A9372" s="0" t="s">
        <v>4766</v>
      </c>
      <c r="B9372" s="6" t="n">
        <v>42153</v>
      </c>
      <c r="C9372" s="7" t="s">
        <v>55</v>
      </c>
      <c r="D9372" s="7" t="s">
        <v>116</v>
      </c>
      <c r="E9372" s="7" t="s">
        <v>31</v>
      </c>
      <c r="F9372" s="0" t="n">
        <v>41.568</v>
      </c>
      <c r="G9372" s="0" t="n">
        <v>-4.1568</v>
      </c>
      <c r="H9372" s="0" t="n">
        <v>0.2</v>
      </c>
      <c r="I9372" s="7" t="n">
        <f aca="false">YEAR(B9372)</f>
        <v>2015</v>
      </c>
      <c r="J9372" s="0" t="str">
        <f aca="false">I9372&amp;"-Q"&amp;ROUNDUP(MONTH(B9372)/3,0)</f>
        <v>2015-Q2</v>
      </c>
    </row>
    <row r="9373" customFormat="false" ht="15" hidden="false" customHeight="false" outlineLevel="0" collapsed="false">
      <c r="A9373" s="0" t="s">
        <v>4766</v>
      </c>
      <c r="B9373" s="6" t="n">
        <v>42153</v>
      </c>
      <c r="C9373" s="7" t="s">
        <v>55</v>
      </c>
      <c r="D9373" s="7" t="s">
        <v>116</v>
      </c>
      <c r="E9373" s="7" t="s">
        <v>31</v>
      </c>
      <c r="F9373" s="0" t="n">
        <v>317.058</v>
      </c>
      <c r="G9373" s="0" t="n">
        <v>-86.0586</v>
      </c>
      <c r="H9373" s="0" t="n">
        <v>0.3</v>
      </c>
      <c r="I9373" s="7" t="n">
        <f aca="false">YEAR(B9373)</f>
        <v>2015</v>
      </c>
      <c r="J9373" s="0" t="str">
        <f aca="false">I9373&amp;"-Q"&amp;ROUNDUP(MONTH(B9373)/3,0)</f>
        <v>2015-Q2</v>
      </c>
    </row>
    <row r="9374" customFormat="false" ht="15" hidden="false" customHeight="false" outlineLevel="0" collapsed="false">
      <c r="A9374" s="0" t="s">
        <v>4766</v>
      </c>
      <c r="B9374" s="6" t="n">
        <v>42153</v>
      </c>
      <c r="C9374" s="7" t="s">
        <v>55</v>
      </c>
      <c r="D9374" s="7" t="s">
        <v>116</v>
      </c>
      <c r="E9374" s="7" t="s">
        <v>35</v>
      </c>
      <c r="F9374" s="0" t="n">
        <v>8.04</v>
      </c>
      <c r="G9374" s="0" t="n">
        <v>2.9145</v>
      </c>
      <c r="H9374" s="0" t="n">
        <v>0.2</v>
      </c>
      <c r="I9374" s="7" t="n">
        <f aca="false">YEAR(B9374)</f>
        <v>2015</v>
      </c>
      <c r="J9374" s="0" t="str">
        <f aca="false">I9374&amp;"-Q"&amp;ROUNDUP(MONTH(B9374)/3,0)</f>
        <v>2015-Q2</v>
      </c>
    </row>
    <row r="9375" customFormat="false" ht="15" hidden="false" customHeight="false" outlineLevel="0" collapsed="false">
      <c r="A9375" s="0" t="s">
        <v>4767</v>
      </c>
      <c r="B9375" s="6" t="n">
        <v>42862</v>
      </c>
      <c r="C9375" s="7" t="s">
        <v>33</v>
      </c>
      <c r="D9375" s="7" t="s">
        <v>34</v>
      </c>
      <c r="E9375" s="7" t="s">
        <v>39</v>
      </c>
      <c r="F9375" s="0" t="n">
        <v>419.944</v>
      </c>
      <c r="G9375" s="0" t="n">
        <v>52.493</v>
      </c>
      <c r="H9375" s="0" t="n">
        <v>0.2</v>
      </c>
      <c r="I9375" s="7" t="n">
        <f aca="false">YEAR(B9375)</f>
        <v>2017</v>
      </c>
      <c r="J9375" s="0" t="str">
        <f aca="false">I9375&amp;"-Q"&amp;ROUNDUP(MONTH(B9375)/3,0)</f>
        <v>2017-Q2</v>
      </c>
    </row>
    <row r="9376" customFormat="false" ht="15" hidden="false" customHeight="false" outlineLevel="0" collapsed="false">
      <c r="A9376" s="0" t="s">
        <v>4768</v>
      </c>
      <c r="B9376" s="6" t="n">
        <v>42526</v>
      </c>
      <c r="C9376" s="7" t="s">
        <v>33</v>
      </c>
      <c r="D9376" s="7" t="s">
        <v>43</v>
      </c>
      <c r="E9376" s="7" t="s">
        <v>35</v>
      </c>
      <c r="F9376" s="0" t="n">
        <v>61.38</v>
      </c>
      <c r="G9376" s="0" t="n">
        <v>15.9588</v>
      </c>
      <c r="H9376" s="0" t="n">
        <v>0</v>
      </c>
      <c r="I9376" s="7" t="n">
        <f aca="false">YEAR(B9376)</f>
        <v>2016</v>
      </c>
      <c r="J9376" s="0" t="str">
        <f aca="false">I9376&amp;"-Q"&amp;ROUNDUP(MONTH(B9376)/3,0)</f>
        <v>2016-Q2</v>
      </c>
    </row>
    <row r="9377" customFormat="false" ht="15" hidden="false" customHeight="false" outlineLevel="0" collapsed="false">
      <c r="A9377" s="0" t="s">
        <v>4769</v>
      </c>
      <c r="B9377" s="6" t="n">
        <v>42352</v>
      </c>
      <c r="C9377" s="7" t="s">
        <v>33</v>
      </c>
      <c r="D9377" s="7" t="s">
        <v>34</v>
      </c>
      <c r="E9377" s="7" t="s">
        <v>39</v>
      </c>
      <c r="F9377" s="0" t="n">
        <v>50</v>
      </c>
      <c r="G9377" s="0" t="n">
        <v>10.5</v>
      </c>
      <c r="H9377" s="0" t="n">
        <v>0</v>
      </c>
      <c r="I9377" s="7" t="n">
        <f aca="false">YEAR(B9377)</f>
        <v>2015</v>
      </c>
      <c r="J9377" s="0" t="str">
        <f aca="false">I9377&amp;"-Q"&amp;ROUNDUP(MONTH(B9377)/3,0)</f>
        <v>2015-Q4</v>
      </c>
    </row>
    <row r="9378" customFormat="false" ht="15" hidden="false" customHeight="false" outlineLevel="0" collapsed="false">
      <c r="A9378" s="0" t="s">
        <v>4770</v>
      </c>
      <c r="B9378" s="6" t="n">
        <v>43094</v>
      </c>
      <c r="C9378" s="7" t="s">
        <v>55</v>
      </c>
      <c r="D9378" s="7" t="s">
        <v>161</v>
      </c>
      <c r="E9378" s="7" t="s">
        <v>39</v>
      </c>
      <c r="F9378" s="0" t="n">
        <v>31.8</v>
      </c>
      <c r="G9378" s="0" t="n">
        <v>13.674</v>
      </c>
      <c r="H9378" s="0" t="n">
        <v>0</v>
      </c>
      <c r="I9378" s="7" t="n">
        <f aca="false">YEAR(B9378)</f>
        <v>2017</v>
      </c>
      <c r="J9378" s="0" t="str">
        <f aca="false">I9378&amp;"-Q"&amp;ROUNDUP(MONTH(B9378)/3,0)</f>
        <v>2017-Q4</v>
      </c>
    </row>
    <row r="9379" customFormat="false" ht="15" hidden="false" customHeight="false" outlineLevel="0" collapsed="false">
      <c r="A9379" s="0" t="s">
        <v>4771</v>
      </c>
      <c r="B9379" s="6" t="n">
        <v>43086</v>
      </c>
      <c r="C9379" s="7" t="s">
        <v>45</v>
      </c>
      <c r="D9379" s="7" t="s">
        <v>48</v>
      </c>
      <c r="E9379" s="7" t="s">
        <v>35</v>
      </c>
      <c r="F9379" s="0" t="n">
        <v>32.56</v>
      </c>
      <c r="G9379" s="0" t="n">
        <v>8.4656</v>
      </c>
      <c r="H9379" s="0" t="n">
        <v>0</v>
      </c>
      <c r="I9379" s="7" t="n">
        <f aca="false">YEAR(B9379)</f>
        <v>2017</v>
      </c>
      <c r="J9379" s="0" t="str">
        <f aca="false">I9379&amp;"-Q"&amp;ROUNDUP(MONTH(B9379)/3,0)</f>
        <v>2017-Q4</v>
      </c>
    </row>
    <row r="9380" customFormat="false" ht="15" hidden="false" customHeight="false" outlineLevel="0" collapsed="false">
      <c r="A9380" s="0" t="s">
        <v>4772</v>
      </c>
      <c r="B9380" s="6" t="n">
        <v>42500</v>
      </c>
      <c r="C9380" s="7" t="s">
        <v>45</v>
      </c>
      <c r="D9380" s="7" t="s">
        <v>64</v>
      </c>
      <c r="E9380" s="7" t="s">
        <v>35</v>
      </c>
      <c r="F9380" s="0" t="n">
        <v>7.072</v>
      </c>
      <c r="G9380" s="0" t="n">
        <v>2.3868</v>
      </c>
      <c r="H9380" s="0" t="n">
        <v>0.2</v>
      </c>
      <c r="I9380" s="7" t="n">
        <f aca="false">YEAR(B9380)</f>
        <v>2016</v>
      </c>
      <c r="J9380" s="0" t="str">
        <f aca="false">I9380&amp;"-Q"&amp;ROUNDUP(MONTH(B9380)/3,0)</f>
        <v>2016-Q2</v>
      </c>
    </row>
    <row r="9381" customFormat="false" ht="15" hidden="false" customHeight="false" outlineLevel="0" collapsed="false">
      <c r="A9381" s="0" t="s">
        <v>4773</v>
      </c>
      <c r="B9381" s="6" t="n">
        <v>41996</v>
      </c>
      <c r="C9381" s="7" t="s">
        <v>29</v>
      </c>
      <c r="D9381" s="7" t="s">
        <v>37</v>
      </c>
      <c r="E9381" s="7" t="s">
        <v>35</v>
      </c>
      <c r="F9381" s="0" t="n">
        <v>45.528</v>
      </c>
      <c r="G9381" s="0" t="n">
        <v>15.9348</v>
      </c>
      <c r="H9381" s="0" t="n">
        <v>0.2</v>
      </c>
      <c r="I9381" s="7" t="n">
        <f aca="false">YEAR(B9381)</f>
        <v>2014</v>
      </c>
      <c r="J9381" s="0" t="str">
        <f aca="false">I9381&amp;"-Q"&amp;ROUNDUP(MONTH(B9381)/3,0)</f>
        <v>2014-Q4</v>
      </c>
    </row>
    <row r="9382" customFormat="false" ht="15" hidden="false" customHeight="false" outlineLevel="0" collapsed="false">
      <c r="A9382" s="0" t="s">
        <v>4773</v>
      </c>
      <c r="B9382" s="6" t="n">
        <v>41996</v>
      </c>
      <c r="C9382" s="7" t="s">
        <v>29</v>
      </c>
      <c r="D9382" s="7" t="s">
        <v>37</v>
      </c>
      <c r="E9382" s="7" t="s">
        <v>31</v>
      </c>
      <c r="F9382" s="0" t="n">
        <v>64.784</v>
      </c>
      <c r="G9382" s="0" t="n">
        <v>6.4784</v>
      </c>
      <c r="H9382" s="0" t="n">
        <v>0.2</v>
      </c>
      <c r="I9382" s="7" t="n">
        <f aca="false">YEAR(B9382)</f>
        <v>2014</v>
      </c>
      <c r="J9382" s="0" t="str">
        <f aca="false">I9382&amp;"-Q"&amp;ROUNDUP(MONTH(B9382)/3,0)</f>
        <v>2014-Q4</v>
      </c>
    </row>
    <row r="9383" customFormat="false" ht="15" hidden="false" customHeight="false" outlineLevel="0" collapsed="false">
      <c r="A9383" s="0" t="s">
        <v>4773</v>
      </c>
      <c r="B9383" s="6" t="n">
        <v>41996</v>
      </c>
      <c r="C9383" s="7" t="s">
        <v>29</v>
      </c>
      <c r="D9383" s="7" t="s">
        <v>37</v>
      </c>
      <c r="E9383" s="7" t="s">
        <v>35</v>
      </c>
      <c r="F9383" s="0" t="n">
        <v>424.272</v>
      </c>
      <c r="G9383" s="0" t="n">
        <v>-10.6068</v>
      </c>
      <c r="H9383" s="0" t="n">
        <v>0.2</v>
      </c>
      <c r="I9383" s="7" t="n">
        <f aca="false">YEAR(B9383)</f>
        <v>2014</v>
      </c>
      <c r="J9383" s="0" t="str">
        <f aca="false">I9383&amp;"-Q"&amp;ROUNDUP(MONTH(B9383)/3,0)</f>
        <v>2014-Q4</v>
      </c>
    </row>
    <row r="9384" customFormat="false" ht="15" hidden="false" customHeight="false" outlineLevel="0" collapsed="false">
      <c r="A9384" s="0" t="s">
        <v>4773</v>
      </c>
      <c r="B9384" s="6" t="n">
        <v>41996</v>
      </c>
      <c r="C9384" s="7" t="s">
        <v>29</v>
      </c>
      <c r="D9384" s="7" t="s">
        <v>37</v>
      </c>
      <c r="E9384" s="7" t="s">
        <v>35</v>
      </c>
      <c r="F9384" s="0" t="n">
        <v>1.344</v>
      </c>
      <c r="G9384" s="0" t="n">
        <v>0.504</v>
      </c>
      <c r="H9384" s="0" t="n">
        <v>0.2</v>
      </c>
      <c r="I9384" s="7" t="n">
        <f aca="false">YEAR(B9384)</f>
        <v>2014</v>
      </c>
      <c r="J9384" s="0" t="str">
        <f aca="false">I9384&amp;"-Q"&amp;ROUNDUP(MONTH(B9384)/3,0)</f>
        <v>2014-Q4</v>
      </c>
    </row>
    <row r="9385" customFormat="false" ht="15" hidden="false" customHeight="false" outlineLevel="0" collapsed="false">
      <c r="A9385" s="0" t="s">
        <v>4773</v>
      </c>
      <c r="B9385" s="6" t="n">
        <v>41996</v>
      </c>
      <c r="C9385" s="7" t="s">
        <v>29</v>
      </c>
      <c r="D9385" s="7" t="s">
        <v>37</v>
      </c>
      <c r="E9385" s="7" t="s">
        <v>35</v>
      </c>
      <c r="F9385" s="0" t="n">
        <v>83.92</v>
      </c>
      <c r="G9385" s="0" t="n">
        <v>-1.049</v>
      </c>
      <c r="H9385" s="0" t="n">
        <v>0.2</v>
      </c>
      <c r="I9385" s="7" t="n">
        <f aca="false">YEAR(B9385)</f>
        <v>2014</v>
      </c>
      <c r="J9385" s="0" t="str">
        <f aca="false">I9385&amp;"-Q"&amp;ROUNDUP(MONTH(B9385)/3,0)</f>
        <v>2014-Q4</v>
      </c>
    </row>
    <row r="9386" customFormat="false" ht="15" hidden="false" customHeight="false" outlineLevel="0" collapsed="false">
      <c r="A9386" s="0" t="s">
        <v>4774</v>
      </c>
      <c r="B9386" s="6" t="n">
        <v>42958</v>
      </c>
      <c r="C9386" s="7" t="s">
        <v>55</v>
      </c>
      <c r="D9386" s="7" t="s">
        <v>76</v>
      </c>
      <c r="E9386" s="7" t="s">
        <v>35</v>
      </c>
      <c r="F9386" s="0" t="n">
        <v>25.92</v>
      </c>
      <c r="G9386" s="0" t="n">
        <v>12.4416</v>
      </c>
      <c r="H9386" s="0" t="n">
        <v>0</v>
      </c>
      <c r="I9386" s="7" t="n">
        <f aca="false">YEAR(B9386)</f>
        <v>2017</v>
      </c>
      <c r="J9386" s="0" t="str">
        <f aca="false">I9386&amp;"-Q"&amp;ROUNDUP(MONTH(B9386)/3,0)</f>
        <v>2017-Q3</v>
      </c>
    </row>
    <row r="9387" customFormat="false" ht="15" hidden="false" customHeight="false" outlineLevel="0" collapsed="false">
      <c r="A9387" s="0" t="s">
        <v>4775</v>
      </c>
      <c r="B9387" s="6" t="n">
        <v>42974</v>
      </c>
      <c r="C9387" s="7" t="s">
        <v>33</v>
      </c>
      <c r="D9387" s="7" t="s">
        <v>81</v>
      </c>
      <c r="E9387" s="7" t="s">
        <v>31</v>
      </c>
      <c r="F9387" s="0" t="n">
        <v>120.576</v>
      </c>
      <c r="G9387" s="0" t="n">
        <v>33.1584</v>
      </c>
      <c r="H9387" s="0" t="n">
        <v>0.2</v>
      </c>
      <c r="I9387" s="7" t="n">
        <f aca="false">YEAR(B9387)</f>
        <v>2017</v>
      </c>
      <c r="J9387" s="0" t="str">
        <f aca="false">I9387&amp;"-Q"&amp;ROUNDUP(MONTH(B9387)/3,0)</f>
        <v>2017-Q3</v>
      </c>
    </row>
    <row r="9388" customFormat="false" ht="15" hidden="false" customHeight="false" outlineLevel="0" collapsed="false">
      <c r="A9388" s="0" t="s">
        <v>4776</v>
      </c>
      <c r="B9388" s="6" t="n">
        <v>42754</v>
      </c>
      <c r="C9388" s="7" t="s">
        <v>55</v>
      </c>
      <c r="D9388" s="7" t="s">
        <v>1173</v>
      </c>
      <c r="E9388" s="7" t="s">
        <v>35</v>
      </c>
      <c r="F9388" s="0" t="n">
        <v>79.92</v>
      </c>
      <c r="G9388" s="0" t="n">
        <v>37.5624</v>
      </c>
      <c r="H9388" s="0" t="n">
        <v>0</v>
      </c>
      <c r="I9388" s="7" t="n">
        <f aca="false">YEAR(B9388)</f>
        <v>2017</v>
      </c>
      <c r="J9388" s="0" t="str">
        <f aca="false">I9388&amp;"-Q"&amp;ROUNDUP(MONTH(B9388)/3,0)</f>
        <v>2017-Q1</v>
      </c>
    </row>
    <row r="9389" customFormat="false" ht="15" hidden="false" customHeight="false" outlineLevel="0" collapsed="false">
      <c r="A9389" s="0" t="s">
        <v>4776</v>
      </c>
      <c r="B9389" s="6" t="n">
        <v>42754</v>
      </c>
      <c r="C9389" s="7" t="s">
        <v>55</v>
      </c>
      <c r="D9389" s="7" t="s">
        <v>1173</v>
      </c>
      <c r="E9389" s="7" t="s">
        <v>35</v>
      </c>
      <c r="F9389" s="0" t="n">
        <v>12.28</v>
      </c>
      <c r="G9389" s="0" t="n">
        <v>5.7716</v>
      </c>
      <c r="H9389" s="0" t="n">
        <v>0</v>
      </c>
      <c r="I9389" s="7" t="n">
        <f aca="false">YEAR(B9389)</f>
        <v>2017</v>
      </c>
      <c r="J9389" s="0" t="str">
        <f aca="false">I9389&amp;"-Q"&amp;ROUNDUP(MONTH(B9389)/3,0)</f>
        <v>2017-Q1</v>
      </c>
    </row>
    <row r="9390" customFormat="false" ht="15" hidden="false" customHeight="false" outlineLevel="0" collapsed="false">
      <c r="A9390" s="0" t="s">
        <v>4776</v>
      </c>
      <c r="B9390" s="6" t="n">
        <v>42754</v>
      </c>
      <c r="C9390" s="7" t="s">
        <v>55</v>
      </c>
      <c r="D9390" s="7" t="s">
        <v>1173</v>
      </c>
      <c r="E9390" s="7" t="s">
        <v>35</v>
      </c>
      <c r="F9390" s="0" t="n">
        <v>542.94</v>
      </c>
      <c r="G9390" s="0" t="n">
        <v>152.0232</v>
      </c>
      <c r="H9390" s="0" t="n">
        <v>0</v>
      </c>
      <c r="I9390" s="7" t="n">
        <f aca="false">YEAR(B9390)</f>
        <v>2017</v>
      </c>
      <c r="J9390" s="0" t="str">
        <f aca="false">I9390&amp;"-Q"&amp;ROUNDUP(MONTH(B9390)/3,0)</f>
        <v>2017-Q1</v>
      </c>
    </row>
    <row r="9391" customFormat="false" ht="15" hidden="false" customHeight="false" outlineLevel="0" collapsed="false">
      <c r="A9391" s="0" t="s">
        <v>4776</v>
      </c>
      <c r="B9391" s="6" t="n">
        <v>42754</v>
      </c>
      <c r="C9391" s="7" t="s">
        <v>55</v>
      </c>
      <c r="D9391" s="7" t="s">
        <v>1173</v>
      </c>
      <c r="E9391" s="7" t="s">
        <v>35</v>
      </c>
      <c r="F9391" s="0" t="n">
        <v>2.04</v>
      </c>
      <c r="G9391" s="0" t="n">
        <v>0.9588</v>
      </c>
      <c r="H9391" s="0" t="n">
        <v>0</v>
      </c>
      <c r="I9391" s="7" t="n">
        <f aca="false">YEAR(B9391)</f>
        <v>2017</v>
      </c>
      <c r="J9391" s="0" t="str">
        <f aca="false">I9391&amp;"-Q"&amp;ROUNDUP(MONTH(B9391)/3,0)</f>
        <v>2017-Q1</v>
      </c>
    </row>
    <row r="9392" customFormat="false" ht="15" hidden="false" customHeight="false" outlineLevel="0" collapsed="false">
      <c r="A9392" s="0" t="s">
        <v>4777</v>
      </c>
      <c r="B9392" s="6" t="n">
        <v>42174</v>
      </c>
      <c r="C9392" s="7" t="s">
        <v>45</v>
      </c>
      <c r="D9392" s="7" t="s">
        <v>46</v>
      </c>
      <c r="E9392" s="7" t="s">
        <v>35</v>
      </c>
      <c r="F9392" s="0" t="n">
        <v>228.92</v>
      </c>
      <c r="G9392" s="0" t="n">
        <v>14.3075</v>
      </c>
      <c r="H9392" s="0" t="n">
        <v>0.2</v>
      </c>
      <c r="I9392" s="7" t="n">
        <f aca="false">YEAR(B9392)</f>
        <v>2015</v>
      </c>
      <c r="J9392" s="0" t="str">
        <f aca="false">I9392&amp;"-Q"&amp;ROUNDUP(MONTH(B9392)/3,0)</f>
        <v>2015-Q2</v>
      </c>
    </row>
    <row r="9393" customFormat="false" ht="15" hidden="false" customHeight="false" outlineLevel="0" collapsed="false">
      <c r="A9393" s="0" t="s">
        <v>4778</v>
      </c>
      <c r="B9393" s="6" t="n">
        <v>42807</v>
      </c>
      <c r="C9393" s="7" t="s">
        <v>45</v>
      </c>
      <c r="D9393" s="7" t="s">
        <v>64</v>
      </c>
      <c r="E9393" s="7" t="s">
        <v>39</v>
      </c>
      <c r="F9393" s="0" t="n">
        <v>7.992</v>
      </c>
      <c r="G9393" s="0" t="n">
        <v>2.5974</v>
      </c>
      <c r="H9393" s="0" t="n">
        <v>0.2</v>
      </c>
      <c r="I9393" s="7" t="n">
        <f aca="false">YEAR(B9393)</f>
        <v>2017</v>
      </c>
      <c r="J9393" s="0" t="str">
        <f aca="false">I9393&amp;"-Q"&amp;ROUNDUP(MONTH(B9393)/3,0)</f>
        <v>2017-Q1</v>
      </c>
    </row>
    <row r="9394" customFormat="false" ht="15" hidden="false" customHeight="false" outlineLevel="0" collapsed="false">
      <c r="A9394" s="0" t="s">
        <v>4779</v>
      </c>
      <c r="B9394" s="6" t="n">
        <v>42302</v>
      </c>
      <c r="C9394" s="7" t="s">
        <v>33</v>
      </c>
      <c r="D9394" s="7" t="s">
        <v>109</v>
      </c>
      <c r="E9394" s="7" t="s">
        <v>31</v>
      </c>
      <c r="F9394" s="0" t="n">
        <v>582.336</v>
      </c>
      <c r="G9394" s="0" t="n">
        <v>-29.1168</v>
      </c>
      <c r="H9394" s="0" t="n">
        <v>0.2</v>
      </c>
      <c r="I9394" s="7" t="n">
        <f aca="false">YEAR(B9394)</f>
        <v>2015</v>
      </c>
      <c r="J9394" s="0" t="str">
        <f aca="false">I9394&amp;"-Q"&amp;ROUNDUP(MONTH(B9394)/3,0)</f>
        <v>2015-Q4</v>
      </c>
    </row>
    <row r="9395" customFormat="false" ht="15" hidden="false" customHeight="false" outlineLevel="0" collapsed="false">
      <c r="A9395" s="0" t="s">
        <v>4780</v>
      </c>
      <c r="B9395" s="6" t="n">
        <v>41902</v>
      </c>
      <c r="C9395" s="7" t="s">
        <v>55</v>
      </c>
      <c r="D9395" s="7" t="s">
        <v>76</v>
      </c>
      <c r="E9395" s="7" t="s">
        <v>39</v>
      </c>
      <c r="F9395" s="0" t="n">
        <v>629.95</v>
      </c>
      <c r="G9395" s="0" t="n">
        <v>157.4875</v>
      </c>
      <c r="H9395" s="0" t="n">
        <v>0</v>
      </c>
      <c r="I9395" s="7" t="n">
        <f aca="false">YEAR(B9395)</f>
        <v>2014</v>
      </c>
      <c r="J9395" s="0" t="str">
        <f aca="false">I9395&amp;"-Q"&amp;ROUNDUP(MONTH(B9395)/3,0)</f>
        <v>2014-Q3</v>
      </c>
    </row>
    <row r="9396" customFormat="false" ht="15" hidden="false" customHeight="false" outlineLevel="0" collapsed="false">
      <c r="A9396" s="0" t="s">
        <v>4780</v>
      </c>
      <c r="B9396" s="6" t="n">
        <v>41902</v>
      </c>
      <c r="C9396" s="7" t="s">
        <v>55</v>
      </c>
      <c r="D9396" s="7" t="s">
        <v>76</v>
      </c>
      <c r="E9396" s="7" t="s">
        <v>31</v>
      </c>
      <c r="F9396" s="0" t="n">
        <v>631.782</v>
      </c>
      <c r="G9396" s="0" t="n">
        <v>140.396</v>
      </c>
      <c r="H9396" s="0" t="n">
        <v>0.1</v>
      </c>
      <c r="I9396" s="7" t="n">
        <f aca="false">YEAR(B9396)</f>
        <v>2014</v>
      </c>
      <c r="J9396" s="0" t="str">
        <f aca="false">I9396&amp;"-Q"&amp;ROUNDUP(MONTH(B9396)/3,0)</f>
        <v>2014-Q3</v>
      </c>
    </row>
    <row r="9397" customFormat="false" ht="15" hidden="false" customHeight="false" outlineLevel="0" collapsed="false">
      <c r="A9397" s="0" t="s">
        <v>4780</v>
      </c>
      <c r="B9397" s="6" t="n">
        <v>41902</v>
      </c>
      <c r="C9397" s="7" t="s">
        <v>55</v>
      </c>
      <c r="D9397" s="7" t="s">
        <v>76</v>
      </c>
      <c r="E9397" s="7" t="s">
        <v>31</v>
      </c>
      <c r="F9397" s="0" t="n">
        <v>801.568</v>
      </c>
      <c r="G9397" s="0" t="n">
        <v>-10.0196</v>
      </c>
      <c r="H9397" s="0" t="n">
        <v>0.2</v>
      </c>
      <c r="I9397" s="7" t="n">
        <f aca="false">YEAR(B9397)</f>
        <v>2014</v>
      </c>
      <c r="J9397" s="0" t="str">
        <f aca="false">I9397&amp;"-Q"&amp;ROUNDUP(MONTH(B9397)/3,0)</f>
        <v>2014-Q3</v>
      </c>
    </row>
    <row r="9398" customFormat="false" ht="15" hidden="false" customHeight="false" outlineLevel="0" collapsed="false">
      <c r="A9398" s="0" t="s">
        <v>4780</v>
      </c>
      <c r="B9398" s="6" t="n">
        <v>41902</v>
      </c>
      <c r="C9398" s="7" t="s">
        <v>55</v>
      </c>
      <c r="D9398" s="7" t="s">
        <v>76</v>
      </c>
      <c r="E9398" s="7" t="s">
        <v>35</v>
      </c>
      <c r="F9398" s="0" t="n">
        <v>75.18</v>
      </c>
      <c r="G9398" s="0" t="n">
        <v>35.3346</v>
      </c>
      <c r="H9398" s="0" t="n">
        <v>0</v>
      </c>
      <c r="I9398" s="7" t="n">
        <f aca="false">YEAR(B9398)</f>
        <v>2014</v>
      </c>
      <c r="J9398" s="0" t="str">
        <f aca="false">I9398&amp;"-Q"&amp;ROUNDUP(MONTH(B9398)/3,0)</f>
        <v>2014-Q3</v>
      </c>
    </row>
    <row r="9399" customFormat="false" ht="15" hidden="false" customHeight="false" outlineLevel="0" collapsed="false">
      <c r="A9399" s="0" t="s">
        <v>4780</v>
      </c>
      <c r="B9399" s="6" t="n">
        <v>41902</v>
      </c>
      <c r="C9399" s="7" t="s">
        <v>55</v>
      </c>
      <c r="D9399" s="7" t="s">
        <v>76</v>
      </c>
      <c r="E9399" s="7" t="s">
        <v>35</v>
      </c>
      <c r="F9399" s="0" t="n">
        <v>30.98</v>
      </c>
      <c r="G9399" s="0" t="n">
        <v>8.0548</v>
      </c>
      <c r="H9399" s="0" t="n">
        <v>0</v>
      </c>
      <c r="I9399" s="7" t="n">
        <f aca="false">YEAR(B9399)</f>
        <v>2014</v>
      </c>
      <c r="J9399" s="0" t="str">
        <f aca="false">I9399&amp;"-Q"&amp;ROUNDUP(MONTH(B9399)/3,0)</f>
        <v>2014-Q3</v>
      </c>
    </row>
    <row r="9400" customFormat="false" ht="15" hidden="false" customHeight="false" outlineLevel="0" collapsed="false">
      <c r="A9400" s="0" t="s">
        <v>4780</v>
      </c>
      <c r="B9400" s="6" t="n">
        <v>41902</v>
      </c>
      <c r="C9400" s="7" t="s">
        <v>55</v>
      </c>
      <c r="D9400" s="7" t="s">
        <v>76</v>
      </c>
      <c r="E9400" s="7" t="s">
        <v>39</v>
      </c>
      <c r="F9400" s="0" t="n">
        <v>1349.91</v>
      </c>
      <c r="G9400" s="0" t="n">
        <v>661.4559</v>
      </c>
      <c r="H9400" s="0" t="n">
        <v>0</v>
      </c>
      <c r="I9400" s="7" t="n">
        <f aca="false">YEAR(B9400)</f>
        <v>2014</v>
      </c>
      <c r="J9400" s="0" t="str">
        <f aca="false">I9400&amp;"-Q"&amp;ROUNDUP(MONTH(B9400)/3,0)</f>
        <v>2014-Q3</v>
      </c>
    </row>
    <row r="9401" customFormat="false" ht="15" hidden="false" customHeight="false" outlineLevel="0" collapsed="false">
      <c r="A9401" s="0" t="s">
        <v>4781</v>
      </c>
      <c r="B9401" s="6" t="n">
        <v>42685</v>
      </c>
      <c r="C9401" s="7" t="s">
        <v>45</v>
      </c>
      <c r="D9401" s="7" t="s">
        <v>64</v>
      </c>
      <c r="E9401" s="7" t="s">
        <v>35</v>
      </c>
      <c r="F9401" s="0" t="n">
        <v>14.112</v>
      </c>
      <c r="G9401" s="0" t="n">
        <v>1.2348</v>
      </c>
      <c r="H9401" s="0" t="n">
        <v>0.2</v>
      </c>
      <c r="I9401" s="7" t="n">
        <f aca="false">YEAR(B9401)</f>
        <v>2016</v>
      </c>
      <c r="J9401" s="0" t="str">
        <f aca="false">I9401&amp;"-Q"&amp;ROUNDUP(MONTH(B9401)/3,0)</f>
        <v>2016-Q4</v>
      </c>
    </row>
    <row r="9402" customFormat="false" ht="15" hidden="false" customHeight="false" outlineLevel="0" collapsed="false">
      <c r="A9402" s="0" t="s">
        <v>4782</v>
      </c>
      <c r="B9402" s="6" t="n">
        <v>42263</v>
      </c>
      <c r="C9402" s="7" t="s">
        <v>29</v>
      </c>
      <c r="D9402" s="7" t="s">
        <v>83</v>
      </c>
      <c r="E9402" s="7" t="s">
        <v>35</v>
      </c>
      <c r="F9402" s="0" t="n">
        <v>31.12</v>
      </c>
      <c r="G9402" s="0" t="n">
        <v>14.6264</v>
      </c>
      <c r="H9402" s="0" t="n">
        <v>0</v>
      </c>
      <c r="I9402" s="7" t="n">
        <f aca="false">YEAR(B9402)</f>
        <v>2015</v>
      </c>
      <c r="J9402" s="0" t="str">
        <f aca="false">I9402&amp;"-Q"&amp;ROUNDUP(MONTH(B9402)/3,0)</f>
        <v>2015-Q3</v>
      </c>
    </row>
    <row r="9403" customFormat="false" ht="15" hidden="false" customHeight="false" outlineLevel="0" collapsed="false">
      <c r="A9403" s="0" t="s">
        <v>4783</v>
      </c>
      <c r="B9403" s="6" t="n">
        <v>41814</v>
      </c>
      <c r="C9403" s="7" t="s">
        <v>33</v>
      </c>
      <c r="D9403" s="7" t="s">
        <v>81</v>
      </c>
      <c r="E9403" s="7" t="s">
        <v>31</v>
      </c>
      <c r="F9403" s="0" t="n">
        <v>4.272</v>
      </c>
      <c r="G9403" s="0" t="n">
        <v>0.9612</v>
      </c>
      <c r="H9403" s="0" t="n">
        <v>0.2</v>
      </c>
      <c r="I9403" s="7" t="n">
        <f aca="false">YEAR(B9403)</f>
        <v>2014</v>
      </c>
      <c r="J9403" s="0" t="str">
        <f aca="false">I9403&amp;"-Q"&amp;ROUNDUP(MONTH(B9403)/3,0)</f>
        <v>2014-Q2</v>
      </c>
    </row>
    <row r="9404" customFormat="false" ht="15" hidden="false" customHeight="false" outlineLevel="0" collapsed="false">
      <c r="A9404" s="0" t="s">
        <v>4784</v>
      </c>
      <c r="B9404" s="6" t="n">
        <v>42594</v>
      </c>
      <c r="C9404" s="7" t="s">
        <v>55</v>
      </c>
      <c r="D9404" s="7" t="s">
        <v>76</v>
      </c>
      <c r="E9404" s="7" t="s">
        <v>31</v>
      </c>
      <c r="F9404" s="0" t="n">
        <v>209.148</v>
      </c>
      <c r="G9404" s="0" t="n">
        <v>-66.2302</v>
      </c>
      <c r="H9404" s="0" t="n">
        <v>0.4</v>
      </c>
      <c r="I9404" s="7" t="n">
        <f aca="false">YEAR(B9404)</f>
        <v>2016</v>
      </c>
      <c r="J9404" s="0" t="str">
        <f aca="false">I9404&amp;"-Q"&amp;ROUNDUP(MONTH(B9404)/3,0)</f>
        <v>2016-Q3</v>
      </c>
    </row>
    <row r="9405" customFormat="false" ht="15" hidden="false" customHeight="false" outlineLevel="0" collapsed="false">
      <c r="A9405" s="0" t="s">
        <v>4784</v>
      </c>
      <c r="B9405" s="6" t="n">
        <v>42594</v>
      </c>
      <c r="C9405" s="7" t="s">
        <v>55</v>
      </c>
      <c r="D9405" s="7" t="s">
        <v>76</v>
      </c>
      <c r="E9405" s="7" t="s">
        <v>35</v>
      </c>
      <c r="F9405" s="0" t="n">
        <v>1591.02</v>
      </c>
      <c r="G9405" s="0" t="n">
        <v>286.3836</v>
      </c>
      <c r="H9405" s="0" t="n">
        <v>0</v>
      </c>
      <c r="I9405" s="7" t="n">
        <f aca="false">YEAR(B9405)</f>
        <v>2016</v>
      </c>
      <c r="J9405" s="0" t="str">
        <f aca="false">I9405&amp;"-Q"&amp;ROUNDUP(MONTH(B9405)/3,0)</f>
        <v>2016-Q3</v>
      </c>
    </row>
    <row r="9406" customFormat="false" ht="15" hidden="false" customHeight="false" outlineLevel="0" collapsed="false">
      <c r="A9406" s="0" t="s">
        <v>4785</v>
      </c>
      <c r="B9406" s="6" t="n">
        <v>42838</v>
      </c>
      <c r="C9406" s="7" t="s">
        <v>55</v>
      </c>
      <c r="D9406" s="7" t="s">
        <v>56</v>
      </c>
      <c r="E9406" s="7" t="s">
        <v>35</v>
      </c>
      <c r="F9406" s="0" t="n">
        <v>7.92</v>
      </c>
      <c r="G9406" s="0" t="n">
        <v>1.683</v>
      </c>
      <c r="H9406" s="0" t="n">
        <v>0.2</v>
      </c>
      <c r="I9406" s="7" t="n">
        <f aca="false">YEAR(B9406)</f>
        <v>2017</v>
      </c>
      <c r="J9406" s="0" t="str">
        <f aca="false">I9406&amp;"-Q"&amp;ROUNDUP(MONTH(B9406)/3,0)</f>
        <v>2017-Q2</v>
      </c>
    </row>
    <row r="9407" customFormat="false" ht="15" hidden="false" customHeight="false" outlineLevel="0" collapsed="false">
      <c r="A9407" s="0" t="s">
        <v>4786</v>
      </c>
      <c r="B9407" s="6" t="n">
        <v>41712</v>
      </c>
      <c r="C9407" s="7" t="s">
        <v>45</v>
      </c>
      <c r="D9407" s="7" t="s">
        <v>64</v>
      </c>
      <c r="E9407" s="7" t="s">
        <v>39</v>
      </c>
      <c r="F9407" s="0" t="n">
        <v>574.91</v>
      </c>
      <c r="G9407" s="0" t="n">
        <v>156.047</v>
      </c>
      <c r="H9407" s="0" t="n">
        <v>0.3</v>
      </c>
      <c r="I9407" s="7" t="n">
        <f aca="false">YEAR(B9407)</f>
        <v>2014</v>
      </c>
      <c r="J9407" s="0" t="str">
        <f aca="false">I9407&amp;"-Q"&amp;ROUNDUP(MONTH(B9407)/3,0)</f>
        <v>2014-Q1</v>
      </c>
    </row>
    <row r="9408" customFormat="false" ht="15" hidden="false" customHeight="false" outlineLevel="0" collapsed="false">
      <c r="A9408" s="0" t="s">
        <v>4786</v>
      </c>
      <c r="B9408" s="6" t="n">
        <v>41712</v>
      </c>
      <c r="C9408" s="7" t="s">
        <v>45</v>
      </c>
      <c r="D9408" s="7" t="s">
        <v>64</v>
      </c>
      <c r="E9408" s="7" t="s">
        <v>35</v>
      </c>
      <c r="F9408" s="0" t="n">
        <v>8.448</v>
      </c>
      <c r="G9408" s="0" t="n">
        <v>2.64</v>
      </c>
      <c r="H9408" s="0" t="n">
        <v>0.2</v>
      </c>
      <c r="I9408" s="7" t="n">
        <f aca="false">YEAR(B9408)</f>
        <v>2014</v>
      </c>
      <c r="J9408" s="0" t="str">
        <f aca="false">I9408&amp;"-Q"&amp;ROUNDUP(MONTH(B9408)/3,0)</f>
        <v>2014-Q1</v>
      </c>
    </row>
    <row r="9409" customFormat="false" ht="15" hidden="false" customHeight="false" outlineLevel="0" collapsed="false">
      <c r="A9409" s="0" t="s">
        <v>4787</v>
      </c>
      <c r="B9409" s="6" t="n">
        <v>43000</v>
      </c>
      <c r="C9409" s="7" t="s">
        <v>55</v>
      </c>
      <c r="D9409" s="7" t="s">
        <v>76</v>
      </c>
      <c r="E9409" s="7" t="s">
        <v>39</v>
      </c>
      <c r="F9409" s="0" t="n">
        <v>1071</v>
      </c>
      <c r="G9409" s="0" t="n">
        <v>171.36</v>
      </c>
      <c r="H9409" s="0" t="n">
        <v>0</v>
      </c>
      <c r="I9409" s="7" t="n">
        <f aca="false">YEAR(B9409)</f>
        <v>2017</v>
      </c>
      <c r="J9409" s="0" t="str">
        <f aca="false">I9409&amp;"-Q"&amp;ROUNDUP(MONTH(B9409)/3,0)</f>
        <v>2017-Q3</v>
      </c>
    </row>
    <row r="9410" customFormat="false" ht="15" hidden="false" customHeight="false" outlineLevel="0" collapsed="false">
      <c r="A9410" s="0" t="s">
        <v>4787</v>
      </c>
      <c r="B9410" s="6" t="n">
        <v>43000</v>
      </c>
      <c r="C9410" s="7" t="s">
        <v>55</v>
      </c>
      <c r="D9410" s="7" t="s">
        <v>76</v>
      </c>
      <c r="E9410" s="7" t="s">
        <v>31</v>
      </c>
      <c r="F9410" s="0" t="n">
        <v>12.07</v>
      </c>
      <c r="G9410" s="0" t="n">
        <v>3.9831</v>
      </c>
      <c r="H9410" s="0" t="n">
        <v>0</v>
      </c>
      <c r="I9410" s="7" t="n">
        <f aca="false">YEAR(B9410)</f>
        <v>2017</v>
      </c>
      <c r="J9410" s="0" t="str">
        <f aca="false">I9410&amp;"-Q"&amp;ROUNDUP(MONTH(B9410)/3,0)</f>
        <v>2017-Q3</v>
      </c>
    </row>
    <row r="9411" customFormat="false" ht="15" hidden="false" customHeight="false" outlineLevel="0" collapsed="false">
      <c r="A9411" s="0" t="s">
        <v>4788</v>
      </c>
      <c r="B9411" s="6" t="n">
        <v>43079</v>
      </c>
      <c r="C9411" s="7" t="s">
        <v>55</v>
      </c>
      <c r="D9411" s="7" t="s">
        <v>56</v>
      </c>
      <c r="E9411" s="7" t="s">
        <v>35</v>
      </c>
      <c r="F9411" s="0" t="n">
        <v>3.273</v>
      </c>
      <c r="G9411" s="0" t="n">
        <v>-2.5093</v>
      </c>
      <c r="H9411" s="0" t="n">
        <v>0.7</v>
      </c>
      <c r="I9411" s="7" t="n">
        <f aca="false">YEAR(B9411)</f>
        <v>2017</v>
      </c>
      <c r="J9411" s="0" t="str">
        <f aca="false">I9411&amp;"-Q"&amp;ROUNDUP(MONTH(B9411)/3,0)</f>
        <v>2017-Q4</v>
      </c>
    </row>
    <row r="9412" customFormat="false" ht="15" hidden="false" customHeight="false" outlineLevel="0" collapsed="false">
      <c r="A9412" s="0" t="s">
        <v>4788</v>
      </c>
      <c r="B9412" s="6" t="n">
        <v>43079</v>
      </c>
      <c r="C9412" s="7" t="s">
        <v>55</v>
      </c>
      <c r="D9412" s="7" t="s">
        <v>56</v>
      </c>
      <c r="E9412" s="7" t="s">
        <v>31</v>
      </c>
      <c r="F9412" s="0" t="n">
        <v>87.92</v>
      </c>
      <c r="G9412" s="0" t="n">
        <v>15.386</v>
      </c>
      <c r="H9412" s="0" t="n">
        <v>0.2</v>
      </c>
      <c r="I9412" s="7" t="n">
        <f aca="false">YEAR(B9412)</f>
        <v>2017</v>
      </c>
      <c r="J9412" s="0" t="str">
        <f aca="false">I9412&amp;"-Q"&amp;ROUNDUP(MONTH(B9412)/3,0)</f>
        <v>2017-Q4</v>
      </c>
    </row>
    <row r="9413" customFormat="false" ht="15" hidden="false" customHeight="false" outlineLevel="0" collapsed="false">
      <c r="A9413" s="0" t="s">
        <v>4789</v>
      </c>
      <c r="B9413" s="6" t="n">
        <v>42439</v>
      </c>
      <c r="C9413" s="7" t="s">
        <v>33</v>
      </c>
      <c r="D9413" s="7" t="s">
        <v>81</v>
      </c>
      <c r="E9413" s="7" t="s">
        <v>35</v>
      </c>
      <c r="F9413" s="0" t="n">
        <v>104.696</v>
      </c>
      <c r="G9413" s="0" t="n">
        <v>6.5435</v>
      </c>
      <c r="H9413" s="0" t="n">
        <v>0.2</v>
      </c>
      <c r="I9413" s="7" t="n">
        <f aca="false">YEAR(B9413)</f>
        <v>2016</v>
      </c>
      <c r="J9413" s="0" t="str">
        <f aca="false">I9413&amp;"-Q"&amp;ROUNDUP(MONTH(B9413)/3,0)</f>
        <v>2016-Q1</v>
      </c>
    </row>
    <row r="9414" customFormat="false" ht="15" hidden="false" customHeight="false" outlineLevel="0" collapsed="false">
      <c r="A9414" s="0" t="s">
        <v>4790</v>
      </c>
      <c r="B9414" s="6" t="n">
        <v>42031</v>
      </c>
      <c r="C9414" s="7" t="s">
        <v>33</v>
      </c>
      <c r="D9414" s="7" t="s">
        <v>34</v>
      </c>
      <c r="E9414" s="7" t="s">
        <v>31</v>
      </c>
      <c r="F9414" s="0" t="n">
        <v>2803.92</v>
      </c>
      <c r="G9414" s="0" t="n">
        <v>0</v>
      </c>
      <c r="H9414" s="0" t="n">
        <v>0.2</v>
      </c>
      <c r="I9414" s="7" t="n">
        <f aca="false">YEAR(B9414)</f>
        <v>2015</v>
      </c>
      <c r="J9414" s="0" t="str">
        <f aca="false">I9414&amp;"-Q"&amp;ROUNDUP(MONTH(B9414)/3,0)</f>
        <v>2015-Q1</v>
      </c>
    </row>
    <row r="9415" customFormat="false" ht="15" hidden="false" customHeight="false" outlineLevel="0" collapsed="false">
      <c r="A9415" s="0" t="s">
        <v>4791</v>
      </c>
      <c r="B9415" s="6" t="n">
        <v>42639</v>
      </c>
      <c r="C9415" s="7" t="s">
        <v>45</v>
      </c>
      <c r="D9415" s="7" t="s">
        <v>46</v>
      </c>
      <c r="E9415" s="7" t="s">
        <v>35</v>
      </c>
      <c r="F9415" s="0" t="n">
        <v>6.816</v>
      </c>
      <c r="G9415" s="0" t="n">
        <v>-11.5872</v>
      </c>
      <c r="H9415" s="0" t="n">
        <v>0.8</v>
      </c>
      <c r="I9415" s="7" t="n">
        <f aca="false">YEAR(B9415)</f>
        <v>2016</v>
      </c>
      <c r="J9415" s="0" t="str">
        <f aca="false">I9415&amp;"-Q"&amp;ROUNDUP(MONTH(B9415)/3,0)</f>
        <v>2016-Q3</v>
      </c>
    </row>
    <row r="9416" customFormat="false" ht="15" hidden="false" customHeight="false" outlineLevel="0" collapsed="false">
      <c r="A9416" s="0" t="s">
        <v>4792</v>
      </c>
      <c r="B9416" s="6" t="n">
        <v>42295</v>
      </c>
      <c r="C9416" s="7" t="s">
        <v>33</v>
      </c>
      <c r="D9416" s="7" t="s">
        <v>43</v>
      </c>
      <c r="E9416" s="7" t="s">
        <v>39</v>
      </c>
      <c r="F9416" s="0" t="n">
        <v>249.584</v>
      </c>
      <c r="G9416" s="0" t="n">
        <v>15.599</v>
      </c>
      <c r="H9416" s="0" t="n">
        <v>0.2</v>
      </c>
      <c r="I9416" s="7" t="n">
        <f aca="false">YEAR(B9416)</f>
        <v>2015</v>
      </c>
      <c r="J9416" s="0" t="str">
        <f aca="false">I9416&amp;"-Q"&amp;ROUNDUP(MONTH(B9416)/3,0)</f>
        <v>2015-Q4</v>
      </c>
    </row>
    <row r="9417" customFormat="false" ht="15" hidden="false" customHeight="false" outlineLevel="0" collapsed="false">
      <c r="A9417" s="0" t="s">
        <v>4792</v>
      </c>
      <c r="B9417" s="6" t="n">
        <v>42295</v>
      </c>
      <c r="C9417" s="7" t="s">
        <v>33</v>
      </c>
      <c r="D9417" s="7" t="s">
        <v>43</v>
      </c>
      <c r="E9417" s="7" t="s">
        <v>35</v>
      </c>
      <c r="F9417" s="0" t="n">
        <v>17.94</v>
      </c>
      <c r="G9417" s="0" t="n">
        <v>8.7906</v>
      </c>
      <c r="H9417" s="0" t="n">
        <v>0</v>
      </c>
      <c r="I9417" s="7" t="n">
        <f aca="false">YEAR(B9417)</f>
        <v>2015</v>
      </c>
      <c r="J9417" s="0" t="str">
        <f aca="false">I9417&amp;"-Q"&amp;ROUNDUP(MONTH(B9417)/3,0)</f>
        <v>2015-Q4</v>
      </c>
    </row>
    <row r="9418" customFormat="false" ht="15" hidden="false" customHeight="false" outlineLevel="0" collapsed="false">
      <c r="A9418" s="0" t="s">
        <v>4792</v>
      </c>
      <c r="B9418" s="6" t="n">
        <v>42295</v>
      </c>
      <c r="C9418" s="7" t="s">
        <v>33</v>
      </c>
      <c r="D9418" s="7" t="s">
        <v>43</v>
      </c>
      <c r="E9418" s="7" t="s">
        <v>31</v>
      </c>
      <c r="F9418" s="0" t="n">
        <v>10.11</v>
      </c>
      <c r="G9418" s="0" t="n">
        <v>3.2352</v>
      </c>
      <c r="H9418" s="0" t="n">
        <v>0</v>
      </c>
      <c r="I9418" s="7" t="n">
        <f aca="false">YEAR(B9418)</f>
        <v>2015</v>
      </c>
      <c r="J9418" s="0" t="str">
        <f aca="false">I9418&amp;"-Q"&amp;ROUNDUP(MONTH(B9418)/3,0)</f>
        <v>2015-Q4</v>
      </c>
    </row>
    <row r="9419" customFormat="false" ht="15" hidden="false" customHeight="false" outlineLevel="0" collapsed="false">
      <c r="A9419" s="0" t="s">
        <v>4793</v>
      </c>
      <c r="B9419" s="6" t="n">
        <v>41939</v>
      </c>
      <c r="C9419" s="7" t="s">
        <v>29</v>
      </c>
      <c r="D9419" s="7" t="s">
        <v>41</v>
      </c>
      <c r="E9419" s="7" t="s">
        <v>35</v>
      </c>
      <c r="F9419" s="0" t="n">
        <v>10.368</v>
      </c>
      <c r="G9419" s="0" t="n">
        <v>3.6288</v>
      </c>
      <c r="H9419" s="0" t="n">
        <v>0.2</v>
      </c>
      <c r="I9419" s="7" t="n">
        <f aca="false">YEAR(B9419)</f>
        <v>2014</v>
      </c>
      <c r="J9419" s="0" t="str">
        <f aca="false">I9419&amp;"-Q"&amp;ROUNDUP(MONTH(B9419)/3,0)</f>
        <v>2014-Q4</v>
      </c>
    </row>
    <row r="9420" customFormat="false" ht="15" hidden="false" customHeight="false" outlineLevel="0" collapsed="false">
      <c r="A9420" s="0" t="s">
        <v>4793</v>
      </c>
      <c r="B9420" s="6" t="n">
        <v>41939</v>
      </c>
      <c r="C9420" s="7" t="s">
        <v>29</v>
      </c>
      <c r="D9420" s="7" t="s">
        <v>41</v>
      </c>
      <c r="E9420" s="7" t="s">
        <v>35</v>
      </c>
      <c r="F9420" s="0" t="n">
        <v>11.952</v>
      </c>
      <c r="G9420" s="0" t="n">
        <v>4.0338</v>
      </c>
      <c r="H9420" s="0" t="n">
        <v>0.2</v>
      </c>
      <c r="I9420" s="7" t="n">
        <f aca="false">YEAR(B9420)</f>
        <v>2014</v>
      </c>
      <c r="J9420" s="0" t="str">
        <f aca="false">I9420&amp;"-Q"&amp;ROUNDUP(MONTH(B9420)/3,0)</f>
        <v>2014-Q4</v>
      </c>
    </row>
    <row r="9421" customFormat="false" ht="15" hidden="false" customHeight="false" outlineLevel="0" collapsed="false">
      <c r="A9421" s="0" t="s">
        <v>4794</v>
      </c>
      <c r="B9421" s="6" t="n">
        <v>43010</v>
      </c>
      <c r="C9421" s="7" t="s">
        <v>45</v>
      </c>
      <c r="D9421" s="7" t="s">
        <v>46</v>
      </c>
      <c r="E9421" s="7" t="s">
        <v>35</v>
      </c>
      <c r="F9421" s="0" t="n">
        <v>15.224</v>
      </c>
      <c r="G9421" s="0" t="n">
        <v>-38.8212</v>
      </c>
      <c r="H9421" s="0" t="n">
        <v>0.8</v>
      </c>
      <c r="I9421" s="7" t="n">
        <f aca="false">YEAR(B9421)</f>
        <v>2017</v>
      </c>
      <c r="J9421" s="0" t="str">
        <f aca="false">I9421&amp;"-Q"&amp;ROUNDUP(MONTH(B9421)/3,0)</f>
        <v>2017-Q4</v>
      </c>
    </row>
    <row r="9422" customFormat="false" ht="15" hidden="false" customHeight="false" outlineLevel="0" collapsed="false">
      <c r="A9422" s="0" t="s">
        <v>4794</v>
      </c>
      <c r="B9422" s="6" t="n">
        <v>43010</v>
      </c>
      <c r="C9422" s="7" t="s">
        <v>45</v>
      </c>
      <c r="D9422" s="7" t="s">
        <v>46</v>
      </c>
      <c r="E9422" s="7" t="s">
        <v>35</v>
      </c>
      <c r="F9422" s="0" t="n">
        <v>21.984</v>
      </c>
      <c r="G9422" s="0" t="n">
        <v>-56.0592</v>
      </c>
      <c r="H9422" s="0" t="n">
        <v>0.8</v>
      </c>
      <c r="I9422" s="7" t="n">
        <f aca="false">YEAR(B9422)</f>
        <v>2017</v>
      </c>
      <c r="J9422" s="0" t="str">
        <f aca="false">I9422&amp;"-Q"&amp;ROUNDUP(MONTH(B9422)/3,0)</f>
        <v>2017-Q4</v>
      </c>
    </row>
    <row r="9423" customFormat="false" ht="15" hidden="false" customHeight="false" outlineLevel="0" collapsed="false">
      <c r="A9423" s="0" t="s">
        <v>4795</v>
      </c>
      <c r="B9423" s="6" t="n">
        <v>41843</v>
      </c>
      <c r="C9423" s="7" t="s">
        <v>33</v>
      </c>
      <c r="D9423" s="7" t="s">
        <v>34</v>
      </c>
      <c r="E9423" s="7" t="s">
        <v>39</v>
      </c>
      <c r="F9423" s="0" t="n">
        <v>604.752</v>
      </c>
      <c r="G9423" s="0" t="n">
        <v>60.4752</v>
      </c>
      <c r="H9423" s="0" t="n">
        <v>0.2</v>
      </c>
      <c r="I9423" s="7" t="n">
        <f aca="false">YEAR(B9423)</f>
        <v>2014</v>
      </c>
      <c r="J9423" s="0" t="str">
        <f aca="false">I9423&amp;"-Q"&amp;ROUNDUP(MONTH(B9423)/3,0)</f>
        <v>2014-Q3</v>
      </c>
    </row>
    <row r="9424" customFormat="false" ht="15" hidden="false" customHeight="false" outlineLevel="0" collapsed="false">
      <c r="A9424" s="0" t="s">
        <v>4795</v>
      </c>
      <c r="B9424" s="6" t="n">
        <v>41843</v>
      </c>
      <c r="C9424" s="7" t="s">
        <v>33</v>
      </c>
      <c r="D9424" s="7" t="s">
        <v>34</v>
      </c>
      <c r="E9424" s="7" t="s">
        <v>35</v>
      </c>
      <c r="F9424" s="0" t="n">
        <v>40.7</v>
      </c>
      <c r="G9424" s="0" t="n">
        <v>11.803</v>
      </c>
      <c r="H9424" s="0" t="n">
        <v>0</v>
      </c>
      <c r="I9424" s="7" t="n">
        <f aca="false">YEAR(B9424)</f>
        <v>2014</v>
      </c>
      <c r="J9424" s="0" t="str">
        <f aca="false">I9424&amp;"-Q"&amp;ROUNDUP(MONTH(B9424)/3,0)</f>
        <v>2014-Q3</v>
      </c>
    </row>
    <row r="9425" customFormat="false" ht="15" hidden="false" customHeight="false" outlineLevel="0" collapsed="false">
      <c r="A9425" s="0" t="s">
        <v>4795</v>
      </c>
      <c r="B9425" s="6" t="n">
        <v>41843</v>
      </c>
      <c r="C9425" s="7" t="s">
        <v>33</v>
      </c>
      <c r="D9425" s="7" t="s">
        <v>34</v>
      </c>
      <c r="E9425" s="7" t="s">
        <v>39</v>
      </c>
      <c r="F9425" s="0" t="n">
        <v>302.376</v>
      </c>
      <c r="G9425" s="0" t="n">
        <v>37.797</v>
      </c>
      <c r="H9425" s="0" t="n">
        <v>0.2</v>
      </c>
      <c r="I9425" s="7" t="n">
        <f aca="false">YEAR(B9425)</f>
        <v>2014</v>
      </c>
      <c r="J9425" s="0" t="str">
        <f aca="false">I9425&amp;"-Q"&amp;ROUNDUP(MONTH(B9425)/3,0)</f>
        <v>2014-Q3</v>
      </c>
    </row>
    <row r="9426" customFormat="false" ht="15" hidden="false" customHeight="false" outlineLevel="0" collapsed="false">
      <c r="A9426" s="0" t="s">
        <v>4795</v>
      </c>
      <c r="B9426" s="6" t="n">
        <v>41843</v>
      </c>
      <c r="C9426" s="7" t="s">
        <v>33</v>
      </c>
      <c r="D9426" s="7" t="s">
        <v>34</v>
      </c>
      <c r="E9426" s="7" t="s">
        <v>39</v>
      </c>
      <c r="F9426" s="0" t="n">
        <v>45</v>
      </c>
      <c r="G9426" s="0" t="n">
        <v>4.95</v>
      </c>
      <c r="H9426" s="0" t="n">
        <v>0</v>
      </c>
      <c r="I9426" s="7" t="n">
        <f aca="false">YEAR(B9426)</f>
        <v>2014</v>
      </c>
      <c r="J9426" s="0" t="str">
        <f aca="false">I9426&amp;"-Q"&amp;ROUNDUP(MONTH(B9426)/3,0)</f>
        <v>2014-Q3</v>
      </c>
    </row>
    <row r="9427" customFormat="false" ht="15" hidden="false" customHeight="false" outlineLevel="0" collapsed="false">
      <c r="A9427" s="0" t="s">
        <v>4796</v>
      </c>
      <c r="B9427" s="6" t="n">
        <v>41894</v>
      </c>
      <c r="C9427" s="7" t="s">
        <v>55</v>
      </c>
      <c r="D9427" s="7" t="s">
        <v>76</v>
      </c>
      <c r="E9427" s="7" t="s">
        <v>31</v>
      </c>
      <c r="F9427" s="0" t="n">
        <v>3785.292</v>
      </c>
      <c r="G9427" s="0" t="n">
        <v>420.588</v>
      </c>
      <c r="H9427" s="0" t="n">
        <v>0.1</v>
      </c>
      <c r="I9427" s="7" t="n">
        <f aca="false">YEAR(B9427)</f>
        <v>2014</v>
      </c>
      <c r="J9427" s="0" t="str">
        <f aca="false">I9427&amp;"-Q"&amp;ROUNDUP(MONTH(B9427)/3,0)</f>
        <v>2014-Q3</v>
      </c>
    </row>
    <row r="9428" customFormat="false" ht="15" hidden="false" customHeight="false" outlineLevel="0" collapsed="false">
      <c r="A9428" s="0" t="s">
        <v>4797</v>
      </c>
      <c r="B9428" s="6" t="n">
        <v>42628</v>
      </c>
      <c r="C9428" s="7" t="s">
        <v>33</v>
      </c>
      <c r="D9428" s="7" t="s">
        <v>43</v>
      </c>
      <c r="E9428" s="7" t="s">
        <v>35</v>
      </c>
      <c r="F9428" s="0" t="n">
        <v>35.4</v>
      </c>
      <c r="G9428" s="0" t="n">
        <v>13.452</v>
      </c>
      <c r="H9428" s="0" t="n">
        <v>0</v>
      </c>
      <c r="I9428" s="7" t="n">
        <f aca="false">YEAR(B9428)</f>
        <v>2016</v>
      </c>
      <c r="J9428" s="0" t="str">
        <f aca="false">I9428&amp;"-Q"&amp;ROUNDUP(MONTH(B9428)/3,0)</f>
        <v>2016-Q3</v>
      </c>
    </row>
    <row r="9429" customFormat="false" ht="15" hidden="false" customHeight="false" outlineLevel="0" collapsed="false">
      <c r="A9429" s="0" t="s">
        <v>4798</v>
      </c>
      <c r="B9429" s="6" t="n">
        <v>41970</v>
      </c>
      <c r="C9429" s="7" t="s">
        <v>55</v>
      </c>
      <c r="D9429" s="7" t="s">
        <v>76</v>
      </c>
      <c r="E9429" s="7" t="s">
        <v>31</v>
      </c>
      <c r="F9429" s="0" t="n">
        <v>199.9</v>
      </c>
      <c r="G9429" s="0" t="n">
        <v>39.98</v>
      </c>
      <c r="H9429" s="0" t="n">
        <v>0</v>
      </c>
      <c r="I9429" s="7" t="n">
        <f aca="false">YEAR(B9429)</f>
        <v>2014</v>
      </c>
      <c r="J9429" s="0" t="str">
        <f aca="false">I9429&amp;"-Q"&amp;ROUNDUP(MONTH(B9429)/3,0)</f>
        <v>2014-Q4</v>
      </c>
    </row>
    <row r="9430" customFormat="false" ht="15" hidden="false" customHeight="false" outlineLevel="0" collapsed="false">
      <c r="A9430" s="0" t="s">
        <v>4799</v>
      </c>
      <c r="B9430" s="6" t="n">
        <v>41770</v>
      </c>
      <c r="C9430" s="7" t="s">
        <v>45</v>
      </c>
      <c r="D9430" s="7" t="s">
        <v>46</v>
      </c>
      <c r="E9430" s="7" t="s">
        <v>31</v>
      </c>
      <c r="F9430" s="0" t="n">
        <v>1212.96</v>
      </c>
      <c r="G9430" s="0" t="n">
        <v>-69.312</v>
      </c>
      <c r="H9430" s="0" t="n">
        <v>0.3</v>
      </c>
      <c r="I9430" s="7" t="n">
        <f aca="false">YEAR(B9430)</f>
        <v>2014</v>
      </c>
      <c r="J9430" s="0" t="str">
        <f aca="false">I9430&amp;"-Q"&amp;ROUNDUP(MONTH(B9430)/3,0)</f>
        <v>2014-Q2</v>
      </c>
    </row>
    <row r="9431" customFormat="false" ht="15" hidden="false" customHeight="false" outlineLevel="0" collapsed="false">
      <c r="A9431" s="0" t="s">
        <v>4800</v>
      </c>
      <c r="B9431" s="6" t="n">
        <v>42244</v>
      </c>
      <c r="C9431" s="7" t="s">
        <v>45</v>
      </c>
      <c r="D9431" s="7" t="s">
        <v>46</v>
      </c>
      <c r="E9431" s="7" t="s">
        <v>39</v>
      </c>
      <c r="F9431" s="0" t="n">
        <v>1099.96</v>
      </c>
      <c r="G9431" s="0" t="n">
        <v>82.497</v>
      </c>
      <c r="H9431" s="0" t="n">
        <v>0.2</v>
      </c>
      <c r="I9431" s="7" t="n">
        <f aca="false">YEAR(B9431)</f>
        <v>2015</v>
      </c>
      <c r="J9431" s="0" t="str">
        <f aca="false">I9431&amp;"-Q"&amp;ROUNDUP(MONTH(B9431)/3,0)</f>
        <v>2015-Q3</v>
      </c>
    </row>
    <row r="9432" customFormat="false" ht="15" hidden="false" customHeight="false" outlineLevel="0" collapsed="false">
      <c r="A9432" s="0" t="s">
        <v>4800</v>
      </c>
      <c r="B9432" s="6" t="n">
        <v>42244</v>
      </c>
      <c r="C9432" s="7" t="s">
        <v>45</v>
      </c>
      <c r="D9432" s="7" t="s">
        <v>46</v>
      </c>
      <c r="E9432" s="7" t="s">
        <v>31</v>
      </c>
      <c r="F9432" s="0" t="n">
        <v>103.481</v>
      </c>
      <c r="G9432" s="0" t="n">
        <v>-16.2613</v>
      </c>
      <c r="H9432" s="0" t="n">
        <v>0.3</v>
      </c>
      <c r="I9432" s="7" t="n">
        <f aca="false">YEAR(B9432)</f>
        <v>2015</v>
      </c>
      <c r="J9432" s="0" t="str">
        <f aca="false">I9432&amp;"-Q"&amp;ROUNDUP(MONTH(B9432)/3,0)</f>
        <v>2015-Q3</v>
      </c>
    </row>
    <row r="9433" customFormat="false" ht="15" hidden="false" customHeight="false" outlineLevel="0" collapsed="false">
      <c r="A9433" s="0" t="s">
        <v>4801</v>
      </c>
      <c r="B9433" s="6" t="n">
        <v>42174</v>
      </c>
      <c r="C9433" s="7" t="s">
        <v>55</v>
      </c>
      <c r="D9433" s="7" t="s">
        <v>56</v>
      </c>
      <c r="E9433" s="7" t="s">
        <v>35</v>
      </c>
      <c r="F9433" s="0" t="n">
        <v>5.904</v>
      </c>
      <c r="G9433" s="0" t="n">
        <v>1.9926</v>
      </c>
      <c r="H9433" s="0" t="n">
        <v>0.2</v>
      </c>
      <c r="I9433" s="7" t="n">
        <f aca="false">YEAR(B9433)</f>
        <v>2015</v>
      </c>
      <c r="J9433" s="0" t="str">
        <f aca="false">I9433&amp;"-Q"&amp;ROUNDUP(MONTH(B9433)/3,0)</f>
        <v>2015-Q2</v>
      </c>
    </row>
    <row r="9434" customFormat="false" ht="15" hidden="false" customHeight="false" outlineLevel="0" collapsed="false">
      <c r="A9434" s="0" t="s">
        <v>4802</v>
      </c>
      <c r="B9434" s="6" t="n">
        <v>42233</v>
      </c>
      <c r="C9434" s="7" t="s">
        <v>33</v>
      </c>
      <c r="D9434" s="7" t="s">
        <v>81</v>
      </c>
      <c r="E9434" s="7" t="s">
        <v>39</v>
      </c>
      <c r="F9434" s="0" t="n">
        <v>30.08</v>
      </c>
      <c r="G9434" s="0" t="n">
        <v>-5.264</v>
      </c>
      <c r="H9434" s="0" t="n">
        <v>0.2</v>
      </c>
      <c r="I9434" s="7" t="n">
        <f aca="false">YEAR(B9434)</f>
        <v>2015</v>
      </c>
      <c r="J9434" s="0" t="str">
        <f aca="false">I9434&amp;"-Q"&amp;ROUNDUP(MONTH(B9434)/3,0)</f>
        <v>2015-Q3</v>
      </c>
    </row>
    <row r="9435" customFormat="false" ht="15" hidden="false" customHeight="false" outlineLevel="0" collapsed="false">
      <c r="A9435" s="0" t="s">
        <v>4802</v>
      </c>
      <c r="B9435" s="6" t="n">
        <v>42233</v>
      </c>
      <c r="C9435" s="7" t="s">
        <v>33</v>
      </c>
      <c r="D9435" s="7" t="s">
        <v>81</v>
      </c>
      <c r="E9435" s="7" t="s">
        <v>35</v>
      </c>
      <c r="F9435" s="0" t="n">
        <v>36.288</v>
      </c>
      <c r="G9435" s="0" t="n">
        <v>12.7008</v>
      </c>
      <c r="H9435" s="0" t="n">
        <v>0.2</v>
      </c>
      <c r="I9435" s="7" t="n">
        <f aca="false">YEAR(B9435)</f>
        <v>2015</v>
      </c>
      <c r="J9435" s="0" t="str">
        <f aca="false">I9435&amp;"-Q"&amp;ROUNDUP(MONTH(B9435)/3,0)</f>
        <v>2015-Q3</v>
      </c>
    </row>
    <row r="9436" customFormat="false" ht="15" hidden="false" customHeight="false" outlineLevel="0" collapsed="false">
      <c r="A9436" s="0" t="s">
        <v>4802</v>
      </c>
      <c r="B9436" s="6" t="n">
        <v>42233</v>
      </c>
      <c r="C9436" s="7" t="s">
        <v>33</v>
      </c>
      <c r="D9436" s="7" t="s">
        <v>81</v>
      </c>
      <c r="E9436" s="7" t="s">
        <v>35</v>
      </c>
      <c r="F9436" s="0" t="n">
        <v>10.272</v>
      </c>
      <c r="G9436" s="0" t="n">
        <v>1.1556</v>
      </c>
      <c r="H9436" s="0" t="n">
        <v>0.2</v>
      </c>
      <c r="I9436" s="7" t="n">
        <f aca="false">YEAR(B9436)</f>
        <v>2015</v>
      </c>
      <c r="J9436" s="0" t="str">
        <f aca="false">I9436&amp;"-Q"&amp;ROUNDUP(MONTH(B9436)/3,0)</f>
        <v>2015-Q3</v>
      </c>
    </row>
    <row r="9437" customFormat="false" ht="15" hidden="false" customHeight="false" outlineLevel="0" collapsed="false">
      <c r="A9437" s="0" t="s">
        <v>4802</v>
      </c>
      <c r="B9437" s="6" t="n">
        <v>42233</v>
      </c>
      <c r="C9437" s="7" t="s">
        <v>33</v>
      </c>
      <c r="D9437" s="7" t="s">
        <v>81</v>
      </c>
      <c r="E9437" s="7" t="s">
        <v>39</v>
      </c>
      <c r="F9437" s="0" t="n">
        <v>252.8</v>
      </c>
      <c r="G9437" s="0" t="n">
        <v>-31.6</v>
      </c>
      <c r="H9437" s="0" t="n">
        <v>0.2</v>
      </c>
      <c r="I9437" s="7" t="n">
        <f aca="false">YEAR(B9437)</f>
        <v>2015</v>
      </c>
      <c r="J9437" s="0" t="str">
        <f aca="false">I9437&amp;"-Q"&amp;ROUNDUP(MONTH(B9437)/3,0)</f>
        <v>2015-Q3</v>
      </c>
    </row>
    <row r="9438" customFormat="false" ht="15" hidden="false" customHeight="false" outlineLevel="0" collapsed="false">
      <c r="A9438" s="0" t="s">
        <v>4803</v>
      </c>
      <c r="B9438" s="6" t="n">
        <v>42272</v>
      </c>
      <c r="C9438" s="7" t="s">
        <v>55</v>
      </c>
      <c r="D9438" s="7" t="s">
        <v>56</v>
      </c>
      <c r="E9438" s="7" t="s">
        <v>35</v>
      </c>
      <c r="F9438" s="0" t="n">
        <v>2.946</v>
      </c>
      <c r="G9438" s="0" t="n">
        <v>-2.0622</v>
      </c>
      <c r="H9438" s="0" t="n">
        <v>0.7</v>
      </c>
      <c r="I9438" s="7" t="n">
        <f aca="false">YEAR(B9438)</f>
        <v>2015</v>
      </c>
      <c r="J9438" s="0" t="str">
        <f aca="false">I9438&amp;"-Q"&amp;ROUNDUP(MONTH(B9438)/3,0)</f>
        <v>2015-Q3</v>
      </c>
    </row>
    <row r="9439" customFormat="false" ht="15" hidden="false" customHeight="false" outlineLevel="0" collapsed="false">
      <c r="A9439" s="0" t="s">
        <v>4804</v>
      </c>
      <c r="B9439" s="6" t="n">
        <v>42881</v>
      </c>
      <c r="C9439" s="7" t="s">
        <v>33</v>
      </c>
      <c r="D9439" s="7" t="s">
        <v>34</v>
      </c>
      <c r="E9439" s="7" t="s">
        <v>35</v>
      </c>
      <c r="F9439" s="0" t="n">
        <v>12.96</v>
      </c>
      <c r="G9439" s="0" t="n">
        <v>6.2208</v>
      </c>
      <c r="H9439" s="0" t="n">
        <v>0</v>
      </c>
      <c r="I9439" s="7" t="n">
        <f aca="false">YEAR(B9439)</f>
        <v>2017</v>
      </c>
      <c r="J9439" s="0" t="str">
        <f aca="false">I9439&amp;"-Q"&amp;ROUNDUP(MONTH(B9439)/3,0)</f>
        <v>2017-Q2</v>
      </c>
    </row>
    <row r="9440" customFormat="false" ht="15" hidden="false" customHeight="false" outlineLevel="0" collapsed="false">
      <c r="A9440" s="0" t="s">
        <v>4805</v>
      </c>
      <c r="B9440" s="6" t="n">
        <v>42947</v>
      </c>
      <c r="C9440" s="7" t="s">
        <v>55</v>
      </c>
      <c r="D9440" s="7" t="s">
        <v>56</v>
      </c>
      <c r="E9440" s="7" t="s">
        <v>39</v>
      </c>
      <c r="F9440" s="0" t="n">
        <v>285.576</v>
      </c>
      <c r="G9440" s="0" t="n">
        <v>-57.1152</v>
      </c>
      <c r="H9440" s="0" t="n">
        <v>0.4</v>
      </c>
      <c r="I9440" s="7" t="n">
        <f aca="false">YEAR(B9440)</f>
        <v>2017</v>
      </c>
      <c r="J9440" s="0" t="str">
        <f aca="false">I9440&amp;"-Q"&amp;ROUNDUP(MONTH(B9440)/3,0)</f>
        <v>2017-Q3</v>
      </c>
    </row>
    <row r="9441" customFormat="false" ht="15" hidden="false" customHeight="false" outlineLevel="0" collapsed="false">
      <c r="A9441" s="0" t="s">
        <v>4806</v>
      </c>
      <c r="B9441" s="6" t="n">
        <v>41924</v>
      </c>
      <c r="C9441" s="7" t="s">
        <v>45</v>
      </c>
      <c r="D9441" s="7" t="s">
        <v>64</v>
      </c>
      <c r="E9441" s="7" t="s">
        <v>35</v>
      </c>
      <c r="F9441" s="0" t="n">
        <v>22.24</v>
      </c>
      <c r="G9441" s="0" t="n">
        <v>2.502</v>
      </c>
      <c r="H9441" s="0" t="n">
        <v>0.2</v>
      </c>
      <c r="I9441" s="7" t="n">
        <f aca="false">YEAR(B9441)</f>
        <v>2014</v>
      </c>
      <c r="J9441" s="0" t="str">
        <f aca="false">I9441&amp;"-Q"&amp;ROUNDUP(MONTH(B9441)/3,0)</f>
        <v>2014-Q4</v>
      </c>
    </row>
    <row r="9442" customFormat="false" ht="15" hidden="false" customHeight="false" outlineLevel="0" collapsed="false">
      <c r="A9442" s="0" t="s">
        <v>4807</v>
      </c>
      <c r="B9442" s="6" t="n">
        <v>41784</v>
      </c>
      <c r="C9442" s="7" t="s">
        <v>55</v>
      </c>
      <c r="D9442" s="7" t="s">
        <v>76</v>
      </c>
      <c r="E9442" s="7" t="s">
        <v>35</v>
      </c>
      <c r="F9442" s="0" t="n">
        <v>14.62</v>
      </c>
      <c r="G9442" s="0" t="n">
        <v>6.7252</v>
      </c>
      <c r="H9442" s="0" t="n">
        <v>0</v>
      </c>
      <c r="I9442" s="7" t="n">
        <f aca="false">YEAR(B9442)</f>
        <v>2014</v>
      </c>
      <c r="J9442" s="0" t="str">
        <f aca="false">I9442&amp;"-Q"&amp;ROUNDUP(MONTH(B9442)/3,0)</f>
        <v>2014-Q2</v>
      </c>
    </row>
    <row r="9443" customFormat="false" ht="15" hidden="false" customHeight="false" outlineLevel="0" collapsed="false">
      <c r="A9443" s="0" t="s">
        <v>4808</v>
      </c>
      <c r="B9443" s="6" t="n">
        <v>42002</v>
      </c>
      <c r="C9443" s="7" t="s">
        <v>55</v>
      </c>
      <c r="D9443" s="7" t="s">
        <v>116</v>
      </c>
      <c r="E9443" s="7" t="s">
        <v>35</v>
      </c>
      <c r="F9443" s="0" t="n">
        <v>48.36</v>
      </c>
      <c r="G9443" s="0" t="n">
        <v>6.045</v>
      </c>
      <c r="H9443" s="0" t="n">
        <v>0.2</v>
      </c>
      <c r="I9443" s="7" t="n">
        <f aca="false">YEAR(B9443)</f>
        <v>2014</v>
      </c>
      <c r="J9443" s="0" t="str">
        <f aca="false">I9443&amp;"-Q"&amp;ROUNDUP(MONTH(B9443)/3,0)</f>
        <v>2014-Q4</v>
      </c>
    </row>
    <row r="9444" customFormat="false" ht="15" hidden="false" customHeight="false" outlineLevel="0" collapsed="false">
      <c r="A9444" s="0" t="s">
        <v>4809</v>
      </c>
      <c r="B9444" s="6" t="n">
        <v>42832</v>
      </c>
      <c r="C9444" s="7" t="s">
        <v>29</v>
      </c>
      <c r="D9444" s="7" t="s">
        <v>37</v>
      </c>
      <c r="E9444" s="7" t="s">
        <v>35</v>
      </c>
      <c r="F9444" s="0" t="n">
        <v>16.256</v>
      </c>
      <c r="G9444" s="0" t="n">
        <v>1.2192</v>
      </c>
      <c r="H9444" s="0" t="n">
        <v>0.2</v>
      </c>
      <c r="I9444" s="7" t="n">
        <f aca="false">YEAR(B9444)</f>
        <v>2017</v>
      </c>
      <c r="J9444" s="0" t="str">
        <f aca="false">I9444&amp;"-Q"&amp;ROUNDUP(MONTH(B9444)/3,0)</f>
        <v>2017-Q2</v>
      </c>
    </row>
    <row r="9445" customFormat="false" ht="15" hidden="false" customHeight="false" outlineLevel="0" collapsed="false">
      <c r="A9445" s="0" t="s">
        <v>4809</v>
      </c>
      <c r="B9445" s="6" t="n">
        <v>42832</v>
      </c>
      <c r="C9445" s="7" t="s">
        <v>29</v>
      </c>
      <c r="D9445" s="7" t="s">
        <v>37</v>
      </c>
      <c r="E9445" s="7" t="s">
        <v>39</v>
      </c>
      <c r="F9445" s="0" t="n">
        <v>219.184</v>
      </c>
      <c r="G9445" s="0" t="n">
        <v>19.1786</v>
      </c>
      <c r="H9445" s="0" t="n">
        <v>0.2</v>
      </c>
      <c r="I9445" s="7" t="n">
        <f aca="false">YEAR(B9445)</f>
        <v>2017</v>
      </c>
      <c r="J9445" s="0" t="str">
        <f aca="false">I9445&amp;"-Q"&amp;ROUNDUP(MONTH(B9445)/3,0)</f>
        <v>2017-Q2</v>
      </c>
    </row>
    <row r="9446" customFormat="false" ht="15" hidden="false" customHeight="false" outlineLevel="0" collapsed="false">
      <c r="A9446" s="0" t="s">
        <v>4810</v>
      </c>
      <c r="B9446" s="6" t="n">
        <v>42064</v>
      </c>
      <c r="C9446" s="7" t="s">
        <v>45</v>
      </c>
      <c r="D9446" s="7" t="s">
        <v>46</v>
      </c>
      <c r="E9446" s="7" t="s">
        <v>39</v>
      </c>
      <c r="F9446" s="0" t="n">
        <v>95.84</v>
      </c>
      <c r="G9446" s="0" t="n">
        <v>34.742</v>
      </c>
      <c r="H9446" s="0" t="n">
        <v>0.2</v>
      </c>
      <c r="I9446" s="7" t="n">
        <f aca="false">YEAR(B9446)</f>
        <v>2015</v>
      </c>
      <c r="J9446" s="0" t="str">
        <f aca="false">I9446&amp;"-Q"&amp;ROUNDUP(MONTH(B9446)/3,0)</f>
        <v>2015-Q1</v>
      </c>
    </row>
    <row r="9447" customFormat="false" ht="15" hidden="false" customHeight="false" outlineLevel="0" collapsed="false">
      <c r="A9447" s="0" t="s">
        <v>4811</v>
      </c>
      <c r="B9447" s="6" t="n">
        <v>42153</v>
      </c>
      <c r="C9447" s="7" t="s">
        <v>45</v>
      </c>
      <c r="D9447" s="7" t="s">
        <v>74</v>
      </c>
      <c r="E9447" s="7" t="s">
        <v>35</v>
      </c>
      <c r="F9447" s="0" t="n">
        <v>12.39</v>
      </c>
      <c r="G9447" s="0" t="n">
        <v>5.6994</v>
      </c>
      <c r="H9447" s="0" t="n">
        <v>0</v>
      </c>
      <c r="I9447" s="7" t="n">
        <f aca="false">YEAR(B9447)</f>
        <v>2015</v>
      </c>
      <c r="J9447" s="0" t="str">
        <f aca="false">I9447&amp;"-Q"&amp;ROUNDUP(MONTH(B9447)/3,0)</f>
        <v>2015-Q2</v>
      </c>
    </row>
    <row r="9448" customFormat="false" ht="15" hidden="false" customHeight="false" outlineLevel="0" collapsed="false">
      <c r="A9448" s="0" t="s">
        <v>4812</v>
      </c>
      <c r="B9448" s="6" t="n">
        <v>42635</v>
      </c>
      <c r="C9448" s="7" t="s">
        <v>45</v>
      </c>
      <c r="D9448" s="7" t="s">
        <v>74</v>
      </c>
      <c r="E9448" s="7" t="s">
        <v>35</v>
      </c>
      <c r="F9448" s="0" t="n">
        <v>35.88</v>
      </c>
      <c r="G9448" s="0" t="n">
        <v>16.146</v>
      </c>
      <c r="H9448" s="0" t="n">
        <v>0</v>
      </c>
      <c r="I9448" s="7" t="n">
        <f aca="false">YEAR(B9448)</f>
        <v>2016</v>
      </c>
      <c r="J9448" s="0" t="str">
        <f aca="false">I9448&amp;"-Q"&amp;ROUNDUP(MONTH(B9448)/3,0)</f>
        <v>2016-Q3</v>
      </c>
    </row>
    <row r="9449" customFormat="false" ht="15" hidden="false" customHeight="false" outlineLevel="0" collapsed="false">
      <c r="A9449" s="0" t="s">
        <v>4813</v>
      </c>
      <c r="B9449" s="6" t="n">
        <v>42882</v>
      </c>
      <c r="C9449" s="7" t="s">
        <v>45</v>
      </c>
      <c r="D9449" s="7" t="s">
        <v>138</v>
      </c>
      <c r="E9449" s="7" t="s">
        <v>31</v>
      </c>
      <c r="F9449" s="0" t="n">
        <v>477.3</v>
      </c>
      <c r="G9449" s="0" t="n">
        <v>138.417</v>
      </c>
      <c r="H9449" s="0" t="n">
        <v>0</v>
      </c>
      <c r="I9449" s="7" t="n">
        <f aca="false">YEAR(B9449)</f>
        <v>2017</v>
      </c>
      <c r="J9449" s="0" t="str">
        <f aca="false">I9449&amp;"-Q"&amp;ROUNDUP(MONTH(B9449)/3,0)</f>
        <v>2017-Q2</v>
      </c>
    </row>
    <row r="9450" customFormat="false" ht="15" hidden="false" customHeight="false" outlineLevel="0" collapsed="false">
      <c r="A9450" s="0" t="s">
        <v>4814</v>
      </c>
      <c r="B9450" s="6" t="n">
        <v>42630</v>
      </c>
      <c r="C9450" s="7" t="s">
        <v>33</v>
      </c>
      <c r="D9450" s="7" t="s">
        <v>43</v>
      </c>
      <c r="E9450" s="7" t="s">
        <v>35</v>
      </c>
      <c r="F9450" s="0" t="n">
        <v>12.32</v>
      </c>
      <c r="G9450" s="0" t="n">
        <v>5.9136</v>
      </c>
      <c r="H9450" s="0" t="n">
        <v>0</v>
      </c>
      <c r="I9450" s="7" t="n">
        <f aca="false">YEAR(B9450)</f>
        <v>2016</v>
      </c>
      <c r="J9450" s="0" t="str">
        <f aca="false">I9450&amp;"-Q"&amp;ROUNDUP(MONTH(B9450)/3,0)</f>
        <v>2016-Q3</v>
      </c>
    </row>
    <row r="9451" customFormat="false" ht="15" hidden="false" customHeight="false" outlineLevel="0" collapsed="false">
      <c r="A9451" s="0" t="s">
        <v>4815</v>
      </c>
      <c r="B9451" s="6" t="n">
        <v>41890</v>
      </c>
      <c r="C9451" s="7" t="s">
        <v>33</v>
      </c>
      <c r="D9451" s="7" t="s">
        <v>34</v>
      </c>
      <c r="E9451" s="7" t="s">
        <v>35</v>
      </c>
      <c r="F9451" s="0" t="n">
        <v>8.608</v>
      </c>
      <c r="G9451" s="0" t="n">
        <v>3.0128</v>
      </c>
      <c r="H9451" s="0" t="n">
        <v>0.2</v>
      </c>
      <c r="I9451" s="7" t="n">
        <f aca="false">YEAR(B9451)</f>
        <v>2014</v>
      </c>
      <c r="J9451" s="0" t="str">
        <f aca="false">I9451&amp;"-Q"&amp;ROUNDUP(MONTH(B9451)/3,0)</f>
        <v>2014-Q3</v>
      </c>
    </row>
    <row r="9452" customFormat="false" ht="15" hidden="false" customHeight="false" outlineLevel="0" collapsed="false">
      <c r="A9452" s="0" t="s">
        <v>4816</v>
      </c>
      <c r="B9452" s="6" t="n">
        <v>42889</v>
      </c>
      <c r="C9452" s="7" t="s">
        <v>33</v>
      </c>
      <c r="D9452" s="7" t="s">
        <v>43</v>
      </c>
      <c r="E9452" s="7" t="s">
        <v>35</v>
      </c>
      <c r="F9452" s="0" t="n">
        <v>136.26</v>
      </c>
      <c r="G9452" s="0" t="n">
        <v>5.4504</v>
      </c>
      <c r="H9452" s="0" t="n">
        <v>0</v>
      </c>
      <c r="I9452" s="7" t="n">
        <f aca="false">YEAR(B9452)</f>
        <v>2017</v>
      </c>
      <c r="J9452" s="0" t="str">
        <f aca="false">I9452&amp;"-Q"&amp;ROUNDUP(MONTH(B9452)/3,0)</f>
        <v>2017-Q2</v>
      </c>
    </row>
    <row r="9453" customFormat="false" ht="15" hidden="false" customHeight="false" outlineLevel="0" collapsed="false">
      <c r="A9453" s="0" t="s">
        <v>4817</v>
      </c>
      <c r="B9453" s="6" t="n">
        <v>42275</v>
      </c>
      <c r="C9453" s="7" t="s">
        <v>33</v>
      </c>
      <c r="D9453" s="7" t="s">
        <v>34</v>
      </c>
      <c r="E9453" s="7" t="s">
        <v>35</v>
      </c>
      <c r="F9453" s="0" t="n">
        <v>186.15</v>
      </c>
      <c r="G9453" s="0" t="n">
        <v>55.845</v>
      </c>
      <c r="H9453" s="0" t="n">
        <v>0</v>
      </c>
      <c r="I9453" s="7" t="n">
        <f aca="false">YEAR(B9453)</f>
        <v>2015</v>
      </c>
      <c r="J9453" s="0" t="str">
        <f aca="false">I9453&amp;"-Q"&amp;ROUNDUP(MONTH(B9453)/3,0)</f>
        <v>2015-Q3</v>
      </c>
    </row>
    <row r="9454" customFormat="false" ht="15" hidden="false" customHeight="false" outlineLevel="0" collapsed="false">
      <c r="A9454" s="0" t="s">
        <v>4817</v>
      </c>
      <c r="B9454" s="6" t="n">
        <v>42275</v>
      </c>
      <c r="C9454" s="7" t="s">
        <v>33</v>
      </c>
      <c r="D9454" s="7" t="s">
        <v>34</v>
      </c>
      <c r="E9454" s="7" t="s">
        <v>35</v>
      </c>
      <c r="F9454" s="0" t="n">
        <v>81.792</v>
      </c>
      <c r="G9454" s="0" t="n">
        <v>26.5824</v>
      </c>
      <c r="H9454" s="0" t="n">
        <v>0.2</v>
      </c>
      <c r="I9454" s="7" t="n">
        <f aca="false">YEAR(B9454)</f>
        <v>2015</v>
      </c>
      <c r="J9454" s="0" t="str">
        <f aca="false">I9454&amp;"-Q"&amp;ROUNDUP(MONTH(B9454)/3,0)</f>
        <v>2015-Q3</v>
      </c>
    </row>
    <row r="9455" customFormat="false" ht="15" hidden="false" customHeight="false" outlineLevel="0" collapsed="false">
      <c r="A9455" s="0" t="s">
        <v>4817</v>
      </c>
      <c r="B9455" s="6" t="n">
        <v>42275</v>
      </c>
      <c r="C9455" s="7" t="s">
        <v>33</v>
      </c>
      <c r="D9455" s="7" t="s">
        <v>34</v>
      </c>
      <c r="E9455" s="7" t="s">
        <v>35</v>
      </c>
      <c r="F9455" s="0" t="n">
        <v>47.19</v>
      </c>
      <c r="G9455" s="0" t="n">
        <v>13.6851</v>
      </c>
      <c r="H9455" s="0" t="n">
        <v>0</v>
      </c>
      <c r="I9455" s="7" t="n">
        <f aca="false">YEAR(B9455)</f>
        <v>2015</v>
      </c>
      <c r="J9455" s="0" t="str">
        <f aca="false">I9455&amp;"-Q"&amp;ROUNDUP(MONTH(B9455)/3,0)</f>
        <v>2015-Q3</v>
      </c>
    </row>
    <row r="9456" customFormat="false" ht="15" hidden="false" customHeight="false" outlineLevel="0" collapsed="false">
      <c r="A9456" s="0" t="s">
        <v>4817</v>
      </c>
      <c r="B9456" s="6" t="n">
        <v>42275</v>
      </c>
      <c r="C9456" s="7" t="s">
        <v>33</v>
      </c>
      <c r="D9456" s="7" t="s">
        <v>34</v>
      </c>
      <c r="E9456" s="7" t="s">
        <v>39</v>
      </c>
      <c r="F9456" s="0" t="n">
        <v>36.784</v>
      </c>
      <c r="G9456" s="0" t="n">
        <v>-8.2764</v>
      </c>
      <c r="H9456" s="0" t="n">
        <v>0.2</v>
      </c>
      <c r="I9456" s="7" t="n">
        <f aca="false">YEAR(B9456)</f>
        <v>2015</v>
      </c>
      <c r="J9456" s="0" t="str">
        <f aca="false">I9456&amp;"-Q"&amp;ROUNDUP(MONTH(B9456)/3,0)</f>
        <v>2015-Q3</v>
      </c>
    </row>
    <row r="9457" customFormat="false" ht="15" hidden="false" customHeight="false" outlineLevel="0" collapsed="false">
      <c r="A9457" s="0" t="s">
        <v>4818</v>
      </c>
      <c r="B9457" s="6" t="n">
        <v>42537</v>
      </c>
      <c r="C9457" s="7" t="s">
        <v>29</v>
      </c>
      <c r="D9457" s="7" t="s">
        <v>87</v>
      </c>
      <c r="E9457" s="7" t="s">
        <v>39</v>
      </c>
      <c r="F9457" s="0" t="n">
        <v>91.475</v>
      </c>
      <c r="G9457" s="0" t="n">
        <v>-1.8295</v>
      </c>
      <c r="H9457" s="0" t="n">
        <v>0.5</v>
      </c>
      <c r="I9457" s="7" t="n">
        <f aca="false">YEAR(B9457)</f>
        <v>2016</v>
      </c>
      <c r="J9457" s="0" t="str">
        <f aca="false">I9457&amp;"-Q"&amp;ROUNDUP(MONTH(B9457)/3,0)</f>
        <v>2016-Q2</v>
      </c>
    </row>
    <row r="9458" customFormat="false" ht="15" hidden="false" customHeight="false" outlineLevel="0" collapsed="false">
      <c r="A9458" s="0" t="s">
        <v>4819</v>
      </c>
      <c r="B9458" s="6" t="n">
        <v>42882</v>
      </c>
      <c r="C9458" s="7" t="s">
        <v>29</v>
      </c>
      <c r="D9458" s="7" t="s">
        <v>41</v>
      </c>
      <c r="E9458" s="7" t="s">
        <v>39</v>
      </c>
      <c r="F9458" s="0" t="n">
        <v>27.192</v>
      </c>
      <c r="G9458" s="0" t="n">
        <v>0.3399</v>
      </c>
      <c r="H9458" s="0" t="n">
        <v>0.2</v>
      </c>
      <c r="I9458" s="7" t="n">
        <f aca="false">YEAR(B9458)</f>
        <v>2017</v>
      </c>
      <c r="J9458" s="0" t="str">
        <f aca="false">I9458&amp;"-Q"&amp;ROUNDUP(MONTH(B9458)/3,0)</f>
        <v>2017-Q2</v>
      </c>
    </row>
    <row r="9459" customFormat="false" ht="15" hidden="false" customHeight="false" outlineLevel="0" collapsed="false">
      <c r="A9459" s="0" t="s">
        <v>4819</v>
      </c>
      <c r="B9459" s="6" t="n">
        <v>42882</v>
      </c>
      <c r="C9459" s="7" t="s">
        <v>29</v>
      </c>
      <c r="D9459" s="7" t="s">
        <v>41</v>
      </c>
      <c r="E9459" s="7" t="s">
        <v>35</v>
      </c>
      <c r="F9459" s="0" t="n">
        <v>12.06</v>
      </c>
      <c r="G9459" s="0" t="n">
        <v>-10.05</v>
      </c>
      <c r="H9459" s="0" t="n">
        <v>0.7</v>
      </c>
      <c r="I9459" s="7" t="n">
        <f aca="false">YEAR(B9459)</f>
        <v>2017</v>
      </c>
      <c r="J9459" s="0" t="str">
        <f aca="false">I9459&amp;"-Q"&amp;ROUNDUP(MONTH(B9459)/3,0)</f>
        <v>2017-Q2</v>
      </c>
    </row>
    <row r="9460" customFormat="false" ht="15" hidden="false" customHeight="false" outlineLevel="0" collapsed="false">
      <c r="A9460" s="0" t="s">
        <v>4820</v>
      </c>
      <c r="B9460" s="6" t="n">
        <v>41921</v>
      </c>
      <c r="C9460" s="7" t="s">
        <v>33</v>
      </c>
      <c r="D9460" s="7" t="s">
        <v>34</v>
      </c>
      <c r="E9460" s="7" t="s">
        <v>35</v>
      </c>
      <c r="F9460" s="0" t="n">
        <v>144.6</v>
      </c>
      <c r="G9460" s="0" t="n">
        <v>41.934</v>
      </c>
      <c r="H9460" s="0" t="n">
        <v>0</v>
      </c>
      <c r="I9460" s="7" t="n">
        <f aca="false">YEAR(B9460)</f>
        <v>2014</v>
      </c>
      <c r="J9460" s="0" t="str">
        <f aca="false">I9460&amp;"-Q"&amp;ROUNDUP(MONTH(B9460)/3,0)</f>
        <v>2014-Q4</v>
      </c>
    </row>
    <row r="9461" customFormat="false" ht="15" hidden="false" customHeight="false" outlineLevel="0" collapsed="false">
      <c r="A9461" s="0" t="s">
        <v>4820</v>
      </c>
      <c r="B9461" s="6" t="n">
        <v>41921</v>
      </c>
      <c r="C9461" s="7" t="s">
        <v>33</v>
      </c>
      <c r="D9461" s="7" t="s">
        <v>34</v>
      </c>
      <c r="E9461" s="7" t="s">
        <v>39</v>
      </c>
      <c r="F9461" s="0" t="n">
        <v>15.992</v>
      </c>
      <c r="G9461" s="0" t="n">
        <v>-2.9985</v>
      </c>
      <c r="H9461" s="0" t="n">
        <v>0.2</v>
      </c>
      <c r="I9461" s="7" t="n">
        <f aca="false">YEAR(B9461)</f>
        <v>2014</v>
      </c>
      <c r="J9461" s="0" t="str">
        <f aca="false">I9461&amp;"-Q"&amp;ROUNDUP(MONTH(B9461)/3,0)</f>
        <v>2014-Q4</v>
      </c>
    </row>
    <row r="9462" customFormat="false" ht="15" hidden="false" customHeight="false" outlineLevel="0" collapsed="false">
      <c r="A9462" s="0" t="s">
        <v>4821</v>
      </c>
      <c r="B9462" s="6" t="n">
        <v>41960</v>
      </c>
      <c r="C9462" s="7" t="s">
        <v>55</v>
      </c>
      <c r="D9462" s="7" t="s">
        <v>76</v>
      </c>
      <c r="E9462" s="7" t="s">
        <v>35</v>
      </c>
      <c r="F9462" s="0" t="n">
        <v>34.44</v>
      </c>
      <c r="G9462" s="0" t="n">
        <v>17.22</v>
      </c>
      <c r="H9462" s="0" t="n">
        <v>0</v>
      </c>
      <c r="I9462" s="7" t="n">
        <f aca="false">YEAR(B9462)</f>
        <v>2014</v>
      </c>
      <c r="J9462" s="0" t="str">
        <f aca="false">I9462&amp;"-Q"&amp;ROUNDUP(MONTH(B9462)/3,0)</f>
        <v>2014-Q4</v>
      </c>
    </row>
    <row r="9463" customFormat="false" ht="15" hidden="false" customHeight="false" outlineLevel="0" collapsed="false">
      <c r="A9463" s="0" t="s">
        <v>4822</v>
      </c>
      <c r="B9463" s="6" t="n">
        <v>41931</v>
      </c>
      <c r="C9463" s="7" t="s">
        <v>33</v>
      </c>
      <c r="D9463" s="7" t="s">
        <v>34</v>
      </c>
      <c r="E9463" s="7" t="s">
        <v>39</v>
      </c>
      <c r="F9463" s="0" t="n">
        <v>321.552</v>
      </c>
      <c r="G9463" s="0" t="n">
        <v>20.097</v>
      </c>
      <c r="H9463" s="0" t="n">
        <v>0.2</v>
      </c>
      <c r="I9463" s="7" t="n">
        <f aca="false">YEAR(B9463)</f>
        <v>2014</v>
      </c>
      <c r="J9463" s="0" t="str">
        <f aca="false">I9463&amp;"-Q"&amp;ROUNDUP(MONTH(B9463)/3,0)</f>
        <v>2014-Q4</v>
      </c>
    </row>
    <row r="9464" customFormat="false" ht="15" hidden="false" customHeight="false" outlineLevel="0" collapsed="false">
      <c r="A9464" s="0" t="s">
        <v>4823</v>
      </c>
      <c r="B9464" s="6" t="n">
        <v>43064</v>
      </c>
      <c r="C9464" s="7" t="s">
        <v>29</v>
      </c>
      <c r="D9464" s="7" t="s">
        <v>30</v>
      </c>
      <c r="E9464" s="7" t="s">
        <v>31</v>
      </c>
      <c r="F9464" s="0" t="n">
        <v>701.96</v>
      </c>
      <c r="G9464" s="0" t="n">
        <v>168.4704</v>
      </c>
      <c r="H9464" s="0" t="n">
        <v>0</v>
      </c>
      <c r="I9464" s="7" t="n">
        <f aca="false">YEAR(B9464)</f>
        <v>2017</v>
      </c>
      <c r="J9464" s="0" t="str">
        <f aca="false">I9464&amp;"-Q"&amp;ROUNDUP(MONTH(B9464)/3,0)</f>
        <v>2017-Q4</v>
      </c>
    </row>
    <row r="9465" customFormat="false" ht="15" hidden="false" customHeight="false" outlineLevel="0" collapsed="false">
      <c r="A9465" s="0" t="s">
        <v>4824</v>
      </c>
      <c r="B9465" s="6" t="n">
        <v>41697</v>
      </c>
      <c r="C9465" s="7" t="s">
        <v>55</v>
      </c>
      <c r="D9465" s="7" t="s">
        <v>116</v>
      </c>
      <c r="E9465" s="7" t="s">
        <v>35</v>
      </c>
      <c r="F9465" s="0" t="n">
        <v>19.456</v>
      </c>
      <c r="G9465" s="0" t="n">
        <v>3.4048</v>
      </c>
      <c r="H9465" s="0" t="n">
        <v>0.2</v>
      </c>
      <c r="I9465" s="7" t="n">
        <f aca="false">YEAR(B9465)</f>
        <v>2014</v>
      </c>
      <c r="J9465" s="0" t="str">
        <f aca="false">I9465&amp;"-Q"&amp;ROUNDUP(MONTH(B9465)/3,0)</f>
        <v>2014-Q1</v>
      </c>
    </row>
    <row r="9466" customFormat="false" ht="15" hidden="false" customHeight="false" outlineLevel="0" collapsed="false">
      <c r="A9466" s="0" t="s">
        <v>4825</v>
      </c>
      <c r="B9466" s="6" t="n">
        <v>41994</v>
      </c>
      <c r="C9466" s="7" t="s">
        <v>55</v>
      </c>
      <c r="D9466" s="7" t="s">
        <v>72</v>
      </c>
      <c r="E9466" s="7" t="s">
        <v>35</v>
      </c>
      <c r="F9466" s="0" t="n">
        <v>17.28</v>
      </c>
      <c r="G9466" s="0" t="n">
        <v>7.9488</v>
      </c>
      <c r="H9466" s="0" t="n">
        <v>0</v>
      </c>
      <c r="I9466" s="7" t="n">
        <f aca="false">YEAR(B9466)</f>
        <v>2014</v>
      </c>
      <c r="J9466" s="0" t="str">
        <f aca="false">I9466&amp;"-Q"&amp;ROUNDUP(MONTH(B9466)/3,0)</f>
        <v>2014-Q4</v>
      </c>
    </row>
    <row r="9467" customFormat="false" ht="15" hidden="false" customHeight="false" outlineLevel="0" collapsed="false">
      <c r="A9467" s="0" t="s">
        <v>4826</v>
      </c>
      <c r="B9467" s="6" t="n">
        <v>42693</v>
      </c>
      <c r="C9467" s="7" t="s">
        <v>33</v>
      </c>
      <c r="D9467" s="7" t="s">
        <v>43</v>
      </c>
      <c r="E9467" s="7" t="s">
        <v>31</v>
      </c>
      <c r="F9467" s="0" t="n">
        <v>31.96</v>
      </c>
      <c r="G9467" s="0" t="n">
        <v>1.598</v>
      </c>
      <c r="H9467" s="0" t="n">
        <v>0</v>
      </c>
      <c r="I9467" s="7" t="n">
        <f aca="false">YEAR(B9467)</f>
        <v>2016</v>
      </c>
      <c r="J9467" s="0" t="str">
        <f aca="false">I9467&amp;"-Q"&amp;ROUNDUP(MONTH(B9467)/3,0)</f>
        <v>2016-Q4</v>
      </c>
    </row>
    <row r="9468" customFormat="false" ht="15" hidden="false" customHeight="false" outlineLevel="0" collapsed="false">
      <c r="A9468" s="0" t="s">
        <v>4827</v>
      </c>
      <c r="B9468" s="6" t="n">
        <v>43044</v>
      </c>
      <c r="C9468" s="7" t="s">
        <v>55</v>
      </c>
      <c r="D9468" s="7" t="s">
        <v>76</v>
      </c>
      <c r="E9468" s="7" t="s">
        <v>35</v>
      </c>
      <c r="F9468" s="0" t="n">
        <v>164.688</v>
      </c>
      <c r="G9468" s="0" t="n">
        <v>55.5822</v>
      </c>
      <c r="H9468" s="0" t="n">
        <v>0.2</v>
      </c>
      <c r="I9468" s="7" t="n">
        <f aca="false">YEAR(B9468)</f>
        <v>2017</v>
      </c>
      <c r="J9468" s="0" t="str">
        <f aca="false">I9468&amp;"-Q"&amp;ROUNDUP(MONTH(B9468)/3,0)</f>
        <v>2017-Q4</v>
      </c>
    </row>
    <row r="9469" customFormat="false" ht="15" hidden="false" customHeight="false" outlineLevel="0" collapsed="false">
      <c r="A9469" s="0" t="s">
        <v>4827</v>
      </c>
      <c r="B9469" s="6" t="n">
        <v>43044</v>
      </c>
      <c r="C9469" s="7" t="s">
        <v>55</v>
      </c>
      <c r="D9469" s="7" t="s">
        <v>76</v>
      </c>
      <c r="E9469" s="7" t="s">
        <v>31</v>
      </c>
      <c r="F9469" s="0" t="n">
        <v>166.5</v>
      </c>
      <c r="G9469" s="0" t="n">
        <v>-66.6</v>
      </c>
      <c r="H9469" s="0" t="n">
        <v>0.4</v>
      </c>
      <c r="I9469" s="7" t="n">
        <f aca="false">YEAR(B9469)</f>
        <v>2017</v>
      </c>
      <c r="J9469" s="0" t="str">
        <f aca="false">I9469&amp;"-Q"&amp;ROUNDUP(MONTH(B9469)/3,0)</f>
        <v>2017-Q4</v>
      </c>
    </row>
    <row r="9470" customFormat="false" ht="15" hidden="false" customHeight="false" outlineLevel="0" collapsed="false">
      <c r="A9470" s="0" t="s">
        <v>4827</v>
      </c>
      <c r="B9470" s="6" t="n">
        <v>43044</v>
      </c>
      <c r="C9470" s="7" t="s">
        <v>55</v>
      </c>
      <c r="D9470" s="7" t="s">
        <v>76</v>
      </c>
      <c r="E9470" s="7" t="s">
        <v>35</v>
      </c>
      <c r="F9470" s="0" t="n">
        <v>12.96</v>
      </c>
      <c r="G9470" s="0" t="n">
        <v>6.2208</v>
      </c>
      <c r="H9470" s="0" t="n">
        <v>0</v>
      </c>
      <c r="I9470" s="7" t="n">
        <f aca="false">YEAR(B9470)</f>
        <v>2017</v>
      </c>
      <c r="J9470" s="0" t="str">
        <f aca="false">I9470&amp;"-Q"&amp;ROUNDUP(MONTH(B9470)/3,0)</f>
        <v>2017-Q4</v>
      </c>
    </row>
    <row r="9471" customFormat="false" ht="15" hidden="false" customHeight="false" outlineLevel="0" collapsed="false">
      <c r="A9471" s="0" t="s">
        <v>4827</v>
      </c>
      <c r="B9471" s="6" t="n">
        <v>43044</v>
      </c>
      <c r="C9471" s="7" t="s">
        <v>55</v>
      </c>
      <c r="D9471" s="7" t="s">
        <v>76</v>
      </c>
      <c r="E9471" s="7" t="s">
        <v>35</v>
      </c>
      <c r="F9471" s="0" t="n">
        <v>110.96</v>
      </c>
      <c r="G9471" s="0" t="n">
        <v>53.2608</v>
      </c>
      <c r="H9471" s="0" t="n">
        <v>0</v>
      </c>
      <c r="I9471" s="7" t="n">
        <f aca="false">YEAR(B9471)</f>
        <v>2017</v>
      </c>
      <c r="J9471" s="0" t="str">
        <f aca="false">I9471&amp;"-Q"&amp;ROUNDUP(MONTH(B9471)/3,0)</f>
        <v>2017-Q4</v>
      </c>
    </row>
    <row r="9472" customFormat="false" ht="15" hidden="false" customHeight="false" outlineLevel="0" collapsed="false">
      <c r="A9472" s="0" t="s">
        <v>4827</v>
      </c>
      <c r="B9472" s="6" t="n">
        <v>43044</v>
      </c>
      <c r="C9472" s="7" t="s">
        <v>55</v>
      </c>
      <c r="D9472" s="7" t="s">
        <v>76</v>
      </c>
      <c r="E9472" s="7" t="s">
        <v>39</v>
      </c>
      <c r="F9472" s="0" t="n">
        <v>99.98</v>
      </c>
      <c r="G9472" s="0" t="n">
        <v>3.9992</v>
      </c>
      <c r="H9472" s="0" t="n">
        <v>0</v>
      </c>
      <c r="I9472" s="7" t="n">
        <f aca="false">YEAR(B9472)</f>
        <v>2017</v>
      </c>
      <c r="J9472" s="0" t="str">
        <f aca="false">I9472&amp;"-Q"&amp;ROUNDUP(MONTH(B9472)/3,0)</f>
        <v>2017-Q4</v>
      </c>
    </row>
    <row r="9473" customFormat="false" ht="15" hidden="false" customHeight="false" outlineLevel="0" collapsed="false">
      <c r="A9473" s="0" t="s">
        <v>4827</v>
      </c>
      <c r="B9473" s="6" t="n">
        <v>43044</v>
      </c>
      <c r="C9473" s="7" t="s">
        <v>55</v>
      </c>
      <c r="D9473" s="7" t="s">
        <v>76</v>
      </c>
      <c r="E9473" s="7" t="s">
        <v>35</v>
      </c>
      <c r="F9473" s="0" t="n">
        <v>11.424</v>
      </c>
      <c r="G9473" s="0" t="n">
        <v>3.7128</v>
      </c>
      <c r="H9473" s="0" t="n">
        <v>0.2</v>
      </c>
      <c r="I9473" s="7" t="n">
        <f aca="false">YEAR(B9473)</f>
        <v>2017</v>
      </c>
      <c r="J9473" s="0" t="str">
        <f aca="false">I9473&amp;"-Q"&amp;ROUNDUP(MONTH(B9473)/3,0)</f>
        <v>2017-Q4</v>
      </c>
    </row>
    <row r="9474" customFormat="false" ht="15" hidden="false" customHeight="false" outlineLevel="0" collapsed="false">
      <c r="A9474" s="0" t="s">
        <v>4827</v>
      </c>
      <c r="B9474" s="6" t="n">
        <v>43044</v>
      </c>
      <c r="C9474" s="7" t="s">
        <v>55</v>
      </c>
      <c r="D9474" s="7" t="s">
        <v>76</v>
      </c>
      <c r="E9474" s="7" t="s">
        <v>31</v>
      </c>
      <c r="F9474" s="0" t="n">
        <v>128.124</v>
      </c>
      <c r="G9474" s="0" t="n">
        <v>24.2012</v>
      </c>
      <c r="H9474" s="0" t="n">
        <v>0.1</v>
      </c>
      <c r="I9474" s="7" t="n">
        <f aca="false">YEAR(B9474)</f>
        <v>2017</v>
      </c>
      <c r="J9474" s="0" t="str">
        <f aca="false">I9474&amp;"-Q"&amp;ROUNDUP(MONTH(B9474)/3,0)</f>
        <v>2017-Q4</v>
      </c>
    </row>
    <row r="9475" customFormat="false" ht="15" hidden="false" customHeight="false" outlineLevel="0" collapsed="false">
      <c r="A9475" s="0" t="s">
        <v>4827</v>
      </c>
      <c r="B9475" s="6" t="n">
        <v>43044</v>
      </c>
      <c r="C9475" s="7" t="s">
        <v>55</v>
      </c>
      <c r="D9475" s="7" t="s">
        <v>76</v>
      </c>
      <c r="E9475" s="7" t="s">
        <v>31</v>
      </c>
      <c r="F9475" s="0" t="n">
        <v>101.4</v>
      </c>
      <c r="G9475" s="0" t="n">
        <v>38.532</v>
      </c>
      <c r="H9475" s="0" t="n">
        <v>0</v>
      </c>
      <c r="I9475" s="7" t="n">
        <f aca="false">YEAR(B9475)</f>
        <v>2017</v>
      </c>
      <c r="J9475" s="0" t="str">
        <f aca="false">I9475&amp;"-Q"&amp;ROUNDUP(MONTH(B9475)/3,0)</f>
        <v>2017-Q4</v>
      </c>
    </row>
    <row r="9476" customFormat="false" ht="15" hidden="false" customHeight="false" outlineLevel="0" collapsed="false">
      <c r="A9476" s="0" t="s">
        <v>4828</v>
      </c>
      <c r="B9476" s="6" t="n">
        <v>42155</v>
      </c>
      <c r="C9476" s="7" t="s">
        <v>45</v>
      </c>
      <c r="D9476" s="7" t="s">
        <v>64</v>
      </c>
      <c r="E9476" s="7" t="s">
        <v>35</v>
      </c>
      <c r="F9476" s="0" t="n">
        <v>5.904</v>
      </c>
      <c r="G9476" s="0" t="n">
        <v>1.9926</v>
      </c>
      <c r="H9476" s="0" t="n">
        <v>0.2</v>
      </c>
      <c r="I9476" s="7" t="n">
        <f aca="false">YEAR(B9476)</f>
        <v>2015</v>
      </c>
      <c r="J9476" s="0" t="str">
        <f aca="false">I9476&amp;"-Q"&amp;ROUNDUP(MONTH(B9476)/3,0)</f>
        <v>2015-Q2</v>
      </c>
    </row>
    <row r="9477" customFormat="false" ht="15" hidden="false" customHeight="false" outlineLevel="0" collapsed="false">
      <c r="A9477" s="0" t="s">
        <v>4828</v>
      </c>
      <c r="B9477" s="6" t="n">
        <v>42155</v>
      </c>
      <c r="C9477" s="7" t="s">
        <v>45</v>
      </c>
      <c r="D9477" s="7" t="s">
        <v>64</v>
      </c>
      <c r="E9477" s="7" t="s">
        <v>35</v>
      </c>
      <c r="F9477" s="0" t="n">
        <v>173.488</v>
      </c>
      <c r="G9477" s="0" t="n">
        <v>54.215</v>
      </c>
      <c r="H9477" s="0" t="n">
        <v>0.2</v>
      </c>
      <c r="I9477" s="7" t="n">
        <f aca="false">YEAR(B9477)</f>
        <v>2015</v>
      </c>
      <c r="J9477" s="0" t="str">
        <f aca="false">I9477&amp;"-Q"&amp;ROUNDUP(MONTH(B9477)/3,0)</f>
        <v>2015-Q2</v>
      </c>
    </row>
    <row r="9478" customFormat="false" ht="15" hidden="false" customHeight="false" outlineLevel="0" collapsed="false">
      <c r="A9478" s="0" t="s">
        <v>4828</v>
      </c>
      <c r="B9478" s="6" t="n">
        <v>42155</v>
      </c>
      <c r="C9478" s="7" t="s">
        <v>45</v>
      </c>
      <c r="D9478" s="7" t="s">
        <v>64</v>
      </c>
      <c r="E9478" s="7" t="s">
        <v>31</v>
      </c>
      <c r="F9478" s="0" t="n">
        <v>51.56</v>
      </c>
      <c r="G9478" s="0" t="n">
        <v>-61.872</v>
      </c>
      <c r="H9478" s="0" t="n">
        <v>0.6</v>
      </c>
      <c r="I9478" s="7" t="n">
        <f aca="false">YEAR(B9478)</f>
        <v>2015</v>
      </c>
      <c r="J9478" s="0" t="str">
        <f aca="false">I9478&amp;"-Q"&amp;ROUNDUP(MONTH(B9478)/3,0)</f>
        <v>2015-Q2</v>
      </c>
    </row>
    <row r="9479" customFormat="false" ht="15" hidden="false" customHeight="false" outlineLevel="0" collapsed="false">
      <c r="A9479" s="0" t="s">
        <v>4828</v>
      </c>
      <c r="B9479" s="6" t="n">
        <v>42155</v>
      </c>
      <c r="C9479" s="7" t="s">
        <v>45</v>
      </c>
      <c r="D9479" s="7" t="s">
        <v>64</v>
      </c>
      <c r="E9479" s="7" t="s">
        <v>35</v>
      </c>
      <c r="F9479" s="0" t="n">
        <v>3.564</v>
      </c>
      <c r="G9479" s="0" t="n">
        <v>-6.237</v>
      </c>
      <c r="H9479" s="0" t="n">
        <v>0.8</v>
      </c>
      <c r="I9479" s="7" t="n">
        <f aca="false">YEAR(B9479)</f>
        <v>2015</v>
      </c>
      <c r="J9479" s="0" t="str">
        <f aca="false">I9479&amp;"-Q"&amp;ROUNDUP(MONTH(B9479)/3,0)</f>
        <v>2015-Q2</v>
      </c>
    </row>
    <row r="9480" customFormat="false" ht="15" hidden="false" customHeight="false" outlineLevel="0" collapsed="false">
      <c r="A9480" s="0" t="s">
        <v>4829</v>
      </c>
      <c r="B9480" s="6" t="n">
        <v>41889</v>
      </c>
      <c r="C9480" s="7" t="s">
        <v>45</v>
      </c>
      <c r="D9480" s="7" t="s">
        <v>64</v>
      </c>
      <c r="E9480" s="7" t="s">
        <v>35</v>
      </c>
      <c r="F9480" s="0" t="n">
        <v>13.16</v>
      </c>
      <c r="G9480" s="0" t="n">
        <v>4.1125</v>
      </c>
      <c r="H9480" s="0" t="n">
        <v>0.2</v>
      </c>
      <c r="I9480" s="7" t="n">
        <f aca="false">YEAR(B9480)</f>
        <v>2014</v>
      </c>
      <c r="J9480" s="0" t="str">
        <f aca="false">I9480&amp;"-Q"&amp;ROUNDUP(MONTH(B9480)/3,0)</f>
        <v>2014-Q3</v>
      </c>
    </row>
    <row r="9481" customFormat="false" ht="15" hidden="false" customHeight="false" outlineLevel="0" collapsed="false">
      <c r="A9481" s="0" t="s">
        <v>4829</v>
      </c>
      <c r="B9481" s="6" t="n">
        <v>41889</v>
      </c>
      <c r="C9481" s="7" t="s">
        <v>45</v>
      </c>
      <c r="D9481" s="7" t="s">
        <v>64</v>
      </c>
      <c r="E9481" s="7" t="s">
        <v>35</v>
      </c>
      <c r="F9481" s="0" t="n">
        <v>3.828</v>
      </c>
      <c r="G9481" s="0" t="n">
        <v>-6.5076</v>
      </c>
      <c r="H9481" s="0" t="n">
        <v>0.8</v>
      </c>
      <c r="I9481" s="7" t="n">
        <f aca="false">YEAR(B9481)</f>
        <v>2014</v>
      </c>
      <c r="J9481" s="0" t="str">
        <f aca="false">I9481&amp;"-Q"&amp;ROUNDUP(MONTH(B9481)/3,0)</f>
        <v>2014-Q3</v>
      </c>
    </row>
    <row r="9482" customFormat="false" ht="15" hidden="false" customHeight="false" outlineLevel="0" collapsed="false">
      <c r="A9482" s="0" t="s">
        <v>4829</v>
      </c>
      <c r="B9482" s="6" t="n">
        <v>41889</v>
      </c>
      <c r="C9482" s="7" t="s">
        <v>45</v>
      </c>
      <c r="D9482" s="7" t="s">
        <v>64</v>
      </c>
      <c r="E9482" s="7" t="s">
        <v>35</v>
      </c>
      <c r="F9482" s="0" t="n">
        <v>304.99</v>
      </c>
      <c r="G9482" s="0" t="n">
        <v>-533.7325</v>
      </c>
      <c r="H9482" s="0" t="n">
        <v>0.8</v>
      </c>
      <c r="I9482" s="7" t="n">
        <f aca="false">YEAR(B9482)</f>
        <v>2014</v>
      </c>
      <c r="J9482" s="0" t="str">
        <f aca="false">I9482&amp;"-Q"&amp;ROUNDUP(MONTH(B9482)/3,0)</f>
        <v>2014-Q3</v>
      </c>
    </row>
    <row r="9483" customFormat="false" ht="15" hidden="false" customHeight="false" outlineLevel="0" collapsed="false">
      <c r="A9483" s="0" t="s">
        <v>4830</v>
      </c>
      <c r="B9483" s="6" t="n">
        <v>43045</v>
      </c>
      <c r="C9483" s="7" t="s">
        <v>45</v>
      </c>
      <c r="D9483" s="7" t="s">
        <v>46</v>
      </c>
      <c r="E9483" s="7" t="s">
        <v>35</v>
      </c>
      <c r="F9483" s="0" t="n">
        <v>18.16</v>
      </c>
      <c r="G9483" s="0" t="n">
        <v>1.816</v>
      </c>
      <c r="H9483" s="0" t="n">
        <v>0.2</v>
      </c>
      <c r="I9483" s="7" t="n">
        <f aca="false">YEAR(B9483)</f>
        <v>2017</v>
      </c>
      <c r="J9483" s="0" t="str">
        <f aca="false">I9483&amp;"-Q"&amp;ROUNDUP(MONTH(B9483)/3,0)</f>
        <v>2017-Q4</v>
      </c>
    </row>
    <row r="9484" customFormat="false" ht="15" hidden="false" customHeight="false" outlineLevel="0" collapsed="false">
      <c r="A9484" s="0" t="s">
        <v>4831</v>
      </c>
      <c r="B9484" s="6" t="n">
        <v>42175</v>
      </c>
      <c r="C9484" s="7" t="s">
        <v>55</v>
      </c>
      <c r="D9484" s="7" t="s">
        <v>56</v>
      </c>
      <c r="E9484" s="7" t="s">
        <v>39</v>
      </c>
      <c r="F9484" s="0" t="n">
        <v>319.984</v>
      </c>
      <c r="G9484" s="0" t="n">
        <v>91.9954</v>
      </c>
      <c r="H9484" s="0" t="n">
        <v>0.2</v>
      </c>
      <c r="I9484" s="7" t="n">
        <f aca="false">YEAR(B9484)</f>
        <v>2015</v>
      </c>
      <c r="J9484" s="0" t="str">
        <f aca="false">I9484&amp;"-Q"&amp;ROUNDUP(MONTH(B9484)/3,0)</f>
        <v>2015-Q2</v>
      </c>
    </row>
    <row r="9485" customFormat="false" ht="15" hidden="false" customHeight="false" outlineLevel="0" collapsed="false">
      <c r="A9485" s="0" t="s">
        <v>4832</v>
      </c>
      <c r="B9485" s="6" t="n">
        <v>41842</v>
      </c>
      <c r="C9485" s="7" t="s">
        <v>33</v>
      </c>
      <c r="D9485" s="7" t="s">
        <v>34</v>
      </c>
      <c r="E9485" s="7" t="s">
        <v>35</v>
      </c>
      <c r="F9485" s="0" t="n">
        <v>19.68</v>
      </c>
      <c r="G9485" s="0" t="n">
        <v>6.4944</v>
      </c>
      <c r="H9485" s="0" t="n">
        <v>0</v>
      </c>
      <c r="I9485" s="7" t="n">
        <f aca="false">YEAR(B9485)</f>
        <v>2014</v>
      </c>
      <c r="J9485" s="0" t="str">
        <f aca="false">I9485&amp;"-Q"&amp;ROUNDUP(MONTH(B9485)/3,0)</f>
        <v>2014-Q3</v>
      </c>
    </row>
    <row r="9486" customFormat="false" ht="15" hidden="false" customHeight="false" outlineLevel="0" collapsed="false">
      <c r="A9486" s="0" t="s">
        <v>4833</v>
      </c>
      <c r="B9486" s="6" t="n">
        <v>42706</v>
      </c>
      <c r="C9486" s="7" t="s">
        <v>45</v>
      </c>
      <c r="D9486" s="7" t="s">
        <v>46</v>
      </c>
      <c r="E9486" s="7" t="s">
        <v>31</v>
      </c>
      <c r="F9486" s="0" t="n">
        <v>781.864</v>
      </c>
      <c r="G9486" s="0" t="n">
        <v>-137.976</v>
      </c>
      <c r="H9486" s="0" t="n">
        <v>0.32</v>
      </c>
      <c r="I9486" s="7" t="n">
        <f aca="false">YEAR(B9486)</f>
        <v>2016</v>
      </c>
      <c r="J9486" s="0" t="str">
        <f aca="false">I9486&amp;"-Q"&amp;ROUNDUP(MONTH(B9486)/3,0)</f>
        <v>2016-Q4</v>
      </c>
    </row>
    <row r="9487" customFormat="false" ht="15" hidden="false" customHeight="false" outlineLevel="0" collapsed="false">
      <c r="A9487" s="0" t="s">
        <v>4833</v>
      </c>
      <c r="B9487" s="6" t="n">
        <v>42706</v>
      </c>
      <c r="C9487" s="7" t="s">
        <v>45</v>
      </c>
      <c r="D9487" s="7" t="s">
        <v>46</v>
      </c>
      <c r="E9487" s="7" t="s">
        <v>35</v>
      </c>
      <c r="F9487" s="0" t="n">
        <v>30.816</v>
      </c>
      <c r="G9487" s="0" t="n">
        <v>9.63</v>
      </c>
      <c r="H9487" s="0" t="n">
        <v>0.2</v>
      </c>
      <c r="I9487" s="7" t="n">
        <f aca="false">YEAR(B9487)</f>
        <v>2016</v>
      </c>
      <c r="J9487" s="0" t="str">
        <f aca="false">I9487&amp;"-Q"&amp;ROUNDUP(MONTH(B9487)/3,0)</f>
        <v>2016-Q4</v>
      </c>
    </row>
    <row r="9488" customFormat="false" ht="15" hidden="false" customHeight="false" outlineLevel="0" collapsed="false">
      <c r="A9488" s="0" t="s">
        <v>4834</v>
      </c>
      <c r="B9488" s="6" t="n">
        <v>43020</v>
      </c>
      <c r="C9488" s="7" t="s">
        <v>55</v>
      </c>
      <c r="D9488" s="7" t="s">
        <v>4003</v>
      </c>
      <c r="E9488" s="7" t="s">
        <v>31</v>
      </c>
      <c r="F9488" s="0" t="n">
        <v>673.344</v>
      </c>
      <c r="G9488" s="0" t="n">
        <v>-76.9536</v>
      </c>
      <c r="H9488" s="0" t="n">
        <v>0.3</v>
      </c>
      <c r="I9488" s="7" t="n">
        <f aca="false">YEAR(B9488)</f>
        <v>2017</v>
      </c>
      <c r="J9488" s="0" t="str">
        <f aca="false">I9488&amp;"-Q"&amp;ROUNDUP(MONTH(B9488)/3,0)</f>
        <v>2017-Q4</v>
      </c>
    </row>
    <row r="9489" customFormat="false" ht="15" hidden="false" customHeight="false" outlineLevel="0" collapsed="false">
      <c r="A9489" s="0" t="s">
        <v>4835</v>
      </c>
      <c r="B9489" s="6" t="n">
        <v>43080</v>
      </c>
      <c r="C9489" s="7" t="s">
        <v>55</v>
      </c>
      <c r="D9489" s="7" t="s">
        <v>161</v>
      </c>
      <c r="E9489" s="7" t="s">
        <v>35</v>
      </c>
      <c r="F9489" s="0" t="n">
        <v>6.54</v>
      </c>
      <c r="G9489" s="0" t="n">
        <v>2.1582</v>
      </c>
      <c r="H9489" s="0" t="n">
        <v>0</v>
      </c>
      <c r="I9489" s="7" t="n">
        <f aca="false">YEAR(B9489)</f>
        <v>2017</v>
      </c>
      <c r="J9489" s="0" t="str">
        <f aca="false">I9489&amp;"-Q"&amp;ROUNDUP(MONTH(B9489)/3,0)</f>
        <v>2017-Q4</v>
      </c>
    </row>
    <row r="9490" customFormat="false" ht="15" hidden="false" customHeight="false" outlineLevel="0" collapsed="false">
      <c r="A9490" s="0" t="s">
        <v>4836</v>
      </c>
      <c r="B9490" s="6" t="n">
        <v>42278</v>
      </c>
      <c r="C9490" s="7" t="s">
        <v>33</v>
      </c>
      <c r="D9490" s="7" t="s">
        <v>102</v>
      </c>
      <c r="E9490" s="7" t="s">
        <v>39</v>
      </c>
      <c r="F9490" s="0" t="n">
        <v>572.8</v>
      </c>
      <c r="G9490" s="0" t="n">
        <v>50.12</v>
      </c>
      <c r="H9490" s="0" t="n">
        <v>0.2</v>
      </c>
      <c r="I9490" s="7" t="n">
        <f aca="false">YEAR(B9490)</f>
        <v>2015</v>
      </c>
      <c r="J9490" s="0" t="str">
        <f aca="false">I9490&amp;"-Q"&amp;ROUNDUP(MONTH(B9490)/3,0)</f>
        <v>2015-Q4</v>
      </c>
    </row>
    <row r="9491" customFormat="false" ht="15" hidden="false" customHeight="false" outlineLevel="0" collapsed="false">
      <c r="A9491" s="0" t="s">
        <v>4837</v>
      </c>
      <c r="B9491" s="6" t="n">
        <v>42587</v>
      </c>
      <c r="C9491" s="7" t="s">
        <v>29</v>
      </c>
      <c r="D9491" s="7" t="s">
        <v>91</v>
      </c>
      <c r="E9491" s="7" t="s">
        <v>35</v>
      </c>
      <c r="F9491" s="0" t="n">
        <v>197.05</v>
      </c>
      <c r="G9491" s="0" t="n">
        <v>59.115</v>
      </c>
      <c r="H9491" s="0" t="n">
        <v>0</v>
      </c>
      <c r="I9491" s="7" t="n">
        <f aca="false">YEAR(B9491)</f>
        <v>2016</v>
      </c>
      <c r="J9491" s="0" t="str">
        <f aca="false">I9491&amp;"-Q"&amp;ROUNDUP(MONTH(B9491)/3,0)</f>
        <v>2016-Q3</v>
      </c>
    </row>
    <row r="9492" customFormat="false" ht="15" hidden="false" customHeight="false" outlineLevel="0" collapsed="false">
      <c r="A9492" s="0" t="s">
        <v>4838</v>
      </c>
      <c r="B9492" s="6" t="n">
        <v>42738</v>
      </c>
      <c r="C9492" s="7" t="s">
        <v>33</v>
      </c>
      <c r="D9492" s="7" t="s">
        <v>34</v>
      </c>
      <c r="E9492" s="7" t="s">
        <v>35</v>
      </c>
      <c r="F9492" s="0" t="n">
        <v>2022.272</v>
      </c>
      <c r="G9492" s="0" t="n">
        <v>682.5168</v>
      </c>
      <c r="H9492" s="0" t="n">
        <v>0.2</v>
      </c>
      <c r="I9492" s="7" t="n">
        <f aca="false">YEAR(B9492)</f>
        <v>2017</v>
      </c>
      <c r="J9492" s="0" t="str">
        <f aca="false">I9492&amp;"-Q"&amp;ROUNDUP(MONTH(B9492)/3,0)</f>
        <v>2017-Q1</v>
      </c>
    </row>
    <row r="9493" customFormat="false" ht="15" hidden="false" customHeight="false" outlineLevel="0" collapsed="false">
      <c r="A9493" s="0" t="s">
        <v>4838</v>
      </c>
      <c r="B9493" s="6" t="n">
        <v>42738</v>
      </c>
      <c r="C9493" s="7" t="s">
        <v>33</v>
      </c>
      <c r="D9493" s="7" t="s">
        <v>34</v>
      </c>
      <c r="E9493" s="7" t="s">
        <v>35</v>
      </c>
      <c r="F9493" s="0" t="n">
        <v>9.12</v>
      </c>
      <c r="G9493" s="0" t="n">
        <v>3.1008</v>
      </c>
      <c r="H9493" s="0" t="n">
        <v>0</v>
      </c>
      <c r="I9493" s="7" t="n">
        <f aca="false">YEAR(B9493)</f>
        <v>2017</v>
      </c>
      <c r="J9493" s="0" t="str">
        <f aca="false">I9493&amp;"-Q"&amp;ROUNDUP(MONTH(B9493)/3,0)</f>
        <v>2017-Q1</v>
      </c>
    </row>
    <row r="9494" customFormat="false" ht="15" hidden="false" customHeight="false" outlineLevel="0" collapsed="false">
      <c r="A9494" s="0" t="s">
        <v>4839</v>
      </c>
      <c r="B9494" s="6" t="n">
        <v>43046</v>
      </c>
      <c r="C9494" s="7" t="s">
        <v>45</v>
      </c>
      <c r="D9494" s="7" t="s">
        <v>138</v>
      </c>
      <c r="E9494" s="7" t="s">
        <v>35</v>
      </c>
      <c r="F9494" s="0" t="n">
        <v>38.16</v>
      </c>
      <c r="G9494" s="0" t="n">
        <v>19.08</v>
      </c>
      <c r="H9494" s="0" t="n">
        <v>0</v>
      </c>
      <c r="I9494" s="7" t="n">
        <f aca="false">YEAR(B9494)</f>
        <v>2017</v>
      </c>
      <c r="J9494" s="0" t="str">
        <f aca="false">I9494&amp;"-Q"&amp;ROUNDUP(MONTH(B9494)/3,0)</f>
        <v>2017-Q4</v>
      </c>
    </row>
    <row r="9495" customFormat="false" ht="15" hidden="false" customHeight="false" outlineLevel="0" collapsed="false">
      <c r="A9495" s="0" t="s">
        <v>4840</v>
      </c>
      <c r="B9495" s="6" t="n">
        <v>42372</v>
      </c>
      <c r="C9495" s="7" t="s">
        <v>45</v>
      </c>
      <c r="D9495" s="7" t="s">
        <v>138</v>
      </c>
      <c r="E9495" s="7" t="s">
        <v>31</v>
      </c>
      <c r="F9495" s="0" t="n">
        <v>1592.85</v>
      </c>
      <c r="G9495" s="0" t="n">
        <v>350.427</v>
      </c>
      <c r="H9495" s="0" t="n">
        <v>0</v>
      </c>
      <c r="I9495" s="7" t="n">
        <f aca="false">YEAR(B9495)</f>
        <v>2016</v>
      </c>
      <c r="J9495" s="0" t="str">
        <f aca="false">I9495&amp;"-Q"&amp;ROUNDUP(MONTH(B9495)/3,0)</f>
        <v>2016-Q1</v>
      </c>
    </row>
    <row r="9496" customFormat="false" ht="15" hidden="false" customHeight="false" outlineLevel="0" collapsed="false">
      <c r="A9496" s="0" t="s">
        <v>4840</v>
      </c>
      <c r="B9496" s="6" t="n">
        <v>42372</v>
      </c>
      <c r="C9496" s="7" t="s">
        <v>45</v>
      </c>
      <c r="D9496" s="7" t="s">
        <v>138</v>
      </c>
      <c r="E9496" s="7" t="s">
        <v>35</v>
      </c>
      <c r="F9496" s="0" t="n">
        <v>11.88</v>
      </c>
      <c r="G9496" s="0" t="n">
        <v>5.346</v>
      </c>
      <c r="H9496" s="0" t="n">
        <v>0</v>
      </c>
      <c r="I9496" s="7" t="n">
        <f aca="false">YEAR(B9496)</f>
        <v>2016</v>
      </c>
      <c r="J9496" s="0" t="str">
        <f aca="false">I9496&amp;"-Q"&amp;ROUNDUP(MONTH(B9496)/3,0)</f>
        <v>2016-Q1</v>
      </c>
    </row>
    <row r="9497" customFormat="false" ht="15" hidden="false" customHeight="false" outlineLevel="0" collapsed="false">
      <c r="A9497" s="0" t="s">
        <v>4841</v>
      </c>
      <c r="B9497" s="6" t="n">
        <v>42502</v>
      </c>
      <c r="C9497" s="7" t="s">
        <v>33</v>
      </c>
      <c r="D9497" s="7" t="s">
        <v>34</v>
      </c>
      <c r="E9497" s="7" t="s">
        <v>39</v>
      </c>
      <c r="F9497" s="0" t="n">
        <v>120</v>
      </c>
      <c r="G9497" s="0" t="n">
        <v>46.8</v>
      </c>
      <c r="H9497" s="0" t="n">
        <v>0</v>
      </c>
      <c r="I9497" s="7" t="n">
        <f aca="false">YEAR(B9497)</f>
        <v>2016</v>
      </c>
      <c r="J9497" s="0" t="str">
        <f aca="false">I9497&amp;"-Q"&amp;ROUNDUP(MONTH(B9497)/3,0)</f>
        <v>2016-Q2</v>
      </c>
    </row>
    <row r="9498" customFormat="false" ht="15" hidden="false" customHeight="false" outlineLevel="0" collapsed="false">
      <c r="A9498" s="0" t="s">
        <v>4841</v>
      </c>
      <c r="B9498" s="6" t="n">
        <v>42502</v>
      </c>
      <c r="C9498" s="7" t="s">
        <v>33</v>
      </c>
      <c r="D9498" s="7" t="s">
        <v>34</v>
      </c>
      <c r="E9498" s="7" t="s">
        <v>35</v>
      </c>
      <c r="F9498" s="0" t="n">
        <v>8.67</v>
      </c>
      <c r="G9498" s="0" t="n">
        <v>2.3409</v>
      </c>
      <c r="H9498" s="0" t="n">
        <v>0</v>
      </c>
      <c r="I9498" s="7" t="n">
        <f aca="false">YEAR(B9498)</f>
        <v>2016</v>
      </c>
      <c r="J9498" s="0" t="str">
        <f aca="false">I9498&amp;"-Q"&amp;ROUNDUP(MONTH(B9498)/3,0)</f>
        <v>2016-Q2</v>
      </c>
    </row>
    <row r="9499" customFormat="false" ht="15" hidden="false" customHeight="false" outlineLevel="0" collapsed="false">
      <c r="A9499" s="0" t="s">
        <v>4842</v>
      </c>
      <c r="B9499" s="6" t="n">
        <v>43044</v>
      </c>
      <c r="C9499" s="7" t="s">
        <v>45</v>
      </c>
      <c r="D9499" s="7" t="s">
        <v>74</v>
      </c>
      <c r="E9499" s="7" t="s">
        <v>35</v>
      </c>
      <c r="F9499" s="0" t="n">
        <v>4.41</v>
      </c>
      <c r="G9499" s="0" t="n">
        <v>2.0286</v>
      </c>
      <c r="H9499" s="0" t="n">
        <v>0</v>
      </c>
      <c r="I9499" s="7" t="n">
        <f aca="false">YEAR(B9499)</f>
        <v>2017</v>
      </c>
      <c r="J9499" s="0" t="str">
        <f aca="false">I9499&amp;"-Q"&amp;ROUNDUP(MONTH(B9499)/3,0)</f>
        <v>2017-Q4</v>
      </c>
    </row>
    <row r="9500" customFormat="false" ht="15" hidden="false" customHeight="false" outlineLevel="0" collapsed="false">
      <c r="A9500" s="0" t="s">
        <v>4842</v>
      </c>
      <c r="B9500" s="6" t="n">
        <v>43044</v>
      </c>
      <c r="C9500" s="7" t="s">
        <v>45</v>
      </c>
      <c r="D9500" s="7" t="s">
        <v>74</v>
      </c>
      <c r="E9500" s="7" t="s">
        <v>35</v>
      </c>
      <c r="F9500" s="0" t="n">
        <v>167.94</v>
      </c>
      <c r="G9500" s="0" t="n">
        <v>82.2906</v>
      </c>
      <c r="H9500" s="0" t="n">
        <v>0</v>
      </c>
      <c r="I9500" s="7" t="n">
        <f aca="false">YEAR(B9500)</f>
        <v>2017</v>
      </c>
      <c r="J9500" s="0" t="str">
        <f aca="false">I9500&amp;"-Q"&amp;ROUNDUP(MONTH(B9500)/3,0)</f>
        <v>2017-Q4</v>
      </c>
    </row>
    <row r="9501" customFormat="false" ht="15" hidden="false" customHeight="false" outlineLevel="0" collapsed="false">
      <c r="A9501" s="0" t="s">
        <v>4842</v>
      </c>
      <c r="B9501" s="6" t="n">
        <v>43044</v>
      </c>
      <c r="C9501" s="7" t="s">
        <v>45</v>
      </c>
      <c r="D9501" s="7" t="s">
        <v>74</v>
      </c>
      <c r="E9501" s="7" t="s">
        <v>35</v>
      </c>
      <c r="F9501" s="0" t="n">
        <v>67.8</v>
      </c>
      <c r="G9501" s="0" t="n">
        <v>31.188</v>
      </c>
      <c r="H9501" s="0" t="n">
        <v>0</v>
      </c>
      <c r="I9501" s="7" t="n">
        <f aca="false">YEAR(B9501)</f>
        <v>2017</v>
      </c>
      <c r="J9501" s="0" t="str">
        <f aca="false">I9501&amp;"-Q"&amp;ROUNDUP(MONTH(B9501)/3,0)</f>
        <v>2017-Q4</v>
      </c>
    </row>
    <row r="9502" customFormat="false" ht="15" hidden="false" customHeight="false" outlineLevel="0" collapsed="false">
      <c r="A9502" s="0" t="s">
        <v>4843</v>
      </c>
      <c r="B9502" s="6" t="n">
        <v>42516</v>
      </c>
      <c r="C9502" s="7" t="s">
        <v>45</v>
      </c>
      <c r="D9502" s="7" t="s">
        <v>48</v>
      </c>
      <c r="E9502" s="7" t="s">
        <v>31</v>
      </c>
      <c r="F9502" s="0" t="n">
        <v>26.94</v>
      </c>
      <c r="G9502" s="0" t="n">
        <v>11.3148</v>
      </c>
      <c r="H9502" s="0" t="n">
        <v>0</v>
      </c>
      <c r="I9502" s="7" t="n">
        <f aca="false">YEAR(B9502)</f>
        <v>2016</v>
      </c>
      <c r="J9502" s="0" t="str">
        <f aca="false">I9502&amp;"-Q"&amp;ROUNDUP(MONTH(B9502)/3,0)</f>
        <v>2016-Q2</v>
      </c>
    </row>
    <row r="9503" customFormat="false" ht="15" hidden="false" customHeight="false" outlineLevel="0" collapsed="false">
      <c r="A9503" s="0" t="s">
        <v>4844</v>
      </c>
      <c r="B9503" s="6" t="n">
        <v>42328</v>
      </c>
      <c r="C9503" s="7" t="s">
        <v>33</v>
      </c>
      <c r="D9503" s="7" t="s">
        <v>34</v>
      </c>
      <c r="E9503" s="7" t="s">
        <v>31</v>
      </c>
      <c r="F9503" s="0" t="n">
        <v>32.04</v>
      </c>
      <c r="G9503" s="0" t="n">
        <v>8.01</v>
      </c>
      <c r="H9503" s="0" t="n">
        <v>0</v>
      </c>
      <c r="I9503" s="7" t="n">
        <f aca="false">YEAR(B9503)</f>
        <v>2015</v>
      </c>
      <c r="J9503" s="0" t="str">
        <f aca="false">I9503&amp;"-Q"&amp;ROUNDUP(MONTH(B9503)/3,0)</f>
        <v>2015-Q4</v>
      </c>
    </row>
    <row r="9504" customFormat="false" ht="15" hidden="false" customHeight="false" outlineLevel="0" collapsed="false">
      <c r="A9504" s="0" t="s">
        <v>4845</v>
      </c>
      <c r="B9504" s="6" t="n">
        <v>42482</v>
      </c>
      <c r="C9504" s="7" t="s">
        <v>55</v>
      </c>
      <c r="D9504" s="7" t="s">
        <v>76</v>
      </c>
      <c r="E9504" s="7" t="s">
        <v>35</v>
      </c>
      <c r="F9504" s="0" t="n">
        <v>32.13</v>
      </c>
      <c r="G9504" s="0" t="n">
        <v>8.3538</v>
      </c>
      <c r="H9504" s="0" t="n">
        <v>0</v>
      </c>
      <c r="I9504" s="7" t="n">
        <f aca="false">YEAR(B9504)</f>
        <v>2016</v>
      </c>
      <c r="J9504" s="0" t="str">
        <f aca="false">I9504&amp;"-Q"&amp;ROUNDUP(MONTH(B9504)/3,0)</f>
        <v>2016-Q2</v>
      </c>
    </row>
    <row r="9505" customFormat="false" ht="15" hidden="false" customHeight="false" outlineLevel="0" collapsed="false">
      <c r="A9505" s="0" t="s">
        <v>4845</v>
      </c>
      <c r="B9505" s="6" t="n">
        <v>42482</v>
      </c>
      <c r="C9505" s="7" t="s">
        <v>55</v>
      </c>
      <c r="D9505" s="7" t="s">
        <v>76</v>
      </c>
      <c r="E9505" s="7" t="s">
        <v>35</v>
      </c>
      <c r="F9505" s="0" t="n">
        <v>2.88</v>
      </c>
      <c r="G9505" s="0" t="n">
        <v>0.8064</v>
      </c>
      <c r="H9505" s="0" t="n">
        <v>0</v>
      </c>
      <c r="I9505" s="7" t="n">
        <f aca="false">YEAR(B9505)</f>
        <v>2016</v>
      </c>
      <c r="J9505" s="0" t="str">
        <f aca="false">I9505&amp;"-Q"&amp;ROUNDUP(MONTH(B9505)/3,0)</f>
        <v>2016-Q2</v>
      </c>
    </row>
    <row r="9506" customFormat="false" ht="15" hidden="false" customHeight="false" outlineLevel="0" collapsed="false">
      <c r="A9506" s="0" t="s">
        <v>4846</v>
      </c>
      <c r="B9506" s="6" t="n">
        <v>42657</v>
      </c>
      <c r="C9506" s="7" t="s">
        <v>55</v>
      </c>
      <c r="D9506" s="7" t="s">
        <v>76</v>
      </c>
      <c r="E9506" s="7" t="s">
        <v>39</v>
      </c>
      <c r="F9506" s="0" t="n">
        <v>1091.93</v>
      </c>
      <c r="G9506" s="0" t="n">
        <v>272.9825</v>
      </c>
      <c r="H9506" s="0" t="n">
        <v>0</v>
      </c>
      <c r="I9506" s="7" t="n">
        <f aca="false">YEAR(B9506)</f>
        <v>2016</v>
      </c>
      <c r="J9506" s="0" t="str">
        <f aca="false">I9506&amp;"-Q"&amp;ROUNDUP(MONTH(B9506)/3,0)</f>
        <v>2016-Q4</v>
      </c>
    </row>
    <row r="9507" customFormat="false" ht="15" hidden="false" customHeight="false" outlineLevel="0" collapsed="false">
      <c r="A9507" s="0" t="s">
        <v>4846</v>
      </c>
      <c r="B9507" s="6" t="n">
        <v>42657</v>
      </c>
      <c r="C9507" s="7" t="s">
        <v>55</v>
      </c>
      <c r="D9507" s="7" t="s">
        <v>76</v>
      </c>
      <c r="E9507" s="7" t="s">
        <v>35</v>
      </c>
      <c r="F9507" s="0" t="n">
        <v>111.96</v>
      </c>
      <c r="G9507" s="0" t="n">
        <v>54.8604</v>
      </c>
      <c r="H9507" s="0" t="n">
        <v>0</v>
      </c>
      <c r="I9507" s="7" t="n">
        <f aca="false">YEAR(B9507)</f>
        <v>2016</v>
      </c>
      <c r="J9507" s="0" t="str">
        <f aca="false">I9507&amp;"-Q"&amp;ROUNDUP(MONTH(B9507)/3,0)</f>
        <v>2016-Q4</v>
      </c>
    </row>
    <row r="9508" customFormat="false" ht="15" hidden="false" customHeight="false" outlineLevel="0" collapsed="false">
      <c r="A9508" s="0" t="s">
        <v>4847</v>
      </c>
      <c r="B9508" s="6" t="n">
        <v>41734</v>
      </c>
      <c r="C9508" s="7" t="s">
        <v>45</v>
      </c>
      <c r="D9508" s="7" t="s">
        <v>70</v>
      </c>
      <c r="E9508" s="7" t="s">
        <v>35</v>
      </c>
      <c r="F9508" s="0" t="n">
        <v>26.7</v>
      </c>
      <c r="G9508" s="0" t="n">
        <v>7.476</v>
      </c>
      <c r="H9508" s="0" t="n">
        <v>0</v>
      </c>
      <c r="I9508" s="7" t="n">
        <f aca="false">YEAR(B9508)</f>
        <v>2014</v>
      </c>
      <c r="J9508" s="0" t="str">
        <f aca="false">I9508&amp;"-Q"&amp;ROUNDUP(MONTH(B9508)/3,0)</f>
        <v>2014-Q2</v>
      </c>
    </row>
    <row r="9509" customFormat="false" ht="15" hidden="false" customHeight="false" outlineLevel="0" collapsed="false">
      <c r="A9509" s="0" t="s">
        <v>4847</v>
      </c>
      <c r="B9509" s="6" t="n">
        <v>41734</v>
      </c>
      <c r="C9509" s="7" t="s">
        <v>45</v>
      </c>
      <c r="D9509" s="7" t="s">
        <v>70</v>
      </c>
      <c r="E9509" s="7" t="s">
        <v>35</v>
      </c>
      <c r="F9509" s="0" t="n">
        <v>40.2</v>
      </c>
      <c r="G9509" s="0" t="n">
        <v>18.09</v>
      </c>
      <c r="H9509" s="0" t="n">
        <v>0</v>
      </c>
      <c r="I9509" s="7" t="n">
        <f aca="false">YEAR(B9509)</f>
        <v>2014</v>
      </c>
      <c r="J9509" s="0" t="str">
        <f aca="false">I9509&amp;"-Q"&amp;ROUNDUP(MONTH(B9509)/3,0)</f>
        <v>2014-Q2</v>
      </c>
    </row>
    <row r="9510" customFormat="false" ht="15" hidden="false" customHeight="false" outlineLevel="0" collapsed="false">
      <c r="A9510" s="0" t="s">
        <v>4847</v>
      </c>
      <c r="B9510" s="6" t="n">
        <v>41734</v>
      </c>
      <c r="C9510" s="7" t="s">
        <v>45</v>
      </c>
      <c r="D9510" s="7" t="s">
        <v>70</v>
      </c>
      <c r="E9510" s="7" t="s">
        <v>35</v>
      </c>
      <c r="F9510" s="0" t="n">
        <v>13.89</v>
      </c>
      <c r="G9510" s="0" t="n">
        <v>4.5837</v>
      </c>
      <c r="H9510" s="0" t="n">
        <v>0</v>
      </c>
      <c r="I9510" s="7" t="n">
        <f aca="false">YEAR(B9510)</f>
        <v>2014</v>
      </c>
      <c r="J9510" s="0" t="str">
        <f aca="false">I9510&amp;"-Q"&amp;ROUNDUP(MONTH(B9510)/3,0)</f>
        <v>2014-Q2</v>
      </c>
    </row>
    <row r="9511" customFormat="false" ht="15" hidden="false" customHeight="false" outlineLevel="0" collapsed="false">
      <c r="A9511" s="0" t="s">
        <v>4847</v>
      </c>
      <c r="B9511" s="6" t="n">
        <v>41734</v>
      </c>
      <c r="C9511" s="7" t="s">
        <v>45</v>
      </c>
      <c r="D9511" s="7" t="s">
        <v>70</v>
      </c>
      <c r="E9511" s="7" t="s">
        <v>35</v>
      </c>
      <c r="F9511" s="0" t="n">
        <v>689.82</v>
      </c>
      <c r="G9511" s="0" t="n">
        <v>20.6946</v>
      </c>
      <c r="H9511" s="0" t="n">
        <v>0</v>
      </c>
      <c r="I9511" s="7" t="n">
        <f aca="false">YEAR(B9511)</f>
        <v>2014</v>
      </c>
      <c r="J9511" s="0" t="str">
        <f aca="false">I9511&amp;"-Q"&amp;ROUNDUP(MONTH(B9511)/3,0)</f>
        <v>2014-Q2</v>
      </c>
    </row>
    <row r="9512" customFormat="false" ht="15" hidden="false" customHeight="false" outlineLevel="0" collapsed="false">
      <c r="A9512" s="0" t="s">
        <v>4848</v>
      </c>
      <c r="B9512" s="6" t="n">
        <v>42588</v>
      </c>
      <c r="C9512" s="7" t="s">
        <v>55</v>
      </c>
      <c r="D9512" s="7" t="s">
        <v>76</v>
      </c>
      <c r="E9512" s="7" t="s">
        <v>35</v>
      </c>
      <c r="F9512" s="0" t="n">
        <v>38.34</v>
      </c>
      <c r="G9512" s="0" t="n">
        <v>15.7194</v>
      </c>
      <c r="H9512" s="0" t="n">
        <v>0</v>
      </c>
      <c r="I9512" s="7" t="n">
        <f aca="false">YEAR(B9512)</f>
        <v>2016</v>
      </c>
      <c r="J9512" s="0" t="str">
        <f aca="false">I9512&amp;"-Q"&amp;ROUNDUP(MONTH(B9512)/3,0)</f>
        <v>2016-Q3</v>
      </c>
    </row>
    <row r="9513" customFormat="false" ht="15" hidden="false" customHeight="false" outlineLevel="0" collapsed="false">
      <c r="A9513" s="0" t="s">
        <v>4849</v>
      </c>
      <c r="B9513" s="6" t="n">
        <v>41987</v>
      </c>
      <c r="C9513" s="7" t="s">
        <v>45</v>
      </c>
      <c r="D9513" s="7" t="s">
        <v>64</v>
      </c>
      <c r="E9513" s="7" t="s">
        <v>35</v>
      </c>
      <c r="F9513" s="0" t="n">
        <v>9.264</v>
      </c>
      <c r="G9513" s="0" t="n">
        <v>-13.896</v>
      </c>
      <c r="H9513" s="0" t="n">
        <v>0.8</v>
      </c>
      <c r="I9513" s="7" t="n">
        <f aca="false">YEAR(B9513)</f>
        <v>2014</v>
      </c>
      <c r="J9513" s="0" t="str">
        <f aca="false">I9513&amp;"-Q"&amp;ROUNDUP(MONTH(B9513)/3,0)</f>
        <v>2014-Q4</v>
      </c>
    </row>
    <row r="9514" customFormat="false" ht="15" hidden="false" customHeight="false" outlineLevel="0" collapsed="false">
      <c r="A9514" s="0" t="s">
        <v>4850</v>
      </c>
      <c r="B9514" s="6" t="n">
        <v>42885</v>
      </c>
      <c r="C9514" s="7" t="s">
        <v>45</v>
      </c>
      <c r="D9514" s="7" t="s">
        <v>46</v>
      </c>
      <c r="E9514" s="7" t="s">
        <v>31</v>
      </c>
      <c r="F9514" s="0" t="n">
        <v>204.6664</v>
      </c>
      <c r="G9514" s="0" t="n">
        <v>-6.0196</v>
      </c>
      <c r="H9514" s="0" t="n">
        <v>0.32</v>
      </c>
      <c r="I9514" s="7" t="n">
        <f aca="false">YEAR(B9514)</f>
        <v>2017</v>
      </c>
      <c r="J9514" s="0" t="str">
        <f aca="false">I9514&amp;"-Q"&amp;ROUNDUP(MONTH(B9514)/3,0)</f>
        <v>2017-Q2</v>
      </c>
    </row>
    <row r="9515" customFormat="false" ht="15" hidden="false" customHeight="false" outlineLevel="0" collapsed="false">
      <c r="A9515" s="0" t="s">
        <v>4851</v>
      </c>
      <c r="B9515" s="6" t="n">
        <v>42657</v>
      </c>
      <c r="C9515" s="7" t="s">
        <v>45</v>
      </c>
      <c r="D9515" s="7" t="s">
        <v>48</v>
      </c>
      <c r="E9515" s="7" t="s">
        <v>39</v>
      </c>
      <c r="F9515" s="0" t="n">
        <v>1649.75</v>
      </c>
      <c r="G9515" s="0" t="n">
        <v>544.4175</v>
      </c>
      <c r="H9515" s="0" t="n">
        <v>0</v>
      </c>
      <c r="I9515" s="7" t="n">
        <f aca="false">YEAR(B9515)</f>
        <v>2016</v>
      </c>
      <c r="J9515" s="0" t="str">
        <f aca="false">I9515&amp;"-Q"&amp;ROUNDUP(MONTH(B9515)/3,0)</f>
        <v>2016-Q4</v>
      </c>
    </row>
    <row r="9516" customFormat="false" ht="15" hidden="false" customHeight="false" outlineLevel="0" collapsed="false">
      <c r="A9516" s="0" t="s">
        <v>4852</v>
      </c>
      <c r="B9516" s="6" t="n">
        <v>41712</v>
      </c>
      <c r="C9516" s="7" t="s">
        <v>29</v>
      </c>
      <c r="D9516" s="7" t="s">
        <v>37</v>
      </c>
      <c r="E9516" s="7" t="s">
        <v>35</v>
      </c>
      <c r="F9516" s="0" t="n">
        <v>91.056</v>
      </c>
      <c r="G9516" s="0" t="n">
        <v>31.8696</v>
      </c>
      <c r="H9516" s="0" t="n">
        <v>0.2</v>
      </c>
      <c r="I9516" s="7" t="n">
        <f aca="false">YEAR(B9516)</f>
        <v>2014</v>
      </c>
      <c r="J9516" s="0" t="str">
        <f aca="false">I9516&amp;"-Q"&amp;ROUNDUP(MONTH(B9516)/3,0)</f>
        <v>2014-Q1</v>
      </c>
    </row>
    <row r="9517" customFormat="false" ht="15" hidden="false" customHeight="false" outlineLevel="0" collapsed="false">
      <c r="A9517" s="0" t="s">
        <v>4853</v>
      </c>
      <c r="B9517" s="6" t="n">
        <v>41687</v>
      </c>
      <c r="C9517" s="7" t="s">
        <v>45</v>
      </c>
      <c r="D9517" s="7" t="s">
        <v>64</v>
      </c>
      <c r="E9517" s="7" t="s">
        <v>35</v>
      </c>
      <c r="F9517" s="0" t="n">
        <v>54.208</v>
      </c>
      <c r="G9517" s="0" t="n">
        <v>8.8088</v>
      </c>
      <c r="H9517" s="0" t="n">
        <v>0.2</v>
      </c>
      <c r="I9517" s="7" t="n">
        <f aca="false">YEAR(B9517)</f>
        <v>2014</v>
      </c>
      <c r="J9517" s="0" t="str">
        <f aca="false">I9517&amp;"-Q"&amp;ROUNDUP(MONTH(B9517)/3,0)</f>
        <v>2014-Q1</v>
      </c>
    </row>
    <row r="9518" customFormat="false" ht="15" hidden="false" customHeight="false" outlineLevel="0" collapsed="false">
      <c r="A9518" s="0" t="s">
        <v>4854</v>
      </c>
      <c r="B9518" s="6" t="n">
        <v>42240</v>
      </c>
      <c r="C9518" s="7" t="s">
        <v>55</v>
      </c>
      <c r="D9518" s="7" t="s">
        <v>116</v>
      </c>
      <c r="E9518" s="7" t="s">
        <v>39</v>
      </c>
      <c r="F9518" s="0" t="n">
        <v>26.982</v>
      </c>
      <c r="G9518" s="0" t="n">
        <v>4.0473</v>
      </c>
      <c r="H9518" s="0" t="n">
        <v>0.4</v>
      </c>
      <c r="I9518" s="7" t="n">
        <f aca="false">YEAR(B9518)</f>
        <v>2015</v>
      </c>
      <c r="J9518" s="0" t="str">
        <f aca="false">I9518&amp;"-Q"&amp;ROUNDUP(MONTH(B9518)/3,0)</f>
        <v>2015-Q3</v>
      </c>
    </row>
    <row r="9519" customFormat="false" ht="15" hidden="false" customHeight="false" outlineLevel="0" collapsed="false">
      <c r="A9519" s="0" t="s">
        <v>4854</v>
      </c>
      <c r="B9519" s="6" t="n">
        <v>42240</v>
      </c>
      <c r="C9519" s="7" t="s">
        <v>55</v>
      </c>
      <c r="D9519" s="7" t="s">
        <v>116</v>
      </c>
      <c r="E9519" s="7" t="s">
        <v>35</v>
      </c>
      <c r="F9519" s="0" t="n">
        <v>6.912</v>
      </c>
      <c r="G9519" s="0" t="n">
        <v>2.5056</v>
      </c>
      <c r="H9519" s="0" t="n">
        <v>0.2</v>
      </c>
      <c r="I9519" s="7" t="n">
        <f aca="false">YEAR(B9519)</f>
        <v>2015</v>
      </c>
      <c r="J9519" s="0" t="str">
        <f aca="false">I9519&amp;"-Q"&amp;ROUNDUP(MONTH(B9519)/3,0)</f>
        <v>2015-Q3</v>
      </c>
    </row>
    <row r="9520" customFormat="false" ht="15" hidden="false" customHeight="false" outlineLevel="0" collapsed="false">
      <c r="A9520" s="0" t="s">
        <v>4854</v>
      </c>
      <c r="B9520" s="6" t="n">
        <v>42240</v>
      </c>
      <c r="C9520" s="7" t="s">
        <v>55</v>
      </c>
      <c r="D9520" s="7" t="s">
        <v>116</v>
      </c>
      <c r="E9520" s="7" t="s">
        <v>35</v>
      </c>
      <c r="F9520" s="0" t="n">
        <v>435.504</v>
      </c>
      <c r="G9520" s="0" t="n">
        <v>48.9942</v>
      </c>
      <c r="H9520" s="0" t="n">
        <v>0.2</v>
      </c>
      <c r="I9520" s="7" t="n">
        <f aca="false">YEAR(B9520)</f>
        <v>2015</v>
      </c>
      <c r="J9520" s="0" t="str">
        <f aca="false">I9520&amp;"-Q"&amp;ROUNDUP(MONTH(B9520)/3,0)</f>
        <v>2015-Q3</v>
      </c>
    </row>
    <row r="9521" customFormat="false" ht="15" hidden="false" customHeight="false" outlineLevel="0" collapsed="false">
      <c r="A9521" s="0" t="s">
        <v>4855</v>
      </c>
      <c r="B9521" s="6" t="n">
        <v>42863</v>
      </c>
      <c r="C9521" s="7" t="s">
        <v>33</v>
      </c>
      <c r="D9521" s="7" t="s">
        <v>34</v>
      </c>
      <c r="E9521" s="7" t="s">
        <v>35</v>
      </c>
      <c r="F9521" s="0" t="n">
        <v>81.08</v>
      </c>
      <c r="G9521" s="0" t="n">
        <v>22.7024</v>
      </c>
      <c r="H9521" s="0" t="n">
        <v>0</v>
      </c>
      <c r="I9521" s="7" t="n">
        <f aca="false">YEAR(B9521)</f>
        <v>2017</v>
      </c>
      <c r="J9521" s="0" t="str">
        <f aca="false">I9521&amp;"-Q"&amp;ROUNDUP(MONTH(B9521)/3,0)</f>
        <v>2017-Q2</v>
      </c>
    </row>
    <row r="9522" customFormat="false" ht="15" hidden="false" customHeight="false" outlineLevel="0" collapsed="false">
      <c r="A9522" s="0" t="s">
        <v>4856</v>
      </c>
      <c r="B9522" s="6" t="n">
        <v>42404</v>
      </c>
      <c r="C9522" s="7" t="s">
        <v>33</v>
      </c>
      <c r="D9522" s="7" t="s">
        <v>34</v>
      </c>
      <c r="E9522" s="7" t="s">
        <v>35</v>
      </c>
      <c r="F9522" s="0" t="n">
        <v>93.02</v>
      </c>
      <c r="G9522" s="0" t="n">
        <v>3.7208</v>
      </c>
      <c r="H9522" s="0" t="n">
        <v>0</v>
      </c>
      <c r="I9522" s="7" t="n">
        <f aca="false">YEAR(B9522)</f>
        <v>2016</v>
      </c>
      <c r="J9522" s="0" t="str">
        <f aca="false">I9522&amp;"-Q"&amp;ROUNDUP(MONTH(B9522)/3,0)</f>
        <v>2016-Q1</v>
      </c>
    </row>
    <row r="9523" customFormat="false" ht="15" hidden="false" customHeight="false" outlineLevel="0" collapsed="false">
      <c r="A9523" s="0" t="s">
        <v>4857</v>
      </c>
      <c r="B9523" s="6" t="n">
        <v>41992</v>
      </c>
      <c r="C9523" s="7" t="s">
        <v>45</v>
      </c>
      <c r="D9523" s="7" t="s">
        <v>64</v>
      </c>
      <c r="E9523" s="7" t="s">
        <v>39</v>
      </c>
      <c r="F9523" s="0" t="n">
        <v>323.976</v>
      </c>
      <c r="G9523" s="0" t="n">
        <v>36.4473</v>
      </c>
      <c r="H9523" s="0" t="n">
        <v>0.2</v>
      </c>
      <c r="I9523" s="7" t="n">
        <f aca="false">YEAR(B9523)</f>
        <v>2014</v>
      </c>
      <c r="J9523" s="0" t="str">
        <f aca="false">I9523&amp;"-Q"&amp;ROUNDUP(MONTH(B9523)/3,0)</f>
        <v>2014-Q4</v>
      </c>
    </row>
    <row r="9524" customFormat="false" ht="15" hidden="false" customHeight="false" outlineLevel="0" collapsed="false">
      <c r="A9524" s="0" t="s">
        <v>4857</v>
      </c>
      <c r="B9524" s="6" t="n">
        <v>41992</v>
      </c>
      <c r="C9524" s="7" t="s">
        <v>45</v>
      </c>
      <c r="D9524" s="7" t="s">
        <v>64</v>
      </c>
      <c r="E9524" s="7" t="s">
        <v>35</v>
      </c>
      <c r="F9524" s="0" t="n">
        <v>15.552</v>
      </c>
      <c r="G9524" s="0" t="n">
        <v>5.4432</v>
      </c>
      <c r="H9524" s="0" t="n">
        <v>0.2</v>
      </c>
      <c r="I9524" s="7" t="n">
        <f aca="false">YEAR(B9524)</f>
        <v>2014</v>
      </c>
      <c r="J9524" s="0" t="str">
        <f aca="false">I9524&amp;"-Q"&amp;ROUNDUP(MONTH(B9524)/3,0)</f>
        <v>2014-Q4</v>
      </c>
    </row>
    <row r="9525" customFormat="false" ht="15" hidden="false" customHeight="false" outlineLevel="0" collapsed="false">
      <c r="A9525" s="0" t="s">
        <v>4857</v>
      </c>
      <c r="B9525" s="6" t="n">
        <v>41992</v>
      </c>
      <c r="C9525" s="7" t="s">
        <v>45</v>
      </c>
      <c r="D9525" s="7" t="s">
        <v>64</v>
      </c>
      <c r="E9525" s="7" t="s">
        <v>35</v>
      </c>
      <c r="F9525" s="0" t="n">
        <v>32.592</v>
      </c>
      <c r="G9525" s="0" t="n">
        <v>-7.7406</v>
      </c>
      <c r="H9525" s="0" t="n">
        <v>0.2</v>
      </c>
      <c r="I9525" s="7" t="n">
        <f aca="false">YEAR(B9525)</f>
        <v>2014</v>
      </c>
      <c r="J9525" s="0" t="str">
        <f aca="false">I9525&amp;"-Q"&amp;ROUNDUP(MONTH(B9525)/3,0)</f>
        <v>2014-Q4</v>
      </c>
    </row>
    <row r="9526" customFormat="false" ht="15" hidden="false" customHeight="false" outlineLevel="0" collapsed="false">
      <c r="A9526" s="0" t="s">
        <v>4858</v>
      </c>
      <c r="B9526" s="6" t="n">
        <v>43074</v>
      </c>
      <c r="C9526" s="7" t="s">
        <v>33</v>
      </c>
      <c r="D9526" s="7" t="s">
        <v>43</v>
      </c>
      <c r="E9526" s="7" t="s">
        <v>35</v>
      </c>
      <c r="F9526" s="0" t="n">
        <v>83.92</v>
      </c>
      <c r="G9526" s="0" t="n">
        <v>29.372</v>
      </c>
      <c r="H9526" s="0" t="n">
        <v>0.2</v>
      </c>
      <c r="I9526" s="7" t="n">
        <f aca="false">YEAR(B9526)</f>
        <v>2017</v>
      </c>
      <c r="J9526" s="0" t="str">
        <f aca="false">I9526&amp;"-Q"&amp;ROUNDUP(MONTH(B9526)/3,0)</f>
        <v>2017-Q4</v>
      </c>
    </row>
    <row r="9527" customFormat="false" ht="15" hidden="false" customHeight="false" outlineLevel="0" collapsed="false">
      <c r="A9527" s="0" t="s">
        <v>4858</v>
      </c>
      <c r="B9527" s="6" t="n">
        <v>43074</v>
      </c>
      <c r="C9527" s="7" t="s">
        <v>33</v>
      </c>
      <c r="D9527" s="7" t="s">
        <v>43</v>
      </c>
      <c r="E9527" s="7" t="s">
        <v>31</v>
      </c>
      <c r="F9527" s="0" t="n">
        <v>199.9</v>
      </c>
      <c r="G9527" s="0" t="n">
        <v>39.98</v>
      </c>
      <c r="H9527" s="0" t="n">
        <v>0</v>
      </c>
      <c r="I9527" s="7" t="n">
        <f aca="false">YEAR(B9527)</f>
        <v>2017</v>
      </c>
      <c r="J9527" s="0" t="str">
        <f aca="false">I9527&amp;"-Q"&amp;ROUNDUP(MONTH(B9527)/3,0)</f>
        <v>2017-Q4</v>
      </c>
    </row>
    <row r="9528" customFormat="false" ht="15" hidden="false" customHeight="false" outlineLevel="0" collapsed="false">
      <c r="A9528" s="0" t="s">
        <v>4858</v>
      </c>
      <c r="B9528" s="6" t="n">
        <v>43074</v>
      </c>
      <c r="C9528" s="7" t="s">
        <v>33</v>
      </c>
      <c r="D9528" s="7" t="s">
        <v>43</v>
      </c>
      <c r="E9528" s="7" t="s">
        <v>39</v>
      </c>
      <c r="F9528" s="0" t="n">
        <v>31.176</v>
      </c>
      <c r="G9528" s="0" t="n">
        <v>-7.0146</v>
      </c>
      <c r="H9528" s="0" t="n">
        <v>0.2</v>
      </c>
      <c r="I9528" s="7" t="n">
        <f aca="false">YEAR(B9528)</f>
        <v>2017</v>
      </c>
      <c r="J9528" s="0" t="str">
        <f aca="false">I9528&amp;"-Q"&amp;ROUNDUP(MONTH(B9528)/3,0)</f>
        <v>2017-Q4</v>
      </c>
    </row>
    <row r="9529" customFormat="false" ht="15" hidden="false" customHeight="false" outlineLevel="0" collapsed="false">
      <c r="A9529" s="0" t="s">
        <v>4858</v>
      </c>
      <c r="B9529" s="6" t="n">
        <v>43074</v>
      </c>
      <c r="C9529" s="7" t="s">
        <v>33</v>
      </c>
      <c r="D9529" s="7" t="s">
        <v>43</v>
      </c>
      <c r="E9529" s="7" t="s">
        <v>35</v>
      </c>
      <c r="F9529" s="0" t="n">
        <v>172.752</v>
      </c>
      <c r="G9529" s="0" t="n">
        <v>60.4632</v>
      </c>
      <c r="H9529" s="0" t="n">
        <v>0.2</v>
      </c>
      <c r="I9529" s="7" t="n">
        <f aca="false">YEAR(B9529)</f>
        <v>2017</v>
      </c>
      <c r="J9529" s="0" t="str">
        <f aca="false">I9529&amp;"-Q"&amp;ROUNDUP(MONTH(B9529)/3,0)</f>
        <v>2017-Q4</v>
      </c>
    </row>
    <row r="9530" customFormat="false" ht="15" hidden="false" customHeight="false" outlineLevel="0" collapsed="false">
      <c r="A9530" s="0" t="s">
        <v>4858</v>
      </c>
      <c r="B9530" s="6" t="n">
        <v>43074</v>
      </c>
      <c r="C9530" s="7" t="s">
        <v>33</v>
      </c>
      <c r="D9530" s="7" t="s">
        <v>43</v>
      </c>
      <c r="E9530" s="7" t="s">
        <v>35</v>
      </c>
      <c r="F9530" s="0" t="n">
        <v>9.296</v>
      </c>
      <c r="G9530" s="0" t="n">
        <v>3.0212</v>
      </c>
      <c r="H9530" s="0" t="n">
        <v>0.2</v>
      </c>
      <c r="I9530" s="7" t="n">
        <f aca="false">YEAR(B9530)</f>
        <v>2017</v>
      </c>
      <c r="J9530" s="0" t="str">
        <f aca="false">I9530&amp;"-Q"&amp;ROUNDUP(MONTH(B9530)/3,0)</f>
        <v>2017-Q4</v>
      </c>
    </row>
    <row r="9531" customFormat="false" ht="15" hidden="false" customHeight="false" outlineLevel="0" collapsed="false">
      <c r="A9531" s="0" t="s">
        <v>4859</v>
      </c>
      <c r="B9531" s="6" t="n">
        <v>42818</v>
      </c>
      <c r="C9531" s="7" t="s">
        <v>45</v>
      </c>
      <c r="D9531" s="7" t="s">
        <v>46</v>
      </c>
      <c r="E9531" s="7" t="s">
        <v>35</v>
      </c>
      <c r="F9531" s="0" t="n">
        <v>12.768</v>
      </c>
      <c r="G9531" s="0" t="n">
        <v>0.9576</v>
      </c>
      <c r="H9531" s="0" t="n">
        <v>0.2</v>
      </c>
      <c r="I9531" s="7" t="n">
        <f aca="false">YEAR(B9531)</f>
        <v>2017</v>
      </c>
      <c r="J9531" s="0" t="str">
        <f aca="false">I9531&amp;"-Q"&amp;ROUNDUP(MONTH(B9531)/3,0)</f>
        <v>2017-Q1</v>
      </c>
    </row>
    <row r="9532" customFormat="false" ht="15" hidden="false" customHeight="false" outlineLevel="0" collapsed="false">
      <c r="A9532" s="0" t="s">
        <v>4860</v>
      </c>
      <c r="B9532" s="6" t="n">
        <v>42924</v>
      </c>
      <c r="C9532" s="7" t="s">
        <v>33</v>
      </c>
      <c r="D9532" s="7" t="s">
        <v>43</v>
      </c>
      <c r="E9532" s="7" t="s">
        <v>35</v>
      </c>
      <c r="F9532" s="0" t="n">
        <v>52.76</v>
      </c>
      <c r="G9532" s="0" t="n">
        <v>24.2696</v>
      </c>
      <c r="H9532" s="0" t="n">
        <v>0</v>
      </c>
      <c r="I9532" s="7" t="n">
        <f aca="false">YEAR(B9532)</f>
        <v>2017</v>
      </c>
      <c r="J9532" s="0" t="str">
        <f aca="false">I9532&amp;"-Q"&amp;ROUNDUP(MONTH(B9532)/3,0)</f>
        <v>2017-Q3</v>
      </c>
    </row>
    <row r="9533" customFormat="false" ht="15" hidden="false" customHeight="false" outlineLevel="0" collapsed="false">
      <c r="A9533" s="0" t="s">
        <v>4861</v>
      </c>
      <c r="B9533" s="6" t="n">
        <v>43034</v>
      </c>
      <c r="C9533" s="7" t="s">
        <v>45</v>
      </c>
      <c r="D9533" s="7" t="s">
        <v>46</v>
      </c>
      <c r="E9533" s="7" t="s">
        <v>35</v>
      </c>
      <c r="F9533" s="0" t="n">
        <v>55.616</v>
      </c>
      <c r="G9533" s="0" t="n">
        <v>5.5616</v>
      </c>
      <c r="H9533" s="0" t="n">
        <v>0.2</v>
      </c>
      <c r="I9533" s="7" t="n">
        <f aca="false">YEAR(B9533)</f>
        <v>2017</v>
      </c>
      <c r="J9533" s="0" t="str">
        <f aca="false">I9533&amp;"-Q"&amp;ROUNDUP(MONTH(B9533)/3,0)</f>
        <v>2017-Q4</v>
      </c>
    </row>
    <row r="9534" customFormat="false" ht="15" hidden="false" customHeight="false" outlineLevel="0" collapsed="false">
      <c r="A9534" s="0" t="s">
        <v>4862</v>
      </c>
      <c r="B9534" s="6" t="n">
        <v>42670</v>
      </c>
      <c r="C9534" s="7" t="s">
        <v>55</v>
      </c>
      <c r="D9534" s="7" t="s">
        <v>76</v>
      </c>
      <c r="E9534" s="7" t="s">
        <v>31</v>
      </c>
      <c r="F9534" s="0" t="n">
        <v>427.644</v>
      </c>
      <c r="G9534" s="0" t="n">
        <v>80.7772</v>
      </c>
      <c r="H9534" s="0" t="n">
        <v>0.1</v>
      </c>
      <c r="I9534" s="7" t="n">
        <f aca="false">YEAR(B9534)</f>
        <v>2016</v>
      </c>
      <c r="J9534" s="0" t="str">
        <f aca="false">I9534&amp;"-Q"&amp;ROUNDUP(MONTH(B9534)/3,0)</f>
        <v>2016-Q4</v>
      </c>
    </row>
    <row r="9535" customFormat="false" ht="15" hidden="false" customHeight="false" outlineLevel="0" collapsed="false">
      <c r="A9535" s="0" t="s">
        <v>4862</v>
      </c>
      <c r="B9535" s="6" t="n">
        <v>42670</v>
      </c>
      <c r="C9535" s="7" t="s">
        <v>55</v>
      </c>
      <c r="D9535" s="7" t="s">
        <v>76</v>
      </c>
      <c r="E9535" s="7" t="s">
        <v>35</v>
      </c>
      <c r="F9535" s="0" t="n">
        <v>40.67</v>
      </c>
      <c r="G9535" s="0" t="n">
        <v>12.6077</v>
      </c>
      <c r="H9535" s="0" t="n">
        <v>0</v>
      </c>
      <c r="I9535" s="7" t="n">
        <f aca="false">YEAR(B9535)</f>
        <v>2016</v>
      </c>
      <c r="J9535" s="0" t="str">
        <f aca="false">I9535&amp;"-Q"&amp;ROUNDUP(MONTH(B9535)/3,0)</f>
        <v>2016-Q4</v>
      </c>
    </row>
    <row r="9536" customFormat="false" ht="15" hidden="false" customHeight="false" outlineLevel="0" collapsed="false">
      <c r="A9536" s="0" t="s">
        <v>4862</v>
      </c>
      <c r="B9536" s="6" t="n">
        <v>42670</v>
      </c>
      <c r="C9536" s="7" t="s">
        <v>55</v>
      </c>
      <c r="D9536" s="7" t="s">
        <v>76</v>
      </c>
      <c r="E9536" s="7" t="s">
        <v>35</v>
      </c>
      <c r="F9536" s="0" t="n">
        <v>33.48</v>
      </c>
      <c r="G9536" s="0" t="n">
        <v>1.3392</v>
      </c>
      <c r="H9536" s="0" t="n">
        <v>0</v>
      </c>
      <c r="I9536" s="7" t="n">
        <f aca="false">YEAR(B9536)</f>
        <v>2016</v>
      </c>
      <c r="J9536" s="0" t="str">
        <f aca="false">I9536&amp;"-Q"&amp;ROUNDUP(MONTH(B9536)/3,0)</f>
        <v>2016-Q4</v>
      </c>
    </row>
    <row r="9537" customFormat="false" ht="15" hidden="false" customHeight="false" outlineLevel="0" collapsed="false">
      <c r="A9537" s="0" t="s">
        <v>4862</v>
      </c>
      <c r="B9537" s="6" t="n">
        <v>42670</v>
      </c>
      <c r="C9537" s="7" t="s">
        <v>55</v>
      </c>
      <c r="D9537" s="7" t="s">
        <v>76</v>
      </c>
      <c r="E9537" s="7" t="s">
        <v>35</v>
      </c>
      <c r="F9537" s="0" t="n">
        <v>9.728</v>
      </c>
      <c r="G9537" s="0" t="n">
        <v>3.2832</v>
      </c>
      <c r="H9537" s="0" t="n">
        <v>0.2</v>
      </c>
      <c r="I9537" s="7" t="n">
        <f aca="false">YEAR(B9537)</f>
        <v>2016</v>
      </c>
      <c r="J9537" s="0" t="str">
        <f aca="false">I9537&amp;"-Q"&amp;ROUNDUP(MONTH(B9537)/3,0)</f>
        <v>2016-Q4</v>
      </c>
    </row>
    <row r="9538" customFormat="false" ht="15" hidden="false" customHeight="false" outlineLevel="0" collapsed="false">
      <c r="A9538" s="0" t="s">
        <v>4863</v>
      </c>
      <c r="B9538" s="6" t="n">
        <v>42898</v>
      </c>
      <c r="C9538" s="7" t="s">
        <v>45</v>
      </c>
      <c r="D9538" s="7" t="s">
        <v>64</v>
      </c>
      <c r="E9538" s="7" t="s">
        <v>31</v>
      </c>
      <c r="F9538" s="0" t="n">
        <v>8.856</v>
      </c>
      <c r="G9538" s="0" t="n">
        <v>-6.8634</v>
      </c>
      <c r="H9538" s="0" t="n">
        <v>0.6</v>
      </c>
      <c r="I9538" s="7" t="n">
        <f aca="false">YEAR(B9538)</f>
        <v>2017</v>
      </c>
      <c r="J9538" s="0" t="str">
        <f aca="false">I9538&amp;"-Q"&amp;ROUNDUP(MONTH(B9538)/3,0)</f>
        <v>2017-Q2</v>
      </c>
    </row>
    <row r="9539" customFormat="false" ht="15" hidden="false" customHeight="false" outlineLevel="0" collapsed="false">
      <c r="A9539" s="0" t="s">
        <v>4864</v>
      </c>
      <c r="B9539" s="6" t="n">
        <v>42638</v>
      </c>
      <c r="C9539" s="7" t="s">
        <v>33</v>
      </c>
      <c r="D9539" s="7" t="s">
        <v>34</v>
      </c>
      <c r="E9539" s="7" t="s">
        <v>31</v>
      </c>
      <c r="F9539" s="0" t="n">
        <v>477.666</v>
      </c>
      <c r="G9539" s="0" t="n">
        <v>84.294</v>
      </c>
      <c r="H9539" s="0" t="n">
        <v>0.15</v>
      </c>
      <c r="I9539" s="7" t="n">
        <f aca="false">YEAR(B9539)</f>
        <v>2016</v>
      </c>
      <c r="J9539" s="0" t="str">
        <f aca="false">I9539&amp;"-Q"&amp;ROUNDUP(MONTH(B9539)/3,0)</f>
        <v>2016-Q3</v>
      </c>
    </row>
    <row r="9540" customFormat="false" ht="15" hidden="false" customHeight="false" outlineLevel="0" collapsed="false">
      <c r="A9540" s="0" t="s">
        <v>4865</v>
      </c>
      <c r="B9540" s="6" t="n">
        <v>42985</v>
      </c>
      <c r="C9540" s="7" t="s">
        <v>55</v>
      </c>
      <c r="D9540" s="7" t="s">
        <v>250</v>
      </c>
      <c r="E9540" s="7" t="s">
        <v>35</v>
      </c>
      <c r="F9540" s="0" t="n">
        <v>16.9</v>
      </c>
      <c r="G9540" s="0" t="n">
        <v>7.774</v>
      </c>
      <c r="H9540" s="0" t="n">
        <v>0</v>
      </c>
      <c r="I9540" s="7" t="n">
        <f aca="false">YEAR(B9540)</f>
        <v>2017</v>
      </c>
      <c r="J9540" s="0" t="str">
        <f aca="false">I9540&amp;"-Q"&amp;ROUNDUP(MONTH(B9540)/3,0)</f>
        <v>2017-Q3</v>
      </c>
    </row>
    <row r="9541" customFormat="false" ht="15" hidden="false" customHeight="false" outlineLevel="0" collapsed="false">
      <c r="A9541" s="0" t="s">
        <v>4865</v>
      </c>
      <c r="B9541" s="6" t="n">
        <v>42985</v>
      </c>
      <c r="C9541" s="7" t="s">
        <v>55</v>
      </c>
      <c r="D9541" s="7" t="s">
        <v>250</v>
      </c>
      <c r="E9541" s="7" t="s">
        <v>35</v>
      </c>
      <c r="F9541" s="0" t="n">
        <v>39.96</v>
      </c>
      <c r="G9541" s="0" t="n">
        <v>18.7812</v>
      </c>
      <c r="H9541" s="0" t="n">
        <v>0</v>
      </c>
      <c r="I9541" s="7" t="n">
        <f aca="false">YEAR(B9541)</f>
        <v>2017</v>
      </c>
      <c r="J9541" s="0" t="str">
        <f aca="false">I9541&amp;"-Q"&amp;ROUNDUP(MONTH(B9541)/3,0)</f>
        <v>2017-Q3</v>
      </c>
    </row>
    <row r="9542" customFormat="false" ht="15" hidden="false" customHeight="false" outlineLevel="0" collapsed="false">
      <c r="A9542" s="0" t="s">
        <v>4866</v>
      </c>
      <c r="B9542" s="6" t="n">
        <v>42135</v>
      </c>
      <c r="C9542" s="7" t="s">
        <v>33</v>
      </c>
      <c r="D9542" s="7" t="s">
        <v>81</v>
      </c>
      <c r="E9542" s="7" t="s">
        <v>31</v>
      </c>
      <c r="F9542" s="0" t="n">
        <v>191.968</v>
      </c>
      <c r="G9542" s="0" t="n">
        <v>16.7972</v>
      </c>
      <c r="H9542" s="0" t="n">
        <v>0.2</v>
      </c>
      <c r="I9542" s="7" t="n">
        <f aca="false">YEAR(B9542)</f>
        <v>2015</v>
      </c>
      <c r="J9542" s="0" t="str">
        <f aca="false">I9542&amp;"-Q"&amp;ROUNDUP(MONTH(B9542)/3,0)</f>
        <v>2015-Q2</v>
      </c>
    </row>
    <row r="9543" customFormat="false" ht="15" hidden="false" customHeight="false" outlineLevel="0" collapsed="false">
      <c r="A9543" s="0" t="s">
        <v>4867</v>
      </c>
      <c r="B9543" s="6" t="n">
        <v>42222</v>
      </c>
      <c r="C9543" s="7" t="s">
        <v>45</v>
      </c>
      <c r="D9543" s="7" t="s">
        <v>46</v>
      </c>
      <c r="E9543" s="7" t="s">
        <v>35</v>
      </c>
      <c r="F9543" s="0" t="n">
        <v>35.52</v>
      </c>
      <c r="G9543" s="0" t="n">
        <v>13.32</v>
      </c>
      <c r="H9543" s="0" t="n">
        <v>0.2</v>
      </c>
      <c r="I9543" s="7" t="n">
        <f aca="false">YEAR(B9543)</f>
        <v>2015</v>
      </c>
      <c r="J9543" s="0" t="str">
        <f aca="false">I9543&amp;"-Q"&amp;ROUNDUP(MONTH(B9543)/3,0)</f>
        <v>2015-Q3</v>
      </c>
    </row>
    <row r="9544" customFormat="false" ht="15" hidden="false" customHeight="false" outlineLevel="0" collapsed="false">
      <c r="A9544" s="0" t="s">
        <v>4867</v>
      </c>
      <c r="B9544" s="6" t="n">
        <v>42222</v>
      </c>
      <c r="C9544" s="7" t="s">
        <v>45</v>
      </c>
      <c r="D9544" s="7" t="s">
        <v>46</v>
      </c>
      <c r="E9544" s="7" t="s">
        <v>35</v>
      </c>
      <c r="F9544" s="0" t="n">
        <v>6.23</v>
      </c>
      <c r="G9544" s="0" t="n">
        <v>-9.6565</v>
      </c>
      <c r="H9544" s="0" t="n">
        <v>0.8</v>
      </c>
      <c r="I9544" s="7" t="n">
        <f aca="false">YEAR(B9544)</f>
        <v>2015</v>
      </c>
      <c r="J9544" s="0" t="str">
        <f aca="false">I9544&amp;"-Q"&amp;ROUNDUP(MONTH(B9544)/3,0)</f>
        <v>2015-Q3</v>
      </c>
    </row>
    <row r="9545" customFormat="false" ht="15" hidden="false" customHeight="false" outlineLevel="0" collapsed="false">
      <c r="A9545" s="0" t="s">
        <v>4867</v>
      </c>
      <c r="B9545" s="6" t="n">
        <v>42222</v>
      </c>
      <c r="C9545" s="7" t="s">
        <v>45</v>
      </c>
      <c r="D9545" s="7" t="s">
        <v>46</v>
      </c>
      <c r="E9545" s="7" t="s">
        <v>35</v>
      </c>
      <c r="F9545" s="0" t="n">
        <v>56.704</v>
      </c>
      <c r="G9545" s="0" t="n">
        <v>19.1376</v>
      </c>
      <c r="H9545" s="0" t="n">
        <v>0.2</v>
      </c>
      <c r="I9545" s="7" t="n">
        <f aca="false">YEAR(B9545)</f>
        <v>2015</v>
      </c>
      <c r="J9545" s="0" t="str">
        <f aca="false">I9545&amp;"-Q"&amp;ROUNDUP(MONTH(B9545)/3,0)</f>
        <v>2015-Q3</v>
      </c>
    </row>
    <row r="9546" customFormat="false" ht="15" hidden="false" customHeight="false" outlineLevel="0" collapsed="false">
      <c r="A9546" s="0" t="s">
        <v>4867</v>
      </c>
      <c r="B9546" s="6" t="n">
        <v>42222</v>
      </c>
      <c r="C9546" s="7" t="s">
        <v>45</v>
      </c>
      <c r="D9546" s="7" t="s">
        <v>46</v>
      </c>
      <c r="E9546" s="7" t="s">
        <v>31</v>
      </c>
      <c r="F9546" s="0" t="n">
        <v>369.1992</v>
      </c>
      <c r="G9546" s="0" t="n">
        <v>-114.0174</v>
      </c>
      <c r="H9546" s="0" t="n">
        <v>0.32</v>
      </c>
      <c r="I9546" s="7" t="n">
        <f aca="false">YEAR(B9546)</f>
        <v>2015</v>
      </c>
      <c r="J9546" s="0" t="str">
        <f aca="false">I9546&amp;"-Q"&amp;ROUNDUP(MONTH(B9546)/3,0)</f>
        <v>2015-Q3</v>
      </c>
    </row>
    <row r="9547" customFormat="false" ht="15" hidden="false" customHeight="false" outlineLevel="0" collapsed="false">
      <c r="A9547" s="0" t="s">
        <v>4868</v>
      </c>
      <c r="B9547" s="6" t="n">
        <v>41941</v>
      </c>
      <c r="C9547" s="7" t="s">
        <v>45</v>
      </c>
      <c r="D9547" s="7" t="s">
        <v>74</v>
      </c>
      <c r="E9547" s="7" t="s">
        <v>39</v>
      </c>
      <c r="F9547" s="0" t="n">
        <v>1.98</v>
      </c>
      <c r="G9547" s="0" t="n">
        <v>0.891</v>
      </c>
      <c r="H9547" s="0" t="n">
        <v>0</v>
      </c>
      <c r="I9547" s="7" t="n">
        <f aca="false">YEAR(B9547)</f>
        <v>2014</v>
      </c>
      <c r="J9547" s="0" t="str">
        <f aca="false">I9547&amp;"-Q"&amp;ROUNDUP(MONTH(B9547)/3,0)</f>
        <v>2014-Q4</v>
      </c>
    </row>
    <row r="9548" customFormat="false" ht="15" hidden="false" customHeight="false" outlineLevel="0" collapsed="false">
      <c r="A9548" s="0" t="s">
        <v>4868</v>
      </c>
      <c r="B9548" s="6" t="n">
        <v>41941</v>
      </c>
      <c r="C9548" s="7" t="s">
        <v>45</v>
      </c>
      <c r="D9548" s="7" t="s">
        <v>74</v>
      </c>
      <c r="E9548" s="7" t="s">
        <v>35</v>
      </c>
      <c r="F9548" s="0" t="n">
        <v>75.88</v>
      </c>
      <c r="G9548" s="0" t="n">
        <v>35.6636</v>
      </c>
      <c r="H9548" s="0" t="n">
        <v>0</v>
      </c>
      <c r="I9548" s="7" t="n">
        <f aca="false">YEAR(B9548)</f>
        <v>2014</v>
      </c>
      <c r="J9548" s="0" t="str">
        <f aca="false">I9548&amp;"-Q"&amp;ROUNDUP(MONTH(B9548)/3,0)</f>
        <v>2014-Q4</v>
      </c>
    </row>
    <row r="9549" customFormat="false" ht="15" hidden="false" customHeight="false" outlineLevel="0" collapsed="false">
      <c r="A9549" s="0" t="s">
        <v>4869</v>
      </c>
      <c r="B9549" s="6" t="n">
        <v>42539</v>
      </c>
      <c r="C9549" s="7" t="s">
        <v>55</v>
      </c>
      <c r="D9549" s="7" t="s">
        <v>56</v>
      </c>
      <c r="E9549" s="7" t="s">
        <v>35</v>
      </c>
      <c r="F9549" s="0" t="n">
        <v>6.848</v>
      </c>
      <c r="G9549" s="0" t="n">
        <v>2.14</v>
      </c>
      <c r="H9549" s="0" t="n">
        <v>0.2</v>
      </c>
      <c r="I9549" s="7" t="n">
        <f aca="false">YEAR(B9549)</f>
        <v>2016</v>
      </c>
      <c r="J9549" s="0" t="str">
        <f aca="false">I9549&amp;"-Q"&amp;ROUNDUP(MONTH(B9549)/3,0)</f>
        <v>2016-Q2</v>
      </c>
    </row>
    <row r="9550" customFormat="false" ht="15" hidden="false" customHeight="false" outlineLevel="0" collapsed="false">
      <c r="A9550" s="0" t="s">
        <v>4869</v>
      </c>
      <c r="B9550" s="6" t="n">
        <v>42539</v>
      </c>
      <c r="C9550" s="7" t="s">
        <v>55</v>
      </c>
      <c r="D9550" s="7" t="s">
        <v>56</v>
      </c>
      <c r="E9550" s="7" t="s">
        <v>35</v>
      </c>
      <c r="F9550" s="0" t="n">
        <v>4.626</v>
      </c>
      <c r="G9550" s="0" t="n">
        <v>-3.855</v>
      </c>
      <c r="H9550" s="0" t="n">
        <v>0.7</v>
      </c>
      <c r="I9550" s="7" t="n">
        <f aca="false">YEAR(B9550)</f>
        <v>2016</v>
      </c>
      <c r="J9550" s="0" t="str">
        <f aca="false">I9550&amp;"-Q"&amp;ROUNDUP(MONTH(B9550)/3,0)</f>
        <v>2016-Q2</v>
      </c>
    </row>
    <row r="9551" customFormat="false" ht="15" hidden="false" customHeight="false" outlineLevel="0" collapsed="false">
      <c r="A9551" s="0" t="s">
        <v>4869</v>
      </c>
      <c r="B9551" s="6" t="n">
        <v>42539</v>
      </c>
      <c r="C9551" s="7" t="s">
        <v>55</v>
      </c>
      <c r="D9551" s="7" t="s">
        <v>56</v>
      </c>
      <c r="E9551" s="7" t="s">
        <v>35</v>
      </c>
      <c r="F9551" s="0" t="n">
        <v>453.6</v>
      </c>
      <c r="G9551" s="0" t="n">
        <v>90.72</v>
      </c>
      <c r="H9551" s="0" t="n">
        <v>0.2</v>
      </c>
      <c r="I9551" s="7" t="n">
        <f aca="false">YEAR(B9551)</f>
        <v>2016</v>
      </c>
      <c r="J9551" s="0" t="str">
        <f aca="false">I9551&amp;"-Q"&amp;ROUNDUP(MONTH(B9551)/3,0)</f>
        <v>2016-Q2</v>
      </c>
    </row>
    <row r="9552" customFormat="false" ht="15" hidden="false" customHeight="false" outlineLevel="0" collapsed="false">
      <c r="A9552" s="0" t="s">
        <v>4870</v>
      </c>
      <c r="B9552" s="6" t="n">
        <v>42127</v>
      </c>
      <c r="C9552" s="7" t="s">
        <v>33</v>
      </c>
      <c r="D9552" s="7" t="s">
        <v>34</v>
      </c>
      <c r="E9552" s="7" t="s">
        <v>35</v>
      </c>
      <c r="F9552" s="0" t="n">
        <v>13.848</v>
      </c>
      <c r="G9552" s="0" t="n">
        <v>5.193</v>
      </c>
      <c r="H9552" s="0" t="n">
        <v>0.2</v>
      </c>
      <c r="I9552" s="7" t="n">
        <f aca="false">YEAR(B9552)</f>
        <v>2015</v>
      </c>
      <c r="J9552" s="0" t="str">
        <f aca="false">I9552&amp;"-Q"&amp;ROUNDUP(MONTH(B9552)/3,0)</f>
        <v>2015-Q2</v>
      </c>
    </row>
    <row r="9553" customFormat="false" ht="15" hidden="false" customHeight="false" outlineLevel="0" collapsed="false">
      <c r="A9553" s="0" t="s">
        <v>4871</v>
      </c>
      <c r="B9553" s="6" t="n">
        <v>42318</v>
      </c>
      <c r="C9553" s="7" t="s">
        <v>55</v>
      </c>
      <c r="D9553" s="7" t="s">
        <v>56</v>
      </c>
      <c r="E9553" s="7" t="s">
        <v>35</v>
      </c>
      <c r="F9553" s="0" t="n">
        <v>577.584</v>
      </c>
      <c r="G9553" s="0" t="n">
        <v>43.3188</v>
      </c>
      <c r="H9553" s="0" t="n">
        <v>0.2</v>
      </c>
      <c r="I9553" s="7" t="n">
        <f aca="false">YEAR(B9553)</f>
        <v>2015</v>
      </c>
      <c r="J9553" s="0" t="str">
        <f aca="false">I9553&amp;"-Q"&amp;ROUNDUP(MONTH(B9553)/3,0)</f>
        <v>2015-Q4</v>
      </c>
    </row>
    <row r="9554" customFormat="false" ht="15" hidden="false" customHeight="false" outlineLevel="0" collapsed="false">
      <c r="A9554" s="0" t="s">
        <v>4872</v>
      </c>
      <c r="B9554" s="6" t="n">
        <v>42154</v>
      </c>
      <c r="C9554" s="7" t="s">
        <v>29</v>
      </c>
      <c r="D9554" s="7" t="s">
        <v>83</v>
      </c>
      <c r="E9554" s="7" t="s">
        <v>39</v>
      </c>
      <c r="F9554" s="0" t="n">
        <v>151.96</v>
      </c>
      <c r="G9554" s="0" t="n">
        <v>36.4704</v>
      </c>
      <c r="H9554" s="0" t="n">
        <v>0</v>
      </c>
      <c r="I9554" s="7" t="n">
        <f aca="false">YEAR(B9554)</f>
        <v>2015</v>
      </c>
      <c r="J9554" s="0" t="str">
        <f aca="false">I9554&amp;"-Q"&amp;ROUNDUP(MONTH(B9554)/3,0)</f>
        <v>2015-Q2</v>
      </c>
    </row>
    <row r="9555" customFormat="false" ht="15" hidden="false" customHeight="false" outlineLevel="0" collapsed="false">
      <c r="A9555" s="0" t="s">
        <v>4873</v>
      </c>
      <c r="B9555" s="6" t="n">
        <v>42635</v>
      </c>
      <c r="C9555" s="7" t="s">
        <v>33</v>
      </c>
      <c r="D9555" s="7" t="s">
        <v>109</v>
      </c>
      <c r="E9555" s="7" t="s">
        <v>31</v>
      </c>
      <c r="F9555" s="0" t="n">
        <v>68.432</v>
      </c>
      <c r="G9555" s="0" t="n">
        <v>8.554</v>
      </c>
      <c r="H9555" s="0" t="n">
        <v>0.2</v>
      </c>
      <c r="I9555" s="7" t="n">
        <f aca="false">YEAR(B9555)</f>
        <v>2016</v>
      </c>
      <c r="J9555" s="0" t="str">
        <f aca="false">I9555&amp;"-Q"&amp;ROUNDUP(MONTH(B9555)/3,0)</f>
        <v>2016-Q3</v>
      </c>
    </row>
    <row r="9556" customFormat="false" ht="15" hidden="false" customHeight="false" outlineLevel="0" collapsed="false">
      <c r="A9556" s="0" t="s">
        <v>4874</v>
      </c>
      <c r="B9556" s="6" t="n">
        <v>42336</v>
      </c>
      <c r="C9556" s="7" t="s">
        <v>55</v>
      </c>
      <c r="D9556" s="7" t="s">
        <v>116</v>
      </c>
      <c r="E9556" s="7" t="s">
        <v>31</v>
      </c>
      <c r="F9556" s="0" t="n">
        <v>71.12</v>
      </c>
      <c r="G9556" s="0" t="n">
        <v>9.779</v>
      </c>
      <c r="H9556" s="0" t="n">
        <v>0.2</v>
      </c>
      <c r="I9556" s="7" t="n">
        <f aca="false">YEAR(B9556)</f>
        <v>2015</v>
      </c>
      <c r="J9556" s="0" t="str">
        <f aca="false">I9556&amp;"-Q"&amp;ROUNDUP(MONTH(B9556)/3,0)</f>
        <v>2015-Q4</v>
      </c>
    </row>
    <row r="9557" customFormat="false" ht="15" hidden="false" customHeight="false" outlineLevel="0" collapsed="false">
      <c r="A9557" s="0" t="s">
        <v>4874</v>
      </c>
      <c r="B9557" s="6" t="n">
        <v>42336</v>
      </c>
      <c r="C9557" s="7" t="s">
        <v>55</v>
      </c>
      <c r="D9557" s="7" t="s">
        <v>116</v>
      </c>
      <c r="E9557" s="7" t="s">
        <v>35</v>
      </c>
      <c r="F9557" s="0" t="n">
        <v>3.008</v>
      </c>
      <c r="G9557" s="0" t="n">
        <v>0.564</v>
      </c>
      <c r="H9557" s="0" t="n">
        <v>0.2</v>
      </c>
      <c r="I9557" s="7" t="n">
        <f aca="false">YEAR(B9557)</f>
        <v>2015</v>
      </c>
      <c r="J9557" s="0" t="str">
        <f aca="false">I9557&amp;"-Q"&amp;ROUNDUP(MONTH(B9557)/3,0)</f>
        <v>2015-Q4</v>
      </c>
    </row>
    <row r="9558" customFormat="false" ht="15" hidden="false" customHeight="false" outlineLevel="0" collapsed="false">
      <c r="A9558" s="0" t="s">
        <v>4875</v>
      </c>
      <c r="B9558" s="6" t="n">
        <v>42341</v>
      </c>
      <c r="C9558" s="7" t="s">
        <v>55</v>
      </c>
      <c r="D9558" s="7" t="s">
        <v>482</v>
      </c>
      <c r="E9558" s="7" t="s">
        <v>35</v>
      </c>
      <c r="F9558" s="0" t="n">
        <v>184.66</v>
      </c>
      <c r="G9558" s="0" t="n">
        <v>84.9436</v>
      </c>
      <c r="H9558" s="0" t="n">
        <v>0</v>
      </c>
      <c r="I9558" s="7" t="n">
        <f aca="false">YEAR(B9558)</f>
        <v>2015</v>
      </c>
      <c r="J9558" s="0" t="str">
        <f aca="false">I9558&amp;"-Q"&amp;ROUNDUP(MONTH(B9558)/3,0)</f>
        <v>2015-Q4</v>
      </c>
    </row>
    <row r="9559" customFormat="false" ht="15" hidden="false" customHeight="false" outlineLevel="0" collapsed="false">
      <c r="A9559" s="0" t="s">
        <v>4876</v>
      </c>
      <c r="B9559" s="6" t="n">
        <v>41929</v>
      </c>
      <c r="C9559" s="7" t="s">
        <v>45</v>
      </c>
      <c r="D9559" s="7" t="s">
        <v>46</v>
      </c>
      <c r="E9559" s="7" t="s">
        <v>31</v>
      </c>
      <c r="F9559" s="0" t="n">
        <v>5.312</v>
      </c>
      <c r="G9559" s="0" t="n">
        <v>-1.5936</v>
      </c>
      <c r="H9559" s="0" t="n">
        <v>0.6</v>
      </c>
      <c r="I9559" s="7" t="n">
        <f aca="false">YEAR(B9559)</f>
        <v>2014</v>
      </c>
      <c r="J9559" s="0" t="str">
        <f aca="false">I9559&amp;"-Q"&amp;ROUNDUP(MONTH(B9559)/3,0)</f>
        <v>2014-Q4</v>
      </c>
    </row>
    <row r="9560" customFormat="false" ht="15" hidden="false" customHeight="false" outlineLevel="0" collapsed="false">
      <c r="A9560" s="0" t="s">
        <v>4877</v>
      </c>
      <c r="B9560" s="6" t="n">
        <v>42493</v>
      </c>
      <c r="C9560" s="7" t="s">
        <v>55</v>
      </c>
      <c r="D9560" s="7" t="s">
        <v>116</v>
      </c>
      <c r="E9560" s="7" t="s">
        <v>39</v>
      </c>
      <c r="F9560" s="0" t="n">
        <v>132.52</v>
      </c>
      <c r="G9560" s="0" t="n">
        <v>34.7865</v>
      </c>
      <c r="H9560" s="0" t="n">
        <v>0.2</v>
      </c>
      <c r="I9560" s="7" t="n">
        <f aca="false">YEAR(B9560)</f>
        <v>2016</v>
      </c>
      <c r="J9560" s="0" t="str">
        <f aca="false">I9560&amp;"-Q"&amp;ROUNDUP(MONTH(B9560)/3,0)</f>
        <v>2016-Q2</v>
      </c>
    </row>
    <row r="9561" customFormat="false" ht="15" hidden="false" customHeight="false" outlineLevel="0" collapsed="false">
      <c r="A9561" s="0" t="s">
        <v>4877</v>
      </c>
      <c r="B9561" s="6" t="n">
        <v>42493</v>
      </c>
      <c r="C9561" s="7" t="s">
        <v>55</v>
      </c>
      <c r="D9561" s="7" t="s">
        <v>116</v>
      </c>
      <c r="E9561" s="7" t="s">
        <v>35</v>
      </c>
      <c r="F9561" s="0" t="n">
        <v>195.64</v>
      </c>
      <c r="G9561" s="0" t="n">
        <v>-44.019</v>
      </c>
      <c r="H9561" s="0" t="n">
        <v>0.2</v>
      </c>
      <c r="I9561" s="7" t="n">
        <f aca="false">YEAR(B9561)</f>
        <v>2016</v>
      </c>
      <c r="J9561" s="0" t="str">
        <f aca="false">I9561&amp;"-Q"&amp;ROUNDUP(MONTH(B9561)/3,0)</f>
        <v>2016-Q2</v>
      </c>
    </row>
    <row r="9562" customFormat="false" ht="15" hidden="false" customHeight="false" outlineLevel="0" collapsed="false">
      <c r="A9562" s="0" t="s">
        <v>4877</v>
      </c>
      <c r="B9562" s="6" t="n">
        <v>42493</v>
      </c>
      <c r="C9562" s="7" t="s">
        <v>55</v>
      </c>
      <c r="D9562" s="7" t="s">
        <v>116</v>
      </c>
      <c r="E9562" s="7" t="s">
        <v>31</v>
      </c>
      <c r="F9562" s="0" t="n">
        <v>51.968</v>
      </c>
      <c r="G9562" s="0" t="n">
        <v>10.3936</v>
      </c>
      <c r="H9562" s="0" t="n">
        <v>0.2</v>
      </c>
      <c r="I9562" s="7" t="n">
        <f aca="false">YEAR(B9562)</f>
        <v>2016</v>
      </c>
      <c r="J9562" s="0" t="str">
        <f aca="false">I9562&amp;"-Q"&amp;ROUNDUP(MONTH(B9562)/3,0)</f>
        <v>2016-Q2</v>
      </c>
    </row>
    <row r="9563" customFormat="false" ht="15" hidden="false" customHeight="false" outlineLevel="0" collapsed="false">
      <c r="A9563" s="0" t="s">
        <v>4877</v>
      </c>
      <c r="B9563" s="6" t="n">
        <v>42493</v>
      </c>
      <c r="C9563" s="7" t="s">
        <v>55</v>
      </c>
      <c r="D9563" s="7" t="s">
        <v>116</v>
      </c>
      <c r="E9563" s="7" t="s">
        <v>39</v>
      </c>
      <c r="F9563" s="0" t="n">
        <v>431.976</v>
      </c>
      <c r="G9563" s="0" t="n">
        <v>-75.5958</v>
      </c>
      <c r="H9563" s="0" t="n">
        <v>0.2</v>
      </c>
      <c r="I9563" s="7" t="n">
        <f aca="false">YEAR(B9563)</f>
        <v>2016</v>
      </c>
      <c r="J9563" s="0" t="str">
        <f aca="false">I9563&amp;"-Q"&amp;ROUNDUP(MONTH(B9563)/3,0)</f>
        <v>2016-Q2</v>
      </c>
    </row>
    <row r="9564" customFormat="false" ht="15" hidden="false" customHeight="false" outlineLevel="0" collapsed="false">
      <c r="A9564" s="0" t="s">
        <v>4877</v>
      </c>
      <c r="B9564" s="6" t="n">
        <v>42493</v>
      </c>
      <c r="C9564" s="7" t="s">
        <v>55</v>
      </c>
      <c r="D9564" s="7" t="s">
        <v>116</v>
      </c>
      <c r="E9564" s="7" t="s">
        <v>39</v>
      </c>
      <c r="F9564" s="0" t="n">
        <v>224.937</v>
      </c>
      <c r="G9564" s="0" t="n">
        <v>-164.9538</v>
      </c>
      <c r="H9564" s="0" t="n">
        <v>0.7</v>
      </c>
      <c r="I9564" s="7" t="n">
        <f aca="false">YEAR(B9564)</f>
        <v>2016</v>
      </c>
      <c r="J9564" s="0" t="str">
        <f aca="false">I9564&amp;"-Q"&amp;ROUNDUP(MONTH(B9564)/3,0)</f>
        <v>2016-Q2</v>
      </c>
    </row>
    <row r="9565" customFormat="false" ht="15" hidden="false" customHeight="false" outlineLevel="0" collapsed="false">
      <c r="A9565" s="0" t="s">
        <v>4877</v>
      </c>
      <c r="B9565" s="6" t="n">
        <v>42493</v>
      </c>
      <c r="C9565" s="7" t="s">
        <v>55</v>
      </c>
      <c r="D9565" s="7" t="s">
        <v>116</v>
      </c>
      <c r="E9565" s="7" t="s">
        <v>35</v>
      </c>
      <c r="F9565" s="0" t="n">
        <v>6</v>
      </c>
      <c r="G9565" s="0" t="n">
        <v>2.1</v>
      </c>
      <c r="H9565" s="0" t="n">
        <v>0.2</v>
      </c>
      <c r="I9565" s="7" t="n">
        <f aca="false">YEAR(B9565)</f>
        <v>2016</v>
      </c>
      <c r="J9565" s="0" t="str">
        <f aca="false">I9565&amp;"-Q"&amp;ROUNDUP(MONTH(B9565)/3,0)</f>
        <v>2016-Q2</v>
      </c>
    </row>
    <row r="9566" customFormat="false" ht="15" hidden="false" customHeight="false" outlineLevel="0" collapsed="false">
      <c r="A9566" s="0" t="s">
        <v>4878</v>
      </c>
      <c r="B9566" s="6" t="n">
        <v>42156</v>
      </c>
      <c r="C9566" s="7" t="s">
        <v>33</v>
      </c>
      <c r="D9566" s="7" t="s">
        <v>34</v>
      </c>
      <c r="E9566" s="7" t="s">
        <v>35</v>
      </c>
      <c r="F9566" s="0" t="n">
        <v>11.76</v>
      </c>
      <c r="G9566" s="0" t="n">
        <v>5.7624</v>
      </c>
      <c r="H9566" s="0" t="n">
        <v>0</v>
      </c>
      <c r="I9566" s="7" t="n">
        <f aca="false">YEAR(B9566)</f>
        <v>2015</v>
      </c>
      <c r="J9566" s="0" t="str">
        <f aca="false">I9566&amp;"-Q"&amp;ROUNDUP(MONTH(B9566)/3,0)</f>
        <v>2015-Q2</v>
      </c>
    </row>
    <row r="9567" customFormat="false" ht="15" hidden="false" customHeight="false" outlineLevel="0" collapsed="false">
      <c r="A9567" s="0" t="s">
        <v>4879</v>
      </c>
      <c r="B9567" s="6" t="n">
        <v>41729</v>
      </c>
      <c r="C9567" s="7" t="s">
        <v>29</v>
      </c>
      <c r="D9567" s="7" t="s">
        <v>37</v>
      </c>
      <c r="E9567" s="7" t="s">
        <v>31</v>
      </c>
      <c r="F9567" s="0" t="n">
        <v>1125.488</v>
      </c>
      <c r="G9567" s="0" t="n">
        <v>98.4802</v>
      </c>
      <c r="H9567" s="0" t="n">
        <v>0.2</v>
      </c>
      <c r="I9567" s="7" t="n">
        <f aca="false">YEAR(B9567)</f>
        <v>2014</v>
      </c>
      <c r="J9567" s="0" t="str">
        <f aca="false">I9567&amp;"-Q"&amp;ROUNDUP(MONTH(B9567)/3,0)</f>
        <v>2014-Q1</v>
      </c>
    </row>
    <row r="9568" customFormat="false" ht="15" hidden="false" customHeight="false" outlineLevel="0" collapsed="false">
      <c r="A9568" s="0" t="s">
        <v>4879</v>
      </c>
      <c r="B9568" s="6" t="n">
        <v>41729</v>
      </c>
      <c r="C9568" s="7" t="s">
        <v>29</v>
      </c>
      <c r="D9568" s="7" t="s">
        <v>37</v>
      </c>
      <c r="E9568" s="7" t="s">
        <v>35</v>
      </c>
      <c r="F9568" s="0" t="n">
        <v>12.645</v>
      </c>
      <c r="G9568" s="0" t="n">
        <v>-10.116</v>
      </c>
      <c r="H9568" s="0" t="n">
        <v>0.7</v>
      </c>
      <c r="I9568" s="7" t="n">
        <f aca="false">YEAR(B9568)</f>
        <v>2014</v>
      </c>
      <c r="J9568" s="0" t="str">
        <f aca="false">I9568&amp;"-Q"&amp;ROUNDUP(MONTH(B9568)/3,0)</f>
        <v>2014-Q1</v>
      </c>
    </row>
    <row r="9569" customFormat="false" ht="15" hidden="false" customHeight="false" outlineLevel="0" collapsed="false">
      <c r="A9569" s="0" t="s">
        <v>4879</v>
      </c>
      <c r="B9569" s="6" t="n">
        <v>41729</v>
      </c>
      <c r="C9569" s="7" t="s">
        <v>29</v>
      </c>
      <c r="D9569" s="7" t="s">
        <v>37</v>
      </c>
      <c r="E9569" s="7" t="s">
        <v>35</v>
      </c>
      <c r="F9569" s="0" t="n">
        <v>4.032</v>
      </c>
      <c r="G9569" s="0" t="n">
        <v>1.0584</v>
      </c>
      <c r="H9569" s="0" t="n">
        <v>0.2</v>
      </c>
      <c r="I9569" s="7" t="n">
        <f aca="false">YEAR(B9569)</f>
        <v>2014</v>
      </c>
      <c r="J9569" s="0" t="str">
        <f aca="false">I9569&amp;"-Q"&amp;ROUNDUP(MONTH(B9569)/3,0)</f>
        <v>2014-Q1</v>
      </c>
    </row>
    <row r="9570" customFormat="false" ht="15" hidden="false" customHeight="false" outlineLevel="0" collapsed="false">
      <c r="A9570" s="0" t="s">
        <v>4880</v>
      </c>
      <c r="B9570" s="6" t="n">
        <v>42921</v>
      </c>
      <c r="C9570" s="7" t="s">
        <v>45</v>
      </c>
      <c r="D9570" s="7" t="s">
        <v>53</v>
      </c>
      <c r="E9570" s="7" t="s">
        <v>39</v>
      </c>
      <c r="F9570" s="0" t="n">
        <v>79.96</v>
      </c>
      <c r="G9570" s="0" t="n">
        <v>22.3888</v>
      </c>
      <c r="H9570" s="0" t="n">
        <v>0</v>
      </c>
      <c r="I9570" s="7" t="n">
        <f aca="false">YEAR(B9570)</f>
        <v>2017</v>
      </c>
      <c r="J9570" s="0" t="str">
        <f aca="false">I9570&amp;"-Q"&amp;ROUNDUP(MONTH(B9570)/3,0)</f>
        <v>2017-Q3</v>
      </c>
    </row>
    <row r="9571" customFormat="false" ht="15" hidden="false" customHeight="false" outlineLevel="0" collapsed="false">
      <c r="A9571" s="0" t="s">
        <v>4881</v>
      </c>
      <c r="B9571" s="6" t="n">
        <v>42271</v>
      </c>
      <c r="C9571" s="7" t="s">
        <v>55</v>
      </c>
      <c r="D9571" s="7" t="s">
        <v>116</v>
      </c>
      <c r="E9571" s="7" t="s">
        <v>35</v>
      </c>
      <c r="F9571" s="0" t="n">
        <v>6.732</v>
      </c>
      <c r="G9571" s="0" t="n">
        <v>-4.488</v>
      </c>
      <c r="H9571" s="0" t="n">
        <v>0.7</v>
      </c>
      <c r="I9571" s="7" t="n">
        <f aca="false">YEAR(B9571)</f>
        <v>2015</v>
      </c>
      <c r="J9571" s="0" t="str">
        <f aca="false">I9571&amp;"-Q"&amp;ROUNDUP(MONTH(B9571)/3,0)</f>
        <v>2015-Q3</v>
      </c>
    </row>
    <row r="9572" customFormat="false" ht="15" hidden="false" customHeight="false" outlineLevel="0" collapsed="false">
      <c r="A9572" s="0" t="s">
        <v>4881</v>
      </c>
      <c r="B9572" s="6" t="n">
        <v>42271</v>
      </c>
      <c r="C9572" s="7" t="s">
        <v>55</v>
      </c>
      <c r="D9572" s="7" t="s">
        <v>116</v>
      </c>
      <c r="E9572" s="7" t="s">
        <v>35</v>
      </c>
      <c r="F9572" s="0" t="n">
        <v>33.568</v>
      </c>
      <c r="G9572" s="0" t="n">
        <v>1.6784</v>
      </c>
      <c r="H9572" s="0" t="n">
        <v>0.2</v>
      </c>
      <c r="I9572" s="7" t="n">
        <f aca="false">YEAR(B9572)</f>
        <v>2015</v>
      </c>
      <c r="J9572" s="0" t="str">
        <f aca="false">I9572&amp;"-Q"&amp;ROUNDUP(MONTH(B9572)/3,0)</f>
        <v>2015-Q3</v>
      </c>
    </row>
    <row r="9573" customFormat="false" ht="15" hidden="false" customHeight="false" outlineLevel="0" collapsed="false">
      <c r="A9573" s="0" t="s">
        <v>4881</v>
      </c>
      <c r="B9573" s="6" t="n">
        <v>42271</v>
      </c>
      <c r="C9573" s="7" t="s">
        <v>55</v>
      </c>
      <c r="D9573" s="7" t="s">
        <v>116</v>
      </c>
      <c r="E9573" s="7" t="s">
        <v>35</v>
      </c>
      <c r="F9573" s="0" t="n">
        <v>15.84</v>
      </c>
      <c r="G9573" s="0" t="n">
        <v>5.544</v>
      </c>
      <c r="H9573" s="0" t="n">
        <v>0.2</v>
      </c>
      <c r="I9573" s="7" t="n">
        <f aca="false">YEAR(B9573)</f>
        <v>2015</v>
      </c>
      <c r="J9573" s="0" t="str">
        <f aca="false">I9573&amp;"-Q"&amp;ROUNDUP(MONTH(B9573)/3,0)</f>
        <v>2015-Q3</v>
      </c>
    </row>
    <row r="9574" customFormat="false" ht="15" hidden="false" customHeight="false" outlineLevel="0" collapsed="false">
      <c r="A9574" s="0" t="s">
        <v>4881</v>
      </c>
      <c r="B9574" s="6" t="n">
        <v>42271</v>
      </c>
      <c r="C9574" s="7" t="s">
        <v>55</v>
      </c>
      <c r="D9574" s="7" t="s">
        <v>116</v>
      </c>
      <c r="E9574" s="7" t="s">
        <v>35</v>
      </c>
      <c r="F9574" s="0" t="n">
        <v>24.424</v>
      </c>
      <c r="G9574" s="0" t="n">
        <v>7.9378</v>
      </c>
      <c r="H9574" s="0" t="n">
        <v>0.2</v>
      </c>
      <c r="I9574" s="7" t="n">
        <f aca="false">YEAR(B9574)</f>
        <v>2015</v>
      </c>
      <c r="J9574" s="0" t="str">
        <f aca="false">I9574&amp;"-Q"&amp;ROUNDUP(MONTH(B9574)/3,0)</f>
        <v>2015-Q3</v>
      </c>
    </row>
    <row r="9575" customFormat="false" ht="15" hidden="false" customHeight="false" outlineLevel="0" collapsed="false">
      <c r="A9575" s="0" t="s">
        <v>4881</v>
      </c>
      <c r="B9575" s="6" t="n">
        <v>42271</v>
      </c>
      <c r="C9575" s="7" t="s">
        <v>55</v>
      </c>
      <c r="D9575" s="7" t="s">
        <v>116</v>
      </c>
      <c r="E9575" s="7" t="s">
        <v>35</v>
      </c>
      <c r="F9575" s="0" t="n">
        <v>17.12</v>
      </c>
      <c r="G9575" s="0" t="n">
        <v>1.926</v>
      </c>
      <c r="H9575" s="0" t="n">
        <v>0.2</v>
      </c>
      <c r="I9575" s="7" t="n">
        <f aca="false">YEAR(B9575)</f>
        <v>2015</v>
      </c>
      <c r="J9575" s="0" t="str">
        <f aca="false">I9575&amp;"-Q"&amp;ROUNDUP(MONTH(B9575)/3,0)</f>
        <v>2015-Q3</v>
      </c>
    </row>
    <row r="9576" customFormat="false" ht="15" hidden="false" customHeight="false" outlineLevel="0" collapsed="false">
      <c r="A9576" s="0" t="s">
        <v>4882</v>
      </c>
      <c r="B9576" s="6" t="n">
        <v>42229</v>
      </c>
      <c r="C9576" s="7" t="s">
        <v>33</v>
      </c>
      <c r="D9576" s="7" t="s">
        <v>34</v>
      </c>
      <c r="E9576" s="7" t="s">
        <v>31</v>
      </c>
      <c r="F9576" s="0" t="n">
        <v>31.56</v>
      </c>
      <c r="G9576" s="0" t="n">
        <v>10.4148</v>
      </c>
      <c r="H9576" s="0" t="n">
        <v>0</v>
      </c>
      <c r="I9576" s="7" t="n">
        <f aca="false">YEAR(B9576)</f>
        <v>2015</v>
      </c>
      <c r="J9576" s="0" t="str">
        <f aca="false">I9576&amp;"-Q"&amp;ROUNDUP(MONTH(B9576)/3,0)</f>
        <v>2015-Q3</v>
      </c>
    </row>
    <row r="9577" customFormat="false" ht="15" hidden="false" customHeight="false" outlineLevel="0" collapsed="false">
      <c r="A9577" s="0" t="s">
        <v>4883</v>
      </c>
      <c r="B9577" s="6" t="n">
        <v>42150</v>
      </c>
      <c r="C9577" s="7" t="s">
        <v>45</v>
      </c>
      <c r="D9577" s="7" t="s">
        <v>46</v>
      </c>
      <c r="E9577" s="7" t="s">
        <v>31</v>
      </c>
      <c r="F9577" s="0" t="n">
        <v>105.686</v>
      </c>
      <c r="G9577" s="0" t="n">
        <v>-28.6862</v>
      </c>
      <c r="H9577" s="0" t="n">
        <v>0.3</v>
      </c>
      <c r="I9577" s="7" t="n">
        <f aca="false">YEAR(B9577)</f>
        <v>2015</v>
      </c>
      <c r="J9577" s="0" t="str">
        <f aca="false">I9577&amp;"-Q"&amp;ROUNDUP(MONTH(B9577)/3,0)</f>
        <v>2015-Q2</v>
      </c>
    </row>
    <row r="9578" customFormat="false" ht="15" hidden="false" customHeight="false" outlineLevel="0" collapsed="false">
      <c r="A9578" s="0" t="s">
        <v>4883</v>
      </c>
      <c r="B9578" s="6" t="n">
        <v>42150</v>
      </c>
      <c r="C9578" s="7" t="s">
        <v>45</v>
      </c>
      <c r="D9578" s="7" t="s">
        <v>46</v>
      </c>
      <c r="E9578" s="7" t="s">
        <v>39</v>
      </c>
      <c r="F9578" s="0" t="n">
        <v>399.54</v>
      </c>
      <c r="G9578" s="0" t="n">
        <v>-79.908</v>
      </c>
      <c r="H9578" s="0" t="n">
        <v>0.4</v>
      </c>
      <c r="I9578" s="7" t="n">
        <f aca="false">YEAR(B9578)</f>
        <v>2015</v>
      </c>
      <c r="J9578" s="0" t="str">
        <f aca="false">I9578&amp;"-Q"&amp;ROUNDUP(MONTH(B9578)/3,0)</f>
        <v>2015-Q2</v>
      </c>
    </row>
    <row r="9579" customFormat="false" ht="15" hidden="false" customHeight="false" outlineLevel="0" collapsed="false">
      <c r="A9579" s="0" t="s">
        <v>4883</v>
      </c>
      <c r="B9579" s="6" t="n">
        <v>42150</v>
      </c>
      <c r="C9579" s="7" t="s">
        <v>45</v>
      </c>
      <c r="D9579" s="7" t="s">
        <v>46</v>
      </c>
      <c r="E9579" s="7" t="s">
        <v>31</v>
      </c>
      <c r="F9579" s="0" t="n">
        <v>104.93</v>
      </c>
      <c r="G9579" s="0" t="n">
        <v>-4.497</v>
      </c>
      <c r="H9579" s="0" t="n">
        <v>0.3</v>
      </c>
      <c r="I9579" s="7" t="n">
        <f aca="false">YEAR(B9579)</f>
        <v>2015</v>
      </c>
      <c r="J9579" s="0" t="str">
        <f aca="false">I9579&amp;"-Q"&amp;ROUNDUP(MONTH(B9579)/3,0)</f>
        <v>2015-Q2</v>
      </c>
    </row>
    <row r="9580" customFormat="false" ht="15" hidden="false" customHeight="false" outlineLevel="0" collapsed="false">
      <c r="A9580" s="0" t="s">
        <v>4884</v>
      </c>
      <c r="B9580" s="6" t="n">
        <v>42992</v>
      </c>
      <c r="C9580" s="7" t="s">
        <v>55</v>
      </c>
      <c r="D9580" s="7" t="s">
        <v>76</v>
      </c>
      <c r="E9580" s="7" t="s">
        <v>39</v>
      </c>
      <c r="F9580" s="0" t="n">
        <v>1079.85</v>
      </c>
      <c r="G9580" s="0" t="n">
        <v>323.955</v>
      </c>
      <c r="H9580" s="0" t="n">
        <v>0</v>
      </c>
      <c r="I9580" s="7" t="n">
        <f aca="false">YEAR(B9580)</f>
        <v>2017</v>
      </c>
      <c r="J9580" s="0" t="str">
        <f aca="false">I9580&amp;"-Q"&amp;ROUNDUP(MONTH(B9580)/3,0)</f>
        <v>2017-Q3</v>
      </c>
    </row>
    <row r="9581" customFormat="false" ht="15" hidden="false" customHeight="false" outlineLevel="0" collapsed="false">
      <c r="A9581" s="0" t="s">
        <v>4884</v>
      </c>
      <c r="B9581" s="6" t="n">
        <v>42992</v>
      </c>
      <c r="C9581" s="7" t="s">
        <v>55</v>
      </c>
      <c r="D9581" s="7" t="s">
        <v>76</v>
      </c>
      <c r="E9581" s="7" t="s">
        <v>35</v>
      </c>
      <c r="F9581" s="0" t="n">
        <v>70.98</v>
      </c>
      <c r="G9581" s="0" t="n">
        <v>3.549</v>
      </c>
      <c r="H9581" s="0" t="n">
        <v>0</v>
      </c>
      <c r="I9581" s="7" t="n">
        <f aca="false">YEAR(B9581)</f>
        <v>2017</v>
      </c>
      <c r="J9581" s="0" t="str">
        <f aca="false">I9581&amp;"-Q"&amp;ROUNDUP(MONTH(B9581)/3,0)</f>
        <v>2017-Q3</v>
      </c>
    </row>
    <row r="9582" customFormat="false" ht="15" hidden="false" customHeight="false" outlineLevel="0" collapsed="false">
      <c r="A9582" s="0" t="s">
        <v>4884</v>
      </c>
      <c r="B9582" s="6" t="n">
        <v>42992</v>
      </c>
      <c r="C9582" s="7" t="s">
        <v>55</v>
      </c>
      <c r="D9582" s="7" t="s">
        <v>76</v>
      </c>
      <c r="E9582" s="7" t="s">
        <v>35</v>
      </c>
      <c r="F9582" s="0" t="n">
        <v>29.95</v>
      </c>
      <c r="G9582" s="0" t="n">
        <v>8.6855</v>
      </c>
      <c r="H9582" s="0" t="n">
        <v>0</v>
      </c>
      <c r="I9582" s="7" t="n">
        <f aca="false">YEAR(B9582)</f>
        <v>2017</v>
      </c>
      <c r="J9582" s="0" t="str">
        <f aca="false">I9582&amp;"-Q"&amp;ROUNDUP(MONTH(B9582)/3,0)</f>
        <v>2017-Q3</v>
      </c>
    </row>
    <row r="9583" customFormat="false" ht="15" hidden="false" customHeight="false" outlineLevel="0" collapsed="false">
      <c r="A9583" s="0" t="s">
        <v>4884</v>
      </c>
      <c r="B9583" s="6" t="n">
        <v>42992</v>
      </c>
      <c r="C9583" s="7" t="s">
        <v>55</v>
      </c>
      <c r="D9583" s="7" t="s">
        <v>76</v>
      </c>
      <c r="E9583" s="7" t="s">
        <v>31</v>
      </c>
      <c r="F9583" s="0" t="n">
        <v>589.41</v>
      </c>
      <c r="G9583" s="0" t="n">
        <v>-6.549</v>
      </c>
      <c r="H9583" s="0" t="n">
        <v>0.1</v>
      </c>
      <c r="I9583" s="7" t="n">
        <f aca="false">YEAR(B9583)</f>
        <v>2017</v>
      </c>
      <c r="J9583" s="0" t="str">
        <f aca="false">I9583&amp;"-Q"&amp;ROUNDUP(MONTH(B9583)/3,0)</f>
        <v>2017-Q3</v>
      </c>
    </row>
    <row r="9584" customFormat="false" ht="15" hidden="false" customHeight="false" outlineLevel="0" collapsed="false">
      <c r="A9584" s="0" t="s">
        <v>4885</v>
      </c>
      <c r="B9584" s="6" t="n">
        <v>42528</v>
      </c>
      <c r="C9584" s="7" t="s">
        <v>55</v>
      </c>
      <c r="D9584" s="7" t="s">
        <v>56</v>
      </c>
      <c r="E9584" s="7" t="s">
        <v>35</v>
      </c>
      <c r="F9584" s="0" t="n">
        <v>9.648</v>
      </c>
      <c r="G9584" s="0" t="n">
        <v>3.4974</v>
      </c>
      <c r="H9584" s="0" t="n">
        <v>0.2</v>
      </c>
      <c r="I9584" s="7" t="n">
        <f aca="false">YEAR(B9584)</f>
        <v>2016</v>
      </c>
      <c r="J9584" s="0" t="str">
        <f aca="false">I9584&amp;"-Q"&amp;ROUNDUP(MONTH(B9584)/3,0)</f>
        <v>2016-Q2</v>
      </c>
    </row>
    <row r="9585" customFormat="false" ht="15" hidden="false" customHeight="false" outlineLevel="0" collapsed="false">
      <c r="A9585" s="0" t="s">
        <v>4886</v>
      </c>
      <c r="B9585" s="6" t="n">
        <v>42911</v>
      </c>
      <c r="C9585" s="7" t="s">
        <v>55</v>
      </c>
      <c r="D9585" s="7" t="s">
        <v>76</v>
      </c>
      <c r="E9585" s="7" t="s">
        <v>31</v>
      </c>
      <c r="F9585" s="0" t="n">
        <v>400.784</v>
      </c>
      <c r="G9585" s="0" t="n">
        <v>-5.0098</v>
      </c>
      <c r="H9585" s="0" t="n">
        <v>0.2</v>
      </c>
      <c r="I9585" s="7" t="n">
        <f aca="false">YEAR(B9585)</f>
        <v>2017</v>
      </c>
      <c r="J9585" s="0" t="str">
        <f aca="false">I9585&amp;"-Q"&amp;ROUNDUP(MONTH(B9585)/3,0)</f>
        <v>2017-Q2</v>
      </c>
    </row>
    <row r="9586" customFormat="false" ht="15" hidden="false" customHeight="false" outlineLevel="0" collapsed="false">
      <c r="A9586" s="0" t="s">
        <v>4887</v>
      </c>
      <c r="B9586" s="6" t="n">
        <v>42973</v>
      </c>
      <c r="C9586" s="7" t="s">
        <v>45</v>
      </c>
      <c r="D9586" s="7" t="s">
        <v>70</v>
      </c>
      <c r="E9586" s="7" t="s">
        <v>35</v>
      </c>
      <c r="F9586" s="0" t="n">
        <v>53.72</v>
      </c>
      <c r="G9586" s="0" t="n">
        <v>13.9672</v>
      </c>
      <c r="H9586" s="0" t="n">
        <v>0</v>
      </c>
      <c r="I9586" s="7" t="n">
        <f aca="false">YEAR(B9586)</f>
        <v>2017</v>
      </c>
      <c r="J9586" s="0" t="str">
        <f aca="false">I9586&amp;"-Q"&amp;ROUNDUP(MONTH(B9586)/3,0)</f>
        <v>2017-Q3</v>
      </c>
    </row>
    <row r="9587" customFormat="false" ht="15" hidden="false" customHeight="false" outlineLevel="0" collapsed="false">
      <c r="A9587" s="0" t="s">
        <v>4888</v>
      </c>
      <c r="B9587" s="6" t="n">
        <v>42608</v>
      </c>
      <c r="C9587" s="7" t="s">
        <v>29</v>
      </c>
      <c r="D9587" s="7" t="s">
        <v>37</v>
      </c>
      <c r="E9587" s="7" t="s">
        <v>35</v>
      </c>
      <c r="F9587" s="0" t="n">
        <v>31.008</v>
      </c>
      <c r="G9587" s="0" t="n">
        <v>11.2404</v>
      </c>
      <c r="H9587" s="0" t="n">
        <v>0.2</v>
      </c>
      <c r="I9587" s="7" t="n">
        <f aca="false">YEAR(B9587)</f>
        <v>2016</v>
      </c>
      <c r="J9587" s="0" t="str">
        <f aca="false">I9587&amp;"-Q"&amp;ROUNDUP(MONTH(B9587)/3,0)</f>
        <v>2016-Q3</v>
      </c>
    </row>
    <row r="9588" customFormat="false" ht="15" hidden="false" customHeight="false" outlineLevel="0" collapsed="false">
      <c r="A9588" s="0" t="s">
        <v>4889</v>
      </c>
      <c r="B9588" s="6" t="n">
        <v>42692</v>
      </c>
      <c r="C9588" s="7" t="s">
        <v>33</v>
      </c>
      <c r="D9588" s="7" t="s">
        <v>34</v>
      </c>
      <c r="E9588" s="7" t="s">
        <v>35</v>
      </c>
      <c r="F9588" s="0" t="n">
        <v>61.12</v>
      </c>
      <c r="G9588" s="0" t="n">
        <v>22.156</v>
      </c>
      <c r="H9588" s="0" t="n">
        <v>0.2</v>
      </c>
      <c r="I9588" s="7" t="n">
        <f aca="false">YEAR(B9588)</f>
        <v>2016</v>
      </c>
      <c r="J9588" s="0" t="str">
        <f aca="false">I9588&amp;"-Q"&amp;ROUNDUP(MONTH(B9588)/3,0)</f>
        <v>2016-Q4</v>
      </c>
    </row>
    <row r="9589" customFormat="false" ht="15" hidden="false" customHeight="false" outlineLevel="0" collapsed="false">
      <c r="A9589" s="0" t="s">
        <v>4890</v>
      </c>
      <c r="B9589" s="6" t="n">
        <v>42842</v>
      </c>
      <c r="C9589" s="7" t="s">
        <v>45</v>
      </c>
      <c r="D9589" s="7" t="s">
        <v>64</v>
      </c>
      <c r="E9589" s="7" t="s">
        <v>35</v>
      </c>
      <c r="F9589" s="0" t="n">
        <v>195.136</v>
      </c>
      <c r="G9589" s="0" t="n">
        <v>-43.9056</v>
      </c>
      <c r="H9589" s="0" t="n">
        <v>0.2</v>
      </c>
      <c r="I9589" s="7" t="n">
        <f aca="false">YEAR(B9589)</f>
        <v>2017</v>
      </c>
      <c r="J9589" s="0" t="str">
        <f aca="false">I9589&amp;"-Q"&amp;ROUNDUP(MONTH(B9589)/3,0)</f>
        <v>2017-Q2</v>
      </c>
    </row>
    <row r="9590" customFormat="false" ht="15" hidden="false" customHeight="false" outlineLevel="0" collapsed="false">
      <c r="A9590" s="0" t="s">
        <v>4891</v>
      </c>
      <c r="B9590" s="6" t="n">
        <v>42939</v>
      </c>
      <c r="C9590" s="7" t="s">
        <v>45</v>
      </c>
      <c r="D9590" s="7" t="s">
        <v>64</v>
      </c>
      <c r="E9590" s="7" t="s">
        <v>35</v>
      </c>
      <c r="F9590" s="0" t="n">
        <v>121.536</v>
      </c>
      <c r="G9590" s="0" t="n">
        <v>15.192</v>
      </c>
      <c r="H9590" s="0" t="n">
        <v>0.2</v>
      </c>
      <c r="I9590" s="7" t="n">
        <f aca="false">YEAR(B9590)</f>
        <v>2017</v>
      </c>
      <c r="J9590" s="0" t="str">
        <f aca="false">I9590&amp;"-Q"&amp;ROUNDUP(MONTH(B9590)/3,0)</f>
        <v>2017-Q3</v>
      </c>
    </row>
    <row r="9591" customFormat="false" ht="15" hidden="false" customHeight="false" outlineLevel="0" collapsed="false">
      <c r="A9591" s="0" t="s">
        <v>4892</v>
      </c>
      <c r="B9591" s="6" t="n">
        <v>41770</v>
      </c>
      <c r="C9591" s="7" t="s">
        <v>45</v>
      </c>
      <c r="D9591" s="7" t="s">
        <v>64</v>
      </c>
      <c r="E9591" s="7" t="s">
        <v>35</v>
      </c>
      <c r="F9591" s="0" t="n">
        <v>17.472</v>
      </c>
      <c r="G9591" s="0" t="n">
        <v>5.6784</v>
      </c>
      <c r="H9591" s="0" t="n">
        <v>0.2</v>
      </c>
      <c r="I9591" s="7" t="n">
        <f aca="false">YEAR(B9591)</f>
        <v>2014</v>
      </c>
      <c r="J9591" s="0" t="str">
        <f aca="false">I9591&amp;"-Q"&amp;ROUNDUP(MONTH(B9591)/3,0)</f>
        <v>2014-Q2</v>
      </c>
    </row>
    <row r="9592" customFormat="false" ht="15" hidden="false" customHeight="false" outlineLevel="0" collapsed="false">
      <c r="A9592" s="0" t="s">
        <v>4892</v>
      </c>
      <c r="B9592" s="6" t="n">
        <v>41770</v>
      </c>
      <c r="C9592" s="7" t="s">
        <v>45</v>
      </c>
      <c r="D9592" s="7" t="s">
        <v>64</v>
      </c>
      <c r="E9592" s="7" t="s">
        <v>35</v>
      </c>
      <c r="F9592" s="0" t="n">
        <v>104.58</v>
      </c>
      <c r="G9592" s="0" t="n">
        <v>-172.557</v>
      </c>
      <c r="H9592" s="0" t="n">
        <v>0.8</v>
      </c>
      <c r="I9592" s="7" t="n">
        <f aca="false">YEAR(B9592)</f>
        <v>2014</v>
      </c>
      <c r="J9592" s="0" t="str">
        <f aca="false">I9592&amp;"-Q"&amp;ROUNDUP(MONTH(B9592)/3,0)</f>
        <v>2014-Q2</v>
      </c>
    </row>
    <row r="9593" customFormat="false" ht="15" hidden="false" customHeight="false" outlineLevel="0" collapsed="false">
      <c r="A9593" s="0" t="s">
        <v>4893</v>
      </c>
      <c r="B9593" s="6" t="n">
        <v>42579</v>
      </c>
      <c r="C9593" s="7" t="s">
        <v>45</v>
      </c>
      <c r="D9593" s="7" t="s">
        <v>46</v>
      </c>
      <c r="E9593" s="7" t="s">
        <v>31</v>
      </c>
      <c r="F9593" s="0" t="n">
        <v>24.7</v>
      </c>
      <c r="G9593" s="0" t="n">
        <v>-9.88</v>
      </c>
      <c r="H9593" s="0" t="n">
        <v>0.6</v>
      </c>
      <c r="I9593" s="7" t="n">
        <f aca="false">YEAR(B9593)</f>
        <v>2016</v>
      </c>
      <c r="J9593" s="0" t="str">
        <f aca="false">I9593&amp;"-Q"&amp;ROUNDUP(MONTH(B9593)/3,0)</f>
        <v>2016-Q3</v>
      </c>
    </row>
    <row r="9594" customFormat="false" ht="15" hidden="false" customHeight="false" outlineLevel="0" collapsed="false">
      <c r="A9594" s="0" t="s">
        <v>4893</v>
      </c>
      <c r="B9594" s="6" t="n">
        <v>42579</v>
      </c>
      <c r="C9594" s="7" t="s">
        <v>45</v>
      </c>
      <c r="D9594" s="7" t="s">
        <v>46</v>
      </c>
      <c r="E9594" s="7" t="s">
        <v>31</v>
      </c>
      <c r="F9594" s="0" t="n">
        <v>302.72</v>
      </c>
      <c r="G9594" s="0" t="n">
        <v>-378.4</v>
      </c>
      <c r="H9594" s="0" t="n">
        <v>0.6</v>
      </c>
      <c r="I9594" s="7" t="n">
        <f aca="false">YEAR(B9594)</f>
        <v>2016</v>
      </c>
      <c r="J9594" s="0" t="str">
        <f aca="false">I9594&amp;"-Q"&amp;ROUNDUP(MONTH(B9594)/3,0)</f>
        <v>2016-Q3</v>
      </c>
    </row>
    <row r="9595" customFormat="false" ht="15" hidden="false" customHeight="false" outlineLevel="0" collapsed="false">
      <c r="A9595" s="0" t="s">
        <v>4894</v>
      </c>
      <c r="B9595" s="6" t="n">
        <v>42992</v>
      </c>
      <c r="C9595" s="7" t="s">
        <v>55</v>
      </c>
      <c r="D9595" s="7" t="s">
        <v>76</v>
      </c>
      <c r="E9595" s="7" t="s">
        <v>35</v>
      </c>
      <c r="F9595" s="0" t="n">
        <v>8.56</v>
      </c>
      <c r="G9595" s="0" t="n">
        <v>3.852</v>
      </c>
      <c r="H9595" s="0" t="n">
        <v>0</v>
      </c>
      <c r="I9595" s="7" t="n">
        <f aca="false">YEAR(B9595)</f>
        <v>2017</v>
      </c>
      <c r="J9595" s="0" t="str">
        <f aca="false">I9595&amp;"-Q"&amp;ROUNDUP(MONTH(B9595)/3,0)</f>
        <v>2017-Q3</v>
      </c>
    </row>
    <row r="9596" customFormat="false" ht="15" hidden="false" customHeight="false" outlineLevel="0" collapsed="false">
      <c r="A9596" s="0" t="s">
        <v>4894</v>
      </c>
      <c r="B9596" s="6" t="n">
        <v>42992</v>
      </c>
      <c r="C9596" s="7" t="s">
        <v>55</v>
      </c>
      <c r="D9596" s="7" t="s">
        <v>76</v>
      </c>
      <c r="E9596" s="7" t="s">
        <v>35</v>
      </c>
      <c r="F9596" s="0" t="n">
        <v>11.56</v>
      </c>
      <c r="G9596" s="0" t="n">
        <v>5.6644</v>
      </c>
      <c r="H9596" s="0" t="n">
        <v>0</v>
      </c>
      <c r="I9596" s="7" t="n">
        <f aca="false">YEAR(B9596)</f>
        <v>2017</v>
      </c>
      <c r="J9596" s="0" t="str">
        <f aca="false">I9596&amp;"-Q"&amp;ROUNDUP(MONTH(B9596)/3,0)</f>
        <v>2017-Q3</v>
      </c>
    </row>
    <row r="9597" customFormat="false" ht="15" hidden="false" customHeight="false" outlineLevel="0" collapsed="false">
      <c r="A9597" s="0" t="s">
        <v>4895</v>
      </c>
      <c r="B9597" s="6" t="n">
        <v>42759</v>
      </c>
      <c r="C9597" s="7" t="s">
        <v>33</v>
      </c>
      <c r="D9597" s="7" t="s">
        <v>34</v>
      </c>
      <c r="E9597" s="7" t="s">
        <v>35</v>
      </c>
      <c r="F9597" s="0" t="n">
        <v>25.86</v>
      </c>
      <c r="G9597" s="0" t="n">
        <v>6.7236</v>
      </c>
      <c r="H9597" s="0" t="n">
        <v>0</v>
      </c>
      <c r="I9597" s="7" t="n">
        <f aca="false">YEAR(B9597)</f>
        <v>2017</v>
      </c>
      <c r="J9597" s="0" t="str">
        <f aca="false">I9597&amp;"-Q"&amp;ROUNDUP(MONTH(B9597)/3,0)</f>
        <v>2017-Q1</v>
      </c>
    </row>
    <row r="9598" customFormat="false" ht="15" hidden="false" customHeight="false" outlineLevel="0" collapsed="false">
      <c r="A9598" s="0" t="s">
        <v>4895</v>
      </c>
      <c r="B9598" s="6" t="n">
        <v>42759</v>
      </c>
      <c r="C9598" s="7" t="s">
        <v>33</v>
      </c>
      <c r="D9598" s="7" t="s">
        <v>34</v>
      </c>
      <c r="E9598" s="7" t="s">
        <v>35</v>
      </c>
      <c r="F9598" s="0" t="n">
        <v>276.784</v>
      </c>
      <c r="G9598" s="0" t="n">
        <v>89.9548</v>
      </c>
      <c r="H9598" s="0" t="n">
        <v>0.2</v>
      </c>
      <c r="I9598" s="7" t="n">
        <f aca="false">YEAR(B9598)</f>
        <v>2017</v>
      </c>
      <c r="J9598" s="0" t="str">
        <f aca="false">I9598&amp;"-Q"&amp;ROUNDUP(MONTH(B9598)/3,0)</f>
        <v>2017-Q1</v>
      </c>
    </row>
    <row r="9599" customFormat="false" ht="15" hidden="false" customHeight="false" outlineLevel="0" collapsed="false">
      <c r="A9599" s="0" t="s">
        <v>4895</v>
      </c>
      <c r="B9599" s="6" t="n">
        <v>42759</v>
      </c>
      <c r="C9599" s="7" t="s">
        <v>33</v>
      </c>
      <c r="D9599" s="7" t="s">
        <v>34</v>
      </c>
      <c r="E9599" s="7" t="s">
        <v>39</v>
      </c>
      <c r="F9599" s="0" t="n">
        <v>110.352</v>
      </c>
      <c r="G9599" s="0" t="n">
        <v>8.2764</v>
      </c>
      <c r="H9599" s="0" t="n">
        <v>0.2</v>
      </c>
      <c r="I9599" s="7" t="n">
        <f aca="false">YEAR(B9599)</f>
        <v>2017</v>
      </c>
      <c r="J9599" s="0" t="str">
        <f aca="false">I9599&amp;"-Q"&amp;ROUNDUP(MONTH(B9599)/3,0)</f>
        <v>2017-Q1</v>
      </c>
    </row>
    <row r="9600" customFormat="false" ht="15" hidden="false" customHeight="false" outlineLevel="0" collapsed="false">
      <c r="A9600" s="0" t="s">
        <v>4896</v>
      </c>
      <c r="B9600" s="6" t="n">
        <v>42266</v>
      </c>
      <c r="C9600" s="7" t="s">
        <v>33</v>
      </c>
      <c r="D9600" s="7" t="s">
        <v>34</v>
      </c>
      <c r="E9600" s="7" t="s">
        <v>31</v>
      </c>
      <c r="F9600" s="0" t="n">
        <v>60.84</v>
      </c>
      <c r="G9600" s="0" t="n">
        <v>19.4688</v>
      </c>
      <c r="H9600" s="0" t="n">
        <v>0</v>
      </c>
      <c r="I9600" s="7" t="n">
        <f aca="false">YEAR(B9600)</f>
        <v>2015</v>
      </c>
      <c r="J9600" s="0" t="str">
        <f aca="false">I9600&amp;"-Q"&amp;ROUNDUP(MONTH(B9600)/3,0)</f>
        <v>2015-Q3</v>
      </c>
    </row>
    <row r="9601" customFormat="false" ht="15" hidden="false" customHeight="false" outlineLevel="0" collapsed="false">
      <c r="A9601" s="0" t="s">
        <v>4897</v>
      </c>
      <c r="B9601" s="6" t="n">
        <v>42108</v>
      </c>
      <c r="C9601" s="7" t="s">
        <v>33</v>
      </c>
      <c r="D9601" s="7" t="s">
        <v>102</v>
      </c>
      <c r="E9601" s="7" t="s">
        <v>35</v>
      </c>
      <c r="F9601" s="0" t="n">
        <v>35.208</v>
      </c>
      <c r="G9601" s="0" t="n">
        <v>2.6406</v>
      </c>
      <c r="H9601" s="0" t="n">
        <v>0.2</v>
      </c>
      <c r="I9601" s="7" t="n">
        <f aca="false">YEAR(B9601)</f>
        <v>2015</v>
      </c>
      <c r="J9601" s="0" t="str">
        <f aca="false">I9601&amp;"-Q"&amp;ROUNDUP(MONTH(B9601)/3,0)</f>
        <v>2015-Q2</v>
      </c>
    </row>
    <row r="9602" customFormat="false" ht="15" hidden="false" customHeight="false" outlineLevel="0" collapsed="false">
      <c r="A9602" s="0" t="s">
        <v>4898</v>
      </c>
      <c r="B9602" s="6" t="n">
        <v>42863</v>
      </c>
      <c r="C9602" s="7" t="s">
        <v>45</v>
      </c>
      <c r="D9602" s="7" t="s">
        <v>46</v>
      </c>
      <c r="E9602" s="7" t="s">
        <v>35</v>
      </c>
      <c r="F9602" s="0" t="n">
        <v>41.472</v>
      </c>
      <c r="G9602" s="0" t="n">
        <v>14.5152</v>
      </c>
      <c r="H9602" s="0" t="n">
        <v>0.2</v>
      </c>
      <c r="I9602" s="7" t="n">
        <f aca="false">YEAR(B9602)</f>
        <v>2017</v>
      </c>
      <c r="J9602" s="0" t="str">
        <f aca="false">I9602&amp;"-Q"&amp;ROUNDUP(MONTH(B9602)/3,0)</f>
        <v>2017-Q2</v>
      </c>
    </row>
    <row r="9603" customFormat="false" ht="15" hidden="false" customHeight="false" outlineLevel="0" collapsed="false">
      <c r="A9603" s="0" t="s">
        <v>4899</v>
      </c>
      <c r="B9603" s="6" t="n">
        <v>42617</v>
      </c>
      <c r="C9603" s="7" t="s">
        <v>29</v>
      </c>
      <c r="D9603" s="7" t="s">
        <v>301</v>
      </c>
      <c r="E9603" s="7" t="s">
        <v>35</v>
      </c>
      <c r="F9603" s="0" t="n">
        <v>239.5</v>
      </c>
      <c r="G9603" s="0" t="n">
        <v>114.96</v>
      </c>
      <c r="H9603" s="0" t="n">
        <v>0</v>
      </c>
      <c r="I9603" s="7" t="n">
        <f aca="false">YEAR(B9603)</f>
        <v>2016</v>
      </c>
      <c r="J9603" s="0" t="str">
        <f aca="false">I9603&amp;"-Q"&amp;ROUNDUP(MONTH(B9603)/3,0)</f>
        <v>2016-Q3</v>
      </c>
    </row>
    <row r="9604" customFormat="false" ht="15" hidden="false" customHeight="false" outlineLevel="0" collapsed="false">
      <c r="A9604" s="0" t="s">
        <v>4900</v>
      </c>
      <c r="B9604" s="6" t="n">
        <v>41778</v>
      </c>
      <c r="C9604" s="7" t="s">
        <v>29</v>
      </c>
      <c r="D9604" s="7" t="s">
        <v>83</v>
      </c>
      <c r="E9604" s="7" t="s">
        <v>35</v>
      </c>
      <c r="F9604" s="0" t="n">
        <v>34.2</v>
      </c>
      <c r="G9604" s="0" t="n">
        <v>9.234</v>
      </c>
      <c r="H9604" s="0" t="n">
        <v>0</v>
      </c>
      <c r="I9604" s="7" t="n">
        <f aca="false">YEAR(B9604)</f>
        <v>2014</v>
      </c>
      <c r="J9604" s="0" t="str">
        <f aca="false">I9604&amp;"-Q"&amp;ROUNDUP(MONTH(B9604)/3,0)</f>
        <v>2014-Q2</v>
      </c>
    </row>
    <row r="9605" customFormat="false" ht="15" hidden="false" customHeight="false" outlineLevel="0" collapsed="false">
      <c r="A9605" s="0" t="s">
        <v>4901</v>
      </c>
      <c r="B9605" s="6" t="n">
        <v>42538</v>
      </c>
      <c r="C9605" s="7" t="s">
        <v>55</v>
      </c>
      <c r="D9605" s="7" t="s">
        <v>76</v>
      </c>
      <c r="E9605" s="7" t="s">
        <v>31</v>
      </c>
      <c r="F9605" s="0" t="n">
        <v>376.866</v>
      </c>
      <c r="G9605" s="0" t="n">
        <v>-213.5574</v>
      </c>
      <c r="H9605" s="0" t="n">
        <v>0.4</v>
      </c>
      <c r="I9605" s="7" t="n">
        <f aca="false">YEAR(B9605)</f>
        <v>2016</v>
      </c>
      <c r="J9605" s="0" t="str">
        <f aca="false">I9605&amp;"-Q"&amp;ROUNDUP(MONTH(B9605)/3,0)</f>
        <v>2016-Q2</v>
      </c>
    </row>
    <row r="9606" customFormat="false" ht="15" hidden="false" customHeight="false" outlineLevel="0" collapsed="false">
      <c r="A9606" s="0" t="s">
        <v>4902</v>
      </c>
      <c r="B9606" s="6" t="n">
        <v>42310</v>
      </c>
      <c r="C9606" s="7" t="s">
        <v>29</v>
      </c>
      <c r="D9606" s="7" t="s">
        <v>83</v>
      </c>
      <c r="E9606" s="7" t="s">
        <v>35</v>
      </c>
      <c r="F9606" s="0" t="n">
        <v>197.72</v>
      </c>
      <c r="G9606" s="0" t="n">
        <v>55.3616</v>
      </c>
      <c r="H9606" s="0" t="n">
        <v>0</v>
      </c>
      <c r="I9606" s="7" t="n">
        <f aca="false">YEAR(B9606)</f>
        <v>2015</v>
      </c>
      <c r="J9606" s="0" t="str">
        <f aca="false">I9606&amp;"-Q"&amp;ROUNDUP(MONTH(B9606)/3,0)</f>
        <v>2015-Q4</v>
      </c>
    </row>
    <row r="9607" customFormat="false" ht="15" hidden="false" customHeight="false" outlineLevel="0" collapsed="false">
      <c r="A9607" s="0" t="s">
        <v>4903</v>
      </c>
      <c r="B9607" s="6" t="n">
        <v>43043</v>
      </c>
      <c r="C9607" s="7" t="s">
        <v>55</v>
      </c>
      <c r="D9607" s="7" t="s">
        <v>116</v>
      </c>
      <c r="E9607" s="7" t="s">
        <v>39</v>
      </c>
      <c r="F9607" s="0" t="n">
        <v>70.72</v>
      </c>
      <c r="G9607" s="0" t="n">
        <v>-6.188</v>
      </c>
      <c r="H9607" s="0" t="n">
        <v>0.2</v>
      </c>
      <c r="I9607" s="7" t="n">
        <f aca="false">YEAR(B9607)</f>
        <v>2017</v>
      </c>
      <c r="J9607" s="0" t="str">
        <f aca="false">I9607&amp;"-Q"&amp;ROUNDUP(MONTH(B9607)/3,0)</f>
        <v>2017-Q4</v>
      </c>
    </row>
    <row r="9608" customFormat="false" ht="15" hidden="false" customHeight="false" outlineLevel="0" collapsed="false">
      <c r="A9608" s="0" t="s">
        <v>4903</v>
      </c>
      <c r="B9608" s="6" t="n">
        <v>43043</v>
      </c>
      <c r="C9608" s="7" t="s">
        <v>55</v>
      </c>
      <c r="D9608" s="7" t="s">
        <v>116</v>
      </c>
      <c r="E9608" s="7" t="s">
        <v>35</v>
      </c>
      <c r="F9608" s="0" t="n">
        <v>194.352</v>
      </c>
      <c r="G9608" s="0" t="n">
        <v>-43.7292</v>
      </c>
      <c r="H9608" s="0" t="n">
        <v>0.2</v>
      </c>
      <c r="I9608" s="7" t="n">
        <f aca="false">YEAR(B9608)</f>
        <v>2017</v>
      </c>
      <c r="J9608" s="0" t="str">
        <f aca="false">I9608&amp;"-Q"&amp;ROUNDUP(MONTH(B9608)/3,0)</f>
        <v>2017-Q4</v>
      </c>
    </row>
    <row r="9609" customFormat="false" ht="15" hidden="false" customHeight="false" outlineLevel="0" collapsed="false">
      <c r="A9609" s="0" t="s">
        <v>4904</v>
      </c>
      <c r="B9609" s="6" t="n">
        <v>43074</v>
      </c>
      <c r="C9609" s="7" t="s">
        <v>55</v>
      </c>
      <c r="D9609" s="7" t="s">
        <v>76</v>
      </c>
      <c r="E9609" s="7" t="s">
        <v>35</v>
      </c>
      <c r="F9609" s="0" t="n">
        <v>21.6</v>
      </c>
      <c r="G9609" s="0" t="n">
        <v>9.936</v>
      </c>
      <c r="H9609" s="0" t="n">
        <v>0</v>
      </c>
      <c r="I9609" s="7" t="n">
        <f aca="false">YEAR(B9609)</f>
        <v>2017</v>
      </c>
      <c r="J9609" s="0" t="str">
        <f aca="false">I9609&amp;"-Q"&amp;ROUNDUP(MONTH(B9609)/3,0)</f>
        <v>2017-Q4</v>
      </c>
    </row>
    <row r="9610" customFormat="false" ht="15" hidden="false" customHeight="false" outlineLevel="0" collapsed="false">
      <c r="A9610" s="0" t="s">
        <v>4904</v>
      </c>
      <c r="B9610" s="6" t="n">
        <v>43074</v>
      </c>
      <c r="C9610" s="7" t="s">
        <v>55</v>
      </c>
      <c r="D9610" s="7" t="s">
        <v>76</v>
      </c>
      <c r="E9610" s="7" t="s">
        <v>35</v>
      </c>
      <c r="F9610" s="0" t="n">
        <v>11.07</v>
      </c>
      <c r="G9610" s="0" t="n">
        <v>5.2029</v>
      </c>
      <c r="H9610" s="0" t="n">
        <v>0</v>
      </c>
      <c r="I9610" s="7" t="n">
        <f aca="false">YEAR(B9610)</f>
        <v>2017</v>
      </c>
      <c r="J9610" s="0" t="str">
        <f aca="false">I9610&amp;"-Q"&amp;ROUNDUP(MONTH(B9610)/3,0)</f>
        <v>2017-Q4</v>
      </c>
    </row>
    <row r="9611" customFormat="false" ht="15" hidden="false" customHeight="false" outlineLevel="0" collapsed="false">
      <c r="A9611" s="0" t="s">
        <v>4905</v>
      </c>
      <c r="B9611" s="6" t="n">
        <v>42506</v>
      </c>
      <c r="C9611" s="7" t="s">
        <v>33</v>
      </c>
      <c r="D9611" s="7" t="s">
        <v>34</v>
      </c>
      <c r="E9611" s="7" t="s">
        <v>31</v>
      </c>
      <c r="F9611" s="0" t="n">
        <v>282.84</v>
      </c>
      <c r="G9611" s="0" t="n">
        <v>19.7988</v>
      </c>
      <c r="H9611" s="0" t="n">
        <v>0</v>
      </c>
      <c r="I9611" s="7" t="n">
        <f aca="false">YEAR(B9611)</f>
        <v>2016</v>
      </c>
      <c r="J9611" s="0" t="str">
        <f aca="false">I9611&amp;"-Q"&amp;ROUNDUP(MONTH(B9611)/3,0)</f>
        <v>2016-Q2</v>
      </c>
    </row>
    <row r="9612" customFormat="false" ht="15" hidden="false" customHeight="false" outlineLevel="0" collapsed="false">
      <c r="A9612" s="0" t="s">
        <v>4905</v>
      </c>
      <c r="B9612" s="6" t="n">
        <v>42506</v>
      </c>
      <c r="C9612" s="7" t="s">
        <v>33</v>
      </c>
      <c r="D9612" s="7" t="s">
        <v>34</v>
      </c>
      <c r="E9612" s="7" t="s">
        <v>35</v>
      </c>
      <c r="F9612" s="0" t="n">
        <v>27.72</v>
      </c>
      <c r="G9612" s="0" t="n">
        <v>13.3056</v>
      </c>
      <c r="H9612" s="0" t="n">
        <v>0</v>
      </c>
      <c r="I9612" s="7" t="n">
        <f aca="false">YEAR(B9612)</f>
        <v>2016</v>
      </c>
      <c r="J9612" s="0" t="str">
        <f aca="false">I9612&amp;"-Q"&amp;ROUNDUP(MONTH(B9612)/3,0)</f>
        <v>2016-Q2</v>
      </c>
    </row>
    <row r="9613" customFormat="false" ht="15" hidden="false" customHeight="false" outlineLevel="0" collapsed="false">
      <c r="A9613" s="0" t="s">
        <v>4906</v>
      </c>
      <c r="B9613" s="6" t="n">
        <v>43032</v>
      </c>
      <c r="C9613" s="7" t="s">
        <v>29</v>
      </c>
      <c r="D9613" s="7" t="s">
        <v>265</v>
      </c>
      <c r="E9613" s="7" t="s">
        <v>35</v>
      </c>
      <c r="F9613" s="0" t="n">
        <v>11.68</v>
      </c>
      <c r="G9613" s="0" t="n">
        <v>5.256</v>
      </c>
      <c r="H9613" s="0" t="n">
        <v>0</v>
      </c>
      <c r="I9613" s="7" t="n">
        <f aca="false">YEAR(B9613)</f>
        <v>2017</v>
      </c>
      <c r="J9613" s="0" t="str">
        <f aca="false">I9613&amp;"-Q"&amp;ROUNDUP(MONTH(B9613)/3,0)</f>
        <v>2017-Q4</v>
      </c>
    </row>
    <row r="9614" customFormat="false" ht="15" hidden="false" customHeight="false" outlineLevel="0" collapsed="false">
      <c r="A9614" s="0" t="s">
        <v>4907</v>
      </c>
      <c r="B9614" s="6" t="n">
        <v>42631</v>
      </c>
      <c r="C9614" s="7" t="s">
        <v>33</v>
      </c>
      <c r="D9614" s="7" t="s">
        <v>34</v>
      </c>
      <c r="E9614" s="7" t="s">
        <v>39</v>
      </c>
      <c r="F9614" s="0" t="n">
        <v>239.984</v>
      </c>
      <c r="G9614" s="0" t="n">
        <v>23.9984</v>
      </c>
      <c r="H9614" s="0" t="n">
        <v>0.2</v>
      </c>
      <c r="I9614" s="7" t="n">
        <f aca="false">YEAR(B9614)</f>
        <v>2016</v>
      </c>
      <c r="J9614" s="0" t="str">
        <f aca="false">I9614&amp;"-Q"&amp;ROUNDUP(MONTH(B9614)/3,0)</f>
        <v>2016-Q3</v>
      </c>
    </row>
    <row r="9615" customFormat="false" ht="15" hidden="false" customHeight="false" outlineLevel="0" collapsed="false">
      <c r="A9615" s="0" t="s">
        <v>4908</v>
      </c>
      <c r="B9615" s="6" t="n">
        <v>41954</v>
      </c>
      <c r="C9615" s="7" t="s">
        <v>33</v>
      </c>
      <c r="D9615" s="7" t="s">
        <v>43</v>
      </c>
      <c r="E9615" s="7" t="s">
        <v>35</v>
      </c>
      <c r="F9615" s="0" t="n">
        <v>22.98</v>
      </c>
      <c r="G9615" s="0" t="n">
        <v>6.894</v>
      </c>
      <c r="H9615" s="0" t="n">
        <v>0</v>
      </c>
      <c r="I9615" s="7" t="n">
        <f aca="false">YEAR(B9615)</f>
        <v>2014</v>
      </c>
      <c r="J9615" s="0" t="str">
        <f aca="false">I9615&amp;"-Q"&amp;ROUNDUP(MONTH(B9615)/3,0)</f>
        <v>2014-Q4</v>
      </c>
    </row>
    <row r="9616" customFormat="false" ht="15" hidden="false" customHeight="false" outlineLevel="0" collapsed="false">
      <c r="A9616" s="0" t="s">
        <v>4908</v>
      </c>
      <c r="B9616" s="6" t="n">
        <v>41954</v>
      </c>
      <c r="C9616" s="7" t="s">
        <v>33</v>
      </c>
      <c r="D9616" s="7" t="s">
        <v>43</v>
      </c>
      <c r="E9616" s="7" t="s">
        <v>39</v>
      </c>
      <c r="F9616" s="0" t="n">
        <v>102.13</v>
      </c>
      <c r="G9616" s="0" t="n">
        <v>15.3195</v>
      </c>
      <c r="H9616" s="0" t="n">
        <v>0</v>
      </c>
      <c r="I9616" s="7" t="n">
        <f aca="false">YEAR(B9616)</f>
        <v>2014</v>
      </c>
      <c r="J9616" s="0" t="str">
        <f aca="false">I9616&amp;"-Q"&amp;ROUNDUP(MONTH(B9616)/3,0)</f>
        <v>2014-Q4</v>
      </c>
    </row>
    <row r="9617" customFormat="false" ht="15" hidden="false" customHeight="false" outlineLevel="0" collapsed="false">
      <c r="A9617" s="0" t="s">
        <v>4908</v>
      </c>
      <c r="B9617" s="6" t="n">
        <v>41954</v>
      </c>
      <c r="C9617" s="7" t="s">
        <v>33</v>
      </c>
      <c r="D9617" s="7" t="s">
        <v>43</v>
      </c>
      <c r="E9617" s="7" t="s">
        <v>35</v>
      </c>
      <c r="F9617" s="0" t="n">
        <v>2033.584</v>
      </c>
      <c r="G9617" s="0" t="n">
        <v>762.594</v>
      </c>
      <c r="H9617" s="0" t="n">
        <v>0.2</v>
      </c>
      <c r="I9617" s="7" t="n">
        <f aca="false">YEAR(B9617)</f>
        <v>2014</v>
      </c>
      <c r="J9617" s="0" t="str">
        <f aca="false">I9617&amp;"-Q"&amp;ROUNDUP(MONTH(B9617)/3,0)</f>
        <v>2014-Q4</v>
      </c>
    </row>
    <row r="9618" customFormat="false" ht="15" hidden="false" customHeight="false" outlineLevel="0" collapsed="false">
      <c r="A9618" s="0" t="s">
        <v>4909</v>
      </c>
      <c r="B9618" s="6" t="n">
        <v>42604</v>
      </c>
      <c r="C9618" s="7" t="s">
        <v>33</v>
      </c>
      <c r="D9618" s="7" t="s">
        <v>34</v>
      </c>
      <c r="E9618" s="7" t="s">
        <v>35</v>
      </c>
      <c r="F9618" s="0" t="n">
        <v>5.76</v>
      </c>
      <c r="G9618" s="0" t="n">
        <v>1.6704</v>
      </c>
      <c r="H9618" s="0" t="n">
        <v>0</v>
      </c>
      <c r="I9618" s="7" t="n">
        <f aca="false">YEAR(B9618)</f>
        <v>2016</v>
      </c>
      <c r="J9618" s="0" t="str">
        <f aca="false">I9618&amp;"-Q"&amp;ROUNDUP(MONTH(B9618)/3,0)</f>
        <v>2016-Q3</v>
      </c>
    </row>
    <row r="9619" customFormat="false" ht="15" hidden="false" customHeight="false" outlineLevel="0" collapsed="false">
      <c r="A9619" s="0" t="s">
        <v>4910</v>
      </c>
      <c r="B9619" s="6" t="n">
        <v>43055</v>
      </c>
      <c r="C9619" s="7" t="s">
        <v>55</v>
      </c>
      <c r="D9619" s="7" t="s">
        <v>116</v>
      </c>
      <c r="E9619" s="7" t="s">
        <v>39</v>
      </c>
      <c r="F9619" s="0" t="n">
        <v>899.982</v>
      </c>
      <c r="G9619" s="0" t="n">
        <v>74.9985</v>
      </c>
      <c r="H9619" s="0" t="n">
        <v>0.4</v>
      </c>
      <c r="I9619" s="7" t="n">
        <f aca="false">YEAR(B9619)</f>
        <v>2017</v>
      </c>
      <c r="J9619" s="0" t="str">
        <f aca="false">I9619&amp;"-Q"&amp;ROUNDUP(MONTH(B9619)/3,0)</f>
        <v>2017-Q4</v>
      </c>
    </row>
    <row r="9620" customFormat="false" ht="15" hidden="false" customHeight="false" outlineLevel="0" collapsed="false">
      <c r="A9620" s="0" t="s">
        <v>4910</v>
      </c>
      <c r="B9620" s="6" t="n">
        <v>43055</v>
      </c>
      <c r="C9620" s="7" t="s">
        <v>55</v>
      </c>
      <c r="D9620" s="7" t="s">
        <v>116</v>
      </c>
      <c r="E9620" s="7" t="s">
        <v>35</v>
      </c>
      <c r="F9620" s="0" t="n">
        <v>86.352</v>
      </c>
      <c r="G9620" s="0" t="n">
        <v>5.397</v>
      </c>
      <c r="H9620" s="0" t="n">
        <v>0.2</v>
      </c>
      <c r="I9620" s="7" t="n">
        <f aca="false">YEAR(B9620)</f>
        <v>2017</v>
      </c>
      <c r="J9620" s="0" t="str">
        <f aca="false">I9620&amp;"-Q"&amp;ROUNDUP(MONTH(B9620)/3,0)</f>
        <v>2017-Q4</v>
      </c>
    </row>
    <row r="9621" customFormat="false" ht="15" hidden="false" customHeight="false" outlineLevel="0" collapsed="false">
      <c r="A9621" s="0" t="s">
        <v>4910</v>
      </c>
      <c r="B9621" s="6" t="n">
        <v>43055</v>
      </c>
      <c r="C9621" s="7" t="s">
        <v>55</v>
      </c>
      <c r="D9621" s="7" t="s">
        <v>116</v>
      </c>
      <c r="E9621" s="7" t="s">
        <v>39</v>
      </c>
      <c r="F9621" s="0" t="n">
        <v>139.96</v>
      </c>
      <c r="G9621" s="0" t="n">
        <v>-1.7495</v>
      </c>
      <c r="H9621" s="0" t="n">
        <v>0.2</v>
      </c>
      <c r="I9621" s="7" t="n">
        <f aca="false">YEAR(B9621)</f>
        <v>2017</v>
      </c>
      <c r="J9621" s="0" t="str">
        <f aca="false">I9621&amp;"-Q"&amp;ROUNDUP(MONTH(B9621)/3,0)</f>
        <v>2017-Q4</v>
      </c>
    </row>
    <row r="9622" customFormat="false" ht="15" hidden="false" customHeight="false" outlineLevel="0" collapsed="false">
      <c r="A9622" s="0" t="s">
        <v>4911</v>
      </c>
      <c r="B9622" s="6" t="n">
        <v>41908</v>
      </c>
      <c r="C9622" s="7" t="s">
        <v>55</v>
      </c>
      <c r="D9622" s="7" t="s">
        <v>116</v>
      </c>
      <c r="E9622" s="7" t="s">
        <v>35</v>
      </c>
      <c r="F9622" s="0" t="n">
        <v>16.704</v>
      </c>
      <c r="G9622" s="0" t="n">
        <v>1.2528</v>
      </c>
      <c r="H9622" s="0" t="n">
        <v>0.2</v>
      </c>
      <c r="I9622" s="7" t="n">
        <f aca="false">YEAR(B9622)</f>
        <v>2014</v>
      </c>
      <c r="J9622" s="0" t="str">
        <f aca="false">I9622&amp;"-Q"&amp;ROUNDUP(MONTH(B9622)/3,0)</f>
        <v>2014-Q3</v>
      </c>
    </row>
    <row r="9623" customFormat="false" ht="15" hidden="false" customHeight="false" outlineLevel="0" collapsed="false">
      <c r="A9623" s="0" t="s">
        <v>4911</v>
      </c>
      <c r="B9623" s="6" t="n">
        <v>41908</v>
      </c>
      <c r="C9623" s="7" t="s">
        <v>55</v>
      </c>
      <c r="D9623" s="7" t="s">
        <v>116</v>
      </c>
      <c r="E9623" s="7" t="s">
        <v>39</v>
      </c>
      <c r="F9623" s="0" t="n">
        <v>3.152</v>
      </c>
      <c r="G9623" s="0" t="n">
        <v>0.4728</v>
      </c>
      <c r="H9623" s="0" t="n">
        <v>0.2</v>
      </c>
      <c r="I9623" s="7" t="n">
        <f aca="false">YEAR(B9623)</f>
        <v>2014</v>
      </c>
      <c r="J9623" s="0" t="str">
        <f aca="false">I9623&amp;"-Q"&amp;ROUNDUP(MONTH(B9623)/3,0)</f>
        <v>2014-Q3</v>
      </c>
    </row>
    <row r="9624" customFormat="false" ht="15" hidden="false" customHeight="false" outlineLevel="0" collapsed="false">
      <c r="A9624" s="0" t="s">
        <v>4911</v>
      </c>
      <c r="B9624" s="6" t="n">
        <v>41908</v>
      </c>
      <c r="C9624" s="7" t="s">
        <v>55</v>
      </c>
      <c r="D9624" s="7" t="s">
        <v>116</v>
      </c>
      <c r="E9624" s="7" t="s">
        <v>35</v>
      </c>
      <c r="F9624" s="0" t="n">
        <v>32.896</v>
      </c>
      <c r="G9624" s="0" t="n">
        <v>11.1024</v>
      </c>
      <c r="H9624" s="0" t="n">
        <v>0.2</v>
      </c>
      <c r="I9624" s="7" t="n">
        <f aca="false">YEAR(B9624)</f>
        <v>2014</v>
      </c>
      <c r="J9624" s="0" t="str">
        <f aca="false">I9624&amp;"-Q"&amp;ROUNDUP(MONTH(B9624)/3,0)</f>
        <v>2014-Q3</v>
      </c>
    </row>
    <row r="9625" customFormat="false" ht="15" hidden="false" customHeight="false" outlineLevel="0" collapsed="false">
      <c r="A9625" s="0" t="s">
        <v>4912</v>
      </c>
      <c r="B9625" s="6" t="n">
        <v>42915</v>
      </c>
      <c r="C9625" s="7" t="s">
        <v>45</v>
      </c>
      <c r="D9625" s="7" t="s">
        <v>46</v>
      </c>
      <c r="E9625" s="7" t="s">
        <v>35</v>
      </c>
      <c r="F9625" s="0" t="n">
        <v>21.392</v>
      </c>
      <c r="G9625" s="0" t="n">
        <v>-54.5496</v>
      </c>
      <c r="H9625" s="0" t="n">
        <v>0.8</v>
      </c>
      <c r="I9625" s="7" t="n">
        <f aca="false">YEAR(B9625)</f>
        <v>2017</v>
      </c>
      <c r="J9625" s="0" t="str">
        <f aca="false">I9625&amp;"-Q"&amp;ROUNDUP(MONTH(B9625)/3,0)</f>
        <v>2017-Q2</v>
      </c>
    </row>
    <row r="9626" customFormat="false" ht="15" hidden="false" customHeight="false" outlineLevel="0" collapsed="false">
      <c r="A9626" s="0" t="s">
        <v>4912</v>
      </c>
      <c r="B9626" s="6" t="n">
        <v>42915</v>
      </c>
      <c r="C9626" s="7" t="s">
        <v>45</v>
      </c>
      <c r="D9626" s="7" t="s">
        <v>46</v>
      </c>
      <c r="E9626" s="7" t="s">
        <v>31</v>
      </c>
      <c r="F9626" s="0" t="n">
        <v>307.314</v>
      </c>
      <c r="G9626" s="0" t="n">
        <v>-39.5118</v>
      </c>
      <c r="H9626" s="0" t="n">
        <v>0.3</v>
      </c>
      <c r="I9626" s="7" t="n">
        <f aca="false">YEAR(B9626)</f>
        <v>2017</v>
      </c>
      <c r="J9626" s="0" t="str">
        <f aca="false">I9626&amp;"-Q"&amp;ROUNDUP(MONTH(B9626)/3,0)</f>
        <v>2017-Q2</v>
      </c>
    </row>
    <row r="9627" customFormat="false" ht="15" hidden="false" customHeight="false" outlineLevel="0" collapsed="false">
      <c r="A9627" s="0" t="s">
        <v>4912</v>
      </c>
      <c r="B9627" s="6" t="n">
        <v>42915</v>
      </c>
      <c r="C9627" s="7" t="s">
        <v>45</v>
      </c>
      <c r="D9627" s="7" t="s">
        <v>46</v>
      </c>
      <c r="E9627" s="7" t="s">
        <v>31</v>
      </c>
      <c r="F9627" s="0" t="n">
        <v>409.9992</v>
      </c>
      <c r="G9627" s="0" t="n">
        <v>-96.4704</v>
      </c>
      <c r="H9627" s="0" t="n">
        <v>0.32</v>
      </c>
      <c r="I9627" s="7" t="n">
        <f aca="false">YEAR(B9627)</f>
        <v>2017</v>
      </c>
      <c r="J9627" s="0" t="str">
        <f aca="false">I9627&amp;"-Q"&amp;ROUNDUP(MONTH(B9627)/3,0)</f>
        <v>2017-Q2</v>
      </c>
    </row>
    <row r="9628" customFormat="false" ht="15" hidden="false" customHeight="false" outlineLevel="0" collapsed="false">
      <c r="A9628" s="0" t="s">
        <v>4913</v>
      </c>
      <c r="B9628" s="6" t="n">
        <v>43001</v>
      </c>
      <c r="C9628" s="7" t="s">
        <v>45</v>
      </c>
      <c r="D9628" s="7" t="s">
        <v>46</v>
      </c>
      <c r="E9628" s="7" t="s">
        <v>35</v>
      </c>
      <c r="F9628" s="0" t="n">
        <v>9.248</v>
      </c>
      <c r="G9628" s="0" t="n">
        <v>3.3524</v>
      </c>
      <c r="H9628" s="0" t="n">
        <v>0.2</v>
      </c>
      <c r="I9628" s="7" t="n">
        <f aca="false">YEAR(B9628)</f>
        <v>2017</v>
      </c>
      <c r="J9628" s="0" t="str">
        <f aca="false">I9628&amp;"-Q"&amp;ROUNDUP(MONTH(B9628)/3,0)</f>
        <v>2017-Q3</v>
      </c>
    </row>
    <row r="9629" customFormat="false" ht="15" hidden="false" customHeight="false" outlineLevel="0" collapsed="false">
      <c r="A9629" s="0" t="s">
        <v>4914</v>
      </c>
      <c r="B9629" s="6" t="n">
        <v>41966</v>
      </c>
      <c r="C9629" s="7" t="s">
        <v>45</v>
      </c>
      <c r="D9629" s="7" t="s">
        <v>70</v>
      </c>
      <c r="E9629" s="7" t="s">
        <v>35</v>
      </c>
      <c r="F9629" s="0" t="n">
        <v>14.67</v>
      </c>
      <c r="G9629" s="0" t="n">
        <v>6.7482</v>
      </c>
      <c r="H9629" s="0" t="n">
        <v>0</v>
      </c>
      <c r="I9629" s="7" t="n">
        <f aca="false">YEAR(B9629)</f>
        <v>2014</v>
      </c>
      <c r="J9629" s="0" t="str">
        <f aca="false">I9629&amp;"-Q"&amp;ROUNDUP(MONTH(B9629)/3,0)</f>
        <v>2014-Q4</v>
      </c>
    </row>
    <row r="9630" customFormat="false" ht="15" hidden="false" customHeight="false" outlineLevel="0" collapsed="false">
      <c r="A9630" s="0" t="s">
        <v>4915</v>
      </c>
      <c r="B9630" s="6" t="n">
        <v>41652</v>
      </c>
      <c r="C9630" s="7" t="s">
        <v>55</v>
      </c>
      <c r="D9630" s="7" t="s">
        <v>116</v>
      </c>
      <c r="E9630" s="7" t="s">
        <v>35</v>
      </c>
      <c r="F9630" s="0" t="n">
        <v>37.408</v>
      </c>
      <c r="G9630" s="0" t="n">
        <v>13.0928</v>
      </c>
      <c r="H9630" s="0" t="n">
        <v>0.2</v>
      </c>
      <c r="I9630" s="7" t="n">
        <f aca="false">YEAR(B9630)</f>
        <v>2014</v>
      </c>
      <c r="J9630" s="0" t="str">
        <f aca="false">I9630&amp;"-Q"&amp;ROUNDUP(MONTH(B9630)/3,0)</f>
        <v>2014-Q1</v>
      </c>
    </row>
    <row r="9631" customFormat="false" ht="15" hidden="false" customHeight="false" outlineLevel="0" collapsed="false">
      <c r="A9631" s="0" t="s">
        <v>4915</v>
      </c>
      <c r="B9631" s="6" t="n">
        <v>41652</v>
      </c>
      <c r="C9631" s="7" t="s">
        <v>55</v>
      </c>
      <c r="D9631" s="7" t="s">
        <v>116</v>
      </c>
      <c r="E9631" s="7" t="s">
        <v>35</v>
      </c>
      <c r="F9631" s="0" t="n">
        <v>3.438</v>
      </c>
      <c r="G9631" s="0" t="n">
        <v>-2.5212</v>
      </c>
      <c r="H9631" s="0" t="n">
        <v>0.7</v>
      </c>
      <c r="I9631" s="7" t="n">
        <f aca="false">YEAR(B9631)</f>
        <v>2014</v>
      </c>
      <c r="J9631" s="0" t="str">
        <f aca="false">I9631&amp;"-Q"&amp;ROUNDUP(MONTH(B9631)/3,0)</f>
        <v>2014-Q1</v>
      </c>
    </row>
    <row r="9632" customFormat="false" ht="15" hidden="false" customHeight="false" outlineLevel="0" collapsed="false">
      <c r="A9632" s="0" t="s">
        <v>4916</v>
      </c>
      <c r="B9632" s="6" t="n">
        <v>42521</v>
      </c>
      <c r="C9632" s="7" t="s">
        <v>55</v>
      </c>
      <c r="D9632" s="7" t="s">
        <v>76</v>
      </c>
      <c r="E9632" s="7" t="s">
        <v>35</v>
      </c>
      <c r="F9632" s="0" t="n">
        <v>7.152</v>
      </c>
      <c r="G9632" s="0" t="n">
        <v>2.3244</v>
      </c>
      <c r="H9632" s="0" t="n">
        <v>0.2</v>
      </c>
      <c r="I9632" s="7" t="n">
        <f aca="false">YEAR(B9632)</f>
        <v>2016</v>
      </c>
      <c r="J9632" s="0" t="str">
        <f aca="false">I9632&amp;"-Q"&amp;ROUNDUP(MONTH(B9632)/3,0)</f>
        <v>2016-Q2</v>
      </c>
    </row>
    <row r="9633" customFormat="false" ht="15" hidden="false" customHeight="false" outlineLevel="0" collapsed="false">
      <c r="A9633" s="0" t="s">
        <v>4916</v>
      </c>
      <c r="B9633" s="6" t="n">
        <v>42521</v>
      </c>
      <c r="C9633" s="7" t="s">
        <v>55</v>
      </c>
      <c r="D9633" s="7" t="s">
        <v>76</v>
      </c>
      <c r="E9633" s="7" t="s">
        <v>39</v>
      </c>
      <c r="F9633" s="0" t="n">
        <v>179.7</v>
      </c>
      <c r="G9633" s="0" t="n">
        <v>88.053</v>
      </c>
      <c r="H9633" s="0" t="n">
        <v>0</v>
      </c>
      <c r="I9633" s="7" t="n">
        <f aca="false">YEAR(B9633)</f>
        <v>2016</v>
      </c>
      <c r="J9633" s="0" t="str">
        <f aca="false">I9633&amp;"-Q"&amp;ROUNDUP(MONTH(B9633)/3,0)</f>
        <v>2016-Q2</v>
      </c>
    </row>
    <row r="9634" customFormat="false" ht="15" hidden="false" customHeight="false" outlineLevel="0" collapsed="false">
      <c r="A9634" s="0" t="s">
        <v>4917</v>
      </c>
      <c r="B9634" s="6" t="n">
        <v>42779</v>
      </c>
      <c r="C9634" s="7" t="s">
        <v>45</v>
      </c>
      <c r="D9634" s="7" t="s">
        <v>68</v>
      </c>
      <c r="E9634" s="7" t="s">
        <v>35</v>
      </c>
      <c r="F9634" s="0" t="n">
        <v>90.64</v>
      </c>
      <c r="G9634" s="0" t="n">
        <v>38.9752</v>
      </c>
      <c r="H9634" s="0" t="n">
        <v>0</v>
      </c>
      <c r="I9634" s="7" t="n">
        <f aca="false">YEAR(B9634)</f>
        <v>2017</v>
      </c>
      <c r="J9634" s="0" t="str">
        <f aca="false">I9634&amp;"-Q"&amp;ROUNDUP(MONTH(B9634)/3,0)</f>
        <v>2017-Q1</v>
      </c>
    </row>
    <row r="9635" customFormat="false" ht="15" hidden="false" customHeight="false" outlineLevel="0" collapsed="false">
      <c r="A9635" s="0" t="s">
        <v>4918</v>
      </c>
      <c r="B9635" s="6" t="n">
        <v>41926</v>
      </c>
      <c r="C9635" s="7" t="s">
        <v>55</v>
      </c>
      <c r="D9635" s="7" t="s">
        <v>225</v>
      </c>
      <c r="E9635" s="7" t="s">
        <v>39</v>
      </c>
      <c r="F9635" s="0" t="n">
        <v>177</v>
      </c>
      <c r="G9635" s="0" t="n">
        <v>30.09</v>
      </c>
      <c r="H9635" s="0" t="n">
        <v>0</v>
      </c>
      <c r="I9635" s="7" t="n">
        <f aca="false">YEAR(B9635)</f>
        <v>2014</v>
      </c>
      <c r="J9635" s="0" t="str">
        <f aca="false">I9635&amp;"-Q"&amp;ROUNDUP(MONTH(B9635)/3,0)</f>
        <v>2014-Q4</v>
      </c>
    </row>
    <row r="9636" customFormat="false" ht="15" hidden="false" customHeight="false" outlineLevel="0" collapsed="false">
      <c r="A9636" s="0" t="s">
        <v>4918</v>
      </c>
      <c r="B9636" s="6" t="n">
        <v>41926</v>
      </c>
      <c r="C9636" s="7" t="s">
        <v>55</v>
      </c>
      <c r="D9636" s="7" t="s">
        <v>225</v>
      </c>
      <c r="E9636" s="7" t="s">
        <v>35</v>
      </c>
      <c r="F9636" s="0" t="n">
        <v>79.45</v>
      </c>
      <c r="G9636" s="0" t="n">
        <v>22.246</v>
      </c>
      <c r="H9636" s="0" t="n">
        <v>0</v>
      </c>
      <c r="I9636" s="7" t="n">
        <f aca="false">YEAR(B9636)</f>
        <v>2014</v>
      </c>
      <c r="J9636" s="0" t="str">
        <f aca="false">I9636&amp;"-Q"&amp;ROUNDUP(MONTH(B9636)/3,0)</f>
        <v>2014-Q4</v>
      </c>
    </row>
    <row r="9637" customFormat="false" ht="15" hidden="false" customHeight="false" outlineLevel="0" collapsed="false">
      <c r="A9637" s="0" t="s">
        <v>4918</v>
      </c>
      <c r="B9637" s="6" t="n">
        <v>41926</v>
      </c>
      <c r="C9637" s="7" t="s">
        <v>55</v>
      </c>
      <c r="D9637" s="7" t="s">
        <v>225</v>
      </c>
      <c r="E9637" s="7" t="s">
        <v>31</v>
      </c>
      <c r="F9637" s="0" t="n">
        <v>1628.82</v>
      </c>
      <c r="G9637" s="0" t="n">
        <v>260.6112</v>
      </c>
      <c r="H9637" s="0" t="n">
        <v>0</v>
      </c>
      <c r="I9637" s="7" t="n">
        <f aca="false">YEAR(B9637)</f>
        <v>2014</v>
      </c>
      <c r="J9637" s="0" t="str">
        <f aca="false">I9637&amp;"-Q"&amp;ROUNDUP(MONTH(B9637)/3,0)</f>
        <v>2014-Q4</v>
      </c>
    </row>
    <row r="9638" customFormat="false" ht="15" hidden="false" customHeight="false" outlineLevel="0" collapsed="false">
      <c r="A9638" s="0" t="s">
        <v>4919</v>
      </c>
      <c r="B9638" s="6" t="n">
        <v>41961</v>
      </c>
      <c r="C9638" s="7" t="s">
        <v>33</v>
      </c>
      <c r="D9638" s="7" t="s">
        <v>43</v>
      </c>
      <c r="E9638" s="7" t="s">
        <v>31</v>
      </c>
      <c r="F9638" s="0" t="n">
        <v>137.54</v>
      </c>
      <c r="G9638" s="0" t="n">
        <v>55.016</v>
      </c>
      <c r="H9638" s="0" t="n">
        <v>0</v>
      </c>
      <c r="I9638" s="7" t="n">
        <f aca="false">YEAR(B9638)</f>
        <v>2014</v>
      </c>
      <c r="J9638" s="0" t="str">
        <f aca="false">I9638&amp;"-Q"&amp;ROUNDUP(MONTH(B9638)/3,0)</f>
        <v>2014-Q4</v>
      </c>
    </row>
    <row r="9639" customFormat="false" ht="15" hidden="false" customHeight="false" outlineLevel="0" collapsed="false">
      <c r="A9639" s="0" t="s">
        <v>4919</v>
      </c>
      <c r="B9639" s="6" t="n">
        <v>41961</v>
      </c>
      <c r="C9639" s="7" t="s">
        <v>33</v>
      </c>
      <c r="D9639" s="7" t="s">
        <v>43</v>
      </c>
      <c r="E9639" s="7" t="s">
        <v>31</v>
      </c>
      <c r="F9639" s="0" t="n">
        <v>730.2</v>
      </c>
      <c r="G9639" s="0" t="n">
        <v>94.926</v>
      </c>
      <c r="H9639" s="0" t="n">
        <v>0</v>
      </c>
      <c r="I9639" s="7" t="n">
        <f aca="false">YEAR(B9639)</f>
        <v>2014</v>
      </c>
      <c r="J9639" s="0" t="str">
        <f aca="false">I9639&amp;"-Q"&amp;ROUNDUP(MONTH(B9639)/3,0)</f>
        <v>2014-Q4</v>
      </c>
    </row>
    <row r="9640" customFormat="false" ht="15" hidden="false" customHeight="false" outlineLevel="0" collapsed="false">
      <c r="A9640" s="0" t="s">
        <v>4920</v>
      </c>
      <c r="B9640" s="6" t="n">
        <v>43051</v>
      </c>
      <c r="C9640" s="7" t="s">
        <v>33</v>
      </c>
      <c r="D9640" s="7" t="s">
        <v>34</v>
      </c>
      <c r="E9640" s="7" t="s">
        <v>35</v>
      </c>
      <c r="F9640" s="0" t="n">
        <v>11.56</v>
      </c>
      <c r="G9640" s="0" t="n">
        <v>5.6644</v>
      </c>
      <c r="H9640" s="0" t="n">
        <v>0</v>
      </c>
      <c r="I9640" s="7" t="n">
        <f aca="false">YEAR(B9640)</f>
        <v>2017</v>
      </c>
      <c r="J9640" s="0" t="str">
        <f aca="false">I9640&amp;"-Q"&amp;ROUNDUP(MONTH(B9640)/3,0)</f>
        <v>2017-Q4</v>
      </c>
    </row>
    <row r="9641" customFormat="false" ht="15" hidden="false" customHeight="false" outlineLevel="0" collapsed="false">
      <c r="A9641" s="0" t="s">
        <v>4921</v>
      </c>
      <c r="B9641" s="6" t="n">
        <v>42032</v>
      </c>
      <c r="C9641" s="7" t="s">
        <v>29</v>
      </c>
      <c r="D9641" s="7" t="s">
        <v>41</v>
      </c>
      <c r="E9641" s="7" t="s">
        <v>31</v>
      </c>
      <c r="F9641" s="0" t="n">
        <v>4297.644</v>
      </c>
      <c r="G9641" s="0" t="n">
        <v>-1862.3124</v>
      </c>
      <c r="H9641" s="0" t="n">
        <v>0.4</v>
      </c>
      <c r="I9641" s="7" t="n">
        <f aca="false">YEAR(B9641)</f>
        <v>2015</v>
      </c>
      <c r="J9641" s="0" t="str">
        <f aca="false">I9641&amp;"-Q"&amp;ROUNDUP(MONTH(B9641)/3,0)</f>
        <v>2015-Q1</v>
      </c>
    </row>
    <row r="9642" customFormat="false" ht="15" hidden="false" customHeight="false" outlineLevel="0" collapsed="false">
      <c r="A9642" s="0" t="s">
        <v>4922</v>
      </c>
      <c r="B9642" s="6" t="n">
        <v>41705</v>
      </c>
      <c r="C9642" s="7" t="s">
        <v>33</v>
      </c>
      <c r="D9642" s="7" t="s">
        <v>43</v>
      </c>
      <c r="E9642" s="7" t="s">
        <v>35</v>
      </c>
      <c r="F9642" s="0" t="n">
        <v>20.65</v>
      </c>
      <c r="G9642" s="0" t="n">
        <v>9.499</v>
      </c>
      <c r="H9642" s="0" t="n">
        <v>0</v>
      </c>
      <c r="I9642" s="7" t="n">
        <f aca="false">YEAR(B9642)</f>
        <v>2014</v>
      </c>
      <c r="J9642" s="0" t="str">
        <f aca="false">I9642&amp;"-Q"&amp;ROUNDUP(MONTH(B9642)/3,0)</f>
        <v>2014-Q1</v>
      </c>
    </row>
    <row r="9643" customFormat="false" ht="15" hidden="false" customHeight="false" outlineLevel="0" collapsed="false">
      <c r="A9643" s="0" t="s">
        <v>4922</v>
      </c>
      <c r="B9643" s="6" t="n">
        <v>41705</v>
      </c>
      <c r="C9643" s="7" t="s">
        <v>33</v>
      </c>
      <c r="D9643" s="7" t="s">
        <v>43</v>
      </c>
      <c r="E9643" s="7" t="s">
        <v>35</v>
      </c>
      <c r="F9643" s="0" t="n">
        <v>204.9</v>
      </c>
      <c r="G9643" s="0" t="n">
        <v>0</v>
      </c>
      <c r="H9643" s="0" t="n">
        <v>0</v>
      </c>
      <c r="I9643" s="7" t="n">
        <f aca="false">YEAR(B9643)</f>
        <v>2014</v>
      </c>
      <c r="J9643" s="0" t="str">
        <f aca="false">I9643&amp;"-Q"&amp;ROUNDUP(MONTH(B9643)/3,0)</f>
        <v>2014-Q1</v>
      </c>
    </row>
    <row r="9644" customFormat="false" ht="15" hidden="false" customHeight="false" outlineLevel="0" collapsed="false">
      <c r="A9644" s="0" t="s">
        <v>4922</v>
      </c>
      <c r="B9644" s="6" t="n">
        <v>41705</v>
      </c>
      <c r="C9644" s="7" t="s">
        <v>33</v>
      </c>
      <c r="D9644" s="7" t="s">
        <v>43</v>
      </c>
      <c r="E9644" s="7" t="s">
        <v>31</v>
      </c>
      <c r="F9644" s="0" t="n">
        <v>436.704</v>
      </c>
      <c r="G9644" s="0" t="n">
        <v>21.8352</v>
      </c>
      <c r="H9644" s="0" t="n">
        <v>0.2</v>
      </c>
      <c r="I9644" s="7" t="n">
        <f aca="false">YEAR(B9644)</f>
        <v>2014</v>
      </c>
      <c r="J9644" s="0" t="str">
        <f aca="false">I9644&amp;"-Q"&amp;ROUNDUP(MONTH(B9644)/3,0)</f>
        <v>2014-Q1</v>
      </c>
    </row>
    <row r="9645" customFormat="false" ht="15" hidden="false" customHeight="false" outlineLevel="0" collapsed="false">
      <c r="A9645" s="0" t="s">
        <v>4922</v>
      </c>
      <c r="B9645" s="6" t="n">
        <v>41705</v>
      </c>
      <c r="C9645" s="7" t="s">
        <v>33</v>
      </c>
      <c r="D9645" s="7" t="s">
        <v>43</v>
      </c>
      <c r="E9645" s="7" t="s">
        <v>31</v>
      </c>
      <c r="F9645" s="0" t="n">
        <v>481.568</v>
      </c>
      <c r="G9645" s="0" t="n">
        <v>54.1764</v>
      </c>
      <c r="H9645" s="0" t="n">
        <v>0.2</v>
      </c>
      <c r="I9645" s="7" t="n">
        <f aca="false">YEAR(B9645)</f>
        <v>2014</v>
      </c>
      <c r="J9645" s="0" t="str">
        <f aca="false">I9645&amp;"-Q"&amp;ROUNDUP(MONTH(B9645)/3,0)</f>
        <v>2014-Q1</v>
      </c>
    </row>
    <row r="9646" customFormat="false" ht="15" hidden="false" customHeight="false" outlineLevel="0" collapsed="false">
      <c r="A9646" s="0" t="s">
        <v>4923</v>
      </c>
      <c r="B9646" s="6" t="n">
        <v>42894</v>
      </c>
      <c r="C9646" s="7" t="s">
        <v>33</v>
      </c>
      <c r="D9646" s="7" t="s">
        <v>81</v>
      </c>
      <c r="E9646" s="7" t="s">
        <v>39</v>
      </c>
      <c r="F9646" s="0" t="n">
        <v>89.544</v>
      </c>
      <c r="G9646" s="0" t="n">
        <v>12.3123</v>
      </c>
      <c r="H9646" s="0" t="n">
        <v>0.2</v>
      </c>
      <c r="I9646" s="7" t="n">
        <f aca="false">YEAR(B9646)</f>
        <v>2017</v>
      </c>
      <c r="J9646" s="0" t="str">
        <f aca="false">I9646&amp;"-Q"&amp;ROUNDUP(MONTH(B9646)/3,0)</f>
        <v>2017-Q2</v>
      </c>
    </row>
    <row r="9647" customFormat="false" ht="15" hidden="false" customHeight="false" outlineLevel="0" collapsed="false">
      <c r="A9647" s="0" t="s">
        <v>4923</v>
      </c>
      <c r="B9647" s="6" t="n">
        <v>42894</v>
      </c>
      <c r="C9647" s="7" t="s">
        <v>33</v>
      </c>
      <c r="D9647" s="7" t="s">
        <v>81</v>
      </c>
      <c r="E9647" s="7" t="s">
        <v>35</v>
      </c>
      <c r="F9647" s="0" t="n">
        <v>35.168</v>
      </c>
      <c r="G9647" s="0" t="n">
        <v>-8.3524</v>
      </c>
      <c r="H9647" s="0" t="n">
        <v>0.2</v>
      </c>
      <c r="I9647" s="7" t="n">
        <f aca="false">YEAR(B9647)</f>
        <v>2017</v>
      </c>
      <c r="J9647" s="0" t="str">
        <f aca="false">I9647&amp;"-Q"&amp;ROUNDUP(MONTH(B9647)/3,0)</f>
        <v>2017-Q2</v>
      </c>
    </row>
    <row r="9648" customFormat="false" ht="15" hidden="false" customHeight="false" outlineLevel="0" collapsed="false">
      <c r="A9648" s="0" t="s">
        <v>4923</v>
      </c>
      <c r="B9648" s="6" t="n">
        <v>42894</v>
      </c>
      <c r="C9648" s="7" t="s">
        <v>33</v>
      </c>
      <c r="D9648" s="7" t="s">
        <v>81</v>
      </c>
      <c r="E9648" s="7" t="s">
        <v>35</v>
      </c>
      <c r="F9648" s="0" t="n">
        <v>72.588</v>
      </c>
      <c r="G9648" s="0" t="n">
        <v>-48.392</v>
      </c>
      <c r="H9648" s="0" t="n">
        <v>0.7</v>
      </c>
      <c r="I9648" s="7" t="n">
        <f aca="false">YEAR(B9648)</f>
        <v>2017</v>
      </c>
      <c r="J9648" s="0" t="str">
        <f aca="false">I9648&amp;"-Q"&amp;ROUNDUP(MONTH(B9648)/3,0)</f>
        <v>2017-Q2</v>
      </c>
    </row>
    <row r="9649" customFormat="false" ht="15" hidden="false" customHeight="false" outlineLevel="0" collapsed="false">
      <c r="A9649" s="0" t="s">
        <v>4924</v>
      </c>
      <c r="B9649" s="6" t="n">
        <v>41962</v>
      </c>
      <c r="C9649" s="7" t="s">
        <v>45</v>
      </c>
      <c r="D9649" s="7" t="s">
        <v>68</v>
      </c>
      <c r="E9649" s="7" t="s">
        <v>35</v>
      </c>
      <c r="F9649" s="0" t="n">
        <v>221.16</v>
      </c>
      <c r="G9649" s="0" t="n">
        <v>57.5016</v>
      </c>
      <c r="H9649" s="0" t="n">
        <v>0</v>
      </c>
      <c r="I9649" s="7" t="n">
        <f aca="false">YEAR(B9649)</f>
        <v>2014</v>
      </c>
      <c r="J9649" s="0" t="str">
        <f aca="false">I9649&amp;"-Q"&amp;ROUNDUP(MONTH(B9649)/3,0)</f>
        <v>2014-Q4</v>
      </c>
    </row>
    <row r="9650" customFormat="false" ht="15" hidden="false" customHeight="false" outlineLevel="0" collapsed="false">
      <c r="A9650" s="0" t="s">
        <v>4924</v>
      </c>
      <c r="B9650" s="6" t="n">
        <v>41962</v>
      </c>
      <c r="C9650" s="7" t="s">
        <v>45</v>
      </c>
      <c r="D9650" s="7" t="s">
        <v>68</v>
      </c>
      <c r="E9650" s="7" t="s">
        <v>39</v>
      </c>
      <c r="F9650" s="0" t="n">
        <v>281.97</v>
      </c>
      <c r="G9650" s="0" t="n">
        <v>78.9516</v>
      </c>
      <c r="H9650" s="0" t="n">
        <v>0</v>
      </c>
      <c r="I9650" s="7" t="n">
        <f aca="false">YEAR(B9650)</f>
        <v>2014</v>
      </c>
      <c r="J9650" s="0" t="str">
        <f aca="false">I9650&amp;"-Q"&amp;ROUNDUP(MONTH(B9650)/3,0)</f>
        <v>2014-Q4</v>
      </c>
    </row>
    <row r="9651" customFormat="false" ht="15" hidden="false" customHeight="false" outlineLevel="0" collapsed="false">
      <c r="A9651" s="0" t="s">
        <v>4925</v>
      </c>
      <c r="B9651" s="6" t="n">
        <v>42700</v>
      </c>
      <c r="C9651" s="7" t="s">
        <v>33</v>
      </c>
      <c r="D9651" s="7" t="s">
        <v>34</v>
      </c>
      <c r="E9651" s="7" t="s">
        <v>31</v>
      </c>
      <c r="F9651" s="0" t="n">
        <v>3406.664</v>
      </c>
      <c r="G9651" s="0" t="n">
        <v>160.3136</v>
      </c>
      <c r="H9651" s="0" t="n">
        <v>0.15</v>
      </c>
      <c r="I9651" s="7" t="n">
        <f aca="false">YEAR(B9651)</f>
        <v>2016</v>
      </c>
      <c r="J9651" s="0" t="str">
        <f aca="false">I9651&amp;"-Q"&amp;ROUNDUP(MONTH(B9651)/3,0)</f>
        <v>2016-Q4</v>
      </c>
    </row>
    <row r="9652" customFormat="false" ht="15" hidden="false" customHeight="false" outlineLevel="0" collapsed="false">
      <c r="A9652" s="0" t="s">
        <v>4925</v>
      </c>
      <c r="B9652" s="6" t="n">
        <v>42700</v>
      </c>
      <c r="C9652" s="7" t="s">
        <v>33</v>
      </c>
      <c r="D9652" s="7" t="s">
        <v>34</v>
      </c>
      <c r="E9652" s="7" t="s">
        <v>35</v>
      </c>
      <c r="F9652" s="0" t="n">
        <v>37.17</v>
      </c>
      <c r="G9652" s="0" t="n">
        <v>10.4076</v>
      </c>
      <c r="H9652" s="0" t="n">
        <v>0</v>
      </c>
      <c r="I9652" s="7" t="n">
        <f aca="false">YEAR(B9652)</f>
        <v>2016</v>
      </c>
      <c r="J9652" s="0" t="str">
        <f aca="false">I9652&amp;"-Q"&amp;ROUNDUP(MONTH(B9652)/3,0)</f>
        <v>2016-Q4</v>
      </c>
    </row>
    <row r="9653" customFormat="false" ht="15" hidden="false" customHeight="false" outlineLevel="0" collapsed="false">
      <c r="A9653" s="0" t="s">
        <v>4925</v>
      </c>
      <c r="B9653" s="6" t="n">
        <v>42700</v>
      </c>
      <c r="C9653" s="7" t="s">
        <v>33</v>
      </c>
      <c r="D9653" s="7" t="s">
        <v>34</v>
      </c>
      <c r="E9653" s="7" t="s">
        <v>35</v>
      </c>
      <c r="F9653" s="0" t="n">
        <v>64.96</v>
      </c>
      <c r="G9653" s="0" t="n">
        <v>19.488</v>
      </c>
      <c r="H9653" s="0" t="n">
        <v>0</v>
      </c>
      <c r="I9653" s="7" t="n">
        <f aca="false">YEAR(B9653)</f>
        <v>2016</v>
      </c>
      <c r="J9653" s="0" t="str">
        <f aca="false">I9653&amp;"-Q"&amp;ROUNDUP(MONTH(B9653)/3,0)</f>
        <v>2016-Q4</v>
      </c>
    </row>
    <row r="9654" customFormat="false" ht="15" hidden="false" customHeight="false" outlineLevel="0" collapsed="false">
      <c r="A9654" s="0" t="s">
        <v>4925</v>
      </c>
      <c r="B9654" s="6" t="n">
        <v>42700</v>
      </c>
      <c r="C9654" s="7" t="s">
        <v>33</v>
      </c>
      <c r="D9654" s="7" t="s">
        <v>34</v>
      </c>
      <c r="E9654" s="7" t="s">
        <v>31</v>
      </c>
      <c r="F9654" s="0" t="n">
        <v>595.38</v>
      </c>
      <c r="G9654" s="0" t="n">
        <v>297.69</v>
      </c>
      <c r="H9654" s="0" t="n">
        <v>0</v>
      </c>
      <c r="I9654" s="7" t="n">
        <f aca="false">YEAR(B9654)</f>
        <v>2016</v>
      </c>
      <c r="J9654" s="0" t="str">
        <f aca="false">I9654&amp;"-Q"&amp;ROUNDUP(MONTH(B9654)/3,0)</f>
        <v>2016-Q4</v>
      </c>
    </row>
    <row r="9655" customFormat="false" ht="15" hidden="false" customHeight="false" outlineLevel="0" collapsed="false">
      <c r="A9655" s="0" t="s">
        <v>4926</v>
      </c>
      <c r="B9655" s="6" t="n">
        <v>42758</v>
      </c>
      <c r="C9655" s="7" t="s">
        <v>33</v>
      </c>
      <c r="D9655" s="7" t="s">
        <v>81</v>
      </c>
      <c r="E9655" s="7" t="s">
        <v>39</v>
      </c>
      <c r="F9655" s="0" t="n">
        <v>95.984</v>
      </c>
      <c r="G9655" s="0" t="n">
        <v>11.998</v>
      </c>
      <c r="H9655" s="0" t="n">
        <v>0.2</v>
      </c>
      <c r="I9655" s="7" t="n">
        <f aca="false">YEAR(B9655)</f>
        <v>2017</v>
      </c>
      <c r="J9655" s="0" t="str">
        <f aca="false">I9655&amp;"-Q"&amp;ROUNDUP(MONTH(B9655)/3,0)</f>
        <v>2017-Q1</v>
      </c>
    </row>
    <row r="9656" customFormat="false" ht="15" hidden="false" customHeight="false" outlineLevel="0" collapsed="false">
      <c r="A9656" s="0" t="s">
        <v>4926</v>
      </c>
      <c r="B9656" s="6" t="n">
        <v>42758</v>
      </c>
      <c r="C9656" s="7" t="s">
        <v>33</v>
      </c>
      <c r="D9656" s="7" t="s">
        <v>81</v>
      </c>
      <c r="E9656" s="7" t="s">
        <v>35</v>
      </c>
      <c r="F9656" s="0" t="n">
        <v>4.938</v>
      </c>
      <c r="G9656" s="0" t="n">
        <v>-3.6212</v>
      </c>
      <c r="H9656" s="0" t="n">
        <v>0.7</v>
      </c>
      <c r="I9656" s="7" t="n">
        <f aca="false">YEAR(B9656)</f>
        <v>2017</v>
      </c>
      <c r="J9656" s="0" t="str">
        <f aca="false">I9656&amp;"-Q"&amp;ROUNDUP(MONTH(B9656)/3,0)</f>
        <v>2017-Q1</v>
      </c>
    </row>
    <row r="9657" customFormat="false" ht="15" hidden="false" customHeight="false" outlineLevel="0" collapsed="false">
      <c r="A9657" s="0" t="s">
        <v>4927</v>
      </c>
      <c r="B9657" s="6" t="n">
        <v>41904</v>
      </c>
      <c r="C9657" s="7" t="s">
        <v>55</v>
      </c>
      <c r="D9657" s="7" t="s">
        <v>76</v>
      </c>
      <c r="E9657" s="7" t="s">
        <v>31</v>
      </c>
      <c r="F9657" s="0" t="n">
        <v>97.44</v>
      </c>
      <c r="G9657" s="0" t="n">
        <v>35.0784</v>
      </c>
      <c r="H9657" s="0" t="n">
        <v>0</v>
      </c>
      <c r="I9657" s="7" t="n">
        <f aca="false">YEAR(B9657)</f>
        <v>2014</v>
      </c>
      <c r="J9657" s="0" t="str">
        <f aca="false">I9657&amp;"-Q"&amp;ROUNDUP(MONTH(B9657)/3,0)</f>
        <v>2014-Q3</v>
      </c>
    </row>
    <row r="9658" customFormat="false" ht="15" hidden="false" customHeight="false" outlineLevel="0" collapsed="false">
      <c r="A9658" s="0" t="s">
        <v>4927</v>
      </c>
      <c r="B9658" s="6" t="n">
        <v>41904</v>
      </c>
      <c r="C9658" s="7" t="s">
        <v>55</v>
      </c>
      <c r="D9658" s="7" t="s">
        <v>76</v>
      </c>
      <c r="E9658" s="7" t="s">
        <v>35</v>
      </c>
      <c r="F9658" s="0" t="n">
        <v>3.984</v>
      </c>
      <c r="G9658" s="0" t="n">
        <v>1.3944</v>
      </c>
      <c r="H9658" s="0" t="n">
        <v>0.2</v>
      </c>
      <c r="I9658" s="7" t="n">
        <f aca="false">YEAR(B9658)</f>
        <v>2014</v>
      </c>
      <c r="J9658" s="0" t="str">
        <f aca="false">I9658&amp;"-Q"&amp;ROUNDUP(MONTH(B9658)/3,0)</f>
        <v>2014-Q3</v>
      </c>
    </row>
    <row r="9659" customFormat="false" ht="15" hidden="false" customHeight="false" outlineLevel="0" collapsed="false">
      <c r="A9659" s="0" t="s">
        <v>4927</v>
      </c>
      <c r="B9659" s="6" t="n">
        <v>41904</v>
      </c>
      <c r="C9659" s="7" t="s">
        <v>55</v>
      </c>
      <c r="D9659" s="7" t="s">
        <v>76</v>
      </c>
      <c r="E9659" s="7" t="s">
        <v>35</v>
      </c>
      <c r="F9659" s="0" t="n">
        <v>13.04</v>
      </c>
      <c r="G9659" s="0" t="n">
        <v>5.7376</v>
      </c>
      <c r="H9659" s="0" t="n">
        <v>0</v>
      </c>
      <c r="I9659" s="7" t="n">
        <f aca="false">YEAR(B9659)</f>
        <v>2014</v>
      </c>
      <c r="J9659" s="0" t="str">
        <f aca="false">I9659&amp;"-Q"&amp;ROUNDUP(MONTH(B9659)/3,0)</f>
        <v>2014-Q3</v>
      </c>
    </row>
    <row r="9660" customFormat="false" ht="15" hidden="false" customHeight="false" outlineLevel="0" collapsed="false">
      <c r="A9660" s="0" t="s">
        <v>4927</v>
      </c>
      <c r="B9660" s="6" t="n">
        <v>41904</v>
      </c>
      <c r="C9660" s="7" t="s">
        <v>55</v>
      </c>
      <c r="D9660" s="7" t="s">
        <v>76</v>
      </c>
      <c r="E9660" s="7" t="s">
        <v>31</v>
      </c>
      <c r="F9660" s="0" t="n">
        <v>579.528</v>
      </c>
      <c r="G9660" s="0" t="n">
        <v>83.7096</v>
      </c>
      <c r="H9660" s="0" t="n">
        <v>0.1</v>
      </c>
      <c r="I9660" s="7" t="n">
        <f aca="false">YEAR(B9660)</f>
        <v>2014</v>
      </c>
      <c r="J9660" s="0" t="str">
        <f aca="false">I9660&amp;"-Q"&amp;ROUNDUP(MONTH(B9660)/3,0)</f>
        <v>2014-Q3</v>
      </c>
    </row>
    <row r="9661" customFormat="false" ht="15" hidden="false" customHeight="false" outlineLevel="0" collapsed="false">
      <c r="A9661" s="0" t="s">
        <v>4928</v>
      </c>
      <c r="B9661" s="6" t="n">
        <v>41724</v>
      </c>
      <c r="C9661" s="7" t="s">
        <v>33</v>
      </c>
      <c r="D9661" s="7" t="s">
        <v>34</v>
      </c>
      <c r="E9661" s="7" t="s">
        <v>35</v>
      </c>
      <c r="F9661" s="0" t="n">
        <v>18.75</v>
      </c>
      <c r="G9661" s="0" t="n">
        <v>9</v>
      </c>
      <c r="H9661" s="0" t="n">
        <v>0</v>
      </c>
      <c r="I9661" s="7" t="n">
        <f aca="false">YEAR(B9661)</f>
        <v>2014</v>
      </c>
      <c r="J9661" s="0" t="str">
        <f aca="false">I9661&amp;"-Q"&amp;ROUNDUP(MONTH(B9661)/3,0)</f>
        <v>2014-Q1</v>
      </c>
    </row>
    <row r="9662" customFormat="false" ht="15" hidden="false" customHeight="false" outlineLevel="0" collapsed="false">
      <c r="A9662" s="0" t="s">
        <v>4929</v>
      </c>
      <c r="B9662" s="6" t="n">
        <v>42527</v>
      </c>
      <c r="C9662" s="7" t="s">
        <v>33</v>
      </c>
      <c r="D9662" s="7" t="s">
        <v>34</v>
      </c>
      <c r="E9662" s="7" t="s">
        <v>39</v>
      </c>
      <c r="F9662" s="0" t="n">
        <v>3023.928</v>
      </c>
      <c r="G9662" s="0" t="n">
        <v>226.7946</v>
      </c>
      <c r="H9662" s="0" t="n">
        <v>0.2</v>
      </c>
      <c r="I9662" s="7" t="n">
        <f aca="false">YEAR(B9662)</f>
        <v>2016</v>
      </c>
      <c r="J9662" s="0" t="str">
        <f aca="false">I9662&amp;"-Q"&amp;ROUNDUP(MONTH(B9662)/3,0)</f>
        <v>2016-Q2</v>
      </c>
    </row>
    <row r="9663" customFormat="false" ht="15" hidden="false" customHeight="false" outlineLevel="0" collapsed="false">
      <c r="A9663" s="0" t="s">
        <v>4929</v>
      </c>
      <c r="B9663" s="6" t="n">
        <v>42527</v>
      </c>
      <c r="C9663" s="7" t="s">
        <v>33</v>
      </c>
      <c r="D9663" s="7" t="s">
        <v>34</v>
      </c>
      <c r="E9663" s="7" t="s">
        <v>39</v>
      </c>
      <c r="F9663" s="0" t="n">
        <v>26.96</v>
      </c>
      <c r="G9663" s="0" t="n">
        <v>3.7744</v>
      </c>
      <c r="H9663" s="0" t="n">
        <v>0</v>
      </c>
      <c r="I9663" s="7" t="n">
        <f aca="false">YEAR(B9663)</f>
        <v>2016</v>
      </c>
      <c r="J9663" s="0" t="str">
        <f aca="false">I9663&amp;"-Q"&amp;ROUNDUP(MONTH(B9663)/3,0)</f>
        <v>2016-Q2</v>
      </c>
    </row>
    <row r="9664" customFormat="false" ht="15" hidden="false" customHeight="false" outlineLevel="0" collapsed="false">
      <c r="A9664" s="0" t="s">
        <v>4929</v>
      </c>
      <c r="B9664" s="6" t="n">
        <v>42527</v>
      </c>
      <c r="C9664" s="7" t="s">
        <v>33</v>
      </c>
      <c r="D9664" s="7" t="s">
        <v>34</v>
      </c>
      <c r="E9664" s="7" t="s">
        <v>39</v>
      </c>
      <c r="F9664" s="0" t="n">
        <v>477.6</v>
      </c>
      <c r="G9664" s="0" t="n">
        <v>161.19</v>
      </c>
      <c r="H9664" s="0" t="n">
        <v>0.2</v>
      </c>
      <c r="I9664" s="7" t="n">
        <f aca="false">YEAR(B9664)</f>
        <v>2016</v>
      </c>
      <c r="J9664" s="0" t="str">
        <f aca="false">I9664&amp;"-Q"&amp;ROUNDUP(MONTH(B9664)/3,0)</f>
        <v>2016-Q2</v>
      </c>
    </row>
    <row r="9665" customFormat="false" ht="15" hidden="false" customHeight="false" outlineLevel="0" collapsed="false">
      <c r="A9665" s="0" t="s">
        <v>4930</v>
      </c>
      <c r="B9665" s="6" t="n">
        <v>42978</v>
      </c>
      <c r="C9665" s="7" t="s">
        <v>33</v>
      </c>
      <c r="D9665" s="7" t="s">
        <v>34</v>
      </c>
      <c r="E9665" s="7" t="s">
        <v>35</v>
      </c>
      <c r="F9665" s="0" t="n">
        <v>193.95</v>
      </c>
      <c r="G9665" s="0" t="n">
        <v>9.6975</v>
      </c>
      <c r="H9665" s="0" t="n">
        <v>0</v>
      </c>
      <c r="I9665" s="7" t="n">
        <f aca="false">YEAR(B9665)</f>
        <v>2017</v>
      </c>
      <c r="J9665" s="0" t="str">
        <f aca="false">I9665&amp;"-Q"&amp;ROUNDUP(MONTH(B9665)/3,0)</f>
        <v>2017-Q3</v>
      </c>
    </row>
    <row r="9666" customFormat="false" ht="15" hidden="false" customHeight="false" outlineLevel="0" collapsed="false">
      <c r="A9666" s="0" t="s">
        <v>4931</v>
      </c>
      <c r="B9666" s="6" t="n">
        <v>42345</v>
      </c>
      <c r="C9666" s="7" t="s">
        <v>33</v>
      </c>
      <c r="D9666" s="7" t="s">
        <v>34</v>
      </c>
      <c r="E9666" s="7" t="s">
        <v>35</v>
      </c>
      <c r="F9666" s="0" t="n">
        <v>12.96</v>
      </c>
      <c r="G9666" s="0" t="n">
        <v>6.2208</v>
      </c>
      <c r="H9666" s="0" t="n">
        <v>0</v>
      </c>
      <c r="I9666" s="7" t="n">
        <f aca="false">YEAR(B9666)</f>
        <v>2015</v>
      </c>
      <c r="J9666" s="0" t="str">
        <f aca="false">I9666&amp;"-Q"&amp;ROUNDUP(MONTH(B9666)/3,0)</f>
        <v>2015-Q4</v>
      </c>
    </row>
    <row r="9667" customFormat="false" ht="15" hidden="false" customHeight="false" outlineLevel="0" collapsed="false">
      <c r="A9667" s="0" t="s">
        <v>4932</v>
      </c>
      <c r="B9667" s="6" t="n">
        <v>43055</v>
      </c>
      <c r="C9667" s="7" t="s">
        <v>33</v>
      </c>
      <c r="D9667" s="7" t="s">
        <v>34</v>
      </c>
      <c r="E9667" s="7" t="s">
        <v>31</v>
      </c>
      <c r="F9667" s="0" t="n">
        <v>119.94</v>
      </c>
      <c r="G9667" s="0" t="n">
        <v>23.988</v>
      </c>
      <c r="H9667" s="0" t="n">
        <v>0</v>
      </c>
      <c r="I9667" s="7" t="n">
        <f aca="false">YEAR(B9667)</f>
        <v>2017</v>
      </c>
      <c r="J9667" s="0" t="str">
        <f aca="false">I9667&amp;"-Q"&amp;ROUNDUP(MONTH(B9667)/3,0)</f>
        <v>2017-Q4</v>
      </c>
    </row>
    <row r="9668" customFormat="false" ht="15" hidden="false" customHeight="false" outlineLevel="0" collapsed="false">
      <c r="A9668" s="0" t="s">
        <v>4932</v>
      </c>
      <c r="B9668" s="6" t="n">
        <v>43055</v>
      </c>
      <c r="C9668" s="7" t="s">
        <v>33</v>
      </c>
      <c r="D9668" s="7" t="s">
        <v>34</v>
      </c>
      <c r="E9668" s="7" t="s">
        <v>31</v>
      </c>
      <c r="F9668" s="0" t="n">
        <v>12.42</v>
      </c>
      <c r="G9668" s="0" t="n">
        <v>4.4712</v>
      </c>
      <c r="H9668" s="0" t="n">
        <v>0</v>
      </c>
      <c r="I9668" s="7" t="n">
        <f aca="false">YEAR(B9668)</f>
        <v>2017</v>
      </c>
      <c r="J9668" s="0" t="str">
        <f aca="false">I9668&amp;"-Q"&amp;ROUNDUP(MONTH(B9668)/3,0)</f>
        <v>2017-Q4</v>
      </c>
    </row>
    <row r="9669" customFormat="false" ht="15" hidden="false" customHeight="false" outlineLevel="0" collapsed="false">
      <c r="A9669" s="0" t="s">
        <v>4933</v>
      </c>
      <c r="B9669" s="6" t="n">
        <v>42483</v>
      </c>
      <c r="C9669" s="7" t="s">
        <v>33</v>
      </c>
      <c r="D9669" s="7" t="s">
        <v>34</v>
      </c>
      <c r="E9669" s="7" t="s">
        <v>35</v>
      </c>
      <c r="F9669" s="0" t="n">
        <v>18.088</v>
      </c>
      <c r="G9669" s="0" t="n">
        <v>6.5569</v>
      </c>
      <c r="H9669" s="0" t="n">
        <v>0.2</v>
      </c>
      <c r="I9669" s="7" t="n">
        <f aca="false">YEAR(B9669)</f>
        <v>2016</v>
      </c>
      <c r="J9669" s="0" t="str">
        <f aca="false">I9669&amp;"-Q"&amp;ROUNDUP(MONTH(B9669)/3,0)</f>
        <v>2016-Q2</v>
      </c>
    </row>
    <row r="9670" customFormat="false" ht="15" hidden="false" customHeight="false" outlineLevel="0" collapsed="false">
      <c r="A9670" s="0" t="s">
        <v>4933</v>
      </c>
      <c r="B9670" s="6" t="n">
        <v>42483</v>
      </c>
      <c r="C9670" s="7" t="s">
        <v>33</v>
      </c>
      <c r="D9670" s="7" t="s">
        <v>34</v>
      </c>
      <c r="E9670" s="7" t="s">
        <v>35</v>
      </c>
      <c r="F9670" s="0" t="n">
        <v>71.97</v>
      </c>
      <c r="G9670" s="0" t="n">
        <v>35.985</v>
      </c>
      <c r="H9670" s="0" t="n">
        <v>0</v>
      </c>
      <c r="I9670" s="7" t="n">
        <f aca="false">YEAR(B9670)</f>
        <v>2016</v>
      </c>
      <c r="J9670" s="0" t="str">
        <f aca="false">I9670&amp;"-Q"&amp;ROUNDUP(MONTH(B9670)/3,0)</f>
        <v>2016-Q2</v>
      </c>
    </row>
    <row r="9671" customFormat="false" ht="15" hidden="false" customHeight="false" outlineLevel="0" collapsed="false">
      <c r="A9671" s="0" t="s">
        <v>4934</v>
      </c>
      <c r="B9671" s="6" t="n">
        <v>42827</v>
      </c>
      <c r="C9671" s="7" t="s">
        <v>29</v>
      </c>
      <c r="D9671" s="7" t="s">
        <v>91</v>
      </c>
      <c r="E9671" s="7" t="s">
        <v>35</v>
      </c>
      <c r="F9671" s="0" t="n">
        <v>14.94</v>
      </c>
      <c r="G9671" s="0" t="n">
        <v>6.8724</v>
      </c>
      <c r="H9671" s="0" t="n">
        <v>0</v>
      </c>
      <c r="I9671" s="7" t="n">
        <f aca="false">YEAR(B9671)</f>
        <v>2017</v>
      </c>
      <c r="J9671" s="0" t="str">
        <f aca="false">I9671&amp;"-Q"&amp;ROUNDUP(MONTH(B9671)/3,0)</f>
        <v>2017-Q2</v>
      </c>
    </row>
    <row r="9672" customFormat="false" ht="15" hidden="false" customHeight="false" outlineLevel="0" collapsed="false">
      <c r="A9672" s="0" t="s">
        <v>4935</v>
      </c>
      <c r="B9672" s="6" t="n">
        <v>42229</v>
      </c>
      <c r="C9672" s="7" t="s">
        <v>29</v>
      </c>
      <c r="D9672" s="7" t="s">
        <v>41</v>
      </c>
      <c r="E9672" s="7" t="s">
        <v>35</v>
      </c>
      <c r="F9672" s="0" t="n">
        <v>64.68</v>
      </c>
      <c r="G9672" s="0" t="n">
        <v>8.085</v>
      </c>
      <c r="H9672" s="0" t="n">
        <v>0.2</v>
      </c>
      <c r="I9672" s="7" t="n">
        <f aca="false">YEAR(B9672)</f>
        <v>2015</v>
      </c>
      <c r="J9672" s="0" t="str">
        <f aca="false">I9672&amp;"-Q"&amp;ROUNDUP(MONTH(B9672)/3,0)</f>
        <v>2015-Q3</v>
      </c>
    </row>
    <row r="9673" customFormat="false" ht="15" hidden="false" customHeight="false" outlineLevel="0" collapsed="false">
      <c r="A9673" s="0" t="s">
        <v>4936</v>
      </c>
      <c r="B9673" s="6" t="n">
        <v>43052</v>
      </c>
      <c r="C9673" s="7" t="s">
        <v>33</v>
      </c>
      <c r="D9673" s="7" t="s">
        <v>34</v>
      </c>
      <c r="E9673" s="7" t="s">
        <v>39</v>
      </c>
      <c r="F9673" s="0" t="n">
        <v>22</v>
      </c>
      <c r="G9673" s="0" t="n">
        <v>1.375</v>
      </c>
      <c r="H9673" s="0" t="n">
        <v>0.2</v>
      </c>
      <c r="I9673" s="7" t="n">
        <f aca="false">YEAR(B9673)</f>
        <v>2017</v>
      </c>
      <c r="J9673" s="0" t="str">
        <f aca="false">I9673&amp;"-Q"&amp;ROUNDUP(MONTH(B9673)/3,0)</f>
        <v>2017-Q4</v>
      </c>
    </row>
    <row r="9674" customFormat="false" ht="15" hidden="false" customHeight="false" outlineLevel="0" collapsed="false">
      <c r="A9674" s="0" t="s">
        <v>4937</v>
      </c>
      <c r="B9674" s="6" t="n">
        <v>42727</v>
      </c>
      <c r="C9674" s="7" t="s">
        <v>55</v>
      </c>
      <c r="D9674" s="7" t="s">
        <v>56</v>
      </c>
      <c r="E9674" s="7" t="s">
        <v>35</v>
      </c>
      <c r="F9674" s="0" t="n">
        <v>7.968</v>
      </c>
      <c r="G9674" s="0" t="n">
        <v>2.6892</v>
      </c>
      <c r="H9674" s="0" t="n">
        <v>0.2</v>
      </c>
      <c r="I9674" s="7" t="n">
        <f aca="false">YEAR(B9674)</f>
        <v>2016</v>
      </c>
      <c r="J9674" s="0" t="str">
        <f aca="false">I9674&amp;"-Q"&amp;ROUNDUP(MONTH(B9674)/3,0)</f>
        <v>2016-Q4</v>
      </c>
    </row>
    <row r="9675" customFormat="false" ht="15" hidden="false" customHeight="false" outlineLevel="0" collapsed="false">
      <c r="A9675" s="0" t="s">
        <v>4937</v>
      </c>
      <c r="B9675" s="6" t="n">
        <v>42727</v>
      </c>
      <c r="C9675" s="7" t="s">
        <v>55</v>
      </c>
      <c r="D9675" s="7" t="s">
        <v>56</v>
      </c>
      <c r="E9675" s="7" t="s">
        <v>39</v>
      </c>
      <c r="F9675" s="0" t="n">
        <v>1499.97</v>
      </c>
      <c r="G9675" s="0" t="n">
        <v>-374.9925</v>
      </c>
      <c r="H9675" s="0" t="n">
        <v>0.4</v>
      </c>
      <c r="I9675" s="7" t="n">
        <f aca="false">YEAR(B9675)</f>
        <v>2016</v>
      </c>
      <c r="J9675" s="0" t="str">
        <f aca="false">I9675&amp;"-Q"&amp;ROUNDUP(MONTH(B9675)/3,0)</f>
        <v>2016-Q4</v>
      </c>
    </row>
    <row r="9676" customFormat="false" ht="15" hidden="false" customHeight="false" outlineLevel="0" collapsed="false">
      <c r="A9676" s="0" t="s">
        <v>4938</v>
      </c>
      <c r="B9676" s="6" t="n">
        <v>41842</v>
      </c>
      <c r="C9676" s="7" t="s">
        <v>45</v>
      </c>
      <c r="D9676" s="7" t="s">
        <v>46</v>
      </c>
      <c r="E9676" s="7" t="s">
        <v>35</v>
      </c>
      <c r="F9676" s="0" t="n">
        <v>26.632</v>
      </c>
      <c r="G9676" s="0" t="n">
        <v>1.3316</v>
      </c>
      <c r="H9676" s="0" t="n">
        <v>0.2</v>
      </c>
      <c r="I9676" s="7" t="n">
        <f aca="false">YEAR(B9676)</f>
        <v>2014</v>
      </c>
      <c r="J9676" s="0" t="str">
        <f aca="false">I9676&amp;"-Q"&amp;ROUNDUP(MONTH(B9676)/3,0)</f>
        <v>2014-Q3</v>
      </c>
    </row>
    <row r="9677" customFormat="false" ht="15" hidden="false" customHeight="false" outlineLevel="0" collapsed="false">
      <c r="A9677" s="0" t="s">
        <v>4939</v>
      </c>
      <c r="B9677" s="6" t="n">
        <v>42496</v>
      </c>
      <c r="C9677" s="7" t="s">
        <v>33</v>
      </c>
      <c r="D9677" s="7" t="s">
        <v>34</v>
      </c>
      <c r="E9677" s="7" t="s">
        <v>31</v>
      </c>
      <c r="F9677" s="0" t="n">
        <v>41.6</v>
      </c>
      <c r="G9677" s="0" t="n">
        <v>14.144</v>
      </c>
      <c r="H9677" s="0" t="n">
        <v>0</v>
      </c>
      <c r="I9677" s="7" t="n">
        <f aca="false">YEAR(B9677)</f>
        <v>2016</v>
      </c>
      <c r="J9677" s="0" t="str">
        <f aca="false">I9677&amp;"-Q"&amp;ROUNDUP(MONTH(B9677)/3,0)</f>
        <v>2016-Q2</v>
      </c>
    </row>
    <row r="9678" customFormat="false" ht="15" hidden="false" customHeight="false" outlineLevel="0" collapsed="false">
      <c r="A9678" s="0" t="s">
        <v>4940</v>
      </c>
      <c r="B9678" s="6" t="n">
        <v>41971</v>
      </c>
      <c r="C9678" s="7" t="s">
        <v>45</v>
      </c>
      <c r="D9678" s="7" t="s">
        <v>74</v>
      </c>
      <c r="E9678" s="7" t="s">
        <v>35</v>
      </c>
      <c r="F9678" s="0" t="n">
        <v>64.02</v>
      </c>
      <c r="G9678" s="0" t="n">
        <v>29.4492</v>
      </c>
      <c r="H9678" s="0" t="n">
        <v>0</v>
      </c>
      <c r="I9678" s="7" t="n">
        <f aca="false">YEAR(B9678)</f>
        <v>2014</v>
      </c>
      <c r="J9678" s="0" t="str">
        <f aca="false">I9678&amp;"-Q"&amp;ROUNDUP(MONTH(B9678)/3,0)</f>
        <v>2014-Q4</v>
      </c>
    </row>
    <row r="9679" customFormat="false" ht="15" hidden="false" customHeight="false" outlineLevel="0" collapsed="false">
      <c r="A9679" s="0" t="s">
        <v>4941</v>
      </c>
      <c r="B9679" s="6" t="n">
        <v>42478</v>
      </c>
      <c r="C9679" s="7" t="s">
        <v>55</v>
      </c>
      <c r="D9679" s="7" t="s">
        <v>76</v>
      </c>
      <c r="E9679" s="7" t="s">
        <v>35</v>
      </c>
      <c r="F9679" s="0" t="n">
        <v>6.99</v>
      </c>
      <c r="G9679" s="0" t="n">
        <v>2.0271</v>
      </c>
      <c r="H9679" s="0" t="n">
        <v>0</v>
      </c>
      <c r="I9679" s="7" t="n">
        <f aca="false">YEAR(B9679)</f>
        <v>2016</v>
      </c>
      <c r="J9679" s="0" t="str">
        <f aca="false">I9679&amp;"-Q"&amp;ROUNDUP(MONTH(B9679)/3,0)</f>
        <v>2016-Q2</v>
      </c>
    </row>
    <row r="9680" customFormat="false" ht="15" hidden="false" customHeight="false" outlineLevel="0" collapsed="false">
      <c r="A9680" s="0" t="s">
        <v>4941</v>
      </c>
      <c r="B9680" s="6" t="n">
        <v>42478</v>
      </c>
      <c r="C9680" s="7" t="s">
        <v>55</v>
      </c>
      <c r="D9680" s="7" t="s">
        <v>76</v>
      </c>
      <c r="E9680" s="7" t="s">
        <v>35</v>
      </c>
      <c r="F9680" s="0" t="n">
        <v>6.84</v>
      </c>
      <c r="G9680" s="0" t="n">
        <v>1.8468</v>
      </c>
      <c r="H9680" s="0" t="n">
        <v>0</v>
      </c>
      <c r="I9680" s="7" t="n">
        <f aca="false">YEAR(B9680)</f>
        <v>2016</v>
      </c>
      <c r="J9680" s="0" t="str">
        <f aca="false">I9680&amp;"-Q"&amp;ROUNDUP(MONTH(B9680)/3,0)</f>
        <v>2016-Q2</v>
      </c>
    </row>
    <row r="9681" customFormat="false" ht="15" hidden="false" customHeight="false" outlineLevel="0" collapsed="false">
      <c r="A9681" s="0" t="s">
        <v>4942</v>
      </c>
      <c r="B9681" s="6" t="n">
        <v>42365</v>
      </c>
      <c r="C9681" s="7" t="s">
        <v>33</v>
      </c>
      <c r="D9681" s="7" t="s">
        <v>34</v>
      </c>
      <c r="E9681" s="7" t="s">
        <v>35</v>
      </c>
      <c r="F9681" s="0" t="n">
        <v>323.1</v>
      </c>
      <c r="G9681" s="0" t="n">
        <v>61.389</v>
      </c>
      <c r="H9681" s="0" t="n">
        <v>0</v>
      </c>
      <c r="I9681" s="7" t="n">
        <f aca="false">YEAR(B9681)</f>
        <v>2015</v>
      </c>
      <c r="J9681" s="0" t="str">
        <f aca="false">I9681&amp;"-Q"&amp;ROUNDUP(MONTH(B9681)/3,0)</f>
        <v>2015-Q4</v>
      </c>
    </row>
    <row r="9682" customFormat="false" ht="15" hidden="false" customHeight="false" outlineLevel="0" collapsed="false">
      <c r="A9682" s="0" t="s">
        <v>4942</v>
      </c>
      <c r="B9682" s="6" t="n">
        <v>42365</v>
      </c>
      <c r="C9682" s="7" t="s">
        <v>33</v>
      </c>
      <c r="D9682" s="7" t="s">
        <v>34</v>
      </c>
      <c r="E9682" s="7" t="s">
        <v>39</v>
      </c>
      <c r="F9682" s="0" t="n">
        <v>668.16</v>
      </c>
      <c r="G9682" s="0" t="n">
        <v>75.168</v>
      </c>
      <c r="H9682" s="0" t="n">
        <v>0.2</v>
      </c>
      <c r="I9682" s="7" t="n">
        <f aca="false">YEAR(B9682)</f>
        <v>2015</v>
      </c>
      <c r="J9682" s="0" t="str">
        <f aca="false">I9682&amp;"-Q"&amp;ROUNDUP(MONTH(B9682)/3,0)</f>
        <v>2015-Q4</v>
      </c>
    </row>
    <row r="9683" customFormat="false" ht="15" hidden="false" customHeight="false" outlineLevel="0" collapsed="false">
      <c r="A9683" s="0" t="s">
        <v>4943</v>
      </c>
      <c r="B9683" s="6" t="n">
        <v>43082</v>
      </c>
      <c r="C9683" s="7" t="s">
        <v>33</v>
      </c>
      <c r="D9683" s="7" t="s">
        <v>34</v>
      </c>
      <c r="E9683" s="7" t="s">
        <v>35</v>
      </c>
      <c r="F9683" s="0" t="n">
        <v>8.64</v>
      </c>
      <c r="G9683" s="0" t="n">
        <v>4.2336</v>
      </c>
      <c r="H9683" s="0" t="n">
        <v>0</v>
      </c>
      <c r="I9683" s="7" t="n">
        <f aca="false">YEAR(B9683)</f>
        <v>2017</v>
      </c>
      <c r="J9683" s="0" t="str">
        <f aca="false">I9683&amp;"-Q"&amp;ROUNDUP(MONTH(B9683)/3,0)</f>
        <v>2017-Q4</v>
      </c>
    </row>
    <row r="9684" customFormat="false" ht="15" hidden="false" customHeight="false" outlineLevel="0" collapsed="false">
      <c r="A9684" s="0" t="s">
        <v>4943</v>
      </c>
      <c r="B9684" s="6" t="n">
        <v>43082</v>
      </c>
      <c r="C9684" s="7" t="s">
        <v>33</v>
      </c>
      <c r="D9684" s="7" t="s">
        <v>34</v>
      </c>
      <c r="E9684" s="7" t="s">
        <v>35</v>
      </c>
      <c r="F9684" s="0" t="n">
        <v>38.88</v>
      </c>
      <c r="G9684" s="0" t="n">
        <v>18.6624</v>
      </c>
      <c r="H9684" s="0" t="n">
        <v>0</v>
      </c>
      <c r="I9684" s="7" t="n">
        <f aca="false">YEAR(B9684)</f>
        <v>2017</v>
      </c>
      <c r="J9684" s="0" t="str">
        <f aca="false">I9684&amp;"-Q"&amp;ROUNDUP(MONTH(B9684)/3,0)</f>
        <v>2017-Q4</v>
      </c>
    </row>
    <row r="9685" customFormat="false" ht="15" hidden="false" customHeight="false" outlineLevel="0" collapsed="false">
      <c r="A9685" s="0" t="s">
        <v>4943</v>
      </c>
      <c r="B9685" s="6" t="n">
        <v>43082</v>
      </c>
      <c r="C9685" s="7" t="s">
        <v>33</v>
      </c>
      <c r="D9685" s="7" t="s">
        <v>34</v>
      </c>
      <c r="E9685" s="7" t="s">
        <v>31</v>
      </c>
      <c r="F9685" s="0" t="n">
        <v>201.04</v>
      </c>
      <c r="G9685" s="0" t="n">
        <v>54.2808</v>
      </c>
      <c r="H9685" s="0" t="n">
        <v>0</v>
      </c>
      <c r="I9685" s="7" t="n">
        <f aca="false">YEAR(B9685)</f>
        <v>2017</v>
      </c>
      <c r="J9685" s="0" t="str">
        <f aca="false">I9685&amp;"-Q"&amp;ROUNDUP(MONTH(B9685)/3,0)</f>
        <v>2017-Q4</v>
      </c>
    </row>
    <row r="9686" customFormat="false" ht="15" hidden="false" customHeight="false" outlineLevel="0" collapsed="false">
      <c r="A9686" s="0" t="s">
        <v>4943</v>
      </c>
      <c r="B9686" s="6" t="n">
        <v>43082</v>
      </c>
      <c r="C9686" s="7" t="s">
        <v>33</v>
      </c>
      <c r="D9686" s="7" t="s">
        <v>34</v>
      </c>
      <c r="E9686" s="7" t="s">
        <v>35</v>
      </c>
      <c r="F9686" s="0" t="n">
        <v>12.96</v>
      </c>
      <c r="G9686" s="0" t="n">
        <v>6.3504</v>
      </c>
      <c r="H9686" s="0" t="n">
        <v>0</v>
      </c>
      <c r="I9686" s="7" t="n">
        <f aca="false">YEAR(B9686)</f>
        <v>2017</v>
      </c>
      <c r="J9686" s="0" t="str">
        <f aca="false">I9686&amp;"-Q"&amp;ROUNDUP(MONTH(B9686)/3,0)</f>
        <v>2017-Q4</v>
      </c>
    </row>
    <row r="9687" customFormat="false" ht="15" hidden="false" customHeight="false" outlineLevel="0" collapsed="false">
      <c r="A9687" s="0" t="s">
        <v>4944</v>
      </c>
      <c r="B9687" s="6" t="n">
        <v>42737</v>
      </c>
      <c r="C9687" s="7" t="s">
        <v>33</v>
      </c>
      <c r="D9687" s="7" t="s">
        <v>34</v>
      </c>
      <c r="E9687" s="7" t="s">
        <v>39</v>
      </c>
      <c r="F9687" s="0" t="n">
        <v>16.59</v>
      </c>
      <c r="G9687" s="0" t="n">
        <v>5.8065</v>
      </c>
      <c r="H9687" s="0" t="n">
        <v>0</v>
      </c>
      <c r="I9687" s="7" t="n">
        <f aca="false">YEAR(B9687)</f>
        <v>2017</v>
      </c>
      <c r="J9687" s="0" t="str">
        <f aca="false">I9687&amp;"-Q"&amp;ROUNDUP(MONTH(B9687)/3,0)</f>
        <v>2017-Q1</v>
      </c>
    </row>
    <row r="9688" customFormat="false" ht="15" hidden="false" customHeight="false" outlineLevel="0" collapsed="false">
      <c r="A9688" s="0" t="s">
        <v>4945</v>
      </c>
      <c r="B9688" s="6" t="n">
        <v>42885</v>
      </c>
      <c r="C9688" s="7" t="s">
        <v>33</v>
      </c>
      <c r="D9688" s="7" t="s">
        <v>34</v>
      </c>
      <c r="E9688" s="7" t="s">
        <v>35</v>
      </c>
      <c r="F9688" s="0" t="n">
        <v>35.1</v>
      </c>
      <c r="G9688" s="0" t="n">
        <v>10.179</v>
      </c>
      <c r="H9688" s="0" t="n">
        <v>0</v>
      </c>
      <c r="I9688" s="7" t="n">
        <f aca="false">YEAR(B9688)</f>
        <v>2017</v>
      </c>
      <c r="J9688" s="0" t="str">
        <f aca="false">I9688&amp;"-Q"&amp;ROUNDUP(MONTH(B9688)/3,0)</f>
        <v>2017-Q2</v>
      </c>
    </row>
    <row r="9689" customFormat="false" ht="15" hidden="false" customHeight="false" outlineLevel="0" collapsed="false">
      <c r="A9689" s="0" t="s">
        <v>4946</v>
      </c>
      <c r="B9689" s="6" t="n">
        <v>43008</v>
      </c>
      <c r="C9689" s="7" t="s">
        <v>45</v>
      </c>
      <c r="D9689" s="7" t="s">
        <v>46</v>
      </c>
      <c r="E9689" s="7" t="s">
        <v>35</v>
      </c>
      <c r="F9689" s="0" t="n">
        <v>11.646</v>
      </c>
      <c r="G9689" s="0" t="n">
        <v>-17.469</v>
      </c>
      <c r="H9689" s="0" t="n">
        <v>0.8</v>
      </c>
      <c r="I9689" s="7" t="n">
        <f aca="false">YEAR(B9689)</f>
        <v>2017</v>
      </c>
      <c r="J9689" s="0" t="str">
        <f aca="false">I9689&amp;"-Q"&amp;ROUNDUP(MONTH(B9689)/3,0)</f>
        <v>2017-Q3</v>
      </c>
    </row>
    <row r="9690" customFormat="false" ht="15" hidden="false" customHeight="false" outlineLevel="0" collapsed="false">
      <c r="A9690" s="0" t="s">
        <v>4947</v>
      </c>
      <c r="B9690" s="6" t="n">
        <v>42906</v>
      </c>
      <c r="C9690" s="7" t="s">
        <v>29</v>
      </c>
      <c r="D9690" s="7" t="s">
        <v>83</v>
      </c>
      <c r="E9690" s="7" t="s">
        <v>35</v>
      </c>
      <c r="F9690" s="0" t="n">
        <v>32.4</v>
      </c>
      <c r="G9690" s="0" t="n">
        <v>15.552</v>
      </c>
      <c r="H9690" s="0" t="n">
        <v>0</v>
      </c>
      <c r="I9690" s="7" t="n">
        <f aca="false">YEAR(B9690)</f>
        <v>2017</v>
      </c>
      <c r="J9690" s="0" t="str">
        <f aca="false">I9690&amp;"-Q"&amp;ROUNDUP(MONTH(B9690)/3,0)</f>
        <v>2017-Q2</v>
      </c>
    </row>
    <row r="9691" customFormat="false" ht="15" hidden="false" customHeight="false" outlineLevel="0" collapsed="false">
      <c r="A9691" s="0" t="s">
        <v>4947</v>
      </c>
      <c r="B9691" s="6" t="n">
        <v>42906</v>
      </c>
      <c r="C9691" s="7" t="s">
        <v>29</v>
      </c>
      <c r="D9691" s="7" t="s">
        <v>83</v>
      </c>
      <c r="E9691" s="7" t="s">
        <v>39</v>
      </c>
      <c r="F9691" s="0" t="n">
        <v>503.96</v>
      </c>
      <c r="G9691" s="0" t="n">
        <v>125.99</v>
      </c>
      <c r="H9691" s="0" t="n">
        <v>0</v>
      </c>
      <c r="I9691" s="7" t="n">
        <f aca="false">YEAR(B9691)</f>
        <v>2017</v>
      </c>
      <c r="J9691" s="0" t="str">
        <f aca="false">I9691&amp;"-Q"&amp;ROUNDUP(MONTH(B9691)/3,0)</f>
        <v>2017-Q2</v>
      </c>
    </row>
    <row r="9692" customFormat="false" ht="15" hidden="false" customHeight="false" outlineLevel="0" collapsed="false">
      <c r="A9692" s="0" t="s">
        <v>4948</v>
      </c>
      <c r="B9692" s="6" t="n">
        <v>42829</v>
      </c>
      <c r="C9692" s="7" t="s">
        <v>55</v>
      </c>
      <c r="D9692" s="7" t="s">
        <v>76</v>
      </c>
      <c r="E9692" s="7" t="s">
        <v>35</v>
      </c>
      <c r="F9692" s="0" t="n">
        <v>7.04</v>
      </c>
      <c r="G9692" s="0" t="n">
        <v>2.0416</v>
      </c>
      <c r="H9692" s="0" t="n">
        <v>0</v>
      </c>
      <c r="I9692" s="7" t="n">
        <f aca="false">YEAR(B9692)</f>
        <v>2017</v>
      </c>
      <c r="J9692" s="0" t="str">
        <f aca="false">I9692&amp;"-Q"&amp;ROUNDUP(MONTH(B9692)/3,0)</f>
        <v>2017-Q2</v>
      </c>
    </row>
    <row r="9693" customFormat="false" ht="15" hidden="false" customHeight="false" outlineLevel="0" collapsed="false">
      <c r="A9693" s="0" t="s">
        <v>4949</v>
      </c>
      <c r="B9693" s="6" t="n">
        <v>42321</v>
      </c>
      <c r="C9693" s="7" t="s">
        <v>45</v>
      </c>
      <c r="D9693" s="7" t="s">
        <v>46</v>
      </c>
      <c r="E9693" s="7" t="s">
        <v>31</v>
      </c>
      <c r="F9693" s="0" t="n">
        <v>613.9992</v>
      </c>
      <c r="G9693" s="0" t="n">
        <v>-18.0588</v>
      </c>
      <c r="H9693" s="0" t="n">
        <v>0.32</v>
      </c>
      <c r="I9693" s="7" t="n">
        <f aca="false">YEAR(B9693)</f>
        <v>2015</v>
      </c>
      <c r="J9693" s="0" t="str">
        <f aca="false">I9693&amp;"-Q"&amp;ROUNDUP(MONTH(B9693)/3,0)</f>
        <v>2015-Q4</v>
      </c>
    </row>
    <row r="9694" customFormat="false" ht="15" hidden="false" customHeight="false" outlineLevel="0" collapsed="false">
      <c r="A9694" s="0" t="s">
        <v>4950</v>
      </c>
      <c r="B9694" s="6" t="n">
        <v>42244</v>
      </c>
      <c r="C9694" s="7" t="s">
        <v>55</v>
      </c>
      <c r="D9694" s="7" t="s">
        <v>154</v>
      </c>
      <c r="E9694" s="7" t="s">
        <v>35</v>
      </c>
      <c r="F9694" s="0" t="n">
        <v>470.36</v>
      </c>
      <c r="G9694" s="0" t="n">
        <v>122.2936</v>
      </c>
      <c r="H9694" s="0" t="n">
        <v>0</v>
      </c>
      <c r="I9694" s="7" t="n">
        <f aca="false">YEAR(B9694)</f>
        <v>2015</v>
      </c>
      <c r="J9694" s="0" t="str">
        <f aca="false">I9694&amp;"-Q"&amp;ROUNDUP(MONTH(B9694)/3,0)</f>
        <v>2015-Q3</v>
      </c>
    </row>
    <row r="9695" customFormat="false" ht="15" hidden="false" customHeight="false" outlineLevel="0" collapsed="false">
      <c r="A9695" s="0" t="s">
        <v>4951</v>
      </c>
      <c r="B9695" s="6" t="n">
        <v>43002</v>
      </c>
      <c r="C9695" s="7" t="s">
        <v>33</v>
      </c>
      <c r="D9695" s="7" t="s">
        <v>34</v>
      </c>
      <c r="E9695" s="7" t="s">
        <v>35</v>
      </c>
      <c r="F9695" s="0" t="n">
        <v>31.08</v>
      </c>
      <c r="G9695" s="0" t="n">
        <v>15.2292</v>
      </c>
      <c r="H9695" s="0" t="n">
        <v>0</v>
      </c>
      <c r="I9695" s="7" t="n">
        <f aca="false">YEAR(B9695)</f>
        <v>2017</v>
      </c>
      <c r="J9695" s="0" t="str">
        <f aca="false">I9695&amp;"-Q"&amp;ROUNDUP(MONTH(B9695)/3,0)</f>
        <v>2017-Q3</v>
      </c>
    </row>
    <row r="9696" customFormat="false" ht="15" hidden="false" customHeight="false" outlineLevel="0" collapsed="false">
      <c r="A9696" s="0" t="s">
        <v>4951</v>
      </c>
      <c r="B9696" s="6" t="n">
        <v>43002</v>
      </c>
      <c r="C9696" s="7" t="s">
        <v>33</v>
      </c>
      <c r="D9696" s="7" t="s">
        <v>34</v>
      </c>
      <c r="E9696" s="7" t="s">
        <v>35</v>
      </c>
      <c r="F9696" s="0" t="n">
        <v>7.3</v>
      </c>
      <c r="G9696" s="0" t="n">
        <v>2.19</v>
      </c>
      <c r="H9696" s="0" t="n">
        <v>0</v>
      </c>
      <c r="I9696" s="7" t="n">
        <f aca="false">YEAR(B9696)</f>
        <v>2017</v>
      </c>
      <c r="J9696" s="0" t="str">
        <f aca="false">I9696&amp;"-Q"&amp;ROUNDUP(MONTH(B9696)/3,0)</f>
        <v>2017-Q3</v>
      </c>
    </row>
    <row r="9697" customFormat="false" ht="15" hidden="false" customHeight="false" outlineLevel="0" collapsed="false">
      <c r="A9697" s="0" t="s">
        <v>4952</v>
      </c>
      <c r="B9697" s="6" t="n">
        <v>42715</v>
      </c>
      <c r="C9697" s="7" t="s">
        <v>55</v>
      </c>
      <c r="D9697" s="7" t="s">
        <v>116</v>
      </c>
      <c r="E9697" s="7" t="s">
        <v>35</v>
      </c>
      <c r="F9697" s="0" t="n">
        <v>73.536</v>
      </c>
      <c r="G9697" s="0" t="n">
        <v>9.192</v>
      </c>
      <c r="H9697" s="0" t="n">
        <v>0.2</v>
      </c>
      <c r="I9697" s="7" t="n">
        <f aca="false">YEAR(B9697)</f>
        <v>2016</v>
      </c>
      <c r="J9697" s="0" t="str">
        <f aca="false">I9697&amp;"-Q"&amp;ROUNDUP(MONTH(B9697)/3,0)</f>
        <v>2016-Q4</v>
      </c>
    </row>
    <row r="9698" customFormat="false" ht="15" hidden="false" customHeight="false" outlineLevel="0" collapsed="false">
      <c r="A9698" s="0" t="s">
        <v>4953</v>
      </c>
      <c r="B9698" s="6" t="n">
        <v>41800</v>
      </c>
      <c r="C9698" s="7" t="s">
        <v>45</v>
      </c>
      <c r="D9698" s="7" t="s">
        <v>70</v>
      </c>
      <c r="E9698" s="7" t="s">
        <v>35</v>
      </c>
      <c r="F9698" s="0" t="n">
        <v>491.55</v>
      </c>
      <c r="G9698" s="0" t="n">
        <v>240.8595</v>
      </c>
      <c r="H9698" s="0" t="n">
        <v>0</v>
      </c>
      <c r="I9698" s="7" t="n">
        <f aca="false">YEAR(B9698)</f>
        <v>2014</v>
      </c>
      <c r="J9698" s="0" t="str">
        <f aca="false">I9698&amp;"-Q"&amp;ROUNDUP(MONTH(B9698)/3,0)</f>
        <v>2014-Q2</v>
      </c>
    </row>
    <row r="9699" customFormat="false" ht="15" hidden="false" customHeight="false" outlineLevel="0" collapsed="false">
      <c r="A9699" s="0" t="s">
        <v>4954</v>
      </c>
      <c r="B9699" s="6" t="n">
        <v>42440</v>
      </c>
      <c r="C9699" s="7" t="s">
        <v>55</v>
      </c>
      <c r="D9699" s="7" t="s">
        <v>56</v>
      </c>
      <c r="E9699" s="7" t="s">
        <v>31</v>
      </c>
      <c r="F9699" s="0" t="n">
        <v>30.336</v>
      </c>
      <c r="G9699" s="0" t="n">
        <v>9.48</v>
      </c>
      <c r="H9699" s="0" t="n">
        <v>0.2</v>
      </c>
      <c r="I9699" s="7" t="n">
        <f aca="false">YEAR(B9699)</f>
        <v>2016</v>
      </c>
      <c r="J9699" s="0" t="str">
        <f aca="false">I9699&amp;"-Q"&amp;ROUNDUP(MONTH(B9699)/3,0)</f>
        <v>2016-Q1</v>
      </c>
    </row>
    <row r="9700" customFormat="false" ht="15" hidden="false" customHeight="false" outlineLevel="0" collapsed="false">
      <c r="A9700" s="0" t="s">
        <v>4955</v>
      </c>
      <c r="B9700" s="6" t="n">
        <v>43084</v>
      </c>
      <c r="C9700" s="7" t="s">
        <v>33</v>
      </c>
      <c r="D9700" s="7" t="s">
        <v>34</v>
      </c>
      <c r="E9700" s="7" t="s">
        <v>35</v>
      </c>
      <c r="F9700" s="0" t="n">
        <v>22.83</v>
      </c>
      <c r="G9700" s="0" t="n">
        <v>10.7301</v>
      </c>
      <c r="H9700" s="0" t="n">
        <v>0</v>
      </c>
      <c r="I9700" s="7" t="n">
        <f aca="false">YEAR(B9700)</f>
        <v>2017</v>
      </c>
      <c r="J9700" s="0" t="str">
        <f aca="false">I9700&amp;"-Q"&amp;ROUNDUP(MONTH(B9700)/3,0)</f>
        <v>2017-Q4</v>
      </c>
    </row>
    <row r="9701" customFormat="false" ht="15" hidden="false" customHeight="false" outlineLevel="0" collapsed="false">
      <c r="A9701" s="0" t="s">
        <v>4955</v>
      </c>
      <c r="B9701" s="6" t="n">
        <v>43084</v>
      </c>
      <c r="C9701" s="7" t="s">
        <v>33</v>
      </c>
      <c r="D9701" s="7" t="s">
        <v>34</v>
      </c>
      <c r="E9701" s="7" t="s">
        <v>35</v>
      </c>
      <c r="F9701" s="0" t="n">
        <v>54.32</v>
      </c>
      <c r="G9701" s="0" t="n">
        <v>16.296</v>
      </c>
      <c r="H9701" s="0" t="n">
        <v>0</v>
      </c>
      <c r="I9701" s="7" t="n">
        <f aca="false">YEAR(B9701)</f>
        <v>2017</v>
      </c>
      <c r="J9701" s="0" t="str">
        <f aca="false">I9701&amp;"-Q"&amp;ROUNDUP(MONTH(B9701)/3,0)</f>
        <v>2017-Q4</v>
      </c>
    </row>
    <row r="9702" customFormat="false" ht="15" hidden="false" customHeight="false" outlineLevel="0" collapsed="false">
      <c r="A9702" s="0" t="s">
        <v>4955</v>
      </c>
      <c r="B9702" s="6" t="n">
        <v>43084</v>
      </c>
      <c r="C9702" s="7" t="s">
        <v>33</v>
      </c>
      <c r="D9702" s="7" t="s">
        <v>34</v>
      </c>
      <c r="E9702" s="7" t="s">
        <v>39</v>
      </c>
      <c r="F9702" s="0" t="n">
        <v>196.776</v>
      </c>
      <c r="G9702" s="0" t="n">
        <v>14.7582</v>
      </c>
      <c r="H9702" s="0" t="n">
        <v>0.2</v>
      </c>
      <c r="I9702" s="7" t="n">
        <f aca="false">YEAR(B9702)</f>
        <v>2017</v>
      </c>
      <c r="J9702" s="0" t="str">
        <f aca="false">I9702&amp;"-Q"&amp;ROUNDUP(MONTH(B9702)/3,0)</f>
        <v>2017-Q4</v>
      </c>
    </row>
    <row r="9703" customFormat="false" ht="15" hidden="false" customHeight="false" outlineLevel="0" collapsed="false">
      <c r="A9703" s="0" t="s">
        <v>4956</v>
      </c>
      <c r="B9703" s="6" t="n">
        <v>42673</v>
      </c>
      <c r="C9703" s="7" t="s">
        <v>33</v>
      </c>
      <c r="D9703" s="7" t="s">
        <v>34</v>
      </c>
      <c r="E9703" s="7" t="s">
        <v>35</v>
      </c>
      <c r="F9703" s="0" t="n">
        <v>3.62</v>
      </c>
      <c r="G9703" s="0" t="n">
        <v>1.1946</v>
      </c>
      <c r="H9703" s="0" t="n">
        <v>0</v>
      </c>
      <c r="I9703" s="7" t="n">
        <f aca="false">YEAR(B9703)</f>
        <v>2016</v>
      </c>
      <c r="J9703" s="0" t="str">
        <f aca="false">I9703&amp;"-Q"&amp;ROUNDUP(MONTH(B9703)/3,0)</f>
        <v>2016-Q4</v>
      </c>
    </row>
    <row r="9704" customFormat="false" ht="15" hidden="false" customHeight="false" outlineLevel="0" collapsed="false">
      <c r="A9704" s="0" t="s">
        <v>4957</v>
      </c>
      <c r="B9704" s="6" t="n">
        <v>42947</v>
      </c>
      <c r="C9704" s="7" t="s">
        <v>55</v>
      </c>
      <c r="D9704" s="7" t="s">
        <v>72</v>
      </c>
      <c r="E9704" s="7" t="s">
        <v>35</v>
      </c>
      <c r="F9704" s="0" t="n">
        <v>11.54</v>
      </c>
      <c r="G9704" s="0" t="n">
        <v>5.5392</v>
      </c>
      <c r="H9704" s="0" t="n">
        <v>0</v>
      </c>
      <c r="I9704" s="7" t="n">
        <f aca="false">YEAR(B9704)</f>
        <v>2017</v>
      </c>
      <c r="J9704" s="0" t="str">
        <f aca="false">I9704&amp;"-Q"&amp;ROUNDUP(MONTH(B9704)/3,0)</f>
        <v>2017-Q3</v>
      </c>
    </row>
    <row r="9705" customFormat="false" ht="15" hidden="false" customHeight="false" outlineLevel="0" collapsed="false">
      <c r="A9705" s="0" t="s">
        <v>4957</v>
      </c>
      <c r="B9705" s="6" t="n">
        <v>42947</v>
      </c>
      <c r="C9705" s="7" t="s">
        <v>55</v>
      </c>
      <c r="D9705" s="7" t="s">
        <v>72</v>
      </c>
      <c r="E9705" s="7" t="s">
        <v>35</v>
      </c>
      <c r="F9705" s="0" t="n">
        <v>849.95</v>
      </c>
      <c r="G9705" s="0" t="n">
        <v>390.977</v>
      </c>
      <c r="H9705" s="0" t="n">
        <v>0</v>
      </c>
      <c r="I9705" s="7" t="n">
        <f aca="false">YEAR(B9705)</f>
        <v>2017</v>
      </c>
      <c r="J9705" s="0" t="str">
        <f aca="false">I9705&amp;"-Q"&amp;ROUNDUP(MONTH(B9705)/3,0)</f>
        <v>2017-Q3</v>
      </c>
    </row>
    <row r="9706" customFormat="false" ht="15" hidden="false" customHeight="false" outlineLevel="0" collapsed="false">
      <c r="A9706" s="0" t="s">
        <v>4957</v>
      </c>
      <c r="B9706" s="6" t="n">
        <v>42947</v>
      </c>
      <c r="C9706" s="7" t="s">
        <v>55</v>
      </c>
      <c r="D9706" s="7" t="s">
        <v>72</v>
      </c>
      <c r="E9706" s="7" t="s">
        <v>35</v>
      </c>
      <c r="F9706" s="0" t="n">
        <v>11.01</v>
      </c>
      <c r="G9706" s="0" t="n">
        <v>5.3949</v>
      </c>
      <c r="H9706" s="0" t="n">
        <v>0</v>
      </c>
      <c r="I9706" s="7" t="n">
        <f aca="false">YEAR(B9706)</f>
        <v>2017</v>
      </c>
      <c r="J9706" s="0" t="str">
        <f aca="false">I9706&amp;"-Q"&amp;ROUNDUP(MONTH(B9706)/3,0)</f>
        <v>2017-Q3</v>
      </c>
    </row>
    <row r="9707" customFormat="false" ht="15" hidden="false" customHeight="false" outlineLevel="0" collapsed="false">
      <c r="A9707" s="0" t="s">
        <v>4958</v>
      </c>
      <c r="B9707" s="6" t="n">
        <v>43027</v>
      </c>
      <c r="C9707" s="7" t="s">
        <v>33</v>
      </c>
      <c r="D9707" s="7" t="s">
        <v>34</v>
      </c>
      <c r="E9707" s="7" t="s">
        <v>35</v>
      </c>
      <c r="F9707" s="0" t="n">
        <v>39.624</v>
      </c>
      <c r="G9707" s="0" t="n">
        <v>13.8684</v>
      </c>
      <c r="H9707" s="0" t="n">
        <v>0.2</v>
      </c>
      <c r="I9707" s="7" t="n">
        <f aca="false">YEAR(B9707)</f>
        <v>2017</v>
      </c>
      <c r="J9707" s="0" t="str">
        <f aca="false">I9707&amp;"-Q"&amp;ROUNDUP(MONTH(B9707)/3,0)</f>
        <v>2017-Q4</v>
      </c>
    </row>
    <row r="9708" customFormat="false" ht="15" hidden="false" customHeight="false" outlineLevel="0" collapsed="false">
      <c r="A9708" s="0" t="s">
        <v>4959</v>
      </c>
      <c r="B9708" s="6" t="n">
        <v>42664</v>
      </c>
      <c r="C9708" s="7" t="s">
        <v>33</v>
      </c>
      <c r="D9708" s="7" t="s">
        <v>34</v>
      </c>
      <c r="E9708" s="7" t="s">
        <v>31</v>
      </c>
      <c r="F9708" s="0" t="n">
        <v>242.136</v>
      </c>
      <c r="G9708" s="0" t="n">
        <v>12.1068</v>
      </c>
      <c r="H9708" s="0" t="n">
        <v>0.2</v>
      </c>
      <c r="I9708" s="7" t="n">
        <f aca="false">YEAR(B9708)</f>
        <v>2016</v>
      </c>
      <c r="J9708" s="0" t="str">
        <f aca="false">I9708&amp;"-Q"&amp;ROUNDUP(MONTH(B9708)/3,0)</f>
        <v>2016-Q4</v>
      </c>
    </row>
    <row r="9709" customFormat="false" ht="15" hidden="false" customHeight="false" outlineLevel="0" collapsed="false">
      <c r="A9709" s="0" t="s">
        <v>4959</v>
      </c>
      <c r="B9709" s="6" t="n">
        <v>42664</v>
      </c>
      <c r="C9709" s="7" t="s">
        <v>33</v>
      </c>
      <c r="D9709" s="7" t="s">
        <v>34</v>
      </c>
      <c r="E9709" s="7" t="s">
        <v>35</v>
      </c>
      <c r="F9709" s="0" t="n">
        <v>12.39</v>
      </c>
      <c r="G9709" s="0" t="n">
        <v>5.6994</v>
      </c>
      <c r="H9709" s="0" t="n">
        <v>0</v>
      </c>
      <c r="I9709" s="7" t="n">
        <f aca="false">YEAR(B9709)</f>
        <v>2016</v>
      </c>
      <c r="J9709" s="0" t="str">
        <f aca="false">I9709&amp;"-Q"&amp;ROUNDUP(MONTH(B9709)/3,0)</f>
        <v>2016-Q4</v>
      </c>
    </row>
    <row r="9710" customFormat="false" ht="15" hidden="false" customHeight="false" outlineLevel="0" collapsed="false">
      <c r="A9710" s="0" t="s">
        <v>4959</v>
      </c>
      <c r="B9710" s="6" t="n">
        <v>42664</v>
      </c>
      <c r="C9710" s="7" t="s">
        <v>33</v>
      </c>
      <c r="D9710" s="7" t="s">
        <v>34</v>
      </c>
      <c r="E9710" s="7" t="s">
        <v>31</v>
      </c>
      <c r="F9710" s="0" t="n">
        <v>19.96</v>
      </c>
      <c r="G9710" s="0" t="n">
        <v>5.5888</v>
      </c>
      <c r="H9710" s="0" t="n">
        <v>0</v>
      </c>
      <c r="I9710" s="7" t="n">
        <f aca="false">YEAR(B9710)</f>
        <v>2016</v>
      </c>
      <c r="J9710" s="0" t="str">
        <f aca="false">I9710&amp;"-Q"&amp;ROUNDUP(MONTH(B9710)/3,0)</f>
        <v>2016-Q4</v>
      </c>
    </row>
    <row r="9711" customFormat="false" ht="15" hidden="false" customHeight="false" outlineLevel="0" collapsed="false">
      <c r="A9711" s="0" t="s">
        <v>4959</v>
      </c>
      <c r="B9711" s="6" t="n">
        <v>42664</v>
      </c>
      <c r="C9711" s="7" t="s">
        <v>33</v>
      </c>
      <c r="D9711" s="7" t="s">
        <v>34</v>
      </c>
      <c r="E9711" s="7" t="s">
        <v>35</v>
      </c>
      <c r="F9711" s="0" t="n">
        <v>340.92</v>
      </c>
      <c r="G9711" s="0" t="n">
        <v>3.4092</v>
      </c>
      <c r="H9711" s="0" t="n">
        <v>0</v>
      </c>
      <c r="I9711" s="7" t="n">
        <f aca="false">YEAR(B9711)</f>
        <v>2016</v>
      </c>
      <c r="J9711" s="0" t="str">
        <f aca="false">I9711&amp;"-Q"&amp;ROUNDUP(MONTH(B9711)/3,0)</f>
        <v>2016-Q4</v>
      </c>
    </row>
    <row r="9712" customFormat="false" ht="15" hidden="false" customHeight="false" outlineLevel="0" collapsed="false">
      <c r="A9712" s="0" t="s">
        <v>4960</v>
      </c>
      <c r="B9712" s="6" t="n">
        <v>41948</v>
      </c>
      <c r="C9712" s="7" t="s">
        <v>55</v>
      </c>
      <c r="D9712" s="7" t="s">
        <v>56</v>
      </c>
      <c r="E9712" s="7" t="s">
        <v>31</v>
      </c>
      <c r="F9712" s="0" t="n">
        <v>273.568</v>
      </c>
      <c r="G9712" s="0" t="n">
        <v>-34.196</v>
      </c>
      <c r="H9712" s="0" t="n">
        <v>0.2</v>
      </c>
      <c r="I9712" s="7" t="n">
        <f aca="false">YEAR(B9712)</f>
        <v>2014</v>
      </c>
      <c r="J9712" s="0" t="str">
        <f aca="false">I9712&amp;"-Q"&amp;ROUNDUP(MONTH(B9712)/3,0)</f>
        <v>2014-Q4</v>
      </c>
    </row>
    <row r="9713" customFormat="false" ht="15" hidden="false" customHeight="false" outlineLevel="0" collapsed="false">
      <c r="A9713" s="0" t="s">
        <v>4960</v>
      </c>
      <c r="B9713" s="6" t="n">
        <v>41948</v>
      </c>
      <c r="C9713" s="7" t="s">
        <v>55</v>
      </c>
      <c r="D9713" s="7" t="s">
        <v>56</v>
      </c>
      <c r="E9713" s="7" t="s">
        <v>35</v>
      </c>
      <c r="F9713" s="0" t="n">
        <v>13.194</v>
      </c>
      <c r="G9713" s="0" t="n">
        <v>-8.796</v>
      </c>
      <c r="H9713" s="0" t="n">
        <v>0.7</v>
      </c>
      <c r="I9713" s="7" t="n">
        <f aca="false">YEAR(B9713)</f>
        <v>2014</v>
      </c>
      <c r="J9713" s="0" t="str">
        <f aca="false">I9713&amp;"-Q"&amp;ROUNDUP(MONTH(B9713)/3,0)</f>
        <v>2014-Q4</v>
      </c>
    </row>
    <row r="9714" customFormat="false" ht="15" hidden="false" customHeight="false" outlineLevel="0" collapsed="false">
      <c r="A9714" s="0" t="s">
        <v>4960</v>
      </c>
      <c r="B9714" s="6" t="n">
        <v>41948</v>
      </c>
      <c r="C9714" s="7" t="s">
        <v>55</v>
      </c>
      <c r="D9714" s="7" t="s">
        <v>56</v>
      </c>
      <c r="E9714" s="7" t="s">
        <v>35</v>
      </c>
      <c r="F9714" s="0" t="n">
        <v>1080.096</v>
      </c>
      <c r="G9714" s="0" t="n">
        <v>-94.5084</v>
      </c>
      <c r="H9714" s="0" t="n">
        <v>0.2</v>
      </c>
      <c r="I9714" s="7" t="n">
        <f aca="false">YEAR(B9714)</f>
        <v>2014</v>
      </c>
      <c r="J9714" s="0" t="str">
        <f aca="false">I9714&amp;"-Q"&amp;ROUNDUP(MONTH(B9714)/3,0)</f>
        <v>2014-Q4</v>
      </c>
    </row>
    <row r="9715" customFormat="false" ht="15" hidden="false" customHeight="false" outlineLevel="0" collapsed="false">
      <c r="A9715" s="0" t="s">
        <v>4960</v>
      </c>
      <c r="B9715" s="6" t="n">
        <v>41948</v>
      </c>
      <c r="C9715" s="7" t="s">
        <v>55</v>
      </c>
      <c r="D9715" s="7" t="s">
        <v>56</v>
      </c>
      <c r="E9715" s="7" t="s">
        <v>39</v>
      </c>
      <c r="F9715" s="0" t="n">
        <v>51.56</v>
      </c>
      <c r="G9715" s="0" t="n">
        <v>-6.445</v>
      </c>
      <c r="H9715" s="0" t="n">
        <v>0.2</v>
      </c>
      <c r="I9715" s="7" t="n">
        <f aca="false">YEAR(B9715)</f>
        <v>2014</v>
      </c>
      <c r="J9715" s="0" t="str">
        <f aca="false">I9715&amp;"-Q"&amp;ROUNDUP(MONTH(B9715)/3,0)</f>
        <v>2014-Q4</v>
      </c>
    </row>
    <row r="9716" customFormat="false" ht="15" hidden="false" customHeight="false" outlineLevel="0" collapsed="false">
      <c r="A9716" s="0" t="s">
        <v>4960</v>
      </c>
      <c r="B9716" s="6" t="n">
        <v>41948</v>
      </c>
      <c r="C9716" s="7" t="s">
        <v>55</v>
      </c>
      <c r="D9716" s="7" t="s">
        <v>56</v>
      </c>
      <c r="E9716" s="7" t="s">
        <v>39</v>
      </c>
      <c r="F9716" s="0" t="n">
        <v>58.416</v>
      </c>
      <c r="G9716" s="0" t="n">
        <v>16.7946</v>
      </c>
      <c r="H9716" s="0" t="n">
        <v>0.2</v>
      </c>
      <c r="I9716" s="7" t="n">
        <f aca="false">YEAR(B9716)</f>
        <v>2014</v>
      </c>
      <c r="J9716" s="0" t="str">
        <f aca="false">I9716&amp;"-Q"&amp;ROUNDUP(MONTH(B9716)/3,0)</f>
        <v>2014-Q4</v>
      </c>
    </row>
    <row r="9717" customFormat="false" ht="15" hidden="false" customHeight="false" outlineLevel="0" collapsed="false">
      <c r="A9717" s="0" t="s">
        <v>4961</v>
      </c>
      <c r="B9717" s="6" t="n">
        <v>42681</v>
      </c>
      <c r="C9717" s="7" t="s">
        <v>33</v>
      </c>
      <c r="D9717" s="7" t="s">
        <v>34</v>
      </c>
      <c r="E9717" s="7" t="s">
        <v>35</v>
      </c>
      <c r="F9717" s="0" t="n">
        <v>57.584</v>
      </c>
      <c r="G9717" s="0" t="n">
        <v>20.1544</v>
      </c>
      <c r="H9717" s="0" t="n">
        <v>0.2</v>
      </c>
      <c r="I9717" s="7" t="n">
        <f aca="false">YEAR(B9717)</f>
        <v>2016</v>
      </c>
      <c r="J9717" s="0" t="str">
        <f aca="false">I9717&amp;"-Q"&amp;ROUNDUP(MONTH(B9717)/3,0)</f>
        <v>2016-Q4</v>
      </c>
    </row>
    <row r="9718" customFormat="false" ht="15" hidden="false" customHeight="false" outlineLevel="0" collapsed="false">
      <c r="A9718" s="0" t="s">
        <v>4962</v>
      </c>
      <c r="B9718" s="6" t="n">
        <v>42594</v>
      </c>
      <c r="C9718" s="7" t="s">
        <v>55</v>
      </c>
      <c r="D9718" s="7" t="s">
        <v>56</v>
      </c>
      <c r="E9718" s="7" t="s">
        <v>35</v>
      </c>
      <c r="F9718" s="0" t="n">
        <v>37.312</v>
      </c>
      <c r="G9718" s="0" t="n">
        <v>2.7984</v>
      </c>
      <c r="H9718" s="0" t="n">
        <v>0.2</v>
      </c>
      <c r="I9718" s="7" t="n">
        <f aca="false">YEAR(B9718)</f>
        <v>2016</v>
      </c>
      <c r="J9718" s="0" t="str">
        <f aca="false">I9718&amp;"-Q"&amp;ROUNDUP(MONTH(B9718)/3,0)</f>
        <v>2016-Q3</v>
      </c>
    </row>
    <row r="9719" customFormat="false" ht="15" hidden="false" customHeight="false" outlineLevel="0" collapsed="false">
      <c r="A9719" s="0" t="s">
        <v>4963</v>
      </c>
      <c r="B9719" s="6" t="n">
        <v>42520</v>
      </c>
      <c r="C9719" s="7" t="s">
        <v>45</v>
      </c>
      <c r="D9719" s="7" t="s">
        <v>46</v>
      </c>
      <c r="E9719" s="7" t="s">
        <v>39</v>
      </c>
      <c r="F9719" s="0" t="n">
        <v>79.96</v>
      </c>
      <c r="G9719" s="0" t="n">
        <v>7.996</v>
      </c>
      <c r="H9719" s="0" t="n">
        <v>0.2</v>
      </c>
      <c r="I9719" s="7" t="n">
        <f aca="false">YEAR(B9719)</f>
        <v>2016</v>
      </c>
      <c r="J9719" s="0" t="str">
        <f aca="false">I9719&amp;"-Q"&amp;ROUNDUP(MONTH(B9719)/3,0)</f>
        <v>2016-Q2</v>
      </c>
    </row>
    <row r="9720" customFormat="false" ht="15" hidden="false" customHeight="false" outlineLevel="0" collapsed="false">
      <c r="A9720" s="0" t="s">
        <v>4963</v>
      </c>
      <c r="B9720" s="6" t="n">
        <v>42520</v>
      </c>
      <c r="C9720" s="7" t="s">
        <v>45</v>
      </c>
      <c r="D9720" s="7" t="s">
        <v>46</v>
      </c>
      <c r="E9720" s="7" t="s">
        <v>39</v>
      </c>
      <c r="F9720" s="0" t="n">
        <v>223.96</v>
      </c>
      <c r="G9720" s="0" t="n">
        <v>11.198</v>
      </c>
      <c r="H9720" s="0" t="n">
        <v>0.2</v>
      </c>
      <c r="I9720" s="7" t="n">
        <f aca="false">YEAR(B9720)</f>
        <v>2016</v>
      </c>
      <c r="J9720" s="0" t="str">
        <f aca="false">I9720&amp;"-Q"&amp;ROUNDUP(MONTH(B9720)/3,0)</f>
        <v>2016-Q2</v>
      </c>
    </row>
    <row r="9721" customFormat="false" ht="15" hidden="false" customHeight="false" outlineLevel="0" collapsed="false">
      <c r="A9721" s="0" t="s">
        <v>4964</v>
      </c>
      <c r="B9721" s="6" t="n">
        <v>43051</v>
      </c>
      <c r="C9721" s="7" t="s">
        <v>55</v>
      </c>
      <c r="D9721" s="7" t="s">
        <v>56</v>
      </c>
      <c r="E9721" s="7" t="s">
        <v>35</v>
      </c>
      <c r="F9721" s="0" t="n">
        <v>221.024</v>
      </c>
      <c r="G9721" s="0" t="n">
        <v>-55.256</v>
      </c>
      <c r="H9721" s="0" t="n">
        <v>0.2</v>
      </c>
      <c r="I9721" s="7" t="n">
        <f aca="false">YEAR(B9721)</f>
        <v>2017</v>
      </c>
      <c r="J9721" s="0" t="str">
        <f aca="false">I9721&amp;"-Q"&amp;ROUNDUP(MONTH(B9721)/3,0)</f>
        <v>2017-Q4</v>
      </c>
    </row>
    <row r="9722" customFormat="false" ht="15" hidden="false" customHeight="false" outlineLevel="0" collapsed="false">
      <c r="A9722" s="0" t="s">
        <v>4965</v>
      </c>
      <c r="B9722" s="6" t="n">
        <v>42635</v>
      </c>
      <c r="C9722" s="7" t="s">
        <v>45</v>
      </c>
      <c r="D9722" s="7" t="s">
        <v>48</v>
      </c>
      <c r="E9722" s="7" t="s">
        <v>31</v>
      </c>
      <c r="F9722" s="0" t="n">
        <v>18.96</v>
      </c>
      <c r="G9722" s="0" t="n">
        <v>7.584</v>
      </c>
      <c r="H9722" s="0" t="n">
        <v>0</v>
      </c>
      <c r="I9722" s="7" t="n">
        <f aca="false">YEAR(B9722)</f>
        <v>2016</v>
      </c>
      <c r="J9722" s="0" t="str">
        <f aca="false">I9722&amp;"-Q"&amp;ROUNDUP(MONTH(B9722)/3,0)</f>
        <v>2016-Q3</v>
      </c>
    </row>
    <row r="9723" customFormat="false" ht="15" hidden="false" customHeight="false" outlineLevel="0" collapsed="false">
      <c r="A9723" s="0" t="s">
        <v>4966</v>
      </c>
      <c r="B9723" s="6" t="n">
        <v>42416</v>
      </c>
      <c r="C9723" s="7" t="s">
        <v>55</v>
      </c>
      <c r="D9723" s="7" t="s">
        <v>76</v>
      </c>
      <c r="E9723" s="7" t="s">
        <v>31</v>
      </c>
      <c r="F9723" s="0" t="n">
        <v>326.646</v>
      </c>
      <c r="G9723" s="0" t="n">
        <v>39.9234</v>
      </c>
      <c r="H9723" s="0" t="n">
        <v>0.1</v>
      </c>
      <c r="I9723" s="7" t="n">
        <f aca="false">YEAR(B9723)</f>
        <v>2016</v>
      </c>
      <c r="J9723" s="0" t="str">
        <f aca="false">I9723&amp;"-Q"&amp;ROUNDUP(MONTH(B9723)/3,0)</f>
        <v>2016-Q1</v>
      </c>
    </row>
    <row r="9724" customFormat="false" ht="15" hidden="false" customHeight="false" outlineLevel="0" collapsed="false">
      <c r="A9724" s="0" t="s">
        <v>4966</v>
      </c>
      <c r="B9724" s="6" t="n">
        <v>42416</v>
      </c>
      <c r="C9724" s="7" t="s">
        <v>55</v>
      </c>
      <c r="D9724" s="7" t="s">
        <v>76</v>
      </c>
      <c r="E9724" s="7" t="s">
        <v>39</v>
      </c>
      <c r="F9724" s="0" t="n">
        <v>89.97</v>
      </c>
      <c r="G9724" s="0" t="n">
        <v>39.5868</v>
      </c>
      <c r="H9724" s="0" t="n">
        <v>0</v>
      </c>
      <c r="I9724" s="7" t="n">
        <f aca="false">YEAR(B9724)</f>
        <v>2016</v>
      </c>
      <c r="J9724" s="0" t="str">
        <f aca="false">I9724&amp;"-Q"&amp;ROUNDUP(MONTH(B9724)/3,0)</f>
        <v>2016-Q1</v>
      </c>
    </row>
    <row r="9725" customFormat="false" ht="15" hidden="false" customHeight="false" outlineLevel="0" collapsed="false">
      <c r="A9725" s="0" t="s">
        <v>4967</v>
      </c>
      <c r="B9725" s="6" t="n">
        <v>41995</v>
      </c>
      <c r="C9725" s="7" t="s">
        <v>55</v>
      </c>
      <c r="D9725" s="7" t="s">
        <v>76</v>
      </c>
      <c r="E9725" s="7" t="s">
        <v>35</v>
      </c>
      <c r="F9725" s="0" t="n">
        <v>296.712</v>
      </c>
      <c r="G9725" s="0" t="n">
        <v>100.1403</v>
      </c>
      <c r="H9725" s="0" t="n">
        <v>0.2</v>
      </c>
      <c r="I9725" s="7" t="n">
        <f aca="false">YEAR(B9725)</f>
        <v>2014</v>
      </c>
      <c r="J9725" s="0" t="str">
        <f aca="false">I9725&amp;"-Q"&amp;ROUNDUP(MONTH(B9725)/3,0)</f>
        <v>2014-Q4</v>
      </c>
    </row>
    <row r="9726" customFormat="false" ht="15" hidden="false" customHeight="false" outlineLevel="0" collapsed="false">
      <c r="A9726" s="0" t="s">
        <v>4968</v>
      </c>
      <c r="B9726" s="6" t="n">
        <v>42343</v>
      </c>
      <c r="C9726" s="7" t="s">
        <v>45</v>
      </c>
      <c r="D9726" s="7" t="s">
        <v>64</v>
      </c>
      <c r="E9726" s="7" t="s">
        <v>35</v>
      </c>
      <c r="F9726" s="0" t="n">
        <v>12.224</v>
      </c>
      <c r="G9726" s="0" t="n">
        <v>4.4312</v>
      </c>
      <c r="H9726" s="0" t="n">
        <v>0.2</v>
      </c>
      <c r="I9726" s="7" t="n">
        <f aca="false">YEAR(B9726)</f>
        <v>2015</v>
      </c>
      <c r="J9726" s="0" t="str">
        <f aca="false">I9726&amp;"-Q"&amp;ROUNDUP(MONTH(B9726)/3,0)</f>
        <v>2015-Q4</v>
      </c>
    </row>
    <row r="9727" customFormat="false" ht="15" hidden="false" customHeight="false" outlineLevel="0" collapsed="false">
      <c r="A9727" s="0" t="s">
        <v>4969</v>
      </c>
      <c r="B9727" s="6" t="n">
        <v>42995</v>
      </c>
      <c r="C9727" s="7" t="s">
        <v>33</v>
      </c>
      <c r="D9727" s="7" t="s">
        <v>1599</v>
      </c>
      <c r="E9727" s="7" t="s">
        <v>39</v>
      </c>
      <c r="F9727" s="0" t="n">
        <v>89.97</v>
      </c>
      <c r="G9727" s="0" t="n">
        <v>37.7874</v>
      </c>
      <c r="H9727" s="0" t="n">
        <v>0</v>
      </c>
      <c r="I9727" s="7" t="n">
        <f aca="false">YEAR(B9727)</f>
        <v>2017</v>
      </c>
      <c r="J9727" s="0" t="str">
        <f aca="false">I9727&amp;"-Q"&amp;ROUNDUP(MONTH(B9727)/3,0)</f>
        <v>2017-Q3</v>
      </c>
    </row>
    <row r="9728" customFormat="false" ht="15" hidden="false" customHeight="false" outlineLevel="0" collapsed="false">
      <c r="A9728" s="0" t="s">
        <v>4970</v>
      </c>
      <c r="B9728" s="6" t="n">
        <v>43071</v>
      </c>
      <c r="C9728" s="7" t="s">
        <v>55</v>
      </c>
      <c r="D9728" s="7" t="s">
        <v>225</v>
      </c>
      <c r="E9728" s="7" t="s">
        <v>35</v>
      </c>
      <c r="F9728" s="0" t="n">
        <v>286.86</v>
      </c>
      <c r="G9728" s="0" t="n">
        <v>80.3208</v>
      </c>
      <c r="H9728" s="0" t="n">
        <v>0</v>
      </c>
      <c r="I9728" s="7" t="n">
        <f aca="false">YEAR(B9728)</f>
        <v>2017</v>
      </c>
      <c r="J9728" s="0" t="str">
        <f aca="false">I9728&amp;"-Q"&amp;ROUNDUP(MONTH(B9728)/3,0)</f>
        <v>2017-Q4</v>
      </c>
    </row>
    <row r="9729" customFormat="false" ht="15" hidden="false" customHeight="false" outlineLevel="0" collapsed="false">
      <c r="A9729" s="0" t="s">
        <v>4970</v>
      </c>
      <c r="B9729" s="6" t="n">
        <v>43071</v>
      </c>
      <c r="C9729" s="7" t="s">
        <v>55</v>
      </c>
      <c r="D9729" s="7" t="s">
        <v>225</v>
      </c>
      <c r="E9729" s="7" t="s">
        <v>39</v>
      </c>
      <c r="F9729" s="0" t="n">
        <v>979.95</v>
      </c>
      <c r="G9729" s="0" t="n">
        <v>284.1855</v>
      </c>
      <c r="H9729" s="0" t="n">
        <v>0</v>
      </c>
      <c r="I9729" s="7" t="n">
        <f aca="false">YEAR(B9729)</f>
        <v>2017</v>
      </c>
      <c r="J9729" s="0" t="str">
        <f aca="false">I9729&amp;"-Q"&amp;ROUNDUP(MONTH(B9729)/3,0)</f>
        <v>2017-Q4</v>
      </c>
    </row>
    <row r="9730" customFormat="false" ht="15" hidden="false" customHeight="false" outlineLevel="0" collapsed="false">
      <c r="A9730" s="0" t="s">
        <v>4970</v>
      </c>
      <c r="B9730" s="6" t="n">
        <v>43071</v>
      </c>
      <c r="C9730" s="7" t="s">
        <v>55</v>
      </c>
      <c r="D9730" s="7" t="s">
        <v>225</v>
      </c>
      <c r="E9730" s="7" t="s">
        <v>35</v>
      </c>
      <c r="F9730" s="0" t="n">
        <v>4.36</v>
      </c>
      <c r="G9730" s="0" t="n">
        <v>0.1744</v>
      </c>
      <c r="H9730" s="0" t="n">
        <v>0</v>
      </c>
      <c r="I9730" s="7" t="n">
        <f aca="false">YEAR(B9730)</f>
        <v>2017</v>
      </c>
      <c r="J9730" s="0" t="str">
        <f aca="false">I9730&amp;"-Q"&amp;ROUNDUP(MONTH(B9730)/3,0)</f>
        <v>2017-Q4</v>
      </c>
    </row>
    <row r="9731" customFormat="false" ht="15" hidden="false" customHeight="false" outlineLevel="0" collapsed="false">
      <c r="A9731" s="0" t="s">
        <v>4971</v>
      </c>
      <c r="B9731" s="6" t="n">
        <v>41911</v>
      </c>
      <c r="C9731" s="7" t="s">
        <v>33</v>
      </c>
      <c r="D9731" s="7" t="s">
        <v>43</v>
      </c>
      <c r="E9731" s="7" t="s">
        <v>35</v>
      </c>
      <c r="F9731" s="0" t="n">
        <v>10.048</v>
      </c>
      <c r="G9731" s="0" t="n">
        <v>3.14</v>
      </c>
      <c r="H9731" s="0" t="n">
        <v>0.2</v>
      </c>
      <c r="I9731" s="7" t="n">
        <f aca="false">YEAR(B9731)</f>
        <v>2014</v>
      </c>
      <c r="J9731" s="0" t="str">
        <f aca="false">I9731&amp;"-Q"&amp;ROUNDUP(MONTH(B9731)/3,0)</f>
        <v>2014-Q3</v>
      </c>
    </row>
    <row r="9732" customFormat="false" ht="15" hidden="false" customHeight="false" outlineLevel="0" collapsed="false">
      <c r="A9732" s="0" t="s">
        <v>4971</v>
      </c>
      <c r="B9732" s="6" t="n">
        <v>41911</v>
      </c>
      <c r="C9732" s="7" t="s">
        <v>33</v>
      </c>
      <c r="D9732" s="7" t="s">
        <v>43</v>
      </c>
      <c r="E9732" s="7" t="s">
        <v>35</v>
      </c>
      <c r="F9732" s="0" t="n">
        <v>807.75</v>
      </c>
      <c r="G9732" s="0" t="n">
        <v>153.4725</v>
      </c>
      <c r="H9732" s="0" t="n">
        <v>0</v>
      </c>
      <c r="I9732" s="7" t="n">
        <f aca="false">YEAR(B9732)</f>
        <v>2014</v>
      </c>
      <c r="J9732" s="0" t="str">
        <f aca="false">I9732&amp;"-Q"&amp;ROUNDUP(MONTH(B9732)/3,0)</f>
        <v>2014-Q3</v>
      </c>
    </row>
    <row r="9733" customFormat="false" ht="15" hidden="false" customHeight="false" outlineLevel="0" collapsed="false">
      <c r="A9733" s="0" t="s">
        <v>4972</v>
      </c>
      <c r="B9733" s="6" t="n">
        <v>43053</v>
      </c>
      <c r="C9733" s="7" t="s">
        <v>33</v>
      </c>
      <c r="D9733" s="7" t="s">
        <v>34</v>
      </c>
      <c r="E9733" s="7" t="s">
        <v>35</v>
      </c>
      <c r="F9733" s="0" t="n">
        <v>34.24</v>
      </c>
      <c r="G9733" s="0" t="n">
        <v>9.9296</v>
      </c>
      <c r="H9733" s="0" t="n">
        <v>0</v>
      </c>
      <c r="I9733" s="7" t="n">
        <f aca="false">YEAR(B9733)</f>
        <v>2017</v>
      </c>
      <c r="J9733" s="0" t="str">
        <f aca="false">I9733&amp;"-Q"&amp;ROUNDUP(MONTH(B9733)/3,0)</f>
        <v>2017-Q4</v>
      </c>
    </row>
    <row r="9734" customFormat="false" ht="15" hidden="false" customHeight="false" outlineLevel="0" collapsed="false">
      <c r="A9734" s="0" t="s">
        <v>4973</v>
      </c>
      <c r="B9734" s="6" t="n">
        <v>41871</v>
      </c>
      <c r="C9734" s="7" t="s">
        <v>29</v>
      </c>
      <c r="D9734" s="7" t="s">
        <v>83</v>
      </c>
      <c r="E9734" s="7" t="s">
        <v>31</v>
      </c>
      <c r="F9734" s="0" t="n">
        <v>500.24</v>
      </c>
      <c r="G9734" s="0" t="n">
        <v>145.0696</v>
      </c>
      <c r="H9734" s="0" t="n">
        <v>0</v>
      </c>
      <c r="I9734" s="7" t="n">
        <f aca="false">YEAR(B9734)</f>
        <v>2014</v>
      </c>
      <c r="J9734" s="0" t="str">
        <f aca="false">I9734&amp;"-Q"&amp;ROUNDUP(MONTH(B9734)/3,0)</f>
        <v>2014-Q3</v>
      </c>
    </row>
    <row r="9735" customFormat="false" ht="15" hidden="false" customHeight="false" outlineLevel="0" collapsed="false">
      <c r="A9735" s="0" t="s">
        <v>4973</v>
      </c>
      <c r="B9735" s="6" t="n">
        <v>41871</v>
      </c>
      <c r="C9735" s="7" t="s">
        <v>29</v>
      </c>
      <c r="D9735" s="7" t="s">
        <v>83</v>
      </c>
      <c r="E9735" s="7" t="s">
        <v>35</v>
      </c>
      <c r="F9735" s="0" t="n">
        <v>20.12</v>
      </c>
      <c r="G9735" s="0" t="n">
        <v>9.2552</v>
      </c>
      <c r="H9735" s="0" t="n">
        <v>0</v>
      </c>
      <c r="I9735" s="7" t="n">
        <f aca="false">YEAR(B9735)</f>
        <v>2014</v>
      </c>
      <c r="J9735" s="0" t="str">
        <f aca="false">I9735&amp;"-Q"&amp;ROUNDUP(MONTH(B9735)/3,0)</f>
        <v>2014-Q3</v>
      </c>
    </row>
    <row r="9736" customFormat="false" ht="15" hidden="false" customHeight="false" outlineLevel="0" collapsed="false">
      <c r="A9736" s="0" t="s">
        <v>4973</v>
      </c>
      <c r="B9736" s="6" t="n">
        <v>41871</v>
      </c>
      <c r="C9736" s="7" t="s">
        <v>29</v>
      </c>
      <c r="D9736" s="7" t="s">
        <v>83</v>
      </c>
      <c r="E9736" s="7" t="s">
        <v>35</v>
      </c>
      <c r="F9736" s="0" t="n">
        <v>896.99</v>
      </c>
      <c r="G9736" s="0" t="n">
        <v>421.5853</v>
      </c>
      <c r="H9736" s="0" t="n">
        <v>0</v>
      </c>
      <c r="I9736" s="7" t="n">
        <f aca="false">YEAR(B9736)</f>
        <v>2014</v>
      </c>
      <c r="J9736" s="0" t="str">
        <f aca="false">I9736&amp;"-Q"&amp;ROUNDUP(MONTH(B9736)/3,0)</f>
        <v>2014-Q3</v>
      </c>
    </row>
    <row r="9737" customFormat="false" ht="15" hidden="false" customHeight="false" outlineLevel="0" collapsed="false">
      <c r="A9737" s="0" t="s">
        <v>4974</v>
      </c>
      <c r="B9737" s="6" t="n">
        <v>41962</v>
      </c>
      <c r="C9737" s="7" t="s">
        <v>55</v>
      </c>
      <c r="D9737" s="7" t="s">
        <v>56</v>
      </c>
      <c r="E9737" s="7" t="s">
        <v>35</v>
      </c>
      <c r="F9737" s="0" t="n">
        <v>5.88</v>
      </c>
      <c r="G9737" s="0" t="n">
        <v>1.9845</v>
      </c>
      <c r="H9737" s="0" t="n">
        <v>0.2</v>
      </c>
      <c r="I9737" s="7" t="n">
        <f aca="false">YEAR(B9737)</f>
        <v>2014</v>
      </c>
      <c r="J9737" s="0" t="str">
        <f aca="false">I9737&amp;"-Q"&amp;ROUNDUP(MONTH(B9737)/3,0)</f>
        <v>2014-Q4</v>
      </c>
    </row>
    <row r="9738" customFormat="false" ht="15" hidden="false" customHeight="false" outlineLevel="0" collapsed="false">
      <c r="A9738" s="0" t="s">
        <v>4975</v>
      </c>
      <c r="B9738" s="6" t="n">
        <v>42184</v>
      </c>
      <c r="C9738" s="7" t="s">
        <v>45</v>
      </c>
      <c r="D9738" s="7" t="s">
        <v>53</v>
      </c>
      <c r="E9738" s="7" t="s">
        <v>39</v>
      </c>
      <c r="F9738" s="0" t="n">
        <v>269.98</v>
      </c>
      <c r="G9738" s="0" t="n">
        <v>72.8946</v>
      </c>
      <c r="H9738" s="0" t="n">
        <v>0</v>
      </c>
      <c r="I9738" s="7" t="n">
        <f aca="false">YEAR(B9738)</f>
        <v>2015</v>
      </c>
      <c r="J9738" s="0" t="str">
        <f aca="false">I9738&amp;"-Q"&amp;ROUNDUP(MONTH(B9738)/3,0)</f>
        <v>2015-Q2</v>
      </c>
    </row>
    <row r="9739" customFormat="false" ht="15" hidden="false" customHeight="false" outlineLevel="0" collapsed="false">
      <c r="A9739" s="0" t="s">
        <v>4976</v>
      </c>
      <c r="B9739" s="6" t="n">
        <v>42810</v>
      </c>
      <c r="C9739" s="7" t="s">
        <v>33</v>
      </c>
      <c r="D9739" s="7" t="s">
        <v>34</v>
      </c>
      <c r="E9739" s="7" t="s">
        <v>35</v>
      </c>
      <c r="F9739" s="0" t="n">
        <v>310.12</v>
      </c>
      <c r="G9739" s="0" t="n">
        <v>80.6312</v>
      </c>
      <c r="H9739" s="0" t="n">
        <v>0</v>
      </c>
      <c r="I9739" s="7" t="n">
        <f aca="false">YEAR(B9739)</f>
        <v>2017</v>
      </c>
      <c r="J9739" s="0" t="str">
        <f aca="false">I9739&amp;"-Q"&amp;ROUNDUP(MONTH(B9739)/3,0)</f>
        <v>2017-Q1</v>
      </c>
    </row>
    <row r="9740" customFormat="false" ht="15" hidden="false" customHeight="false" outlineLevel="0" collapsed="false">
      <c r="A9740" s="0" t="s">
        <v>4976</v>
      </c>
      <c r="B9740" s="6" t="n">
        <v>42810</v>
      </c>
      <c r="C9740" s="7" t="s">
        <v>33</v>
      </c>
      <c r="D9740" s="7" t="s">
        <v>34</v>
      </c>
      <c r="E9740" s="7" t="s">
        <v>35</v>
      </c>
      <c r="F9740" s="0" t="n">
        <v>70.464</v>
      </c>
      <c r="G9740" s="0" t="n">
        <v>22.9008</v>
      </c>
      <c r="H9740" s="0" t="n">
        <v>0.2</v>
      </c>
      <c r="I9740" s="7" t="n">
        <f aca="false">YEAR(B9740)</f>
        <v>2017</v>
      </c>
      <c r="J9740" s="0" t="str">
        <f aca="false">I9740&amp;"-Q"&amp;ROUNDUP(MONTH(B9740)/3,0)</f>
        <v>2017-Q1</v>
      </c>
    </row>
    <row r="9741" customFormat="false" ht="15" hidden="false" customHeight="false" outlineLevel="0" collapsed="false">
      <c r="A9741" s="0" t="s">
        <v>4976</v>
      </c>
      <c r="B9741" s="6" t="n">
        <v>42810</v>
      </c>
      <c r="C9741" s="7" t="s">
        <v>33</v>
      </c>
      <c r="D9741" s="7" t="s">
        <v>34</v>
      </c>
      <c r="E9741" s="7" t="s">
        <v>35</v>
      </c>
      <c r="F9741" s="0" t="n">
        <v>19.68</v>
      </c>
      <c r="G9741" s="0" t="n">
        <v>6.888</v>
      </c>
      <c r="H9741" s="0" t="n">
        <v>0.2</v>
      </c>
      <c r="I9741" s="7" t="n">
        <f aca="false">YEAR(B9741)</f>
        <v>2017</v>
      </c>
      <c r="J9741" s="0" t="str">
        <f aca="false">I9741&amp;"-Q"&amp;ROUNDUP(MONTH(B9741)/3,0)</f>
        <v>2017-Q1</v>
      </c>
    </row>
    <row r="9742" customFormat="false" ht="15" hidden="false" customHeight="false" outlineLevel="0" collapsed="false">
      <c r="A9742" s="0" t="s">
        <v>4976</v>
      </c>
      <c r="B9742" s="6" t="n">
        <v>42810</v>
      </c>
      <c r="C9742" s="7" t="s">
        <v>33</v>
      </c>
      <c r="D9742" s="7" t="s">
        <v>34</v>
      </c>
      <c r="E9742" s="7" t="s">
        <v>35</v>
      </c>
      <c r="F9742" s="0" t="n">
        <v>140.67</v>
      </c>
      <c r="G9742" s="0" t="n">
        <v>54.8613</v>
      </c>
      <c r="H9742" s="0" t="n">
        <v>0</v>
      </c>
      <c r="I9742" s="7" t="n">
        <f aca="false">YEAR(B9742)</f>
        <v>2017</v>
      </c>
      <c r="J9742" s="0" t="str">
        <f aca="false">I9742&amp;"-Q"&amp;ROUNDUP(MONTH(B9742)/3,0)</f>
        <v>2017-Q1</v>
      </c>
    </row>
    <row r="9743" customFormat="false" ht="15" hidden="false" customHeight="false" outlineLevel="0" collapsed="false">
      <c r="A9743" s="0" t="s">
        <v>4977</v>
      </c>
      <c r="B9743" s="6" t="n">
        <v>42316</v>
      </c>
      <c r="C9743" s="7" t="s">
        <v>55</v>
      </c>
      <c r="D9743" s="7" t="s">
        <v>1173</v>
      </c>
      <c r="E9743" s="7" t="s">
        <v>31</v>
      </c>
      <c r="F9743" s="0" t="n">
        <v>4404.9</v>
      </c>
      <c r="G9743" s="0" t="n">
        <v>1013.127</v>
      </c>
      <c r="H9743" s="0" t="n">
        <v>0</v>
      </c>
      <c r="I9743" s="7" t="n">
        <f aca="false">YEAR(B9743)</f>
        <v>2015</v>
      </c>
      <c r="J9743" s="0" t="str">
        <f aca="false">I9743&amp;"-Q"&amp;ROUNDUP(MONTH(B9743)/3,0)</f>
        <v>2015-Q4</v>
      </c>
    </row>
    <row r="9744" customFormat="false" ht="15" hidden="false" customHeight="false" outlineLevel="0" collapsed="false">
      <c r="A9744" s="0" t="s">
        <v>4978</v>
      </c>
      <c r="B9744" s="6" t="n">
        <v>43067</v>
      </c>
      <c r="C9744" s="7" t="s">
        <v>33</v>
      </c>
      <c r="D9744" s="7" t="s">
        <v>34</v>
      </c>
      <c r="E9744" s="7" t="s">
        <v>35</v>
      </c>
      <c r="F9744" s="0" t="n">
        <v>62.65</v>
      </c>
      <c r="G9744" s="0" t="n">
        <v>29.4455</v>
      </c>
      <c r="H9744" s="0" t="n">
        <v>0</v>
      </c>
      <c r="I9744" s="7" t="n">
        <f aca="false">YEAR(B9744)</f>
        <v>2017</v>
      </c>
      <c r="J9744" s="0" t="str">
        <f aca="false">I9744&amp;"-Q"&amp;ROUNDUP(MONTH(B9744)/3,0)</f>
        <v>2017-Q4</v>
      </c>
    </row>
    <row r="9745" customFormat="false" ht="15" hidden="false" customHeight="false" outlineLevel="0" collapsed="false">
      <c r="A9745" s="0" t="s">
        <v>4979</v>
      </c>
      <c r="B9745" s="6" t="n">
        <v>42537</v>
      </c>
      <c r="C9745" s="7" t="s">
        <v>55</v>
      </c>
      <c r="D9745" s="7" t="s">
        <v>72</v>
      </c>
      <c r="E9745" s="7" t="s">
        <v>35</v>
      </c>
      <c r="F9745" s="0" t="n">
        <v>9.45</v>
      </c>
      <c r="G9745" s="0" t="n">
        <v>4.536</v>
      </c>
      <c r="H9745" s="0" t="n">
        <v>0</v>
      </c>
      <c r="I9745" s="7" t="n">
        <f aca="false">YEAR(B9745)</f>
        <v>2016</v>
      </c>
      <c r="J9745" s="0" t="str">
        <f aca="false">I9745&amp;"-Q"&amp;ROUNDUP(MONTH(B9745)/3,0)</f>
        <v>2016-Q2</v>
      </c>
    </row>
    <row r="9746" customFormat="false" ht="15" hidden="false" customHeight="false" outlineLevel="0" collapsed="false">
      <c r="A9746" s="0" t="s">
        <v>4980</v>
      </c>
      <c r="B9746" s="6" t="n">
        <v>42756</v>
      </c>
      <c r="C9746" s="7" t="s">
        <v>45</v>
      </c>
      <c r="D9746" s="7" t="s">
        <v>64</v>
      </c>
      <c r="E9746" s="7" t="s">
        <v>35</v>
      </c>
      <c r="F9746" s="0" t="n">
        <v>268.576</v>
      </c>
      <c r="G9746" s="0" t="n">
        <v>90.6444</v>
      </c>
      <c r="H9746" s="0" t="n">
        <v>0.2</v>
      </c>
      <c r="I9746" s="7" t="n">
        <f aca="false">YEAR(B9746)</f>
        <v>2017</v>
      </c>
      <c r="J9746" s="0" t="str">
        <f aca="false">I9746&amp;"-Q"&amp;ROUNDUP(MONTH(B9746)/3,0)</f>
        <v>2017-Q1</v>
      </c>
    </row>
    <row r="9747" customFormat="false" ht="15" hidden="false" customHeight="false" outlineLevel="0" collapsed="false">
      <c r="A9747" s="0" t="s">
        <v>4981</v>
      </c>
      <c r="B9747" s="6" t="n">
        <v>43063</v>
      </c>
      <c r="C9747" s="7" t="s">
        <v>33</v>
      </c>
      <c r="D9747" s="7" t="s">
        <v>34</v>
      </c>
      <c r="E9747" s="7" t="s">
        <v>31</v>
      </c>
      <c r="F9747" s="0" t="n">
        <v>364.08</v>
      </c>
      <c r="G9747" s="0" t="n">
        <v>9.102</v>
      </c>
      <c r="H9747" s="0" t="n">
        <v>0.2</v>
      </c>
      <c r="I9747" s="7" t="n">
        <f aca="false">YEAR(B9747)</f>
        <v>2017</v>
      </c>
      <c r="J9747" s="0" t="str">
        <f aca="false">I9747&amp;"-Q"&amp;ROUNDUP(MONTH(B9747)/3,0)</f>
        <v>2017-Q4</v>
      </c>
    </row>
    <row r="9748" customFormat="false" ht="15" hidden="false" customHeight="false" outlineLevel="0" collapsed="false">
      <c r="A9748" s="0" t="s">
        <v>4981</v>
      </c>
      <c r="B9748" s="6" t="n">
        <v>43063</v>
      </c>
      <c r="C9748" s="7" t="s">
        <v>33</v>
      </c>
      <c r="D9748" s="7" t="s">
        <v>34</v>
      </c>
      <c r="E9748" s="7" t="s">
        <v>31</v>
      </c>
      <c r="F9748" s="0" t="n">
        <v>71.088</v>
      </c>
      <c r="G9748" s="0" t="n">
        <v>-1.7772</v>
      </c>
      <c r="H9748" s="0" t="n">
        <v>0.2</v>
      </c>
      <c r="I9748" s="7" t="n">
        <f aca="false">YEAR(B9748)</f>
        <v>2017</v>
      </c>
      <c r="J9748" s="0" t="str">
        <f aca="false">I9748&amp;"-Q"&amp;ROUNDUP(MONTH(B9748)/3,0)</f>
        <v>2017-Q4</v>
      </c>
    </row>
    <row r="9749" customFormat="false" ht="15" hidden="false" customHeight="false" outlineLevel="0" collapsed="false">
      <c r="A9749" s="0" t="s">
        <v>4982</v>
      </c>
      <c r="B9749" s="6" t="n">
        <v>41954</v>
      </c>
      <c r="C9749" s="7" t="s">
        <v>45</v>
      </c>
      <c r="D9749" s="7" t="s">
        <v>64</v>
      </c>
      <c r="E9749" s="7" t="s">
        <v>31</v>
      </c>
      <c r="F9749" s="0" t="n">
        <v>10.984</v>
      </c>
      <c r="G9749" s="0" t="n">
        <v>-7.9634</v>
      </c>
      <c r="H9749" s="0" t="n">
        <v>0.6</v>
      </c>
      <c r="I9749" s="7" t="n">
        <f aca="false">YEAR(B9749)</f>
        <v>2014</v>
      </c>
      <c r="J9749" s="0" t="str">
        <f aca="false">I9749&amp;"-Q"&amp;ROUNDUP(MONTH(B9749)/3,0)</f>
        <v>2014-Q4</v>
      </c>
    </row>
    <row r="9750" customFormat="false" ht="15" hidden="false" customHeight="false" outlineLevel="0" collapsed="false">
      <c r="A9750" s="0" t="s">
        <v>4982</v>
      </c>
      <c r="B9750" s="6" t="n">
        <v>41954</v>
      </c>
      <c r="C9750" s="7" t="s">
        <v>45</v>
      </c>
      <c r="D9750" s="7" t="s">
        <v>64</v>
      </c>
      <c r="E9750" s="7" t="s">
        <v>31</v>
      </c>
      <c r="F9750" s="0" t="n">
        <v>797.944</v>
      </c>
      <c r="G9750" s="0" t="n">
        <v>-56.996</v>
      </c>
      <c r="H9750" s="0" t="n">
        <v>0.3</v>
      </c>
      <c r="I9750" s="7" t="n">
        <f aca="false">YEAR(B9750)</f>
        <v>2014</v>
      </c>
      <c r="J9750" s="0" t="str">
        <f aca="false">I9750&amp;"-Q"&amp;ROUNDUP(MONTH(B9750)/3,0)</f>
        <v>2014-Q4</v>
      </c>
    </row>
    <row r="9751" customFormat="false" ht="15" hidden="false" customHeight="false" outlineLevel="0" collapsed="false">
      <c r="A9751" s="0" t="s">
        <v>4983</v>
      </c>
      <c r="B9751" s="6" t="n">
        <v>42433</v>
      </c>
      <c r="C9751" s="7" t="s">
        <v>55</v>
      </c>
      <c r="D9751" s="7" t="s">
        <v>482</v>
      </c>
      <c r="E9751" s="7" t="s">
        <v>39</v>
      </c>
      <c r="F9751" s="0" t="n">
        <v>159.98</v>
      </c>
      <c r="G9751" s="0" t="n">
        <v>57.5928</v>
      </c>
      <c r="H9751" s="0" t="n">
        <v>0</v>
      </c>
      <c r="I9751" s="7" t="n">
        <f aca="false">YEAR(B9751)</f>
        <v>2016</v>
      </c>
      <c r="J9751" s="0" t="str">
        <f aca="false">I9751&amp;"-Q"&amp;ROUNDUP(MONTH(B9751)/3,0)</f>
        <v>2016-Q1</v>
      </c>
    </row>
    <row r="9752" customFormat="false" ht="15" hidden="false" customHeight="false" outlineLevel="0" collapsed="false">
      <c r="A9752" s="0" t="s">
        <v>4984</v>
      </c>
      <c r="B9752" s="6" t="n">
        <v>42654</v>
      </c>
      <c r="C9752" s="7" t="s">
        <v>45</v>
      </c>
      <c r="D9752" s="7" t="s">
        <v>64</v>
      </c>
      <c r="E9752" s="7" t="s">
        <v>35</v>
      </c>
      <c r="F9752" s="0" t="n">
        <v>5.344</v>
      </c>
      <c r="G9752" s="0" t="n">
        <v>0.668</v>
      </c>
      <c r="H9752" s="0" t="n">
        <v>0.2</v>
      </c>
      <c r="I9752" s="7" t="n">
        <f aca="false">YEAR(B9752)</f>
        <v>2016</v>
      </c>
      <c r="J9752" s="0" t="str">
        <f aca="false">I9752&amp;"-Q"&amp;ROUNDUP(MONTH(B9752)/3,0)</f>
        <v>2016-Q4</v>
      </c>
    </row>
    <row r="9753" customFormat="false" ht="15" hidden="false" customHeight="false" outlineLevel="0" collapsed="false">
      <c r="A9753" s="0" t="s">
        <v>4984</v>
      </c>
      <c r="B9753" s="6" t="n">
        <v>42654</v>
      </c>
      <c r="C9753" s="7" t="s">
        <v>45</v>
      </c>
      <c r="D9753" s="7" t="s">
        <v>64</v>
      </c>
      <c r="E9753" s="7" t="s">
        <v>35</v>
      </c>
      <c r="F9753" s="0" t="n">
        <v>27.72</v>
      </c>
      <c r="G9753" s="0" t="n">
        <v>3.465</v>
      </c>
      <c r="H9753" s="0" t="n">
        <v>0.2</v>
      </c>
      <c r="I9753" s="7" t="n">
        <f aca="false">YEAR(B9753)</f>
        <v>2016</v>
      </c>
      <c r="J9753" s="0" t="str">
        <f aca="false">I9753&amp;"-Q"&amp;ROUNDUP(MONTH(B9753)/3,0)</f>
        <v>2016-Q4</v>
      </c>
    </row>
    <row r="9754" customFormat="false" ht="15" hidden="false" customHeight="false" outlineLevel="0" collapsed="false">
      <c r="A9754" s="0" t="s">
        <v>4985</v>
      </c>
      <c r="B9754" s="6" t="n">
        <v>42552</v>
      </c>
      <c r="C9754" s="7" t="s">
        <v>33</v>
      </c>
      <c r="D9754" s="7" t="s">
        <v>43</v>
      </c>
      <c r="E9754" s="7" t="s">
        <v>35</v>
      </c>
      <c r="F9754" s="0" t="n">
        <v>2.496</v>
      </c>
      <c r="G9754" s="0" t="n">
        <v>0.9048</v>
      </c>
      <c r="H9754" s="0" t="n">
        <v>0.2</v>
      </c>
      <c r="I9754" s="7" t="n">
        <f aca="false">YEAR(B9754)</f>
        <v>2016</v>
      </c>
      <c r="J9754" s="0" t="str">
        <f aca="false">I9754&amp;"-Q"&amp;ROUNDUP(MONTH(B9754)/3,0)</f>
        <v>2016-Q3</v>
      </c>
    </row>
    <row r="9755" customFormat="false" ht="15" hidden="false" customHeight="false" outlineLevel="0" collapsed="false">
      <c r="A9755" s="0" t="s">
        <v>4986</v>
      </c>
      <c r="B9755" s="6" t="n">
        <v>42821</v>
      </c>
      <c r="C9755" s="7" t="s">
        <v>29</v>
      </c>
      <c r="D9755" s="7" t="s">
        <v>83</v>
      </c>
      <c r="E9755" s="7" t="s">
        <v>35</v>
      </c>
      <c r="F9755" s="0" t="n">
        <v>8.26</v>
      </c>
      <c r="G9755" s="0" t="n">
        <v>3.7996</v>
      </c>
      <c r="H9755" s="0" t="n">
        <v>0</v>
      </c>
      <c r="I9755" s="7" t="n">
        <f aca="false">YEAR(B9755)</f>
        <v>2017</v>
      </c>
      <c r="J9755" s="0" t="str">
        <f aca="false">I9755&amp;"-Q"&amp;ROUNDUP(MONTH(B9755)/3,0)</f>
        <v>2017-Q1</v>
      </c>
    </row>
    <row r="9756" customFormat="false" ht="15" hidden="false" customHeight="false" outlineLevel="0" collapsed="false">
      <c r="A9756" s="0" t="s">
        <v>4986</v>
      </c>
      <c r="B9756" s="6" t="n">
        <v>42821</v>
      </c>
      <c r="C9756" s="7" t="s">
        <v>29</v>
      </c>
      <c r="D9756" s="7" t="s">
        <v>83</v>
      </c>
      <c r="E9756" s="7" t="s">
        <v>35</v>
      </c>
      <c r="F9756" s="0" t="n">
        <v>17.76</v>
      </c>
      <c r="G9756" s="0" t="n">
        <v>8.88</v>
      </c>
      <c r="H9756" s="0" t="n">
        <v>0</v>
      </c>
      <c r="I9756" s="7" t="n">
        <f aca="false">YEAR(B9756)</f>
        <v>2017</v>
      </c>
      <c r="J9756" s="0" t="str">
        <f aca="false">I9756&amp;"-Q"&amp;ROUNDUP(MONTH(B9756)/3,0)</f>
        <v>2017-Q1</v>
      </c>
    </row>
    <row r="9757" customFormat="false" ht="15" hidden="false" customHeight="false" outlineLevel="0" collapsed="false">
      <c r="A9757" s="0" t="s">
        <v>4986</v>
      </c>
      <c r="B9757" s="6" t="n">
        <v>42821</v>
      </c>
      <c r="C9757" s="7" t="s">
        <v>29</v>
      </c>
      <c r="D9757" s="7" t="s">
        <v>83</v>
      </c>
      <c r="E9757" s="7" t="s">
        <v>35</v>
      </c>
      <c r="F9757" s="0" t="n">
        <v>332.94</v>
      </c>
      <c r="G9757" s="0" t="n">
        <v>9.9882</v>
      </c>
      <c r="H9757" s="0" t="n">
        <v>0</v>
      </c>
      <c r="I9757" s="7" t="n">
        <f aca="false">YEAR(B9757)</f>
        <v>2017</v>
      </c>
      <c r="J9757" s="0" t="str">
        <f aca="false">I9757&amp;"-Q"&amp;ROUNDUP(MONTH(B9757)/3,0)</f>
        <v>2017-Q1</v>
      </c>
    </row>
    <row r="9758" customFormat="false" ht="15" hidden="false" customHeight="false" outlineLevel="0" collapsed="false">
      <c r="A9758" s="0" t="s">
        <v>4986</v>
      </c>
      <c r="B9758" s="6" t="n">
        <v>42821</v>
      </c>
      <c r="C9758" s="7" t="s">
        <v>29</v>
      </c>
      <c r="D9758" s="7" t="s">
        <v>83</v>
      </c>
      <c r="E9758" s="7" t="s">
        <v>31</v>
      </c>
      <c r="F9758" s="0" t="n">
        <v>292.1</v>
      </c>
      <c r="G9758" s="0" t="n">
        <v>58.42</v>
      </c>
      <c r="H9758" s="0" t="n">
        <v>0</v>
      </c>
      <c r="I9758" s="7" t="n">
        <f aca="false">YEAR(B9758)</f>
        <v>2017</v>
      </c>
      <c r="J9758" s="0" t="str">
        <f aca="false">I9758&amp;"-Q"&amp;ROUNDUP(MONTH(B9758)/3,0)</f>
        <v>2017-Q1</v>
      </c>
    </row>
    <row r="9759" customFormat="false" ht="15" hidden="false" customHeight="false" outlineLevel="0" collapsed="false">
      <c r="A9759" s="0" t="s">
        <v>4986</v>
      </c>
      <c r="B9759" s="6" t="n">
        <v>42821</v>
      </c>
      <c r="C9759" s="7" t="s">
        <v>29</v>
      </c>
      <c r="D9759" s="7" t="s">
        <v>83</v>
      </c>
      <c r="E9759" s="7" t="s">
        <v>39</v>
      </c>
      <c r="F9759" s="0" t="n">
        <v>206.1</v>
      </c>
      <c r="G9759" s="0" t="n">
        <v>55.647</v>
      </c>
      <c r="H9759" s="0" t="n">
        <v>0</v>
      </c>
      <c r="I9759" s="7" t="n">
        <f aca="false">YEAR(B9759)</f>
        <v>2017</v>
      </c>
      <c r="J9759" s="0" t="str">
        <f aca="false">I9759&amp;"-Q"&amp;ROUNDUP(MONTH(B9759)/3,0)</f>
        <v>2017-Q1</v>
      </c>
    </row>
    <row r="9760" customFormat="false" ht="15" hidden="false" customHeight="false" outlineLevel="0" collapsed="false">
      <c r="A9760" s="0" t="s">
        <v>4986</v>
      </c>
      <c r="B9760" s="6" t="n">
        <v>42821</v>
      </c>
      <c r="C9760" s="7" t="s">
        <v>29</v>
      </c>
      <c r="D9760" s="7" t="s">
        <v>83</v>
      </c>
      <c r="E9760" s="7" t="s">
        <v>35</v>
      </c>
      <c r="F9760" s="0" t="n">
        <v>17.64</v>
      </c>
      <c r="G9760" s="0" t="n">
        <v>8.1144</v>
      </c>
      <c r="H9760" s="0" t="n">
        <v>0</v>
      </c>
      <c r="I9760" s="7" t="n">
        <f aca="false">YEAR(B9760)</f>
        <v>2017</v>
      </c>
      <c r="J9760" s="0" t="str">
        <f aca="false">I9760&amp;"-Q"&amp;ROUNDUP(MONTH(B9760)/3,0)</f>
        <v>2017-Q1</v>
      </c>
    </row>
    <row r="9761" customFormat="false" ht="15" hidden="false" customHeight="false" outlineLevel="0" collapsed="false">
      <c r="A9761" s="0" t="s">
        <v>4987</v>
      </c>
      <c r="B9761" s="6" t="n">
        <v>42674</v>
      </c>
      <c r="C9761" s="7" t="s">
        <v>33</v>
      </c>
      <c r="D9761" s="7" t="s">
        <v>34</v>
      </c>
      <c r="E9761" s="7" t="s">
        <v>31</v>
      </c>
      <c r="F9761" s="0" t="n">
        <v>1403.92</v>
      </c>
      <c r="G9761" s="0" t="n">
        <v>70.196</v>
      </c>
      <c r="H9761" s="0" t="n">
        <v>0.2</v>
      </c>
      <c r="I9761" s="7" t="n">
        <f aca="false">YEAR(B9761)</f>
        <v>2016</v>
      </c>
      <c r="J9761" s="0" t="str">
        <f aca="false">I9761&amp;"-Q"&amp;ROUNDUP(MONTH(B9761)/3,0)</f>
        <v>2016-Q4</v>
      </c>
    </row>
    <row r="9762" customFormat="false" ht="15" hidden="false" customHeight="false" outlineLevel="0" collapsed="false">
      <c r="A9762" s="0" t="s">
        <v>4988</v>
      </c>
      <c r="B9762" s="6" t="n">
        <v>43043</v>
      </c>
      <c r="C9762" s="7" t="s">
        <v>29</v>
      </c>
      <c r="D9762" s="7" t="s">
        <v>301</v>
      </c>
      <c r="E9762" s="7" t="s">
        <v>35</v>
      </c>
      <c r="F9762" s="0" t="n">
        <v>4.3</v>
      </c>
      <c r="G9762" s="0" t="n">
        <v>1.419</v>
      </c>
      <c r="H9762" s="0" t="n">
        <v>0</v>
      </c>
      <c r="I9762" s="7" t="n">
        <f aca="false">YEAR(B9762)</f>
        <v>2017</v>
      </c>
      <c r="J9762" s="0" t="str">
        <f aca="false">I9762&amp;"-Q"&amp;ROUNDUP(MONTH(B9762)/3,0)</f>
        <v>2017-Q4</v>
      </c>
    </row>
    <row r="9763" customFormat="false" ht="15" hidden="false" customHeight="false" outlineLevel="0" collapsed="false">
      <c r="A9763" s="0" t="s">
        <v>4989</v>
      </c>
      <c r="B9763" s="6" t="n">
        <v>41684</v>
      </c>
      <c r="C9763" s="7" t="s">
        <v>33</v>
      </c>
      <c r="D9763" s="7" t="s">
        <v>43</v>
      </c>
      <c r="E9763" s="7" t="s">
        <v>39</v>
      </c>
      <c r="F9763" s="0" t="n">
        <v>239.97</v>
      </c>
      <c r="G9763" s="0" t="n">
        <v>86.3892</v>
      </c>
      <c r="H9763" s="0" t="n">
        <v>0</v>
      </c>
      <c r="I9763" s="7" t="n">
        <f aca="false">YEAR(B9763)</f>
        <v>2014</v>
      </c>
      <c r="J9763" s="0" t="str">
        <f aca="false">I9763&amp;"-Q"&amp;ROUNDUP(MONTH(B9763)/3,0)</f>
        <v>2014-Q1</v>
      </c>
    </row>
    <row r="9764" customFormat="false" ht="15" hidden="false" customHeight="false" outlineLevel="0" collapsed="false">
      <c r="A9764" s="0" t="s">
        <v>4989</v>
      </c>
      <c r="B9764" s="6" t="n">
        <v>41684</v>
      </c>
      <c r="C9764" s="7" t="s">
        <v>33</v>
      </c>
      <c r="D9764" s="7" t="s">
        <v>43</v>
      </c>
      <c r="E9764" s="7" t="s">
        <v>35</v>
      </c>
      <c r="F9764" s="0" t="n">
        <v>81.96</v>
      </c>
      <c r="G9764" s="0" t="n">
        <v>22.9488</v>
      </c>
      <c r="H9764" s="0" t="n">
        <v>0</v>
      </c>
      <c r="I9764" s="7" t="n">
        <f aca="false">YEAR(B9764)</f>
        <v>2014</v>
      </c>
      <c r="J9764" s="0" t="str">
        <f aca="false">I9764&amp;"-Q"&amp;ROUNDUP(MONTH(B9764)/3,0)</f>
        <v>2014-Q1</v>
      </c>
    </row>
    <row r="9765" customFormat="false" ht="15" hidden="false" customHeight="false" outlineLevel="0" collapsed="false">
      <c r="A9765" s="0" t="s">
        <v>4989</v>
      </c>
      <c r="B9765" s="6" t="n">
        <v>41684</v>
      </c>
      <c r="C9765" s="7" t="s">
        <v>33</v>
      </c>
      <c r="D9765" s="7" t="s">
        <v>43</v>
      </c>
      <c r="E9765" s="7" t="s">
        <v>35</v>
      </c>
      <c r="F9765" s="0" t="n">
        <v>238.62</v>
      </c>
      <c r="G9765" s="0" t="n">
        <v>4.7724</v>
      </c>
      <c r="H9765" s="0" t="n">
        <v>0</v>
      </c>
      <c r="I9765" s="7" t="n">
        <f aca="false">YEAR(B9765)</f>
        <v>2014</v>
      </c>
      <c r="J9765" s="0" t="str">
        <f aca="false">I9765&amp;"-Q"&amp;ROUNDUP(MONTH(B9765)/3,0)</f>
        <v>2014-Q1</v>
      </c>
    </row>
    <row r="9766" customFormat="false" ht="15" hidden="false" customHeight="false" outlineLevel="0" collapsed="false">
      <c r="A9766" s="0" t="s">
        <v>4990</v>
      </c>
      <c r="B9766" s="6" t="n">
        <v>41808</v>
      </c>
      <c r="C9766" s="7" t="s">
        <v>33</v>
      </c>
      <c r="D9766" s="7" t="s">
        <v>34</v>
      </c>
      <c r="E9766" s="7" t="s">
        <v>39</v>
      </c>
      <c r="F9766" s="0" t="n">
        <v>139.8</v>
      </c>
      <c r="G9766" s="0" t="n">
        <v>12.2325</v>
      </c>
      <c r="H9766" s="0" t="n">
        <v>0.2</v>
      </c>
      <c r="I9766" s="7" t="n">
        <f aca="false">YEAR(B9766)</f>
        <v>2014</v>
      </c>
      <c r="J9766" s="0" t="str">
        <f aca="false">I9766&amp;"-Q"&amp;ROUNDUP(MONTH(B9766)/3,0)</f>
        <v>2014-Q2</v>
      </c>
    </row>
    <row r="9767" customFormat="false" ht="15" hidden="false" customHeight="false" outlineLevel="0" collapsed="false">
      <c r="A9767" s="0" t="s">
        <v>4991</v>
      </c>
      <c r="B9767" s="6" t="n">
        <v>42794</v>
      </c>
      <c r="C9767" s="7" t="s">
        <v>55</v>
      </c>
      <c r="D9767" s="7" t="s">
        <v>154</v>
      </c>
      <c r="E9767" s="7" t="s">
        <v>35</v>
      </c>
      <c r="F9767" s="0" t="n">
        <v>9.84</v>
      </c>
      <c r="G9767" s="0" t="n">
        <v>4.7232</v>
      </c>
      <c r="H9767" s="0" t="n">
        <v>0</v>
      </c>
      <c r="I9767" s="7" t="n">
        <f aca="false">YEAR(B9767)</f>
        <v>2017</v>
      </c>
      <c r="J9767" s="0" t="str">
        <f aca="false">I9767&amp;"-Q"&amp;ROUNDUP(MONTH(B9767)/3,0)</f>
        <v>2017-Q1</v>
      </c>
    </row>
    <row r="9768" customFormat="false" ht="15" hidden="false" customHeight="false" outlineLevel="0" collapsed="false">
      <c r="A9768" s="0" t="s">
        <v>4991</v>
      </c>
      <c r="B9768" s="6" t="n">
        <v>42794</v>
      </c>
      <c r="C9768" s="7" t="s">
        <v>55</v>
      </c>
      <c r="D9768" s="7" t="s">
        <v>154</v>
      </c>
      <c r="E9768" s="7" t="s">
        <v>35</v>
      </c>
      <c r="F9768" s="0" t="n">
        <v>7.78</v>
      </c>
      <c r="G9768" s="0" t="n">
        <v>3.501</v>
      </c>
      <c r="H9768" s="0" t="n">
        <v>0</v>
      </c>
      <c r="I9768" s="7" t="n">
        <f aca="false">YEAR(B9768)</f>
        <v>2017</v>
      </c>
      <c r="J9768" s="0" t="str">
        <f aca="false">I9768&amp;"-Q"&amp;ROUNDUP(MONTH(B9768)/3,0)</f>
        <v>2017-Q1</v>
      </c>
    </row>
    <row r="9769" customFormat="false" ht="15" hidden="false" customHeight="false" outlineLevel="0" collapsed="false">
      <c r="A9769" s="0" t="s">
        <v>4992</v>
      </c>
      <c r="B9769" s="6" t="n">
        <v>43078</v>
      </c>
      <c r="C9769" s="7" t="s">
        <v>45</v>
      </c>
      <c r="D9769" s="7" t="s">
        <v>70</v>
      </c>
      <c r="E9769" s="7" t="s">
        <v>35</v>
      </c>
      <c r="F9769" s="0" t="n">
        <v>54.9</v>
      </c>
      <c r="G9769" s="0" t="n">
        <v>26.901</v>
      </c>
      <c r="H9769" s="0" t="n">
        <v>0</v>
      </c>
      <c r="I9769" s="7" t="n">
        <f aca="false">YEAR(B9769)</f>
        <v>2017</v>
      </c>
      <c r="J9769" s="0" t="str">
        <f aca="false">I9769&amp;"-Q"&amp;ROUNDUP(MONTH(B9769)/3,0)</f>
        <v>2017-Q4</v>
      </c>
    </row>
    <row r="9770" customFormat="false" ht="15" hidden="false" customHeight="false" outlineLevel="0" collapsed="false">
      <c r="A9770" s="0" t="s">
        <v>4993</v>
      </c>
      <c r="B9770" s="6" t="n">
        <v>43076</v>
      </c>
      <c r="C9770" s="7" t="s">
        <v>33</v>
      </c>
      <c r="D9770" s="7" t="s">
        <v>34</v>
      </c>
      <c r="E9770" s="7" t="s">
        <v>35</v>
      </c>
      <c r="F9770" s="0" t="n">
        <v>50.04</v>
      </c>
      <c r="G9770" s="0" t="n">
        <v>25.02</v>
      </c>
      <c r="H9770" s="0" t="n">
        <v>0</v>
      </c>
      <c r="I9770" s="7" t="n">
        <f aca="false">YEAR(B9770)</f>
        <v>2017</v>
      </c>
      <c r="J9770" s="0" t="str">
        <f aca="false">I9770&amp;"-Q"&amp;ROUNDUP(MONTH(B9770)/3,0)</f>
        <v>2017-Q4</v>
      </c>
    </row>
    <row r="9771" customFormat="false" ht="15" hidden="false" customHeight="false" outlineLevel="0" collapsed="false">
      <c r="A9771" s="0" t="s">
        <v>4994</v>
      </c>
      <c r="B9771" s="6" t="n">
        <v>42698</v>
      </c>
      <c r="C9771" s="7" t="s">
        <v>29</v>
      </c>
      <c r="D9771" s="7" t="s">
        <v>37</v>
      </c>
      <c r="E9771" s="7" t="s">
        <v>31</v>
      </c>
      <c r="F9771" s="0" t="n">
        <v>339.92</v>
      </c>
      <c r="G9771" s="0" t="n">
        <v>8.498</v>
      </c>
      <c r="H9771" s="0" t="n">
        <v>0.2</v>
      </c>
      <c r="I9771" s="7" t="n">
        <f aca="false">YEAR(B9771)</f>
        <v>2016</v>
      </c>
      <c r="J9771" s="0" t="str">
        <f aca="false">I9771&amp;"-Q"&amp;ROUNDUP(MONTH(B9771)/3,0)</f>
        <v>2016-Q4</v>
      </c>
    </row>
    <row r="9772" customFormat="false" ht="15" hidden="false" customHeight="false" outlineLevel="0" collapsed="false">
      <c r="A9772" s="0" t="s">
        <v>4994</v>
      </c>
      <c r="B9772" s="6" t="n">
        <v>42698</v>
      </c>
      <c r="C9772" s="7" t="s">
        <v>29</v>
      </c>
      <c r="D9772" s="7" t="s">
        <v>37</v>
      </c>
      <c r="E9772" s="7" t="s">
        <v>35</v>
      </c>
      <c r="F9772" s="0" t="n">
        <v>10.528</v>
      </c>
      <c r="G9772" s="0" t="n">
        <v>3.4216</v>
      </c>
      <c r="H9772" s="0" t="n">
        <v>0.2</v>
      </c>
      <c r="I9772" s="7" t="n">
        <f aca="false">YEAR(B9772)</f>
        <v>2016</v>
      </c>
      <c r="J9772" s="0" t="str">
        <f aca="false">I9772&amp;"-Q"&amp;ROUNDUP(MONTH(B9772)/3,0)</f>
        <v>2016-Q4</v>
      </c>
    </row>
    <row r="9773" customFormat="false" ht="15" hidden="false" customHeight="false" outlineLevel="0" collapsed="false">
      <c r="A9773" s="0" t="s">
        <v>4994</v>
      </c>
      <c r="B9773" s="6" t="n">
        <v>42698</v>
      </c>
      <c r="C9773" s="7" t="s">
        <v>29</v>
      </c>
      <c r="D9773" s="7" t="s">
        <v>37</v>
      </c>
      <c r="E9773" s="7" t="s">
        <v>35</v>
      </c>
      <c r="F9773" s="0" t="n">
        <v>42.384</v>
      </c>
      <c r="G9773" s="0" t="n">
        <v>4.2384</v>
      </c>
      <c r="H9773" s="0" t="n">
        <v>0.2</v>
      </c>
      <c r="I9773" s="7" t="n">
        <f aca="false">YEAR(B9773)</f>
        <v>2016</v>
      </c>
      <c r="J9773" s="0" t="str">
        <f aca="false">I9773&amp;"-Q"&amp;ROUNDUP(MONTH(B9773)/3,0)</f>
        <v>2016-Q4</v>
      </c>
    </row>
    <row r="9774" customFormat="false" ht="15" hidden="false" customHeight="false" outlineLevel="0" collapsed="false">
      <c r="A9774" s="0" t="s">
        <v>4995</v>
      </c>
      <c r="B9774" s="6" t="n">
        <v>42554</v>
      </c>
      <c r="C9774" s="7" t="s">
        <v>55</v>
      </c>
      <c r="D9774" s="7" t="s">
        <v>56</v>
      </c>
      <c r="E9774" s="7" t="s">
        <v>35</v>
      </c>
      <c r="F9774" s="0" t="n">
        <v>123.92</v>
      </c>
      <c r="G9774" s="0" t="n">
        <v>38.725</v>
      </c>
      <c r="H9774" s="0" t="n">
        <v>0.2</v>
      </c>
      <c r="I9774" s="7" t="n">
        <f aca="false">YEAR(B9774)</f>
        <v>2016</v>
      </c>
      <c r="J9774" s="0" t="str">
        <f aca="false">I9774&amp;"-Q"&amp;ROUNDUP(MONTH(B9774)/3,0)</f>
        <v>2016-Q3</v>
      </c>
    </row>
    <row r="9775" customFormat="false" ht="15" hidden="false" customHeight="false" outlineLevel="0" collapsed="false">
      <c r="A9775" s="0" t="s">
        <v>4996</v>
      </c>
      <c r="B9775" s="6" t="n">
        <v>42547</v>
      </c>
      <c r="C9775" s="7" t="s">
        <v>29</v>
      </c>
      <c r="D9775" s="7" t="s">
        <v>230</v>
      </c>
      <c r="E9775" s="7" t="s">
        <v>39</v>
      </c>
      <c r="F9775" s="0" t="n">
        <v>135.95</v>
      </c>
      <c r="G9775" s="0" t="n">
        <v>39.4255</v>
      </c>
      <c r="H9775" s="0" t="n">
        <v>0</v>
      </c>
      <c r="I9775" s="7" t="n">
        <f aca="false">YEAR(B9775)</f>
        <v>2016</v>
      </c>
      <c r="J9775" s="0" t="str">
        <f aca="false">I9775&amp;"-Q"&amp;ROUNDUP(MONTH(B9775)/3,0)</f>
        <v>2016-Q2</v>
      </c>
    </row>
    <row r="9776" customFormat="false" ht="15" hidden="false" customHeight="false" outlineLevel="0" collapsed="false">
      <c r="A9776" s="0" t="s">
        <v>4997</v>
      </c>
      <c r="B9776" s="6" t="n">
        <v>41846</v>
      </c>
      <c r="C9776" s="7" t="s">
        <v>45</v>
      </c>
      <c r="D9776" s="7" t="s">
        <v>46</v>
      </c>
      <c r="E9776" s="7" t="s">
        <v>35</v>
      </c>
      <c r="F9776" s="0" t="n">
        <v>2177.584</v>
      </c>
      <c r="G9776" s="0" t="n">
        <v>-3701.8928</v>
      </c>
      <c r="H9776" s="0" t="n">
        <v>0.8</v>
      </c>
      <c r="I9776" s="7" t="n">
        <f aca="false">YEAR(B9776)</f>
        <v>2014</v>
      </c>
      <c r="J9776" s="0" t="str">
        <f aca="false">I9776&amp;"-Q"&amp;ROUNDUP(MONTH(B9776)/3,0)</f>
        <v>2014-Q3</v>
      </c>
    </row>
    <row r="9777" customFormat="false" ht="15" hidden="false" customHeight="false" outlineLevel="0" collapsed="false">
      <c r="A9777" s="0" t="s">
        <v>4997</v>
      </c>
      <c r="B9777" s="6" t="n">
        <v>41846</v>
      </c>
      <c r="C9777" s="7" t="s">
        <v>45</v>
      </c>
      <c r="D9777" s="7" t="s">
        <v>46</v>
      </c>
      <c r="E9777" s="7" t="s">
        <v>31</v>
      </c>
      <c r="F9777" s="0" t="n">
        <v>17.496</v>
      </c>
      <c r="G9777" s="0" t="n">
        <v>-10.0602</v>
      </c>
      <c r="H9777" s="0" t="n">
        <v>0.6</v>
      </c>
      <c r="I9777" s="7" t="n">
        <f aca="false">YEAR(B9777)</f>
        <v>2014</v>
      </c>
      <c r="J9777" s="0" t="str">
        <f aca="false">I9777&amp;"-Q"&amp;ROUNDUP(MONTH(B9777)/3,0)</f>
        <v>2014-Q3</v>
      </c>
    </row>
    <row r="9778" customFormat="false" ht="15" hidden="false" customHeight="false" outlineLevel="0" collapsed="false">
      <c r="A9778" s="0" t="s">
        <v>4997</v>
      </c>
      <c r="B9778" s="6" t="n">
        <v>41846</v>
      </c>
      <c r="C9778" s="7" t="s">
        <v>45</v>
      </c>
      <c r="D9778" s="7" t="s">
        <v>46</v>
      </c>
      <c r="E9778" s="7" t="s">
        <v>35</v>
      </c>
      <c r="F9778" s="0" t="n">
        <v>16.784</v>
      </c>
      <c r="G9778" s="0" t="n">
        <v>-26.8544</v>
      </c>
      <c r="H9778" s="0" t="n">
        <v>0.8</v>
      </c>
      <c r="I9778" s="7" t="n">
        <f aca="false">YEAR(B9778)</f>
        <v>2014</v>
      </c>
      <c r="J9778" s="0" t="str">
        <f aca="false">I9778&amp;"-Q"&amp;ROUNDUP(MONTH(B9778)/3,0)</f>
        <v>2014-Q3</v>
      </c>
    </row>
    <row r="9779" customFormat="false" ht="15" hidden="false" customHeight="false" outlineLevel="0" collapsed="false">
      <c r="A9779" s="0" t="s">
        <v>4997</v>
      </c>
      <c r="B9779" s="6" t="n">
        <v>41846</v>
      </c>
      <c r="C9779" s="7" t="s">
        <v>45</v>
      </c>
      <c r="D9779" s="7" t="s">
        <v>46</v>
      </c>
      <c r="E9779" s="7" t="s">
        <v>39</v>
      </c>
      <c r="F9779" s="0" t="n">
        <v>431.136</v>
      </c>
      <c r="G9779" s="0" t="n">
        <v>-26.946</v>
      </c>
      <c r="H9779" s="0" t="n">
        <v>0.2</v>
      </c>
      <c r="I9779" s="7" t="n">
        <f aca="false">YEAR(B9779)</f>
        <v>2014</v>
      </c>
      <c r="J9779" s="0" t="str">
        <f aca="false">I9779&amp;"-Q"&amp;ROUNDUP(MONTH(B9779)/3,0)</f>
        <v>2014-Q3</v>
      </c>
    </row>
    <row r="9780" customFormat="false" ht="15" hidden="false" customHeight="false" outlineLevel="0" collapsed="false">
      <c r="A9780" s="0" t="s">
        <v>4997</v>
      </c>
      <c r="B9780" s="6" t="n">
        <v>41846</v>
      </c>
      <c r="C9780" s="7" t="s">
        <v>45</v>
      </c>
      <c r="D9780" s="7" t="s">
        <v>46</v>
      </c>
      <c r="E9780" s="7" t="s">
        <v>35</v>
      </c>
      <c r="F9780" s="0" t="n">
        <v>8.88</v>
      </c>
      <c r="G9780" s="0" t="n">
        <v>-13.32</v>
      </c>
      <c r="H9780" s="0" t="n">
        <v>0.8</v>
      </c>
      <c r="I9780" s="7" t="n">
        <f aca="false">YEAR(B9780)</f>
        <v>2014</v>
      </c>
      <c r="J9780" s="0" t="str">
        <f aca="false">I9780&amp;"-Q"&amp;ROUNDUP(MONTH(B9780)/3,0)</f>
        <v>2014-Q3</v>
      </c>
    </row>
    <row r="9781" customFormat="false" ht="15" hidden="false" customHeight="false" outlineLevel="0" collapsed="false">
      <c r="A9781" s="0" t="s">
        <v>4997</v>
      </c>
      <c r="B9781" s="6" t="n">
        <v>41846</v>
      </c>
      <c r="C9781" s="7" t="s">
        <v>45</v>
      </c>
      <c r="D9781" s="7" t="s">
        <v>46</v>
      </c>
      <c r="E9781" s="7" t="s">
        <v>35</v>
      </c>
      <c r="F9781" s="0" t="n">
        <v>4.836</v>
      </c>
      <c r="G9781" s="0" t="n">
        <v>-12.09</v>
      </c>
      <c r="H9781" s="0" t="n">
        <v>0.8</v>
      </c>
      <c r="I9781" s="7" t="n">
        <f aca="false">YEAR(B9781)</f>
        <v>2014</v>
      </c>
      <c r="J9781" s="0" t="str">
        <f aca="false">I9781&amp;"-Q"&amp;ROUNDUP(MONTH(B9781)/3,0)</f>
        <v>2014-Q3</v>
      </c>
    </row>
    <row r="9782" customFormat="false" ht="15" hidden="false" customHeight="false" outlineLevel="0" collapsed="false">
      <c r="A9782" s="0" t="s">
        <v>4998</v>
      </c>
      <c r="B9782" s="6" t="n">
        <v>42627</v>
      </c>
      <c r="C9782" s="7" t="s">
        <v>55</v>
      </c>
      <c r="D9782" s="7" t="s">
        <v>76</v>
      </c>
      <c r="E9782" s="7" t="s">
        <v>39</v>
      </c>
      <c r="F9782" s="0" t="n">
        <v>437.85</v>
      </c>
      <c r="G9782" s="0" t="n">
        <v>131.355</v>
      </c>
      <c r="H9782" s="0" t="n">
        <v>0</v>
      </c>
      <c r="I9782" s="7" t="n">
        <f aca="false">YEAR(B9782)</f>
        <v>2016</v>
      </c>
      <c r="J9782" s="0" t="str">
        <f aca="false">I9782&amp;"-Q"&amp;ROUNDUP(MONTH(B9782)/3,0)</f>
        <v>2016-Q3</v>
      </c>
    </row>
    <row r="9783" customFormat="false" ht="15" hidden="false" customHeight="false" outlineLevel="0" collapsed="false">
      <c r="A9783" s="0" t="s">
        <v>4998</v>
      </c>
      <c r="B9783" s="6" t="n">
        <v>42627</v>
      </c>
      <c r="C9783" s="7" t="s">
        <v>55</v>
      </c>
      <c r="D9783" s="7" t="s">
        <v>76</v>
      </c>
      <c r="E9783" s="7" t="s">
        <v>35</v>
      </c>
      <c r="F9783" s="0" t="n">
        <v>673.568</v>
      </c>
      <c r="G9783" s="0" t="n">
        <v>252.588</v>
      </c>
      <c r="H9783" s="0" t="n">
        <v>0.2</v>
      </c>
      <c r="I9783" s="7" t="n">
        <f aca="false">YEAR(B9783)</f>
        <v>2016</v>
      </c>
      <c r="J9783" s="0" t="str">
        <f aca="false">I9783&amp;"-Q"&amp;ROUNDUP(MONTH(B9783)/3,0)</f>
        <v>2016-Q3</v>
      </c>
    </row>
    <row r="9784" customFormat="false" ht="15" hidden="false" customHeight="false" outlineLevel="0" collapsed="false">
      <c r="A9784" s="0" t="s">
        <v>4999</v>
      </c>
      <c r="B9784" s="6" t="n">
        <v>42155</v>
      </c>
      <c r="C9784" s="7" t="s">
        <v>55</v>
      </c>
      <c r="D9784" s="7" t="s">
        <v>161</v>
      </c>
      <c r="E9784" s="7" t="s">
        <v>35</v>
      </c>
      <c r="F9784" s="0" t="n">
        <v>274.8</v>
      </c>
      <c r="G9784" s="0" t="n">
        <v>134.652</v>
      </c>
      <c r="H9784" s="0" t="n">
        <v>0</v>
      </c>
      <c r="I9784" s="7" t="n">
        <f aca="false">YEAR(B9784)</f>
        <v>2015</v>
      </c>
      <c r="J9784" s="0" t="str">
        <f aca="false">I9784&amp;"-Q"&amp;ROUNDUP(MONTH(B9784)/3,0)</f>
        <v>2015-Q2</v>
      </c>
    </row>
    <row r="9785" customFormat="false" ht="15" hidden="false" customHeight="false" outlineLevel="0" collapsed="false">
      <c r="A9785" s="0" t="s">
        <v>4999</v>
      </c>
      <c r="B9785" s="6" t="n">
        <v>42155</v>
      </c>
      <c r="C9785" s="7" t="s">
        <v>55</v>
      </c>
      <c r="D9785" s="7" t="s">
        <v>161</v>
      </c>
      <c r="E9785" s="7" t="s">
        <v>35</v>
      </c>
      <c r="F9785" s="0" t="n">
        <v>62.18</v>
      </c>
      <c r="G9785" s="0" t="n">
        <v>16.7886</v>
      </c>
      <c r="H9785" s="0" t="n">
        <v>0</v>
      </c>
      <c r="I9785" s="7" t="n">
        <f aca="false">YEAR(B9785)</f>
        <v>2015</v>
      </c>
      <c r="J9785" s="0" t="str">
        <f aca="false">I9785&amp;"-Q"&amp;ROUNDUP(MONTH(B9785)/3,0)</f>
        <v>2015-Q2</v>
      </c>
    </row>
    <row r="9786" customFormat="false" ht="15" hidden="false" customHeight="false" outlineLevel="0" collapsed="false">
      <c r="A9786" s="0" t="s">
        <v>4999</v>
      </c>
      <c r="B9786" s="6" t="n">
        <v>42155</v>
      </c>
      <c r="C9786" s="7" t="s">
        <v>55</v>
      </c>
      <c r="D9786" s="7" t="s">
        <v>161</v>
      </c>
      <c r="E9786" s="7" t="s">
        <v>31</v>
      </c>
      <c r="F9786" s="0" t="n">
        <v>8.28</v>
      </c>
      <c r="G9786" s="0" t="n">
        <v>2.9808</v>
      </c>
      <c r="H9786" s="0" t="n">
        <v>0</v>
      </c>
      <c r="I9786" s="7" t="n">
        <f aca="false">YEAR(B9786)</f>
        <v>2015</v>
      </c>
      <c r="J9786" s="0" t="str">
        <f aca="false">I9786&amp;"-Q"&amp;ROUNDUP(MONTH(B9786)/3,0)</f>
        <v>2015-Q2</v>
      </c>
    </row>
    <row r="9787" customFormat="false" ht="15" hidden="false" customHeight="false" outlineLevel="0" collapsed="false">
      <c r="A9787" s="0" t="s">
        <v>5000</v>
      </c>
      <c r="B9787" s="6" t="n">
        <v>42133</v>
      </c>
      <c r="C9787" s="7" t="s">
        <v>29</v>
      </c>
      <c r="D9787" s="7" t="s">
        <v>30</v>
      </c>
      <c r="E9787" s="7" t="s">
        <v>35</v>
      </c>
      <c r="F9787" s="0" t="n">
        <v>48.81</v>
      </c>
      <c r="G9787" s="0" t="n">
        <v>23.9169</v>
      </c>
      <c r="H9787" s="0" t="n">
        <v>0</v>
      </c>
      <c r="I9787" s="7" t="n">
        <f aca="false">YEAR(B9787)</f>
        <v>2015</v>
      </c>
      <c r="J9787" s="0" t="str">
        <f aca="false">I9787&amp;"-Q"&amp;ROUNDUP(MONTH(B9787)/3,0)</f>
        <v>2015-Q2</v>
      </c>
    </row>
    <row r="9788" customFormat="false" ht="15" hidden="false" customHeight="false" outlineLevel="0" collapsed="false">
      <c r="A9788" s="0" t="s">
        <v>5001</v>
      </c>
      <c r="B9788" s="6" t="n">
        <v>41948</v>
      </c>
      <c r="C9788" s="7" t="s">
        <v>29</v>
      </c>
      <c r="D9788" s="7" t="s">
        <v>83</v>
      </c>
      <c r="E9788" s="7" t="s">
        <v>31</v>
      </c>
      <c r="F9788" s="0" t="n">
        <v>149.9</v>
      </c>
      <c r="G9788" s="0" t="n">
        <v>40.473</v>
      </c>
      <c r="H9788" s="0" t="n">
        <v>0</v>
      </c>
      <c r="I9788" s="7" t="n">
        <f aca="false">YEAR(B9788)</f>
        <v>2014</v>
      </c>
      <c r="J9788" s="0" t="str">
        <f aca="false">I9788&amp;"-Q"&amp;ROUNDUP(MONTH(B9788)/3,0)</f>
        <v>2014-Q4</v>
      </c>
    </row>
    <row r="9789" customFormat="false" ht="15" hidden="false" customHeight="false" outlineLevel="0" collapsed="false">
      <c r="A9789" s="0" t="s">
        <v>5002</v>
      </c>
      <c r="B9789" s="6" t="n">
        <v>42821</v>
      </c>
      <c r="C9789" s="7" t="s">
        <v>45</v>
      </c>
      <c r="D9789" s="7" t="s">
        <v>46</v>
      </c>
      <c r="E9789" s="7" t="s">
        <v>31</v>
      </c>
      <c r="F9789" s="0" t="n">
        <v>1023.332</v>
      </c>
      <c r="G9789" s="0" t="n">
        <v>-30.098</v>
      </c>
      <c r="H9789" s="0" t="n">
        <v>0.32</v>
      </c>
      <c r="I9789" s="7" t="n">
        <f aca="false">YEAR(B9789)</f>
        <v>2017</v>
      </c>
      <c r="J9789" s="0" t="str">
        <f aca="false">I9789&amp;"-Q"&amp;ROUNDUP(MONTH(B9789)/3,0)</f>
        <v>2017-Q1</v>
      </c>
    </row>
    <row r="9790" customFormat="false" ht="15" hidden="false" customHeight="false" outlineLevel="0" collapsed="false">
      <c r="A9790" s="0" t="s">
        <v>5002</v>
      </c>
      <c r="B9790" s="6" t="n">
        <v>42821</v>
      </c>
      <c r="C9790" s="7" t="s">
        <v>45</v>
      </c>
      <c r="D9790" s="7" t="s">
        <v>46</v>
      </c>
      <c r="E9790" s="7" t="s">
        <v>31</v>
      </c>
      <c r="F9790" s="0" t="n">
        <v>600.558</v>
      </c>
      <c r="G9790" s="0" t="n">
        <v>-8.5794</v>
      </c>
      <c r="H9790" s="0" t="n">
        <v>0.3</v>
      </c>
      <c r="I9790" s="7" t="n">
        <f aca="false">YEAR(B9790)</f>
        <v>2017</v>
      </c>
      <c r="J9790" s="0" t="str">
        <f aca="false">I9790&amp;"-Q"&amp;ROUNDUP(MONTH(B9790)/3,0)</f>
        <v>2017-Q1</v>
      </c>
    </row>
    <row r="9791" customFormat="false" ht="15" hidden="false" customHeight="false" outlineLevel="0" collapsed="false">
      <c r="A9791" s="0" t="s">
        <v>5002</v>
      </c>
      <c r="B9791" s="6" t="n">
        <v>42821</v>
      </c>
      <c r="C9791" s="7" t="s">
        <v>45</v>
      </c>
      <c r="D9791" s="7" t="s">
        <v>46</v>
      </c>
      <c r="E9791" s="7" t="s">
        <v>39</v>
      </c>
      <c r="F9791" s="0" t="n">
        <v>39.992</v>
      </c>
      <c r="G9791" s="0" t="n">
        <v>6.9986</v>
      </c>
      <c r="H9791" s="0" t="n">
        <v>0.2</v>
      </c>
      <c r="I9791" s="7" t="n">
        <f aca="false">YEAR(B9791)</f>
        <v>2017</v>
      </c>
      <c r="J9791" s="0" t="str">
        <f aca="false">I9791&amp;"-Q"&amp;ROUNDUP(MONTH(B9791)/3,0)</f>
        <v>2017-Q1</v>
      </c>
    </row>
    <row r="9792" customFormat="false" ht="15" hidden="false" customHeight="false" outlineLevel="0" collapsed="false">
      <c r="A9792" s="0" t="s">
        <v>5002</v>
      </c>
      <c r="B9792" s="6" t="n">
        <v>42821</v>
      </c>
      <c r="C9792" s="7" t="s">
        <v>45</v>
      </c>
      <c r="D9792" s="7" t="s">
        <v>46</v>
      </c>
      <c r="E9792" s="7" t="s">
        <v>31</v>
      </c>
      <c r="F9792" s="0" t="n">
        <v>211.246</v>
      </c>
      <c r="G9792" s="0" t="n">
        <v>-66.3916</v>
      </c>
      <c r="H9792" s="0" t="n">
        <v>0.3</v>
      </c>
      <c r="I9792" s="7" t="n">
        <f aca="false">YEAR(B9792)</f>
        <v>2017</v>
      </c>
      <c r="J9792" s="0" t="str">
        <f aca="false">I9792&amp;"-Q"&amp;ROUNDUP(MONTH(B9792)/3,0)</f>
        <v>2017-Q1</v>
      </c>
    </row>
    <row r="9793" customFormat="false" ht="15" hidden="false" customHeight="false" outlineLevel="0" collapsed="false">
      <c r="A9793" s="0" t="s">
        <v>5003</v>
      </c>
      <c r="B9793" s="6" t="n">
        <v>41780</v>
      </c>
      <c r="C9793" s="7" t="s">
        <v>45</v>
      </c>
      <c r="D9793" s="7" t="s">
        <v>46</v>
      </c>
      <c r="E9793" s="7" t="s">
        <v>35</v>
      </c>
      <c r="F9793" s="0" t="n">
        <v>56.064</v>
      </c>
      <c r="G9793" s="0" t="n">
        <v>21.024</v>
      </c>
      <c r="H9793" s="0" t="n">
        <v>0.2</v>
      </c>
      <c r="I9793" s="7" t="n">
        <f aca="false">YEAR(B9793)</f>
        <v>2014</v>
      </c>
      <c r="J9793" s="0" t="str">
        <f aca="false">I9793&amp;"-Q"&amp;ROUNDUP(MONTH(B9793)/3,0)</f>
        <v>2014-Q2</v>
      </c>
    </row>
    <row r="9794" customFormat="false" ht="15" hidden="false" customHeight="false" outlineLevel="0" collapsed="false">
      <c r="A9794" s="0" t="s">
        <v>5003</v>
      </c>
      <c r="B9794" s="6" t="n">
        <v>41780</v>
      </c>
      <c r="C9794" s="7" t="s">
        <v>45</v>
      </c>
      <c r="D9794" s="7" t="s">
        <v>46</v>
      </c>
      <c r="E9794" s="7" t="s">
        <v>31</v>
      </c>
      <c r="F9794" s="0" t="n">
        <v>107.772</v>
      </c>
      <c r="G9794" s="0" t="n">
        <v>-29.2524</v>
      </c>
      <c r="H9794" s="0" t="n">
        <v>0.3</v>
      </c>
      <c r="I9794" s="7" t="n">
        <f aca="false">YEAR(B9794)</f>
        <v>2014</v>
      </c>
      <c r="J9794" s="0" t="str">
        <f aca="false">I9794&amp;"-Q"&amp;ROUNDUP(MONTH(B9794)/3,0)</f>
        <v>2014-Q2</v>
      </c>
    </row>
    <row r="9795" customFormat="false" ht="15" hidden="false" customHeight="false" outlineLevel="0" collapsed="false">
      <c r="A9795" s="0" t="s">
        <v>5003</v>
      </c>
      <c r="B9795" s="6" t="n">
        <v>41780</v>
      </c>
      <c r="C9795" s="7" t="s">
        <v>45</v>
      </c>
      <c r="D9795" s="7" t="s">
        <v>46</v>
      </c>
      <c r="E9795" s="7" t="s">
        <v>35</v>
      </c>
      <c r="F9795" s="0" t="n">
        <v>4.832</v>
      </c>
      <c r="G9795" s="0" t="n">
        <v>1.6308</v>
      </c>
      <c r="H9795" s="0" t="n">
        <v>0.2</v>
      </c>
      <c r="I9795" s="7" t="n">
        <f aca="false">YEAR(B9795)</f>
        <v>2014</v>
      </c>
      <c r="J9795" s="0" t="str">
        <f aca="false">I9795&amp;"-Q"&amp;ROUNDUP(MONTH(B9795)/3,0)</f>
        <v>2014-Q2</v>
      </c>
    </row>
    <row r="9796" customFormat="false" ht="15" hidden="false" customHeight="false" outlineLevel="0" collapsed="false">
      <c r="A9796" s="0" t="s">
        <v>5003</v>
      </c>
      <c r="B9796" s="6" t="n">
        <v>41780</v>
      </c>
      <c r="C9796" s="7" t="s">
        <v>45</v>
      </c>
      <c r="D9796" s="7" t="s">
        <v>46</v>
      </c>
      <c r="E9796" s="7" t="s">
        <v>35</v>
      </c>
      <c r="F9796" s="0" t="n">
        <v>18.24</v>
      </c>
      <c r="G9796" s="0" t="n">
        <v>-31.008</v>
      </c>
      <c r="H9796" s="0" t="n">
        <v>0.8</v>
      </c>
      <c r="I9796" s="7" t="n">
        <f aca="false">YEAR(B9796)</f>
        <v>2014</v>
      </c>
      <c r="J9796" s="0" t="str">
        <f aca="false">I9796&amp;"-Q"&amp;ROUNDUP(MONTH(B9796)/3,0)</f>
        <v>2014-Q2</v>
      </c>
    </row>
    <row r="9797" customFormat="false" ht="15" hidden="false" customHeight="false" outlineLevel="0" collapsed="false">
      <c r="A9797" s="0" t="s">
        <v>5004</v>
      </c>
      <c r="B9797" s="6" t="n">
        <v>42511</v>
      </c>
      <c r="C9797" s="7" t="s">
        <v>45</v>
      </c>
      <c r="D9797" s="7" t="s">
        <v>64</v>
      </c>
      <c r="E9797" s="7" t="s">
        <v>35</v>
      </c>
      <c r="F9797" s="0" t="n">
        <v>3.798</v>
      </c>
      <c r="G9797" s="0" t="n">
        <v>-5.8869</v>
      </c>
      <c r="H9797" s="0" t="n">
        <v>0.8</v>
      </c>
      <c r="I9797" s="7" t="n">
        <f aca="false">YEAR(B9797)</f>
        <v>2016</v>
      </c>
      <c r="J9797" s="0" t="str">
        <f aca="false">I9797&amp;"-Q"&amp;ROUNDUP(MONTH(B9797)/3,0)</f>
        <v>2016-Q2</v>
      </c>
    </row>
    <row r="9798" customFormat="false" ht="15" hidden="false" customHeight="false" outlineLevel="0" collapsed="false">
      <c r="A9798" s="0" t="s">
        <v>5005</v>
      </c>
      <c r="B9798" s="6" t="n">
        <v>42016</v>
      </c>
      <c r="C9798" s="7" t="s">
        <v>55</v>
      </c>
      <c r="D9798" s="7" t="s">
        <v>116</v>
      </c>
      <c r="E9798" s="7" t="s">
        <v>35</v>
      </c>
      <c r="F9798" s="0" t="n">
        <v>10.368</v>
      </c>
      <c r="G9798" s="0" t="n">
        <v>1.5552</v>
      </c>
      <c r="H9798" s="0" t="n">
        <v>0.2</v>
      </c>
      <c r="I9798" s="7" t="n">
        <f aca="false">YEAR(B9798)</f>
        <v>2015</v>
      </c>
      <c r="J9798" s="0" t="str">
        <f aca="false">I9798&amp;"-Q"&amp;ROUNDUP(MONTH(B9798)/3,0)</f>
        <v>2015-Q1</v>
      </c>
    </row>
    <row r="9799" customFormat="false" ht="15" hidden="false" customHeight="false" outlineLevel="0" collapsed="false">
      <c r="A9799" s="0" t="s">
        <v>5005</v>
      </c>
      <c r="B9799" s="6" t="n">
        <v>42016</v>
      </c>
      <c r="C9799" s="7" t="s">
        <v>55</v>
      </c>
      <c r="D9799" s="7" t="s">
        <v>116</v>
      </c>
      <c r="E9799" s="7" t="s">
        <v>39</v>
      </c>
      <c r="F9799" s="0" t="n">
        <v>235.188</v>
      </c>
      <c r="G9799" s="0" t="n">
        <v>-43.1178</v>
      </c>
      <c r="H9799" s="0" t="n">
        <v>0.4</v>
      </c>
      <c r="I9799" s="7" t="n">
        <f aca="false">YEAR(B9799)</f>
        <v>2015</v>
      </c>
      <c r="J9799" s="0" t="str">
        <f aca="false">I9799&amp;"-Q"&amp;ROUNDUP(MONTH(B9799)/3,0)</f>
        <v>2015-Q1</v>
      </c>
    </row>
    <row r="9800" customFormat="false" ht="15" hidden="false" customHeight="false" outlineLevel="0" collapsed="false">
      <c r="A9800" s="0" t="s">
        <v>5005</v>
      </c>
      <c r="B9800" s="6" t="n">
        <v>42016</v>
      </c>
      <c r="C9800" s="7" t="s">
        <v>55</v>
      </c>
      <c r="D9800" s="7" t="s">
        <v>116</v>
      </c>
      <c r="E9800" s="7" t="s">
        <v>39</v>
      </c>
      <c r="F9800" s="0" t="n">
        <v>26.376</v>
      </c>
      <c r="G9800" s="0" t="n">
        <v>2.6376</v>
      </c>
      <c r="H9800" s="0" t="n">
        <v>0.4</v>
      </c>
      <c r="I9800" s="7" t="n">
        <f aca="false">YEAR(B9800)</f>
        <v>2015</v>
      </c>
      <c r="J9800" s="0" t="str">
        <f aca="false">I9800&amp;"-Q"&amp;ROUNDUP(MONTH(B9800)/3,0)</f>
        <v>2015-Q1</v>
      </c>
    </row>
    <row r="9801" customFormat="false" ht="15" hidden="false" customHeight="false" outlineLevel="0" collapsed="false">
      <c r="A9801" s="0" t="s">
        <v>5005</v>
      </c>
      <c r="B9801" s="6" t="n">
        <v>42016</v>
      </c>
      <c r="C9801" s="7" t="s">
        <v>55</v>
      </c>
      <c r="D9801" s="7" t="s">
        <v>116</v>
      </c>
      <c r="E9801" s="7" t="s">
        <v>39</v>
      </c>
      <c r="F9801" s="0" t="n">
        <v>10.384</v>
      </c>
      <c r="G9801" s="0" t="n">
        <v>2.2066</v>
      </c>
      <c r="H9801" s="0" t="n">
        <v>0.2</v>
      </c>
      <c r="I9801" s="7" t="n">
        <f aca="false">YEAR(B9801)</f>
        <v>2015</v>
      </c>
      <c r="J9801" s="0" t="str">
        <f aca="false">I9801&amp;"-Q"&amp;ROUNDUP(MONTH(B9801)/3,0)</f>
        <v>2015-Q1</v>
      </c>
    </row>
    <row r="9802" customFormat="false" ht="15" hidden="false" customHeight="false" outlineLevel="0" collapsed="false">
      <c r="A9802" s="0" t="s">
        <v>5005</v>
      </c>
      <c r="B9802" s="6" t="n">
        <v>42016</v>
      </c>
      <c r="C9802" s="7" t="s">
        <v>55</v>
      </c>
      <c r="D9802" s="7" t="s">
        <v>116</v>
      </c>
      <c r="E9802" s="7" t="s">
        <v>39</v>
      </c>
      <c r="F9802" s="0" t="n">
        <v>107.118</v>
      </c>
      <c r="G9802" s="0" t="n">
        <v>-21.4236</v>
      </c>
      <c r="H9802" s="0" t="n">
        <v>0.4</v>
      </c>
      <c r="I9802" s="7" t="n">
        <f aca="false">YEAR(B9802)</f>
        <v>2015</v>
      </c>
      <c r="J9802" s="0" t="str">
        <f aca="false">I9802&amp;"-Q"&amp;ROUNDUP(MONTH(B9802)/3,0)</f>
        <v>2015-Q1</v>
      </c>
    </row>
    <row r="9803" customFormat="false" ht="15" hidden="false" customHeight="false" outlineLevel="0" collapsed="false">
      <c r="A9803" s="0" t="s">
        <v>5006</v>
      </c>
      <c r="B9803" s="6" t="n">
        <v>43007</v>
      </c>
      <c r="C9803" s="7" t="s">
        <v>33</v>
      </c>
      <c r="D9803" s="7" t="s">
        <v>34</v>
      </c>
      <c r="E9803" s="7" t="s">
        <v>35</v>
      </c>
      <c r="F9803" s="0" t="n">
        <v>97.3</v>
      </c>
      <c r="G9803" s="0" t="n">
        <v>28.217</v>
      </c>
      <c r="H9803" s="0" t="n">
        <v>0</v>
      </c>
      <c r="I9803" s="7" t="n">
        <f aca="false">YEAR(B9803)</f>
        <v>2017</v>
      </c>
      <c r="J9803" s="0" t="str">
        <f aca="false">I9803&amp;"-Q"&amp;ROUNDUP(MONTH(B9803)/3,0)</f>
        <v>2017-Q3</v>
      </c>
    </row>
    <row r="9804" customFormat="false" ht="15" hidden="false" customHeight="false" outlineLevel="0" collapsed="false">
      <c r="A9804" s="0" t="s">
        <v>5007</v>
      </c>
      <c r="B9804" s="6" t="n">
        <v>42203</v>
      </c>
      <c r="C9804" s="7" t="s">
        <v>55</v>
      </c>
      <c r="D9804" s="7" t="s">
        <v>76</v>
      </c>
      <c r="E9804" s="7" t="s">
        <v>35</v>
      </c>
      <c r="F9804" s="0" t="n">
        <v>3.328</v>
      </c>
      <c r="G9804" s="0" t="n">
        <v>1.2064</v>
      </c>
      <c r="H9804" s="0" t="n">
        <v>0.2</v>
      </c>
      <c r="I9804" s="7" t="n">
        <f aca="false">YEAR(B9804)</f>
        <v>2015</v>
      </c>
      <c r="J9804" s="0" t="str">
        <f aca="false">I9804&amp;"-Q"&amp;ROUNDUP(MONTH(B9804)/3,0)</f>
        <v>2015-Q3</v>
      </c>
    </row>
    <row r="9805" customFormat="false" ht="15" hidden="false" customHeight="false" outlineLevel="0" collapsed="false">
      <c r="A9805" s="0" t="s">
        <v>5007</v>
      </c>
      <c r="B9805" s="6" t="n">
        <v>42203</v>
      </c>
      <c r="C9805" s="7" t="s">
        <v>55</v>
      </c>
      <c r="D9805" s="7" t="s">
        <v>76</v>
      </c>
      <c r="E9805" s="7" t="s">
        <v>39</v>
      </c>
      <c r="F9805" s="0" t="n">
        <v>135.99</v>
      </c>
      <c r="G9805" s="0" t="n">
        <v>36.7173</v>
      </c>
      <c r="H9805" s="0" t="n">
        <v>0</v>
      </c>
      <c r="I9805" s="7" t="n">
        <f aca="false">YEAR(B9805)</f>
        <v>2015</v>
      </c>
      <c r="J9805" s="0" t="str">
        <f aca="false">I9805&amp;"-Q"&amp;ROUNDUP(MONTH(B9805)/3,0)</f>
        <v>2015-Q3</v>
      </c>
    </row>
    <row r="9806" customFormat="false" ht="15" hidden="false" customHeight="false" outlineLevel="0" collapsed="false">
      <c r="A9806" s="0" t="s">
        <v>5007</v>
      </c>
      <c r="B9806" s="6" t="n">
        <v>42203</v>
      </c>
      <c r="C9806" s="7" t="s">
        <v>55</v>
      </c>
      <c r="D9806" s="7" t="s">
        <v>76</v>
      </c>
      <c r="E9806" s="7" t="s">
        <v>31</v>
      </c>
      <c r="F9806" s="0" t="n">
        <v>7.38</v>
      </c>
      <c r="G9806" s="0" t="n">
        <v>2.1402</v>
      </c>
      <c r="H9806" s="0" t="n">
        <v>0</v>
      </c>
      <c r="I9806" s="7" t="n">
        <f aca="false">YEAR(B9806)</f>
        <v>2015</v>
      </c>
      <c r="J9806" s="0" t="str">
        <f aca="false">I9806&amp;"-Q"&amp;ROUNDUP(MONTH(B9806)/3,0)</f>
        <v>2015-Q3</v>
      </c>
    </row>
    <row r="9807" customFormat="false" ht="15" hidden="false" customHeight="false" outlineLevel="0" collapsed="false">
      <c r="A9807" s="0" t="s">
        <v>5008</v>
      </c>
      <c r="B9807" s="6" t="n">
        <v>42664</v>
      </c>
      <c r="C9807" s="7" t="s">
        <v>29</v>
      </c>
      <c r="D9807" s="7" t="s">
        <v>37</v>
      </c>
      <c r="E9807" s="7" t="s">
        <v>31</v>
      </c>
      <c r="F9807" s="0" t="n">
        <v>45.568</v>
      </c>
      <c r="G9807" s="0" t="n">
        <v>9.6832</v>
      </c>
      <c r="H9807" s="0" t="n">
        <v>0.2</v>
      </c>
      <c r="I9807" s="7" t="n">
        <f aca="false">YEAR(B9807)</f>
        <v>2016</v>
      </c>
      <c r="J9807" s="0" t="str">
        <f aca="false">I9807&amp;"-Q"&amp;ROUNDUP(MONTH(B9807)/3,0)</f>
        <v>2016-Q4</v>
      </c>
    </row>
    <row r="9808" customFormat="false" ht="15" hidden="false" customHeight="false" outlineLevel="0" collapsed="false">
      <c r="A9808" s="0" t="s">
        <v>5008</v>
      </c>
      <c r="B9808" s="6" t="n">
        <v>42664</v>
      </c>
      <c r="C9808" s="7" t="s">
        <v>29</v>
      </c>
      <c r="D9808" s="7" t="s">
        <v>37</v>
      </c>
      <c r="E9808" s="7" t="s">
        <v>35</v>
      </c>
      <c r="F9808" s="0" t="n">
        <v>28.752</v>
      </c>
      <c r="G9808" s="0" t="n">
        <v>-21.0848</v>
      </c>
      <c r="H9808" s="0" t="n">
        <v>0.7</v>
      </c>
      <c r="I9808" s="7" t="n">
        <f aca="false">YEAR(B9808)</f>
        <v>2016</v>
      </c>
      <c r="J9808" s="0" t="str">
        <f aca="false">I9808&amp;"-Q"&amp;ROUNDUP(MONTH(B9808)/3,0)</f>
        <v>2016-Q4</v>
      </c>
    </row>
    <row r="9809" customFormat="false" ht="15" hidden="false" customHeight="false" outlineLevel="0" collapsed="false">
      <c r="A9809" s="0" t="s">
        <v>5009</v>
      </c>
      <c r="B9809" s="6" t="n">
        <v>42943</v>
      </c>
      <c r="C9809" s="7" t="s">
        <v>29</v>
      </c>
      <c r="D9809" s="7" t="s">
        <v>41</v>
      </c>
      <c r="E9809" s="7" t="s">
        <v>31</v>
      </c>
      <c r="F9809" s="0" t="n">
        <v>194.848</v>
      </c>
      <c r="G9809" s="0" t="n">
        <v>12.178</v>
      </c>
      <c r="H9809" s="0" t="n">
        <v>0.2</v>
      </c>
      <c r="I9809" s="7" t="n">
        <f aca="false">YEAR(B9809)</f>
        <v>2017</v>
      </c>
      <c r="J9809" s="0" t="str">
        <f aca="false">I9809&amp;"-Q"&amp;ROUNDUP(MONTH(B9809)/3,0)</f>
        <v>2017-Q3</v>
      </c>
    </row>
    <row r="9810" customFormat="false" ht="15" hidden="false" customHeight="false" outlineLevel="0" collapsed="false">
      <c r="A9810" s="0" t="s">
        <v>5010</v>
      </c>
      <c r="B9810" s="6" t="n">
        <v>42937</v>
      </c>
      <c r="C9810" s="7" t="s">
        <v>45</v>
      </c>
      <c r="D9810" s="7" t="s">
        <v>64</v>
      </c>
      <c r="E9810" s="7" t="s">
        <v>35</v>
      </c>
      <c r="F9810" s="0" t="n">
        <v>2.112</v>
      </c>
      <c r="G9810" s="0" t="n">
        <v>-3.3792</v>
      </c>
      <c r="H9810" s="0" t="n">
        <v>0.8</v>
      </c>
      <c r="I9810" s="7" t="n">
        <f aca="false">YEAR(B9810)</f>
        <v>2017</v>
      </c>
      <c r="J9810" s="0" t="str">
        <f aca="false">I9810&amp;"-Q"&amp;ROUNDUP(MONTH(B9810)/3,0)</f>
        <v>2017-Q3</v>
      </c>
    </row>
    <row r="9811" customFormat="false" ht="15" hidden="false" customHeight="false" outlineLevel="0" collapsed="false">
      <c r="A9811" s="0" t="s">
        <v>5011</v>
      </c>
      <c r="B9811" s="6" t="n">
        <v>41950</v>
      </c>
      <c r="C9811" s="7" t="s">
        <v>33</v>
      </c>
      <c r="D9811" s="7" t="s">
        <v>102</v>
      </c>
      <c r="E9811" s="7" t="s">
        <v>35</v>
      </c>
      <c r="F9811" s="0" t="n">
        <v>25.92</v>
      </c>
      <c r="G9811" s="0" t="n">
        <v>9.072</v>
      </c>
      <c r="H9811" s="0" t="n">
        <v>0.2</v>
      </c>
      <c r="I9811" s="7" t="n">
        <f aca="false">YEAR(B9811)</f>
        <v>2014</v>
      </c>
      <c r="J9811" s="0" t="str">
        <f aca="false">I9811&amp;"-Q"&amp;ROUNDUP(MONTH(B9811)/3,0)</f>
        <v>2014-Q4</v>
      </c>
    </row>
    <row r="9812" customFormat="false" ht="15" hidden="false" customHeight="false" outlineLevel="0" collapsed="false">
      <c r="A9812" s="0" t="s">
        <v>5011</v>
      </c>
      <c r="B9812" s="6" t="n">
        <v>41950</v>
      </c>
      <c r="C9812" s="7" t="s">
        <v>33</v>
      </c>
      <c r="D9812" s="7" t="s">
        <v>102</v>
      </c>
      <c r="E9812" s="7" t="s">
        <v>35</v>
      </c>
      <c r="F9812" s="0" t="n">
        <v>120.768</v>
      </c>
      <c r="G9812" s="0" t="n">
        <v>9.0576</v>
      </c>
      <c r="H9812" s="0" t="n">
        <v>0.2</v>
      </c>
      <c r="I9812" s="7" t="n">
        <f aca="false">YEAR(B9812)</f>
        <v>2014</v>
      </c>
      <c r="J9812" s="0" t="str">
        <f aca="false">I9812&amp;"-Q"&amp;ROUNDUP(MONTH(B9812)/3,0)</f>
        <v>2014-Q4</v>
      </c>
    </row>
    <row r="9813" customFormat="false" ht="15" hidden="false" customHeight="false" outlineLevel="0" collapsed="false">
      <c r="A9813" s="0" t="s">
        <v>5012</v>
      </c>
      <c r="B9813" s="6" t="n">
        <v>42701</v>
      </c>
      <c r="C9813" s="7" t="s">
        <v>55</v>
      </c>
      <c r="D9813" s="7" t="s">
        <v>161</v>
      </c>
      <c r="E9813" s="7" t="s">
        <v>35</v>
      </c>
      <c r="F9813" s="0" t="n">
        <v>25.92</v>
      </c>
      <c r="G9813" s="0" t="n">
        <v>12.4416</v>
      </c>
      <c r="H9813" s="0" t="n">
        <v>0</v>
      </c>
      <c r="I9813" s="7" t="n">
        <f aca="false">YEAR(B9813)</f>
        <v>2016</v>
      </c>
      <c r="J9813" s="0" t="str">
        <f aca="false">I9813&amp;"-Q"&amp;ROUNDUP(MONTH(B9813)/3,0)</f>
        <v>2016-Q4</v>
      </c>
    </row>
    <row r="9814" customFormat="false" ht="15" hidden="false" customHeight="false" outlineLevel="0" collapsed="false">
      <c r="A9814" s="0" t="s">
        <v>5012</v>
      </c>
      <c r="B9814" s="6" t="n">
        <v>42701</v>
      </c>
      <c r="C9814" s="7" t="s">
        <v>55</v>
      </c>
      <c r="D9814" s="7" t="s">
        <v>161</v>
      </c>
      <c r="E9814" s="7" t="s">
        <v>35</v>
      </c>
      <c r="F9814" s="0" t="n">
        <v>34.65</v>
      </c>
      <c r="G9814" s="0" t="n">
        <v>9.702</v>
      </c>
      <c r="H9814" s="0" t="n">
        <v>0</v>
      </c>
      <c r="I9814" s="7" t="n">
        <f aca="false">YEAR(B9814)</f>
        <v>2016</v>
      </c>
      <c r="J9814" s="0" t="str">
        <f aca="false">I9814&amp;"-Q"&amp;ROUNDUP(MONTH(B9814)/3,0)</f>
        <v>2016-Q4</v>
      </c>
    </row>
    <row r="9815" customFormat="false" ht="15" hidden="false" customHeight="false" outlineLevel="0" collapsed="false">
      <c r="A9815" s="0" t="s">
        <v>5012</v>
      </c>
      <c r="B9815" s="6" t="n">
        <v>42701</v>
      </c>
      <c r="C9815" s="7" t="s">
        <v>55</v>
      </c>
      <c r="D9815" s="7" t="s">
        <v>161</v>
      </c>
      <c r="E9815" s="7" t="s">
        <v>35</v>
      </c>
      <c r="F9815" s="0" t="n">
        <v>204.95</v>
      </c>
      <c r="G9815" s="0" t="n">
        <v>100.4255</v>
      </c>
      <c r="H9815" s="0" t="n">
        <v>0</v>
      </c>
      <c r="I9815" s="7" t="n">
        <f aca="false">YEAR(B9815)</f>
        <v>2016</v>
      </c>
      <c r="J9815" s="0" t="str">
        <f aca="false">I9815&amp;"-Q"&amp;ROUNDUP(MONTH(B9815)/3,0)</f>
        <v>2016-Q4</v>
      </c>
    </row>
    <row r="9816" customFormat="false" ht="15" hidden="false" customHeight="false" outlineLevel="0" collapsed="false">
      <c r="A9816" s="0" t="s">
        <v>5012</v>
      </c>
      <c r="B9816" s="6" t="n">
        <v>42701</v>
      </c>
      <c r="C9816" s="7" t="s">
        <v>55</v>
      </c>
      <c r="D9816" s="7" t="s">
        <v>161</v>
      </c>
      <c r="E9816" s="7" t="s">
        <v>35</v>
      </c>
      <c r="F9816" s="0" t="n">
        <v>79.95</v>
      </c>
      <c r="G9816" s="0" t="n">
        <v>38.376</v>
      </c>
      <c r="H9816" s="0" t="n">
        <v>0</v>
      </c>
      <c r="I9816" s="7" t="n">
        <f aca="false">YEAR(B9816)</f>
        <v>2016</v>
      </c>
      <c r="J9816" s="0" t="str">
        <f aca="false">I9816&amp;"-Q"&amp;ROUNDUP(MONTH(B9816)/3,0)</f>
        <v>2016-Q4</v>
      </c>
    </row>
    <row r="9817" customFormat="false" ht="15" hidden="false" customHeight="false" outlineLevel="0" collapsed="false">
      <c r="A9817" s="0" t="s">
        <v>5013</v>
      </c>
      <c r="B9817" s="6" t="n">
        <v>42163</v>
      </c>
      <c r="C9817" s="7" t="s">
        <v>29</v>
      </c>
      <c r="D9817" s="7" t="s">
        <v>37</v>
      </c>
      <c r="E9817" s="7" t="s">
        <v>35</v>
      </c>
      <c r="F9817" s="0" t="n">
        <v>173.488</v>
      </c>
      <c r="G9817" s="0" t="n">
        <v>54.215</v>
      </c>
      <c r="H9817" s="0" t="n">
        <v>0.2</v>
      </c>
      <c r="I9817" s="7" t="n">
        <f aca="false">YEAR(B9817)</f>
        <v>2015</v>
      </c>
      <c r="J9817" s="0" t="str">
        <f aca="false">I9817&amp;"-Q"&amp;ROUNDUP(MONTH(B9817)/3,0)</f>
        <v>2015-Q2</v>
      </c>
    </row>
    <row r="9818" customFormat="false" ht="15" hidden="false" customHeight="false" outlineLevel="0" collapsed="false">
      <c r="A9818" s="0" t="s">
        <v>5013</v>
      </c>
      <c r="B9818" s="6" t="n">
        <v>42163</v>
      </c>
      <c r="C9818" s="7" t="s">
        <v>29</v>
      </c>
      <c r="D9818" s="7" t="s">
        <v>37</v>
      </c>
      <c r="E9818" s="7" t="s">
        <v>35</v>
      </c>
      <c r="F9818" s="0" t="n">
        <v>516.96</v>
      </c>
      <c r="G9818" s="0" t="n">
        <v>-6.462</v>
      </c>
      <c r="H9818" s="0" t="n">
        <v>0.2</v>
      </c>
      <c r="I9818" s="7" t="n">
        <f aca="false">YEAR(B9818)</f>
        <v>2015</v>
      </c>
      <c r="J9818" s="0" t="str">
        <f aca="false">I9818&amp;"-Q"&amp;ROUNDUP(MONTH(B9818)/3,0)</f>
        <v>2015-Q2</v>
      </c>
    </row>
    <row r="9819" customFormat="false" ht="15" hidden="false" customHeight="false" outlineLevel="0" collapsed="false">
      <c r="A9819" s="0" t="s">
        <v>5013</v>
      </c>
      <c r="B9819" s="6" t="n">
        <v>42163</v>
      </c>
      <c r="C9819" s="7" t="s">
        <v>29</v>
      </c>
      <c r="D9819" s="7" t="s">
        <v>37</v>
      </c>
      <c r="E9819" s="7" t="s">
        <v>31</v>
      </c>
      <c r="F9819" s="0" t="n">
        <v>173.208</v>
      </c>
      <c r="G9819" s="0" t="n">
        <v>45.4671</v>
      </c>
      <c r="H9819" s="0" t="n">
        <v>0.2</v>
      </c>
      <c r="I9819" s="7" t="n">
        <f aca="false">YEAR(B9819)</f>
        <v>2015</v>
      </c>
      <c r="J9819" s="0" t="str">
        <f aca="false">I9819&amp;"-Q"&amp;ROUNDUP(MONTH(B9819)/3,0)</f>
        <v>2015-Q2</v>
      </c>
    </row>
    <row r="9820" customFormat="false" ht="15" hidden="false" customHeight="false" outlineLevel="0" collapsed="false">
      <c r="A9820" s="0" t="s">
        <v>5013</v>
      </c>
      <c r="B9820" s="6" t="n">
        <v>42163</v>
      </c>
      <c r="C9820" s="7" t="s">
        <v>29</v>
      </c>
      <c r="D9820" s="7" t="s">
        <v>37</v>
      </c>
      <c r="E9820" s="7" t="s">
        <v>35</v>
      </c>
      <c r="F9820" s="0" t="n">
        <v>4.448</v>
      </c>
      <c r="G9820" s="0" t="n">
        <v>0.3336</v>
      </c>
      <c r="H9820" s="0" t="n">
        <v>0.2</v>
      </c>
      <c r="I9820" s="7" t="n">
        <f aca="false">YEAR(B9820)</f>
        <v>2015</v>
      </c>
      <c r="J9820" s="0" t="str">
        <f aca="false">I9820&amp;"-Q"&amp;ROUNDUP(MONTH(B9820)/3,0)</f>
        <v>2015-Q2</v>
      </c>
    </row>
    <row r="9821" customFormat="false" ht="15" hidden="false" customHeight="false" outlineLevel="0" collapsed="false">
      <c r="A9821" s="0" t="s">
        <v>5013</v>
      </c>
      <c r="B9821" s="6" t="n">
        <v>42163</v>
      </c>
      <c r="C9821" s="7" t="s">
        <v>29</v>
      </c>
      <c r="D9821" s="7" t="s">
        <v>37</v>
      </c>
      <c r="E9821" s="7" t="s">
        <v>35</v>
      </c>
      <c r="F9821" s="0" t="n">
        <v>9</v>
      </c>
      <c r="G9821" s="0" t="n">
        <v>3.15</v>
      </c>
      <c r="H9821" s="0" t="n">
        <v>0.2</v>
      </c>
      <c r="I9821" s="7" t="n">
        <f aca="false">YEAR(B9821)</f>
        <v>2015</v>
      </c>
      <c r="J9821" s="0" t="str">
        <f aca="false">I9821&amp;"-Q"&amp;ROUNDUP(MONTH(B9821)/3,0)</f>
        <v>2015-Q2</v>
      </c>
    </row>
    <row r="9822" customFormat="false" ht="15" hidden="false" customHeight="false" outlineLevel="0" collapsed="false">
      <c r="A9822" s="0" t="s">
        <v>5013</v>
      </c>
      <c r="B9822" s="6" t="n">
        <v>42163</v>
      </c>
      <c r="C9822" s="7" t="s">
        <v>29</v>
      </c>
      <c r="D9822" s="7" t="s">
        <v>37</v>
      </c>
      <c r="E9822" s="7" t="s">
        <v>35</v>
      </c>
      <c r="F9822" s="0" t="n">
        <v>42.24</v>
      </c>
      <c r="G9822" s="0" t="n">
        <v>13.2</v>
      </c>
      <c r="H9822" s="0" t="n">
        <v>0.2</v>
      </c>
      <c r="I9822" s="7" t="n">
        <f aca="false">YEAR(B9822)</f>
        <v>2015</v>
      </c>
      <c r="J9822" s="0" t="str">
        <f aca="false">I9822&amp;"-Q"&amp;ROUNDUP(MONTH(B9822)/3,0)</f>
        <v>2015-Q2</v>
      </c>
    </row>
    <row r="9823" customFormat="false" ht="15" hidden="false" customHeight="false" outlineLevel="0" collapsed="false">
      <c r="A9823" s="0" t="s">
        <v>5013</v>
      </c>
      <c r="B9823" s="6" t="n">
        <v>42163</v>
      </c>
      <c r="C9823" s="7" t="s">
        <v>29</v>
      </c>
      <c r="D9823" s="7" t="s">
        <v>37</v>
      </c>
      <c r="E9823" s="7" t="s">
        <v>35</v>
      </c>
      <c r="F9823" s="0" t="n">
        <v>18.264</v>
      </c>
      <c r="G9823" s="0" t="n">
        <v>-13.3936</v>
      </c>
      <c r="H9823" s="0" t="n">
        <v>0.7</v>
      </c>
      <c r="I9823" s="7" t="n">
        <f aca="false">YEAR(B9823)</f>
        <v>2015</v>
      </c>
      <c r="J9823" s="0" t="str">
        <f aca="false">I9823&amp;"-Q"&amp;ROUNDUP(MONTH(B9823)/3,0)</f>
        <v>2015-Q2</v>
      </c>
    </row>
    <row r="9824" customFormat="false" ht="15" hidden="false" customHeight="false" outlineLevel="0" collapsed="false">
      <c r="A9824" s="0" t="s">
        <v>5014</v>
      </c>
      <c r="B9824" s="6" t="n">
        <v>41866</v>
      </c>
      <c r="C9824" s="7" t="s">
        <v>33</v>
      </c>
      <c r="D9824" s="7" t="s">
        <v>34</v>
      </c>
      <c r="E9824" s="7" t="s">
        <v>35</v>
      </c>
      <c r="F9824" s="0" t="n">
        <v>152.91</v>
      </c>
      <c r="G9824" s="0" t="n">
        <v>42.8148</v>
      </c>
      <c r="H9824" s="0" t="n">
        <v>0</v>
      </c>
      <c r="I9824" s="7" t="n">
        <f aca="false">YEAR(B9824)</f>
        <v>2014</v>
      </c>
      <c r="J9824" s="0" t="str">
        <f aca="false">I9824&amp;"-Q"&amp;ROUNDUP(MONTH(B9824)/3,0)</f>
        <v>2014-Q3</v>
      </c>
    </row>
    <row r="9825" customFormat="false" ht="15" hidden="false" customHeight="false" outlineLevel="0" collapsed="false">
      <c r="A9825" s="0" t="s">
        <v>5014</v>
      </c>
      <c r="B9825" s="6" t="n">
        <v>41866</v>
      </c>
      <c r="C9825" s="7" t="s">
        <v>33</v>
      </c>
      <c r="D9825" s="7" t="s">
        <v>34</v>
      </c>
      <c r="E9825" s="7" t="s">
        <v>35</v>
      </c>
      <c r="F9825" s="0" t="n">
        <v>92.94</v>
      </c>
      <c r="G9825" s="0" t="n">
        <v>41.823</v>
      </c>
      <c r="H9825" s="0" t="n">
        <v>0</v>
      </c>
      <c r="I9825" s="7" t="n">
        <f aca="false">YEAR(B9825)</f>
        <v>2014</v>
      </c>
      <c r="J9825" s="0" t="str">
        <f aca="false">I9825&amp;"-Q"&amp;ROUNDUP(MONTH(B9825)/3,0)</f>
        <v>2014-Q3</v>
      </c>
    </row>
    <row r="9826" customFormat="false" ht="15" hidden="false" customHeight="false" outlineLevel="0" collapsed="false">
      <c r="A9826" s="0" t="s">
        <v>5014</v>
      </c>
      <c r="B9826" s="6" t="n">
        <v>41866</v>
      </c>
      <c r="C9826" s="7" t="s">
        <v>33</v>
      </c>
      <c r="D9826" s="7" t="s">
        <v>34</v>
      </c>
      <c r="E9826" s="7" t="s">
        <v>35</v>
      </c>
      <c r="F9826" s="0" t="n">
        <v>17.856</v>
      </c>
      <c r="G9826" s="0" t="n">
        <v>6.2496</v>
      </c>
      <c r="H9826" s="0" t="n">
        <v>0.2</v>
      </c>
      <c r="I9826" s="7" t="n">
        <f aca="false">YEAR(B9826)</f>
        <v>2014</v>
      </c>
      <c r="J9826" s="0" t="str">
        <f aca="false">I9826&amp;"-Q"&amp;ROUNDUP(MONTH(B9826)/3,0)</f>
        <v>2014-Q3</v>
      </c>
    </row>
    <row r="9827" customFormat="false" ht="15" hidden="false" customHeight="false" outlineLevel="0" collapsed="false">
      <c r="A9827" s="0" t="s">
        <v>5014</v>
      </c>
      <c r="B9827" s="6" t="n">
        <v>41866</v>
      </c>
      <c r="C9827" s="7" t="s">
        <v>33</v>
      </c>
      <c r="D9827" s="7" t="s">
        <v>34</v>
      </c>
      <c r="E9827" s="7" t="s">
        <v>35</v>
      </c>
      <c r="F9827" s="0" t="n">
        <v>46.44</v>
      </c>
      <c r="G9827" s="0" t="n">
        <v>15.093</v>
      </c>
      <c r="H9827" s="0" t="n">
        <v>0.2</v>
      </c>
      <c r="I9827" s="7" t="n">
        <f aca="false">YEAR(B9827)</f>
        <v>2014</v>
      </c>
      <c r="J9827" s="0" t="str">
        <f aca="false">I9827&amp;"-Q"&amp;ROUNDUP(MONTH(B9827)/3,0)</f>
        <v>2014-Q3</v>
      </c>
    </row>
    <row r="9828" customFormat="false" ht="15" hidden="false" customHeight="false" outlineLevel="0" collapsed="false">
      <c r="A9828" s="0" t="s">
        <v>5014</v>
      </c>
      <c r="B9828" s="6" t="n">
        <v>41866</v>
      </c>
      <c r="C9828" s="7" t="s">
        <v>33</v>
      </c>
      <c r="D9828" s="7" t="s">
        <v>34</v>
      </c>
      <c r="E9828" s="7" t="s">
        <v>31</v>
      </c>
      <c r="F9828" s="0" t="n">
        <v>195.136</v>
      </c>
      <c r="G9828" s="0" t="n">
        <v>-12.196</v>
      </c>
      <c r="H9828" s="0" t="n">
        <v>0.2</v>
      </c>
      <c r="I9828" s="7" t="n">
        <f aca="false">YEAR(B9828)</f>
        <v>2014</v>
      </c>
      <c r="J9828" s="0" t="str">
        <f aca="false">I9828&amp;"-Q"&amp;ROUNDUP(MONTH(B9828)/3,0)</f>
        <v>2014-Q3</v>
      </c>
    </row>
    <row r="9829" customFormat="false" ht="15" hidden="false" customHeight="false" outlineLevel="0" collapsed="false">
      <c r="A9829" s="0" t="s">
        <v>5015</v>
      </c>
      <c r="B9829" s="6" t="n">
        <v>42905</v>
      </c>
      <c r="C9829" s="7" t="s">
        <v>55</v>
      </c>
      <c r="D9829" s="7" t="s">
        <v>76</v>
      </c>
      <c r="E9829" s="7" t="s">
        <v>35</v>
      </c>
      <c r="F9829" s="0" t="n">
        <v>129.3</v>
      </c>
      <c r="G9829" s="0" t="n">
        <v>6.465</v>
      </c>
      <c r="H9829" s="0" t="n">
        <v>0</v>
      </c>
      <c r="I9829" s="7" t="n">
        <f aca="false">YEAR(B9829)</f>
        <v>2017</v>
      </c>
      <c r="J9829" s="0" t="str">
        <f aca="false">I9829&amp;"-Q"&amp;ROUNDUP(MONTH(B9829)/3,0)</f>
        <v>2017-Q2</v>
      </c>
    </row>
    <row r="9830" customFormat="false" ht="15" hidden="false" customHeight="false" outlineLevel="0" collapsed="false">
      <c r="A9830" s="0" t="s">
        <v>5015</v>
      </c>
      <c r="B9830" s="6" t="n">
        <v>42905</v>
      </c>
      <c r="C9830" s="7" t="s">
        <v>55</v>
      </c>
      <c r="D9830" s="7" t="s">
        <v>76</v>
      </c>
      <c r="E9830" s="7" t="s">
        <v>35</v>
      </c>
      <c r="F9830" s="0" t="n">
        <v>11.568</v>
      </c>
      <c r="G9830" s="0" t="n">
        <v>3.7596</v>
      </c>
      <c r="H9830" s="0" t="n">
        <v>0.2</v>
      </c>
      <c r="I9830" s="7" t="n">
        <f aca="false">YEAR(B9830)</f>
        <v>2017</v>
      </c>
      <c r="J9830" s="0" t="str">
        <f aca="false">I9830&amp;"-Q"&amp;ROUNDUP(MONTH(B9830)/3,0)</f>
        <v>2017-Q2</v>
      </c>
    </row>
    <row r="9831" customFormat="false" ht="15" hidden="false" customHeight="false" outlineLevel="0" collapsed="false">
      <c r="A9831" s="0" t="s">
        <v>5016</v>
      </c>
      <c r="B9831" s="6" t="n">
        <v>42932</v>
      </c>
      <c r="C9831" s="7" t="s">
        <v>29</v>
      </c>
      <c r="D9831" s="7" t="s">
        <v>41</v>
      </c>
      <c r="E9831" s="7" t="s">
        <v>31</v>
      </c>
      <c r="F9831" s="0" t="n">
        <v>242.352</v>
      </c>
      <c r="G9831" s="0" t="n">
        <v>15.147</v>
      </c>
      <c r="H9831" s="0" t="n">
        <v>0.2</v>
      </c>
      <c r="I9831" s="7" t="n">
        <f aca="false">YEAR(B9831)</f>
        <v>2017</v>
      </c>
      <c r="J9831" s="0" t="str">
        <f aca="false">I9831&amp;"-Q"&amp;ROUNDUP(MONTH(B9831)/3,0)</f>
        <v>2017-Q3</v>
      </c>
    </row>
    <row r="9832" customFormat="false" ht="15" hidden="false" customHeight="false" outlineLevel="0" collapsed="false">
      <c r="A9832" s="0" t="s">
        <v>5017</v>
      </c>
      <c r="B9832" s="6" t="n">
        <v>41989</v>
      </c>
      <c r="C9832" s="7" t="s">
        <v>45</v>
      </c>
      <c r="D9832" s="7" t="s">
        <v>46</v>
      </c>
      <c r="E9832" s="7" t="s">
        <v>39</v>
      </c>
      <c r="F9832" s="0" t="n">
        <v>319.968</v>
      </c>
      <c r="G9832" s="0" t="n">
        <v>95.9904</v>
      </c>
      <c r="H9832" s="0" t="n">
        <v>0.2</v>
      </c>
      <c r="I9832" s="7" t="n">
        <f aca="false">YEAR(B9832)</f>
        <v>2014</v>
      </c>
      <c r="J9832" s="0" t="str">
        <f aca="false">I9832&amp;"-Q"&amp;ROUNDUP(MONTH(B9832)/3,0)</f>
        <v>2014-Q4</v>
      </c>
    </row>
    <row r="9833" customFormat="false" ht="15" hidden="false" customHeight="false" outlineLevel="0" collapsed="false">
      <c r="A9833" s="0" t="s">
        <v>5017</v>
      </c>
      <c r="B9833" s="6" t="n">
        <v>41989</v>
      </c>
      <c r="C9833" s="7" t="s">
        <v>45</v>
      </c>
      <c r="D9833" s="7" t="s">
        <v>46</v>
      </c>
      <c r="E9833" s="7" t="s">
        <v>31</v>
      </c>
      <c r="F9833" s="0" t="n">
        <v>8.624</v>
      </c>
      <c r="G9833" s="0" t="n">
        <v>-2.5872</v>
      </c>
      <c r="H9833" s="0" t="n">
        <v>0.6</v>
      </c>
      <c r="I9833" s="7" t="n">
        <f aca="false">YEAR(B9833)</f>
        <v>2014</v>
      </c>
      <c r="J9833" s="0" t="str">
        <f aca="false">I9833&amp;"-Q"&amp;ROUNDUP(MONTH(B9833)/3,0)</f>
        <v>2014-Q4</v>
      </c>
    </row>
    <row r="9834" customFormat="false" ht="15" hidden="false" customHeight="false" outlineLevel="0" collapsed="false">
      <c r="A9834" s="0" t="s">
        <v>5018</v>
      </c>
      <c r="B9834" s="6" t="n">
        <v>41777</v>
      </c>
      <c r="C9834" s="7" t="s">
        <v>45</v>
      </c>
      <c r="D9834" s="7" t="s">
        <v>46</v>
      </c>
      <c r="E9834" s="7" t="s">
        <v>35</v>
      </c>
      <c r="F9834" s="0" t="n">
        <v>3.984</v>
      </c>
      <c r="G9834" s="0" t="n">
        <v>1.4442</v>
      </c>
      <c r="H9834" s="0" t="n">
        <v>0.2</v>
      </c>
      <c r="I9834" s="7" t="n">
        <f aca="false">YEAR(B9834)</f>
        <v>2014</v>
      </c>
      <c r="J9834" s="0" t="str">
        <f aca="false">I9834&amp;"-Q"&amp;ROUNDUP(MONTH(B9834)/3,0)</f>
        <v>2014-Q2</v>
      </c>
    </row>
    <row r="9835" customFormat="false" ht="15" hidden="false" customHeight="false" outlineLevel="0" collapsed="false">
      <c r="A9835" s="0" t="s">
        <v>5019</v>
      </c>
      <c r="B9835" s="6" t="n">
        <v>42992</v>
      </c>
      <c r="C9835" s="7" t="s">
        <v>55</v>
      </c>
      <c r="D9835" s="7" t="s">
        <v>116</v>
      </c>
      <c r="E9835" s="7" t="s">
        <v>39</v>
      </c>
      <c r="F9835" s="0" t="n">
        <v>895.944</v>
      </c>
      <c r="G9835" s="0" t="n">
        <v>190.3881</v>
      </c>
      <c r="H9835" s="0" t="n">
        <v>0.2</v>
      </c>
      <c r="I9835" s="7" t="n">
        <f aca="false">YEAR(B9835)</f>
        <v>2017</v>
      </c>
      <c r="J9835" s="0" t="str">
        <f aca="false">I9835&amp;"-Q"&amp;ROUNDUP(MONTH(B9835)/3,0)</f>
        <v>2017-Q3</v>
      </c>
    </row>
    <row r="9836" customFormat="false" ht="15" hidden="false" customHeight="false" outlineLevel="0" collapsed="false">
      <c r="A9836" s="0" t="s">
        <v>5020</v>
      </c>
      <c r="B9836" s="6" t="n">
        <v>42653</v>
      </c>
      <c r="C9836" s="7" t="s">
        <v>45</v>
      </c>
      <c r="D9836" s="7" t="s">
        <v>46</v>
      </c>
      <c r="E9836" s="7" t="s">
        <v>31</v>
      </c>
      <c r="F9836" s="0" t="n">
        <v>14</v>
      </c>
      <c r="G9836" s="0" t="n">
        <v>-6.3</v>
      </c>
      <c r="H9836" s="0" t="n">
        <v>0.6</v>
      </c>
      <c r="I9836" s="7" t="n">
        <f aca="false">YEAR(B9836)</f>
        <v>2016</v>
      </c>
      <c r="J9836" s="0" t="str">
        <f aca="false">I9836&amp;"-Q"&amp;ROUNDUP(MONTH(B9836)/3,0)</f>
        <v>2016-Q4</v>
      </c>
    </row>
    <row r="9837" customFormat="false" ht="15" hidden="false" customHeight="false" outlineLevel="0" collapsed="false">
      <c r="A9837" s="0" t="s">
        <v>5020</v>
      </c>
      <c r="B9837" s="6" t="n">
        <v>42653</v>
      </c>
      <c r="C9837" s="7" t="s">
        <v>45</v>
      </c>
      <c r="D9837" s="7" t="s">
        <v>46</v>
      </c>
      <c r="E9837" s="7" t="s">
        <v>35</v>
      </c>
      <c r="F9837" s="0" t="n">
        <v>16.392</v>
      </c>
      <c r="G9837" s="0" t="n">
        <v>-26.2272</v>
      </c>
      <c r="H9837" s="0" t="n">
        <v>0.8</v>
      </c>
      <c r="I9837" s="7" t="n">
        <f aca="false">YEAR(B9837)</f>
        <v>2016</v>
      </c>
      <c r="J9837" s="0" t="str">
        <f aca="false">I9837&amp;"-Q"&amp;ROUNDUP(MONTH(B9837)/3,0)</f>
        <v>2016-Q4</v>
      </c>
    </row>
    <row r="9838" customFormat="false" ht="15" hidden="false" customHeight="false" outlineLevel="0" collapsed="false">
      <c r="A9838" s="0" t="s">
        <v>5021</v>
      </c>
      <c r="B9838" s="6" t="n">
        <v>42638</v>
      </c>
      <c r="C9838" s="7" t="s">
        <v>33</v>
      </c>
      <c r="D9838" s="7" t="s">
        <v>34</v>
      </c>
      <c r="E9838" s="7" t="s">
        <v>35</v>
      </c>
      <c r="F9838" s="0" t="n">
        <v>10.9</v>
      </c>
      <c r="G9838" s="0" t="n">
        <v>5.123</v>
      </c>
      <c r="H9838" s="0" t="n">
        <v>0</v>
      </c>
      <c r="I9838" s="7" t="n">
        <f aca="false">YEAR(B9838)</f>
        <v>2016</v>
      </c>
      <c r="J9838" s="0" t="str">
        <f aca="false">I9838&amp;"-Q"&amp;ROUNDUP(MONTH(B9838)/3,0)</f>
        <v>2016-Q3</v>
      </c>
    </row>
    <row r="9839" customFormat="false" ht="15" hidden="false" customHeight="false" outlineLevel="0" collapsed="false">
      <c r="A9839" s="0" t="s">
        <v>5021</v>
      </c>
      <c r="B9839" s="6" t="n">
        <v>42638</v>
      </c>
      <c r="C9839" s="7" t="s">
        <v>33</v>
      </c>
      <c r="D9839" s="7" t="s">
        <v>34</v>
      </c>
      <c r="E9839" s="7" t="s">
        <v>35</v>
      </c>
      <c r="F9839" s="0" t="n">
        <v>29.6</v>
      </c>
      <c r="G9839" s="0" t="n">
        <v>14.8</v>
      </c>
      <c r="H9839" s="0" t="n">
        <v>0</v>
      </c>
      <c r="I9839" s="7" t="n">
        <f aca="false">YEAR(B9839)</f>
        <v>2016</v>
      </c>
      <c r="J9839" s="0" t="str">
        <f aca="false">I9839&amp;"-Q"&amp;ROUNDUP(MONTH(B9839)/3,0)</f>
        <v>2016-Q3</v>
      </c>
    </row>
    <row r="9840" customFormat="false" ht="15" hidden="false" customHeight="false" outlineLevel="0" collapsed="false">
      <c r="A9840" s="0" t="s">
        <v>5021</v>
      </c>
      <c r="B9840" s="6" t="n">
        <v>42638</v>
      </c>
      <c r="C9840" s="7" t="s">
        <v>33</v>
      </c>
      <c r="D9840" s="7" t="s">
        <v>34</v>
      </c>
      <c r="E9840" s="7" t="s">
        <v>35</v>
      </c>
      <c r="F9840" s="0" t="n">
        <v>4.98</v>
      </c>
      <c r="G9840" s="0" t="n">
        <v>2.2908</v>
      </c>
      <c r="H9840" s="0" t="n">
        <v>0</v>
      </c>
      <c r="I9840" s="7" t="n">
        <f aca="false">YEAR(B9840)</f>
        <v>2016</v>
      </c>
      <c r="J9840" s="0" t="str">
        <f aca="false">I9840&amp;"-Q"&amp;ROUNDUP(MONTH(B9840)/3,0)</f>
        <v>2016-Q3</v>
      </c>
    </row>
    <row r="9841" customFormat="false" ht="15" hidden="false" customHeight="false" outlineLevel="0" collapsed="false">
      <c r="A9841" s="0" t="s">
        <v>5021</v>
      </c>
      <c r="B9841" s="6" t="n">
        <v>42638</v>
      </c>
      <c r="C9841" s="7" t="s">
        <v>33</v>
      </c>
      <c r="D9841" s="7" t="s">
        <v>34</v>
      </c>
      <c r="E9841" s="7" t="s">
        <v>39</v>
      </c>
      <c r="F9841" s="0" t="n">
        <v>479.976</v>
      </c>
      <c r="G9841" s="0" t="n">
        <v>161.9919</v>
      </c>
      <c r="H9841" s="0" t="n">
        <v>0.2</v>
      </c>
      <c r="I9841" s="7" t="n">
        <f aca="false">YEAR(B9841)</f>
        <v>2016</v>
      </c>
      <c r="J9841" s="0" t="str">
        <f aca="false">I9841&amp;"-Q"&amp;ROUNDUP(MONTH(B9841)/3,0)</f>
        <v>2016-Q3</v>
      </c>
    </row>
    <row r="9842" customFormat="false" ht="15" hidden="false" customHeight="false" outlineLevel="0" collapsed="false">
      <c r="A9842" s="0" t="s">
        <v>5021</v>
      </c>
      <c r="B9842" s="6" t="n">
        <v>42638</v>
      </c>
      <c r="C9842" s="7" t="s">
        <v>33</v>
      </c>
      <c r="D9842" s="7" t="s">
        <v>34</v>
      </c>
      <c r="E9842" s="7" t="s">
        <v>39</v>
      </c>
      <c r="F9842" s="0" t="n">
        <v>44.736</v>
      </c>
      <c r="G9842" s="0" t="n">
        <v>4.4736</v>
      </c>
      <c r="H9842" s="0" t="n">
        <v>0.2</v>
      </c>
      <c r="I9842" s="7" t="n">
        <f aca="false">YEAR(B9842)</f>
        <v>2016</v>
      </c>
      <c r="J9842" s="0" t="str">
        <f aca="false">I9842&amp;"-Q"&amp;ROUNDUP(MONTH(B9842)/3,0)</f>
        <v>2016-Q3</v>
      </c>
    </row>
    <row r="9843" customFormat="false" ht="15" hidden="false" customHeight="false" outlineLevel="0" collapsed="false">
      <c r="A9843" s="0" t="s">
        <v>5021</v>
      </c>
      <c r="B9843" s="6" t="n">
        <v>42638</v>
      </c>
      <c r="C9843" s="7" t="s">
        <v>33</v>
      </c>
      <c r="D9843" s="7" t="s">
        <v>34</v>
      </c>
      <c r="E9843" s="7" t="s">
        <v>35</v>
      </c>
      <c r="F9843" s="0" t="n">
        <v>5.76</v>
      </c>
      <c r="G9843" s="0" t="n">
        <v>1.6704</v>
      </c>
      <c r="H9843" s="0" t="n">
        <v>0</v>
      </c>
      <c r="I9843" s="7" t="n">
        <f aca="false">YEAR(B9843)</f>
        <v>2016</v>
      </c>
      <c r="J9843" s="0" t="str">
        <f aca="false">I9843&amp;"-Q"&amp;ROUNDUP(MONTH(B9843)/3,0)</f>
        <v>2016-Q3</v>
      </c>
    </row>
    <row r="9844" customFormat="false" ht="15" hidden="false" customHeight="false" outlineLevel="0" collapsed="false">
      <c r="A9844" s="0" t="s">
        <v>5021</v>
      </c>
      <c r="B9844" s="6" t="n">
        <v>42638</v>
      </c>
      <c r="C9844" s="7" t="s">
        <v>33</v>
      </c>
      <c r="D9844" s="7" t="s">
        <v>34</v>
      </c>
      <c r="E9844" s="7" t="s">
        <v>31</v>
      </c>
      <c r="F9844" s="0" t="n">
        <v>483.136</v>
      </c>
      <c r="G9844" s="0" t="n">
        <v>60.392</v>
      </c>
      <c r="H9844" s="0" t="n">
        <v>0.2</v>
      </c>
      <c r="I9844" s="7" t="n">
        <f aca="false">YEAR(B9844)</f>
        <v>2016</v>
      </c>
      <c r="J9844" s="0" t="str">
        <f aca="false">I9844&amp;"-Q"&amp;ROUNDUP(MONTH(B9844)/3,0)</f>
        <v>2016-Q3</v>
      </c>
    </row>
    <row r="9845" customFormat="false" ht="15" hidden="false" customHeight="false" outlineLevel="0" collapsed="false">
      <c r="A9845" s="0" t="s">
        <v>5022</v>
      </c>
      <c r="B9845" s="6" t="n">
        <v>41793</v>
      </c>
      <c r="C9845" s="7" t="s">
        <v>45</v>
      </c>
      <c r="D9845" s="7" t="s">
        <v>64</v>
      </c>
      <c r="E9845" s="7" t="s">
        <v>35</v>
      </c>
      <c r="F9845" s="0" t="n">
        <v>15.936</v>
      </c>
      <c r="G9845" s="0" t="n">
        <v>5.1792</v>
      </c>
      <c r="H9845" s="0" t="n">
        <v>0.2</v>
      </c>
      <c r="I9845" s="7" t="n">
        <f aca="false">YEAR(B9845)</f>
        <v>2014</v>
      </c>
      <c r="J9845" s="0" t="str">
        <f aca="false">I9845&amp;"-Q"&amp;ROUNDUP(MONTH(B9845)/3,0)</f>
        <v>2014-Q2</v>
      </c>
    </row>
    <row r="9846" customFormat="false" ht="15" hidden="false" customHeight="false" outlineLevel="0" collapsed="false">
      <c r="A9846" s="0" t="s">
        <v>5022</v>
      </c>
      <c r="B9846" s="6" t="n">
        <v>41793</v>
      </c>
      <c r="C9846" s="7" t="s">
        <v>45</v>
      </c>
      <c r="D9846" s="7" t="s">
        <v>64</v>
      </c>
      <c r="E9846" s="7" t="s">
        <v>31</v>
      </c>
      <c r="F9846" s="0" t="n">
        <v>61.544</v>
      </c>
      <c r="G9846" s="0" t="n">
        <v>-40.0036</v>
      </c>
      <c r="H9846" s="0" t="n">
        <v>0.6</v>
      </c>
      <c r="I9846" s="7" t="n">
        <f aca="false">YEAR(B9846)</f>
        <v>2014</v>
      </c>
      <c r="J9846" s="0" t="str">
        <f aca="false">I9846&amp;"-Q"&amp;ROUNDUP(MONTH(B9846)/3,0)</f>
        <v>2014-Q2</v>
      </c>
    </row>
    <row r="9847" customFormat="false" ht="15" hidden="false" customHeight="false" outlineLevel="0" collapsed="false">
      <c r="A9847" s="0" t="s">
        <v>5022</v>
      </c>
      <c r="B9847" s="6" t="n">
        <v>41793</v>
      </c>
      <c r="C9847" s="7" t="s">
        <v>45</v>
      </c>
      <c r="D9847" s="7" t="s">
        <v>64</v>
      </c>
      <c r="E9847" s="7" t="s">
        <v>35</v>
      </c>
      <c r="F9847" s="0" t="n">
        <v>132.696</v>
      </c>
      <c r="G9847" s="0" t="n">
        <v>9.9522</v>
      </c>
      <c r="H9847" s="0" t="n">
        <v>0.2</v>
      </c>
      <c r="I9847" s="7" t="n">
        <f aca="false">YEAR(B9847)</f>
        <v>2014</v>
      </c>
      <c r="J9847" s="0" t="str">
        <f aca="false">I9847&amp;"-Q"&amp;ROUNDUP(MONTH(B9847)/3,0)</f>
        <v>2014-Q2</v>
      </c>
    </row>
    <row r="9848" customFormat="false" ht="15" hidden="false" customHeight="false" outlineLevel="0" collapsed="false">
      <c r="A9848" s="0" t="s">
        <v>5023</v>
      </c>
      <c r="B9848" s="6" t="n">
        <v>42980</v>
      </c>
      <c r="C9848" s="7" t="s">
        <v>33</v>
      </c>
      <c r="D9848" s="7" t="s">
        <v>34</v>
      </c>
      <c r="E9848" s="7" t="s">
        <v>35</v>
      </c>
      <c r="F9848" s="0" t="n">
        <v>43.1</v>
      </c>
      <c r="G9848" s="0" t="n">
        <v>11.206</v>
      </c>
      <c r="H9848" s="0" t="n">
        <v>0</v>
      </c>
      <c r="I9848" s="7" t="n">
        <f aca="false">YEAR(B9848)</f>
        <v>2017</v>
      </c>
      <c r="J9848" s="0" t="str">
        <f aca="false">I9848&amp;"-Q"&amp;ROUNDUP(MONTH(B9848)/3,0)</f>
        <v>2017-Q3</v>
      </c>
    </row>
    <row r="9849" customFormat="false" ht="15" hidden="false" customHeight="false" outlineLevel="0" collapsed="false">
      <c r="A9849" s="0" t="s">
        <v>5023</v>
      </c>
      <c r="B9849" s="6" t="n">
        <v>42980</v>
      </c>
      <c r="C9849" s="7" t="s">
        <v>33</v>
      </c>
      <c r="D9849" s="7" t="s">
        <v>34</v>
      </c>
      <c r="E9849" s="7" t="s">
        <v>31</v>
      </c>
      <c r="F9849" s="0" t="n">
        <v>511.5</v>
      </c>
      <c r="G9849" s="0" t="n">
        <v>132.99</v>
      </c>
      <c r="H9849" s="0" t="n">
        <v>0</v>
      </c>
      <c r="I9849" s="7" t="n">
        <f aca="false">YEAR(B9849)</f>
        <v>2017</v>
      </c>
      <c r="J9849" s="0" t="str">
        <f aca="false">I9849&amp;"-Q"&amp;ROUNDUP(MONTH(B9849)/3,0)</f>
        <v>2017-Q3</v>
      </c>
    </row>
    <row r="9850" customFormat="false" ht="15" hidden="false" customHeight="false" outlineLevel="0" collapsed="false">
      <c r="A9850" s="0" t="s">
        <v>5023</v>
      </c>
      <c r="B9850" s="6" t="n">
        <v>42980</v>
      </c>
      <c r="C9850" s="7" t="s">
        <v>33</v>
      </c>
      <c r="D9850" s="7" t="s">
        <v>34</v>
      </c>
      <c r="E9850" s="7" t="s">
        <v>35</v>
      </c>
      <c r="F9850" s="0" t="n">
        <v>147.92</v>
      </c>
      <c r="G9850" s="0" t="n">
        <v>46.225</v>
      </c>
      <c r="H9850" s="0" t="n">
        <v>0.2</v>
      </c>
      <c r="I9850" s="7" t="n">
        <f aca="false">YEAR(B9850)</f>
        <v>2017</v>
      </c>
      <c r="J9850" s="0" t="str">
        <f aca="false">I9850&amp;"-Q"&amp;ROUNDUP(MONTH(B9850)/3,0)</f>
        <v>2017-Q3</v>
      </c>
    </row>
    <row r="9851" customFormat="false" ht="15" hidden="false" customHeight="false" outlineLevel="0" collapsed="false">
      <c r="A9851" s="0" t="s">
        <v>5024</v>
      </c>
      <c r="B9851" s="6" t="n">
        <v>41741</v>
      </c>
      <c r="C9851" s="7" t="s">
        <v>33</v>
      </c>
      <c r="D9851" s="7" t="s">
        <v>34</v>
      </c>
      <c r="E9851" s="7" t="s">
        <v>35</v>
      </c>
      <c r="F9851" s="0" t="n">
        <v>39.68</v>
      </c>
      <c r="G9851" s="0" t="n">
        <v>16.2688</v>
      </c>
      <c r="H9851" s="0" t="n">
        <v>0</v>
      </c>
      <c r="I9851" s="7" t="n">
        <f aca="false">YEAR(B9851)</f>
        <v>2014</v>
      </c>
      <c r="J9851" s="0" t="str">
        <f aca="false">I9851&amp;"-Q"&amp;ROUNDUP(MONTH(B9851)/3,0)</f>
        <v>2014-Q2</v>
      </c>
    </row>
    <row r="9852" customFormat="false" ht="15" hidden="false" customHeight="false" outlineLevel="0" collapsed="false">
      <c r="A9852" s="0" t="s">
        <v>5025</v>
      </c>
      <c r="B9852" s="6" t="n">
        <v>42492</v>
      </c>
      <c r="C9852" s="7" t="s">
        <v>55</v>
      </c>
      <c r="D9852" s="7" t="s">
        <v>76</v>
      </c>
      <c r="E9852" s="7" t="s">
        <v>31</v>
      </c>
      <c r="F9852" s="0" t="n">
        <v>12.56</v>
      </c>
      <c r="G9852" s="0" t="n">
        <v>4.0192</v>
      </c>
      <c r="H9852" s="0" t="n">
        <v>0</v>
      </c>
      <c r="I9852" s="7" t="n">
        <f aca="false">YEAR(B9852)</f>
        <v>2016</v>
      </c>
      <c r="J9852" s="0" t="str">
        <f aca="false">I9852&amp;"-Q"&amp;ROUNDUP(MONTH(B9852)/3,0)</f>
        <v>2016-Q2</v>
      </c>
    </row>
    <row r="9853" customFormat="false" ht="15" hidden="false" customHeight="false" outlineLevel="0" collapsed="false">
      <c r="A9853" s="0" t="s">
        <v>5025</v>
      </c>
      <c r="B9853" s="6" t="n">
        <v>42492</v>
      </c>
      <c r="C9853" s="7" t="s">
        <v>55</v>
      </c>
      <c r="D9853" s="7" t="s">
        <v>76</v>
      </c>
      <c r="E9853" s="7" t="s">
        <v>35</v>
      </c>
      <c r="F9853" s="0" t="n">
        <v>90.48</v>
      </c>
      <c r="G9853" s="0" t="n">
        <v>33.93</v>
      </c>
      <c r="H9853" s="0" t="n">
        <v>0.2</v>
      </c>
      <c r="I9853" s="7" t="n">
        <f aca="false">YEAR(B9853)</f>
        <v>2016</v>
      </c>
      <c r="J9853" s="0" t="str">
        <f aca="false">I9853&amp;"-Q"&amp;ROUNDUP(MONTH(B9853)/3,0)</f>
        <v>2016-Q2</v>
      </c>
    </row>
    <row r="9854" customFormat="false" ht="15" hidden="false" customHeight="false" outlineLevel="0" collapsed="false">
      <c r="A9854" s="0" t="s">
        <v>5025</v>
      </c>
      <c r="B9854" s="6" t="n">
        <v>42492</v>
      </c>
      <c r="C9854" s="7" t="s">
        <v>55</v>
      </c>
      <c r="D9854" s="7" t="s">
        <v>76</v>
      </c>
      <c r="E9854" s="7" t="s">
        <v>35</v>
      </c>
      <c r="F9854" s="0" t="n">
        <v>13.08</v>
      </c>
      <c r="G9854" s="0" t="n">
        <v>6.0168</v>
      </c>
      <c r="H9854" s="0" t="n">
        <v>0</v>
      </c>
      <c r="I9854" s="7" t="n">
        <f aca="false">YEAR(B9854)</f>
        <v>2016</v>
      </c>
      <c r="J9854" s="0" t="str">
        <f aca="false">I9854&amp;"-Q"&amp;ROUNDUP(MONTH(B9854)/3,0)</f>
        <v>2016-Q2</v>
      </c>
    </row>
    <row r="9855" customFormat="false" ht="15" hidden="false" customHeight="false" outlineLevel="0" collapsed="false">
      <c r="A9855" s="0" t="s">
        <v>5025</v>
      </c>
      <c r="B9855" s="6" t="n">
        <v>42492</v>
      </c>
      <c r="C9855" s="7" t="s">
        <v>55</v>
      </c>
      <c r="D9855" s="7" t="s">
        <v>76</v>
      </c>
      <c r="E9855" s="7" t="s">
        <v>31</v>
      </c>
      <c r="F9855" s="0" t="n">
        <v>214.7</v>
      </c>
      <c r="G9855" s="0" t="n">
        <v>83.733</v>
      </c>
      <c r="H9855" s="0" t="n">
        <v>0</v>
      </c>
      <c r="I9855" s="7" t="n">
        <f aca="false">YEAR(B9855)</f>
        <v>2016</v>
      </c>
      <c r="J9855" s="0" t="str">
        <f aca="false">I9855&amp;"-Q"&amp;ROUNDUP(MONTH(B9855)/3,0)</f>
        <v>2016-Q2</v>
      </c>
    </row>
    <row r="9856" customFormat="false" ht="15" hidden="false" customHeight="false" outlineLevel="0" collapsed="false">
      <c r="A9856" s="0" t="s">
        <v>5026</v>
      </c>
      <c r="B9856" s="6" t="n">
        <v>42905</v>
      </c>
      <c r="C9856" s="7" t="s">
        <v>33</v>
      </c>
      <c r="D9856" s="7" t="s">
        <v>34</v>
      </c>
      <c r="E9856" s="7" t="s">
        <v>31</v>
      </c>
      <c r="F9856" s="0" t="n">
        <v>50.32</v>
      </c>
      <c r="G9856" s="0" t="n">
        <v>21.1344</v>
      </c>
      <c r="H9856" s="0" t="n">
        <v>0</v>
      </c>
      <c r="I9856" s="7" t="n">
        <f aca="false">YEAR(B9856)</f>
        <v>2017</v>
      </c>
      <c r="J9856" s="0" t="str">
        <f aca="false">I9856&amp;"-Q"&amp;ROUNDUP(MONTH(B9856)/3,0)</f>
        <v>2017-Q2</v>
      </c>
    </row>
    <row r="9857" customFormat="false" ht="15" hidden="false" customHeight="false" outlineLevel="0" collapsed="false">
      <c r="A9857" s="0" t="s">
        <v>5026</v>
      </c>
      <c r="B9857" s="6" t="n">
        <v>42905</v>
      </c>
      <c r="C9857" s="7" t="s">
        <v>33</v>
      </c>
      <c r="D9857" s="7" t="s">
        <v>34</v>
      </c>
      <c r="E9857" s="7" t="s">
        <v>35</v>
      </c>
      <c r="F9857" s="0" t="n">
        <v>24.56</v>
      </c>
      <c r="G9857" s="0" t="n">
        <v>11.5432</v>
      </c>
      <c r="H9857" s="0" t="n">
        <v>0</v>
      </c>
      <c r="I9857" s="7" t="n">
        <f aca="false">YEAR(B9857)</f>
        <v>2017</v>
      </c>
      <c r="J9857" s="0" t="str">
        <f aca="false">I9857&amp;"-Q"&amp;ROUNDUP(MONTH(B9857)/3,0)</f>
        <v>2017-Q2</v>
      </c>
    </row>
    <row r="9858" customFormat="false" ht="15" hidden="false" customHeight="false" outlineLevel="0" collapsed="false">
      <c r="A9858" s="0" t="s">
        <v>5027</v>
      </c>
      <c r="B9858" s="6" t="n">
        <v>41949</v>
      </c>
      <c r="C9858" s="7" t="s">
        <v>29</v>
      </c>
      <c r="D9858" s="7" t="s">
        <v>230</v>
      </c>
      <c r="E9858" s="7" t="s">
        <v>35</v>
      </c>
      <c r="F9858" s="0" t="n">
        <v>43.68</v>
      </c>
      <c r="G9858" s="0" t="n">
        <v>20.9664</v>
      </c>
      <c r="H9858" s="0" t="n">
        <v>0</v>
      </c>
      <c r="I9858" s="7" t="n">
        <f aca="false">YEAR(B9858)</f>
        <v>2014</v>
      </c>
      <c r="J9858" s="0" t="str">
        <f aca="false">I9858&amp;"-Q"&amp;ROUNDUP(MONTH(B9858)/3,0)</f>
        <v>2014-Q4</v>
      </c>
    </row>
    <row r="9859" customFormat="false" ht="15" hidden="false" customHeight="false" outlineLevel="0" collapsed="false">
      <c r="A9859" s="0" t="s">
        <v>5028</v>
      </c>
      <c r="B9859" s="6" t="n">
        <v>42089</v>
      </c>
      <c r="C9859" s="7" t="s">
        <v>33</v>
      </c>
      <c r="D9859" s="7" t="s">
        <v>43</v>
      </c>
      <c r="E9859" s="7" t="s">
        <v>31</v>
      </c>
      <c r="F9859" s="0" t="n">
        <v>3393.68</v>
      </c>
      <c r="G9859" s="0" t="n">
        <v>610.8624</v>
      </c>
      <c r="H9859" s="0" t="n">
        <v>0</v>
      </c>
      <c r="I9859" s="7" t="n">
        <f aca="false">YEAR(B9859)</f>
        <v>2015</v>
      </c>
      <c r="J9859" s="0" t="str">
        <f aca="false">I9859&amp;"-Q"&amp;ROUNDUP(MONTH(B9859)/3,0)</f>
        <v>2015-Q1</v>
      </c>
    </row>
    <row r="9860" customFormat="false" ht="15" hidden="false" customHeight="false" outlineLevel="0" collapsed="false">
      <c r="A9860" s="0" t="s">
        <v>5029</v>
      </c>
      <c r="B9860" s="6" t="n">
        <v>42749</v>
      </c>
      <c r="C9860" s="7" t="s">
        <v>45</v>
      </c>
      <c r="D9860" s="7" t="s">
        <v>74</v>
      </c>
      <c r="E9860" s="7" t="s">
        <v>35</v>
      </c>
      <c r="F9860" s="0" t="n">
        <v>67.4</v>
      </c>
      <c r="G9860" s="0" t="n">
        <v>17.524</v>
      </c>
      <c r="H9860" s="0" t="n">
        <v>0</v>
      </c>
      <c r="I9860" s="7" t="n">
        <f aca="false">YEAR(B9860)</f>
        <v>2017</v>
      </c>
      <c r="J9860" s="0" t="str">
        <f aca="false">I9860&amp;"-Q"&amp;ROUNDUP(MONTH(B9860)/3,0)</f>
        <v>2017-Q1</v>
      </c>
    </row>
    <row r="9861" customFormat="false" ht="15" hidden="false" customHeight="false" outlineLevel="0" collapsed="false">
      <c r="A9861" s="0" t="s">
        <v>5029</v>
      </c>
      <c r="B9861" s="6" t="n">
        <v>42749</v>
      </c>
      <c r="C9861" s="7" t="s">
        <v>45</v>
      </c>
      <c r="D9861" s="7" t="s">
        <v>74</v>
      </c>
      <c r="E9861" s="7" t="s">
        <v>35</v>
      </c>
      <c r="F9861" s="0" t="n">
        <v>2.52</v>
      </c>
      <c r="G9861" s="0" t="n">
        <v>0.1008</v>
      </c>
      <c r="H9861" s="0" t="n">
        <v>0</v>
      </c>
      <c r="I9861" s="7" t="n">
        <f aca="false">YEAR(B9861)</f>
        <v>2017</v>
      </c>
      <c r="J9861" s="0" t="str">
        <f aca="false">I9861&amp;"-Q"&amp;ROUNDUP(MONTH(B9861)/3,0)</f>
        <v>2017-Q1</v>
      </c>
    </row>
    <row r="9862" customFormat="false" ht="15" hidden="false" customHeight="false" outlineLevel="0" collapsed="false">
      <c r="A9862" s="0" t="s">
        <v>5029</v>
      </c>
      <c r="B9862" s="6" t="n">
        <v>42749</v>
      </c>
      <c r="C9862" s="7" t="s">
        <v>45</v>
      </c>
      <c r="D9862" s="7" t="s">
        <v>74</v>
      </c>
      <c r="E9862" s="7" t="s">
        <v>39</v>
      </c>
      <c r="F9862" s="0" t="n">
        <v>67.8</v>
      </c>
      <c r="G9862" s="0" t="n">
        <v>1.356</v>
      </c>
      <c r="H9862" s="0" t="n">
        <v>0</v>
      </c>
      <c r="I9862" s="7" t="n">
        <f aca="false">YEAR(B9862)</f>
        <v>2017</v>
      </c>
      <c r="J9862" s="0" t="str">
        <f aca="false">I9862&amp;"-Q"&amp;ROUNDUP(MONTH(B9862)/3,0)</f>
        <v>2017-Q1</v>
      </c>
    </row>
    <row r="9863" customFormat="false" ht="15" hidden="false" customHeight="false" outlineLevel="0" collapsed="false">
      <c r="A9863" s="0" t="s">
        <v>5029</v>
      </c>
      <c r="B9863" s="6" t="n">
        <v>42749</v>
      </c>
      <c r="C9863" s="7" t="s">
        <v>45</v>
      </c>
      <c r="D9863" s="7" t="s">
        <v>74</v>
      </c>
      <c r="E9863" s="7" t="s">
        <v>35</v>
      </c>
      <c r="F9863" s="0" t="n">
        <v>18.76</v>
      </c>
      <c r="G9863" s="0" t="n">
        <v>5.2528</v>
      </c>
      <c r="H9863" s="0" t="n">
        <v>0</v>
      </c>
      <c r="I9863" s="7" t="n">
        <f aca="false">YEAR(B9863)</f>
        <v>2017</v>
      </c>
      <c r="J9863" s="0" t="str">
        <f aca="false">I9863&amp;"-Q"&amp;ROUNDUP(MONTH(B9863)/3,0)</f>
        <v>2017-Q1</v>
      </c>
    </row>
    <row r="9864" customFormat="false" ht="15" hidden="false" customHeight="false" outlineLevel="0" collapsed="false">
      <c r="A9864" s="0" t="s">
        <v>5029</v>
      </c>
      <c r="B9864" s="6" t="n">
        <v>42749</v>
      </c>
      <c r="C9864" s="7" t="s">
        <v>45</v>
      </c>
      <c r="D9864" s="7" t="s">
        <v>74</v>
      </c>
      <c r="E9864" s="7" t="s">
        <v>39</v>
      </c>
      <c r="F9864" s="0" t="n">
        <v>12.12</v>
      </c>
      <c r="G9864" s="0" t="n">
        <v>2.5452</v>
      </c>
      <c r="H9864" s="0" t="n">
        <v>0</v>
      </c>
      <c r="I9864" s="7" t="n">
        <f aca="false">YEAR(B9864)</f>
        <v>2017</v>
      </c>
      <c r="J9864" s="0" t="str">
        <f aca="false">I9864&amp;"-Q"&amp;ROUNDUP(MONTH(B9864)/3,0)</f>
        <v>2017-Q1</v>
      </c>
    </row>
    <row r="9865" customFormat="false" ht="15" hidden="false" customHeight="false" outlineLevel="0" collapsed="false">
      <c r="A9865" s="0" t="s">
        <v>5029</v>
      </c>
      <c r="B9865" s="6" t="n">
        <v>42749</v>
      </c>
      <c r="C9865" s="7" t="s">
        <v>45</v>
      </c>
      <c r="D9865" s="7" t="s">
        <v>74</v>
      </c>
      <c r="E9865" s="7" t="s">
        <v>35</v>
      </c>
      <c r="F9865" s="0" t="n">
        <v>11.34</v>
      </c>
      <c r="G9865" s="0" t="n">
        <v>5.5566</v>
      </c>
      <c r="H9865" s="0" t="n">
        <v>0</v>
      </c>
      <c r="I9865" s="7" t="n">
        <f aca="false">YEAR(B9865)</f>
        <v>2017</v>
      </c>
      <c r="J9865" s="0" t="str">
        <f aca="false">I9865&amp;"-Q"&amp;ROUNDUP(MONTH(B9865)/3,0)</f>
        <v>2017-Q1</v>
      </c>
    </row>
    <row r="9866" customFormat="false" ht="15" hidden="false" customHeight="false" outlineLevel="0" collapsed="false">
      <c r="A9866" s="0" t="s">
        <v>5029</v>
      </c>
      <c r="B9866" s="6" t="n">
        <v>42749</v>
      </c>
      <c r="C9866" s="7" t="s">
        <v>45</v>
      </c>
      <c r="D9866" s="7" t="s">
        <v>74</v>
      </c>
      <c r="E9866" s="7" t="s">
        <v>39</v>
      </c>
      <c r="F9866" s="0" t="n">
        <v>159.8</v>
      </c>
      <c r="G9866" s="0" t="n">
        <v>70.312</v>
      </c>
      <c r="H9866" s="0" t="n">
        <v>0</v>
      </c>
      <c r="I9866" s="7" t="n">
        <f aca="false">YEAR(B9866)</f>
        <v>2017</v>
      </c>
      <c r="J9866" s="0" t="str">
        <f aca="false">I9866&amp;"-Q"&amp;ROUNDUP(MONTH(B9866)/3,0)</f>
        <v>2017-Q1</v>
      </c>
    </row>
    <row r="9867" customFormat="false" ht="15" hidden="false" customHeight="false" outlineLevel="0" collapsed="false">
      <c r="A9867" s="0" t="s">
        <v>5029</v>
      </c>
      <c r="B9867" s="6" t="n">
        <v>42749</v>
      </c>
      <c r="C9867" s="7" t="s">
        <v>45</v>
      </c>
      <c r="D9867" s="7" t="s">
        <v>74</v>
      </c>
      <c r="E9867" s="7" t="s">
        <v>31</v>
      </c>
      <c r="F9867" s="0" t="n">
        <v>18.96</v>
      </c>
      <c r="G9867" s="0" t="n">
        <v>8.532</v>
      </c>
      <c r="H9867" s="0" t="n">
        <v>0</v>
      </c>
      <c r="I9867" s="7" t="n">
        <f aca="false">YEAR(B9867)</f>
        <v>2017</v>
      </c>
      <c r="J9867" s="0" t="str">
        <f aca="false">I9867&amp;"-Q"&amp;ROUNDUP(MONTH(B9867)/3,0)</f>
        <v>2017-Q1</v>
      </c>
    </row>
    <row r="9868" customFormat="false" ht="15" hidden="false" customHeight="false" outlineLevel="0" collapsed="false">
      <c r="A9868" s="0" t="s">
        <v>5030</v>
      </c>
      <c r="B9868" s="6" t="n">
        <v>42089</v>
      </c>
      <c r="C9868" s="7" t="s">
        <v>55</v>
      </c>
      <c r="D9868" s="7" t="s">
        <v>76</v>
      </c>
      <c r="E9868" s="7" t="s">
        <v>35</v>
      </c>
      <c r="F9868" s="0" t="n">
        <v>1085.42</v>
      </c>
      <c r="G9868" s="0" t="n">
        <v>282.2092</v>
      </c>
      <c r="H9868" s="0" t="n">
        <v>0</v>
      </c>
      <c r="I9868" s="7" t="n">
        <f aca="false">YEAR(B9868)</f>
        <v>2015</v>
      </c>
      <c r="J9868" s="0" t="str">
        <f aca="false">I9868&amp;"-Q"&amp;ROUNDUP(MONTH(B9868)/3,0)</f>
        <v>2015-Q1</v>
      </c>
    </row>
    <row r="9869" customFormat="false" ht="15" hidden="false" customHeight="false" outlineLevel="0" collapsed="false">
      <c r="A9869" s="0" t="s">
        <v>5030</v>
      </c>
      <c r="B9869" s="6" t="n">
        <v>42089</v>
      </c>
      <c r="C9869" s="7" t="s">
        <v>55</v>
      </c>
      <c r="D9869" s="7" t="s">
        <v>76</v>
      </c>
      <c r="E9869" s="7" t="s">
        <v>35</v>
      </c>
      <c r="F9869" s="0" t="n">
        <v>13.11</v>
      </c>
      <c r="G9869" s="0" t="n">
        <v>3.4086</v>
      </c>
      <c r="H9869" s="0" t="n">
        <v>0</v>
      </c>
      <c r="I9869" s="7" t="n">
        <f aca="false">YEAR(B9869)</f>
        <v>2015</v>
      </c>
      <c r="J9869" s="0" t="str">
        <f aca="false">I9869&amp;"-Q"&amp;ROUNDUP(MONTH(B9869)/3,0)</f>
        <v>2015-Q1</v>
      </c>
    </row>
    <row r="9870" customFormat="false" ht="15" hidden="false" customHeight="false" outlineLevel="0" collapsed="false">
      <c r="A9870" s="0" t="s">
        <v>5031</v>
      </c>
      <c r="B9870" s="6" t="n">
        <v>41944</v>
      </c>
      <c r="C9870" s="7" t="s">
        <v>55</v>
      </c>
      <c r="D9870" s="7" t="s">
        <v>116</v>
      </c>
      <c r="E9870" s="7" t="s">
        <v>31</v>
      </c>
      <c r="F9870" s="0" t="n">
        <v>68.704</v>
      </c>
      <c r="G9870" s="0" t="n">
        <v>16.3172</v>
      </c>
      <c r="H9870" s="0" t="n">
        <v>0.2</v>
      </c>
      <c r="I9870" s="7" t="n">
        <f aca="false">YEAR(B9870)</f>
        <v>2014</v>
      </c>
      <c r="J9870" s="0" t="str">
        <f aca="false">I9870&amp;"-Q"&amp;ROUNDUP(MONTH(B9870)/3,0)</f>
        <v>2014-Q4</v>
      </c>
    </row>
    <row r="9871" customFormat="false" ht="15" hidden="false" customHeight="false" outlineLevel="0" collapsed="false">
      <c r="A9871" s="0" t="s">
        <v>5031</v>
      </c>
      <c r="B9871" s="6" t="n">
        <v>41944</v>
      </c>
      <c r="C9871" s="7" t="s">
        <v>55</v>
      </c>
      <c r="D9871" s="7" t="s">
        <v>116</v>
      </c>
      <c r="E9871" s="7" t="s">
        <v>35</v>
      </c>
      <c r="F9871" s="0" t="n">
        <v>3.132</v>
      </c>
      <c r="G9871" s="0" t="n">
        <v>-2.61</v>
      </c>
      <c r="H9871" s="0" t="n">
        <v>0.7</v>
      </c>
      <c r="I9871" s="7" t="n">
        <f aca="false">YEAR(B9871)</f>
        <v>2014</v>
      </c>
      <c r="J9871" s="0" t="str">
        <f aca="false">I9871&amp;"-Q"&amp;ROUNDUP(MONTH(B9871)/3,0)</f>
        <v>2014-Q4</v>
      </c>
    </row>
    <row r="9872" customFormat="false" ht="15" hidden="false" customHeight="false" outlineLevel="0" collapsed="false">
      <c r="A9872" s="0" t="s">
        <v>5031</v>
      </c>
      <c r="B9872" s="6" t="n">
        <v>41944</v>
      </c>
      <c r="C9872" s="7" t="s">
        <v>55</v>
      </c>
      <c r="D9872" s="7" t="s">
        <v>116</v>
      </c>
      <c r="E9872" s="7" t="s">
        <v>35</v>
      </c>
      <c r="F9872" s="0" t="n">
        <v>22.428</v>
      </c>
      <c r="G9872" s="0" t="n">
        <v>-17.9424</v>
      </c>
      <c r="H9872" s="0" t="n">
        <v>0.7</v>
      </c>
      <c r="I9872" s="7" t="n">
        <f aca="false">YEAR(B9872)</f>
        <v>2014</v>
      </c>
      <c r="J9872" s="0" t="str">
        <f aca="false">I9872&amp;"-Q"&amp;ROUNDUP(MONTH(B9872)/3,0)</f>
        <v>2014-Q4</v>
      </c>
    </row>
    <row r="9873" customFormat="false" ht="15" hidden="false" customHeight="false" outlineLevel="0" collapsed="false">
      <c r="A9873" s="0" t="s">
        <v>5032</v>
      </c>
      <c r="B9873" s="6" t="n">
        <v>43014</v>
      </c>
      <c r="C9873" s="7" t="s">
        <v>45</v>
      </c>
      <c r="D9873" s="7" t="s">
        <v>64</v>
      </c>
      <c r="E9873" s="7" t="s">
        <v>35</v>
      </c>
      <c r="F9873" s="0" t="n">
        <v>290.336</v>
      </c>
      <c r="G9873" s="0" t="n">
        <v>32.6628</v>
      </c>
      <c r="H9873" s="0" t="n">
        <v>0.2</v>
      </c>
      <c r="I9873" s="7" t="n">
        <f aca="false">YEAR(B9873)</f>
        <v>2017</v>
      </c>
      <c r="J9873" s="0" t="str">
        <f aca="false">I9873&amp;"-Q"&amp;ROUNDUP(MONTH(B9873)/3,0)</f>
        <v>2017-Q4</v>
      </c>
    </row>
    <row r="9874" customFormat="false" ht="15" hidden="false" customHeight="false" outlineLevel="0" collapsed="false">
      <c r="A9874" s="0" t="s">
        <v>5032</v>
      </c>
      <c r="B9874" s="6" t="n">
        <v>43014</v>
      </c>
      <c r="C9874" s="7" t="s">
        <v>45</v>
      </c>
      <c r="D9874" s="7" t="s">
        <v>64</v>
      </c>
      <c r="E9874" s="7" t="s">
        <v>35</v>
      </c>
      <c r="F9874" s="0" t="n">
        <v>19.152</v>
      </c>
      <c r="G9874" s="0" t="n">
        <v>1.197</v>
      </c>
      <c r="H9874" s="0" t="n">
        <v>0.2</v>
      </c>
      <c r="I9874" s="7" t="n">
        <f aca="false">YEAR(B9874)</f>
        <v>2017</v>
      </c>
      <c r="J9874" s="0" t="str">
        <f aca="false">I9874&amp;"-Q"&amp;ROUNDUP(MONTH(B9874)/3,0)</f>
        <v>2017-Q4</v>
      </c>
    </row>
    <row r="9875" customFormat="false" ht="15" hidden="false" customHeight="false" outlineLevel="0" collapsed="false">
      <c r="A9875" s="0" t="s">
        <v>5033</v>
      </c>
      <c r="B9875" s="6" t="n">
        <v>42714</v>
      </c>
      <c r="C9875" s="7" t="s">
        <v>55</v>
      </c>
      <c r="D9875" s="7" t="s">
        <v>76</v>
      </c>
      <c r="E9875" s="7" t="s">
        <v>35</v>
      </c>
      <c r="F9875" s="0" t="n">
        <v>6.48</v>
      </c>
      <c r="G9875" s="0" t="n">
        <v>3.1104</v>
      </c>
      <c r="H9875" s="0" t="n">
        <v>0</v>
      </c>
      <c r="I9875" s="7" t="n">
        <f aca="false">YEAR(B9875)</f>
        <v>2016</v>
      </c>
      <c r="J9875" s="0" t="str">
        <f aca="false">I9875&amp;"-Q"&amp;ROUNDUP(MONTH(B9875)/3,0)</f>
        <v>2016-Q4</v>
      </c>
    </row>
    <row r="9876" customFormat="false" ht="15" hidden="false" customHeight="false" outlineLevel="0" collapsed="false">
      <c r="A9876" s="0" t="s">
        <v>5034</v>
      </c>
      <c r="B9876" s="6" t="n">
        <v>42635</v>
      </c>
      <c r="C9876" s="7" t="s">
        <v>55</v>
      </c>
      <c r="D9876" s="7" t="s">
        <v>116</v>
      </c>
      <c r="E9876" s="7" t="s">
        <v>35</v>
      </c>
      <c r="F9876" s="0" t="n">
        <v>63.968</v>
      </c>
      <c r="G9876" s="0" t="n">
        <v>19.99</v>
      </c>
      <c r="H9876" s="0" t="n">
        <v>0.2</v>
      </c>
      <c r="I9876" s="7" t="n">
        <f aca="false">YEAR(B9876)</f>
        <v>2016</v>
      </c>
      <c r="J9876" s="0" t="str">
        <f aca="false">I9876&amp;"-Q"&amp;ROUNDUP(MONTH(B9876)/3,0)</f>
        <v>2016-Q3</v>
      </c>
    </row>
    <row r="9877" customFormat="false" ht="15" hidden="false" customHeight="false" outlineLevel="0" collapsed="false">
      <c r="A9877" s="0" t="s">
        <v>5035</v>
      </c>
      <c r="B9877" s="6" t="n">
        <v>42367</v>
      </c>
      <c r="C9877" s="7" t="s">
        <v>55</v>
      </c>
      <c r="D9877" s="7" t="s">
        <v>76</v>
      </c>
      <c r="E9877" s="7" t="s">
        <v>35</v>
      </c>
      <c r="F9877" s="0" t="n">
        <v>6.36</v>
      </c>
      <c r="G9877" s="0" t="n">
        <v>0.0636</v>
      </c>
      <c r="H9877" s="0" t="n">
        <v>0</v>
      </c>
      <c r="I9877" s="7" t="n">
        <f aca="false">YEAR(B9877)</f>
        <v>2015</v>
      </c>
      <c r="J9877" s="0" t="str">
        <f aca="false">I9877&amp;"-Q"&amp;ROUNDUP(MONTH(B9877)/3,0)</f>
        <v>2015-Q4</v>
      </c>
    </row>
    <row r="9878" customFormat="false" ht="15" hidden="false" customHeight="false" outlineLevel="0" collapsed="false">
      <c r="A9878" s="0" t="s">
        <v>5036</v>
      </c>
      <c r="B9878" s="6" t="n">
        <v>42845</v>
      </c>
      <c r="C9878" s="7" t="s">
        <v>55</v>
      </c>
      <c r="D9878" s="7" t="s">
        <v>116</v>
      </c>
      <c r="E9878" s="7" t="s">
        <v>35</v>
      </c>
      <c r="F9878" s="0" t="n">
        <v>848.544</v>
      </c>
      <c r="G9878" s="0" t="n">
        <v>-21.2136</v>
      </c>
      <c r="H9878" s="0" t="n">
        <v>0.2</v>
      </c>
      <c r="I9878" s="7" t="n">
        <f aca="false">YEAR(B9878)</f>
        <v>2017</v>
      </c>
      <c r="J9878" s="0" t="str">
        <f aca="false">I9878&amp;"-Q"&amp;ROUNDUP(MONTH(B9878)/3,0)</f>
        <v>2017-Q2</v>
      </c>
    </row>
    <row r="9879" customFormat="false" ht="15" hidden="false" customHeight="false" outlineLevel="0" collapsed="false">
      <c r="A9879" s="0" t="s">
        <v>5036</v>
      </c>
      <c r="B9879" s="6" t="n">
        <v>42845</v>
      </c>
      <c r="C9879" s="7" t="s">
        <v>55</v>
      </c>
      <c r="D9879" s="7" t="s">
        <v>116</v>
      </c>
      <c r="E9879" s="7" t="s">
        <v>35</v>
      </c>
      <c r="F9879" s="0" t="n">
        <v>8.7</v>
      </c>
      <c r="G9879" s="0" t="n">
        <v>-6.38</v>
      </c>
      <c r="H9879" s="0" t="n">
        <v>0.7</v>
      </c>
      <c r="I9879" s="7" t="n">
        <f aca="false">YEAR(B9879)</f>
        <v>2017</v>
      </c>
      <c r="J9879" s="0" t="str">
        <f aca="false">I9879&amp;"-Q"&amp;ROUNDUP(MONTH(B9879)/3,0)</f>
        <v>2017-Q2</v>
      </c>
    </row>
    <row r="9880" customFormat="false" ht="15" hidden="false" customHeight="false" outlineLevel="0" collapsed="false">
      <c r="A9880" s="0" t="s">
        <v>5036</v>
      </c>
      <c r="B9880" s="6" t="n">
        <v>42845</v>
      </c>
      <c r="C9880" s="7" t="s">
        <v>55</v>
      </c>
      <c r="D9880" s="7" t="s">
        <v>116</v>
      </c>
      <c r="E9880" s="7" t="s">
        <v>39</v>
      </c>
      <c r="F9880" s="0" t="n">
        <v>122.382</v>
      </c>
      <c r="G9880" s="0" t="n">
        <v>-24.4764</v>
      </c>
      <c r="H9880" s="0" t="n">
        <v>0.4</v>
      </c>
      <c r="I9880" s="7" t="n">
        <f aca="false">YEAR(B9880)</f>
        <v>2017</v>
      </c>
      <c r="J9880" s="0" t="str">
        <f aca="false">I9880&amp;"-Q"&amp;ROUNDUP(MONTH(B9880)/3,0)</f>
        <v>2017-Q2</v>
      </c>
    </row>
    <row r="9881" customFormat="false" ht="15" hidden="false" customHeight="false" outlineLevel="0" collapsed="false">
      <c r="A9881" s="0" t="s">
        <v>5037</v>
      </c>
      <c r="B9881" s="6" t="n">
        <v>42603</v>
      </c>
      <c r="C9881" s="7" t="s">
        <v>55</v>
      </c>
      <c r="D9881" s="7" t="s">
        <v>76</v>
      </c>
      <c r="E9881" s="7" t="s">
        <v>31</v>
      </c>
      <c r="F9881" s="0" t="n">
        <v>573.174</v>
      </c>
      <c r="G9881" s="0" t="n">
        <v>63.686</v>
      </c>
      <c r="H9881" s="0" t="n">
        <v>0.1</v>
      </c>
      <c r="I9881" s="7" t="n">
        <f aca="false">YEAR(B9881)</f>
        <v>2016</v>
      </c>
      <c r="J9881" s="0" t="str">
        <f aca="false">I9881&amp;"-Q"&amp;ROUNDUP(MONTH(B9881)/3,0)</f>
        <v>2016-Q3</v>
      </c>
    </row>
    <row r="9882" customFormat="false" ht="15" hidden="false" customHeight="false" outlineLevel="0" collapsed="false">
      <c r="A9882" s="0" t="s">
        <v>5038</v>
      </c>
      <c r="B9882" s="6" t="n">
        <v>42153</v>
      </c>
      <c r="C9882" s="7" t="s">
        <v>55</v>
      </c>
      <c r="D9882" s="7" t="s">
        <v>116</v>
      </c>
      <c r="E9882" s="7" t="s">
        <v>35</v>
      </c>
      <c r="F9882" s="0" t="n">
        <v>85.056</v>
      </c>
      <c r="G9882" s="0" t="n">
        <v>28.7064</v>
      </c>
      <c r="H9882" s="0" t="n">
        <v>0.2</v>
      </c>
      <c r="I9882" s="7" t="n">
        <f aca="false">YEAR(B9882)</f>
        <v>2015</v>
      </c>
      <c r="J9882" s="0" t="str">
        <f aca="false">I9882&amp;"-Q"&amp;ROUNDUP(MONTH(B9882)/3,0)</f>
        <v>2015-Q2</v>
      </c>
    </row>
    <row r="9883" customFormat="false" ht="15" hidden="false" customHeight="false" outlineLevel="0" collapsed="false">
      <c r="A9883" s="0" t="s">
        <v>5039</v>
      </c>
      <c r="B9883" s="6" t="n">
        <v>41863</v>
      </c>
      <c r="C9883" s="7" t="s">
        <v>29</v>
      </c>
      <c r="D9883" s="7" t="s">
        <v>230</v>
      </c>
      <c r="E9883" s="7" t="s">
        <v>35</v>
      </c>
      <c r="F9883" s="0" t="n">
        <v>14.04</v>
      </c>
      <c r="G9883" s="0" t="n">
        <v>6.7392</v>
      </c>
      <c r="H9883" s="0" t="n">
        <v>0</v>
      </c>
      <c r="I9883" s="7" t="n">
        <f aca="false">YEAR(B9883)</f>
        <v>2014</v>
      </c>
      <c r="J9883" s="0" t="str">
        <f aca="false">I9883&amp;"-Q"&amp;ROUNDUP(MONTH(B9883)/3,0)</f>
        <v>2014-Q3</v>
      </c>
    </row>
    <row r="9884" customFormat="false" ht="15" hidden="false" customHeight="false" outlineLevel="0" collapsed="false">
      <c r="A9884" s="0" t="s">
        <v>5039</v>
      </c>
      <c r="B9884" s="6" t="n">
        <v>41863</v>
      </c>
      <c r="C9884" s="7" t="s">
        <v>29</v>
      </c>
      <c r="D9884" s="7" t="s">
        <v>230</v>
      </c>
      <c r="E9884" s="7" t="s">
        <v>39</v>
      </c>
      <c r="F9884" s="0" t="n">
        <v>272.61</v>
      </c>
      <c r="G9884" s="0" t="n">
        <v>98.1396</v>
      </c>
      <c r="H9884" s="0" t="n">
        <v>0</v>
      </c>
      <c r="I9884" s="7" t="n">
        <f aca="false">YEAR(B9884)</f>
        <v>2014</v>
      </c>
      <c r="J9884" s="0" t="str">
        <f aca="false">I9884&amp;"-Q"&amp;ROUNDUP(MONTH(B9884)/3,0)</f>
        <v>2014-Q3</v>
      </c>
    </row>
    <row r="9885" customFormat="false" ht="15" hidden="false" customHeight="false" outlineLevel="0" collapsed="false">
      <c r="A9885" s="0" t="s">
        <v>5040</v>
      </c>
      <c r="B9885" s="6" t="n">
        <v>41732</v>
      </c>
      <c r="C9885" s="7" t="s">
        <v>33</v>
      </c>
      <c r="D9885" s="7" t="s">
        <v>34</v>
      </c>
      <c r="E9885" s="7" t="s">
        <v>35</v>
      </c>
      <c r="F9885" s="0" t="n">
        <v>11.16</v>
      </c>
      <c r="G9885" s="0" t="n">
        <v>5.58</v>
      </c>
      <c r="H9885" s="0" t="n">
        <v>0</v>
      </c>
      <c r="I9885" s="7" t="n">
        <f aca="false">YEAR(B9885)</f>
        <v>2014</v>
      </c>
      <c r="J9885" s="0" t="str">
        <f aca="false">I9885&amp;"-Q"&amp;ROUNDUP(MONTH(B9885)/3,0)</f>
        <v>2014-Q2</v>
      </c>
    </row>
    <row r="9886" customFormat="false" ht="15" hidden="false" customHeight="false" outlineLevel="0" collapsed="false">
      <c r="A9886" s="0" t="s">
        <v>5040</v>
      </c>
      <c r="B9886" s="6" t="n">
        <v>41732</v>
      </c>
      <c r="C9886" s="7" t="s">
        <v>33</v>
      </c>
      <c r="D9886" s="7" t="s">
        <v>34</v>
      </c>
      <c r="E9886" s="7" t="s">
        <v>39</v>
      </c>
      <c r="F9886" s="0" t="n">
        <v>62.31</v>
      </c>
      <c r="G9886" s="0" t="n">
        <v>22.4316</v>
      </c>
      <c r="H9886" s="0" t="n">
        <v>0</v>
      </c>
      <c r="I9886" s="7" t="n">
        <f aca="false">YEAR(B9886)</f>
        <v>2014</v>
      </c>
      <c r="J9886" s="0" t="str">
        <f aca="false">I9886&amp;"-Q"&amp;ROUNDUP(MONTH(B9886)/3,0)</f>
        <v>2014-Q2</v>
      </c>
    </row>
    <row r="9887" customFormat="false" ht="15" hidden="false" customHeight="false" outlineLevel="0" collapsed="false">
      <c r="A9887" s="0" t="s">
        <v>5040</v>
      </c>
      <c r="B9887" s="6" t="n">
        <v>41732</v>
      </c>
      <c r="C9887" s="7" t="s">
        <v>33</v>
      </c>
      <c r="D9887" s="7" t="s">
        <v>34</v>
      </c>
      <c r="E9887" s="7" t="s">
        <v>39</v>
      </c>
      <c r="F9887" s="0" t="n">
        <v>159.98</v>
      </c>
      <c r="G9887" s="0" t="n">
        <v>57.5928</v>
      </c>
      <c r="H9887" s="0" t="n">
        <v>0</v>
      </c>
      <c r="I9887" s="7" t="n">
        <f aca="false">YEAR(B9887)</f>
        <v>2014</v>
      </c>
      <c r="J9887" s="0" t="str">
        <f aca="false">I9887&amp;"-Q"&amp;ROUNDUP(MONTH(B9887)/3,0)</f>
        <v>2014-Q2</v>
      </c>
    </row>
    <row r="9888" customFormat="false" ht="15" hidden="false" customHeight="false" outlineLevel="0" collapsed="false">
      <c r="A9888" s="0" t="s">
        <v>5041</v>
      </c>
      <c r="B9888" s="6" t="n">
        <v>41662</v>
      </c>
      <c r="C9888" s="7" t="s">
        <v>45</v>
      </c>
      <c r="D9888" s="7" t="s">
        <v>74</v>
      </c>
      <c r="E9888" s="7" t="s">
        <v>35</v>
      </c>
      <c r="F9888" s="0" t="n">
        <v>5.94</v>
      </c>
      <c r="G9888" s="0" t="n">
        <v>0</v>
      </c>
      <c r="H9888" s="0" t="n">
        <v>0</v>
      </c>
      <c r="I9888" s="7" t="n">
        <f aca="false">YEAR(B9888)</f>
        <v>2014</v>
      </c>
      <c r="J9888" s="0" t="str">
        <f aca="false">I9888&amp;"-Q"&amp;ROUNDUP(MONTH(B9888)/3,0)</f>
        <v>2014-Q1</v>
      </c>
    </row>
    <row r="9889" customFormat="false" ht="15" hidden="false" customHeight="false" outlineLevel="0" collapsed="false">
      <c r="A9889" s="0" t="s">
        <v>5042</v>
      </c>
      <c r="B9889" s="6" t="n">
        <v>43020</v>
      </c>
      <c r="C9889" s="7" t="s">
        <v>55</v>
      </c>
      <c r="D9889" s="7" t="s">
        <v>76</v>
      </c>
      <c r="E9889" s="7" t="s">
        <v>35</v>
      </c>
      <c r="F9889" s="0" t="n">
        <v>9.96</v>
      </c>
      <c r="G9889" s="0" t="n">
        <v>4.6812</v>
      </c>
      <c r="H9889" s="0" t="n">
        <v>0</v>
      </c>
      <c r="I9889" s="7" t="n">
        <f aca="false">YEAR(B9889)</f>
        <v>2017</v>
      </c>
      <c r="J9889" s="0" t="str">
        <f aca="false">I9889&amp;"-Q"&amp;ROUNDUP(MONTH(B9889)/3,0)</f>
        <v>2017-Q4</v>
      </c>
    </row>
    <row r="9890" customFormat="false" ht="15" hidden="false" customHeight="false" outlineLevel="0" collapsed="false">
      <c r="A9890" s="0" t="s">
        <v>5043</v>
      </c>
      <c r="B9890" s="6" t="n">
        <v>42224</v>
      </c>
      <c r="C9890" s="7" t="s">
        <v>55</v>
      </c>
      <c r="D9890" s="7" t="s">
        <v>76</v>
      </c>
      <c r="E9890" s="7" t="s">
        <v>39</v>
      </c>
      <c r="F9890" s="0" t="n">
        <v>79.99</v>
      </c>
      <c r="G9890" s="0" t="n">
        <v>28.7964</v>
      </c>
      <c r="H9890" s="0" t="n">
        <v>0</v>
      </c>
      <c r="I9890" s="7" t="n">
        <f aca="false">YEAR(B9890)</f>
        <v>2015</v>
      </c>
      <c r="J9890" s="0" t="str">
        <f aca="false">I9890&amp;"-Q"&amp;ROUNDUP(MONTH(B9890)/3,0)</f>
        <v>2015-Q3</v>
      </c>
    </row>
    <row r="9891" customFormat="false" ht="15" hidden="false" customHeight="false" outlineLevel="0" collapsed="false">
      <c r="A9891" s="0" t="s">
        <v>5044</v>
      </c>
      <c r="B9891" s="6" t="n">
        <v>42813</v>
      </c>
      <c r="C9891" s="7" t="s">
        <v>55</v>
      </c>
      <c r="D9891" s="7" t="s">
        <v>161</v>
      </c>
      <c r="E9891" s="7" t="s">
        <v>35</v>
      </c>
      <c r="F9891" s="0" t="n">
        <v>8.94</v>
      </c>
      <c r="G9891" s="0" t="n">
        <v>2.4138</v>
      </c>
      <c r="H9891" s="0" t="n">
        <v>0</v>
      </c>
      <c r="I9891" s="7" t="n">
        <f aca="false">YEAR(B9891)</f>
        <v>2017</v>
      </c>
      <c r="J9891" s="0" t="str">
        <f aca="false">I9891&amp;"-Q"&amp;ROUNDUP(MONTH(B9891)/3,0)</f>
        <v>2017-Q1</v>
      </c>
    </row>
    <row r="9892" customFormat="false" ht="15" hidden="false" customHeight="false" outlineLevel="0" collapsed="false">
      <c r="A9892" s="0" t="s">
        <v>5045</v>
      </c>
      <c r="B9892" s="6" t="n">
        <v>42576</v>
      </c>
      <c r="C9892" s="7" t="s">
        <v>45</v>
      </c>
      <c r="D9892" s="7" t="s">
        <v>48</v>
      </c>
      <c r="E9892" s="7" t="s">
        <v>35</v>
      </c>
      <c r="F9892" s="0" t="n">
        <v>20.62</v>
      </c>
      <c r="G9892" s="0" t="n">
        <v>9.6914</v>
      </c>
      <c r="H9892" s="0" t="n">
        <v>0</v>
      </c>
      <c r="I9892" s="7" t="n">
        <f aca="false">YEAR(B9892)</f>
        <v>2016</v>
      </c>
      <c r="J9892" s="0" t="str">
        <f aca="false">I9892&amp;"-Q"&amp;ROUNDUP(MONTH(B9892)/3,0)</f>
        <v>2016-Q3</v>
      </c>
    </row>
    <row r="9893" customFormat="false" ht="15" hidden="false" customHeight="false" outlineLevel="0" collapsed="false">
      <c r="A9893" s="0" t="s">
        <v>5045</v>
      </c>
      <c r="B9893" s="6" t="n">
        <v>42576</v>
      </c>
      <c r="C9893" s="7" t="s">
        <v>45</v>
      </c>
      <c r="D9893" s="7" t="s">
        <v>48</v>
      </c>
      <c r="E9893" s="7" t="s">
        <v>39</v>
      </c>
      <c r="F9893" s="0" t="n">
        <v>124.25</v>
      </c>
      <c r="G9893" s="0" t="n">
        <v>48.4575</v>
      </c>
      <c r="H9893" s="0" t="n">
        <v>0</v>
      </c>
      <c r="I9893" s="7" t="n">
        <f aca="false">YEAR(B9893)</f>
        <v>2016</v>
      </c>
      <c r="J9893" s="0" t="str">
        <f aca="false">I9893&amp;"-Q"&amp;ROUNDUP(MONTH(B9893)/3,0)</f>
        <v>2016-Q3</v>
      </c>
    </row>
    <row r="9894" customFormat="false" ht="15" hidden="false" customHeight="false" outlineLevel="0" collapsed="false">
      <c r="A9894" s="0" t="s">
        <v>5045</v>
      </c>
      <c r="B9894" s="6" t="n">
        <v>42576</v>
      </c>
      <c r="C9894" s="7" t="s">
        <v>45</v>
      </c>
      <c r="D9894" s="7" t="s">
        <v>48</v>
      </c>
      <c r="E9894" s="7" t="s">
        <v>39</v>
      </c>
      <c r="F9894" s="0" t="n">
        <v>297.55</v>
      </c>
      <c r="G9894" s="0" t="n">
        <v>83.314</v>
      </c>
      <c r="H9894" s="0" t="n">
        <v>0</v>
      </c>
      <c r="I9894" s="7" t="n">
        <f aca="false">YEAR(B9894)</f>
        <v>2016</v>
      </c>
      <c r="J9894" s="0" t="str">
        <f aca="false">I9894&amp;"-Q"&amp;ROUNDUP(MONTH(B9894)/3,0)</f>
        <v>2016-Q3</v>
      </c>
    </row>
    <row r="9895" customFormat="false" ht="15" hidden="false" customHeight="false" outlineLevel="0" collapsed="false">
      <c r="A9895" s="0" t="s">
        <v>5045</v>
      </c>
      <c r="B9895" s="6" t="n">
        <v>42576</v>
      </c>
      <c r="C9895" s="7" t="s">
        <v>45</v>
      </c>
      <c r="D9895" s="7" t="s">
        <v>48</v>
      </c>
      <c r="E9895" s="7" t="s">
        <v>31</v>
      </c>
      <c r="F9895" s="0" t="n">
        <v>403.56</v>
      </c>
      <c r="G9895" s="0" t="n">
        <v>96.8544</v>
      </c>
      <c r="H9895" s="0" t="n">
        <v>0</v>
      </c>
      <c r="I9895" s="7" t="n">
        <f aca="false">YEAR(B9895)</f>
        <v>2016</v>
      </c>
      <c r="J9895" s="0" t="str">
        <f aca="false">I9895&amp;"-Q"&amp;ROUNDUP(MONTH(B9895)/3,0)</f>
        <v>2016-Q3</v>
      </c>
    </row>
    <row r="9896" customFormat="false" ht="15" hidden="false" customHeight="false" outlineLevel="0" collapsed="false">
      <c r="A9896" s="0" t="s">
        <v>5045</v>
      </c>
      <c r="B9896" s="6" t="n">
        <v>42576</v>
      </c>
      <c r="C9896" s="7" t="s">
        <v>45</v>
      </c>
      <c r="D9896" s="7" t="s">
        <v>48</v>
      </c>
      <c r="E9896" s="7" t="s">
        <v>31</v>
      </c>
      <c r="F9896" s="0" t="n">
        <v>95.2</v>
      </c>
      <c r="G9896" s="0" t="n">
        <v>27.608</v>
      </c>
      <c r="H9896" s="0" t="n">
        <v>0</v>
      </c>
      <c r="I9896" s="7" t="n">
        <f aca="false">YEAR(B9896)</f>
        <v>2016</v>
      </c>
      <c r="J9896" s="0" t="str">
        <f aca="false">I9896&amp;"-Q"&amp;ROUNDUP(MONTH(B9896)/3,0)</f>
        <v>2016-Q3</v>
      </c>
    </row>
    <row r="9897" customFormat="false" ht="15" hidden="false" customHeight="false" outlineLevel="0" collapsed="false">
      <c r="A9897" s="0" t="s">
        <v>5046</v>
      </c>
      <c r="B9897" s="6" t="n">
        <v>41908</v>
      </c>
      <c r="C9897" s="7" t="s">
        <v>45</v>
      </c>
      <c r="D9897" s="7" t="s">
        <v>64</v>
      </c>
      <c r="E9897" s="7" t="s">
        <v>39</v>
      </c>
      <c r="F9897" s="0" t="n">
        <v>153.824</v>
      </c>
      <c r="G9897" s="0" t="n">
        <v>38.456</v>
      </c>
      <c r="H9897" s="0" t="n">
        <v>0.2</v>
      </c>
      <c r="I9897" s="7" t="n">
        <f aca="false">YEAR(B9897)</f>
        <v>2014</v>
      </c>
      <c r="J9897" s="0" t="str">
        <f aca="false">I9897&amp;"-Q"&amp;ROUNDUP(MONTH(B9897)/3,0)</f>
        <v>2014-Q3</v>
      </c>
    </row>
    <row r="9898" customFormat="false" ht="15" hidden="false" customHeight="false" outlineLevel="0" collapsed="false">
      <c r="A9898" s="0" t="s">
        <v>5047</v>
      </c>
      <c r="B9898" s="6" t="n">
        <v>41807</v>
      </c>
      <c r="C9898" s="7" t="s">
        <v>45</v>
      </c>
      <c r="D9898" s="7" t="s">
        <v>64</v>
      </c>
      <c r="E9898" s="7" t="s">
        <v>35</v>
      </c>
      <c r="F9898" s="0" t="n">
        <v>62.016</v>
      </c>
      <c r="G9898" s="0" t="n">
        <v>22.4808</v>
      </c>
      <c r="H9898" s="0" t="n">
        <v>0.2</v>
      </c>
      <c r="I9898" s="7" t="n">
        <f aca="false">YEAR(B9898)</f>
        <v>2014</v>
      </c>
      <c r="J9898" s="0" t="str">
        <f aca="false">I9898&amp;"-Q"&amp;ROUNDUP(MONTH(B9898)/3,0)</f>
        <v>2014-Q2</v>
      </c>
    </row>
    <row r="9899" customFormat="false" ht="15" hidden="false" customHeight="false" outlineLevel="0" collapsed="false">
      <c r="A9899" s="0" t="s">
        <v>5048</v>
      </c>
      <c r="B9899" s="6" t="n">
        <v>42527</v>
      </c>
      <c r="C9899" s="7" t="s">
        <v>55</v>
      </c>
      <c r="D9899" s="7" t="s">
        <v>116</v>
      </c>
      <c r="E9899" s="7" t="s">
        <v>31</v>
      </c>
      <c r="F9899" s="0" t="n">
        <v>466.32</v>
      </c>
      <c r="G9899" s="0" t="n">
        <v>34.974</v>
      </c>
      <c r="H9899" s="0" t="n">
        <v>0.2</v>
      </c>
      <c r="I9899" s="7" t="n">
        <f aca="false">YEAR(B9899)</f>
        <v>2016</v>
      </c>
      <c r="J9899" s="0" t="str">
        <f aca="false">I9899&amp;"-Q"&amp;ROUNDUP(MONTH(B9899)/3,0)</f>
        <v>2016-Q2</v>
      </c>
    </row>
    <row r="9900" customFormat="false" ht="15" hidden="false" customHeight="false" outlineLevel="0" collapsed="false">
      <c r="A9900" s="0" t="s">
        <v>5048</v>
      </c>
      <c r="B9900" s="6" t="n">
        <v>42527</v>
      </c>
      <c r="C9900" s="7" t="s">
        <v>55</v>
      </c>
      <c r="D9900" s="7" t="s">
        <v>116</v>
      </c>
      <c r="E9900" s="7" t="s">
        <v>31</v>
      </c>
      <c r="F9900" s="0" t="n">
        <v>82.64</v>
      </c>
      <c r="G9900" s="0" t="n">
        <v>0</v>
      </c>
      <c r="H9900" s="0" t="n">
        <v>0.2</v>
      </c>
      <c r="I9900" s="7" t="n">
        <f aca="false">YEAR(B9900)</f>
        <v>2016</v>
      </c>
      <c r="J9900" s="0" t="str">
        <f aca="false">I9900&amp;"-Q"&amp;ROUNDUP(MONTH(B9900)/3,0)</f>
        <v>2016-Q2</v>
      </c>
    </row>
    <row r="9901" customFormat="false" ht="15" hidden="false" customHeight="false" outlineLevel="0" collapsed="false">
      <c r="A9901" s="0" t="s">
        <v>5049</v>
      </c>
      <c r="B9901" s="6" t="n">
        <v>41726</v>
      </c>
      <c r="C9901" s="7" t="s">
        <v>55</v>
      </c>
      <c r="D9901" s="7" t="s">
        <v>116</v>
      </c>
      <c r="E9901" s="7" t="s">
        <v>31</v>
      </c>
      <c r="F9901" s="0" t="n">
        <v>330.588</v>
      </c>
      <c r="G9901" s="0" t="n">
        <v>-143.2548</v>
      </c>
      <c r="H9901" s="0" t="n">
        <v>0.4</v>
      </c>
      <c r="I9901" s="7" t="n">
        <f aca="false">YEAR(B9901)</f>
        <v>2014</v>
      </c>
      <c r="J9901" s="0" t="str">
        <f aca="false">I9901&amp;"-Q"&amp;ROUNDUP(MONTH(B9901)/3,0)</f>
        <v>2014-Q1</v>
      </c>
    </row>
    <row r="9902" customFormat="false" ht="15" hidden="false" customHeight="false" outlineLevel="0" collapsed="false">
      <c r="A9902" s="0" t="s">
        <v>5050</v>
      </c>
      <c r="B9902" s="6" t="n">
        <v>42968</v>
      </c>
      <c r="C9902" s="7" t="s">
        <v>33</v>
      </c>
      <c r="D9902" s="7" t="s">
        <v>109</v>
      </c>
      <c r="E9902" s="7" t="s">
        <v>35</v>
      </c>
      <c r="F9902" s="0" t="n">
        <v>237.096</v>
      </c>
      <c r="G9902" s="0" t="n">
        <v>20.7459</v>
      </c>
      <c r="H9902" s="0" t="n">
        <v>0.2</v>
      </c>
      <c r="I9902" s="7" t="n">
        <f aca="false">YEAR(B9902)</f>
        <v>2017</v>
      </c>
      <c r="J9902" s="0" t="str">
        <f aca="false">I9902&amp;"-Q"&amp;ROUNDUP(MONTH(B9902)/3,0)</f>
        <v>2017-Q3</v>
      </c>
    </row>
    <row r="9903" customFormat="false" ht="15" hidden="false" customHeight="false" outlineLevel="0" collapsed="false">
      <c r="A9903" s="0" t="s">
        <v>5050</v>
      </c>
      <c r="B9903" s="6" t="n">
        <v>42968</v>
      </c>
      <c r="C9903" s="7" t="s">
        <v>33</v>
      </c>
      <c r="D9903" s="7" t="s">
        <v>109</v>
      </c>
      <c r="E9903" s="7" t="s">
        <v>31</v>
      </c>
      <c r="F9903" s="0" t="n">
        <v>22.752</v>
      </c>
      <c r="G9903" s="0" t="n">
        <v>7.11</v>
      </c>
      <c r="H9903" s="0" t="n">
        <v>0.2</v>
      </c>
      <c r="I9903" s="7" t="n">
        <f aca="false">YEAR(B9903)</f>
        <v>2017</v>
      </c>
      <c r="J9903" s="0" t="str">
        <f aca="false">I9903&amp;"-Q"&amp;ROUNDUP(MONTH(B9903)/3,0)</f>
        <v>2017-Q3</v>
      </c>
    </row>
    <row r="9904" customFormat="false" ht="15" hidden="false" customHeight="false" outlineLevel="0" collapsed="false">
      <c r="A9904" s="0" t="s">
        <v>5050</v>
      </c>
      <c r="B9904" s="6" t="n">
        <v>42968</v>
      </c>
      <c r="C9904" s="7" t="s">
        <v>33</v>
      </c>
      <c r="D9904" s="7" t="s">
        <v>109</v>
      </c>
      <c r="E9904" s="7" t="s">
        <v>35</v>
      </c>
      <c r="F9904" s="0" t="n">
        <v>6.672</v>
      </c>
      <c r="G9904" s="0" t="n">
        <v>2.085</v>
      </c>
      <c r="H9904" s="0" t="n">
        <v>0.2</v>
      </c>
      <c r="I9904" s="7" t="n">
        <f aca="false">YEAR(B9904)</f>
        <v>2017</v>
      </c>
      <c r="J9904" s="0" t="str">
        <f aca="false">I9904&amp;"-Q"&amp;ROUNDUP(MONTH(B9904)/3,0)</f>
        <v>2017-Q3</v>
      </c>
    </row>
    <row r="9905" customFormat="false" ht="15" hidden="false" customHeight="false" outlineLevel="0" collapsed="false">
      <c r="A9905" s="0" t="s">
        <v>5051</v>
      </c>
      <c r="B9905" s="6" t="n">
        <v>41955</v>
      </c>
      <c r="C9905" s="7" t="s">
        <v>45</v>
      </c>
      <c r="D9905" s="7" t="s">
        <v>46</v>
      </c>
      <c r="E9905" s="7" t="s">
        <v>31</v>
      </c>
      <c r="F9905" s="0" t="n">
        <v>25.128</v>
      </c>
      <c r="G9905" s="0" t="n">
        <v>-6.9102</v>
      </c>
      <c r="H9905" s="0" t="n">
        <v>0.6</v>
      </c>
      <c r="I9905" s="7" t="n">
        <f aca="false">YEAR(B9905)</f>
        <v>2014</v>
      </c>
      <c r="J9905" s="0" t="str">
        <f aca="false">I9905&amp;"-Q"&amp;ROUNDUP(MONTH(B9905)/3,0)</f>
        <v>2014-Q4</v>
      </c>
    </row>
    <row r="9906" customFormat="false" ht="15" hidden="false" customHeight="false" outlineLevel="0" collapsed="false">
      <c r="A9906" s="0" t="s">
        <v>5051</v>
      </c>
      <c r="B9906" s="6" t="n">
        <v>41955</v>
      </c>
      <c r="C9906" s="7" t="s">
        <v>45</v>
      </c>
      <c r="D9906" s="7" t="s">
        <v>46</v>
      </c>
      <c r="E9906" s="7" t="s">
        <v>39</v>
      </c>
      <c r="F9906" s="0" t="n">
        <v>127.984</v>
      </c>
      <c r="G9906" s="0" t="n">
        <v>25.5968</v>
      </c>
      <c r="H9906" s="0" t="n">
        <v>0.2</v>
      </c>
      <c r="I9906" s="7" t="n">
        <f aca="false">YEAR(B9906)</f>
        <v>2014</v>
      </c>
      <c r="J9906" s="0" t="str">
        <f aca="false">I9906&amp;"-Q"&amp;ROUNDUP(MONTH(B9906)/3,0)</f>
        <v>2014-Q4</v>
      </c>
    </row>
    <row r="9907" customFormat="false" ht="15" hidden="false" customHeight="false" outlineLevel="0" collapsed="false">
      <c r="A9907" s="0" t="s">
        <v>5052</v>
      </c>
      <c r="B9907" s="6" t="n">
        <v>42260</v>
      </c>
      <c r="C9907" s="7" t="s">
        <v>33</v>
      </c>
      <c r="D9907" s="7" t="s">
        <v>34</v>
      </c>
      <c r="E9907" s="7" t="s">
        <v>31</v>
      </c>
      <c r="F9907" s="0" t="n">
        <v>131.88</v>
      </c>
      <c r="G9907" s="0" t="n">
        <v>55.3896</v>
      </c>
      <c r="H9907" s="0" t="n">
        <v>0</v>
      </c>
      <c r="I9907" s="7" t="n">
        <f aca="false">YEAR(B9907)</f>
        <v>2015</v>
      </c>
      <c r="J9907" s="0" t="str">
        <f aca="false">I9907&amp;"-Q"&amp;ROUNDUP(MONTH(B9907)/3,0)</f>
        <v>2015-Q3</v>
      </c>
    </row>
    <row r="9908" customFormat="false" ht="15" hidden="false" customHeight="false" outlineLevel="0" collapsed="false">
      <c r="A9908" s="0" t="s">
        <v>5052</v>
      </c>
      <c r="B9908" s="6" t="n">
        <v>42260</v>
      </c>
      <c r="C9908" s="7" t="s">
        <v>33</v>
      </c>
      <c r="D9908" s="7" t="s">
        <v>34</v>
      </c>
      <c r="E9908" s="7" t="s">
        <v>35</v>
      </c>
      <c r="F9908" s="0" t="n">
        <v>25.032</v>
      </c>
      <c r="G9908" s="0" t="n">
        <v>7.8225</v>
      </c>
      <c r="H9908" s="0" t="n">
        <v>0.2</v>
      </c>
      <c r="I9908" s="7" t="n">
        <f aca="false">YEAR(B9908)</f>
        <v>2015</v>
      </c>
      <c r="J9908" s="0" t="str">
        <f aca="false">I9908&amp;"-Q"&amp;ROUNDUP(MONTH(B9908)/3,0)</f>
        <v>2015-Q3</v>
      </c>
    </row>
    <row r="9909" customFormat="false" ht="15" hidden="false" customHeight="false" outlineLevel="0" collapsed="false">
      <c r="A9909" s="0" t="s">
        <v>5052</v>
      </c>
      <c r="B9909" s="6" t="n">
        <v>42260</v>
      </c>
      <c r="C9909" s="7" t="s">
        <v>33</v>
      </c>
      <c r="D9909" s="7" t="s">
        <v>34</v>
      </c>
      <c r="E9909" s="7" t="s">
        <v>31</v>
      </c>
      <c r="F9909" s="0" t="n">
        <v>717.72</v>
      </c>
      <c r="G9909" s="0" t="n">
        <v>71.772</v>
      </c>
      <c r="H9909" s="0" t="n">
        <v>0.2</v>
      </c>
      <c r="I9909" s="7" t="n">
        <f aca="false">YEAR(B9909)</f>
        <v>2015</v>
      </c>
      <c r="J9909" s="0" t="str">
        <f aca="false">I9909&amp;"-Q"&amp;ROUNDUP(MONTH(B9909)/3,0)</f>
        <v>2015-Q3</v>
      </c>
    </row>
    <row r="9910" customFormat="false" ht="15" hidden="false" customHeight="false" outlineLevel="0" collapsed="false">
      <c r="A9910" s="0" t="s">
        <v>5052</v>
      </c>
      <c r="B9910" s="6" t="n">
        <v>42260</v>
      </c>
      <c r="C9910" s="7" t="s">
        <v>33</v>
      </c>
      <c r="D9910" s="7" t="s">
        <v>34</v>
      </c>
      <c r="E9910" s="7" t="s">
        <v>31</v>
      </c>
      <c r="F9910" s="0" t="n">
        <v>207.35</v>
      </c>
      <c r="G9910" s="0" t="n">
        <v>24.882</v>
      </c>
      <c r="H9910" s="0" t="n">
        <v>0</v>
      </c>
      <c r="I9910" s="7" t="n">
        <f aca="false">YEAR(B9910)</f>
        <v>2015</v>
      </c>
      <c r="J9910" s="0" t="str">
        <f aca="false">I9910&amp;"-Q"&amp;ROUNDUP(MONTH(B9910)/3,0)</f>
        <v>2015-Q3</v>
      </c>
    </row>
    <row r="9911" customFormat="false" ht="15" hidden="false" customHeight="false" outlineLevel="0" collapsed="false">
      <c r="A9911" s="0" t="s">
        <v>5052</v>
      </c>
      <c r="B9911" s="6" t="n">
        <v>42260</v>
      </c>
      <c r="C9911" s="7" t="s">
        <v>33</v>
      </c>
      <c r="D9911" s="7" t="s">
        <v>34</v>
      </c>
      <c r="E9911" s="7" t="s">
        <v>31</v>
      </c>
      <c r="F9911" s="0" t="n">
        <v>44.67</v>
      </c>
      <c r="G9911" s="0" t="n">
        <v>12.0609</v>
      </c>
      <c r="H9911" s="0" t="n">
        <v>0</v>
      </c>
      <c r="I9911" s="7" t="n">
        <f aca="false">YEAR(B9911)</f>
        <v>2015</v>
      </c>
      <c r="J9911" s="0" t="str">
        <f aca="false">I9911&amp;"-Q"&amp;ROUNDUP(MONTH(B9911)/3,0)</f>
        <v>2015-Q3</v>
      </c>
    </row>
    <row r="9912" customFormat="false" ht="15" hidden="false" customHeight="false" outlineLevel="0" collapsed="false">
      <c r="A9912" s="0" t="s">
        <v>5052</v>
      </c>
      <c r="B9912" s="6" t="n">
        <v>42260</v>
      </c>
      <c r="C9912" s="7" t="s">
        <v>33</v>
      </c>
      <c r="D9912" s="7" t="s">
        <v>34</v>
      </c>
      <c r="E9912" s="7" t="s">
        <v>35</v>
      </c>
      <c r="F9912" s="0" t="n">
        <v>209.7</v>
      </c>
      <c r="G9912" s="0" t="n">
        <v>100.656</v>
      </c>
      <c r="H9912" s="0" t="n">
        <v>0</v>
      </c>
      <c r="I9912" s="7" t="n">
        <f aca="false">YEAR(B9912)</f>
        <v>2015</v>
      </c>
      <c r="J9912" s="0" t="str">
        <f aca="false">I9912&amp;"-Q"&amp;ROUNDUP(MONTH(B9912)/3,0)</f>
        <v>2015-Q3</v>
      </c>
    </row>
    <row r="9913" customFormat="false" ht="15" hidden="false" customHeight="false" outlineLevel="0" collapsed="false">
      <c r="A9913" s="0" t="s">
        <v>5053</v>
      </c>
      <c r="B9913" s="6" t="n">
        <v>41734</v>
      </c>
      <c r="C9913" s="7" t="s">
        <v>29</v>
      </c>
      <c r="D9913" s="7" t="s">
        <v>30</v>
      </c>
      <c r="E9913" s="7" t="s">
        <v>35</v>
      </c>
      <c r="F9913" s="0" t="n">
        <v>115.36</v>
      </c>
      <c r="G9913" s="0" t="n">
        <v>56.5264</v>
      </c>
      <c r="H9913" s="0" t="n">
        <v>0</v>
      </c>
      <c r="I9913" s="7" t="n">
        <f aca="false">YEAR(B9913)</f>
        <v>2014</v>
      </c>
      <c r="J9913" s="0" t="str">
        <f aca="false">I9913&amp;"-Q"&amp;ROUNDUP(MONTH(B9913)/3,0)</f>
        <v>2014-Q2</v>
      </c>
    </row>
    <row r="9914" customFormat="false" ht="15" hidden="false" customHeight="false" outlineLevel="0" collapsed="false">
      <c r="A9914" s="0" t="s">
        <v>5054</v>
      </c>
      <c r="B9914" s="6" t="n">
        <v>42287</v>
      </c>
      <c r="C9914" s="7" t="s">
        <v>33</v>
      </c>
      <c r="D9914" s="7" t="s">
        <v>34</v>
      </c>
      <c r="E9914" s="7" t="s">
        <v>31</v>
      </c>
      <c r="F9914" s="0" t="n">
        <v>362.136</v>
      </c>
      <c r="G9914" s="0" t="n">
        <v>-54.3204</v>
      </c>
      <c r="H9914" s="0" t="n">
        <v>0.2</v>
      </c>
      <c r="I9914" s="7" t="n">
        <f aca="false">YEAR(B9914)</f>
        <v>2015</v>
      </c>
      <c r="J9914" s="0" t="str">
        <f aca="false">I9914&amp;"-Q"&amp;ROUNDUP(MONTH(B9914)/3,0)</f>
        <v>2015-Q4</v>
      </c>
    </row>
    <row r="9915" customFormat="false" ht="15" hidden="false" customHeight="false" outlineLevel="0" collapsed="false">
      <c r="A9915" s="0" t="s">
        <v>5054</v>
      </c>
      <c r="B9915" s="6" t="n">
        <v>42287</v>
      </c>
      <c r="C9915" s="7" t="s">
        <v>33</v>
      </c>
      <c r="D9915" s="7" t="s">
        <v>34</v>
      </c>
      <c r="E9915" s="7" t="s">
        <v>35</v>
      </c>
      <c r="F9915" s="0" t="n">
        <v>31.05</v>
      </c>
      <c r="G9915" s="0" t="n">
        <v>14.904</v>
      </c>
      <c r="H9915" s="0" t="n">
        <v>0</v>
      </c>
      <c r="I9915" s="7" t="n">
        <f aca="false">YEAR(B9915)</f>
        <v>2015</v>
      </c>
      <c r="J9915" s="0" t="str">
        <f aca="false">I9915&amp;"-Q"&amp;ROUNDUP(MONTH(B9915)/3,0)</f>
        <v>2015-Q4</v>
      </c>
    </row>
    <row r="9916" customFormat="false" ht="15" hidden="false" customHeight="false" outlineLevel="0" collapsed="false">
      <c r="A9916" s="0" t="s">
        <v>5055</v>
      </c>
      <c r="B9916" s="6" t="n">
        <v>42764</v>
      </c>
      <c r="C9916" s="7" t="s">
        <v>45</v>
      </c>
      <c r="D9916" s="7" t="s">
        <v>114</v>
      </c>
      <c r="E9916" s="7" t="s">
        <v>35</v>
      </c>
      <c r="F9916" s="0" t="n">
        <v>12.96</v>
      </c>
      <c r="G9916" s="0" t="n">
        <v>6.2208</v>
      </c>
      <c r="H9916" s="0" t="n">
        <v>0</v>
      </c>
      <c r="I9916" s="7" t="n">
        <f aca="false">YEAR(B9916)</f>
        <v>2017</v>
      </c>
      <c r="J9916" s="0" t="str">
        <f aca="false">I9916&amp;"-Q"&amp;ROUNDUP(MONTH(B9916)/3,0)</f>
        <v>2017-Q1</v>
      </c>
    </row>
    <row r="9917" customFormat="false" ht="15" hidden="false" customHeight="false" outlineLevel="0" collapsed="false">
      <c r="A9917" s="0" t="s">
        <v>5055</v>
      </c>
      <c r="B9917" s="6" t="n">
        <v>42764</v>
      </c>
      <c r="C9917" s="7" t="s">
        <v>45</v>
      </c>
      <c r="D9917" s="7" t="s">
        <v>114</v>
      </c>
      <c r="E9917" s="7" t="s">
        <v>35</v>
      </c>
      <c r="F9917" s="0" t="n">
        <v>94.85</v>
      </c>
      <c r="G9917" s="0" t="n">
        <v>45.528</v>
      </c>
      <c r="H9917" s="0" t="n">
        <v>0</v>
      </c>
      <c r="I9917" s="7" t="n">
        <f aca="false">YEAR(B9917)</f>
        <v>2017</v>
      </c>
      <c r="J9917" s="0" t="str">
        <f aca="false">I9917&amp;"-Q"&amp;ROUNDUP(MONTH(B9917)/3,0)</f>
        <v>2017-Q1</v>
      </c>
    </row>
    <row r="9918" customFormat="false" ht="15" hidden="false" customHeight="false" outlineLevel="0" collapsed="false">
      <c r="A9918" s="0" t="s">
        <v>5055</v>
      </c>
      <c r="B9918" s="6" t="n">
        <v>42764</v>
      </c>
      <c r="C9918" s="7" t="s">
        <v>45</v>
      </c>
      <c r="D9918" s="7" t="s">
        <v>114</v>
      </c>
      <c r="E9918" s="7" t="s">
        <v>35</v>
      </c>
      <c r="F9918" s="0" t="n">
        <v>13.48</v>
      </c>
      <c r="G9918" s="0" t="n">
        <v>3.5048</v>
      </c>
      <c r="H9918" s="0" t="n">
        <v>0</v>
      </c>
      <c r="I9918" s="7" t="n">
        <f aca="false">YEAR(B9918)</f>
        <v>2017</v>
      </c>
      <c r="J9918" s="0" t="str">
        <f aca="false">I9918&amp;"-Q"&amp;ROUNDUP(MONTH(B9918)/3,0)</f>
        <v>2017-Q1</v>
      </c>
    </row>
    <row r="9919" customFormat="false" ht="15" hidden="false" customHeight="false" outlineLevel="0" collapsed="false">
      <c r="A9919" s="0" t="s">
        <v>5055</v>
      </c>
      <c r="B9919" s="6" t="n">
        <v>42764</v>
      </c>
      <c r="C9919" s="7" t="s">
        <v>45</v>
      </c>
      <c r="D9919" s="7" t="s">
        <v>114</v>
      </c>
      <c r="E9919" s="7" t="s">
        <v>31</v>
      </c>
      <c r="F9919" s="0" t="n">
        <v>14.91</v>
      </c>
      <c r="G9919" s="0" t="n">
        <v>4.6221</v>
      </c>
      <c r="H9919" s="0" t="n">
        <v>0</v>
      </c>
      <c r="I9919" s="7" t="n">
        <f aca="false">YEAR(B9919)</f>
        <v>2017</v>
      </c>
      <c r="J9919" s="0" t="str">
        <f aca="false">I9919&amp;"-Q"&amp;ROUNDUP(MONTH(B9919)/3,0)</f>
        <v>2017-Q1</v>
      </c>
    </row>
    <row r="9920" customFormat="false" ht="15" hidden="false" customHeight="false" outlineLevel="0" collapsed="false">
      <c r="A9920" s="0" t="s">
        <v>5056</v>
      </c>
      <c r="B9920" s="6" t="n">
        <v>42271</v>
      </c>
      <c r="C9920" s="7" t="s">
        <v>55</v>
      </c>
      <c r="D9920" s="7" t="s">
        <v>76</v>
      </c>
      <c r="E9920" s="7" t="s">
        <v>35</v>
      </c>
      <c r="F9920" s="0" t="n">
        <v>39.98</v>
      </c>
      <c r="G9920" s="0" t="n">
        <v>17.991</v>
      </c>
      <c r="H9920" s="0" t="n">
        <v>0</v>
      </c>
      <c r="I9920" s="7" t="n">
        <f aca="false">YEAR(B9920)</f>
        <v>2015</v>
      </c>
      <c r="J9920" s="0" t="str">
        <f aca="false">I9920&amp;"-Q"&amp;ROUNDUP(MONTH(B9920)/3,0)</f>
        <v>2015-Q3</v>
      </c>
    </row>
    <row r="9921" customFormat="false" ht="15" hidden="false" customHeight="false" outlineLevel="0" collapsed="false">
      <c r="A9921" s="0" t="s">
        <v>5057</v>
      </c>
      <c r="B9921" s="6" t="n">
        <v>42444</v>
      </c>
      <c r="C9921" s="7" t="s">
        <v>45</v>
      </c>
      <c r="D9921" s="7" t="s">
        <v>46</v>
      </c>
      <c r="E9921" s="7" t="s">
        <v>31</v>
      </c>
      <c r="F9921" s="0" t="n">
        <v>528.43</v>
      </c>
      <c r="G9921" s="0" t="n">
        <v>-143.431</v>
      </c>
      <c r="H9921" s="0" t="n">
        <v>0.3</v>
      </c>
      <c r="I9921" s="7" t="n">
        <f aca="false">YEAR(B9921)</f>
        <v>2016</v>
      </c>
      <c r="J9921" s="0" t="str">
        <f aca="false">I9921&amp;"-Q"&amp;ROUNDUP(MONTH(B9921)/3,0)</f>
        <v>2016-Q1</v>
      </c>
    </row>
    <row r="9922" customFormat="false" ht="15" hidden="false" customHeight="false" outlineLevel="0" collapsed="false">
      <c r="A9922" s="0" t="s">
        <v>5057</v>
      </c>
      <c r="B9922" s="6" t="n">
        <v>42444</v>
      </c>
      <c r="C9922" s="7" t="s">
        <v>45</v>
      </c>
      <c r="D9922" s="7" t="s">
        <v>46</v>
      </c>
      <c r="E9922" s="7" t="s">
        <v>35</v>
      </c>
      <c r="F9922" s="0" t="n">
        <v>22.386</v>
      </c>
      <c r="G9922" s="0" t="n">
        <v>-35.8176</v>
      </c>
      <c r="H9922" s="0" t="n">
        <v>0.8</v>
      </c>
      <c r="I9922" s="7" t="n">
        <f aca="false">YEAR(B9922)</f>
        <v>2016</v>
      </c>
      <c r="J9922" s="0" t="str">
        <f aca="false">I9922&amp;"-Q"&amp;ROUNDUP(MONTH(B9922)/3,0)</f>
        <v>2016-Q1</v>
      </c>
    </row>
    <row r="9923" customFormat="false" ht="15" hidden="false" customHeight="false" outlineLevel="0" collapsed="false">
      <c r="A9923" s="0" t="s">
        <v>5058</v>
      </c>
      <c r="B9923" s="6" t="n">
        <v>41967</v>
      </c>
      <c r="C9923" s="7" t="s">
        <v>55</v>
      </c>
      <c r="D9923" s="7" t="s">
        <v>116</v>
      </c>
      <c r="E9923" s="7" t="s">
        <v>35</v>
      </c>
      <c r="F9923" s="0" t="n">
        <v>5.742</v>
      </c>
      <c r="G9923" s="0" t="n">
        <v>-4.5936</v>
      </c>
      <c r="H9923" s="0" t="n">
        <v>0.7</v>
      </c>
      <c r="I9923" s="7" t="n">
        <f aca="false">YEAR(B9923)</f>
        <v>2014</v>
      </c>
      <c r="J9923" s="0" t="str">
        <f aca="false">I9923&amp;"-Q"&amp;ROUNDUP(MONTH(B9923)/3,0)</f>
        <v>2014-Q4</v>
      </c>
    </row>
    <row r="9924" customFormat="false" ht="15" hidden="false" customHeight="false" outlineLevel="0" collapsed="false">
      <c r="A9924" s="0" t="s">
        <v>5059</v>
      </c>
      <c r="B9924" s="6" t="n">
        <v>42861</v>
      </c>
      <c r="C9924" s="7" t="s">
        <v>45</v>
      </c>
      <c r="D9924" s="7" t="s">
        <v>64</v>
      </c>
      <c r="E9924" s="7" t="s">
        <v>39</v>
      </c>
      <c r="F9924" s="0" t="n">
        <v>191.968</v>
      </c>
      <c r="G9924" s="0" t="n">
        <v>28.7952</v>
      </c>
      <c r="H9924" s="0" t="n">
        <v>0.2</v>
      </c>
      <c r="I9924" s="7" t="n">
        <f aca="false">YEAR(B9924)</f>
        <v>2017</v>
      </c>
      <c r="J9924" s="0" t="str">
        <f aca="false">I9924&amp;"-Q"&amp;ROUNDUP(MONTH(B9924)/3,0)</f>
        <v>2017-Q2</v>
      </c>
    </row>
    <row r="9925" customFormat="false" ht="15" hidden="false" customHeight="false" outlineLevel="0" collapsed="false">
      <c r="A9925" s="0" t="s">
        <v>5060</v>
      </c>
      <c r="B9925" s="6" t="n">
        <v>42083</v>
      </c>
      <c r="C9925" s="7" t="s">
        <v>55</v>
      </c>
      <c r="D9925" s="7" t="s">
        <v>76</v>
      </c>
      <c r="E9925" s="7" t="s">
        <v>35</v>
      </c>
      <c r="F9925" s="0" t="n">
        <v>49.848</v>
      </c>
      <c r="G9925" s="0" t="n">
        <v>16.8237</v>
      </c>
      <c r="H9925" s="0" t="n">
        <v>0.2</v>
      </c>
      <c r="I9925" s="7" t="n">
        <f aca="false">YEAR(B9925)</f>
        <v>2015</v>
      </c>
      <c r="J9925" s="0" t="str">
        <f aca="false">I9925&amp;"-Q"&amp;ROUNDUP(MONTH(B9925)/3,0)</f>
        <v>2015-Q1</v>
      </c>
    </row>
    <row r="9926" customFormat="false" ht="15" hidden="false" customHeight="false" outlineLevel="0" collapsed="false">
      <c r="A9926" s="0" t="s">
        <v>5060</v>
      </c>
      <c r="B9926" s="6" t="n">
        <v>42083</v>
      </c>
      <c r="C9926" s="7" t="s">
        <v>55</v>
      </c>
      <c r="D9926" s="7" t="s">
        <v>76</v>
      </c>
      <c r="E9926" s="7" t="s">
        <v>35</v>
      </c>
      <c r="F9926" s="0" t="n">
        <v>23.99</v>
      </c>
      <c r="G9926" s="0" t="n">
        <v>11.995</v>
      </c>
      <c r="H9926" s="0" t="n">
        <v>0</v>
      </c>
      <c r="I9926" s="7" t="n">
        <f aca="false">YEAR(B9926)</f>
        <v>2015</v>
      </c>
      <c r="J9926" s="0" t="str">
        <f aca="false">I9926&amp;"-Q"&amp;ROUNDUP(MONTH(B9926)/3,0)</f>
        <v>2015-Q1</v>
      </c>
    </row>
    <row r="9927" customFormat="false" ht="15" hidden="false" customHeight="false" outlineLevel="0" collapsed="false">
      <c r="A9927" s="0" t="s">
        <v>5060</v>
      </c>
      <c r="B9927" s="6" t="n">
        <v>42083</v>
      </c>
      <c r="C9927" s="7" t="s">
        <v>55</v>
      </c>
      <c r="D9927" s="7" t="s">
        <v>76</v>
      </c>
      <c r="E9927" s="7" t="s">
        <v>35</v>
      </c>
      <c r="F9927" s="0" t="n">
        <v>1087.936</v>
      </c>
      <c r="G9927" s="0" t="n">
        <v>353.5792</v>
      </c>
      <c r="H9927" s="0" t="n">
        <v>0.2</v>
      </c>
      <c r="I9927" s="7" t="n">
        <f aca="false">YEAR(B9927)</f>
        <v>2015</v>
      </c>
      <c r="J9927" s="0" t="str">
        <f aca="false">I9927&amp;"-Q"&amp;ROUNDUP(MONTH(B9927)/3,0)</f>
        <v>2015-Q1</v>
      </c>
    </row>
    <row r="9928" customFormat="false" ht="15" hidden="false" customHeight="false" outlineLevel="0" collapsed="false">
      <c r="A9928" s="0" t="s">
        <v>5060</v>
      </c>
      <c r="B9928" s="6" t="n">
        <v>42083</v>
      </c>
      <c r="C9928" s="7" t="s">
        <v>55</v>
      </c>
      <c r="D9928" s="7" t="s">
        <v>76</v>
      </c>
      <c r="E9928" s="7" t="s">
        <v>39</v>
      </c>
      <c r="F9928" s="0" t="n">
        <v>199.98</v>
      </c>
      <c r="G9928" s="0" t="n">
        <v>53.9946</v>
      </c>
      <c r="H9928" s="0" t="n">
        <v>0</v>
      </c>
      <c r="I9928" s="7" t="n">
        <f aca="false">YEAR(B9928)</f>
        <v>2015</v>
      </c>
      <c r="J9928" s="0" t="str">
        <f aca="false">I9928&amp;"-Q"&amp;ROUNDUP(MONTH(B9928)/3,0)</f>
        <v>2015-Q1</v>
      </c>
    </row>
    <row r="9929" customFormat="false" ht="15" hidden="false" customHeight="false" outlineLevel="0" collapsed="false">
      <c r="A9929" s="0" t="s">
        <v>5060</v>
      </c>
      <c r="B9929" s="6" t="n">
        <v>42083</v>
      </c>
      <c r="C9929" s="7" t="s">
        <v>55</v>
      </c>
      <c r="D9929" s="7" t="s">
        <v>76</v>
      </c>
      <c r="E9929" s="7" t="s">
        <v>35</v>
      </c>
      <c r="F9929" s="0" t="n">
        <v>83.92</v>
      </c>
      <c r="G9929" s="0" t="n">
        <v>20.1408</v>
      </c>
      <c r="H9929" s="0" t="n">
        <v>0</v>
      </c>
      <c r="I9929" s="7" t="n">
        <f aca="false">YEAR(B9929)</f>
        <v>2015</v>
      </c>
      <c r="J9929" s="0" t="str">
        <f aca="false">I9929&amp;"-Q"&amp;ROUNDUP(MONTH(B9929)/3,0)</f>
        <v>2015-Q1</v>
      </c>
    </row>
    <row r="9930" customFormat="false" ht="15" hidden="false" customHeight="false" outlineLevel="0" collapsed="false">
      <c r="A9930" s="0" t="s">
        <v>5061</v>
      </c>
      <c r="B9930" s="6" t="n">
        <v>42617</v>
      </c>
      <c r="C9930" s="7" t="s">
        <v>33</v>
      </c>
      <c r="D9930" s="7" t="s">
        <v>34</v>
      </c>
      <c r="E9930" s="7" t="s">
        <v>31</v>
      </c>
      <c r="F9930" s="0" t="n">
        <v>24.27</v>
      </c>
      <c r="G9930" s="0" t="n">
        <v>8.7372</v>
      </c>
      <c r="H9930" s="0" t="n">
        <v>0</v>
      </c>
      <c r="I9930" s="7" t="n">
        <f aca="false">YEAR(B9930)</f>
        <v>2016</v>
      </c>
      <c r="J9930" s="0" t="str">
        <f aca="false">I9930&amp;"-Q"&amp;ROUNDUP(MONTH(B9930)/3,0)</f>
        <v>2016-Q3</v>
      </c>
    </row>
    <row r="9931" customFormat="false" ht="15" hidden="false" customHeight="false" outlineLevel="0" collapsed="false">
      <c r="A9931" s="0" t="s">
        <v>5061</v>
      </c>
      <c r="B9931" s="6" t="n">
        <v>42617</v>
      </c>
      <c r="C9931" s="7" t="s">
        <v>33</v>
      </c>
      <c r="D9931" s="7" t="s">
        <v>34</v>
      </c>
      <c r="E9931" s="7" t="s">
        <v>39</v>
      </c>
      <c r="F9931" s="0" t="n">
        <v>2799.96</v>
      </c>
      <c r="G9931" s="0" t="n">
        <v>944.9865</v>
      </c>
      <c r="H9931" s="0" t="n">
        <v>0.2</v>
      </c>
      <c r="I9931" s="7" t="n">
        <f aca="false">YEAR(B9931)</f>
        <v>2016</v>
      </c>
      <c r="J9931" s="0" t="str">
        <f aca="false">I9931&amp;"-Q"&amp;ROUNDUP(MONTH(B9931)/3,0)</f>
        <v>2016-Q3</v>
      </c>
    </row>
    <row r="9932" customFormat="false" ht="15" hidden="false" customHeight="false" outlineLevel="0" collapsed="false">
      <c r="A9932" s="0" t="s">
        <v>5062</v>
      </c>
      <c r="B9932" s="6" t="n">
        <v>42321</v>
      </c>
      <c r="C9932" s="7" t="s">
        <v>33</v>
      </c>
      <c r="D9932" s="7" t="s">
        <v>34</v>
      </c>
      <c r="E9932" s="7" t="s">
        <v>35</v>
      </c>
      <c r="F9932" s="0" t="n">
        <v>9.872</v>
      </c>
      <c r="G9932" s="0" t="n">
        <v>3.4552</v>
      </c>
      <c r="H9932" s="0" t="n">
        <v>0.2</v>
      </c>
      <c r="I9932" s="7" t="n">
        <f aca="false">YEAR(B9932)</f>
        <v>2015</v>
      </c>
      <c r="J9932" s="0" t="str">
        <f aca="false">I9932&amp;"-Q"&amp;ROUNDUP(MONTH(B9932)/3,0)</f>
        <v>2015-Q4</v>
      </c>
    </row>
    <row r="9933" customFormat="false" ht="15" hidden="false" customHeight="false" outlineLevel="0" collapsed="false">
      <c r="A9933" s="0" t="s">
        <v>5062</v>
      </c>
      <c r="B9933" s="6" t="n">
        <v>42321</v>
      </c>
      <c r="C9933" s="7" t="s">
        <v>33</v>
      </c>
      <c r="D9933" s="7" t="s">
        <v>34</v>
      </c>
      <c r="E9933" s="7" t="s">
        <v>31</v>
      </c>
      <c r="F9933" s="0" t="n">
        <v>683.332</v>
      </c>
      <c r="G9933" s="0" t="n">
        <v>-40.196</v>
      </c>
      <c r="H9933" s="0" t="n">
        <v>0.15</v>
      </c>
      <c r="I9933" s="7" t="n">
        <f aca="false">YEAR(B9933)</f>
        <v>2015</v>
      </c>
      <c r="J9933" s="0" t="str">
        <f aca="false">I9933&amp;"-Q"&amp;ROUNDUP(MONTH(B9933)/3,0)</f>
        <v>2015-Q4</v>
      </c>
    </row>
    <row r="9934" customFormat="false" ht="15" hidden="false" customHeight="false" outlineLevel="0" collapsed="false">
      <c r="A9934" s="0" t="s">
        <v>5062</v>
      </c>
      <c r="B9934" s="6" t="n">
        <v>42321</v>
      </c>
      <c r="C9934" s="7" t="s">
        <v>33</v>
      </c>
      <c r="D9934" s="7" t="s">
        <v>34</v>
      </c>
      <c r="E9934" s="7" t="s">
        <v>35</v>
      </c>
      <c r="F9934" s="0" t="n">
        <v>29.96</v>
      </c>
      <c r="G9934" s="0" t="n">
        <v>13.482</v>
      </c>
      <c r="H9934" s="0" t="n">
        <v>0</v>
      </c>
      <c r="I9934" s="7" t="n">
        <f aca="false">YEAR(B9934)</f>
        <v>2015</v>
      </c>
      <c r="J9934" s="0" t="str">
        <f aca="false">I9934&amp;"-Q"&amp;ROUNDUP(MONTH(B9934)/3,0)</f>
        <v>2015-Q4</v>
      </c>
    </row>
    <row r="9935" customFormat="false" ht="15" hidden="false" customHeight="false" outlineLevel="0" collapsed="false">
      <c r="A9935" s="0" t="s">
        <v>5063</v>
      </c>
      <c r="B9935" s="6" t="n">
        <v>41831</v>
      </c>
      <c r="C9935" s="7" t="s">
        <v>55</v>
      </c>
      <c r="D9935" s="7" t="s">
        <v>76</v>
      </c>
      <c r="E9935" s="7" t="s">
        <v>39</v>
      </c>
      <c r="F9935" s="0" t="n">
        <v>164.85</v>
      </c>
      <c r="G9935" s="0" t="n">
        <v>47.8065</v>
      </c>
      <c r="H9935" s="0" t="n">
        <v>0</v>
      </c>
      <c r="I9935" s="7" t="n">
        <f aca="false">YEAR(B9935)</f>
        <v>2014</v>
      </c>
      <c r="J9935" s="0" t="str">
        <f aca="false">I9935&amp;"-Q"&amp;ROUNDUP(MONTH(B9935)/3,0)</f>
        <v>2014-Q3</v>
      </c>
    </row>
    <row r="9936" customFormat="false" ht="15" hidden="false" customHeight="false" outlineLevel="0" collapsed="false">
      <c r="A9936" s="0" t="s">
        <v>5064</v>
      </c>
      <c r="B9936" s="6" t="n">
        <v>42467</v>
      </c>
      <c r="C9936" s="7" t="s">
        <v>55</v>
      </c>
      <c r="D9936" s="7" t="s">
        <v>56</v>
      </c>
      <c r="E9936" s="7" t="s">
        <v>35</v>
      </c>
      <c r="F9936" s="0" t="n">
        <v>33.528</v>
      </c>
      <c r="G9936" s="0" t="n">
        <v>2.5146</v>
      </c>
      <c r="H9936" s="0" t="n">
        <v>0.2</v>
      </c>
      <c r="I9936" s="7" t="n">
        <f aca="false">YEAR(B9936)</f>
        <v>2016</v>
      </c>
      <c r="J9936" s="0" t="str">
        <f aca="false">I9936&amp;"-Q"&amp;ROUNDUP(MONTH(B9936)/3,0)</f>
        <v>2016-Q2</v>
      </c>
    </row>
    <row r="9937" customFormat="false" ht="15" hidden="false" customHeight="false" outlineLevel="0" collapsed="false">
      <c r="A9937" s="0" t="s">
        <v>5064</v>
      </c>
      <c r="B9937" s="6" t="n">
        <v>42467</v>
      </c>
      <c r="C9937" s="7" t="s">
        <v>55</v>
      </c>
      <c r="D9937" s="7" t="s">
        <v>56</v>
      </c>
      <c r="E9937" s="7" t="s">
        <v>35</v>
      </c>
      <c r="F9937" s="0" t="n">
        <v>36.744</v>
      </c>
      <c r="G9937" s="0" t="n">
        <v>3.6744</v>
      </c>
      <c r="H9937" s="0" t="n">
        <v>0.2</v>
      </c>
      <c r="I9937" s="7" t="n">
        <f aca="false">YEAR(B9937)</f>
        <v>2016</v>
      </c>
      <c r="J9937" s="0" t="str">
        <f aca="false">I9937&amp;"-Q"&amp;ROUNDUP(MONTH(B9937)/3,0)</f>
        <v>2016-Q2</v>
      </c>
    </row>
    <row r="9938" customFormat="false" ht="15" hidden="false" customHeight="false" outlineLevel="0" collapsed="false">
      <c r="A9938" s="0" t="s">
        <v>5065</v>
      </c>
      <c r="B9938" s="6" t="n">
        <v>42910</v>
      </c>
      <c r="C9938" s="7" t="s">
        <v>55</v>
      </c>
      <c r="D9938" s="7" t="s">
        <v>250</v>
      </c>
      <c r="E9938" s="7" t="s">
        <v>35</v>
      </c>
      <c r="F9938" s="0" t="n">
        <v>102.93</v>
      </c>
      <c r="G9938" s="0" t="n">
        <v>48.3771</v>
      </c>
      <c r="H9938" s="0" t="n">
        <v>0</v>
      </c>
      <c r="I9938" s="7" t="n">
        <f aca="false">YEAR(B9938)</f>
        <v>2017</v>
      </c>
      <c r="J9938" s="0" t="str">
        <f aca="false">I9938&amp;"-Q"&amp;ROUNDUP(MONTH(B9938)/3,0)</f>
        <v>2017-Q2</v>
      </c>
    </row>
    <row r="9939" customFormat="false" ht="15" hidden="false" customHeight="false" outlineLevel="0" collapsed="false">
      <c r="A9939" s="0" t="s">
        <v>5066</v>
      </c>
      <c r="B9939" s="6" t="n">
        <v>42524</v>
      </c>
      <c r="C9939" s="7" t="s">
        <v>33</v>
      </c>
      <c r="D9939" s="7" t="s">
        <v>34</v>
      </c>
      <c r="E9939" s="7" t="s">
        <v>31</v>
      </c>
      <c r="F9939" s="0" t="n">
        <v>71.088</v>
      </c>
      <c r="G9939" s="0" t="n">
        <v>-1.7772</v>
      </c>
      <c r="H9939" s="0" t="n">
        <v>0.2</v>
      </c>
      <c r="I9939" s="7" t="n">
        <f aca="false">YEAR(B9939)</f>
        <v>2016</v>
      </c>
      <c r="J9939" s="0" t="str">
        <f aca="false">I9939&amp;"-Q"&amp;ROUNDUP(MONTH(B9939)/3,0)</f>
        <v>2016-Q2</v>
      </c>
    </row>
    <row r="9940" customFormat="false" ht="15" hidden="false" customHeight="false" outlineLevel="0" collapsed="false">
      <c r="A9940" s="0" t="s">
        <v>5067</v>
      </c>
      <c r="B9940" s="6" t="n">
        <v>42716</v>
      </c>
      <c r="C9940" s="7" t="s">
        <v>55</v>
      </c>
      <c r="D9940" s="7" t="s">
        <v>76</v>
      </c>
      <c r="E9940" s="7" t="s">
        <v>31</v>
      </c>
      <c r="F9940" s="0" t="n">
        <v>60.35</v>
      </c>
      <c r="G9940" s="0" t="n">
        <v>19.9155</v>
      </c>
      <c r="H9940" s="0" t="n">
        <v>0</v>
      </c>
      <c r="I9940" s="7" t="n">
        <f aca="false">YEAR(B9940)</f>
        <v>2016</v>
      </c>
      <c r="J9940" s="0" t="str">
        <f aca="false">I9940&amp;"-Q"&amp;ROUNDUP(MONTH(B9940)/3,0)</f>
        <v>2016-Q4</v>
      </c>
    </row>
    <row r="9941" customFormat="false" ht="15" hidden="false" customHeight="false" outlineLevel="0" collapsed="false">
      <c r="A9941" s="0" t="s">
        <v>5067</v>
      </c>
      <c r="B9941" s="6" t="n">
        <v>42716</v>
      </c>
      <c r="C9941" s="7" t="s">
        <v>55</v>
      </c>
      <c r="D9941" s="7" t="s">
        <v>76</v>
      </c>
      <c r="E9941" s="7" t="s">
        <v>35</v>
      </c>
      <c r="F9941" s="0" t="n">
        <v>35.52</v>
      </c>
      <c r="G9941" s="0" t="n">
        <v>9.9456</v>
      </c>
      <c r="H9941" s="0" t="n">
        <v>0</v>
      </c>
      <c r="I9941" s="7" t="n">
        <f aca="false">YEAR(B9941)</f>
        <v>2016</v>
      </c>
      <c r="J9941" s="0" t="str">
        <f aca="false">I9941&amp;"-Q"&amp;ROUNDUP(MONTH(B9941)/3,0)</f>
        <v>2016-Q4</v>
      </c>
    </row>
    <row r="9942" customFormat="false" ht="15" hidden="false" customHeight="false" outlineLevel="0" collapsed="false">
      <c r="A9942" s="0" t="s">
        <v>5067</v>
      </c>
      <c r="B9942" s="6" t="n">
        <v>42716</v>
      </c>
      <c r="C9942" s="7" t="s">
        <v>55</v>
      </c>
      <c r="D9942" s="7" t="s">
        <v>76</v>
      </c>
      <c r="E9942" s="7" t="s">
        <v>35</v>
      </c>
      <c r="F9942" s="0" t="n">
        <v>11.2</v>
      </c>
      <c r="G9942" s="0" t="n">
        <v>4.816</v>
      </c>
      <c r="H9942" s="0" t="n">
        <v>0</v>
      </c>
      <c r="I9942" s="7" t="n">
        <f aca="false">YEAR(B9942)</f>
        <v>2016</v>
      </c>
      <c r="J9942" s="0" t="str">
        <f aca="false">I9942&amp;"-Q"&amp;ROUNDUP(MONTH(B9942)/3,0)</f>
        <v>2016-Q4</v>
      </c>
    </row>
    <row r="9943" customFormat="false" ht="15" hidden="false" customHeight="false" outlineLevel="0" collapsed="false">
      <c r="A9943" s="0" t="s">
        <v>5068</v>
      </c>
      <c r="B9943" s="6" t="n">
        <v>43063</v>
      </c>
      <c r="C9943" s="7" t="s">
        <v>33</v>
      </c>
      <c r="D9943" s="7" t="s">
        <v>34</v>
      </c>
      <c r="E9943" s="7" t="s">
        <v>39</v>
      </c>
      <c r="F9943" s="0" t="n">
        <v>223.58</v>
      </c>
      <c r="G9943" s="0" t="n">
        <v>87.1962</v>
      </c>
      <c r="H9943" s="0" t="n">
        <v>0</v>
      </c>
      <c r="I9943" s="7" t="n">
        <f aca="false">YEAR(B9943)</f>
        <v>2017</v>
      </c>
      <c r="J9943" s="0" t="str">
        <f aca="false">I9943&amp;"-Q"&amp;ROUNDUP(MONTH(B9943)/3,0)</f>
        <v>2017-Q4</v>
      </c>
    </row>
    <row r="9944" customFormat="false" ht="15" hidden="false" customHeight="false" outlineLevel="0" collapsed="false">
      <c r="A9944" s="0" t="s">
        <v>5069</v>
      </c>
      <c r="B9944" s="6" t="n">
        <v>42001</v>
      </c>
      <c r="C9944" s="7" t="s">
        <v>33</v>
      </c>
      <c r="D9944" s="7" t="s">
        <v>34</v>
      </c>
      <c r="E9944" s="7" t="s">
        <v>35</v>
      </c>
      <c r="F9944" s="0" t="n">
        <v>998.82</v>
      </c>
      <c r="G9944" s="0" t="n">
        <v>29.9646</v>
      </c>
      <c r="H9944" s="0" t="n">
        <v>0</v>
      </c>
      <c r="I9944" s="7" t="n">
        <f aca="false">YEAR(B9944)</f>
        <v>2014</v>
      </c>
      <c r="J9944" s="0" t="str">
        <f aca="false">I9944&amp;"-Q"&amp;ROUNDUP(MONTH(B9944)/3,0)</f>
        <v>2014-Q4</v>
      </c>
    </row>
    <row r="9945" customFormat="false" ht="15" hidden="false" customHeight="false" outlineLevel="0" collapsed="false">
      <c r="A9945" s="0" t="s">
        <v>5069</v>
      </c>
      <c r="B9945" s="6" t="n">
        <v>42001</v>
      </c>
      <c r="C9945" s="7" t="s">
        <v>33</v>
      </c>
      <c r="D9945" s="7" t="s">
        <v>34</v>
      </c>
      <c r="E9945" s="7" t="s">
        <v>35</v>
      </c>
      <c r="F9945" s="0" t="n">
        <v>51.15</v>
      </c>
      <c r="G9945" s="0" t="n">
        <v>13.299</v>
      </c>
      <c r="H9945" s="0" t="n">
        <v>0</v>
      </c>
      <c r="I9945" s="7" t="n">
        <f aca="false">YEAR(B9945)</f>
        <v>2014</v>
      </c>
      <c r="J9945" s="0" t="str">
        <f aca="false">I9945&amp;"-Q"&amp;ROUNDUP(MONTH(B9945)/3,0)</f>
        <v>2014-Q4</v>
      </c>
    </row>
    <row r="9946" customFormat="false" ht="15" hidden="false" customHeight="false" outlineLevel="0" collapsed="false">
      <c r="A9946" s="0" t="s">
        <v>5070</v>
      </c>
      <c r="B9946" s="6" t="n">
        <v>42106</v>
      </c>
      <c r="C9946" s="7" t="s">
        <v>33</v>
      </c>
      <c r="D9946" s="7" t="s">
        <v>43</v>
      </c>
      <c r="E9946" s="7" t="s">
        <v>35</v>
      </c>
      <c r="F9946" s="0" t="n">
        <v>40.74</v>
      </c>
      <c r="G9946" s="0" t="n">
        <v>0.4074</v>
      </c>
      <c r="H9946" s="0" t="n">
        <v>0</v>
      </c>
      <c r="I9946" s="7" t="n">
        <f aca="false">YEAR(B9946)</f>
        <v>2015</v>
      </c>
      <c r="J9946" s="0" t="str">
        <f aca="false">I9946&amp;"-Q"&amp;ROUNDUP(MONTH(B9946)/3,0)</f>
        <v>2015-Q2</v>
      </c>
    </row>
    <row r="9947" customFormat="false" ht="15" hidden="false" customHeight="false" outlineLevel="0" collapsed="false">
      <c r="A9947" s="0" t="s">
        <v>5071</v>
      </c>
      <c r="B9947" s="6" t="n">
        <v>41700</v>
      </c>
      <c r="C9947" s="7" t="s">
        <v>55</v>
      </c>
      <c r="D9947" s="7" t="s">
        <v>56</v>
      </c>
      <c r="E9947" s="7" t="s">
        <v>35</v>
      </c>
      <c r="F9947" s="0" t="n">
        <v>3.424</v>
      </c>
      <c r="G9947" s="0" t="n">
        <v>1.07</v>
      </c>
      <c r="H9947" s="0" t="n">
        <v>0.2</v>
      </c>
      <c r="I9947" s="7" t="n">
        <f aca="false">YEAR(B9947)</f>
        <v>2014</v>
      </c>
      <c r="J9947" s="0" t="str">
        <f aca="false">I9947&amp;"-Q"&amp;ROUNDUP(MONTH(B9947)/3,0)</f>
        <v>2014-Q1</v>
      </c>
    </row>
    <row r="9948" customFormat="false" ht="15" hidden="false" customHeight="false" outlineLevel="0" collapsed="false">
      <c r="A9948" s="0" t="s">
        <v>5071</v>
      </c>
      <c r="B9948" s="6" t="n">
        <v>41700</v>
      </c>
      <c r="C9948" s="7" t="s">
        <v>55</v>
      </c>
      <c r="D9948" s="7" t="s">
        <v>56</v>
      </c>
      <c r="E9948" s="7" t="s">
        <v>39</v>
      </c>
      <c r="F9948" s="0" t="n">
        <v>151.2</v>
      </c>
      <c r="G9948" s="0" t="n">
        <v>32.13</v>
      </c>
      <c r="H9948" s="0" t="n">
        <v>0.2</v>
      </c>
      <c r="I9948" s="7" t="n">
        <f aca="false">YEAR(B9948)</f>
        <v>2014</v>
      </c>
      <c r="J9948" s="0" t="str">
        <f aca="false">I9948&amp;"-Q"&amp;ROUNDUP(MONTH(B9948)/3,0)</f>
        <v>2014-Q1</v>
      </c>
    </row>
    <row r="9949" customFormat="false" ht="15" hidden="false" customHeight="false" outlineLevel="0" collapsed="false">
      <c r="A9949" s="0" t="s">
        <v>5072</v>
      </c>
      <c r="B9949" s="6" t="n">
        <v>42887</v>
      </c>
      <c r="C9949" s="7" t="s">
        <v>45</v>
      </c>
      <c r="D9949" s="7" t="s">
        <v>74</v>
      </c>
      <c r="E9949" s="7" t="s">
        <v>31</v>
      </c>
      <c r="F9949" s="0" t="n">
        <v>1925.88</v>
      </c>
      <c r="G9949" s="0" t="n">
        <v>539.2464</v>
      </c>
      <c r="H9949" s="0" t="n">
        <v>0</v>
      </c>
      <c r="I9949" s="7" t="n">
        <f aca="false">YEAR(B9949)</f>
        <v>2017</v>
      </c>
      <c r="J9949" s="0" t="str">
        <f aca="false">I9949&amp;"-Q"&amp;ROUNDUP(MONTH(B9949)/3,0)</f>
        <v>2017-Q2</v>
      </c>
    </row>
    <row r="9950" customFormat="false" ht="15" hidden="false" customHeight="false" outlineLevel="0" collapsed="false">
      <c r="A9950" s="0" t="s">
        <v>5072</v>
      </c>
      <c r="B9950" s="6" t="n">
        <v>42887</v>
      </c>
      <c r="C9950" s="7" t="s">
        <v>45</v>
      </c>
      <c r="D9950" s="7" t="s">
        <v>74</v>
      </c>
      <c r="E9950" s="7" t="s">
        <v>35</v>
      </c>
      <c r="F9950" s="0" t="n">
        <v>2405.2</v>
      </c>
      <c r="G9950" s="0" t="n">
        <v>793.716</v>
      </c>
      <c r="H9950" s="0" t="n">
        <v>0</v>
      </c>
      <c r="I9950" s="7" t="n">
        <f aca="false">YEAR(B9950)</f>
        <v>2017</v>
      </c>
      <c r="J9950" s="0" t="str">
        <f aca="false">I9950&amp;"-Q"&amp;ROUNDUP(MONTH(B9950)/3,0)</f>
        <v>2017-Q2</v>
      </c>
    </row>
    <row r="9951" customFormat="false" ht="15" hidden="false" customHeight="false" outlineLevel="0" collapsed="false">
      <c r="A9951" s="0" t="s">
        <v>5072</v>
      </c>
      <c r="B9951" s="6" t="n">
        <v>42887</v>
      </c>
      <c r="C9951" s="7" t="s">
        <v>45</v>
      </c>
      <c r="D9951" s="7" t="s">
        <v>74</v>
      </c>
      <c r="E9951" s="7" t="s">
        <v>39</v>
      </c>
      <c r="F9951" s="0" t="n">
        <v>83.97</v>
      </c>
      <c r="G9951" s="0" t="n">
        <v>15.9543</v>
      </c>
      <c r="H9951" s="0" t="n">
        <v>0</v>
      </c>
      <c r="I9951" s="7" t="n">
        <f aca="false">YEAR(B9951)</f>
        <v>2017</v>
      </c>
      <c r="J9951" s="0" t="str">
        <f aca="false">I9951&amp;"-Q"&amp;ROUNDUP(MONTH(B9951)/3,0)</f>
        <v>2017-Q2</v>
      </c>
    </row>
    <row r="9952" customFormat="false" ht="15" hidden="false" customHeight="false" outlineLevel="0" collapsed="false">
      <c r="A9952" s="0" t="s">
        <v>5072</v>
      </c>
      <c r="B9952" s="6" t="n">
        <v>42887</v>
      </c>
      <c r="C9952" s="7" t="s">
        <v>45</v>
      </c>
      <c r="D9952" s="7" t="s">
        <v>74</v>
      </c>
      <c r="E9952" s="7" t="s">
        <v>39</v>
      </c>
      <c r="F9952" s="0" t="n">
        <v>39.89</v>
      </c>
      <c r="G9952" s="0" t="n">
        <v>14.7593</v>
      </c>
      <c r="H9952" s="0" t="n">
        <v>0</v>
      </c>
      <c r="I9952" s="7" t="n">
        <f aca="false">YEAR(B9952)</f>
        <v>2017</v>
      </c>
      <c r="J9952" s="0" t="str">
        <f aca="false">I9952&amp;"-Q"&amp;ROUNDUP(MONTH(B9952)/3,0)</f>
        <v>2017-Q2</v>
      </c>
    </row>
    <row r="9953" customFormat="false" ht="15" hidden="false" customHeight="false" outlineLevel="0" collapsed="false">
      <c r="A9953" s="0" t="s">
        <v>5072</v>
      </c>
      <c r="B9953" s="6" t="n">
        <v>42887</v>
      </c>
      <c r="C9953" s="7" t="s">
        <v>45</v>
      </c>
      <c r="D9953" s="7" t="s">
        <v>74</v>
      </c>
      <c r="E9953" s="7" t="s">
        <v>35</v>
      </c>
      <c r="F9953" s="0" t="n">
        <v>17.38</v>
      </c>
      <c r="G9953" s="0" t="n">
        <v>8.69</v>
      </c>
      <c r="H9953" s="0" t="n">
        <v>0</v>
      </c>
      <c r="I9953" s="7" t="n">
        <f aca="false">YEAR(B9953)</f>
        <v>2017</v>
      </c>
      <c r="J9953" s="0" t="str">
        <f aca="false">I9953&amp;"-Q"&amp;ROUNDUP(MONTH(B9953)/3,0)</f>
        <v>2017-Q2</v>
      </c>
    </row>
    <row r="9954" customFormat="false" ht="15" hidden="false" customHeight="false" outlineLevel="0" collapsed="false">
      <c r="A9954" s="0" t="s">
        <v>5073</v>
      </c>
      <c r="B9954" s="6" t="n">
        <v>42352</v>
      </c>
      <c r="C9954" s="7" t="s">
        <v>33</v>
      </c>
      <c r="D9954" s="7" t="s">
        <v>34</v>
      </c>
      <c r="E9954" s="7" t="s">
        <v>35</v>
      </c>
      <c r="F9954" s="0" t="n">
        <v>55.264</v>
      </c>
      <c r="G9954" s="0" t="n">
        <v>20.724</v>
      </c>
      <c r="H9954" s="0" t="n">
        <v>0.2</v>
      </c>
      <c r="I9954" s="7" t="n">
        <f aca="false">YEAR(B9954)</f>
        <v>2015</v>
      </c>
      <c r="J9954" s="0" t="str">
        <f aca="false">I9954&amp;"-Q"&amp;ROUNDUP(MONTH(B9954)/3,0)</f>
        <v>2015-Q4</v>
      </c>
    </row>
    <row r="9955" customFormat="false" ht="15" hidden="false" customHeight="false" outlineLevel="0" collapsed="false">
      <c r="A9955" s="0" t="s">
        <v>5073</v>
      </c>
      <c r="B9955" s="6" t="n">
        <v>42352</v>
      </c>
      <c r="C9955" s="7" t="s">
        <v>33</v>
      </c>
      <c r="D9955" s="7" t="s">
        <v>34</v>
      </c>
      <c r="E9955" s="7" t="s">
        <v>35</v>
      </c>
      <c r="F9955" s="0" t="n">
        <v>6.48</v>
      </c>
      <c r="G9955" s="0" t="n">
        <v>3.1104</v>
      </c>
      <c r="H9955" s="0" t="n">
        <v>0</v>
      </c>
      <c r="I9955" s="7" t="n">
        <f aca="false">YEAR(B9955)</f>
        <v>2015</v>
      </c>
      <c r="J9955" s="0" t="str">
        <f aca="false">I9955&amp;"-Q"&amp;ROUNDUP(MONTH(B9955)/3,0)</f>
        <v>2015-Q4</v>
      </c>
    </row>
    <row r="9956" customFormat="false" ht="15" hidden="false" customHeight="false" outlineLevel="0" collapsed="false">
      <c r="A9956" s="0" t="s">
        <v>5073</v>
      </c>
      <c r="B9956" s="6" t="n">
        <v>42352</v>
      </c>
      <c r="C9956" s="7" t="s">
        <v>33</v>
      </c>
      <c r="D9956" s="7" t="s">
        <v>34</v>
      </c>
      <c r="E9956" s="7" t="s">
        <v>35</v>
      </c>
      <c r="F9956" s="0" t="n">
        <v>34.248</v>
      </c>
      <c r="G9956" s="0" t="n">
        <v>11.5587</v>
      </c>
      <c r="H9956" s="0" t="n">
        <v>0.2</v>
      </c>
      <c r="I9956" s="7" t="n">
        <f aca="false">YEAR(B9956)</f>
        <v>2015</v>
      </c>
      <c r="J9956" s="0" t="str">
        <f aca="false">I9956&amp;"-Q"&amp;ROUNDUP(MONTH(B9956)/3,0)</f>
        <v>2015-Q4</v>
      </c>
    </row>
    <row r="9957" customFormat="false" ht="15" hidden="false" customHeight="false" outlineLevel="0" collapsed="false">
      <c r="A9957" s="0" t="s">
        <v>5073</v>
      </c>
      <c r="B9957" s="6" t="n">
        <v>42352</v>
      </c>
      <c r="C9957" s="7" t="s">
        <v>33</v>
      </c>
      <c r="D9957" s="7" t="s">
        <v>34</v>
      </c>
      <c r="E9957" s="7" t="s">
        <v>31</v>
      </c>
      <c r="F9957" s="0" t="n">
        <v>273.568</v>
      </c>
      <c r="G9957" s="0" t="n">
        <v>10.2588</v>
      </c>
      <c r="H9957" s="0" t="n">
        <v>0.2</v>
      </c>
      <c r="I9957" s="7" t="n">
        <f aca="false">YEAR(B9957)</f>
        <v>2015</v>
      </c>
      <c r="J9957" s="0" t="str">
        <f aca="false">I9957&amp;"-Q"&amp;ROUNDUP(MONTH(B9957)/3,0)</f>
        <v>2015-Q4</v>
      </c>
    </row>
    <row r="9958" customFormat="false" ht="15" hidden="false" customHeight="false" outlineLevel="0" collapsed="false">
      <c r="A9958" s="0" t="s">
        <v>5074</v>
      </c>
      <c r="B9958" s="6" t="n">
        <v>41954</v>
      </c>
      <c r="C9958" s="7" t="s">
        <v>55</v>
      </c>
      <c r="D9958" s="7" t="s">
        <v>76</v>
      </c>
      <c r="E9958" s="7" t="s">
        <v>35</v>
      </c>
      <c r="F9958" s="0" t="n">
        <v>46.35</v>
      </c>
      <c r="G9958" s="0" t="n">
        <v>21.7845</v>
      </c>
      <c r="H9958" s="0" t="n">
        <v>0</v>
      </c>
      <c r="I9958" s="7" t="n">
        <f aca="false">YEAR(B9958)</f>
        <v>2014</v>
      </c>
      <c r="J9958" s="0" t="str">
        <f aca="false">I9958&amp;"-Q"&amp;ROUNDUP(MONTH(B9958)/3,0)</f>
        <v>2014-Q4</v>
      </c>
    </row>
    <row r="9959" customFormat="false" ht="15" hidden="false" customHeight="false" outlineLevel="0" collapsed="false">
      <c r="A9959" s="0" t="s">
        <v>5074</v>
      </c>
      <c r="B9959" s="6" t="n">
        <v>41954</v>
      </c>
      <c r="C9959" s="7" t="s">
        <v>55</v>
      </c>
      <c r="D9959" s="7" t="s">
        <v>76</v>
      </c>
      <c r="E9959" s="7" t="s">
        <v>35</v>
      </c>
      <c r="F9959" s="0" t="n">
        <v>223.92</v>
      </c>
      <c r="G9959" s="0" t="n">
        <v>109.7208</v>
      </c>
      <c r="H9959" s="0" t="n">
        <v>0</v>
      </c>
      <c r="I9959" s="7" t="n">
        <f aca="false">YEAR(B9959)</f>
        <v>2014</v>
      </c>
      <c r="J9959" s="0" t="str">
        <f aca="false">I9959&amp;"-Q"&amp;ROUNDUP(MONTH(B9959)/3,0)</f>
        <v>2014-Q4</v>
      </c>
    </row>
    <row r="9960" customFormat="false" ht="15" hidden="false" customHeight="false" outlineLevel="0" collapsed="false">
      <c r="A9960" s="0" t="s">
        <v>5074</v>
      </c>
      <c r="B9960" s="6" t="n">
        <v>41954</v>
      </c>
      <c r="C9960" s="7" t="s">
        <v>55</v>
      </c>
      <c r="D9960" s="7" t="s">
        <v>76</v>
      </c>
      <c r="E9960" s="7" t="s">
        <v>35</v>
      </c>
      <c r="F9960" s="0" t="n">
        <v>7.3</v>
      </c>
      <c r="G9960" s="0" t="n">
        <v>2.19</v>
      </c>
      <c r="H9960" s="0" t="n">
        <v>0</v>
      </c>
      <c r="I9960" s="7" t="n">
        <f aca="false">YEAR(B9960)</f>
        <v>2014</v>
      </c>
      <c r="J9960" s="0" t="str">
        <f aca="false">I9960&amp;"-Q"&amp;ROUNDUP(MONTH(B9960)/3,0)</f>
        <v>2014-Q4</v>
      </c>
    </row>
    <row r="9961" customFormat="false" ht="15" hidden="false" customHeight="false" outlineLevel="0" collapsed="false">
      <c r="A9961" s="0" t="s">
        <v>5075</v>
      </c>
      <c r="B9961" s="6" t="n">
        <v>43014</v>
      </c>
      <c r="C9961" s="7" t="s">
        <v>33</v>
      </c>
      <c r="D9961" s="7" t="s">
        <v>81</v>
      </c>
      <c r="E9961" s="7" t="s">
        <v>35</v>
      </c>
      <c r="F9961" s="0" t="n">
        <v>9.344</v>
      </c>
      <c r="G9961" s="0" t="n">
        <v>1.8688</v>
      </c>
      <c r="H9961" s="0" t="n">
        <v>0.2</v>
      </c>
      <c r="I9961" s="7" t="n">
        <f aca="false">YEAR(B9961)</f>
        <v>2017</v>
      </c>
      <c r="J9961" s="0" t="str">
        <f aca="false">I9961&amp;"-Q"&amp;ROUNDUP(MONTH(B9961)/3,0)</f>
        <v>2017-Q4</v>
      </c>
    </row>
    <row r="9962" customFormat="false" ht="15" hidden="false" customHeight="false" outlineLevel="0" collapsed="false">
      <c r="A9962" s="0" t="s">
        <v>5076</v>
      </c>
      <c r="B9962" s="6" t="n">
        <v>42994</v>
      </c>
      <c r="C9962" s="7" t="s">
        <v>29</v>
      </c>
      <c r="D9962" s="7" t="s">
        <v>30</v>
      </c>
      <c r="E9962" s="7" t="s">
        <v>39</v>
      </c>
      <c r="F9962" s="0" t="n">
        <v>18</v>
      </c>
      <c r="G9962" s="0" t="n">
        <v>3.24</v>
      </c>
      <c r="H9962" s="0" t="n">
        <v>0</v>
      </c>
      <c r="I9962" s="7" t="n">
        <f aca="false">YEAR(B9962)</f>
        <v>2017</v>
      </c>
      <c r="J9962" s="0" t="str">
        <f aca="false">I9962&amp;"-Q"&amp;ROUNDUP(MONTH(B9962)/3,0)</f>
        <v>2017-Q3</v>
      </c>
    </row>
    <row r="9963" customFormat="false" ht="15" hidden="false" customHeight="false" outlineLevel="0" collapsed="false">
      <c r="A9963" s="0" t="s">
        <v>5077</v>
      </c>
      <c r="B9963" s="6" t="n">
        <v>42082</v>
      </c>
      <c r="C9963" s="7" t="s">
        <v>45</v>
      </c>
      <c r="D9963" s="7" t="s">
        <v>46</v>
      </c>
      <c r="E9963" s="7" t="s">
        <v>35</v>
      </c>
      <c r="F9963" s="0" t="n">
        <v>65.584</v>
      </c>
      <c r="G9963" s="0" t="n">
        <v>23.7742</v>
      </c>
      <c r="H9963" s="0" t="n">
        <v>0.2</v>
      </c>
      <c r="I9963" s="7" t="n">
        <f aca="false">YEAR(B9963)</f>
        <v>2015</v>
      </c>
      <c r="J9963" s="0" t="str">
        <f aca="false">I9963&amp;"-Q"&amp;ROUNDUP(MONTH(B9963)/3,0)</f>
        <v>2015-Q1</v>
      </c>
    </row>
    <row r="9964" customFormat="false" ht="15" hidden="false" customHeight="false" outlineLevel="0" collapsed="false">
      <c r="A9964" s="0" t="s">
        <v>5077</v>
      </c>
      <c r="B9964" s="6" t="n">
        <v>42082</v>
      </c>
      <c r="C9964" s="7" t="s">
        <v>45</v>
      </c>
      <c r="D9964" s="7" t="s">
        <v>46</v>
      </c>
      <c r="E9964" s="7" t="s">
        <v>31</v>
      </c>
      <c r="F9964" s="0" t="n">
        <v>383.4656</v>
      </c>
      <c r="G9964" s="0" t="n">
        <v>-67.6704</v>
      </c>
      <c r="H9964" s="0" t="n">
        <v>0.32</v>
      </c>
      <c r="I9964" s="7" t="n">
        <f aca="false">YEAR(B9964)</f>
        <v>2015</v>
      </c>
      <c r="J9964" s="0" t="str">
        <f aca="false">I9964&amp;"-Q"&amp;ROUNDUP(MONTH(B9964)/3,0)</f>
        <v>2015-Q1</v>
      </c>
    </row>
    <row r="9965" customFormat="false" ht="15" hidden="false" customHeight="false" outlineLevel="0" collapsed="false">
      <c r="A9965" s="0" t="s">
        <v>5078</v>
      </c>
      <c r="B9965" s="6" t="n">
        <v>42211</v>
      </c>
      <c r="C9965" s="7" t="s">
        <v>55</v>
      </c>
      <c r="D9965" s="7" t="s">
        <v>56</v>
      </c>
      <c r="E9965" s="7" t="s">
        <v>35</v>
      </c>
      <c r="F9965" s="0" t="n">
        <v>10.368</v>
      </c>
      <c r="G9965" s="0" t="n">
        <v>3.6288</v>
      </c>
      <c r="H9965" s="0" t="n">
        <v>0.2</v>
      </c>
      <c r="I9965" s="7" t="n">
        <f aca="false">YEAR(B9965)</f>
        <v>2015</v>
      </c>
      <c r="J9965" s="0" t="str">
        <f aca="false">I9965&amp;"-Q"&amp;ROUNDUP(MONTH(B9965)/3,0)</f>
        <v>2015-Q3</v>
      </c>
    </row>
    <row r="9966" customFormat="false" ht="15" hidden="false" customHeight="false" outlineLevel="0" collapsed="false">
      <c r="A9966" s="0" t="s">
        <v>5079</v>
      </c>
      <c r="B9966" s="6" t="n">
        <v>42709</v>
      </c>
      <c r="C9966" s="7" t="s">
        <v>55</v>
      </c>
      <c r="D9966" s="7" t="s">
        <v>72</v>
      </c>
      <c r="E9966" s="7" t="s">
        <v>31</v>
      </c>
      <c r="F9966" s="0" t="n">
        <v>13.4</v>
      </c>
      <c r="G9966" s="0" t="n">
        <v>6.432</v>
      </c>
      <c r="H9966" s="0" t="n">
        <v>0</v>
      </c>
      <c r="I9966" s="7" t="n">
        <f aca="false">YEAR(B9966)</f>
        <v>2016</v>
      </c>
      <c r="J9966" s="0" t="str">
        <f aca="false">I9966&amp;"-Q"&amp;ROUNDUP(MONTH(B9966)/3,0)</f>
        <v>2016-Q4</v>
      </c>
    </row>
    <row r="9967" customFormat="false" ht="15" hidden="false" customHeight="false" outlineLevel="0" collapsed="false">
      <c r="A9967" s="0" t="s">
        <v>5079</v>
      </c>
      <c r="B9967" s="6" t="n">
        <v>42709</v>
      </c>
      <c r="C9967" s="7" t="s">
        <v>55</v>
      </c>
      <c r="D9967" s="7" t="s">
        <v>72</v>
      </c>
      <c r="E9967" s="7" t="s">
        <v>35</v>
      </c>
      <c r="F9967" s="0" t="n">
        <v>4.98</v>
      </c>
      <c r="G9967" s="0" t="n">
        <v>2.3406</v>
      </c>
      <c r="H9967" s="0" t="n">
        <v>0</v>
      </c>
      <c r="I9967" s="7" t="n">
        <f aca="false">YEAR(B9967)</f>
        <v>2016</v>
      </c>
      <c r="J9967" s="0" t="str">
        <f aca="false">I9967&amp;"-Q"&amp;ROUNDUP(MONTH(B9967)/3,0)</f>
        <v>2016-Q4</v>
      </c>
    </row>
    <row r="9968" customFormat="false" ht="15" hidden="false" customHeight="false" outlineLevel="0" collapsed="false">
      <c r="A9968" s="0" t="s">
        <v>5079</v>
      </c>
      <c r="B9968" s="6" t="n">
        <v>42709</v>
      </c>
      <c r="C9968" s="7" t="s">
        <v>55</v>
      </c>
      <c r="D9968" s="7" t="s">
        <v>72</v>
      </c>
      <c r="E9968" s="7" t="s">
        <v>35</v>
      </c>
      <c r="F9968" s="0" t="n">
        <v>109.69</v>
      </c>
      <c r="G9968" s="0" t="n">
        <v>51.5543</v>
      </c>
      <c r="H9968" s="0" t="n">
        <v>0</v>
      </c>
      <c r="I9968" s="7" t="n">
        <f aca="false">YEAR(B9968)</f>
        <v>2016</v>
      </c>
      <c r="J9968" s="0" t="str">
        <f aca="false">I9968&amp;"-Q"&amp;ROUNDUP(MONTH(B9968)/3,0)</f>
        <v>2016-Q4</v>
      </c>
    </row>
    <row r="9969" customFormat="false" ht="15" hidden="false" customHeight="false" outlineLevel="0" collapsed="false">
      <c r="A9969" s="0" t="s">
        <v>5080</v>
      </c>
      <c r="B9969" s="6" t="n">
        <v>43080</v>
      </c>
      <c r="C9969" s="7" t="s">
        <v>55</v>
      </c>
      <c r="D9969" s="7" t="s">
        <v>161</v>
      </c>
      <c r="E9969" s="7" t="s">
        <v>35</v>
      </c>
      <c r="F9969" s="0" t="n">
        <v>40.2</v>
      </c>
      <c r="G9969" s="0" t="n">
        <v>18.09</v>
      </c>
      <c r="H9969" s="0" t="n">
        <v>0</v>
      </c>
      <c r="I9969" s="7" t="n">
        <f aca="false">YEAR(B9969)</f>
        <v>2017</v>
      </c>
      <c r="J9969" s="0" t="str">
        <f aca="false">I9969&amp;"-Q"&amp;ROUNDUP(MONTH(B9969)/3,0)</f>
        <v>2017-Q4</v>
      </c>
    </row>
    <row r="9970" customFormat="false" ht="15" hidden="false" customHeight="false" outlineLevel="0" collapsed="false">
      <c r="A9970" s="0" t="s">
        <v>5080</v>
      </c>
      <c r="B9970" s="6" t="n">
        <v>43080</v>
      </c>
      <c r="C9970" s="7" t="s">
        <v>55</v>
      </c>
      <c r="D9970" s="7" t="s">
        <v>161</v>
      </c>
      <c r="E9970" s="7" t="s">
        <v>35</v>
      </c>
      <c r="F9970" s="0" t="n">
        <v>735.98</v>
      </c>
      <c r="G9970" s="0" t="n">
        <v>331.191</v>
      </c>
      <c r="H9970" s="0" t="n">
        <v>0</v>
      </c>
      <c r="I9970" s="7" t="n">
        <f aca="false">YEAR(B9970)</f>
        <v>2017</v>
      </c>
      <c r="J9970" s="0" t="str">
        <f aca="false">I9970&amp;"-Q"&amp;ROUNDUP(MONTH(B9970)/3,0)</f>
        <v>2017-Q4</v>
      </c>
    </row>
    <row r="9971" customFormat="false" ht="15" hidden="false" customHeight="false" outlineLevel="0" collapsed="false">
      <c r="A9971" s="0" t="s">
        <v>5080</v>
      </c>
      <c r="B9971" s="6" t="n">
        <v>43080</v>
      </c>
      <c r="C9971" s="7" t="s">
        <v>55</v>
      </c>
      <c r="D9971" s="7" t="s">
        <v>161</v>
      </c>
      <c r="E9971" s="7" t="s">
        <v>35</v>
      </c>
      <c r="F9971" s="0" t="n">
        <v>22.75</v>
      </c>
      <c r="G9971" s="0" t="n">
        <v>6.5975</v>
      </c>
      <c r="H9971" s="0" t="n">
        <v>0</v>
      </c>
      <c r="I9971" s="7" t="n">
        <f aca="false">YEAR(B9971)</f>
        <v>2017</v>
      </c>
      <c r="J9971" s="0" t="str">
        <f aca="false">I9971&amp;"-Q"&amp;ROUNDUP(MONTH(B9971)/3,0)</f>
        <v>2017-Q4</v>
      </c>
    </row>
    <row r="9972" customFormat="false" ht="15" hidden="false" customHeight="false" outlineLevel="0" collapsed="false">
      <c r="A9972" s="0" t="s">
        <v>5081</v>
      </c>
      <c r="B9972" s="6" t="n">
        <v>42183</v>
      </c>
      <c r="C9972" s="7" t="s">
        <v>29</v>
      </c>
      <c r="D9972" s="7" t="s">
        <v>230</v>
      </c>
      <c r="E9972" s="7" t="s">
        <v>35</v>
      </c>
      <c r="F9972" s="0" t="n">
        <v>119.56</v>
      </c>
      <c r="G9972" s="0" t="n">
        <v>54.9976</v>
      </c>
      <c r="H9972" s="0" t="n">
        <v>0</v>
      </c>
      <c r="I9972" s="7" t="n">
        <f aca="false">YEAR(B9972)</f>
        <v>2015</v>
      </c>
      <c r="J9972" s="0" t="str">
        <f aca="false">I9972&amp;"-Q"&amp;ROUNDUP(MONTH(B9972)/3,0)</f>
        <v>2015-Q2</v>
      </c>
    </row>
    <row r="9973" customFormat="false" ht="15" hidden="false" customHeight="false" outlineLevel="0" collapsed="false">
      <c r="A9973" s="0" t="s">
        <v>5081</v>
      </c>
      <c r="B9973" s="6" t="n">
        <v>42183</v>
      </c>
      <c r="C9973" s="7" t="s">
        <v>29</v>
      </c>
      <c r="D9973" s="7" t="s">
        <v>230</v>
      </c>
      <c r="E9973" s="7" t="s">
        <v>35</v>
      </c>
      <c r="F9973" s="0" t="n">
        <v>140.75</v>
      </c>
      <c r="G9973" s="0" t="n">
        <v>42.225</v>
      </c>
      <c r="H9973" s="0" t="n">
        <v>0</v>
      </c>
      <c r="I9973" s="7" t="n">
        <f aca="false">YEAR(B9973)</f>
        <v>2015</v>
      </c>
      <c r="J9973" s="0" t="str">
        <f aca="false">I9973&amp;"-Q"&amp;ROUNDUP(MONTH(B9973)/3,0)</f>
        <v>2015-Q2</v>
      </c>
    </row>
    <row r="9974" customFormat="false" ht="15" hidden="false" customHeight="false" outlineLevel="0" collapsed="false">
      <c r="A9974" s="0" t="s">
        <v>5082</v>
      </c>
      <c r="B9974" s="6" t="n">
        <v>42624</v>
      </c>
      <c r="C9974" s="7" t="s">
        <v>45</v>
      </c>
      <c r="D9974" s="7" t="s">
        <v>46</v>
      </c>
      <c r="E9974" s="7" t="s">
        <v>35</v>
      </c>
      <c r="F9974" s="0" t="n">
        <v>99.568</v>
      </c>
      <c r="G9974" s="0" t="n">
        <v>33.6042</v>
      </c>
      <c r="H9974" s="0" t="n">
        <v>0.2</v>
      </c>
      <c r="I9974" s="7" t="n">
        <f aca="false">YEAR(B9974)</f>
        <v>2016</v>
      </c>
      <c r="J9974" s="0" t="str">
        <f aca="false">I9974&amp;"-Q"&amp;ROUNDUP(MONTH(B9974)/3,0)</f>
        <v>2016-Q3</v>
      </c>
    </row>
    <row r="9975" customFormat="false" ht="15" hidden="false" customHeight="false" outlineLevel="0" collapsed="false">
      <c r="A9975" s="0" t="s">
        <v>5083</v>
      </c>
      <c r="B9975" s="6" t="n">
        <v>42710</v>
      </c>
      <c r="C9975" s="7" t="s">
        <v>33</v>
      </c>
      <c r="D9975" s="7" t="s">
        <v>34</v>
      </c>
      <c r="E9975" s="7" t="s">
        <v>39</v>
      </c>
      <c r="F9975" s="0" t="n">
        <v>271.96</v>
      </c>
      <c r="G9975" s="0" t="n">
        <v>27.196</v>
      </c>
      <c r="H9975" s="0" t="n">
        <v>0.2</v>
      </c>
      <c r="I9975" s="7" t="n">
        <f aca="false">YEAR(B9975)</f>
        <v>2016</v>
      </c>
      <c r="J9975" s="0" t="str">
        <f aca="false">I9975&amp;"-Q"&amp;ROUNDUP(MONTH(B9975)/3,0)</f>
        <v>2016-Q4</v>
      </c>
    </row>
    <row r="9976" customFormat="false" ht="15" hidden="false" customHeight="false" outlineLevel="0" collapsed="false">
      <c r="A9976" s="0" t="s">
        <v>5083</v>
      </c>
      <c r="B9976" s="6" t="n">
        <v>42710</v>
      </c>
      <c r="C9976" s="7" t="s">
        <v>33</v>
      </c>
      <c r="D9976" s="7" t="s">
        <v>34</v>
      </c>
      <c r="E9976" s="7" t="s">
        <v>35</v>
      </c>
      <c r="F9976" s="0" t="n">
        <v>18.69</v>
      </c>
      <c r="G9976" s="0" t="n">
        <v>5.2332</v>
      </c>
      <c r="H9976" s="0" t="n">
        <v>0</v>
      </c>
      <c r="I9976" s="7" t="n">
        <f aca="false">YEAR(B9976)</f>
        <v>2016</v>
      </c>
      <c r="J9976" s="0" t="str">
        <f aca="false">I9976&amp;"-Q"&amp;ROUNDUP(MONTH(B9976)/3,0)</f>
        <v>2016-Q4</v>
      </c>
    </row>
    <row r="9977" customFormat="false" ht="15" hidden="false" customHeight="false" outlineLevel="0" collapsed="false">
      <c r="A9977" s="0" t="s">
        <v>5083</v>
      </c>
      <c r="B9977" s="6" t="n">
        <v>42710</v>
      </c>
      <c r="C9977" s="7" t="s">
        <v>33</v>
      </c>
      <c r="D9977" s="7" t="s">
        <v>34</v>
      </c>
      <c r="E9977" s="7" t="s">
        <v>35</v>
      </c>
      <c r="F9977" s="0" t="n">
        <v>13.36</v>
      </c>
      <c r="G9977" s="0" t="n">
        <v>6.4128</v>
      </c>
      <c r="H9977" s="0" t="n">
        <v>0</v>
      </c>
      <c r="I9977" s="7" t="n">
        <f aca="false">YEAR(B9977)</f>
        <v>2016</v>
      </c>
      <c r="J9977" s="0" t="str">
        <f aca="false">I9977&amp;"-Q"&amp;ROUNDUP(MONTH(B9977)/3,0)</f>
        <v>2016-Q4</v>
      </c>
    </row>
    <row r="9978" customFormat="false" ht="15" hidden="false" customHeight="false" outlineLevel="0" collapsed="false">
      <c r="A9978" s="0" t="s">
        <v>5083</v>
      </c>
      <c r="B9978" s="6" t="n">
        <v>42710</v>
      </c>
      <c r="C9978" s="7" t="s">
        <v>33</v>
      </c>
      <c r="D9978" s="7" t="s">
        <v>34</v>
      </c>
      <c r="E9978" s="7" t="s">
        <v>39</v>
      </c>
      <c r="F9978" s="0" t="n">
        <v>249.584</v>
      </c>
      <c r="G9978" s="0" t="n">
        <v>31.198</v>
      </c>
      <c r="H9978" s="0" t="n">
        <v>0.2</v>
      </c>
      <c r="I9978" s="7" t="n">
        <f aca="false">YEAR(B9978)</f>
        <v>2016</v>
      </c>
      <c r="J9978" s="0" t="str">
        <f aca="false">I9978&amp;"-Q"&amp;ROUNDUP(MONTH(B9978)/3,0)</f>
        <v>2016-Q4</v>
      </c>
    </row>
    <row r="9979" customFormat="false" ht="15" hidden="false" customHeight="false" outlineLevel="0" collapsed="false">
      <c r="A9979" s="0" t="s">
        <v>5083</v>
      </c>
      <c r="B9979" s="6" t="n">
        <v>42710</v>
      </c>
      <c r="C9979" s="7" t="s">
        <v>33</v>
      </c>
      <c r="D9979" s="7" t="s">
        <v>34</v>
      </c>
      <c r="E9979" s="7" t="s">
        <v>35</v>
      </c>
      <c r="F9979" s="0" t="n">
        <v>13.86</v>
      </c>
      <c r="G9979" s="0" t="n">
        <v>0</v>
      </c>
      <c r="H9979" s="0" t="n">
        <v>0</v>
      </c>
      <c r="I9979" s="7" t="n">
        <f aca="false">YEAR(B9979)</f>
        <v>2016</v>
      </c>
      <c r="J9979" s="0" t="str">
        <f aca="false">I9979&amp;"-Q"&amp;ROUNDUP(MONTH(B9979)/3,0)</f>
        <v>2016-Q4</v>
      </c>
    </row>
    <row r="9980" customFormat="false" ht="15" hidden="false" customHeight="false" outlineLevel="0" collapsed="false">
      <c r="A9980" s="0" t="s">
        <v>5083</v>
      </c>
      <c r="B9980" s="6" t="n">
        <v>42710</v>
      </c>
      <c r="C9980" s="7" t="s">
        <v>33</v>
      </c>
      <c r="D9980" s="7" t="s">
        <v>34</v>
      </c>
      <c r="E9980" s="7" t="s">
        <v>35</v>
      </c>
      <c r="F9980" s="0" t="n">
        <v>13.376</v>
      </c>
      <c r="G9980" s="0" t="n">
        <v>4.6816</v>
      </c>
      <c r="H9980" s="0" t="n">
        <v>0.2</v>
      </c>
      <c r="I9980" s="7" t="n">
        <f aca="false">YEAR(B9980)</f>
        <v>2016</v>
      </c>
      <c r="J9980" s="0" t="str">
        <f aca="false">I9980&amp;"-Q"&amp;ROUNDUP(MONTH(B9980)/3,0)</f>
        <v>2016-Q4</v>
      </c>
    </row>
    <row r="9981" customFormat="false" ht="15" hidden="false" customHeight="false" outlineLevel="0" collapsed="false">
      <c r="A9981" s="0" t="s">
        <v>5083</v>
      </c>
      <c r="B9981" s="6" t="n">
        <v>42710</v>
      </c>
      <c r="C9981" s="7" t="s">
        <v>33</v>
      </c>
      <c r="D9981" s="7" t="s">
        <v>34</v>
      </c>
      <c r="E9981" s="7" t="s">
        <v>35</v>
      </c>
      <c r="F9981" s="0" t="n">
        <v>437.472</v>
      </c>
      <c r="G9981" s="0" t="n">
        <v>153.1152</v>
      </c>
      <c r="H9981" s="0" t="n">
        <v>0.2</v>
      </c>
      <c r="I9981" s="7" t="n">
        <f aca="false">YEAR(B9981)</f>
        <v>2016</v>
      </c>
      <c r="J9981" s="0" t="str">
        <f aca="false">I9981&amp;"-Q"&amp;ROUNDUP(MONTH(B9981)/3,0)</f>
        <v>2016-Q4</v>
      </c>
    </row>
    <row r="9982" customFormat="false" ht="15" hidden="false" customHeight="false" outlineLevel="0" collapsed="false">
      <c r="A9982" s="0" t="s">
        <v>5084</v>
      </c>
      <c r="B9982" s="6" t="n">
        <v>42253</v>
      </c>
      <c r="C9982" s="7" t="s">
        <v>29</v>
      </c>
      <c r="D9982" s="7" t="s">
        <v>152</v>
      </c>
      <c r="E9982" s="7" t="s">
        <v>31</v>
      </c>
      <c r="F9982" s="0" t="n">
        <v>85.98</v>
      </c>
      <c r="G9982" s="0" t="n">
        <v>22.3548</v>
      </c>
      <c r="H9982" s="0" t="n">
        <v>0</v>
      </c>
      <c r="I9982" s="7" t="n">
        <f aca="false">YEAR(B9982)</f>
        <v>2015</v>
      </c>
      <c r="J9982" s="0" t="str">
        <f aca="false">I9982&amp;"-Q"&amp;ROUNDUP(MONTH(B9982)/3,0)</f>
        <v>2015-Q3</v>
      </c>
    </row>
    <row r="9983" customFormat="false" ht="15" hidden="false" customHeight="false" outlineLevel="0" collapsed="false">
      <c r="A9983" s="0" t="s">
        <v>5085</v>
      </c>
      <c r="B9983" s="6" t="n">
        <v>42950</v>
      </c>
      <c r="C9983" s="7" t="s">
        <v>55</v>
      </c>
      <c r="D9983" s="7" t="s">
        <v>116</v>
      </c>
      <c r="E9983" s="7" t="s">
        <v>35</v>
      </c>
      <c r="F9983" s="0" t="n">
        <v>16.52</v>
      </c>
      <c r="G9983" s="0" t="n">
        <v>5.369</v>
      </c>
      <c r="H9983" s="0" t="n">
        <v>0.2</v>
      </c>
      <c r="I9983" s="7" t="n">
        <f aca="false">YEAR(B9983)</f>
        <v>2017</v>
      </c>
      <c r="J9983" s="0" t="str">
        <f aca="false">I9983&amp;"-Q"&amp;ROUNDUP(MONTH(B9983)/3,0)</f>
        <v>2017-Q3</v>
      </c>
    </row>
    <row r="9984" customFormat="false" ht="15" hidden="false" customHeight="false" outlineLevel="0" collapsed="false">
      <c r="A9984" s="0" t="s">
        <v>5086</v>
      </c>
      <c r="B9984" s="6" t="n">
        <v>42635</v>
      </c>
      <c r="C9984" s="7" t="s">
        <v>45</v>
      </c>
      <c r="D9984" s="7" t="s">
        <v>70</v>
      </c>
      <c r="E9984" s="7" t="s">
        <v>35</v>
      </c>
      <c r="F9984" s="0" t="n">
        <v>35.56</v>
      </c>
      <c r="G9984" s="0" t="n">
        <v>16.7132</v>
      </c>
      <c r="H9984" s="0" t="n">
        <v>0</v>
      </c>
      <c r="I9984" s="7" t="n">
        <f aca="false">YEAR(B9984)</f>
        <v>2016</v>
      </c>
      <c r="J9984" s="0" t="str">
        <f aca="false">I9984&amp;"-Q"&amp;ROUNDUP(MONTH(B9984)/3,0)</f>
        <v>2016-Q3</v>
      </c>
    </row>
    <row r="9985" customFormat="false" ht="15" hidden="false" customHeight="false" outlineLevel="0" collapsed="false">
      <c r="A9985" s="0" t="s">
        <v>5086</v>
      </c>
      <c r="B9985" s="6" t="n">
        <v>42635</v>
      </c>
      <c r="C9985" s="7" t="s">
        <v>45</v>
      </c>
      <c r="D9985" s="7" t="s">
        <v>70</v>
      </c>
      <c r="E9985" s="7" t="s">
        <v>39</v>
      </c>
      <c r="F9985" s="0" t="n">
        <v>97.98</v>
      </c>
      <c r="G9985" s="0" t="n">
        <v>27.4344</v>
      </c>
      <c r="H9985" s="0" t="n">
        <v>0</v>
      </c>
      <c r="I9985" s="7" t="n">
        <f aca="false">YEAR(B9985)</f>
        <v>2016</v>
      </c>
      <c r="J9985" s="0" t="str">
        <f aca="false">I9985&amp;"-Q"&amp;ROUNDUP(MONTH(B9985)/3,0)</f>
        <v>2016-Q3</v>
      </c>
    </row>
    <row r="9986" customFormat="false" ht="15" hidden="false" customHeight="false" outlineLevel="0" collapsed="false">
      <c r="A9986" s="0" t="s">
        <v>5087</v>
      </c>
      <c r="B9986" s="6" t="n">
        <v>42141</v>
      </c>
      <c r="C9986" s="7" t="s">
        <v>55</v>
      </c>
      <c r="D9986" s="7" t="s">
        <v>76</v>
      </c>
      <c r="E9986" s="7" t="s">
        <v>35</v>
      </c>
      <c r="F9986" s="0" t="n">
        <v>31.5</v>
      </c>
      <c r="G9986" s="0" t="n">
        <v>15.12</v>
      </c>
      <c r="H9986" s="0" t="n">
        <v>0</v>
      </c>
      <c r="I9986" s="7" t="n">
        <f aca="false">YEAR(B9986)</f>
        <v>2015</v>
      </c>
      <c r="J9986" s="0" t="str">
        <f aca="false">I9986&amp;"-Q"&amp;ROUNDUP(MONTH(B9986)/3,0)</f>
        <v>2015-Q2</v>
      </c>
    </row>
    <row r="9987" customFormat="false" ht="15" hidden="false" customHeight="false" outlineLevel="0" collapsed="false">
      <c r="A9987" s="0" t="s">
        <v>5087</v>
      </c>
      <c r="B9987" s="6" t="n">
        <v>42141</v>
      </c>
      <c r="C9987" s="7" t="s">
        <v>55</v>
      </c>
      <c r="D9987" s="7" t="s">
        <v>76</v>
      </c>
      <c r="E9987" s="7" t="s">
        <v>35</v>
      </c>
      <c r="F9987" s="0" t="n">
        <v>55.6</v>
      </c>
      <c r="G9987" s="0" t="n">
        <v>16.124</v>
      </c>
      <c r="H9987" s="0" t="n">
        <v>0</v>
      </c>
      <c r="I9987" s="7" t="n">
        <f aca="false">YEAR(B9987)</f>
        <v>2015</v>
      </c>
      <c r="J9987" s="0" t="str">
        <f aca="false">I9987&amp;"-Q"&amp;ROUNDUP(MONTH(B9987)/3,0)</f>
        <v>2015-Q2</v>
      </c>
    </row>
    <row r="9988" customFormat="false" ht="15" hidden="false" customHeight="false" outlineLevel="0" collapsed="false">
      <c r="A9988" s="0" t="s">
        <v>5088</v>
      </c>
      <c r="B9988" s="6" t="n">
        <v>42642</v>
      </c>
      <c r="C9988" s="7" t="s">
        <v>33</v>
      </c>
      <c r="D9988" s="7" t="s">
        <v>34</v>
      </c>
      <c r="E9988" s="7" t="s">
        <v>39</v>
      </c>
      <c r="F9988" s="0" t="n">
        <v>36.24</v>
      </c>
      <c r="G9988" s="0" t="n">
        <v>15.2208</v>
      </c>
      <c r="H9988" s="0" t="n">
        <v>0</v>
      </c>
      <c r="I9988" s="7" t="n">
        <f aca="false">YEAR(B9988)</f>
        <v>2016</v>
      </c>
      <c r="J9988" s="0" t="str">
        <f aca="false">I9988&amp;"-Q"&amp;ROUNDUP(MONTH(B9988)/3,0)</f>
        <v>2016-Q3</v>
      </c>
    </row>
    <row r="9989" customFormat="false" ht="15" hidden="false" customHeight="false" outlineLevel="0" collapsed="false">
      <c r="A9989" s="0" t="s">
        <v>5089</v>
      </c>
      <c r="B9989" s="6" t="n">
        <v>43056</v>
      </c>
      <c r="C9989" s="7" t="s">
        <v>29</v>
      </c>
      <c r="D9989" s="7" t="s">
        <v>230</v>
      </c>
      <c r="E9989" s="7" t="s">
        <v>39</v>
      </c>
      <c r="F9989" s="0" t="n">
        <v>79.99</v>
      </c>
      <c r="G9989" s="0" t="n">
        <v>28.7964</v>
      </c>
      <c r="H9989" s="0" t="n">
        <v>0</v>
      </c>
      <c r="I9989" s="7" t="n">
        <f aca="false">YEAR(B9989)</f>
        <v>2017</v>
      </c>
      <c r="J9989" s="0" t="str">
        <f aca="false">I9989&amp;"-Q"&amp;ROUNDUP(MONTH(B9989)/3,0)</f>
        <v>2017-Q4</v>
      </c>
    </row>
    <row r="9990" customFormat="false" ht="15" hidden="false" customHeight="false" outlineLevel="0" collapsed="false">
      <c r="A9990" s="0" t="s">
        <v>5089</v>
      </c>
      <c r="B9990" s="6" t="n">
        <v>43056</v>
      </c>
      <c r="C9990" s="7" t="s">
        <v>29</v>
      </c>
      <c r="D9990" s="7" t="s">
        <v>230</v>
      </c>
      <c r="E9990" s="7" t="s">
        <v>39</v>
      </c>
      <c r="F9990" s="0" t="n">
        <v>206.1</v>
      </c>
      <c r="G9990" s="0" t="n">
        <v>55.647</v>
      </c>
      <c r="H9990" s="0" t="n">
        <v>0</v>
      </c>
      <c r="I9990" s="7" t="n">
        <f aca="false">YEAR(B9990)</f>
        <v>2017</v>
      </c>
      <c r="J9990" s="0" t="str">
        <f aca="false">I9990&amp;"-Q"&amp;ROUNDUP(MONTH(B9990)/3,0)</f>
        <v>2017-Q4</v>
      </c>
    </row>
    <row r="9991" customFormat="false" ht="15" hidden="false" customHeight="false" outlineLevel="0" collapsed="false">
      <c r="A9991" s="0" t="s">
        <v>5090</v>
      </c>
      <c r="B9991" s="6" t="n">
        <v>41660</v>
      </c>
      <c r="C9991" s="7" t="s">
        <v>29</v>
      </c>
      <c r="D9991" s="7" t="s">
        <v>37</v>
      </c>
      <c r="E9991" s="7" t="s">
        <v>31</v>
      </c>
      <c r="F9991" s="0" t="n">
        <v>25.248</v>
      </c>
      <c r="G9991" s="0" t="n">
        <v>4.1028</v>
      </c>
      <c r="H9991" s="0" t="n">
        <v>0.2</v>
      </c>
      <c r="I9991" s="7" t="n">
        <f aca="false">YEAR(B9991)</f>
        <v>2014</v>
      </c>
      <c r="J9991" s="0" t="str">
        <f aca="false">I9991&amp;"-Q"&amp;ROUNDUP(MONTH(B9991)/3,0)</f>
        <v>2014-Q1</v>
      </c>
    </row>
    <row r="9992" customFormat="false" ht="15" hidden="false" customHeight="false" outlineLevel="0" collapsed="false">
      <c r="A9992" s="0" t="s">
        <v>5091</v>
      </c>
      <c r="B9992" s="6" t="n">
        <v>42792</v>
      </c>
      <c r="C9992" s="7" t="s">
        <v>33</v>
      </c>
      <c r="D9992" s="7" t="s">
        <v>34</v>
      </c>
      <c r="E9992" s="7" t="s">
        <v>31</v>
      </c>
      <c r="F9992" s="0" t="n">
        <v>91.96</v>
      </c>
      <c r="G9992" s="0" t="n">
        <v>15.6332</v>
      </c>
      <c r="H9992" s="0" t="n">
        <v>0</v>
      </c>
      <c r="I9992" s="7" t="n">
        <f aca="false">YEAR(B9992)</f>
        <v>2017</v>
      </c>
      <c r="J9992" s="0" t="str">
        <f aca="false">I9992&amp;"-Q"&amp;ROUNDUP(MONTH(B9992)/3,0)</f>
        <v>2017-Q1</v>
      </c>
    </row>
    <row r="9993" customFormat="false" ht="15" hidden="false" customHeight="false" outlineLevel="0" collapsed="false">
      <c r="A9993" s="0" t="s">
        <v>5091</v>
      </c>
      <c r="B9993" s="6" t="n">
        <v>42792</v>
      </c>
      <c r="C9993" s="7" t="s">
        <v>33</v>
      </c>
      <c r="D9993" s="7" t="s">
        <v>34</v>
      </c>
      <c r="E9993" s="7" t="s">
        <v>39</v>
      </c>
      <c r="F9993" s="0" t="n">
        <v>258.576</v>
      </c>
      <c r="G9993" s="0" t="n">
        <v>19.3932</v>
      </c>
      <c r="H9993" s="0" t="n">
        <v>0.2</v>
      </c>
      <c r="I9993" s="7" t="n">
        <f aca="false">YEAR(B9993)</f>
        <v>2017</v>
      </c>
      <c r="J9993" s="0" t="str">
        <f aca="false">I9993&amp;"-Q"&amp;ROUNDUP(MONTH(B9993)/3,0)</f>
        <v>2017-Q1</v>
      </c>
    </row>
    <row r="9994" customFormat="false" ht="15" hidden="false" customHeight="false" outlineLevel="0" collapsed="false">
      <c r="A9994" s="0" t="s">
        <v>5091</v>
      </c>
      <c r="B9994" s="6" t="n">
        <v>42792</v>
      </c>
      <c r="C9994" s="7" t="s">
        <v>33</v>
      </c>
      <c r="D9994" s="7" t="s">
        <v>34</v>
      </c>
      <c r="E9994" s="7" t="s">
        <v>35</v>
      </c>
      <c r="F9994" s="0" t="n">
        <v>29.6</v>
      </c>
      <c r="G9994" s="0" t="n">
        <v>13.32</v>
      </c>
      <c r="H9994" s="0" t="n">
        <v>0</v>
      </c>
      <c r="I9994" s="7" t="n">
        <f aca="false">YEAR(B9994)</f>
        <v>2017</v>
      </c>
      <c r="J9994" s="0" t="str">
        <f aca="false">I9994&amp;"-Q"&amp;ROUNDUP(MONTH(B9994)/3,0)</f>
        <v>2017-Q1</v>
      </c>
    </row>
    <row r="9995" customFormat="false" ht="15" hidden="false" customHeight="false" outlineLevel="0" collapsed="false">
      <c r="A9995" s="0" t="s">
        <v>5092</v>
      </c>
      <c r="B9995" s="6" t="n">
        <v>42859</v>
      </c>
      <c r="C9995" s="7" t="s">
        <v>33</v>
      </c>
      <c r="D9995" s="7" t="s">
        <v>34</v>
      </c>
      <c r="E9995" s="7" t="s">
        <v>35</v>
      </c>
      <c r="F9995" s="0" t="n">
        <v>243.16</v>
      </c>
      <c r="G9995" s="0" t="n">
        <v>72.948</v>
      </c>
      <c r="H9995" s="0" t="n">
        <v>0</v>
      </c>
      <c r="I9995" s="7" t="n">
        <f aca="false">YEAR(B9995)</f>
        <v>2017</v>
      </c>
      <c r="J9995" s="0" t="str">
        <f aca="false">I9995&amp;"-Q"&amp;ROUNDUP(MONTH(B9995)/3,0)</f>
        <v>2017-Q2</v>
      </c>
    </row>
  </sheetData>
  <autoFilter ref="A1:J999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8" min="2" style="0" width="15"/>
  </cols>
  <sheetData>
    <row r="1" customFormat="false" ht="17.35" hidden="false" customHeight="false" outlineLevel="0" collapsed="false">
      <c r="A1" s="8" t="s">
        <v>5093</v>
      </c>
    </row>
    <row r="2" customFormat="false" ht="15" hidden="false" customHeight="false" outlineLevel="0" collapsed="false">
      <c r="A2" s="2" t="s">
        <v>5094</v>
      </c>
    </row>
    <row r="3" customFormat="false" ht="15" hidden="false" customHeight="false" outlineLevel="0" collapsed="false">
      <c r="A3" s="9" t="s">
        <v>5095</v>
      </c>
    </row>
    <row r="4" customFormat="false" ht="30" hidden="false" customHeight="true" outlineLevel="0" collapsed="false">
      <c r="A4" s="5" t="s">
        <v>20</v>
      </c>
      <c r="B4" s="5" t="n">
        <v>2014</v>
      </c>
      <c r="C4" s="5" t="n">
        <v>2015</v>
      </c>
      <c r="D4" s="5" t="n">
        <v>2016</v>
      </c>
      <c r="E4" s="5" t="n">
        <v>2017</v>
      </c>
      <c r="F4" s="5" t="s">
        <v>5096</v>
      </c>
      <c r="G4" s="5" t="s">
        <v>5097</v>
      </c>
      <c r="H4" s="5" t="s">
        <v>5098</v>
      </c>
    </row>
    <row r="5" customFormat="false" ht="15" hidden="false" customHeight="false" outlineLevel="0" collapsed="false">
      <c r="A5" s="10" t="s">
        <v>45</v>
      </c>
      <c r="B5" s="11" t="n">
        <f aca="false">SUMIFS(Data!$F$2:$F$9995,Data!$C$2:$C$9995,$A5,Data!$I$2:$I$9995,B$4)</f>
        <v>103838.1646</v>
      </c>
      <c r="C5" s="11" t="n">
        <f aca="false">SUMIFS(Data!$F$2:$F$9995,Data!$C$2:$C$9995,$A5,Data!$I$2:$I$9995,C$4)</f>
        <v>102874.222</v>
      </c>
      <c r="D5" s="11" t="n">
        <f aca="false">SUMIFS(Data!$F$2:$F$9995,Data!$C$2:$C$9995,$A5,Data!$I$2:$I$9995,D$4)</f>
        <v>147429.376</v>
      </c>
      <c r="E5" s="11" t="n">
        <f aca="false">SUMIFS(Data!$F$2:$F$9995,Data!$C$2:$C$9995,$A5,Data!$I$2:$I$9995,E$4)</f>
        <v>147098.1282</v>
      </c>
      <c r="F5" s="12" t="n">
        <f aca="false">(E5/B5)^(1/(E$4-B$4))-1</f>
        <v>0.123095570636679</v>
      </c>
      <c r="G5" s="11" t="n">
        <f aca="false">E5-B5</f>
        <v>43259.9636</v>
      </c>
      <c r="H5" s="12" t="n">
        <f aca="false">G5/G$9</f>
        <v>0.17375729332945</v>
      </c>
    </row>
    <row r="6" customFormat="false" ht="15" hidden="false" customHeight="false" outlineLevel="0" collapsed="false">
      <c r="A6" s="10" t="s">
        <v>55</v>
      </c>
      <c r="B6" s="11" t="n">
        <f aca="false">SUMIFS(Data!$F$2:$F$9995,Data!$C$2:$C$9995,$A6,Data!$I$2:$I$9995,B$4)</f>
        <v>128680.457</v>
      </c>
      <c r="C6" s="11" t="n">
        <f aca="false">SUMIFS(Data!$F$2:$F$9995,Data!$C$2:$C$9995,$A6,Data!$I$2:$I$9995,C$4)</f>
        <v>156332.057</v>
      </c>
      <c r="D6" s="11" t="n">
        <f aca="false">SUMIFS(Data!$F$2:$F$9995,Data!$C$2:$C$9995,$A6,Data!$I$2:$I$9995,D$4)</f>
        <v>180685.822</v>
      </c>
      <c r="E6" s="11" t="n">
        <f aca="false">SUMIFS(Data!$F$2:$F$9995,Data!$C$2:$C$9995,$A6,Data!$I$2:$I$9995,E$4)</f>
        <v>213082.904</v>
      </c>
      <c r="F6" s="12" t="n">
        <f aca="false">(E6/B6)^(1/(E$4-B$4))-1</f>
        <v>0.183074256023143</v>
      </c>
      <c r="G6" s="11" t="n">
        <f aca="false">E6-B6</f>
        <v>84402.447</v>
      </c>
      <c r="H6" s="12" t="n">
        <f aca="false">G6/G$9</f>
        <v>0.33900954879912</v>
      </c>
    </row>
    <row r="7" customFormat="false" ht="15" hidden="false" customHeight="false" outlineLevel="0" collapsed="false">
      <c r="A7" s="10" t="s">
        <v>29</v>
      </c>
      <c r="B7" s="11" t="n">
        <f aca="false">SUMIFS(Data!$F$2:$F$9995,Data!$C$2:$C$9995,$A7,Data!$I$2:$I$9995,B$4)</f>
        <v>103845.8435</v>
      </c>
      <c r="C7" s="11" t="n">
        <f aca="false">SUMIFS(Data!$F$2:$F$9995,Data!$C$2:$C$9995,$A7,Data!$I$2:$I$9995,C$4)</f>
        <v>71359.9805</v>
      </c>
      <c r="D7" s="11" t="n">
        <f aca="false">SUMIFS(Data!$F$2:$F$9995,Data!$C$2:$C$9995,$A7,Data!$I$2:$I$9995,D$4)</f>
        <v>93610.2235</v>
      </c>
      <c r="E7" s="11" t="n">
        <f aca="false">SUMIFS(Data!$F$2:$F$9995,Data!$C$2:$C$9995,$A7,Data!$I$2:$I$9995,E$4)</f>
        <v>122905.8575</v>
      </c>
      <c r="F7" s="12" t="n">
        <f aca="false">(E7/B7)^(1/(E$4-B$4))-1</f>
        <v>0.0577778963500515</v>
      </c>
      <c r="G7" s="11" t="n">
        <f aca="false">E7-B7</f>
        <v>19060.014</v>
      </c>
      <c r="H7" s="12" t="n">
        <f aca="false">G7/G$9</f>
        <v>0.076556154186441</v>
      </c>
    </row>
    <row r="8" customFormat="false" ht="15" hidden="false" customHeight="false" outlineLevel="0" collapsed="false">
      <c r="A8" s="10" t="s">
        <v>33</v>
      </c>
      <c r="B8" s="11" t="n">
        <f aca="false">SUMIFS(Data!$F$2:$F$9995,Data!$C$2:$C$9995,$A8,Data!$I$2:$I$9995,B$4)</f>
        <v>147883.033</v>
      </c>
      <c r="C8" s="11" t="n">
        <f aca="false">SUMIFS(Data!$F$2:$F$9995,Data!$C$2:$C$9995,$A8,Data!$I$2:$I$9995,C$4)</f>
        <v>139966.2495</v>
      </c>
      <c r="D8" s="11" t="n">
        <f aca="false">SUMIFS(Data!$F$2:$F$9995,Data!$C$2:$C$9995,$A8,Data!$I$2:$I$9995,D$4)</f>
        <v>187480.1765</v>
      </c>
      <c r="E8" s="11" t="n">
        <f aca="false">SUMIFS(Data!$F$2:$F$9995,Data!$C$2:$C$9995,$A8,Data!$I$2:$I$9995,E$4)</f>
        <v>250128.3655</v>
      </c>
      <c r="F8" s="12" t="n">
        <f aca="false">(E8/B8)^(1/(E$4-B$4))-1</f>
        <v>0.191465666105494</v>
      </c>
      <c r="G8" s="11" t="n">
        <f aca="false">E8-B8</f>
        <v>102245.3325</v>
      </c>
      <c r="H8" s="12" t="n">
        <f aca="false">G8/G$9</f>
        <v>0.410677003684988</v>
      </c>
    </row>
    <row r="9" customFormat="false" ht="15" hidden="false" customHeight="false" outlineLevel="0" collapsed="false">
      <c r="A9" s="13" t="s">
        <v>5099</v>
      </c>
      <c r="B9" s="14" t="n">
        <f aca="false">SUM(B5:B8)</f>
        <v>484247.4981</v>
      </c>
      <c r="C9" s="14" t="n">
        <f aca="false">SUM(C5:C8)</f>
        <v>470532.509</v>
      </c>
      <c r="D9" s="14" t="n">
        <f aca="false">SUM(D5:D8)</f>
        <v>609205.598</v>
      </c>
      <c r="E9" s="14" t="n">
        <f aca="false">SUM(E5:E8)</f>
        <v>733215.2552</v>
      </c>
      <c r="F9" s="15" t="n">
        <f aca="false">(E9/B9)^(1/(E$4-B$4))-1</f>
        <v>0.148298248059146</v>
      </c>
      <c r="G9" s="14" t="n">
        <f aca="false">E9-B9</f>
        <v>248967.7571</v>
      </c>
      <c r="H9" s="15" t="n">
        <f aca="false">G9/G$9</f>
        <v>1</v>
      </c>
    </row>
    <row r="11" customFormat="false" ht="15" hidden="false" customHeight="false" outlineLevel="0" collapsed="false">
      <c r="A11" s="9" t="s">
        <v>5100</v>
      </c>
    </row>
    <row r="12" customFormat="false" ht="15" hidden="false" customHeight="false" outlineLevel="0" collapsed="false">
      <c r="A12" s="5" t="s">
        <v>20</v>
      </c>
      <c r="B12" s="5" t="n">
        <v>2014</v>
      </c>
      <c r="C12" s="5" t="n">
        <v>2015</v>
      </c>
      <c r="D12" s="5" t="n">
        <v>2016</v>
      </c>
      <c r="E12" s="5" t="n">
        <v>2017</v>
      </c>
    </row>
    <row r="13" customFormat="false" ht="15" hidden="false" customHeight="false" outlineLevel="0" collapsed="false">
      <c r="A13" s="16" t="s">
        <v>45</v>
      </c>
      <c r="B13" s="17" t="s">
        <v>5101</v>
      </c>
      <c r="C13" s="12" t="n">
        <f aca="false">IFERROR(C5/B5-1,"n/a")</f>
        <v>-0.00928312440530188</v>
      </c>
      <c r="D13" s="12" t="n">
        <f aca="false">IFERROR(D5/C5-1,"n/a")</f>
        <v>0.433103192751241</v>
      </c>
      <c r="E13" s="12" t="n">
        <f aca="false">IFERROR(E5/D5-1,"n/a")</f>
        <v>-0.00224682359097816</v>
      </c>
    </row>
    <row r="14" customFormat="false" ht="15" hidden="false" customHeight="false" outlineLevel="0" collapsed="false">
      <c r="A14" s="16" t="s">
        <v>55</v>
      </c>
      <c r="B14" s="17" t="s">
        <v>5101</v>
      </c>
      <c r="C14" s="12" t="n">
        <f aca="false">IFERROR(C6/B6-1,"n/a")</f>
        <v>0.214885777099781</v>
      </c>
      <c r="D14" s="12" t="n">
        <f aca="false">IFERROR(D6/C6-1,"n/a")</f>
        <v>0.15578228462765</v>
      </c>
      <c r="E14" s="12" t="n">
        <f aca="false">IFERROR(E6/D6-1,"n/a")</f>
        <v>0.179300631568093</v>
      </c>
    </row>
    <row r="15" customFormat="false" ht="15" hidden="false" customHeight="false" outlineLevel="0" collapsed="false">
      <c r="A15" s="16" t="s">
        <v>29</v>
      </c>
      <c r="B15" s="17" t="s">
        <v>5101</v>
      </c>
      <c r="C15" s="12" t="n">
        <f aca="false">IFERROR(C7/B7-1,"n/a")</f>
        <v>-0.312827763780454</v>
      </c>
      <c r="D15" s="12" t="n">
        <f aca="false">IFERROR(D7/C7-1,"n/a")</f>
        <v>0.311802817827283</v>
      </c>
      <c r="E15" s="12" t="n">
        <f aca="false">IFERROR(E7/D7-1,"n/a")</f>
        <v>0.312953360270526</v>
      </c>
    </row>
    <row r="16" customFormat="false" ht="15" hidden="false" customHeight="false" outlineLevel="0" collapsed="false">
      <c r="A16" s="16" t="s">
        <v>33</v>
      </c>
      <c r="B16" s="17" t="s">
        <v>5101</v>
      </c>
      <c r="C16" s="12" t="n">
        <f aca="false">IFERROR(C8/B8-1,"n/a")</f>
        <v>-0.0535340893366718</v>
      </c>
      <c r="D16" s="12" t="n">
        <f aca="false">IFERROR(D8/C8-1,"n/a")</f>
        <v>0.339467029871369</v>
      </c>
      <c r="E16" s="12" t="n">
        <f aca="false">IFERROR(E8/D8-1,"n/a")</f>
        <v>0.334159003738723</v>
      </c>
    </row>
    <row r="17" customFormat="false" ht="15" hidden="false" customHeight="false" outlineLevel="0" collapsed="false">
      <c r="A17" s="13" t="s">
        <v>5099</v>
      </c>
      <c r="B17" s="18" t="s">
        <v>5101</v>
      </c>
      <c r="C17" s="15" t="n">
        <f aca="false">IFERROR(C9/B9-1,"n/a")</f>
        <v>-0.0283222714702964</v>
      </c>
      <c r="D17" s="15" t="n">
        <f aca="false">IFERROR(D9/C9-1,"n/a")</f>
        <v>0.294715213821709</v>
      </c>
      <c r="E17" s="15" t="n">
        <f aca="false">IFERROR(E9/D9-1,"n/a")</f>
        <v>0.203559615353371</v>
      </c>
    </row>
    <row r="19" customFormat="false" ht="15" hidden="false" customHeight="false" outlineLevel="0" collapsed="false">
      <c r="A19" s="9" t="s">
        <v>5102</v>
      </c>
    </row>
    <row r="20" customFormat="false" ht="15" hidden="false" customHeight="false" outlineLevel="0" collapsed="false">
      <c r="A20" s="5" t="s">
        <v>20</v>
      </c>
      <c r="B20" s="5" t="n">
        <v>2014</v>
      </c>
      <c r="C20" s="5" t="n">
        <v>2015</v>
      </c>
      <c r="D20" s="5" t="n">
        <v>2016</v>
      </c>
      <c r="E20" s="5" t="n">
        <v>2017</v>
      </c>
      <c r="F20" s="5" t="s">
        <v>5103</v>
      </c>
    </row>
    <row r="21" customFormat="false" ht="15" hidden="false" customHeight="false" outlineLevel="0" collapsed="false">
      <c r="A21" s="10" t="s">
        <v>45</v>
      </c>
      <c r="B21" s="11" t="n">
        <f aca="false">SUMIFS(Data!$G$2:$G$9995,Data!$C$2:$C$9995,$A21,Data!$I$2:$I$9995,B$20)</f>
        <v>539.5534</v>
      </c>
      <c r="C21" s="11" t="n">
        <f aca="false">SUMIFS(Data!$G$2:$G$9995,Data!$C$2:$C$9995,$A21,Data!$I$2:$I$9995,C$20)</f>
        <v>11716.802</v>
      </c>
      <c r="D21" s="11" t="n">
        <f aca="false">SUMIFS(Data!$G$2:$G$9995,Data!$C$2:$C$9995,$A21,Data!$I$2:$I$9995,D$20)</f>
        <v>19899.1629</v>
      </c>
      <c r="E21" s="11" t="n">
        <f aca="false">SUMIFS(Data!$G$2:$G$9995,Data!$C$2:$C$9995,$A21,Data!$I$2:$I$9995,E$20)</f>
        <v>7550.8442</v>
      </c>
      <c r="F21" s="11" t="n">
        <f aca="false">SUM(B21:E21)</f>
        <v>39706.3625</v>
      </c>
    </row>
    <row r="22" customFormat="false" ht="15" hidden="false" customHeight="false" outlineLevel="0" collapsed="false">
      <c r="A22" s="10" t="s">
        <v>55</v>
      </c>
      <c r="B22" s="11" t="n">
        <f aca="false">SUMIFS(Data!$G$2:$G$9995,Data!$C$2:$C$9995,$A22,Data!$I$2:$I$9995,B$20)</f>
        <v>17059.6095</v>
      </c>
      <c r="C22" s="11" t="n">
        <f aca="false">SUMIFS(Data!$G$2:$G$9995,Data!$C$2:$C$9995,$A22,Data!$I$2:$I$9995,C$20)</f>
        <v>21091.013</v>
      </c>
      <c r="D22" s="11" t="n">
        <f aca="false">SUMIFS(Data!$G$2:$G$9995,Data!$C$2:$C$9995,$A22,Data!$I$2:$I$9995,D$20)</f>
        <v>20141.5961</v>
      </c>
      <c r="E22" s="11" t="n">
        <f aca="false">SUMIFS(Data!$G$2:$G$9995,Data!$C$2:$C$9995,$A22,Data!$I$2:$I$9995,E$20)</f>
        <v>33230.5614</v>
      </c>
      <c r="F22" s="11" t="n">
        <f aca="false">SUM(B22:E22)</f>
        <v>91522.78</v>
      </c>
    </row>
    <row r="23" customFormat="false" ht="15" hidden="false" customHeight="false" outlineLevel="0" collapsed="false">
      <c r="A23" s="10" t="s">
        <v>29</v>
      </c>
      <c r="B23" s="11" t="n">
        <f aca="false">SUMIFS(Data!$G$2:$G$9995,Data!$C$2:$C$9995,$A23,Data!$I$2:$I$9995,B$20)</f>
        <v>11879.12</v>
      </c>
      <c r="C23" s="11" t="n">
        <f aca="false">SUMIFS(Data!$G$2:$G$9995,Data!$C$2:$C$9995,$A23,Data!$I$2:$I$9995,C$20)</f>
        <v>8318.594</v>
      </c>
      <c r="D23" s="11" t="n">
        <f aca="false">SUMIFS(Data!$G$2:$G$9995,Data!$C$2:$C$9995,$A23,Data!$I$2:$I$9995,D$20)</f>
        <v>17702.8084</v>
      </c>
      <c r="E23" s="11" t="n">
        <f aca="false">SUMIFS(Data!$G$2:$G$9995,Data!$C$2:$C$9995,$A23,Data!$I$2:$I$9995,E$20)</f>
        <v>8848.9079</v>
      </c>
      <c r="F23" s="11" t="n">
        <f aca="false">SUM(B23:E23)</f>
        <v>46749.4303</v>
      </c>
    </row>
    <row r="24" customFormat="false" ht="15" hidden="false" customHeight="false" outlineLevel="0" collapsed="false">
      <c r="A24" s="10" t="s">
        <v>33</v>
      </c>
      <c r="B24" s="11" t="n">
        <f aca="false">SUMIFS(Data!$G$2:$G$9995,Data!$C$2:$C$9995,$A24,Data!$I$2:$I$9995,B$20)</f>
        <v>20065.6912</v>
      </c>
      <c r="C24" s="11" t="n">
        <f aca="false">SUMIFS(Data!$G$2:$G$9995,Data!$C$2:$C$9995,$A24,Data!$I$2:$I$9995,C$20)</f>
        <v>20492.1947</v>
      </c>
      <c r="D24" s="11" t="n">
        <f aca="false">SUMIFS(Data!$G$2:$G$9995,Data!$C$2:$C$9995,$A24,Data!$I$2:$I$9995,D$20)</f>
        <v>24051.6069</v>
      </c>
      <c r="E24" s="11" t="n">
        <f aca="false">SUMIFS(Data!$G$2:$G$9995,Data!$C$2:$C$9995,$A24,Data!$I$2:$I$9995,E$20)</f>
        <v>43808.9561</v>
      </c>
      <c r="F24" s="11" t="n">
        <f aca="false">SUM(B24:E24)</f>
        <v>108418.4489</v>
      </c>
    </row>
    <row r="25" customFormat="false" ht="15" hidden="false" customHeight="false" outlineLevel="0" collapsed="false">
      <c r="A25" s="13" t="s">
        <v>5099</v>
      </c>
      <c r="B25" s="14" t="n">
        <f aca="false">SUM(B21:B24)</f>
        <v>49543.9741</v>
      </c>
      <c r="C25" s="14" t="n">
        <f aca="false">SUM(C21:C24)</f>
        <v>61618.6037</v>
      </c>
      <c r="D25" s="14" t="n">
        <f aca="false">SUM(D21:D24)</f>
        <v>81795.1743</v>
      </c>
      <c r="E25" s="14" t="n">
        <f aca="false">SUM(E21:E24)</f>
        <v>93439.2696</v>
      </c>
      <c r="F25" s="14" t="n">
        <f aca="false">SUM(B25:E25)</f>
        <v>286397.0217</v>
      </c>
    </row>
    <row r="27" customFormat="false" ht="15" hidden="false" customHeight="false" outlineLevel="0" collapsed="false">
      <c r="A27" s="9" t="s">
        <v>5104</v>
      </c>
    </row>
    <row r="28" customFormat="false" ht="15" hidden="false" customHeight="false" outlineLevel="0" collapsed="false">
      <c r="A28" s="5" t="s">
        <v>20</v>
      </c>
      <c r="B28" s="5" t="n">
        <v>2014</v>
      </c>
      <c r="C28" s="5" t="n">
        <v>2015</v>
      </c>
      <c r="D28" s="5" t="n">
        <v>2016</v>
      </c>
      <c r="E28" s="5" t="n">
        <v>2017</v>
      </c>
    </row>
    <row r="29" customFormat="false" ht="15" hidden="false" customHeight="false" outlineLevel="0" collapsed="false">
      <c r="A29" s="16" t="s">
        <v>45</v>
      </c>
      <c r="B29" s="17" t="s">
        <v>5101</v>
      </c>
      <c r="C29" s="12" t="n">
        <f aca="false">IFERROR(C21/B21-1,"n/a")</f>
        <v>20.7157412037437</v>
      </c>
      <c r="D29" s="12" t="n">
        <f aca="false">IFERROR(D21/C21-1,"n/a")</f>
        <v>0.698344215426701</v>
      </c>
      <c r="E29" s="12" t="n">
        <f aca="false">IFERROR(E21/D21-1,"n/a")</f>
        <v>-0.620544631050787</v>
      </c>
    </row>
    <row r="30" customFormat="false" ht="15" hidden="false" customHeight="false" outlineLevel="0" collapsed="false">
      <c r="A30" s="16" t="s">
        <v>55</v>
      </c>
      <c r="B30" s="17" t="s">
        <v>5101</v>
      </c>
      <c r="C30" s="12" t="n">
        <f aca="false">IFERROR(C22/B22-1,"n/a")</f>
        <v>0.236312765541322</v>
      </c>
      <c r="D30" s="12" t="n">
        <f aca="false">IFERROR(D22/C22-1,"n/a")</f>
        <v>-0.0450152346878739</v>
      </c>
      <c r="E30" s="12" t="n">
        <f aca="false">IFERROR(E22/D22-1,"n/a")</f>
        <v>0.649847471621179</v>
      </c>
    </row>
    <row r="31" customFormat="false" ht="15" hidden="false" customHeight="false" outlineLevel="0" collapsed="false">
      <c r="A31" s="16" t="s">
        <v>29</v>
      </c>
      <c r="B31" s="17" t="s">
        <v>5101</v>
      </c>
      <c r="C31" s="12" t="n">
        <f aca="false">IFERROR(C23/B23-1,"n/a")</f>
        <v>-0.299729777963351</v>
      </c>
      <c r="D31" s="12" t="n">
        <f aca="false">IFERROR(D23/C23-1,"n/a")</f>
        <v>1.12810102284112</v>
      </c>
      <c r="E31" s="12" t="n">
        <f aca="false">IFERROR(E23/D23-1,"n/a")</f>
        <v>-0.500141011524477</v>
      </c>
    </row>
    <row r="32" customFormat="false" ht="15" hidden="false" customHeight="false" outlineLevel="0" collapsed="false">
      <c r="A32" s="16" t="s">
        <v>33</v>
      </c>
      <c r="B32" s="17" t="s">
        <v>5101</v>
      </c>
      <c r="C32" s="12" t="n">
        <f aca="false">IFERROR(C24/B24-1,"n/a")</f>
        <v>0.0212553604931387</v>
      </c>
      <c r="D32" s="12" t="n">
        <f aca="false">IFERROR(D24/C24-1,"n/a")</f>
        <v>0.173695997530221</v>
      </c>
      <c r="E32" s="12" t="n">
        <f aca="false">IFERROR(E24/D24-1,"n/a")</f>
        <v>0.821456515655925</v>
      </c>
    </row>
    <row r="33" customFormat="false" ht="15" hidden="false" customHeight="false" outlineLevel="0" collapsed="false">
      <c r="A33" s="13" t="s">
        <v>5099</v>
      </c>
      <c r="B33" s="18" t="s">
        <v>5101</v>
      </c>
      <c r="C33" s="15" t="n">
        <f aca="false">IFERROR(C25/B25-1,"n/a")</f>
        <v>0.243715402717361</v>
      </c>
      <c r="D33" s="15" t="n">
        <f aca="false">IFERROR(D25/C25-1,"n/a")</f>
        <v>0.327442840123948</v>
      </c>
      <c r="E33" s="15" t="n">
        <f aca="false">IFERROR(E25/D25-1,"n/a")</f>
        <v>0.142356751478919</v>
      </c>
    </row>
    <row r="35" customFormat="false" ht="15" hidden="false" customHeight="false" outlineLevel="0" collapsed="false">
      <c r="A35" s="9" t="s">
        <v>5105</v>
      </c>
    </row>
    <row r="36" customFormat="false" ht="15" hidden="false" customHeight="false" outlineLevel="0" collapsed="false">
      <c r="A36" s="5" t="s">
        <v>20</v>
      </c>
      <c r="B36" s="5" t="n">
        <v>2014</v>
      </c>
      <c r="C36" s="5" t="n">
        <v>2015</v>
      </c>
      <c r="D36" s="5" t="n">
        <v>2016</v>
      </c>
      <c r="E36" s="5" t="n">
        <v>2017</v>
      </c>
    </row>
    <row r="37" customFormat="false" ht="15" hidden="false" customHeight="false" outlineLevel="0" collapsed="false">
      <c r="A37" s="16" t="s">
        <v>45</v>
      </c>
      <c r="B37" s="12" t="n">
        <f aca="false">IFERROR(B21/B5,0)</f>
        <v>0.00519609916140601</v>
      </c>
      <c r="C37" s="12" t="n">
        <f aca="false">IFERROR(C21/C5,0)</f>
        <v>0.113894440922236</v>
      </c>
      <c r="D37" s="12" t="n">
        <f aca="false">IFERROR(D21/D5,0)</f>
        <v>0.134974205547746</v>
      </c>
      <c r="E37" s="12" t="n">
        <f aca="false">IFERROR(E21/E5,0)</f>
        <v>0.0513320209604135</v>
      </c>
    </row>
    <row r="38" customFormat="false" ht="15" hidden="false" customHeight="false" outlineLevel="0" collapsed="false">
      <c r="A38" s="16" t="s">
        <v>55</v>
      </c>
      <c r="B38" s="12" t="n">
        <f aca="false">IFERROR(B22/B6,0)</f>
        <v>0.132573429545716</v>
      </c>
      <c r="C38" s="12" t="n">
        <f aca="false">IFERROR(C22/C6,0)</f>
        <v>0.134911632359574</v>
      </c>
      <c r="D38" s="12" t="n">
        <f aca="false">IFERROR(D22/D6,0)</f>
        <v>0.11147303024141</v>
      </c>
      <c r="E38" s="12" t="n">
        <f aca="false">IFERROR(E22/E6,0)</f>
        <v>0.155951325874553</v>
      </c>
    </row>
    <row r="39" customFormat="false" ht="15" hidden="false" customHeight="false" outlineLevel="0" collapsed="false">
      <c r="A39" s="16" t="s">
        <v>29</v>
      </c>
      <c r="B39" s="12" t="n">
        <f aca="false">IFERROR(B23/B7,0)</f>
        <v>0.114391867788141</v>
      </c>
      <c r="C39" s="12" t="n">
        <f aca="false">IFERROR(C23/C7,0)</f>
        <v>0.11657225719113</v>
      </c>
      <c r="D39" s="12" t="n">
        <f aca="false">IFERROR(D23/D7,0)</f>
        <v>0.189111912546603</v>
      </c>
      <c r="E39" s="12" t="n">
        <f aca="false">IFERROR(E23/E7,0)</f>
        <v>0.0719974465008716</v>
      </c>
    </row>
    <row r="40" customFormat="false" ht="15" hidden="false" customHeight="false" outlineLevel="0" collapsed="false">
      <c r="A40" s="16" t="s">
        <v>33</v>
      </c>
      <c r="B40" s="12" t="n">
        <f aca="false">IFERROR(B24/B8,0)</f>
        <v>0.135686229805687</v>
      </c>
      <c r="C40" s="12" t="n">
        <f aca="false">IFERROR(C24/C8,0)</f>
        <v>0.146408114621947</v>
      </c>
      <c r="D40" s="12" t="n">
        <f aca="false">IFERROR(D24/D8,0)</f>
        <v>0.128288800176162</v>
      </c>
      <c r="E40" s="12" t="n">
        <f aca="false">IFERROR(E24/E8,0)</f>
        <v>0.17514589363916</v>
      </c>
    </row>
    <row r="41" customFormat="false" ht="15" hidden="false" customHeight="false" outlineLevel="0" collapsed="false">
      <c r="A41" s="13" t="s">
        <v>5099</v>
      </c>
      <c r="B41" s="15" t="n">
        <f aca="false">IFERROR(B25/B9,0)</f>
        <v>0.102311264992367</v>
      </c>
      <c r="C41" s="15" t="n">
        <f aca="false">IFERROR(C25/C9,0)</f>
        <v>0.130955040345576</v>
      </c>
      <c r="D41" s="15" t="n">
        <f aca="false">IFERROR(D25/D9,0)</f>
        <v>0.134265303156325</v>
      </c>
      <c r="E41" s="15" t="n">
        <f aca="false">IFERROR(E25/E9,0)</f>
        <v>0.127437705281394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3"/>
    <col collapsed="false" customWidth="true" hidden="false" outlineLevel="0" max="7" min="7" style="0" width="3"/>
    <col collapsed="false" customWidth="true" hidden="false" outlineLevel="0" max="8" min="8" style="0" width="14"/>
    <col collapsed="false" customWidth="true" hidden="false" outlineLevel="0" max="13" min="9" style="0" width="13"/>
  </cols>
  <sheetData>
    <row r="1" customFormat="false" ht="17.35" hidden="false" customHeight="false" outlineLevel="0" collapsed="false">
      <c r="A1" s="8" t="s">
        <v>5106</v>
      </c>
    </row>
    <row r="2" customFormat="false" ht="15" hidden="false" customHeight="false" outlineLevel="0" collapsed="false">
      <c r="A2" s="2" t="s">
        <v>5107</v>
      </c>
    </row>
    <row r="3" customFormat="false" ht="15" hidden="false" customHeight="false" outlineLevel="0" collapsed="false">
      <c r="A3" s="5" t="s">
        <v>27</v>
      </c>
      <c r="B3" s="5" t="s">
        <v>45</v>
      </c>
      <c r="C3" s="5" t="s">
        <v>55</v>
      </c>
      <c r="D3" s="5" t="s">
        <v>29</v>
      </c>
      <c r="E3" s="5" t="s">
        <v>33</v>
      </c>
      <c r="F3" s="5" t="s">
        <v>5099</v>
      </c>
      <c r="H3" s="5" t="s">
        <v>27</v>
      </c>
      <c r="I3" s="5" t="s">
        <v>45</v>
      </c>
      <c r="J3" s="5" t="s">
        <v>55</v>
      </c>
      <c r="K3" s="5" t="s">
        <v>29</v>
      </c>
      <c r="L3" s="5" t="s">
        <v>33</v>
      </c>
      <c r="M3" s="5" t="s">
        <v>5099</v>
      </c>
    </row>
    <row r="4" customFormat="false" ht="15" hidden="false" customHeight="false" outlineLevel="0" collapsed="false">
      <c r="A4" s="10" t="s">
        <v>5108</v>
      </c>
      <c r="B4" s="11" t="n">
        <f aca="false">SUMIFS(Data!$F$2:$F$9995,Data!$C$2:$C$9995,B$3,Data!$J$2:$J$9995,$A4)</f>
        <v>8600.682</v>
      </c>
      <c r="C4" s="11" t="n">
        <f aca="false">SUMIFS(Data!$F$2:$F$9995,Data!$C$2:$C$9995,C$3,Data!$J$2:$J$9995,$A4)</f>
        <v>6579.338</v>
      </c>
      <c r="D4" s="11" t="n">
        <f aca="false">SUMIFS(Data!$F$2:$F$9995,Data!$C$2:$C$9995,D$3,Data!$J$2:$J$9995,$A4)</f>
        <v>44262.199</v>
      </c>
      <c r="E4" s="11" t="n">
        <f aca="false">SUMIFS(Data!$F$2:$F$9995,Data!$C$2:$C$9995,E$3,Data!$J$2:$J$9995,$A4)</f>
        <v>15005.577</v>
      </c>
      <c r="F4" s="14" t="n">
        <f aca="false">SUM(B4:E4)</f>
        <v>74447.796</v>
      </c>
      <c r="H4" s="10" t="s">
        <v>5108</v>
      </c>
      <c r="I4" s="17" t="s">
        <v>5101</v>
      </c>
      <c r="J4" s="17" t="s">
        <v>5101</v>
      </c>
      <c r="K4" s="17" t="s">
        <v>5101</v>
      </c>
      <c r="L4" s="17" t="s">
        <v>5101</v>
      </c>
      <c r="M4" s="18" t="s">
        <v>5101</v>
      </c>
    </row>
    <row r="5" customFormat="false" ht="15" hidden="false" customHeight="false" outlineLevel="0" collapsed="false">
      <c r="A5" s="10" t="s">
        <v>5109</v>
      </c>
      <c r="B5" s="11" t="n">
        <f aca="false">SUMIFS(Data!$F$2:$F$9995,Data!$C$2:$C$9995,B$3,Data!$J$2:$J$9995,$A5)</f>
        <v>17407.1446</v>
      </c>
      <c r="C5" s="11" t="n">
        <f aca="false">SUMIFS(Data!$F$2:$F$9995,Data!$C$2:$C$9995,C$3,Data!$J$2:$J$9995,$A5)</f>
        <v>21064.165</v>
      </c>
      <c r="D5" s="11" t="n">
        <f aca="false">SUMIFS(Data!$F$2:$F$9995,Data!$C$2:$C$9995,D$3,Data!$J$2:$J$9995,$A5)</f>
        <v>22524.103</v>
      </c>
      <c r="E5" s="11" t="n">
        <f aca="false">SUMIFS(Data!$F$2:$F$9995,Data!$C$2:$C$9995,E$3,Data!$J$2:$J$9995,$A5)</f>
        <v>25543.347</v>
      </c>
      <c r="F5" s="14" t="n">
        <f aca="false">SUM(B5:E5)</f>
        <v>86538.7596</v>
      </c>
      <c r="H5" s="10" t="s">
        <v>5109</v>
      </c>
      <c r="I5" s="17" t="s">
        <v>5101</v>
      </c>
      <c r="J5" s="17" t="s">
        <v>5101</v>
      </c>
      <c r="K5" s="17" t="s">
        <v>5101</v>
      </c>
      <c r="L5" s="17" t="s">
        <v>5101</v>
      </c>
      <c r="M5" s="18" t="s">
        <v>5101</v>
      </c>
    </row>
    <row r="6" customFormat="false" ht="15" hidden="false" customHeight="false" outlineLevel="0" collapsed="false">
      <c r="A6" s="10" t="s">
        <v>5110</v>
      </c>
      <c r="B6" s="11" t="n">
        <f aca="false">SUMIFS(Data!$F$2:$F$9995,Data!$C$2:$C$9995,B$3,Data!$J$2:$J$9995,$A6)</f>
        <v>44171.4468</v>
      </c>
      <c r="C6" s="11" t="n">
        <f aca="false">SUMIFS(Data!$F$2:$F$9995,Data!$C$2:$C$9995,C$3,Data!$J$2:$J$9995,$A6)</f>
        <v>33443.383</v>
      </c>
      <c r="D6" s="11" t="n">
        <f aca="false">SUMIFS(Data!$F$2:$F$9995,Data!$C$2:$C$9995,D$3,Data!$J$2:$J$9995,$A6)</f>
        <v>16061.0615</v>
      </c>
      <c r="E6" s="11" t="n">
        <f aca="false">SUMIFS(Data!$F$2:$F$9995,Data!$C$2:$C$9995,E$3,Data!$J$2:$J$9995,$A6)</f>
        <v>49957.321</v>
      </c>
      <c r="F6" s="14" t="n">
        <f aca="false">SUM(B6:E6)</f>
        <v>143633.2123</v>
      </c>
      <c r="H6" s="10" t="s">
        <v>5110</v>
      </c>
      <c r="I6" s="17" t="s">
        <v>5101</v>
      </c>
      <c r="J6" s="17" t="s">
        <v>5101</v>
      </c>
      <c r="K6" s="17" t="s">
        <v>5101</v>
      </c>
      <c r="L6" s="17" t="s">
        <v>5101</v>
      </c>
      <c r="M6" s="18" t="s">
        <v>5101</v>
      </c>
    </row>
    <row r="7" customFormat="false" ht="15" hidden="false" customHeight="false" outlineLevel="0" collapsed="false">
      <c r="A7" s="10" t="s">
        <v>5111</v>
      </c>
      <c r="B7" s="11" t="n">
        <f aca="false">SUMIFS(Data!$F$2:$F$9995,Data!$C$2:$C$9995,B$3,Data!$J$2:$J$9995,$A7)</f>
        <v>33658.8912</v>
      </c>
      <c r="C7" s="11" t="n">
        <f aca="false">SUMIFS(Data!$F$2:$F$9995,Data!$C$2:$C$9995,C$3,Data!$J$2:$J$9995,$A7)</f>
        <v>67593.571</v>
      </c>
      <c r="D7" s="11" t="n">
        <f aca="false">SUMIFS(Data!$F$2:$F$9995,Data!$C$2:$C$9995,D$3,Data!$J$2:$J$9995,$A7)</f>
        <v>20998.48</v>
      </c>
      <c r="E7" s="11" t="n">
        <f aca="false">SUMIFS(Data!$F$2:$F$9995,Data!$C$2:$C$9995,E$3,Data!$J$2:$J$9995,$A7)</f>
        <v>57376.788</v>
      </c>
      <c r="F7" s="14" t="n">
        <f aca="false">SUM(B7:E7)</f>
        <v>179627.7302</v>
      </c>
      <c r="H7" s="10" t="s">
        <v>5111</v>
      </c>
      <c r="I7" s="17" t="s">
        <v>5101</v>
      </c>
      <c r="J7" s="17" t="s">
        <v>5101</v>
      </c>
      <c r="K7" s="17" t="s">
        <v>5101</v>
      </c>
      <c r="L7" s="17" t="s">
        <v>5101</v>
      </c>
      <c r="M7" s="18" t="s">
        <v>5101</v>
      </c>
    </row>
    <row r="8" customFormat="false" ht="15" hidden="false" customHeight="false" outlineLevel="0" collapsed="false">
      <c r="A8" s="10" t="s">
        <v>5112</v>
      </c>
      <c r="B8" s="11" t="n">
        <f aca="false">SUMIFS(Data!$F$2:$F$9995,Data!$C$2:$C$9995,B$3,Data!$J$2:$J$9995,$A8)</f>
        <v>11768.3656</v>
      </c>
      <c r="C8" s="11" t="n">
        <f aca="false">SUMIFS(Data!$F$2:$F$9995,Data!$C$2:$C$9995,C$3,Data!$J$2:$J$9995,$A8)</f>
        <v>17145.868</v>
      </c>
      <c r="D8" s="11" t="n">
        <f aca="false">SUMIFS(Data!$F$2:$F$9995,Data!$C$2:$C$9995,D$3,Data!$J$2:$J$9995,$A8)</f>
        <v>16444.443</v>
      </c>
      <c r="E8" s="11" t="n">
        <f aca="false">SUMIFS(Data!$F$2:$F$9995,Data!$C$2:$C$9995,E$3,Data!$J$2:$J$9995,$A8)</f>
        <v>23493.062</v>
      </c>
      <c r="F8" s="14" t="n">
        <f aca="false">SUM(B8:E8)</f>
        <v>68851.7386</v>
      </c>
      <c r="H8" s="10" t="s">
        <v>5112</v>
      </c>
      <c r="I8" s="12" t="n">
        <f aca="false">IFERROR(B8/B4-1,"n/a")</f>
        <v>0.368306094795738</v>
      </c>
      <c r="J8" s="12" t="n">
        <f aca="false">IFERROR(C8/C4-1,"n/a")</f>
        <v>1.60601720112267</v>
      </c>
      <c r="K8" s="12" t="n">
        <f aca="false">IFERROR(D8/D4-1,"n/a")</f>
        <v>-0.628476592407892</v>
      </c>
      <c r="L8" s="12" t="n">
        <f aca="false">IFERROR(E8/E4-1,"n/a")</f>
        <v>0.565622035060698</v>
      </c>
      <c r="M8" s="15" t="n">
        <f aca="false">IFERROR(F8/F4-1,"n/a")</f>
        <v>-0.0751675361887141</v>
      </c>
    </row>
    <row r="9" customFormat="false" ht="15" hidden="false" customHeight="false" outlineLevel="0" collapsed="false">
      <c r="A9" s="10" t="s">
        <v>5113</v>
      </c>
      <c r="B9" s="11" t="n">
        <f aca="false">SUMIFS(Data!$F$2:$F$9995,Data!$C$2:$C$9995,B$3,Data!$J$2:$J$9995,$A9)</f>
        <v>23979.145</v>
      </c>
      <c r="C9" s="11" t="n">
        <f aca="false">SUMIFS(Data!$F$2:$F$9995,Data!$C$2:$C$9995,C$3,Data!$J$2:$J$9995,$A9)</f>
        <v>22703.208</v>
      </c>
      <c r="D9" s="11" t="n">
        <f aca="false">SUMIFS(Data!$F$2:$F$9995,Data!$C$2:$C$9995,D$3,Data!$J$2:$J$9995,$A9)</f>
        <v>16254.2045</v>
      </c>
      <c r="E9" s="11" t="n">
        <f aca="false">SUMIFS(Data!$F$2:$F$9995,Data!$C$2:$C$9995,E$3,Data!$J$2:$J$9995,$A9)</f>
        <v>26187.6295</v>
      </c>
      <c r="F9" s="14" t="n">
        <f aca="false">SUM(B9:E9)</f>
        <v>89124.187</v>
      </c>
      <c r="H9" s="10" t="s">
        <v>5113</v>
      </c>
      <c r="I9" s="12" t="n">
        <f aca="false">IFERROR(B9/B5-1,"n/a")</f>
        <v>0.377546148493533</v>
      </c>
      <c r="J9" s="12" t="n">
        <f aca="false">IFERROR(C9/C5-1,"n/a")</f>
        <v>0.0778119142154459</v>
      </c>
      <c r="K9" s="12" t="n">
        <f aca="false">IFERROR(D9/D5-1,"n/a")</f>
        <v>-0.278363959710182</v>
      </c>
      <c r="L9" s="12" t="n">
        <f aca="false">IFERROR(E9/E5-1,"n/a")</f>
        <v>0.0252231040826403</v>
      </c>
      <c r="M9" s="15" t="n">
        <f aca="false">IFERROR(F9/F5-1,"n/a")</f>
        <v>0.0298759470548269</v>
      </c>
    </row>
    <row r="10" customFormat="false" ht="15" hidden="false" customHeight="false" outlineLevel="0" collapsed="false">
      <c r="A10" s="10" t="s">
        <v>5114</v>
      </c>
      <c r="B10" s="11" t="n">
        <f aca="false">SUMIFS(Data!$F$2:$F$9995,Data!$C$2:$C$9995,B$3,Data!$J$2:$J$9995,$A10)</f>
        <v>24485.5382</v>
      </c>
      <c r="C10" s="11" t="n">
        <f aca="false">SUMIFS(Data!$F$2:$F$9995,Data!$C$2:$C$9995,C$3,Data!$J$2:$J$9995,$A10)</f>
        <v>50777.423</v>
      </c>
      <c r="D10" s="11" t="n">
        <f aca="false">SUMIFS(Data!$F$2:$F$9995,Data!$C$2:$C$9995,D$3,Data!$J$2:$J$9995,$A10)</f>
        <v>21459.505</v>
      </c>
      <c r="E10" s="11" t="n">
        <f aca="false">SUMIFS(Data!$F$2:$F$9995,Data!$C$2:$C$9995,E$3,Data!$J$2:$J$9995,$A10)</f>
        <v>33537.109</v>
      </c>
      <c r="F10" s="14" t="n">
        <f aca="false">SUM(B10:E10)</f>
        <v>130259.5752</v>
      </c>
      <c r="H10" s="10" t="s">
        <v>5114</v>
      </c>
      <c r="I10" s="12" t="n">
        <f aca="false">IFERROR(B10/B6-1,"n/a")</f>
        <v>-0.445670450622414</v>
      </c>
      <c r="J10" s="12" t="n">
        <f aca="false">IFERROR(C10/C6-1,"n/a")</f>
        <v>0.518310004702575</v>
      </c>
      <c r="K10" s="12" t="n">
        <f aca="false">IFERROR(D10/D6-1,"n/a")</f>
        <v>0.336119969405509</v>
      </c>
      <c r="L10" s="12" t="n">
        <f aca="false">IFERROR(E10/E6-1,"n/a")</f>
        <v>-0.328684798770535</v>
      </c>
      <c r="M10" s="15" t="n">
        <f aca="false">IFERROR(F10/F6-1,"n/a")</f>
        <v>-0.0931096428593905</v>
      </c>
    </row>
    <row r="11" customFormat="false" ht="15" hidden="false" customHeight="false" outlineLevel="0" collapsed="false">
      <c r="A11" s="10" t="s">
        <v>5115</v>
      </c>
      <c r="B11" s="11" t="n">
        <f aca="false">SUMIFS(Data!$F$2:$F$9995,Data!$C$2:$C$9995,B$3,Data!$J$2:$J$9995,$A11)</f>
        <v>42641.1732</v>
      </c>
      <c r="C11" s="11" t="n">
        <f aca="false">SUMIFS(Data!$F$2:$F$9995,Data!$C$2:$C$9995,C$3,Data!$J$2:$J$9995,$A11)</f>
        <v>65705.558</v>
      </c>
      <c r="D11" s="11" t="n">
        <f aca="false">SUMIFS(Data!$F$2:$F$9995,Data!$C$2:$C$9995,D$3,Data!$J$2:$J$9995,$A11)</f>
        <v>17201.828</v>
      </c>
      <c r="E11" s="11" t="n">
        <f aca="false">SUMIFS(Data!$F$2:$F$9995,Data!$C$2:$C$9995,E$3,Data!$J$2:$J$9995,$A11)</f>
        <v>56748.449</v>
      </c>
      <c r="F11" s="14" t="n">
        <f aca="false">SUM(B11:E11)</f>
        <v>182297.0082</v>
      </c>
      <c r="H11" s="10" t="s">
        <v>5115</v>
      </c>
      <c r="I11" s="12" t="n">
        <f aca="false">IFERROR(B11/B7-1,"n/a")</f>
        <v>0.266862088433858</v>
      </c>
      <c r="J11" s="12" t="n">
        <f aca="false">IFERROR(C11/C7-1,"n/a")</f>
        <v>-0.0279318428079498</v>
      </c>
      <c r="K11" s="12" t="n">
        <f aca="false">IFERROR(D11/D7-1,"n/a")</f>
        <v>-0.180806039294273</v>
      </c>
      <c r="L11" s="12" t="n">
        <f aca="false">IFERROR(E11/E7-1,"n/a")</f>
        <v>-0.0109511009922688</v>
      </c>
      <c r="M11" s="15" t="n">
        <f aca="false">IFERROR(F11/F7-1,"n/a")</f>
        <v>0.0148600552766993</v>
      </c>
    </row>
    <row r="12" customFormat="false" ht="15" hidden="false" customHeight="false" outlineLevel="0" collapsed="false">
      <c r="A12" s="10" t="s">
        <v>5116</v>
      </c>
      <c r="B12" s="11" t="n">
        <f aca="false">SUMIFS(Data!$F$2:$F$9995,Data!$C$2:$C$9995,B$3,Data!$J$2:$J$9995,$A12)</f>
        <v>20211.697</v>
      </c>
      <c r="C12" s="11" t="n">
        <f aca="false">SUMIFS(Data!$F$2:$F$9995,Data!$C$2:$C$9995,C$3,Data!$J$2:$J$9995,$A12)</f>
        <v>24774.765</v>
      </c>
      <c r="D12" s="11" t="n">
        <f aca="false">SUMIFS(Data!$F$2:$F$9995,Data!$C$2:$C$9995,D$3,Data!$J$2:$J$9995,$A12)</f>
        <v>23933.704</v>
      </c>
      <c r="E12" s="11" t="n">
        <f aca="false">SUMIFS(Data!$F$2:$F$9995,Data!$C$2:$C$9995,E$3,Data!$J$2:$J$9995,$A12)</f>
        <v>24317.015</v>
      </c>
      <c r="F12" s="14" t="n">
        <f aca="false">SUM(B12:E12)</f>
        <v>93237.181</v>
      </c>
      <c r="H12" s="10" t="s">
        <v>5116</v>
      </c>
      <c r="I12" s="12" t="n">
        <f aca="false">IFERROR(B12/B8-1,"n/a")</f>
        <v>0.717459984417887</v>
      </c>
      <c r="J12" s="12" t="n">
        <f aca="false">IFERROR(C12/C8-1,"n/a")</f>
        <v>0.444940845222884</v>
      </c>
      <c r="K12" s="12" t="n">
        <f aca="false">IFERROR(D12/D8-1,"n/a")</f>
        <v>0.455428073787601</v>
      </c>
      <c r="L12" s="12" t="n">
        <f aca="false">IFERROR(E12/E8-1,"n/a")</f>
        <v>0.035072184289983</v>
      </c>
      <c r="M12" s="15" t="n">
        <f aca="false">IFERROR(F12/F8-1,"n/a")</f>
        <v>0.354173226353357</v>
      </c>
    </row>
    <row r="13" customFormat="false" ht="15" hidden="false" customHeight="false" outlineLevel="0" collapsed="false">
      <c r="A13" s="10" t="s">
        <v>5117</v>
      </c>
      <c r="B13" s="11" t="n">
        <f aca="false">SUMIFS(Data!$F$2:$F$9995,Data!$C$2:$C$9995,B$3,Data!$J$2:$J$9995,$A13)</f>
        <v>25759.465</v>
      </c>
      <c r="C13" s="11" t="n">
        <f aca="false">SUMIFS(Data!$F$2:$F$9995,Data!$C$2:$C$9995,C$3,Data!$J$2:$J$9995,$A13)</f>
        <v>52166.657</v>
      </c>
      <c r="D13" s="11" t="n">
        <f aca="false">SUMIFS(Data!$F$2:$F$9995,Data!$C$2:$C$9995,D$3,Data!$J$2:$J$9995,$A13)</f>
        <v>18381.828</v>
      </c>
      <c r="E13" s="11" t="n">
        <f aca="false">SUMIFS(Data!$F$2:$F$9995,Data!$C$2:$C$9995,E$3,Data!$J$2:$J$9995,$A13)</f>
        <v>39774.351</v>
      </c>
      <c r="F13" s="14" t="n">
        <f aca="false">SUM(B13:E13)</f>
        <v>136082.301</v>
      </c>
      <c r="H13" s="10" t="s">
        <v>5117</v>
      </c>
      <c r="I13" s="12" t="n">
        <f aca="false">IFERROR(B13/B9-1,"n/a")</f>
        <v>0.0742445153903528</v>
      </c>
      <c r="J13" s="12" t="n">
        <f aca="false">IFERROR(C13/C9-1,"n/a")</f>
        <v>1.29776589282008</v>
      </c>
      <c r="K13" s="12" t="n">
        <f aca="false">IFERROR(D13/D9-1,"n/a")</f>
        <v>0.130896808884126</v>
      </c>
      <c r="L13" s="12" t="n">
        <f aca="false">IFERROR(E13/E9-1,"n/a")</f>
        <v>0.518822121719723</v>
      </c>
      <c r="M13" s="15" t="n">
        <f aca="false">IFERROR(F13/F9-1,"n/a")</f>
        <v>0.526884065713834</v>
      </c>
    </row>
    <row r="14" customFormat="false" ht="15" hidden="false" customHeight="false" outlineLevel="0" collapsed="false">
      <c r="A14" s="10" t="s">
        <v>5118</v>
      </c>
      <c r="B14" s="11" t="n">
        <f aca="false">SUMIFS(Data!$F$2:$F$9995,Data!$C$2:$C$9995,B$3,Data!$J$2:$J$9995,$A14)</f>
        <v>33380.2242</v>
      </c>
      <c r="C14" s="11" t="n">
        <f aca="false">SUMIFS(Data!$F$2:$F$9995,Data!$C$2:$C$9995,C$3,Data!$J$2:$J$9995,$A14)</f>
        <v>38051.646</v>
      </c>
      <c r="D14" s="11" t="n">
        <f aca="false">SUMIFS(Data!$F$2:$F$9995,Data!$C$2:$C$9995,D$3,Data!$J$2:$J$9995,$A14)</f>
        <v>21635.8805</v>
      </c>
      <c r="E14" s="11" t="n">
        <f aca="false">SUMIFS(Data!$F$2:$F$9995,Data!$C$2:$C$9995,E$3,Data!$J$2:$J$9995,$A14)</f>
        <v>50719.6115</v>
      </c>
      <c r="F14" s="14" t="n">
        <f aca="false">SUM(B14:E14)</f>
        <v>143787.3622</v>
      </c>
      <c r="H14" s="10" t="s">
        <v>5118</v>
      </c>
      <c r="I14" s="12" t="n">
        <f aca="false">IFERROR(B14/B10-1,"n/a")</f>
        <v>0.36326283405933</v>
      </c>
      <c r="J14" s="12" t="n">
        <f aca="false">IFERROR(C14/C10-1,"n/a")</f>
        <v>-0.250618803557636</v>
      </c>
      <c r="K14" s="12" t="n">
        <f aca="false">IFERROR(D14/D10-1,"n/a")</f>
        <v>0.00821899200377629</v>
      </c>
      <c r="L14" s="12" t="n">
        <f aca="false">IFERROR(E14/E10-1,"n/a")</f>
        <v>0.512342984006165</v>
      </c>
      <c r="M14" s="15" t="n">
        <f aca="false">IFERROR(F14/F10-1,"n/a")</f>
        <v>0.103852534289548</v>
      </c>
    </row>
    <row r="15" customFormat="false" ht="15" hidden="false" customHeight="false" outlineLevel="0" collapsed="false">
      <c r="A15" s="10" t="s">
        <v>5119</v>
      </c>
      <c r="B15" s="11" t="n">
        <f aca="false">SUMIFS(Data!$F$2:$F$9995,Data!$C$2:$C$9995,B$3,Data!$J$2:$J$9995,$A15)</f>
        <v>68077.9898</v>
      </c>
      <c r="C15" s="11" t="n">
        <f aca="false">SUMIFS(Data!$F$2:$F$9995,Data!$C$2:$C$9995,C$3,Data!$J$2:$J$9995,$A15)</f>
        <v>65692.754</v>
      </c>
      <c r="D15" s="11" t="n">
        <f aca="false">SUMIFS(Data!$F$2:$F$9995,Data!$C$2:$C$9995,D$3,Data!$J$2:$J$9995,$A15)</f>
        <v>29658.811</v>
      </c>
      <c r="E15" s="11" t="n">
        <f aca="false">SUMIFS(Data!$F$2:$F$9995,Data!$C$2:$C$9995,E$3,Data!$J$2:$J$9995,$A15)</f>
        <v>72669.199</v>
      </c>
      <c r="F15" s="14" t="n">
        <f aca="false">SUM(B15:E15)</f>
        <v>236098.7538</v>
      </c>
      <c r="H15" s="10" t="s">
        <v>5119</v>
      </c>
      <c r="I15" s="12" t="n">
        <f aca="false">IFERROR(B15/B11-1,"n/a")</f>
        <v>0.596531818688328</v>
      </c>
      <c r="J15" s="12" t="n">
        <f aca="false">IFERROR(C15/C11-1,"n/a")</f>
        <v>-0.000194869359453675</v>
      </c>
      <c r="K15" s="12" t="n">
        <f aca="false">IFERROR(D15/D11-1,"n/a")</f>
        <v>0.724166233960716</v>
      </c>
      <c r="L15" s="12" t="n">
        <f aca="false">IFERROR(E15/E11-1,"n/a")</f>
        <v>0.280549517749815</v>
      </c>
      <c r="M15" s="15" t="n">
        <f aca="false">IFERROR(F15/F11-1,"n/a")</f>
        <v>0.295132356428875</v>
      </c>
    </row>
    <row r="16" customFormat="false" ht="15" hidden="false" customHeight="false" outlineLevel="0" collapsed="false">
      <c r="A16" s="10" t="s">
        <v>5120</v>
      </c>
      <c r="B16" s="11" t="n">
        <f aca="false">SUMIFS(Data!$F$2:$F$9995,Data!$C$2:$C$9995,B$3,Data!$J$2:$J$9995,$A16)</f>
        <v>40530.0572</v>
      </c>
      <c r="C16" s="11" t="n">
        <f aca="false">SUMIFS(Data!$F$2:$F$9995,Data!$C$2:$C$9995,C$3,Data!$J$2:$J$9995,$A16)</f>
        <v>18051.762</v>
      </c>
      <c r="D16" s="11" t="n">
        <f aca="false">SUMIFS(Data!$F$2:$F$9995,Data!$C$2:$C$9995,D$3,Data!$J$2:$J$9995,$A16)</f>
        <v>13642.182</v>
      </c>
      <c r="E16" s="11" t="n">
        <f aca="false">SUMIFS(Data!$F$2:$F$9995,Data!$C$2:$C$9995,E$3,Data!$J$2:$J$9995,$A16)</f>
        <v>50920.859</v>
      </c>
      <c r="F16" s="14" t="n">
        <f aca="false">SUM(B16:E16)</f>
        <v>123144.8602</v>
      </c>
      <c r="H16" s="10" t="s">
        <v>5120</v>
      </c>
      <c r="I16" s="12" t="n">
        <f aca="false">IFERROR(B16/B12-1,"n/a")</f>
        <v>1.00527730056511</v>
      </c>
      <c r="J16" s="12" t="n">
        <f aca="false">IFERROR(C16/C12-1,"n/a")</f>
        <v>-0.271364955429446</v>
      </c>
      <c r="K16" s="12" t="n">
        <f aca="false">IFERROR(D16/D12-1,"n/a")</f>
        <v>-0.430001223379382</v>
      </c>
      <c r="L16" s="12" t="n">
        <f aca="false">IFERROR(E16/E12-1,"n/a")</f>
        <v>1.09404234031192</v>
      </c>
      <c r="M16" s="15" t="n">
        <f aca="false">IFERROR(F16/F12-1,"n/a")</f>
        <v>0.320769878274205</v>
      </c>
    </row>
    <row r="17" customFormat="false" ht="15" hidden="false" customHeight="false" outlineLevel="0" collapsed="false">
      <c r="A17" s="10" t="s">
        <v>5121</v>
      </c>
      <c r="B17" s="11" t="n">
        <f aca="false">SUMIFS(Data!$F$2:$F$9995,Data!$C$2:$C$9995,B$3,Data!$J$2:$J$9995,$A17)</f>
        <v>27938.739</v>
      </c>
      <c r="C17" s="11" t="n">
        <f aca="false">SUMIFS(Data!$F$2:$F$9995,Data!$C$2:$C$9995,C$3,Data!$J$2:$J$9995,$A17)</f>
        <v>31511.5</v>
      </c>
      <c r="D17" s="11" t="n">
        <f aca="false">SUMIFS(Data!$F$2:$F$9995,Data!$C$2:$C$9995,D$3,Data!$J$2:$J$9995,$A17)</f>
        <v>29325.4145</v>
      </c>
      <c r="E17" s="11" t="n">
        <f aca="false">SUMIFS(Data!$F$2:$F$9995,Data!$C$2:$C$9995,E$3,Data!$J$2:$J$9995,$A17)</f>
        <v>44988.7185</v>
      </c>
      <c r="F17" s="14" t="n">
        <f aca="false">SUM(B17:E17)</f>
        <v>133764.372</v>
      </c>
      <c r="H17" s="10" t="s">
        <v>5121</v>
      </c>
      <c r="I17" s="12" t="n">
        <f aca="false">IFERROR(B17/B13-1,"n/a")</f>
        <v>0.0846009030078847</v>
      </c>
      <c r="J17" s="12" t="n">
        <f aca="false">IFERROR(C17/C13-1,"n/a")</f>
        <v>-0.395945574967551</v>
      </c>
      <c r="K17" s="12" t="n">
        <f aca="false">IFERROR(D17/D13-1,"n/a")</f>
        <v>0.595348106836817</v>
      </c>
      <c r="L17" s="12" t="n">
        <f aca="false">IFERROR(E17/E13-1,"n/a")</f>
        <v>0.131098745017863</v>
      </c>
      <c r="M17" s="15" t="n">
        <f aca="false">IFERROR(F17/F13-1,"n/a")</f>
        <v>-0.0170332878189649</v>
      </c>
    </row>
    <row r="18" customFormat="false" ht="15" hidden="false" customHeight="false" outlineLevel="0" collapsed="false">
      <c r="A18" s="10" t="s">
        <v>5122</v>
      </c>
      <c r="B18" s="11" t="n">
        <f aca="false">SUMIFS(Data!$F$2:$F$9995,Data!$C$2:$C$9995,B$3,Data!$J$2:$J$9995,$A18)</f>
        <v>32468.947</v>
      </c>
      <c r="C18" s="11" t="n">
        <f aca="false">SUMIFS(Data!$F$2:$F$9995,Data!$C$2:$C$9995,C$3,Data!$J$2:$J$9995,$A18)</f>
        <v>65496.387</v>
      </c>
      <c r="D18" s="11" t="n">
        <f aca="false">SUMIFS(Data!$F$2:$F$9995,Data!$C$2:$C$9995,D$3,Data!$J$2:$J$9995,$A18)</f>
        <v>23874.152</v>
      </c>
      <c r="E18" s="11" t="n">
        <f aca="false">SUMIFS(Data!$F$2:$F$9995,Data!$C$2:$C$9995,E$3,Data!$J$2:$J$9995,$A18)</f>
        <v>74412.47</v>
      </c>
      <c r="F18" s="14" t="n">
        <f aca="false">SUM(B18:E18)</f>
        <v>196251.956</v>
      </c>
      <c r="H18" s="10" t="s">
        <v>5122</v>
      </c>
      <c r="I18" s="12" t="n">
        <f aca="false">IFERROR(B18/B14-1,"n/a")</f>
        <v>-0.0272999125032838</v>
      </c>
      <c r="J18" s="12" t="n">
        <f aca="false">IFERROR(C18/C14-1,"n/a")</f>
        <v>0.721249771954674</v>
      </c>
      <c r="K18" s="12" t="n">
        <f aca="false">IFERROR(D18/D14-1,"n/a")</f>
        <v>0.103451833171291</v>
      </c>
      <c r="L18" s="12" t="n">
        <f aca="false">IFERROR(E18/E14-1,"n/a")</f>
        <v>0.467134069037575</v>
      </c>
      <c r="M18" s="15" t="n">
        <f aca="false">IFERROR(F18/F14-1,"n/a")</f>
        <v>0.364876251968687</v>
      </c>
    </row>
    <row r="19" customFormat="false" ht="15" hidden="false" customHeight="false" outlineLevel="0" collapsed="false">
      <c r="A19" s="10" t="s">
        <v>5123</v>
      </c>
      <c r="B19" s="11" t="n">
        <f aca="false">SUMIFS(Data!$F$2:$F$9995,Data!$C$2:$C$9995,B$3,Data!$J$2:$J$9995,$A19)</f>
        <v>46160.385</v>
      </c>
      <c r="C19" s="11" t="n">
        <f aca="false">SUMIFS(Data!$F$2:$F$9995,Data!$C$2:$C$9995,C$3,Data!$J$2:$J$9995,$A19)</f>
        <v>98023.255</v>
      </c>
      <c r="D19" s="11" t="n">
        <f aca="false">SUMIFS(Data!$F$2:$F$9995,Data!$C$2:$C$9995,D$3,Data!$J$2:$J$9995,$A19)</f>
        <v>56064.109</v>
      </c>
      <c r="E19" s="11" t="n">
        <f aca="false">SUMIFS(Data!$F$2:$F$9995,Data!$C$2:$C$9995,E$3,Data!$J$2:$J$9995,$A19)</f>
        <v>79806.318</v>
      </c>
      <c r="F19" s="14" t="n">
        <f aca="false">SUM(B19:E19)</f>
        <v>280054.067</v>
      </c>
      <c r="H19" s="10" t="s">
        <v>5123</v>
      </c>
      <c r="I19" s="12" t="n">
        <f aca="false">IFERROR(B19/B15-1,"n/a")</f>
        <v>-0.321948472103681</v>
      </c>
      <c r="J19" s="12" t="n">
        <f aca="false">IFERROR(C19/C15-1,"n/a")</f>
        <v>0.492147140002686</v>
      </c>
      <c r="K19" s="12" t="n">
        <f aca="false">IFERROR(D19/D15-1,"n/a")</f>
        <v>0.890301974681318</v>
      </c>
      <c r="L19" s="12" t="n">
        <f aca="false">IFERROR(E19/E15-1,"n/a")</f>
        <v>0.098213811328786</v>
      </c>
      <c r="M19" s="15" t="n">
        <f aca="false">IFERROR(F19/F15-1,"n/a")</f>
        <v>0.186173423165269</v>
      </c>
    </row>
    <row r="21" customFormat="false" ht="15" hidden="false" customHeight="false" outlineLevel="0" collapsed="false">
      <c r="A21" s="9" t="s">
        <v>5124</v>
      </c>
    </row>
    <row r="22" customFormat="false" ht="15" hidden="false" customHeight="false" outlineLevel="0" collapsed="false">
      <c r="A22" s="10" t="s">
        <v>5125</v>
      </c>
      <c r="B22" s="10"/>
      <c r="C22" s="10"/>
      <c r="D22" s="12" t="n">
        <f aca="false">B15/B14-1</f>
        <v>1.03947071751543</v>
      </c>
      <c r="E22" s="2" t="s">
        <v>5126</v>
      </c>
    </row>
    <row r="23" customFormat="false" ht="15" hidden="false" customHeight="false" outlineLevel="0" collapsed="false">
      <c r="A23" s="10" t="s">
        <v>5127</v>
      </c>
      <c r="B23" s="10"/>
      <c r="C23" s="10"/>
      <c r="D23" s="12" t="n">
        <f aca="false">B15/B11-1</f>
        <v>0.596531818688328</v>
      </c>
      <c r="E23" s="2" t="s">
        <v>5128</v>
      </c>
    </row>
  </sheetData>
  <mergeCells count="2">
    <mergeCell ref="A22:C22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1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8" t="s">
        <v>5129</v>
      </c>
    </row>
    <row r="2" customFormat="false" ht="15" hidden="false" customHeight="false" outlineLevel="0" collapsed="false">
      <c r="A2" s="2" t="s">
        <v>5130</v>
      </c>
    </row>
    <row r="3" customFormat="false" ht="15" hidden="false" customHeight="false" outlineLevel="0" collapsed="false">
      <c r="A3" s="19" t="s">
        <v>5131</v>
      </c>
      <c r="B3" s="19"/>
      <c r="C3" s="19"/>
      <c r="D3" s="20" t="n">
        <v>0.5</v>
      </c>
    </row>
    <row r="5" customFormat="false" ht="31.5" hidden="false" customHeight="true" outlineLevel="0" collapsed="false">
      <c r="A5" s="5" t="s">
        <v>20</v>
      </c>
      <c r="B5" s="5" t="s">
        <v>26</v>
      </c>
      <c r="C5" s="5" t="s">
        <v>5132</v>
      </c>
      <c r="D5" s="5" t="s">
        <v>24</v>
      </c>
      <c r="E5" s="5" t="s">
        <v>5133</v>
      </c>
      <c r="F5" s="5" t="s">
        <v>5134</v>
      </c>
      <c r="G5" s="5" t="s">
        <v>5135</v>
      </c>
      <c r="H5" s="5" t="s">
        <v>5136</v>
      </c>
      <c r="I5" s="5" t="s">
        <v>5137</v>
      </c>
    </row>
    <row r="6" customFormat="false" ht="15" hidden="false" customHeight="false" outlineLevel="0" collapsed="false">
      <c r="A6" s="10" t="s">
        <v>45</v>
      </c>
      <c r="B6" s="21" t="n">
        <v>2015</v>
      </c>
      <c r="C6" s="11" t="n">
        <f aca="false">Growth_Table!B21</f>
        <v>539.5534</v>
      </c>
      <c r="D6" s="11" t="n">
        <f aca="false">Growth_Table!C21</f>
        <v>11716.802</v>
      </c>
      <c r="E6" s="11" t="n">
        <f aca="false">D6-C6</f>
        <v>11177.2486</v>
      </c>
      <c r="F6" s="12" t="n">
        <f aca="false">IFERROR(D6/C6-1,"n/a")</f>
        <v>20.7157412037437</v>
      </c>
      <c r="G6" s="11" t="n">
        <f aca="false">AVERAGE(Growth_Table!B21:E21)</f>
        <v>9926.590625</v>
      </c>
      <c r="H6" s="12" t="n">
        <f aca="false">C6/G6</f>
        <v>0.054354351900152</v>
      </c>
      <c r="I6" s="17" t="str">
        <f aca="false">IF(C6&lt;$D$3*G6,"SMALL BASE","ok")</f>
        <v>SMALL BASE</v>
      </c>
    </row>
    <row r="7" customFormat="false" ht="15" hidden="false" customHeight="false" outlineLevel="0" collapsed="false">
      <c r="A7" s="10" t="s">
        <v>45</v>
      </c>
      <c r="B7" s="21" t="n">
        <v>2016</v>
      </c>
      <c r="C7" s="11" t="n">
        <f aca="false">Growth_Table!C21</f>
        <v>11716.802</v>
      </c>
      <c r="D7" s="11" t="n">
        <f aca="false">Growth_Table!D21</f>
        <v>19899.1629</v>
      </c>
      <c r="E7" s="11" t="n">
        <f aca="false">D7-C7</f>
        <v>8182.3609</v>
      </c>
      <c r="F7" s="12" t="n">
        <f aca="false">IFERROR(D7/C7-1,"n/a")</f>
        <v>0.698344215426701</v>
      </c>
      <c r="G7" s="11" t="n">
        <f aca="false">AVERAGE(Growth_Table!B21:E21)</f>
        <v>9926.590625</v>
      </c>
      <c r="H7" s="12" t="n">
        <f aca="false">C7/G7</f>
        <v>1.18034503916092</v>
      </c>
      <c r="I7" s="17" t="str">
        <f aca="false">IF(C7&lt;$D$3*G7,"SMALL BASE","ok")</f>
        <v>ok</v>
      </c>
    </row>
    <row r="8" customFormat="false" ht="15" hidden="false" customHeight="false" outlineLevel="0" collapsed="false">
      <c r="A8" s="10" t="s">
        <v>45</v>
      </c>
      <c r="B8" s="21" t="n">
        <v>2017</v>
      </c>
      <c r="C8" s="11" t="n">
        <f aca="false">Growth_Table!D21</f>
        <v>19899.1629</v>
      </c>
      <c r="D8" s="11" t="n">
        <f aca="false">Growth_Table!E21</f>
        <v>7550.8442</v>
      </c>
      <c r="E8" s="11" t="n">
        <f aca="false">D8-C8</f>
        <v>-12348.3187</v>
      </c>
      <c r="F8" s="12" t="n">
        <f aca="false">IFERROR(D8/C8-1,"n/a")</f>
        <v>-0.620544631050787</v>
      </c>
      <c r="G8" s="11" t="n">
        <f aca="false">AVERAGE(Growth_Table!B21:E21)</f>
        <v>9926.590625</v>
      </c>
      <c r="H8" s="12" t="n">
        <f aca="false">C8/G8</f>
        <v>2.00463216946654</v>
      </c>
      <c r="I8" s="17" t="str">
        <f aca="false">IF(C8&lt;$D$3*G8,"SMALL BASE","ok")</f>
        <v>ok</v>
      </c>
    </row>
    <row r="9" customFormat="false" ht="15" hidden="false" customHeight="false" outlineLevel="0" collapsed="false">
      <c r="A9" s="10" t="s">
        <v>55</v>
      </c>
      <c r="B9" s="21" t="n">
        <v>2015</v>
      </c>
      <c r="C9" s="11" t="n">
        <f aca="false">Growth_Table!B22</f>
        <v>17059.6095</v>
      </c>
      <c r="D9" s="11" t="n">
        <f aca="false">Growth_Table!C22</f>
        <v>21091.013</v>
      </c>
      <c r="E9" s="11" t="n">
        <f aca="false">D9-C9</f>
        <v>4031.4035</v>
      </c>
      <c r="F9" s="12" t="n">
        <f aca="false">IFERROR(D9/C9-1,"n/a")</f>
        <v>0.236312765541322</v>
      </c>
      <c r="G9" s="11" t="n">
        <f aca="false">AVERAGE(Growth_Table!B22:E22)</f>
        <v>22880.695</v>
      </c>
      <c r="H9" s="12" t="n">
        <f aca="false">C9/G9</f>
        <v>0.745589655384157</v>
      </c>
      <c r="I9" s="17" t="str">
        <f aca="false">IF(C9&lt;$D$3*G9,"SMALL BASE","ok")</f>
        <v>ok</v>
      </c>
    </row>
    <row r="10" customFormat="false" ht="15" hidden="false" customHeight="false" outlineLevel="0" collapsed="false">
      <c r="A10" s="10" t="s">
        <v>55</v>
      </c>
      <c r="B10" s="21" t="n">
        <v>2016</v>
      </c>
      <c r="C10" s="11" t="n">
        <f aca="false">Growth_Table!C22</f>
        <v>21091.013</v>
      </c>
      <c r="D10" s="11" t="n">
        <f aca="false">Growth_Table!D22</f>
        <v>20141.5961</v>
      </c>
      <c r="E10" s="11" t="n">
        <f aca="false">D10-C10</f>
        <v>-949.4169</v>
      </c>
      <c r="F10" s="12" t="n">
        <f aca="false">IFERROR(D10/C10-1,"n/a")</f>
        <v>-0.0450152346878739</v>
      </c>
      <c r="G10" s="11" t="n">
        <f aca="false">AVERAGE(Growth_Table!B22:E22)</f>
        <v>22880.695</v>
      </c>
      <c r="H10" s="12" t="n">
        <f aca="false">C10/G10</f>
        <v>0.921782008806988</v>
      </c>
      <c r="I10" s="17" t="str">
        <f aca="false">IF(C10&lt;$D$3*G10,"SMALL BASE","ok")</f>
        <v>ok</v>
      </c>
    </row>
    <row r="11" customFormat="false" ht="15" hidden="false" customHeight="false" outlineLevel="0" collapsed="false">
      <c r="A11" s="10" t="s">
        <v>55</v>
      </c>
      <c r="B11" s="21" t="n">
        <v>2017</v>
      </c>
      <c r="C11" s="11" t="n">
        <f aca="false">Growth_Table!D22</f>
        <v>20141.5961</v>
      </c>
      <c r="D11" s="11" t="n">
        <f aca="false">Growth_Table!E22</f>
        <v>33230.5614</v>
      </c>
      <c r="E11" s="11" t="n">
        <f aca="false">D11-C11</f>
        <v>13088.9653</v>
      </c>
      <c r="F11" s="12" t="n">
        <f aca="false">IFERROR(D11/C11-1,"n/a")</f>
        <v>0.649847471621179</v>
      </c>
      <c r="G11" s="11" t="n">
        <f aca="false">AVERAGE(Growth_Table!B22:E22)</f>
        <v>22880.695</v>
      </c>
      <c r="H11" s="12" t="n">
        <f aca="false">C11/G11</f>
        <v>0.880287775349481</v>
      </c>
      <c r="I11" s="17" t="str">
        <f aca="false">IF(C11&lt;$D$3*G11,"SMALL BASE","ok")</f>
        <v>ok</v>
      </c>
    </row>
    <row r="12" customFormat="false" ht="15" hidden="false" customHeight="false" outlineLevel="0" collapsed="false">
      <c r="A12" s="10" t="s">
        <v>29</v>
      </c>
      <c r="B12" s="21" t="n">
        <v>2015</v>
      </c>
      <c r="C12" s="11" t="n">
        <f aca="false">Growth_Table!B23</f>
        <v>11879.12</v>
      </c>
      <c r="D12" s="11" t="n">
        <f aca="false">Growth_Table!C23</f>
        <v>8318.594</v>
      </c>
      <c r="E12" s="11" t="n">
        <f aca="false">D12-C12</f>
        <v>-3560.526</v>
      </c>
      <c r="F12" s="12" t="n">
        <f aca="false">IFERROR(D12/C12-1,"n/a")</f>
        <v>-0.299729777963351</v>
      </c>
      <c r="G12" s="11" t="n">
        <f aca="false">AVERAGE(Growth_Table!B23:E23)</f>
        <v>11687.357575</v>
      </c>
      <c r="H12" s="12" t="n">
        <f aca="false">C12/G12</f>
        <v>1.01640768015947</v>
      </c>
      <c r="I12" s="17" t="str">
        <f aca="false">IF(C12&lt;$D$3*G12,"SMALL BASE","ok")</f>
        <v>ok</v>
      </c>
    </row>
    <row r="13" customFormat="false" ht="15" hidden="false" customHeight="false" outlineLevel="0" collapsed="false">
      <c r="A13" s="10" t="s">
        <v>29</v>
      </c>
      <c r="B13" s="21" t="n">
        <v>2016</v>
      </c>
      <c r="C13" s="11" t="n">
        <f aca="false">Growth_Table!C23</f>
        <v>8318.594</v>
      </c>
      <c r="D13" s="11" t="n">
        <f aca="false">Growth_Table!D23</f>
        <v>17702.8084</v>
      </c>
      <c r="E13" s="11" t="n">
        <f aca="false">D13-C13</f>
        <v>9384.2144</v>
      </c>
      <c r="F13" s="12" t="n">
        <f aca="false">IFERROR(D13/C13-1,"n/a")</f>
        <v>1.12810102284112</v>
      </c>
      <c r="G13" s="11" t="n">
        <f aca="false">AVERAGE(Growth_Table!B23:E23)</f>
        <v>11687.357575</v>
      </c>
      <c r="H13" s="12" t="n">
        <f aca="false">C13/G13</f>
        <v>0.71176003186503</v>
      </c>
      <c r="I13" s="17" t="str">
        <f aca="false">IF(C13&lt;$D$3*G13,"SMALL BASE","ok")</f>
        <v>ok</v>
      </c>
    </row>
    <row r="14" customFormat="false" ht="15" hidden="false" customHeight="false" outlineLevel="0" collapsed="false">
      <c r="A14" s="10" t="s">
        <v>29</v>
      </c>
      <c r="B14" s="21" t="n">
        <v>2017</v>
      </c>
      <c r="C14" s="11" t="n">
        <f aca="false">Growth_Table!D23</f>
        <v>17702.8084</v>
      </c>
      <c r="D14" s="11" t="n">
        <f aca="false">Growth_Table!E23</f>
        <v>8848.9079</v>
      </c>
      <c r="E14" s="11" t="n">
        <f aca="false">D14-C14</f>
        <v>-8853.9005</v>
      </c>
      <c r="F14" s="12" t="n">
        <f aca="false">IFERROR(D14/C14-1,"n/a")</f>
        <v>-0.500141011524477</v>
      </c>
      <c r="G14" s="11" t="n">
        <f aca="false">AVERAGE(Growth_Table!B23:E23)</f>
        <v>11687.357575</v>
      </c>
      <c r="H14" s="12" t="n">
        <f aca="false">C14/G14</f>
        <v>1.5146972518294</v>
      </c>
      <c r="I14" s="17" t="str">
        <f aca="false">IF(C14&lt;$D$3*G14,"SMALL BASE","ok")</f>
        <v>ok</v>
      </c>
    </row>
    <row r="15" customFormat="false" ht="15" hidden="false" customHeight="false" outlineLevel="0" collapsed="false">
      <c r="A15" s="10" t="s">
        <v>33</v>
      </c>
      <c r="B15" s="21" t="n">
        <v>2015</v>
      </c>
      <c r="C15" s="11" t="n">
        <f aca="false">Growth_Table!B24</f>
        <v>20065.6912</v>
      </c>
      <c r="D15" s="11" t="n">
        <f aca="false">Growth_Table!C24</f>
        <v>20492.1947</v>
      </c>
      <c r="E15" s="11" t="n">
        <f aca="false">D15-C15</f>
        <v>426.503499999999</v>
      </c>
      <c r="F15" s="12" t="n">
        <f aca="false">IFERROR(D15/C15-1,"n/a")</f>
        <v>0.0212553604931387</v>
      </c>
      <c r="G15" s="11" t="n">
        <f aca="false">AVERAGE(Growth_Table!B24:E24)</f>
        <v>27104.612225</v>
      </c>
      <c r="H15" s="12" t="n">
        <f aca="false">C15/G15</f>
        <v>0.740305414939394</v>
      </c>
      <c r="I15" s="17" t="str">
        <f aca="false">IF(C15&lt;$D$3*G15,"SMALL BASE","ok")</f>
        <v>ok</v>
      </c>
    </row>
    <row r="16" customFormat="false" ht="15" hidden="false" customHeight="false" outlineLevel="0" collapsed="false">
      <c r="A16" s="10" t="s">
        <v>33</v>
      </c>
      <c r="B16" s="21" t="n">
        <v>2016</v>
      </c>
      <c r="C16" s="11" t="n">
        <f aca="false">Growth_Table!C24</f>
        <v>20492.1947</v>
      </c>
      <c r="D16" s="11" t="n">
        <f aca="false">Growth_Table!D24</f>
        <v>24051.6069</v>
      </c>
      <c r="E16" s="11" t="n">
        <f aca="false">D16-C16</f>
        <v>3559.4122</v>
      </c>
      <c r="F16" s="12" t="n">
        <f aca="false">IFERROR(D16/C16-1,"n/a")</f>
        <v>0.173695997530221</v>
      </c>
      <c r="G16" s="11" t="n">
        <f aca="false">AVERAGE(Growth_Table!B24:E24)</f>
        <v>27104.612225</v>
      </c>
      <c r="H16" s="12" t="n">
        <f aca="false">C16/G16</f>
        <v>0.756040873408954</v>
      </c>
      <c r="I16" s="17" t="str">
        <f aca="false">IF(C16&lt;$D$3*G16,"SMALL BASE","ok")</f>
        <v>ok</v>
      </c>
    </row>
    <row r="17" customFormat="false" ht="15" hidden="false" customHeight="false" outlineLevel="0" collapsed="false">
      <c r="A17" s="10" t="s">
        <v>33</v>
      </c>
      <c r="B17" s="21" t="n">
        <v>2017</v>
      </c>
      <c r="C17" s="11" t="n">
        <f aca="false">Growth_Table!D24</f>
        <v>24051.6069</v>
      </c>
      <c r="D17" s="11" t="n">
        <f aca="false">Growth_Table!E24</f>
        <v>43808.9561</v>
      </c>
      <c r="E17" s="11" t="n">
        <f aca="false">D17-C17</f>
        <v>19757.3492</v>
      </c>
      <c r="F17" s="12" t="n">
        <f aca="false">IFERROR(D17/C17-1,"n/a")</f>
        <v>0.821456515655925</v>
      </c>
      <c r="G17" s="11" t="n">
        <f aca="false">AVERAGE(Growth_Table!B24:E24)</f>
        <v>27104.612225</v>
      </c>
      <c r="H17" s="12" t="n">
        <f aca="false">C17/G17</f>
        <v>0.887362147089341</v>
      </c>
      <c r="I17" s="17" t="str">
        <f aca="false">IF(C17&lt;$D$3*G17,"SMALL BASE","ok")</f>
        <v>ok</v>
      </c>
    </row>
    <row r="19" customFormat="false" ht="15" hidden="false" customHeight="false" outlineLevel="0" collapsed="false">
      <c r="A19" s="2" t="s">
        <v>5138</v>
      </c>
    </row>
  </sheetData>
  <mergeCells count="1"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8" t="s">
        <v>5139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15"/>
    <col collapsed="false" customWidth="true" hidden="false" outlineLevel="0" max="5" min="5" style="0" width="10"/>
    <col collapsed="false" customWidth="true" hidden="false" outlineLevel="0" max="7" min="6" style="0" width="15"/>
    <col collapsed="false" customWidth="true" hidden="false" outlineLevel="0" max="9" min="8" style="0" width="10"/>
  </cols>
  <sheetData>
    <row r="1" customFormat="false" ht="17.35" hidden="false" customHeight="false" outlineLevel="0" collapsed="false">
      <c r="A1" s="8" t="s">
        <v>5140</v>
      </c>
    </row>
    <row r="2" customFormat="false" ht="15" hidden="false" customHeight="false" outlineLevel="0" collapsed="false">
      <c r="A2" s="2" t="s">
        <v>5141</v>
      </c>
    </row>
    <row r="4" customFormat="false" ht="15" hidden="false" customHeight="false" outlineLevel="0" collapsed="false">
      <c r="A4" s="5" t="s">
        <v>20</v>
      </c>
      <c r="B4" s="5" t="s">
        <v>26</v>
      </c>
      <c r="C4" s="5" t="s">
        <v>5142</v>
      </c>
      <c r="D4" s="5" t="s">
        <v>5143</v>
      </c>
      <c r="E4" s="5" t="s">
        <v>5144</v>
      </c>
      <c r="F4" s="5" t="s">
        <v>5145</v>
      </c>
      <c r="G4" s="5" t="s">
        <v>5146</v>
      </c>
      <c r="H4" s="5" t="s">
        <v>5144</v>
      </c>
      <c r="I4" s="5" t="s">
        <v>5147</v>
      </c>
    </row>
    <row r="5" customFormat="false" ht="15" hidden="false" customHeight="false" outlineLevel="0" collapsed="false">
      <c r="A5" s="10" t="s">
        <v>45</v>
      </c>
      <c r="B5" s="21" t="n">
        <v>2014</v>
      </c>
      <c r="C5" s="22" t="n">
        <v>103838.16</v>
      </c>
      <c r="D5" s="23" t="n">
        <f aca="false">INDEX(Growth_Table!$B$5:$E$8,MATCH($A5,Growth_Table!$A$5:$A$8,0),MATCH($B5,Growth_Table!$B$4:$E$4,0))</f>
        <v>103838.1646</v>
      </c>
      <c r="E5" s="24" t="n">
        <f aca="false">ROUND(D5-C5,2)</f>
        <v>0</v>
      </c>
      <c r="F5" s="22" t="n">
        <v>539.55</v>
      </c>
      <c r="G5" s="23" t="n">
        <f aca="false">INDEX(Growth_Table!$B$21:$E$24,MATCH($A5,Growth_Table!$A$21:$A$24,0),MATCH($B5,Growth_Table!$B$20:$E$20,0))</f>
        <v>539.5534</v>
      </c>
      <c r="H5" s="24" t="n">
        <f aca="false">ROUND(G5-F5,2)</f>
        <v>0</v>
      </c>
      <c r="I5" s="17" t="str">
        <f aca="false">IF(AND(ABS(E5)&lt;0.01,ABS(H5)&lt;0.01),"Match","CHECK")</f>
        <v>Match</v>
      </c>
    </row>
    <row r="6" customFormat="false" ht="15" hidden="false" customHeight="false" outlineLevel="0" collapsed="false">
      <c r="A6" s="10" t="s">
        <v>45</v>
      </c>
      <c r="B6" s="21" t="n">
        <v>2015</v>
      </c>
      <c r="C6" s="22" t="n">
        <v>102874.22</v>
      </c>
      <c r="D6" s="23" t="n">
        <f aca="false">INDEX(Growth_Table!$B$5:$E$8,MATCH($A6,Growth_Table!$A$5:$A$8,0),MATCH($B6,Growth_Table!$B$4:$E$4,0))</f>
        <v>102874.222</v>
      </c>
      <c r="E6" s="24" t="n">
        <f aca="false">ROUND(D6-C6,2)</f>
        <v>0</v>
      </c>
      <c r="F6" s="22" t="n">
        <v>11716.8</v>
      </c>
      <c r="G6" s="23" t="n">
        <f aca="false">INDEX(Growth_Table!$B$21:$E$24,MATCH($A6,Growth_Table!$A$21:$A$24,0),MATCH($B6,Growth_Table!$B$20:$E$20,0))</f>
        <v>11716.802</v>
      </c>
      <c r="H6" s="24" t="n">
        <f aca="false">ROUND(G6-F6,2)</f>
        <v>0</v>
      </c>
      <c r="I6" s="17" t="str">
        <f aca="false">IF(AND(ABS(E6)&lt;0.01,ABS(H6)&lt;0.01),"Match","CHECK")</f>
        <v>Match</v>
      </c>
    </row>
    <row r="7" customFormat="false" ht="15" hidden="false" customHeight="false" outlineLevel="0" collapsed="false">
      <c r="A7" s="10" t="s">
        <v>45</v>
      </c>
      <c r="B7" s="21" t="n">
        <v>2016</v>
      </c>
      <c r="C7" s="22" t="n">
        <v>147429.38</v>
      </c>
      <c r="D7" s="23" t="n">
        <f aca="false">INDEX(Growth_Table!$B$5:$E$8,MATCH($A7,Growth_Table!$A$5:$A$8,0),MATCH($B7,Growth_Table!$B$4:$E$4,0))</f>
        <v>147429.376</v>
      </c>
      <c r="E7" s="24" t="n">
        <f aca="false">ROUND(D7-C7,2)</f>
        <v>-0</v>
      </c>
      <c r="F7" s="22" t="n">
        <v>19899.16</v>
      </c>
      <c r="G7" s="23" t="n">
        <f aca="false">INDEX(Growth_Table!$B$21:$E$24,MATCH($A7,Growth_Table!$A$21:$A$24,0),MATCH($B7,Growth_Table!$B$20:$E$20,0))</f>
        <v>19899.1629</v>
      </c>
      <c r="H7" s="24" t="n">
        <f aca="false">ROUND(G7-F7,2)</f>
        <v>0</v>
      </c>
      <c r="I7" s="17" t="str">
        <f aca="false">IF(AND(ABS(E7)&lt;0.01,ABS(H7)&lt;0.01),"Match","CHECK")</f>
        <v>Match</v>
      </c>
    </row>
    <row r="8" customFormat="false" ht="15" hidden="false" customHeight="false" outlineLevel="0" collapsed="false">
      <c r="A8" s="10" t="s">
        <v>45</v>
      </c>
      <c r="B8" s="21" t="n">
        <v>2017</v>
      </c>
      <c r="C8" s="22" t="n">
        <v>147098.13</v>
      </c>
      <c r="D8" s="23" t="n">
        <f aca="false">INDEX(Growth_Table!$B$5:$E$8,MATCH($A8,Growth_Table!$A$5:$A$8,0),MATCH($B8,Growth_Table!$B$4:$E$4,0))</f>
        <v>147098.1282</v>
      </c>
      <c r="E8" s="24" t="n">
        <f aca="false">ROUND(D8-C8,2)</f>
        <v>-0</v>
      </c>
      <c r="F8" s="22" t="n">
        <v>7550.84</v>
      </c>
      <c r="G8" s="23" t="n">
        <f aca="false">INDEX(Growth_Table!$B$21:$E$24,MATCH($A8,Growth_Table!$A$21:$A$24,0),MATCH($B8,Growth_Table!$B$20:$E$20,0))</f>
        <v>7550.8442</v>
      </c>
      <c r="H8" s="24" t="n">
        <f aca="false">ROUND(G8-F8,2)</f>
        <v>0</v>
      </c>
      <c r="I8" s="17" t="str">
        <f aca="false">IF(AND(ABS(E8)&lt;0.01,ABS(H8)&lt;0.01),"Match","CHECK")</f>
        <v>Match</v>
      </c>
    </row>
    <row r="9" customFormat="false" ht="15" hidden="false" customHeight="false" outlineLevel="0" collapsed="false">
      <c r="A9" s="10" t="s">
        <v>55</v>
      </c>
      <c r="B9" s="21" t="n">
        <v>2014</v>
      </c>
      <c r="C9" s="22" t="n">
        <v>128680.46</v>
      </c>
      <c r="D9" s="23" t="n">
        <f aca="false">INDEX(Growth_Table!$B$5:$E$8,MATCH($A9,Growth_Table!$A$5:$A$8,0),MATCH($B9,Growth_Table!$B$4:$E$4,0))</f>
        <v>128680.457</v>
      </c>
      <c r="E9" s="24" t="n">
        <f aca="false">ROUND(D9-C9,2)</f>
        <v>-0</v>
      </c>
      <c r="F9" s="22" t="n">
        <v>17059.61</v>
      </c>
      <c r="G9" s="23" t="n">
        <f aca="false">INDEX(Growth_Table!$B$21:$E$24,MATCH($A9,Growth_Table!$A$21:$A$24,0),MATCH($B9,Growth_Table!$B$20:$E$20,0))</f>
        <v>17059.6095</v>
      </c>
      <c r="H9" s="24" t="n">
        <f aca="false">ROUND(G9-F9,2)</f>
        <v>-0</v>
      </c>
      <c r="I9" s="17" t="str">
        <f aca="false">IF(AND(ABS(E9)&lt;0.01,ABS(H9)&lt;0.01),"Match","CHECK")</f>
        <v>Match</v>
      </c>
    </row>
    <row r="10" customFormat="false" ht="15" hidden="false" customHeight="false" outlineLevel="0" collapsed="false">
      <c r="A10" s="10" t="s">
        <v>55</v>
      </c>
      <c r="B10" s="21" t="n">
        <v>2015</v>
      </c>
      <c r="C10" s="22" t="n">
        <v>156332.06</v>
      </c>
      <c r="D10" s="23" t="n">
        <f aca="false">INDEX(Growth_Table!$B$5:$E$8,MATCH($A10,Growth_Table!$A$5:$A$8,0),MATCH($B10,Growth_Table!$B$4:$E$4,0))</f>
        <v>156332.057</v>
      </c>
      <c r="E10" s="24" t="n">
        <f aca="false">ROUND(D10-C10,2)</f>
        <v>-0</v>
      </c>
      <c r="F10" s="22" t="n">
        <v>21091.01</v>
      </c>
      <c r="G10" s="23" t="n">
        <f aca="false">INDEX(Growth_Table!$B$21:$E$24,MATCH($A10,Growth_Table!$A$21:$A$24,0),MATCH($B10,Growth_Table!$B$20:$E$20,0))</f>
        <v>21091.013</v>
      </c>
      <c r="H10" s="24" t="n">
        <f aca="false">ROUND(G10-F10,2)</f>
        <v>0</v>
      </c>
      <c r="I10" s="17" t="str">
        <f aca="false">IF(AND(ABS(E10)&lt;0.01,ABS(H10)&lt;0.01),"Match","CHECK")</f>
        <v>Match</v>
      </c>
    </row>
    <row r="11" customFormat="false" ht="15" hidden="false" customHeight="false" outlineLevel="0" collapsed="false">
      <c r="A11" s="10" t="s">
        <v>55</v>
      </c>
      <c r="B11" s="21" t="n">
        <v>2016</v>
      </c>
      <c r="C11" s="22" t="n">
        <v>180685.82</v>
      </c>
      <c r="D11" s="23" t="n">
        <f aca="false">INDEX(Growth_Table!$B$5:$E$8,MATCH($A11,Growth_Table!$A$5:$A$8,0),MATCH($B11,Growth_Table!$B$4:$E$4,0))</f>
        <v>180685.822</v>
      </c>
      <c r="E11" s="24" t="n">
        <f aca="false">ROUND(D11-C11,2)</f>
        <v>0</v>
      </c>
      <c r="F11" s="22" t="n">
        <v>20141.6</v>
      </c>
      <c r="G11" s="23" t="n">
        <f aca="false">INDEX(Growth_Table!$B$21:$E$24,MATCH($A11,Growth_Table!$A$21:$A$24,0),MATCH($B11,Growth_Table!$B$20:$E$20,0))</f>
        <v>20141.5961</v>
      </c>
      <c r="H11" s="24" t="n">
        <f aca="false">ROUND(G11-F11,2)</f>
        <v>-0</v>
      </c>
      <c r="I11" s="17" t="str">
        <f aca="false">IF(AND(ABS(E11)&lt;0.01,ABS(H11)&lt;0.01),"Match","CHECK")</f>
        <v>Match</v>
      </c>
    </row>
    <row r="12" customFormat="false" ht="15" hidden="false" customHeight="false" outlineLevel="0" collapsed="false">
      <c r="A12" s="10" t="s">
        <v>55</v>
      </c>
      <c r="B12" s="21" t="n">
        <v>2017</v>
      </c>
      <c r="C12" s="22" t="n">
        <v>213082.9</v>
      </c>
      <c r="D12" s="23" t="n">
        <f aca="false">INDEX(Growth_Table!$B$5:$E$8,MATCH($A12,Growth_Table!$A$5:$A$8,0),MATCH($B12,Growth_Table!$B$4:$E$4,0))</f>
        <v>213082.904</v>
      </c>
      <c r="E12" s="24" t="n">
        <f aca="false">ROUND(D12-C12,2)</f>
        <v>0</v>
      </c>
      <c r="F12" s="22" t="n">
        <v>33230.56</v>
      </c>
      <c r="G12" s="23" t="n">
        <f aca="false">INDEX(Growth_Table!$B$21:$E$24,MATCH($A12,Growth_Table!$A$21:$A$24,0),MATCH($B12,Growth_Table!$B$20:$E$20,0))</f>
        <v>33230.5614</v>
      </c>
      <c r="H12" s="24" t="n">
        <f aca="false">ROUND(G12-F12,2)</f>
        <v>0</v>
      </c>
      <c r="I12" s="17" t="str">
        <f aca="false">IF(AND(ABS(E12)&lt;0.01,ABS(H12)&lt;0.01),"Match","CHECK")</f>
        <v>Match</v>
      </c>
    </row>
    <row r="13" customFormat="false" ht="15" hidden="false" customHeight="false" outlineLevel="0" collapsed="false">
      <c r="A13" s="10" t="s">
        <v>29</v>
      </c>
      <c r="B13" s="21" t="n">
        <v>2014</v>
      </c>
      <c r="C13" s="22" t="n">
        <v>103845.84</v>
      </c>
      <c r="D13" s="23" t="n">
        <f aca="false">INDEX(Growth_Table!$B$5:$E$8,MATCH($A13,Growth_Table!$A$5:$A$8,0),MATCH($B13,Growth_Table!$B$4:$E$4,0))</f>
        <v>103845.8435</v>
      </c>
      <c r="E13" s="24" t="n">
        <f aca="false">ROUND(D13-C13,2)</f>
        <v>0</v>
      </c>
      <c r="F13" s="22" t="n">
        <v>11879.12</v>
      </c>
      <c r="G13" s="23" t="n">
        <f aca="false">INDEX(Growth_Table!$B$21:$E$24,MATCH($A13,Growth_Table!$A$21:$A$24,0),MATCH($B13,Growth_Table!$B$20:$E$20,0))</f>
        <v>11879.12</v>
      </c>
      <c r="H13" s="24" t="n">
        <f aca="false">ROUND(G13-F13,2)</f>
        <v>0</v>
      </c>
      <c r="I13" s="17" t="str">
        <f aca="false">IF(AND(ABS(E13)&lt;0.01,ABS(H13)&lt;0.01),"Match","CHECK")</f>
        <v>Match</v>
      </c>
    </row>
    <row r="14" customFormat="false" ht="15" hidden="false" customHeight="false" outlineLevel="0" collapsed="false">
      <c r="A14" s="10" t="s">
        <v>29</v>
      </c>
      <c r="B14" s="21" t="n">
        <v>2015</v>
      </c>
      <c r="C14" s="22" t="n">
        <v>71359.98</v>
      </c>
      <c r="D14" s="23" t="n">
        <f aca="false">INDEX(Growth_Table!$B$5:$E$8,MATCH($A14,Growth_Table!$A$5:$A$8,0),MATCH($B14,Growth_Table!$B$4:$E$4,0))</f>
        <v>71359.9805</v>
      </c>
      <c r="E14" s="24" t="n">
        <f aca="false">ROUND(D14-C14,2)</f>
        <v>0</v>
      </c>
      <c r="F14" s="22" t="n">
        <v>8318.59</v>
      </c>
      <c r="G14" s="23" t="n">
        <f aca="false">INDEX(Growth_Table!$B$21:$E$24,MATCH($A14,Growth_Table!$A$21:$A$24,0),MATCH($B14,Growth_Table!$B$20:$E$20,0))</f>
        <v>8318.594</v>
      </c>
      <c r="H14" s="24" t="n">
        <f aca="false">ROUND(G14-F14,2)</f>
        <v>0</v>
      </c>
      <c r="I14" s="17" t="str">
        <f aca="false">IF(AND(ABS(E14)&lt;0.01,ABS(H14)&lt;0.01),"Match","CHECK")</f>
        <v>Match</v>
      </c>
    </row>
    <row r="15" customFormat="false" ht="15" hidden="false" customHeight="false" outlineLevel="0" collapsed="false">
      <c r="A15" s="10" t="s">
        <v>29</v>
      </c>
      <c r="B15" s="21" t="n">
        <v>2016</v>
      </c>
      <c r="C15" s="22" t="n">
        <v>93610.22</v>
      </c>
      <c r="D15" s="23" t="n">
        <f aca="false">INDEX(Growth_Table!$B$5:$E$8,MATCH($A15,Growth_Table!$A$5:$A$8,0),MATCH($B15,Growth_Table!$B$4:$E$4,0))</f>
        <v>93610.2235</v>
      </c>
      <c r="E15" s="24" t="n">
        <f aca="false">ROUND(D15-C15,2)</f>
        <v>0</v>
      </c>
      <c r="F15" s="22" t="n">
        <v>17702.81</v>
      </c>
      <c r="G15" s="23" t="n">
        <f aca="false">INDEX(Growth_Table!$B$21:$E$24,MATCH($A15,Growth_Table!$A$21:$A$24,0),MATCH($B15,Growth_Table!$B$20:$E$20,0))</f>
        <v>17702.8084</v>
      </c>
      <c r="H15" s="24" t="n">
        <f aca="false">ROUND(G15-F15,2)</f>
        <v>-0</v>
      </c>
      <c r="I15" s="17" t="str">
        <f aca="false">IF(AND(ABS(E15)&lt;0.01,ABS(H15)&lt;0.01),"Match","CHECK")</f>
        <v>Match</v>
      </c>
    </row>
    <row r="16" customFormat="false" ht="15" hidden="false" customHeight="false" outlineLevel="0" collapsed="false">
      <c r="A16" s="10" t="s">
        <v>29</v>
      </c>
      <c r="B16" s="21" t="n">
        <v>2017</v>
      </c>
      <c r="C16" s="22" t="n">
        <v>122905.86</v>
      </c>
      <c r="D16" s="23" t="n">
        <f aca="false">INDEX(Growth_Table!$B$5:$E$8,MATCH($A16,Growth_Table!$A$5:$A$8,0),MATCH($B16,Growth_Table!$B$4:$E$4,0))</f>
        <v>122905.8575</v>
      </c>
      <c r="E16" s="24" t="n">
        <f aca="false">ROUND(D16-C16,2)</f>
        <v>-0</v>
      </c>
      <c r="F16" s="22" t="n">
        <v>8848.91</v>
      </c>
      <c r="G16" s="23" t="n">
        <f aca="false">INDEX(Growth_Table!$B$21:$E$24,MATCH($A16,Growth_Table!$A$21:$A$24,0),MATCH($B16,Growth_Table!$B$20:$E$20,0))</f>
        <v>8848.9079</v>
      </c>
      <c r="H16" s="24" t="n">
        <f aca="false">ROUND(G16-F16,2)</f>
        <v>-0</v>
      </c>
      <c r="I16" s="17" t="str">
        <f aca="false">IF(AND(ABS(E16)&lt;0.01,ABS(H16)&lt;0.01),"Match","CHECK")</f>
        <v>Match</v>
      </c>
    </row>
    <row r="17" customFormat="false" ht="15" hidden="false" customHeight="false" outlineLevel="0" collapsed="false">
      <c r="A17" s="10" t="s">
        <v>33</v>
      </c>
      <c r="B17" s="21" t="n">
        <v>2014</v>
      </c>
      <c r="C17" s="22" t="n">
        <v>147883.03</v>
      </c>
      <c r="D17" s="23" t="n">
        <f aca="false">INDEX(Growth_Table!$B$5:$E$8,MATCH($A17,Growth_Table!$A$5:$A$8,0),MATCH($B17,Growth_Table!$B$4:$E$4,0))</f>
        <v>147883.033</v>
      </c>
      <c r="E17" s="24" t="n">
        <f aca="false">ROUND(D17-C17,2)</f>
        <v>0</v>
      </c>
      <c r="F17" s="22" t="n">
        <v>20065.69</v>
      </c>
      <c r="G17" s="23" t="n">
        <f aca="false">INDEX(Growth_Table!$B$21:$E$24,MATCH($A17,Growth_Table!$A$21:$A$24,0),MATCH($B17,Growth_Table!$B$20:$E$20,0))</f>
        <v>20065.6912</v>
      </c>
      <c r="H17" s="24" t="n">
        <f aca="false">ROUND(G17-F17,2)</f>
        <v>0</v>
      </c>
      <c r="I17" s="17" t="str">
        <f aca="false">IF(AND(ABS(E17)&lt;0.01,ABS(H17)&lt;0.01),"Match","CHECK")</f>
        <v>Match</v>
      </c>
    </row>
    <row r="18" customFormat="false" ht="15" hidden="false" customHeight="false" outlineLevel="0" collapsed="false">
      <c r="A18" s="10" t="s">
        <v>33</v>
      </c>
      <c r="B18" s="21" t="n">
        <v>2015</v>
      </c>
      <c r="C18" s="22" t="n">
        <v>139966.25</v>
      </c>
      <c r="D18" s="23" t="n">
        <f aca="false">INDEX(Growth_Table!$B$5:$E$8,MATCH($A18,Growth_Table!$A$5:$A$8,0),MATCH($B18,Growth_Table!$B$4:$E$4,0))</f>
        <v>139966.2495</v>
      </c>
      <c r="E18" s="24" t="n">
        <f aca="false">ROUND(D18-C18,2)</f>
        <v>-0</v>
      </c>
      <c r="F18" s="22" t="n">
        <v>20492.19</v>
      </c>
      <c r="G18" s="23" t="n">
        <f aca="false">INDEX(Growth_Table!$B$21:$E$24,MATCH($A18,Growth_Table!$A$21:$A$24,0),MATCH($B18,Growth_Table!$B$20:$E$20,0))</f>
        <v>20492.1947</v>
      </c>
      <c r="H18" s="24" t="n">
        <f aca="false">ROUND(G18-F18,2)</f>
        <v>0</v>
      </c>
      <c r="I18" s="17" t="str">
        <f aca="false">IF(AND(ABS(E18)&lt;0.01,ABS(H18)&lt;0.01),"Match","CHECK")</f>
        <v>Match</v>
      </c>
    </row>
    <row r="19" customFormat="false" ht="15" hidden="false" customHeight="false" outlineLevel="0" collapsed="false">
      <c r="A19" s="10" t="s">
        <v>33</v>
      </c>
      <c r="B19" s="21" t="n">
        <v>2016</v>
      </c>
      <c r="C19" s="22" t="n">
        <v>187480.18</v>
      </c>
      <c r="D19" s="23" t="n">
        <f aca="false">INDEX(Growth_Table!$B$5:$E$8,MATCH($A19,Growth_Table!$A$5:$A$8,0),MATCH($B19,Growth_Table!$B$4:$E$4,0))</f>
        <v>187480.1765</v>
      </c>
      <c r="E19" s="24" t="n">
        <f aca="false">ROUND(D19-C19,2)</f>
        <v>-0</v>
      </c>
      <c r="F19" s="22" t="n">
        <v>24051.61</v>
      </c>
      <c r="G19" s="23" t="n">
        <f aca="false">INDEX(Growth_Table!$B$21:$E$24,MATCH($A19,Growth_Table!$A$21:$A$24,0),MATCH($B19,Growth_Table!$B$20:$E$20,0))</f>
        <v>24051.6069</v>
      </c>
      <c r="H19" s="24" t="n">
        <f aca="false">ROUND(G19-F19,2)</f>
        <v>-0</v>
      </c>
      <c r="I19" s="17" t="str">
        <f aca="false">IF(AND(ABS(E19)&lt;0.01,ABS(H19)&lt;0.01),"Match","CHECK")</f>
        <v>Match</v>
      </c>
    </row>
    <row r="20" customFormat="false" ht="15" hidden="false" customHeight="false" outlineLevel="0" collapsed="false">
      <c r="A20" s="10" t="s">
        <v>33</v>
      </c>
      <c r="B20" s="21" t="n">
        <v>2017</v>
      </c>
      <c r="C20" s="22" t="n">
        <v>250128.37</v>
      </c>
      <c r="D20" s="23" t="n">
        <f aca="false">INDEX(Growth_Table!$B$5:$E$8,MATCH($A20,Growth_Table!$A$5:$A$8,0),MATCH($B20,Growth_Table!$B$4:$E$4,0))</f>
        <v>250128.3655</v>
      </c>
      <c r="E20" s="24" t="n">
        <f aca="false">ROUND(D20-C20,2)</f>
        <v>-0</v>
      </c>
      <c r="F20" s="22" t="n">
        <v>43808.96</v>
      </c>
      <c r="G20" s="23" t="n">
        <f aca="false">INDEX(Growth_Table!$B$21:$E$24,MATCH($A20,Growth_Table!$A$21:$A$24,0),MATCH($B20,Growth_Table!$B$20:$E$20,0))</f>
        <v>43808.9561</v>
      </c>
      <c r="H20" s="24" t="n">
        <f aca="false">ROUND(G20-F20,2)</f>
        <v>-0</v>
      </c>
      <c r="I20" s="17" t="str">
        <f aca="false">IF(AND(ABS(E20)&lt;0.01,ABS(H20)&lt;0.01),"Match","CHECK")</f>
        <v>Match</v>
      </c>
    </row>
    <row r="22" customFormat="false" ht="15" hidden="false" customHeight="false" outlineLevel="0" collapsed="false">
      <c r="A22" s="10" t="s">
        <v>5148</v>
      </c>
      <c r="B22" s="10"/>
      <c r="C22" s="10" t="str">
        <f aca="false">COUNTIF(I5:I20,"Match")&amp;" of "&amp;COUNTA(I5:I20)</f>
        <v>16 of 16</v>
      </c>
    </row>
  </sheetData>
  <mergeCells count="1"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8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8" t="s">
        <v>5149</v>
      </c>
    </row>
    <row r="3" customFormat="false" ht="15" hidden="false" customHeight="false" outlineLevel="0" collapsed="false">
      <c r="A3" s="5" t="s">
        <v>5150</v>
      </c>
      <c r="B3" s="5" t="s">
        <v>5151</v>
      </c>
      <c r="C3" s="5" t="s">
        <v>5152</v>
      </c>
    </row>
    <row r="4" customFormat="false" ht="91.5" hidden="false" customHeight="true" outlineLevel="0" collapsed="false">
      <c r="A4" s="25" t="s">
        <v>5153</v>
      </c>
      <c r="B4" s="26" t="s">
        <v>5154</v>
      </c>
      <c r="C4" s="26" t="s">
        <v>5155</v>
      </c>
    </row>
    <row r="5" customFormat="false" ht="91.5" hidden="false" customHeight="true" outlineLevel="0" collapsed="false">
      <c r="A5" s="25" t="s">
        <v>5156</v>
      </c>
      <c r="B5" s="26" t="s">
        <v>5157</v>
      </c>
      <c r="C5" s="26" t="s">
        <v>5158</v>
      </c>
    </row>
    <row r="6" customFormat="false" ht="91.5" hidden="false" customHeight="true" outlineLevel="0" collapsed="false">
      <c r="A6" s="25" t="s">
        <v>5159</v>
      </c>
      <c r="B6" s="26" t="s">
        <v>5160</v>
      </c>
      <c r="C6" s="26" t="s">
        <v>5161</v>
      </c>
    </row>
    <row r="7" customFormat="false" ht="91.5" hidden="false" customHeight="true" outlineLevel="0" collapsed="false">
      <c r="A7" s="25" t="s">
        <v>5162</v>
      </c>
      <c r="B7" s="26" t="s">
        <v>5163</v>
      </c>
      <c r="C7" s="26" t="s">
        <v>5164</v>
      </c>
    </row>
    <row r="8" customFormat="false" ht="91.5" hidden="false" customHeight="true" outlineLevel="0" collapsed="false">
      <c r="A8" s="25" t="s">
        <v>5165</v>
      </c>
      <c r="B8" s="26" t="s">
        <v>5166</v>
      </c>
      <c r="C8" s="26" t="s">
        <v>5167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2026-10-07T11:25:26Z</dcterms:created>
  <dc:creator>openpyxl</dc:creator>
  <dc:description/>
  <dc:language>en-US</dc:language>
  <cp:lastModifiedBy/>
  <dcterms:modified xsi:type="dcterms:W3CDTF">2026-10-07T11:25:31Z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